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0495c243c66c3f3b/Desktop/Excel/"/>
    </mc:Choice>
  </mc:AlternateContent>
  <xr:revisionPtr revIDLastSave="2" documentId="8_{3CF65361-ED34-4404-8CBF-BD25D3B38A0A}" xr6:coauthVersionLast="47" xr6:coauthVersionMax="47" xr10:uidLastSave="{B6CCF12E-92B8-409E-90A7-5606594C489B}"/>
  <bookViews>
    <workbookView xWindow="-108" yWindow="-108" windowWidth="23256" windowHeight="12456" activeTab="2" xr2:uid="{00000000-000D-0000-FFFF-FFFF00000000}"/>
  </bookViews>
  <sheets>
    <sheet name="PIVOTING" sheetId="4" r:id="rId1"/>
    <sheet name="Sales_Data" sheetId="1" r:id="rId2"/>
    <sheet name="DASHBOARD" sheetId="3" r:id="rId3"/>
  </sheets>
  <definedNames>
    <definedName name="Slicer_Month">#N/A</definedName>
  </definedNames>
  <calcPr calcId="191029"/>
  <pivotCaches>
    <pivotCache cacheId="14"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6" i="3" l="1"/>
  <c r="L15" i="3"/>
  <c r="L13" i="3"/>
  <c r="L12" i="3"/>
  <c r="L10" i="3"/>
  <c r="L9" i="3"/>
  <c r="H9" i="3"/>
</calcChain>
</file>

<file path=xl/sharedStrings.xml><?xml version="1.0" encoding="utf-8"?>
<sst xmlns="http://schemas.openxmlformats.org/spreadsheetml/2006/main" count="60074" uniqueCount="10135">
  <si>
    <t>OrderID</t>
  </si>
  <si>
    <t>Date</t>
  </si>
  <si>
    <t>Month</t>
  </si>
  <si>
    <t>Week</t>
  </si>
  <si>
    <t>Region</t>
  </si>
  <si>
    <t>Country</t>
  </si>
  <si>
    <t>Customer</t>
  </si>
  <si>
    <t>Product</t>
  </si>
  <si>
    <t>TargetSales</t>
  </si>
  <si>
    <t>ActualSales</t>
  </si>
  <si>
    <t>ORD00001</t>
  </si>
  <si>
    <t>Jul</t>
  </si>
  <si>
    <t>Central</t>
  </si>
  <si>
    <t>UAE</t>
  </si>
  <si>
    <t>Customer06</t>
  </si>
  <si>
    <t>Product23</t>
  </si>
  <si>
    <t>ORD00002</t>
  </si>
  <si>
    <t>Jan</t>
  </si>
  <si>
    <t>North</t>
  </si>
  <si>
    <t>Spain</t>
  </si>
  <si>
    <t>Customer46</t>
  </si>
  <si>
    <t>Product18</t>
  </si>
  <si>
    <t>ORD00003</t>
  </si>
  <si>
    <t>Nov</t>
  </si>
  <si>
    <t>Northeast</t>
  </si>
  <si>
    <t>Japan</t>
  </si>
  <si>
    <t>Customer45</t>
  </si>
  <si>
    <t>Product14</t>
  </si>
  <si>
    <t>ORD00004</t>
  </si>
  <si>
    <t>UK</t>
  </si>
  <si>
    <t>Customer26</t>
  </si>
  <si>
    <t>Product03</t>
  </si>
  <si>
    <t>ORD00005</t>
  </si>
  <si>
    <t>Western</t>
  </si>
  <si>
    <t>Turkey</t>
  </si>
  <si>
    <t>Customer43</t>
  </si>
  <si>
    <t>Product08</t>
  </si>
  <si>
    <t>ORD00006</t>
  </si>
  <si>
    <t>Sep</t>
  </si>
  <si>
    <t>Export</t>
  </si>
  <si>
    <t>Customer32</t>
  </si>
  <si>
    <t>Product02</t>
  </si>
  <si>
    <t>ORD00007</t>
  </si>
  <si>
    <t>Russia</t>
  </si>
  <si>
    <t>Customer10</t>
  </si>
  <si>
    <t>ORD00008</t>
  </si>
  <si>
    <t>Malaysia</t>
  </si>
  <si>
    <t>Customer01</t>
  </si>
  <si>
    <t>Product11</t>
  </si>
  <si>
    <t>ORD00009</t>
  </si>
  <si>
    <t>Mexico</t>
  </si>
  <si>
    <t>Customer20</t>
  </si>
  <si>
    <t>Product06</t>
  </si>
  <si>
    <t>ORD00010</t>
  </si>
  <si>
    <t>Customer12</t>
  </si>
  <si>
    <t>Product09</t>
  </si>
  <si>
    <t>ORD00011</t>
  </si>
  <si>
    <t>Thailand</t>
  </si>
  <si>
    <t>Customer14</t>
  </si>
  <si>
    <t>Product26</t>
  </si>
  <si>
    <t>ORD00012</t>
  </si>
  <si>
    <t>East</t>
  </si>
  <si>
    <t>Canada</t>
  </si>
  <si>
    <t>Customer30</t>
  </si>
  <si>
    <t>Product05</t>
  </si>
  <si>
    <t>ORD00013</t>
  </si>
  <si>
    <t>Oct</t>
  </si>
  <si>
    <t>Customer19</t>
  </si>
  <si>
    <t>Product30</t>
  </si>
  <si>
    <t>ORD00014</t>
  </si>
  <si>
    <t>South</t>
  </si>
  <si>
    <t>ORD00015</t>
  </si>
  <si>
    <t>Customer16</t>
  </si>
  <si>
    <t>ORD00016</t>
  </si>
  <si>
    <t>Jun</t>
  </si>
  <si>
    <t>Brazil</t>
  </si>
  <si>
    <t>Customer47</t>
  </si>
  <si>
    <t>ORD00017</t>
  </si>
  <si>
    <t>USA</t>
  </si>
  <si>
    <t>Customer24</t>
  </si>
  <si>
    <t>Product15</t>
  </si>
  <si>
    <t>ORD00018</t>
  </si>
  <si>
    <t>Feb</t>
  </si>
  <si>
    <t>Customer44</t>
  </si>
  <si>
    <t>Product20</t>
  </si>
  <si>
    <t>ORD00019</t>
  </si>
  <si>
    <t>Apr</t>
  </si>
  <si>
    <t>France</t>
  </si>
  <si>
    <t>Customer48</t>
  </si>
  <si>
    <t>ORD00020</t>
  </si>
  <si>
    <t>May</t>
  </si>
  <si>
    <t>ORD00021</t>
  </si>
  <si>
    <t>China</t>
  </si>
  <si>
    <t>Customer04</t>
  </si>
  <si>
    <t>ORD00022</t>
  </si>
  <si>
    <t>Mar</t>
  </si>
  <si>
    <t>Product25</t>
  </si>
  <si>
    <t>ORD00023</t>
  </si>
  <si>
    <t>Product01</t>
  </si>
  <si>
    <t>ORD00024</t>
  </si>
  <si>
    <t>Dec</t>
  </si>
  <si>
    <t>Australia</t>
  </si>
  <si>
    <t>Customer27</t>
  </si>
  <si>
    <t>Product13</t>
  </si>
  <si>
    <t>ORD00025</t>
  </si>
  <si>
    <t>ORD00026</t>
  </si>
  <si>
    <t>ORD00027</t>
  </si>
  <si>
    <t>Customer03</t>
  </si>
  <si>
    <t>ORD00028</t>
  </si>
  <si>
    <t>South Africa</t>
  </si>
  <si>
    <t>Customer02</t>
  </si>
  <si>
    <t>Product04</t>
  </si>
  <si>
    <t>ORD00029</t>
  </si>
  <si>
    <t>Aug</t>
  </si>
  <si>
    <t>Singapore</t>
  </si>
  <si>
    <t>Customer42</t>
  </si>
  <si>
    <t>Product19</t>
  </si>
  <si>
    <t>ORD00030</t>
  </si>
  <si>
    <t>Customer21</t>
  </si>
  <si>
    <t>Product07</t>
  </si>
  <si>
    <t>ORD00031</t>
  </si>
  <si>
    <t>ORD00032</t>
  </si>
  <si>
    <t>Italy</t>
  </si>
  <si>
    <t>Product17</t>
  </si>
  <si>
    <t>ORD00033</t>
  </si>
  <si>
    <t>ORD00034</t>
  </si>
  <si>
    <t>Customer37</t>
  </si>
  <si>
    <t>ORD00035</t>
  </si>
  <si>
    <t>Customer31</t>
  </si>
  <si>
    <t>ORD00036</t>
  </si>
  <si>
    <t>Customer11</t>
  </si>
  <si>
    <t>ORD00037</t>
  </si>
  <si>
    <t>Customer33</t>
  </si>
  <si>
    <t>Product12</t>
  </si>
  <si>
    <t>ORD00038</t>
  </si>
  <si>
    <t>Customer36</t>
  </si>
  <si>
    <t>ORD00039</t>
  </si>
  <si>
    <t>Customer09</t>
  </si>
  <si>
    <t>ORD00040</t>
  </si>
  <si>
    <t>ORD00041</t>
  </si>
  <si>
    <t>Germany</t>
  </si>
  <si>
    <t>Customer41</t>
  </si>
  <si>
    <t>ORD00042</t>
  </si>
  <si>
    <t>ORD00043</t>
  </si>
  <si>
    <t>ORD00044</t>
  </si>
  <si>
    <t>Customer17</t>
  </si>
  <si>
    <t>ORD00045</t>
  </si>
  <si>
    <t>Customer15</t>
  </si>
  <si>
    <t>ORD00046</t>
  </si>
  <si>
    <t>Customer08</t>
  </si>
  <si>
    <t>ORD00047</t>
  </si>
  <si>
    <t>Product29</t>
  </si>
  <si>
    <t>ORD00048</t>
  </si>
  <si>
    <t>ORD00049</t>
  </si>
  <si>
    <t>ORD00050</t>
  </si>
  <si>
    <t>Product10</t>
  </si>
  <si>
    <t>ORD00051</t>
  </si>
  <si>
    <t>Product24</t>
  </si>
  <si>
    <t>ORD00052</t>
  </si>
  <si>
    <t>ORD00053</t>
  </si>
  <si>
    <t>Customer40</t>
  </si>
  <si>
    <t>ORD00054</t>
  </si>
  <si>
    <t>ORD00055</t>
  </si>
  <si>
    <t>Product16</t>
  </si>
  <si>
    <t>ORD00056</t>
  </si>
  <si>
    <t>Product22</t>
  </si>
  <si>
    <t>ORD00057</t>
  </si>
  <si>
    <t>ORD00058</t>
  </si>
  <si>
    <t>ORD00059</t>
  </si>
  <si>
    <t>ORD00060</t>
  </si>
  <si>
    <t>ORD00061</t>
  </si>
  <si>
    <t>Customer50</t>
  </si>
  <si>
    <t>ORD00062</t>
  </si>
  <si>
    <t>ORD00063</t>
  </si>
  <si>
    <t>ORD00064</t>
  </si>
  <si>
    <t>ORD00065</t>
  </si>
  <si>
    <t>ORD00066</t>
  </si>
  <si>
    <t>ORD00067</t>
  </si>
  <si>
    <t>ORD00068</t>
  </si>
  <si>
    <t>ORD00069</t>
  </si>
  <si>
    <t>ORD00070</t>
  </si>
  <si>
    <t>ORD00071</t>
  </si>
  <si>
    <t>Customer07</t>
  </si>
  <si>
    <t>ORD00072</t>
  </si>
  <si>
    <t>ORD00073</t>
  </si>
  <si>
    <t>ORD00074</t>
  </si>
  <si>
    <t>ORD00075</t>
  </si>
  <si>
    <t>ORD00076</t>
  </si>
  <si>
    <t>Product21</t>
  </si>
  <si>
    <t>ORD00077</t>
  </si>
  <si>
    <t>ORD00078</t>
  </si>
  <si>
    <t>Customer35</t>
  </si>
  <si>
    <t>ORD00079</t>
  </si>
  <si>
    <t>India</t>
  </si>
  <si>
    <t>ORD00080</t>
  </si>
  <si>
    <t>ORD00081</t>
  </si>
  <si>
    <t>ORD00082</t>
  </si>
  <si>
    <t>ORD00083</t>
  </si>
  <si>
    <t>ORD00084</t>
  </si>
  <si>
    <t>Customer23</t>
  </si>
  <si>
    <t>ORD00085</t>
  </si>
  <si>
    <t>Customer38</t>
  </si>
  <si>
    <t>ORD00086</t>
  </si>
  <si>
    <t>ORD00087</t>
  </si>
  <si>
    <t>ORD00088</t>
  </si>
  <si>
    <t>ORD00089</t>
  </si>
  <si>
    <t>Customer05</t>
  </si>
  <si>
    <t>ORD00090</t>
  </si>
  <si>
    <t>ORD00091</t>
  </si>
  <si>
    <t>ORD00092</t>
  </si>
  <si>
    <t>ORD00093</t>
  </si>
  <si>
    <t>Product28</t>
  </si>
  <si>
    <t>ORD00094</t>
  </si>
  <si>
    <t>ORD00095</t>
  </si>
  <si>
    <t>ORD00096</t>
  </si>
  <si>
    <t>ORD00097</t>
  </si>
  <si>
    <t>ORD00098</t>
  </si>
  <si>
    <t>ORD00099</t>
  </si>
  <si>
    <t>ORD00100</t>
  </si>
  <si>
    <t>ORD00101</t>
  </si>
  <si>
    <t>ORD00102</t>
  </si>
  <si>
    <t>ORD00103</t>
  </si>
  <si>
    <t>ORD00104</t>
  </si>
  <si>
    <t>ORD00105</t>
  </si>
  <si>
    <t>Customer39</t>
  </si>
  <si>
    <t>ORD00106</t>
  </si>
  <si>
    <t>ORD00107</t>
  </si>
  <si>
    <t>ORD00108</t>
  </si>
  <si>
    <t>ORD00109</t>
  </si>
  <si>
    <t>ORD00110</t>
  </si>
  <si>
    <t>Customer25</t>
  </si>
  <si>
    <t>ORD00111</t>
  </si>
  <si>
    <t>ORD00112</t>
  </si>
  <si>
    <t>ORD00113</t>
  </si>
  <si>
    <t>Customer18</t>
  </si>
  <si>
    <t>ORD00114</t>
  </si>
  <si>
    <t>ORD00115</t>
  </si>
  <si>
    <t>ORD00116</t>
  </si>
  <si>
    <t>ORD00117</t>
  </si>
  <si>
    <t>ORD00118</t>
  </si>
  <si>
    <t>Customer22</t>
  </si>
  <si>
    <t>ORD00119</t>
  </si>
  <si>
    <t>ORD00120</t>
  </si>
  <si>
    <t>Product27</t>
  </si>
  <si>
    <t>ORD00121</t>
  </si>
  <si>
    <t>ORD00122</t>
  </si>
  <si>
    <t>ORD00123</t>
  </si>
  <si>
    <t>ORD00124</t>
  </si>
  <si>
    <t>ORD00125</t>
  </si>
  <si>
    <t>ORD00126</t>
  </si>
  <si>
    <t>ORD00127</t>
  </si>
  <si>
    <t>ORD00128</t>
  </si>
  <si>
    <t>ORD00129</t>
  </si>
  <si>
    <t>Customer49</t>
  </si>
  <si>
    <t>ORD00130</t>
  </si>
  <si>
    <t>ORD00131</t>
  </si>
  <si>
    <t>ORD00132</t>
  </si>
  <si>
    <t>ORD00133</t>
  </si>
  <si>
    <t>ORD00134</t>
  </si>
  <si>
    <t>ORD00135</t>
  </si>
  <si>
    <t>ORD00136</t>
  </si>
  <si>
    <t>ORD00137</t>
  </si>
  <si>
    <t>ORD00138</t>
  </si>
  <si>
    <t>ORD00139</t>
  </si>
  <si>
    <t>ORD00140</t>
  </si>
  <si>
    <t>ORD00141</t>
  </si>
  <si>
    <t>Customer13</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</si>
  <si>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</si>
  <si>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</si>
  <si>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</si>
  <si>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</si>
  <si>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</si>
  <si>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</si>
  <si>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</si>
  <si>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</si>
  <si>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</si>
  <si>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</si>
  <si>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</si>
  <si>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</si>
  <si>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</si>
  <si>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</si>
  <si>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</si>
  <si>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</si>
  <si>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</si>
  <si>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</si>
  <si>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</si>
  <si>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</si>
  <si>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</si>
  <si>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</si>
  <si>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</si>
  <si>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</si>
  <si>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Customer28</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</si>
  <si>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</si>
  <si>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</si>
  <si>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</si>
  <si>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</si>
  <si>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</si>
  <si>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</si>
  <si>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</si>
  <si>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</si>
  <si>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</si>
  <si>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</si>
  <si>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</si>
  <si>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</si>
  <si>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</si>
  <si>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</si>
  <si>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</si>
  <si>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</si>
  <si>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</si>
  <si>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</si>
  <si>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</si>
  <si>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</si>
  <si>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</si>
  <si>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</si>
  <si>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</si>
  <si>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</si>
  <si>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</si>
  <si>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</si>
  <si>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</si>
  <si>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</si>
  <si>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</si>
  <si>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</si>
  <si>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</si>
  <si>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</si>
  <si>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Customer29</t>
  </si>
  <si>
    <t>ORD00198</t>
  </si>
  <si>
    <t>Customer34</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</si>
  <si>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</si>
  <si>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</si>
  <si>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</si>
  <si>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</si>
  <si>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</si>
  <si>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</si>
  <si>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</si>
  <si>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</si>
  <si>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</si>
  <si>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</si>
  <si>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</si>
  <si>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</si>
  <si>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</si>
  <si>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</si>
  <si>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</si>
  <si>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</si>
  <si>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</si>
  <si>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</si>
  <si>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</si>
  <si>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</si>
  <si>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</si>
  <si>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</si>
  <si>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</si>
  <si>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</si>
  <si>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</si>
  <si>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</si>
  <si>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</si>
  <si>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</si>
  <si>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</si>
  <si>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</si>
  <si>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</si>
  <si>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</si>
  <si>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</si>
  <si>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</si>
  <si>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</si>
  <si>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</si>
  <si>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</si>
  <si>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</si>
  <si>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</si>
  <si>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</si>
  <si>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</si>
  <si>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</si>
  <si>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</si>
  <si>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</si>
  <si>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</si>
  <si>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</si>
  <si>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</si>
  <si>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</si>
  <si>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</si>
  <si>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</si>
  <si>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</si>
  <si>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</si>
  <si>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</si>
  <si>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</si>
  <si>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</si>
  <si>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</si>
  <si>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</si>
  <si>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</si>
  <si>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</si>
  <si>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</si>
  <si>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</si>
  <si>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</si>
  <si>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</si>
  <si>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</si>
  <si>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</si>
  <si>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</si>
  <si>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</si>
  <si>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</si>
  <si>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</si>
  <si>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</si>
  <si>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</si>
  <si>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</si>
  <si>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</si>
  <si>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</si>
  <si>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</si>
  <si>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</si>
  <si>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</si>
  <si>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</si>
  <si>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</si>
  <si>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</si>
  <si>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</si>
  <si>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</si>
  <si>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</si>
  <si>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</si>
  <si>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</si>
  <si>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</si>
  <si>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</si>
  <si>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</si>
  <si>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</si>
  <si>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</si>
  <si>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</si>
  <si>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</si>
  <si>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</si>
  <si>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</si>
  <si>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</si>
  <si>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</si>
  <si>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</si>
  <si>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</si>
  <si>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</si>
  <si>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</si>
  <si>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</si>
  <si>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</si>
  <si>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</si>
  <si>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</si>
  <si>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</si>
  <si>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</si>
  <si>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</si>
  <si>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</si>
  <si>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</si>
  <si>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</si>
  <si>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</si>
  <si>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</si>
  <si>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</si>
  <si>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</si>
  <si>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</si>
  <si>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</si>
  <si>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</si>
  <si>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</si>
  <si>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</si>
  <si>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</si>
  <si>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</si>
  <si>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</si>
  <si>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</si>
  <si>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</si>
  <si>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</si>
  <si>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</si>
  <si>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</si>
  <si>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</si>
  <si>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</si>
  <si>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</si>
  <si>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</si>
  <si>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</si>
  <si>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</si>
  <si>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</si>
  <si>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</si>
  <si>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</si>
  <si>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</si>
  <si>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</si>
  <si>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</si>
  <si>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</si>
  <si>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</si>
  <si>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</si>
  <si>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</si>
  <si>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</si>
  <si>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</si>
  <si>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</si>
  <si>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</si>
  <si>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</si>
  <si>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</si>
  <si>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</si>
  <si>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</si>
  <si>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</si>
  <si>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</si>
  <si>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</si>
  <si>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</si>
  <si>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</si>
  <si>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</si>
  <si>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</si>
  <si>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</si>
  <si>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</si>
  <si>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</si>
  <si>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</si>
  <si>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</si>
  <si>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</si>
  <si>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</si>
  <si>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</si>
  <si>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</si>
  <si>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</si>
  <si>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</si>
  <si>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</si>
  <si>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</si>
  <si>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</si>
  <si>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</si>
  <si>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</si>
  <si>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</si>
  <si>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</si>
  <si>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</si>
  <si>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</si>
  <si>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</si>
  <si>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</si>
  <si>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</si>
  <si>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</si>
  <si>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</si>
  <si>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</si>
  <si>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</si>
  <si>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</si>
  <si>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</si>
  <si>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</si>
  <si>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</si>
  <si>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</si>
  <si>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</si>
  <si>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</si>
  <si>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</si>
  <si>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</si>
  <si>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</si>
  <si>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</si>
  <si>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</si>
  <si>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</si>
  <si>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</si>
  <si>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</si>
  <si>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</si>
  <si>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</si>
  <si>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</si>
  <si>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</si>
  <si>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</si>
  <si>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</si>
  <si>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</si>
  <si>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</si>
  <si>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</si>
  <si>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</si>
  <si>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</si>
  <si>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</si>
  <si>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</si>
  <si>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</si>
  <si>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</si>
  <si>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</si>
  <si>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</si>
  <si>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</si>
  <si>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</si>
  <si>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</si>
  <si>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</si>
  <si>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</si>
  <si>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</si>
  <si>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</si>
  <si>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</si>
  <si>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</si>
  <si>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</si>
  <si>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</si>
  <si>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</si>
  <si>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</si>
  <si>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</si>
  <si>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</si>
  <si>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</si>
  <si>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</si>
  <si>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</si>
  <si>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</si>
  <si>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</si>
  <si>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</si>
  <si>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</si>
  <si>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</si>
  <si>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</si>
  <si>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</si>
  <si>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</si>
  <si>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</si>
  <si>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</si>
  <si>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</si>
  <si>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</si>
  <si>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</si>
  <si>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</si>
  <si>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</si>
  <si>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</si>
  <si>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</si>
  <si>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</si>
  <si>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</si>
  <si>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</si>
  <si>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</si>
  <si>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</si>
  <si>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</si>
  <si>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</si>
  <si>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</si>
  <si>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</si>
  <si>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</si>
  <si>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</si>
  <si>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</si>
  <si>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</si>
  <si>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</si>
  <si>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</si>
  <si>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</si>
  <si>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</si>
  <si>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</si>
  <si>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</si>
  <si>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</si>
  <si>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</si>
  <si>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</si>
  <si>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</si>
  <si>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</si>
  <si>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</si>
  <si>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</si>
  <si>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</si>
  <si>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</si>
  <si>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</si>
  <si>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</si>
  <si>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</si>
  <si>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</si>
  <si>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</si>
  <si>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</si>
  <si>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</si>
  <si>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</si>
  <si>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</si>
  <si>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</si>
  <si>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</si>
  <si>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</si>
  <si>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</si>
  <si>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</si>
  <si>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</si>
  <si>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</si>
  <si>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</si>
  <si>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</si>
  <si>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</si>
  <si>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</si>
  <si>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</si>
  <si>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</si>
  <si>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</si>
  <si>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</si>
  <si>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</si>
  <si>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</si>
  <si>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</si>
  <si>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</si>
  <si>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</si>
  <si>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</si>
  <si>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</si>
  <si>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</si>
  <si>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</si>
  <si>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</si>
  <si>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</si>
  <si>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</si>
  <si>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</si>
  <si>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</si>
  <si>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</si>
  <si>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</si>
  <si>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</si>
  <si>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</si>
  <si>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</si>
  <si>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</si>
  <si>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</si>
  <si>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</si>
  <si>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</si>
  <si>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</si>
  <si>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</si>
  <si>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</si>
  <si>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</si>
  <si>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</si>
  <si>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</si>
  <si>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</si>
  <si>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</si>
  <si>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</si>
  <si>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</si>
  <si>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</si>
  <si>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</si>
  <si>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</si>
  <si>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</si>
  <si>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</si>
  <si>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</si>
  <si>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</si>
  <si>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</si>
  <si>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</si>
  <si>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</si>
  <si>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</si>
  <si>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</si>
  <si>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</si>
  <si>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</si>
  <si>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</si>
  <si>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</si>
  <si>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</si>
  <si>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</si>
  <si>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</si>
  <si>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</si>
  <si>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</si>
  <si>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</si>
  <si>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</si>
  <si>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</si>
  <si>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</si>
  <si>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</si>
  <si>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</si>
  <si>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</si>
  <si>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</si>
  <si>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</si>
  <si>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</si>
  <si>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</si>
  <si>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</si>
  <si>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</si>
  <si>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</si>
  <si>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</si>
  <si>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</si>
  <si>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</si>
  <si>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</si>
  <si>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</si>
  <si>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</si>
  <si>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</si>
  <si>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</si>
  <si>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</si>
  <si>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</si>
  <si>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</si>
  <si>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</si>
  <si>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</si>
  <si>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</si>
  <si>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</si>
  <si>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</si>
  <si>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</si>
  <si>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</si>
  <si>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</si>
  <si>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</si>
  <si>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</si>
  <si>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</si>
  <si>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</si>
  <si>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</si>
  <si>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</si>
  <si>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</si>
  <si>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</si>
  <si>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</si>
  <si>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</si>
  <si>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</si>
  <si>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</si>
  <si>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</si>
  <si>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</si>
  <si>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</si>
  <si>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</si>
  <si>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</si>
  <si>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</si>
  <si>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</si>
  <si>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</si>
  <si>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</si>
  <si>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</si>
  <si>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</si>
  <si>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</si>
  <si>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</si>
  <si>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</si>
  <si>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</si>
  <si>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</si>
  <si>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</si>
  <si>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</si>
  <si>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</si>
  <si>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</si>
  <si>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</si>
  <si>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</si>
  <si>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</si>
  <si>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</si>
  <si>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</si>
  <si>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</si>
  <si>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</si>
  <si>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</si>
  <si>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</si>
  <si>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</si>
  <si>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</si>
  <si>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</si>
  <si>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</si>
  <si>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</si>
  <si>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</si>
  <si>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</si>
  <si>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</si>
  <si>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</si>
  <si>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</si>
  <si>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</si>
  <si>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</si>
  <si>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</si>
  <si>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</si>
  <si>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</si>
  <si>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</si>
  <si>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</si>
  <si>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</si>
  <si>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</si>
  <si>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</si>
  <si>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</si>
  <si>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</si>
  <si>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</si>
  <si>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</si>
  <si>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</si>
  <si>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</si>
  <si>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</si>
  <si>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</si>
  <si>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</si>
  <si>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</si>
  <si>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</si>
  <si>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</si>
  <si>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</si>
  <si>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</si>
  <si>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</si>
  <si>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</si>
  <si>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</si>
  <si>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</si>
  <si>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</si>
  <si>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</si>
  <si>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</si>
  <si>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</si>
  <si>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</si>
  <si>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</si>
  <si>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</si>
  <si>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</si>
  <si>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</si>
  <si>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</si>
  <si>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</si>
  <si>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</si>
  <si>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</si>
  <si>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</si>
  <si>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</si>
  <si>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</si>
  <si>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</si>
  <si>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</si>
  <si>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</si>
  <si>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</si>
  <si>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</si>
  <si>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</si>
  <si>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</si>
  <si>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</si>
  <si>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</si>
  <si>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</si>
  <si>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</si>
  <si>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</si>
  <si>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</si>
  <si>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</si>
  <si>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</si>
  <si>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</si>
  <si>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</si>
  <si>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</si>
  <si>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</si>
  <si>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</si>
  <si>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</si>
  <si>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</si>
  <si>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</si>
  <si>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</si>
  <si>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</si>
  <si>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</si>
  <si>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</si>
  <si>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</si>
  <si>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</si>
  <si>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</si>
  <si>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</si>
  <si>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</si>
  <si>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</si>
  <si>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</si>
  <si>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</si>
  <si>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</si>
  <si>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</si>
  <si>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</si>
  <si>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</si>
  <si>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</si>
  <si>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</si>
  <si>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</si>
  <si>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</si>
  <si>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</si>
  <si>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</si>
  <si>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</si>
  <si>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</si>
  <si>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</si>
  <si>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</si>
  <si>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</si>
  <si>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</si>
  <si>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</si>
  <si>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</si>
  <si>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</si>
  <si>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</si>
  <si>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</si>
  <si>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</si>
  <si>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</si>
  <si>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</si>
  <si>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</si>
  <si>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</si>
  <si>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</si>
  <si>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</si>
  <si>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</si>
  <si>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</si>
  <si>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</si>
  <si>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</si>
  <si>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</si>
  <si>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</si>
  <si>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</si>
  <si>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</si>
  <si>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</si>
  <si>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</si>
  <si>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</si>
  <si>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</si>
  <si>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</si>
  <si>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</si>
  <si>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</si>
  <si>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</si>
  <si>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</si>
  <si>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</si>
  <si>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</si>
  <si>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</si>
  <si>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</si>
  <si>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</si>
  <si>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</si>
  <si>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</si>
  <si>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</si>
  <si>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</si>
  <si>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</si>
  <si>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</si>
  <si>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</si>
  <si>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</si>
  <si>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</si>
  <si>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</si>
  <si>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</si>
  <si>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</si>
  <si>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</si>
  <si>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</si>
  <si>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</si>
  <si>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</si>
  <si>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</si>
  <si>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</si>
  <si>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</si>
  <si>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</si>
  <si>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</si>
  <si>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</si>
  <si>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</si>
  <si>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</si>
  <si>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</si>
  <si>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</si>
  <si>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</si>
  <si>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</si>
  <si>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</si>
  <si>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</si>
  <si>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</si>
  <si>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</si>
  <si>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</si>
  <si>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</si>
  <si>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</si>
  <si>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</si>
  <si>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</si>
  <si>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</si>
  <si>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</si>
  <si>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</si>
  <si>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</si>
  <si>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</si>
  <si>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</si>
  <si>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</si>
  <si>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</si>
  <si>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</si>
  <si>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</si>
  <si>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</si>
  <si>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</si>
  <si>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</si>
  <si>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</si>
  <si>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</si>
  <si>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</si>
  <si>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</si>
  <si>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</si>
  <si>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</si>
  <si>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</si>
  <si>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</si>
  <si>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</si>
  <si>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</si>
  <si>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</si>
  <si>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</si>
  <si>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</si>
  <si>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</si>
  <si>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</si>
  <si>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</si>
  <si>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</si>
  <si>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</si>
  <si>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</si>
  <si>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</si>
  <si>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</si>
  <si>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</si>
  <si>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</si>
  <si>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</si>
  <si>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</si>
  <si>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</si>
  <si>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</si>
  <si>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</si>
  <si>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</si>
  <si>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</si>
  <si>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</si>
  <si>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</si>
  <si>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</si>
  <si>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</si>
  <si>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</si>
  <si>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</si>
  <si>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</si>
  <si>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</si>
  <si>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</si>
  <si>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</si>
  <si>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</si>
  <si>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</si>
  <si>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</si>
  <si>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</si>
  <si>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</si>
  <si>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</si>
  <si>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</si>
  <si>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</si>
  <si>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</si>
  <si>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</si>
  <si>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</si>
  <si>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</si>
  <si>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</si>
  <si>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</si>
  <si>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</si>
  <si>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</si>
  <si>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</si>
  <si>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</si>
  <si>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</si>
  <si>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</si>
  <si>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</si>
  <si>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</si>
  <si>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</si>
  <si>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</si>
  <si>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</si>
  <si>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</si>
  <si>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</si>
  <si>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</si>
  <si>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</si>
  <si>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</si>
  <si>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</si>
  <si>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</si>
  <si>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</si>
  <si>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</si>
  <si>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</si>
  <si>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</si>
  <si>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</si>
  <si>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</si>
  <si>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</si>
  <si>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</si>
  <si>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</si>
  <si>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</si>
  <si>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</si>
  <si>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</si>
  <si>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</si>
  <si>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</si>
  <si>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</si>
  <si>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</si>
  <si>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</si>
  <si>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</si>
  <si>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</si>
  <si>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</si>
  <si>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</si>
  <si>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</si>
  <si>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</si>
  <si>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</si>
  <si>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</si>
  <si>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</si>
  <si>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</si>
  <si>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</si>
  <si>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</si>
  <si>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</si>
  <si>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</si>
  <si>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</si>
  <si>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</si>
  <si>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</si>
  <si>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</si>
  <si>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</si>
  <si>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</si>
  <si>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</si>
  <si>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</si>
  <si>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</si>
  <si>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</si>
  <si>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</si>
  <si>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</si>
  <si>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</si>
  <si>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</si>
  <si>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</si>
  <si>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</si>
  <si>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</si>
  <si>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</si>
  <si>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</si>
  <si>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</si>
  <si>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</si>
  <si>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</si>
  <si>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</si>
  <si>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</si>
  <si>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</si>
  <si>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</si>
  <si>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</si>
  <si>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</si>
  <si>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</si>
  <si>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</si>
  <si>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</si>
  <si>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</si>
  <si>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</si>
  <si>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</si>
  <si>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</si>
  <si>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</si>
  <si>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</si>
  <si>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</si>
  <si>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</si>
  <si>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</si>
  <si>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</si>
  <si>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</si>
  <si>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</si>
  <si>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</si>
  <si>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</si>
  <si>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</si>
  <si>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</si>
  <si>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</si>
  <si>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</si>
  <si>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</si>
  <si>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</si>
  <si>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</si>
  <si>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</si>
  <si>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</si>
  <si>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</si>
  <si>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</si>
  <si>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</si>
  <si>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</si>
  <si>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</si>
  <si>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</si>
  <si>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</si>
  <si>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</si>
  <si>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</si>
  <si>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</si>
  <si>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</si>
  <si>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</si>
  <si>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</si>
  <si>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</si>
  <si>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</si>
  <si>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</si>
  <si>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</si>
  <si>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</si>
  <si>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</si>
  <si>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</si>
  <si>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</si>
  <si>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</si>
  <si>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</si>
  <si>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</si>
  <si>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ORD01001</t>
  </si>
  <si>
    <t>ORD01002</t>
  </si>
  <si>
    <t>ORD01003</t>
  </si>
  <si>
    <t>ORD01004</t>
  </si>
  <si>
    <t>ORD01005</t>
  </si>
  <si>
    <t>ORD01006</t>
  </si>
  <si>
    <t>ORD01007</t>
  </si>
  <si>
    <t>ORD01008</t>
  </si>
  <si>
    <t>ORD01009</t>
  </si>
  <si>
    <t>ORD01010</t>
  </si>
  <si>
    <t>ORD01011</t>
  </si>
  <si>
    <t>ORD01012</t>
  </si>
  <si>
    <t>ORD01013</t>
  </si>
  <si>
    <t>ORD01014</t>
  </si>
  <si>
    <t>ORD01015</t>
  </si>
  <si>
    <t>ORD01016</t>
  </si>
  <si>
    <t>ORD01017</t>
  </si>
  <si>
    <t>ORD01018</t>
  </si>
  <si>
    <t>ORD01019</t>
  </si>
  <si>
    <t>ORD01020</t>
  </si>
  <si>
    <t>ORD01021</t>
  </si>
  <si>
    <t>ORD01022</t>
  </si>
  <si>
    <t>ORD01023</t>
  </si>
  <si>
    <t>ORD01024</t>
  </si>
  <si>
    <t>ORD01025</t>
  </si>
  <si>
    <t>ORD01026</t>
  </si>
  <si>
    <t>ORD01027</t>
  </si>
  <si>
    <t>ORD01028</t>
  </si>
  <si>
    <t>ORD01029</t>
  </si>
  <si>
    <t>ORD01030</t>
  </si>
  <si>
    <t>ORD01031</t>
  </si>
  <si>
    <t>ORD01032</t>
  </si>
  <si>
    <t>ORD01033</t>
  </si>
  <si>
    <t>ORD01034</t>
  </si>
  <si>
    <t>ORD01035</t>
  </si>
  <si>
    <t>ORD01036</t>
  </si>
  <si>
    <t>ORD01037</t>
  </si>
  <si>
    <t>ORD01038</t>
  </si>
  <si>
    <t>ORD01039</t>
  </si>
  <si>
    <t>ORD01040</t>
  </si>
  <si>
    <t>ORD01041</t>
  </si>
  <si>
    <t>ORD01042</t>
  </si>
  <si>
    <t>ORD01043</t>
  </si>
  <si>
    <t>ORD01044</t>
  </si>
  <si>
    <t>ORD01045</t>
  </si>
  <si>
    <t>ORD01046</t>
  </si>
  <si>
    <t>ORD01047</t>
  </si>
  <si>
    <t>ORD01048</t>
  </si>
  <si>
    <t>ORD01049</t>
  </si>
  <si>
    <t>ORD01050</t>
  </si>
  <si>
    <t>ORD01051</t>
  </si>
  <si>
    <t>ORD01052</t>
  </si>
  <si>
    <t>ORD01053</t>
  </si>
  <si>
    <t>ORD01054</t>
  </si>
  <si>
    <t>ORD01055</t>
  </si>
  <si>
    <t>ORD01056</t>
  </si>
  <si>
    <t>ORD01057</t>
  </si>
  <si>
    <t>ORD01058</t>
  </si>
  <si>
    <t>ORD01059</t>
  </si>
  <si>
    <t>ORD01060</t>
  </si>
  <si>
    <t>ORD01061</t>
  </si>
  <si>
    <t>ORD01062</t>
  </si>
  <si>
    <t>ORD01063</t>
  </si>
  <si>
    <t>ORD01064</t>
  </si>
  <si>
    <t>ORD01065</t>
  </si>
  <si>
    <t>ORD01066</t>
  </si>
  <si>
    <t>ORD01067</t>
  </si>
  <si>
    <t>ORD01068</t>
  </si>
  <si>
    <t>ORD01069</t>
  </si>
  <si>
    <t>ORD01070</t>
  </si>
  <si>
    <t>ORD01071</t>
  </si>
  <si>
    <t>ORD01072</t>
  </si>
  <si>
    <t>ORD01073</t>
  </si>
  <si>
    <t>ORD01074</t>
  </si>
  <si>
    <t>ORD01075</t>
  </si>
  <si>
    <t>ORD01076</t>
  </si>
  <si>
    <t>ORD01077</t>
  </si>
  <si>
    <t>ORD01078</t>
  </si>
  <si>
    <t>ORD01079</t>
  </si>
  <si>
    <t>ORD01080</t>
  </si>
  <si>
    <t>ORD01081</t>
  </si>
  <si>
    <t>ORD01082</t>
  </si>
  <si>
    <t>ORD01083</t>
  </si>
  <si>
    <t>ORD01084</t>
  </si>
  <si>
    <t>ORD01085</t>
  </si>
  <si>
    <t>ORD01086</t>
  </si>
  <si>
    <t>ORD01087</t>
  </si>
  <si>
    <t>ORD01088</t>
  </si>
  <si>
    <t>ORD01089</t>
  </si>
  <si>
    <t>ORD01090</t>
  </si>
  <si>
    <t>ORD01091</t>
  </si>
  <si>
    <t>ORD01092</t>
  </si>
  <si>
    <t>ORD01093</t>
  </si>
  <si>
    <t>ORD01094</t>
  </si>
  <si>
    <t>ORD01095</t>
  </si>
  <si>
    <t>ORD01096</t>
  </si>
  <si>
    <t>ORD01097</t>
  </si>
  <si>
    <t>ORD01098</t>
  </si>
  <si>
    <t>ORD01099</t>
  </si>
  <si>
    <t>ORD01100</t>
  </si>
  <si>
    <t>ORD01101</t>
  </si>
  <si>
    <t>ORD01102</t>
  </si>
  <si>
    <t>ORD01103</t>
  </si>
  <si>
    <t>ORD01104</t>
  </si>
  <si>
    <t>ORD01105</t>
  </si>
  <si>
    <t>ORD01106</t>
  </si>
  <si>
    <t>ORD01107</t>
  </si>
  <si>
    <t>ORD01108</t>
  </si>
  <si>
    <t>ORD01109</t>
  </si>
  <si>
    <t>ORD01110</t>
  </si>
  <si>
    <t>ORD01111</t>
  </si>
  <si>
    <t>ORD01112</t>
  </si>
  <si>
    <t>ORD01113</t>
  </si>
  <si>
    <t>ORD01114</t>
  </si>
  <si>
    <t>ORD01115</t>
  </si>
  <si>
    <t>ORD01116</t>
  </si>
  <si>
    <t>ORD01117</t>
  </si>
  <si>
    <t>ORD01118</t>
  </si>
  <si>
    <t>ORD01119</t>
  </si>
  <si>
    <t>ORD01120</t>
  </si>
  <si>
    <t>ORD01121</t>
  </si>
  <si>
    <t>ORD01122</t>
  </si>
  <si>
    <t>ORD01123</t>
  </si>
  <si>
    <t>ORD01124</t>
  </si>
  <si>
    <t>ORD01125</t>
  </si>
  <si>
    <t>ORD01126</t>
  </si>
  <si>
    <t>ORD01127</t>
  </si>
  <si>
    <t>ORD01128</t>
  </si>
  <si>
    <t>ORD01129</t>
  </si>
  <si>
    <t>ORD01130</t>
  </si>
  <si>
    <t>ORD01131</t>
  </si>
  <si>
    <t>ORD01132</t>
  </si>
  <si>
    <t>ORD01133</t>
  </si>
  <si>
    <t>ORD01134</t>
  </si>
  <si>
    <t>ORD01135</t>
  </si>
  <si>
    <t>ORD01136</t>
  </si>
  <si>
    <t>ORD01137</t>
  </si>
  <si>
    <t>ORD01138</t>
  </si>
  <si>
    <t>ORD01139</t>
  </si>
  <si>
    <t>ORD01140</t>
  </si>
  <si>
    <t>ORD01141</t>
  </si>
  <si>
    <t>ORD01142</t>
  </si>
  <si>
    <t>ORD01143</t>
  </si>
  <si>
    <t>ORD01144</t>
  </si>
  <si>
    <t>ORD01145</t>
  </si>
  <si>
    <t>ORD01146</t>
  </si>
  <si>
    <t>ORD01147</t>
  </si>
  <si>
    <t>ORD01148</t>
  </si>
  <si>
    <t>ORD01149</t>
  </si>
  <si>
    <t>ORD01150</t>
  </si>
  <si>
    <t>ORD01151</t>
  </si>
  <si>
    <t>ORD01152</t>
  </si>
  <si>
    <t>ORD01153</t>
  </si>
  <si>
    <t>ORD01154</t>
  </si>
  <si>
    <t>ORD01155</t>
  </si>
  <si>
    <t>ORD01156</t>
  </si>
  <si>
    <t>ORD01157</t>
  </si>
  <si>
    <t>ORD01158</t>
  </si>
  <si>
    <t>ORD01159</t>
  </si>
  <si>
    <t>ORD01160</t>
  </si>
  <si>
    <t>ORD01161</t>
  </si>
  <si>
    <t>ORD01162</t>
  </si>
  <si>
    <t>ORD01163</t>
  </si>
  <si>
    <t>ORD01164</t>
  </si>
  <si>
    <t>ORD01165</t>
  </si>
  <si>
    <t>ORD01166</t>
  </si>
  <si>
    <t>ORD01167</t>
  </si>
  <si>
    <t>ORD01168</t>
  </si>
  <si>
    <t>ORD01169</t>
  </si>
  <si>
    <t>ORD01170</t>
  </si>
  <si>
    <t>ORD01171</t>
  </si>
  <si>
    <t>ORD01172</t>
  </si>
  <si>
    <t>ORD01173</t>
  </si>
  <si>
    <t>ORD01174</t>
  </si>
  <si>
    <t>ORD01175</t>
  </si>
  <si>
    <t>ORD01176</t>
  </si>
  <si>
    <t>ORD01177</t>
  </si>
  <si>
    <t>ORD01178</t>
  </si>
  <si>
    <t>ORD01179</t>
  </si>
  <si>
    <t>ORD01180</t>
  </si>
  <si>
    <t>ORD01181</t>
  </si>
  <si>
    <t>ORD01182</t>
  </si>
  <si>
    <t>ORD01183</t>
  </si>
  <si>
    <t>ORD01184</t>
  </si>
  <si>
    <t>ORD01185</t>
  </si>
  <si>
    <t>ORD01186</t>
  </si>
  <si>
    <t>ORD01187</t>
  </si>
  <si>
    <t>ORD01188</t>
  </si>
  <si>
    <t>ORD01189</t>
  </si>
  <si>
    <t>ORD01190</t>
  </si>
  <si>
    <t>ORD01191</t>
  </si>
  <si>
    <t>ORD01192</t>
  </si>
  <si>
    <t>ORD01193</t>
  </si>
  <si>
    <t>ORD01194</t>
  </si>
  <si>
    <t>ORD01195</t>
  </si>
  <si>
    <t>ORD01196</t>
  </si>
  <si>
    <t>ORD01197</t>
  </si>
  <si>
    <t>ORD01198</t>
  </si>
  <si>
    <t>ORD01199</t>
  </si>
  <si>
    <t>ORD01200</t>
  </si>
  <si>
    <t>ORD01201</t>
  </si>
  <si>
    <t>ORD01202</t>
  </si>
  <si>
    <t>ORD01203</t>
  </si>
  <si>
    <t>ORD01204</t>
  </si>
  <si>
    <t>ORD01205</t>
  </si>
  <si>
    <t>ORD01206</t>
  </si>
  <si>
    <t>ORD01207</t>
  </si>
  <si>
    <t>ORD01208</t>
  </si>
  <si>
    <t>ORD01209</t>
  </si>
  <si>
    <t>ORD01210</t>
  </si>
  <si>
    <t>ORD01211</t>
  </si>
  <si>
    <t>ORD01212</t>
  </si>
  <si>
    <t>ORD01213</t>
  </si>
  <si>
    <t>ORD01214</t>
  </si>
  <si>
    <t>ORD01215</t>
  </si>
  <si>
    <t>ORD01216</t>
  </si>
  <si>
    <t>ORD01217</t>
  </si>
  <si>
    <t>ORD01218</t>
  </si>
  <si>
    <t>ORD01219</t>
  </si>
  <si>
    <t>ORD01220</t>
  </si>
  <si>
    <t>ORD01221</t>
  </si>
  <si>
    <t>ORD01222</t>
  </si>
  <si>
    <t>ORD01223</t>
  </si>
  <si>
    <t>ORD01224</t>
  </si>
  <si>
    <t>ORD01225</t>
  </si>
  <si>
    <t>ORD01226</t>
  </si>
  <si>
    <t>ORD01227</t>
  </si>
  <si>
    <t>ORD01228</t>
  </si>
  <si>
    <t>ORD01229</t>
  </si>
  <si>
    <t>ORD01230</t>
  </si>
  <si>
    <t>ORD01231</t>
  </si>
  <si>
    <t>ORD01232</t>
  </si>
  <si>
    <t>ORD01233</t>
  </si>
  <si>
    <t>ORD01234</t>
  </si>
  <si>
    <t>ORD01235</t>
  </si>
  <si>
    <t>ORD01236</t>
  </si>
  <si>
    <t>ORD01237</t>
  </si>
  <si>
    <t>ORD01238</t>
  </si>
  <si>
    <t>ORD01239</t>
  </si>
  <si>
    <t>ORD01240</t>
  </si>
  <si>
    <t>ORD01241</t>
  </si>
  <si>
    <t>ORD01242</t>
  </si>
  <si>
    <t>ORD01243</t>
  </si>
  <si>
    <t>ORD01244</t>
  </si>
  <si>
    <t>ORD01245</t>
  </si>
  <si>
    <t>ORD01246</t>
  </si>
  <si>
    <t>ORD01247</t>
  </si>
  <si>
    <t>ORD01248</t>
  </si>
  <si>
    <t>ORD01249</t>
  </si>
  <si>
    <t>ORD01250</t>
  </si>
  <si>
    <t>ORD01251</t>
  </si>
  <si>
    <t>ORD01252</t>
  </si>
  <si>
    <t>ORD01253</t>
  </si>
  <si>
    <t>ORD01254</t>
  </si>
  <si>
    <t>ORD01255</t>
  </si>
  <si>
    <t>ORD01256</t>
  </si>
  <si>
    <t>ORD01257</t>
  </si>
  <si>
    <t>ORD01258</t>
  </si>
  <si>
    <t>ORD01259</t>
  </si>
  <si>
    <t>ORD01260</t>
  </si>
  <si>
    <t>ORD01261</t>
  </si>
  <si>
    <t>ORD01262</t>
  </si>
  <si>
    <t>ORD01263</t>
  </si>
  <si>
    <t>ORD01264</t>
  </si>
  <si>
    <t>ORD01265</t>
  </si>
  <si>
    <t>ORD01266</t>
  </si>
  <si>
    <t>ORD01267</t>
  </si>
  <si>
    <t>ORD01268</t>
  </si>
  <si>
    <t>ORD01269</t>
  </si>
  <si>
    <t>ORD01270</t>
  </si>
  <si>
    <t>ORD01271</t>
  </si>
  <si>
    <t>ORD01272</t>
  </si>
  <si>
    <t>ORD01273</t>
  </si>
  <si>
    <t>ORD01274</t>
  </si>
  <si>
    <t>ORD01275</t>
  </si>
  <si>
    <t>ORD01276</t>
  </si>
  <si>
    <t>ORD01277</t>
  </si>
  <si>
    <t>ORD01278</t>
  </si>
  <si>
    <t>ORD01279</t>
  </si>
  <si>
    <t>ORD01280</t>
  </si>
  <si>
    <t>ORD01281</t>
  </si>
  <si>
    <t>ORD01282</t>
  </si>
  <si>
    <t>ORD01283</t>
  </si>
  <si>
    <t>ORD01284</t>
  </si>
  <si>
    <t>ORD01285</t>
  </si>
  <si>
    <t>ORD01286</t>
  </si>
  <si>
    <t>ORD01287</t>
  </si>
  <si>
    <t>ORD01288</t>
  </si>
  <si>
    <t>ORD01289</t>
  </si>
  <si>
    <t>ORD01290</t>
  </si>
  <si>
    <t>ORD01291</t>
  </si>
  <si>
    <t>ORD01292</t>
  </si>
  <si>
    <t>ORD01293</t>
  </si>
  <si>
    <t>ORD01294</t>
  </si>
  <si>
    <t>ORD01295</t>
  </si>
  <si>
    <t>ORD01296</t>
  </si>
  <si>
    <t>ORD01297</t>
  </si>
  <si>
    <t>ORD01298</t>
  </si>
  <si>
    <t>ORD01299</t>
  </si>
  <si>
    <t>ORD01300</t>
  </si>
  <si>
    <t>ORD01301</t>
  </si>
  <si>
    <t>ORD01302</t>
  </si>
  <si>
    <t>ORD01303</t>
  </si>
  <si>
    <t>ORD01304</t>
  </si>
  <si>
    <t>ORD01305</t>
  </si>
  <si>
    <t>ORD01306</t>
  </si>
  <si>
    <t>ORD01307</t>
  </si>
  <si>
    <t>ORD01308</t>
  </si>
  <si>
    <t>ORD01309</t>
  </si>
  <si>
    <t>ORD01310</t>
  </si>
  <si>
    <t>ORD01311</t>
  </si>
  <si>
    <t>ORD01312</t>
  </si>
  <si>
    <t>ORD01313</t>
  </si>
  <si>
    <t>ORD01314</t>
  </si>
  <si>
    <t>ORD01315</t>
  </si>
  <si>
    <t>ORD01316</t>
  </si>
  <si>
    <t>ORD01317</t>
  </si>
  <si>
    <t>ORD01318</t>
  </si>
  <si>
    <t>ORD01319</t>
  </si>
  <si>
    <t>ORD01320</t>
  </si>
  <si>
    <t>ORD01321</t>
  </si>
  <si>
    <t>ORD01322</t>
  </si>
  <si>
    <t>ORD01323</t>
  </si>
  <si>
    <t>ORD01324</t>
  </si>
  <si>
    <t>ORD01325</t>
  </si>
  <si>
    <t>ORD01326</t>
  </si>
  <si>
    <t>ORD01327</t>
  </si>
  <si>
    <t>ORD01328</t>
  </si>
  <si>
    <t>ORD01329</t>
  </si>
  <si>
    <t>ORD01330</t>
  </si>
  <si>
    <t>ORD01331</t>
  </si>
  <si>
    <t>ORD01332</t>
  </si>
  <si>
    <t>ORD01333</t>
  </si>
  <si>
    <t>ORD01334</t>
  </si>
  <si>
    <t>ORD01335</t>
  </si>
  <si>
    <t>ORD01336</t>
  </si>
  <si>
    <t>ORD01337</t>
  </si>
  <si>
    <t>ORD01338</t>
  </si>
  <si>
    <t>ORD01339</t>
  </si>
  <si>
    <t>ORD01340</t>
  </si>
  <si>
    <t>ORD01341</t>
  </si>
  <si>
    <t>ORD01342</t>
  </si>
  <si>
    <t>ORD01343</t>
  </si>
  <si>
    <t>ORD01344</t>
  </si>
  <si>
    <t>ORD01345</t>
  </si>
  <si>
    <t>ORD01346</t>
  </si>
  <si>
    <t>ORD01347</t>
  </si>
  <si>
    <t>ORD01348</t>
  </si>
  <si>
    <t>ORD01349</t>
  </si>
  <si>
    <t>ORD01350</t>
  </si>
  <si>
    <t>ORD01351</t>
  </si>
  <si>
    <t>ORD01352</t>
  </si>
  <si>
    <t>ORD01353</t>
  </si>
  <si>
    <t>ORD01354</t>
  </si>
  <si>
    <t>ORD01355</t>
  </si>
  <si>
    <t>ORD01356</t>
  </si>
  <si>
    <t>ORD01357</t>
  </si>
  <si>
    <t>ORD01358</t>
  </si>
  <si>
    <t>ORD01359</t>
  </si>
  <si>
    <t>ORD01360</t>
  </si>
  <si>
    <t>ORD01361</t>
  </si>
  <si>
    <t>ORD01362</t>
  </si>
  <si>
    <t>ORD01363</t>
  </si>
  <si>
    <t>ORD01364</t>
  </si>
  <si>
    <t>ORD01365</t>
  </si>
  <si>
    <t>ORD01366</t>
  </si>
  <si>
    <t>ORD01367</t>
  </si>
  <si>
    <t>ORD01368</t>
  </si>
  <si>
    <t>ORD01369</t>
  </si>
  <si>
    <t>ORD01370</t>
  </si>
  <si>
    <t>ORD01371</t>
  </si>
  <si>
    <t>ORD01372</t>
  </si>
  <si>
    <t>ORD01373</t>
  </si>
  <si>
    <t>ORD01374</t>
  </si>
  <si>
    <t>ORD01375</t>
  </si>
  <si>
    <t>ORD01376</t>
  </si>
  <si>
    <t>ORD01377</t>
  </si>
  <si>
    <t>ORD01378</t>
  </si>
  <si>
    <t>ORD01379</t>
  </si>
  <si>
    <t>ORD01380</t>
  </si>
  <si>
    <t>ORD01381</t>
  </si>
  <si>
    <t>ORD01382</t>
  </si>
  <si>
    <t>ORD01383</t>
  </si>
  <si>
    <t>ORD01384</t>
  </si>
  <si>
    <t>ORD01385</t>
  </si>
  <si>
    <t>ORD01386</t>
  </si>
  <si>
    <t>ORD01387</t>
  </si>
  <si>
    <t>ORD01388</t>
  </si>
  <si>
    <t>ORD01389</t>
  </si>
  <si>
    <t>ORD01390</t>
  </si>
  <si>
    <t>ORD01391</t>
  </si>
  <si>
    <t>ORD01392</t>
  </si>
  <si>
    <t>ORD01393</t>
  </si>
  <si>
    <t>ORD01394</t>
  </si>
  <si>
    <t>ORD01395</t>
  </si>
  <si>
    <t>ORD01396</t>
  </si>
  <si>
    <t>ORD01397</t>
  </si>
  <si>
    <t>ORD01398</t>
  </si>
  <si>
    <t>ORD01399</t>
  </si>
  <si>
    <t>ORD01400</t>
  </si>
  <si>
    <t>ORD01401</t>
  </si>
  <si>
    <t>ORD01402</t>
  </si>
  <si>
    <t>ORD01403</t>
  </si>
  <si>
    <t>ORD01404</t>
  </si>
  <si>
    <t>ORD01405</t>
  </si>
  <si>
    <t>ORD01406</t>
  </si>
  <si>
    <t>ORD01407</t>
  </si>
  <si>
    <t>ORD01408</t>
  </si>
  <si>
    <t>ORD01409</t>
  </si>
  <si>
    <t>ORD01410</t>
  </si>
  <si>
    <t>ORD01411</t>
  </si>
  <si>
    <t>ORD01412</t>
  </si>
  <si>
    <t>ORD01413</t>
  </si>
  <si>
    <t>ORD01414</t>
  </si>
  <si>
    <t>ORD01415</t>
  </si>
  <si>
    <t>ORD01416</t>
  </si>
  <si>
    <t>ORD01417</t>
  </si>
  <si>
    <t>ORD01418</t>
  </si>
  <si>
    <t>ORD01419</t>
  </si>
  <si>
    <t>ORD01420</t>
  </si>
  <si>
    <t>ORD01421</t>
  </si>
  <si>
    <t>ORD01422</t>
  </si>
  <si>
    <t>ORD01423</t>
  </si>
  <si>
    <t>ORD01424</t>
  </si>
  <si>
    <t>ORD01425</t>
  </si>
  <si>
    <t>ORD01426</t>
  </si>
  <si>
    <t>ORD01427</t>
  </si>
  <si>
    <t>ORD01428</t>
  </si>
  <si>
    <t>ORD01429</t>
  </si>
  <si>
    <t>ORD01430</t>
  </si>
  <si>
    <t>ORD01431</t>
  </si>
  <si>
    <t>ORD01432</t>
  </si>
  <si>
    <t>ORD01433</t>
  </si>
  <si>
    <t>ORD01434</t>
  </si>
  <si>
    <t>ORD01435</t>
  </si>
  <si>
    <t>ORD01436</t>
  </si>
  <si>
    <t>ORD01437</t>
  </si>
  <si>
    <t>ORD01438</t>
  </si>
  <si>
    <t>ORD01439</t>
  </si>
  <si>
    <t>ORD01440</t>
  </si>
  <si>
    <t>ORD01441</t>
  </si>
  <si>
    <t>ORD01442</t>
  </si>
  <si>
    <t>ORD01443</t>
  </si>
  <si>
    <t>ORD01444</t>
  </si>
  <si>
    <t>ORD01445</t>
  </si>
  <si>
    <t>ORD01446</t>
  </si>
  <si>
    <t>ORD01447</t>
  </si>
  <si>
    <t>ORD01448</t>
  </si>
  <si>
    <t>ORD01449</t>
  </si>
  <si>
    <t>ORD01450</t>
  </si>
  <si>
    <t>ORD01451</t>
  </si>
  <si>
    <t>ORD01452</t>
  </si>
  <si>
    <t>ORD01453</t>
  </si>
  <si>
    <t>ORD01454</t>
  </si>
  <si>
    <t>ORD01455</t>
  </si>
  <si>
    <t>ORD01456</t>
  </si>
  <si>
    <t>ORD01457</t>
  </si>
  <si>
    <t>ORD01458</t>
  </si>
  <si>
    <t>ORD01459</t>
  </si>
  <si>
    <t>ORD01460</t>
  </si>
  <si>
    <t>ORD01461</t>
  </si>
  <si>
    <t>ORD01462</t>
  </si>
  <si>
    <t>ORD01463</t>
  </si>
  <si>
    <t>ORD01464</t>
  </si>
  <si>
    <t>ORD01465</t>
  </si>
  <si>
    <t>ORD01466</t>
  </si>
  <si>
    <t>ORD01467</t>
  </si>
  <si>
    <t>ORD01468</t>
  </si>
  <si>
    <t>ORD01469</t>
  </si>
  <si>
    <t>ORD01470</t>
  </si>
  <si>
    <t>ORD01471</t>
  </si>
  <si>
    <t>ORD01472</t>
  </si>
  <si>
    <t>ORD01473</t>
  </si>
  <si>
    <t>ORD01474</t>
  </si>
  <si>
    <t>ORD01475</t>
  </si>
  <si>
    <t>ORD01476</t>
  </si>
  <si>
    <t>ORD01477</t>
  </si>
  <si>
    <t>ORD01478</t>
  </si>
  <si>
    <t>ORD01479</t>
  </si>
  <si>
    <t>ORD01480</t>
  </si>
  <si>
    <t>ORD01481</t>
  </si>
  <si>
    <t>ORD01482</t>
  </si>
  <si>
    <t>ORD01483</t>
  </si>
  <si>
    <t>ORD01484</t>
  </si>
  <si>
    <t>ORD01485</t>
  </si>
  <si>
    <t>ORD01486</t>
  </si>
  <si>
    <t>ORD01487</t>
  </si>
  <si>
    <t>ORD01488</t>
  </si>
  <si>
    <t>ORD01489</t>
  </si>
  <si>
    <t>ORD01490</t>
  </si>
  <si>
    <t>ORD01491</t>
  </si>
  <si>
    <t>ORD01492</t>
  </si>
  <si>
    <t>ORD01493</t>
  </si>
  <si>
    <t>ORD01494</t>
  </si>
  <si>
    <t>ORD01495</t>
  </si>
  <si>
    <t>ORD01496</t>
  </si>
  <si>
    <t>ORD01497</t>
  </si>
  <si>
    <t>ORD01498</t>
  </si>
  <si>
    <t>ORD01499</t>
  </si>
  <si>
    <t>ORD01500</t>
  </si>
  <si>
    <t>ORD01501</t>
  </si>
  <si>
    <t>ORD01502</t>
  </si>
  <si>
    <t>ORD01503</t>
  </si>
  <si>
    <t>ORD01504</t>
  </si>
  <si>
    <t>ORD01505</t>
  </si>
  <si>
    <t>ORD01506</t>
  </si>
  <si>
    <t>ORD01507</t>
  </si>
  <si>
    <t>ORD01508</t>
  </si>
  <si>
    <t>ORD01509</t>
  </si>
  <si>
    <t>ORD01510</t>
  </si>
  <si>
    <t>ORD01511</t>
  </si>
  <si>
    <t>ORD01512</t>
  </si>
  <si>
    <t>ORD01513</t>
  </si>
  <si>
    <t>ORD01514</t>
  </si>
  <si>
    <t>ORD01515</t>
  </si>
  <si>
    <t>ORD01516</t>
  </si>
  <si>
    <t>ORD01517</t>
  </si>
  <si>
    <t>ORD01518</t>
  </si>
  <si>
    <t>ORD01519</t>
  </si>
  <si>
    <t>ORD01520</t>
  </si>
  <si>
    <t>ORD01521</t>
  </si>
  <si>
    <t>ORD01522</t>
  </si>
  <si>
    <t>ORD01523</t>
  </si>
  <si>
    <t>ORD01524</t>
  </si>
  <si>
    <t>ORD01525</t>
  </si>
  <si>
    <t>ORD01526</t>
  </si>
  <si>
    <t>ORD01527</t>
  </si>
  <si>
    <t>ORD01528</t>
  </si>
  <si>
    <t>ORD01529</t>
  </si>
  <si>
    <t>ORD01530</t>
  </si>
  <si>
    <t>ORD01531</t>
  </si>
  <si>
    <t>ORD01532</t>
  </si>
  <si>
    <t>ORD01533</t>
  </si>
  <si>
    <t>ORD01534</t>
  </si>
  <si>
    <t>ORD01535</t>
  </si>
  <si>
    <t>ORD01536</t>
  </si>
  <si>
    <t>ORD01537</t>
  </si>
  <si>
    <t>ORD01538</t>
  </si>
  <si>
    <t>ORD01539</t>
  </si>
  <si>
    <t>ORD01540</t>
  </si>
  <si>
    <t>ORD01541</t>
  </si>
  <si>
    <t>ORD01542</t>
  </si>
  <si>
    <t>ORD01543</t>
  </si>
  <si>
    <t>ORD01544</t>
  </si>
  <si>
    <t>ORD01545</t>
  </si>
  <si>
    <t>ORD01546</t>
  </si>
  <si>
    <t>ORD01547</t>
  </si>
  <si>
    <t>ORD01548</t>
  </si>
  <si>
    <t>ORD01549</t>
  </si>
  <si>
    <t>ORD01550</t>
  </si>
  <si>
    <t>ORD01551</t>
  </si>
  <si>
    <t>ORD01552</t>
  </si>
  <si>
    <t>ORD01553</t>
  </si>
  <si>
    <t>ORD01554</t>
  </si>
  <si>
    <t>ORD01555</t>
  </si>
  <si>
    <t>ORD01556</t>
  </si>
  <si>
    <t>ORD01557</t>
  </si>
  <si>
    <t>ORD01558</t>
  </si>
  <si>
    <t>ORD01559</t>
  </si>
  <si>
    <t>ORD01560</t>
  </si>
  <si>
    <t>ORD01561</t>
  </si>
  <si>
    <t>ORD01562</t>
  </si>
  <si>
    <t>ORD01563</t>
  </si>
  <si>
    <t>ORD01564</t>
  </si>
  <si>
    <t>ORD01565</t>
  </si>
  <si>
    <t>ORD01566</t>
  </si>
  <si>
    <t>ORD01567</t>
  </si>
  <si>
    <t>ORD01568</t>
  </si>
  <si>
    <t>ORD01569</t>
  </si>
  <si>
    <t>ORD01570</t>
  </si>
  <si>
    <t>ORD01571</t>
  </si>
  <si>
    <t>ORD01572</t>
  </si>
  <si>
    <t>ORD01573</t>
  </si>
  <si>
    <t>ORD01574</t>
  </si>
  <si>
    <t>ORD01575</t>
  </si>
  <si>
    <t>ORD01576</t>
  </si>
  <si>
    <t>ORD01577</t>
  </si>
  <si>
    <t>ORD01578</t>
  </si>
  <si>
    <t>ORD01579</t>
  </si>
  <si>
    <t>ORD01580</t>
  </si>
  <si>
    <t>ORD01581</t>
  </si>
  <si>
    <t>ORD01582</t>
  </si>
  <si>
    <t>ORD01583</t>
  </si>
  <si>
    <t>ORD01584</t>
  </si>
  <si>
    <t>ORD01585</t>
  </si>
  <si>
    <t>ORD01586</t>
  </si>
  <si>
    <t>ORD01587</t>
  </si>
  <si>
    <t>ORD01588</t>
  </si>
  <si>
    <t>ORD01589</t>
  </si>
  <si>
    <t>ORD01590</t>
  </si>
  <si>
    <t>ORD01591</t>
  </si>
  <si>
    <t>ORD01592</t>
  </si>
  <si>
    <t>ORD01593</t>
  </si>
  <si>
    <t>ORD01594</t>
  </si>
  <si>
    <t>ORD01595</t>
  </si>
  <si>
    <t>ORD01596</t>
  </si>
  <si>
    <t>ORD01597</t>
  </si>
  <si>
    <t>ORD01598</t>
  </si>
  <si>
    <t>ORD01599</t>
  </si>
  <si>
    <t>ORD01600</t>
  </si>
  <si>
    <t>ORD01601</t>
  </si>
  <si>
    <t>ORD01602</t>
  </si>
  <si>
    <t>ORD01603</t>
  </si>
  <si>
    <t>ORD01604</t>
  </si>
  <si>
    <t>ORD01605</t>
  </si>
  <si>
    <t>ORD01606</t>
  </si>
  <si>
    <t>ORD01607</t>
  </si>
  <si>
    <t>ORD01608</t>
  </si>
  <si>
    <t>ORD01609</t>
  </si>
  <si>
    <t>ORD01610</t>
  </si>
  <si>
    <t>ORD01611</t>
  </si>
  <si>
    <t>ORD01612</t>
  </si>
  <si>
    <t>ORD01613</t>
  </si>
  <si>
    <t>ORD01614</t>
  </si>
  <si>
    <t>ORD01615</t>
  </si>
  <si>
    <t>ORD01616</t>
  </si>
  <si>
    <t>ORD01617</t>
  </si>
  <si>
    <t>ORD01618</t>
  </si>
  <si>
    <t>ORD01619</t>
  </si>
  <si>
    <t>ORD01620</t>
  </si>
  <si>
    <t>ORD01621</t>
  </si>
  <si>
    <t>ORD01622</t>
  </si>
  <si>
    <t>ORD01623</t>
  </si>
  <si>
    <t>ORD01624</t>
  </si>
  <si>
    <t>ORD01625</t>
  </si>
  <si>
    <t>ORD01626</t>
  </si>
  <si>
    <t>ORD01627</t>
  </si>
  <si>
    <t>ORD01628</t>
  </si>
  <si>
    <t>ORD01629</t>
  </si>
  <si>
    <t>ORD01630</t>
  </si>
  <si>
    <t>ORD01631</t>
  </si>
  <si>
    <t>ORD01632</t>
  </si>
  <si>
    <t>ORD01633</t>
  </si>
  <si>
    <t>ORD01634</t>
  </si>
  <si>
    <t>ORD01635</t>
  </si>
  <si>
    <t>ORD01636</t>
  </si>
  <si>
    <t>ORD01637</t>
  </si>
  <si>
    <t>ORD01638</t>
  </si>
  <si>
    <t>ORD01639</t>
  </si>
  <si>
    <t>ORD01640</t>
  </si>
  <si>
    <t>ORD01641</t>
  </si>
  <si>
    <t>ORD01642</t>
  </si>
  <si>
    <t>ORD01643</t>
  </si>
  <si>
    <t>ORD01644</t>
  </si>
  <si>
    <t>ORD01645</t>
  </si>
  <si>
    <t>ORD01646</t>
  </si>
  <si>
    <t>ORD01647</t>
  </si>
  <si>
    <t>ORD01648</t>
  </si>
  <si>
    <t>ORD01649</t>
  </si>
  <si>
    <t>ORD01650</t>
  </si>
  <si>
    <t>ORD01651</t>
  </si>
  <si>
    <t>ORD01652</t>
  </si>
  <si>
    <t>ORD01653</t>
  </si>
  <si>
    <t>ORD01654</t>
  </si>
  <si>
    <t>ORD01655</t>
  </si>
  <si>
    <t>ORD01656</t>
  </si>
  <si>
    <t>ORD01657</t>
  </si>
  <si>
    <t>ORD01658</t>
  </si>
  <si>
    <t>ORD01659</t>
  </si>
  <si>
    <t>ORD01660</t>
  </si>
  <si>
    <t>ORD01661</t>
  </si>
  <si>
    <t>ORD01662</t>
  </si>
  <si>
    <t>ORD01663</t>
  </si>
  <si>
    <t>ORD01664</t>
  </si>
  <si>
    <t>ORD01665</t>
  </si>
  <si>
    <t>ORD01666</t>
  </si>
  <si>
    <t>ORD01667</t>
  </si>
  <si>
    <t>ORD01668</t>
  </si>
  <si>
    <t>ORD01669</t>
  </si>
  <si>
    <t>ORD01670</t>
  </si>
  <si>
    <t>ORD01671</t>
  </si>
  <si>
    <t>ORD01672</t>
  </si>
  <si>
    <t>ORD01673</t>
  </si>
  <si>
    <t>ORD01674</t>
  </si>
  <si>
    <t>ORD01675</t>
  </si>
  <si>
    <t>ORD01676</t>
  </si>
  <si>
    <t>ORD01677</t>
  </si>
  <si>
    <t>ORD01678</t>
  </si>
  <si>
    <t>ORD01679</t>
  </si>
  <si>
    <t>ORD01680</t>
  </si>
  <si>
    <t>ORD01681</t>
  </si>
  <si>
    <t>ORD01682</t>
  </si>
  <si>
    <t>ORD01683</t>
  </si>
  <si>
    <t>ORD01684</t>
  </si>
  <si>
    <t>ORD01685</t>
  </si>
  <si>
    <t>ORD01686</t>
  </si>
  <si>
    <t>ORD01687</t>
  </si>
  <si>
    <t>ORD01688</t>
  </si>
  <si>
    <t>ORD01689</t>
  </si>
  <si>
    <t>ORD01690</t>
  </si>
  <si>
    <t>ORD01691</t>
  </si>
  <si>
    <t>ORD01692</t>
  </si>
  <si>
    <t>ORD01693</t>
  </si>
  <si>
    <t>ORD01694</t>
  </si>
  <si>
    <t>ORD01695</t>
  </si>
  <si>
    <t>ORD01696</t>
  </si>
  <si>
    <t>ORD01697</t>
  </si>
  <si>
    <t>ORD01698</t>
  </si>
  <si>
    <t>ORD01699</t>
  </si>
  <si>
    <t>ORD01700</t>
  </si>
  <si>
    <t>ORD01701</t>
  </si>
  <si>
    <t>ORD01702</t>
  </si>
  <si>
    <t>ORD01703</t>
  </si>
  <si>
    <t>ORD01704</t>
  </si>
  <si>
    <t>ORD01705</t>
  </si>
  <si>
    <t>ORD01706</t>
  </si>
  <si>
    <t>ORD01707</t>
  </si>
  <si>
    <t>ORD01708</t>
  </si>
  <si>
    <t>ORD01709</t>
  </si>
  <si>
    <t>ORD01710</t>
  </si>
  <si>
    <t>ORD01711</t>
  </si>
  <si>
    <t>ORD01712</t>
  </si>
  <si>
    <t>ORD01713</t>
  </si>
  <si>
    <t>ORD01714</t>
  </si>
  <si>
    <t>ORD01715</t>
  </si>
  <si>
    <t>ORD01716</t>
  </si>
  <si>
    <t>ORD01717</t>
  </si>
  <si>
    <t>ORD01718</t>
  </si>
  <si>
    <t>ORD01719</t>
  </si>
  <si>
    <t>ORD01720</t>
  </si>
  <si>
    <t>ORD01721</t>
  </si>
  <si>
    <t>ORD01722</t>
  </si>
  <si>
    <t>ORD01723</t>
  </si>
  <si>
    <t>ORD01724</t>
  </si>
  <si>
    <t>ORD01725</t>
  </si>
  <si>
    <t>ORD01726</t>
  </si>
  <si>
    <t>ORD01727</t>
  </si>
  <si>
    <t>ORD01728</t>
  </si>
  <si>
    <t>ORD01729</t>
  </si>
  <si>
    <t>ORD01730</t>
  </si>
  <si>
    <t>ORD01731</t>
  </si>
  <si>
    <t>ORD01732</t>
  </si>
  <si>
    <t>ORD01733</t>
  </si>
  <si>
    <t>ORD01734</t>
  </si>
  <si>
    <t>ORD01735</t>
  </si>
  <si>
    <t>ORD01736</t>
  </si>
  <si>
    <t>ORD01737</t>
  </si>
  <si>
    <t>ORD01738</t>
  </si>
  <si>
    <t>ORD01739</t>
  </si>
  <si>
    <t>ORD01740</t>
  </si>
  <si>
    <t>ORD01741</t>
  </si>
  <si>
    <t>ORD01742</t>
  </si>
  <si>
    <t>ORD01743</t>
  </si>
  <si>
    <t>ORD01744</t>
  </si>
  <si>
    <t>ORD01745</t>
  </si>
  <si>
    <t>ORD01746</t>
  </si>
  <si>
    <t>ORD01747</t>
  </si>
  <si>
    <t>ORD01748</t>
  </si>
  <si>
    <t>ORD01749</t>
  </si>
  <si>
    <t>ORD01750</t>
  </si>
  <si>
    <t>ORD01751</t>
  </si>
  <si>
    <t>ORD01752</t>
  </si>
  <si>
    <t>ORD01753</t>
  </si>
  <si>
    <t>ORD01754</t>
  </si>
  <si>
    <t>ORD01755</t>
  </si>
  <si>
    <t>ORD01756</t>
  </si>
  <si>
    <t>ORD01757</t>
  </si>
  <si>
    <t>ORD01758</t>
  </si>
  <si>
    <t>ORD01759</t>
  </si>
  <si>
    <t>ORD01760</t>
  </si>
  <si>
    <t>ORD01761</t>
  </si>
  <si>
    <t>ORD01762</t>
  </si>
  <si>
    <t>ORD01763</t>
  </si>
  <si>
    <t>ORD01764</t>
  </si>
  <si>
    <t>ORD01765</t>
  </si>
  <si>
    <t>ORD01766</t>
  </si>
  <si>
    <t>ORD01767</t>
  </si>
  <si>
    <t>ORD01768</t>
  </si>
  <si>
    <t>ORD01769</t>
  </si>
  <si>
    <t>ORD01770</t>
  </si>
  <si>
    <t>ORD01771</t>
  </si>
  <si>
    <t>ORD01772</t>
  </si>
  <si>
    <t>ORD01773</t>
  </si>
  <si>
    <t>ORD01774</t>
  </si>
  <si>
    <t>ORD01775</t>
  </si>
  <si>
    <t>ORD01776</t>
  </si>
  <si>
    <t>ORD01777</t>
  </si>
  <si>
    <t>ORD01778</t>
  </si>
  <si>
    <t>ORD01779</t>
  </si>
  <si>
    <t>ORD01780</t>
  </si>
  <si>
    <t>ORD01781</t>
  </si>
  <si>
    <t>ORD01782</t>
  </si>
  <si>
    <t>ORD01783</t>
  </si>
  <si>
    <t>ORD01784</t>
  </si>
  <si>
    <t>ORD01785</t>
  </si>
  <si>
    <t>ORD01786</t>
  </si>
  <si>
    <t>ORD01787</t>
  </si>
  <si>
    <t>ORD01788</t>
  </si>
  <si>
    <t>ORD01789</t>
  </si>
  <si>
    <t>ORD01790</t>
  </si>
  <si>
    <t>ORD01791</t>
  </si>
  <si>
    <t>ORD01792</t>
  </si>
  <si>
    <t>ORD01793</t>
  </si>
  <si>
    <t>ORD01794</t>
  </si>
  <si>
    <t>ORD01795</t>
  </si>
  <si>
    <t>ORD01796</t>
  </si>
  <si>
    <t>ORD01797</t>
  </si>
  <si>
    <t>ORD01798</t>
  </si>
  <si>
    <t>ORD01799</t>
  </si>
  <si>
    <t>ORD01800</t>
  </si>
  <si>
    <t>ORD01801</t>
  </si>
  <si>
    <t>ORD01802</t>
  </si>
  <si>
    <t>ORD01803</t>
  </si>
  <si>
    <t>ORD01804</t>
  </si>
  <si>
    <t>ORD01805</t>
  </si>
  <si>
    <t>ORD01806</t>
  </si>
  <si>
    <t>ORD01807</t>
  </si>
  <si>
    <t>ORD01808</t>
  </si>
  <si>
    <t>ORD01809</t>
  </si>
  <si>
    <t>ORD01810</t>
  </si>
  <si>
    <t>ORD01811</t>
  </si>
  <si>
    <t>ORD01812</t>
  </si>
  <si>
    <t>ORD01813</t>
  </si>
  <si>
    <t>ORD01814</t>
  </si>
  <si>
    <t>ORD01815</t>
  </si>
  <si>
    <t>ORD01816</t>
  </si>
  <si>
    <t>ORD01817</t>
  </si>
  <si>
    <t>ORD01818</t>
  </si>
  <si>
    <t>ORD01819</t>
  </si>
  <si>
    <t>ORD01820</t>
  </si>
  <si>
    <t>ORD01821</t>
  </si>
  <si>
    <t>ORD01822</t>
  </si>
  <si>
    <t>ORD01823</t>
  </si>
  <si>
    <t>ORD01824</t>
  </si>
  <si>
    <t>ORD01825</t>
  </si>
  <si>
    <t>ORD01826</t>
  </si>
  <si>
    <t>ORD01827</t>
  </si>
  <si>
    <t>ORD01828</t>
  </si>
  <si>
    <t>ORD01829</t>
  </si>
  <si>
    <t>ORD01830</t>
  </si>
  <si>
    <t>ORD01831</t>
  </si>
  <si>
    <t>ORD01832</t>
  </si>
  <si>
    <t>ORD01833</t>
  </si>
  <si>
    <t>ORD01834</t>
  </si>
  <si>
    <t>ORD01835</t>
  </si>
  <si>
    <t>ORD01836</t>
  </si>
  <si>
    <t>ORD01837</t>
  </si>
  <si>
    <t>ORD01838</t>
  </si>
  <si>
    <t>ORD01839</t>
  </si>
  <si>
    <t>ORD01840</t>
  </si>
  <si>
    <t>ORD01841</t>
  </si>
  <si>
    <t>ORD01842</t>
  </si>
  <si>
    <t>ORD01843</t>
  </si>
  <si>
    <t>ORD01844</t>
  </si>
  <si>
    <t>ORD01845</t>
  </si>
  <si>
    <t>ORD01846</t>
  </si>
  <si>
    <t>ORD01847</t>
  </si>
  <si>
    <t>ORD01848</t>
  </si>
  <si>
    <t>ORD01849</t>
  </si>
  <si>
    <t>ORD01850</t>
  </si>
  <si>
    <t>ORD01851</t>
  </si>
  <si>
    <t>ORD01852</t>
  </si>
  <si>
    <t>ORD01853</t>
  </si>
  <si>
    <t>ORD01854</t>
  </si>
  <si>
    <t>ORD01855</t>
  </si>
  <si>
    <t>ORD01856</t>
  </si>
  <si>
    <t>ORD01857</t>
  </si>
  <si>
    <t>ORD01858</t>
  </si>
  <si>
    <t>ORD01859</t>
  </si>
  <si>
    <t>ORD01860</t>
  </si>
  <si>
    <t>ORD01861</t>
  </si>
  <si>
    <t>ORD01862</t>
  </si>
  <si>
    <t>ORD01863</t>
  </si>
  <si>
    <t>ORD01864</t>
  </si>
  <si>
    <t>ORD01865</t>
  </si>
  <si>
    <t>ORD01866</t>
  </si>
  <si>
    <t>ORD01867</t>
  </si>
  <si>
    <t>ORD01868</t>
  </si>
  <si>
    <t>ORD01869</t>
  </si>
  <si>
    <t>ORD01870</t>
  </si>
  <si>
    <t>ORD01871</t>
  </si>
  <si>
    <t>ORD01872</t>
  </si>
  <si>
    <t>ORD01873</t>
  </si>
  <si>
    <t>ORD01874</t>
  </si>
  <si>
    <t>ORD01875</t>
  </si>
  <si>
    <t>ORD01876</t>
  </si>
  <si>
    <t>ORD01877</t>
  </si>
  <si>
    <t>ORD01878</t>
  </si>
  <si>
    <t>ORD01879</t>
  </si>
  <si>
    <t>ORD01880</t>
  </si>
  <si>
    <t>ORD01881</t>
  </si>
  <si>
    <t>ORD01882</t>
  </si>
  <si>
    <t>ORD01883</t>
  </si>
  <si>
    <t>ORD01884</t>
  </si>
  <si>
    <t>ORD01885</t>
  </si>
  <si>
    <t>ORD01886</t>
  </si>
  <si>
    <t>ORD01887</t>
  </si>
  <si>
    <t>ORD01888</t>
  </si>
  <si>
    <t>ORD01889</t>
  </si>
  <si>
    <t>ORD01890</t>
  </si>
  <si>
    <t>ORD01891</t>
  </si>
  <si>
    <t>ORD01892</t>
  </si>
  <si>
    <t>ORD01893</t>
  </si>
  <si>
    <t>ORD01894</t>
  </si>
  <si>
    <t>ORD01895</t>
  </si>
  <si>
    <t>ORD01896</t>
  </si>
  <si>
    <t>ORD01897</t>
  </si>
  <si>
    <t>ORD01898</t>
  </si>
  <si>
    <t>ORD01899</t>
  </si>
  <si>
    <t>ORD01900</t>
  </si>
  <si>
    <t>ORD01901</t>
  </si>
  <si>
    <t>ORD01902</t>
  </si>
  <si>
    <t>ORD01903</t>
  </si>
  <si>
    <t>ORD01904</t>
  </si>
  <si>
    <t>ORD01905</t>
  </si>
  <si>
    <t>ORD01906</t>
  </si>
  <si>
    <t>ORD01907</t>
  </si>
  <si>
    <t>ORD01908</t>
  </si>
  <si>
    <t>ORD01909</t>
  </si>
  <si>
    <t>ORD01910</t>
  </si>
  <si>
    <t>ORD01911</t>
  </si>
  <si>
    <t>ORD01912</t>
  </si>
  <si>
    <t>ORD01913</t>
  </si>
  <si>
    <t>ORD01914</t>
  </si>
  <si>
    <t>ORD01915</t>
  </si>
  <si>
    <t>ORD01916</t>
  </si>
  <si>
    <t>ORD01917</t>
  </si>
  <si>
    <t>ORD01918</t>
  </si>
  <si>
    <t>ORD01919</t>
  </si>
  <si>
    <t>ORD01920</t>
  </si>
  <si>
    <t>ORD01921</t>
  </si>
  <si>
    <t>ORD01922</t>
  </si>
  <si>
    <t>ORD01923</t>
  </si>
  <si>
    <t>ORD01924</t>
  </si>
  <si>
    <t>ORD01925</t>
  </si>
  <si>
    <t>ORD01926</t>
  </si>
  <si>
    <t>ORD01927</t>
  </si>
  <si>
    <t>ORD01928</t>
  </si>
  <si>
    <t>ORD01929</t>
  </si>
  <si>
    <t>ORD01930</t>
  </si>
  <si>
    <t>ORD01931</t>
  </si>
  <si>
    <t>ORD01932</t>
  </si>
  <si>
    <t>ORD01933</t>
  </si>
  <si>
    <t>ORD01934</t>
  </si>
  <si>
    <t>ORD01935</t>
  </si>
  <si>
    <t>ORD01936</t>
  </si>
  <si>
    <t>ORD01937</t>
  </si>
  <si>
    <t>ORD01938</t>
  </si>
  <si>
    <t>ORD01939</t>
  </si>
  <si>
    <t>ORD01940</t>
  </si>
  <si>
    <t>ORD01941</t>
  </si>
  <si>
    <t>ORD01942</t>
  </si>
  <si>
    <t>ORD01943</t>
  </si>
  <si>
    <t>ORD01944</t>
  </si>
  <si>
    <t>ORD01945</t>
  </si>
  <si>
    <t>ORD01946</t>
  </si>
  <si>
    <t>ORD01947</t>
  </si>
  <si>
    <t>ORD01948</t>
  </si>
  <si>
    <t>ORD01949</t>
  </si>
  <si>
    <t>ORD01950</t>
  </si>
  <si>
    <t>ORD01951</t>
  </si>
  <si>
    <t>ORD01952</t>
  </si>
  <si>
    <t>ORD01953</t>
  </si>
  <si>
    <t>ORD01954</t>
  </si>
  <si>
    <t>ORD01955</t>
  </si>
  <si>
    <t>ORD01956</t>
  </si>
  <si>
    <t>ORD01957</t>
  </si>
  <si>
    <t>ORD01958</t>
  </si>
  <si>
    <t>ORD01959</t>
  </si>
  <si>
    <t>ORD01960</t>
  </si>
  <si>
    <t>ORD01961</t>
  </si>
  <si>
    <t>ORD01962</t>
  </si>
  <si>
    <t>ORD01963</t>
  </si>
  <si>
    <t>ORD01964</t>
  </si>
  <si>
    <t>ORD01965</t>
  </si>
  <si>
    <t>ORD01966</t>
  </si>
  <si>
    <t>ORD01967</t>
  </si>
  <si>
    <t>ORD01968</t>
  </si>
  <si>
    <t>ORD01969</t>
  </si>
  <si>
    <t>ORD01970</t>
  </si>
  <si>
    <t>ORD01971</t>
  </si>
  <si>
    <t>ORD01972</t>
  </si>
  <si>
    <t>ORD01973</t>
  </si>
  <si>
    <t>ORD01974</t>
  </si>
  <si>
    <t>ORD01975</t>
  </si>
  <si>
    <t>ORD01976</t>
  </si>
  <si>
    <t>ORD01977</t>
  </si>
  <si>
    <t>ORD01978</t>
  </si>
  <si>
    <t>ORD01979</t>
  </si>
  <si>
    <t>ORD01980</t>
  </si>
  <si>
    <t>ORD01981</t>
  </si>
  <si>
    <t>ORD01982</t>
  </si>
  <si>
    <t>ORD01983</t>
  </si>
  <si>
    <t>ORD01984</t>
  </si>
  <si>
    <t>ORD01985</t>
  </si>
  <si>
    <t>ORD01986</t>
  </si>
  <si>
    <t>ORD01987</t>
  </si>
  <si>
    <t>ORD01988</t>
  </si>
  <si>
    <t>ORD01989</t>
  </si>
  <si>
    <t>ORD01990</t>
  </si>
  <si>
    <t>ORD01991</t>
  </si>
  <si>
    <t>ORD01992</t>
  </si>
  <si>
    <t>ORD01993</t>
  </si>
  <si>
    <t>ORD01994</t>
  </si>
  <si>
    <t>ORD01995</t>
  </si>
  <si>
    <t>ORD01996</t>
  </si>
  <si>
    <t>ORD01997</t>
  </si>
  <si>
    <t>ORD01998</t>
  </si>
  <si>
    <t>ORD01999</t>
  </si>
  <si>
    <t>ORD02000</t>
  </si>
  <si>
    <t>ORD02001</t>
  </si>
  <si>
    <t>ORD02002</t>
  </si>
  <si>
    <t>ORD02003</t>
  </si>
  <si>
    <t>ORD02004</t>
  </si>
  <si>
    <t>ORD02005</t>
  </si>
  <si>
    <t>ORD02006</t>
  </si>
  <si>
    <t>ORD02007</t>
  </si>
  <si>
    <t>ORD02008</t>
  </si>
  <si>
    <t>ORD02009</t>
  </si>
  <si>
    <t>ORD02010</t>
  </si>
  <si>
    <t>ORD02011</t>
  </si>
  <si>
    <t>ORD02012</t>
  </si>
  <si>
    <t>ORD02013</t>
  </si>
  <si>
    <t>ORD02014</t>
  </si>
  <si>
    <t>ORD02015</t>
  </si>
  <si>
    <t>ORD02016</t>
  </si>
  <si>
    <t>ORD02017</t>
  </si>
  <si>
    <t>ORD02018</t>
  </si>
  <si>
    <t>ORD02019</t>
  </si>
  <si>
    <t>ORD02020</t>
  </si>
  <si>
    <t>ORD02021</t>
  </si>
  <si>
    <t>ORD02022</t>
  </si>
  <si>
    <t>ORD02023</t>
  </si>
  <si>
    <t>ORD02024</t>
  </si>
  <si>
    <t>ORD02025</t>
  </si>
  <si>
    <t>ORD02026</t>
  </si>
  <si>
    <t>ORD02027</t>
  </si>
  <si>
    <t>ORD02028</t>
  </si>
  <si>
    <t>ORD02029</t>
  </si>
  <si>
    <t>ORD02030</t>
  </si>
  <si>
    <t>ORD02031</t>
  </si>
  <si>
    <t>ORD02032</t>
  </si>
  <si>
    <t>ORD02033</t>
  </si>
  <si>
    <t>ORD02034</t>
  </si>
  <si>
    <t>ORD02035</t>
  </si>
  <si>
    <t>ORD02036</t>
  </si>
  <si>
    <t>ORD02037</t>
  </si>
  <si>
    <t>ORD02038</t>
  </si>
  <si>
    <t>ORD02039</t>
  </si>
  <si>
    <t>ORD02040</t>
  </si>
  <si>
    <t>ORD02041</t>
  </si>
  <si>
    <t>ORD02042</t>
  </si>
  <si>
    <t>ORD02043</t>
  </si>
  <si>
    <t>ORD02044</t>
  </si>
  <si>
    <t>ORD02045</t>
  </si>
  <si>
    <t>ORD02046</t>
  </si>
  <si>
    <t>ORD02047</t>
  </si>
  <si>
    <t>ORD02048</t>
  </si>
  <si>
    <t>ORD02049</t>
  </si>
  <si>
    <t>ORD02050</t>
  </si>
  <si>
    <t>ORD02051</t>
  </si>
  <si>
    <t>ORD02052</t>
  </si>
  <si>
    <t>ORD02053</t>
  </si>
  <si>
    <t>ORD02054</t>
  </si>
  <si>
    <t>ORD02055</t>
  </si>
  <si>
    <t>ORD02056</t>
  </si>
  <si>
    <t>ORD02057</t>
  </si>
  <si>
    <t>ORD02058</t>
  </si>
  <si>
    <t>ORD02059</t>
  </si>
  <si>
    <t>ORD02060</t>
  </si>
  <si>
    <t>ORD02061</t>
  </si>
  <si>
    <t>ORD02062</t>
  </si>
  <si>
    <t>ORD02063</t>
  </si>
  <si>
    <t>ORD02064</t>
  </si>
  <si>
    <t>ORD02065</t>
  </si>
  <si>
    <t>ORD02066</t>
  </si>
  <si>
    <t>ORD02067</t>
  </si>
  <si>
    <t>ORD02068</t>
  </si>
  <si>
    <t>ORD02069</t>
  </si>
  <si>
    <t>ORD02070</t>
  </si>
  <si>
    <t>ORD02071</t>
  </si>
  <si>
    <t>ORD02072</t>
  </si>
  <si>
    <t>ORD02073</t>
  </si>
  <si>
    <t>ORD02074</t>
  </si>
  <si>
    <t>ORD02075</t>
  </si>
  <si>
    <t>ORD02076</t>
  </si>
  <si>
    <t>ORD02077</t>
  </si>
  <si>
    <t>ORD02078</t>
  </si>
  <si>
    <t>ORD02079</t>
  </si>
  <si>
    <t>ORD02080</t>
  </si>
  <si>
    <t>ORD02081</t>
  </si>
  <si>
    <t>ORD02082</t>
  </si>
  <si>
    <t>ORD02083</t>
  </si>
  <si>
    <t>ORD02084</t>
  </si>
  <si>
    <t>ORD02085</t>
  </si>
  <si>
    <t>ORD02086</t>
  </si>
  <si>
    <t>ORD02087</t>
  </si>
  <si>
    <t>ORD02088</t>
  </si>
  <si>
    <t>ORD02089</t>
  </si>
  <si>
    <t>ORD02090</t>
  </si>
  <si>
    <t>ORD02091</t>
  </si>
  <si>
    <t>ORD02092</t>
  </si>
  <si>
    <t>ORD02093</t>
  </si>
  <si>
    <t>ORD02094</t>
  </si>
  <si>
    <t>ORD02095</t>
  </si>
  <si>
    <t>ORD02096</t>
  </si>
  <si>
    <t>ORD02097</t>
  </si>
  <si>
    <t>ORD02098</t>
  </si>
  <si>
    <t>ORD02099</t>
  </si>
  <si>
    <t>ORD02100</t>
  </si>
  <si>
    <t>ORD02101</t>
  </si>
  <si>
    <t>ORD02102</t>
  </si>
  <si>
    <t>ORD02103</t>
  </si>
  <si>
    <t>ORD02104</t>
  </si>
  <si>
    <t>ORD02105</t>
  </si>
  <si>
    <t>ORD02106</t>
  </si>
  <si>
    <t>ORD02107</t>
  </si>
  <si>
    <t>ORD02108</t>
  </si>
  <si>
    <t>ORD02109</t>
  </si>
  <si>
    <t>ORD02110</t>
  </si>
  <si>
    <t>ORD02111</t>
  </si>
  <si>
    <t>ORD02112</t>
  </si>
  <si>
    <t>ORD02113</t>
  </si>
  <si>
    <t>ORD02114</t>
  </si>
  <si>
    <t>ORD02115</t>
  </si>
  <si>
    <t>ORD02116</t>
  </si>
  <si>
    <t>ORD02117</t>
  </si>
  <si>
    <t>ORD02118</t>
  </si>
  <si>
    <t>ORD02119</t>
  </si>
  <si>
    <t>ORD02120</t>
  </si>
  <si>
    <t>ORD02121</t>
  </si>
  <si>
    <t>ORD02122</t>
  </si>
  <si>
    <t>ORD02123</t>
  </si>
  <si>
    <t>ORD02124</t>
  </si>
  <si>
    <t>ORD02125</t>
  </si>
  <si>
    <t>ORD02126</t>
  </si>
  <si>
    <t>ORD02127</t>
  </si>
  <si>
    <t>ORD02128</t>
  </si>
  <si>
    <t>ORD02129</t>
  </si>
  <si>
    <t>ORD02130</t>
  </si>
  <si>
    <t>ORD02131</t>
  </si>
  <si>
    <t>ORD02132</t>
  </si>
  <si>
    <t>ORD02133</t>
  </si>
  <si>
    <t>ORD02134</t>
  </si>
  <si>
    <t>ORD02135</t>
  </si>
  <si>
    <t>ORD02136</t>
  </si>
  <si>
    <t>ORD02137</t>
  </si>
  <si>
    <t>ORD02138</t>
  </si>
  <si>
    <t>ORD02139</t>
  </si>
  <si>
    <t>ORD02140</t>
  </si>
  <si>
    <t>ORD02141</t>
  </si>
  <si>
    <t>ORD02142</t>
  </si>
  <si>
    <t>ORD02143</t>
  </si>
  <si>
    <t>ORD02144</t>
  </si>
  <si>
    <t>ORD02145</t>
  </si>
  <si>
    <t>ORD02146</t>
  </si>
  <si>
    <t>ORD02147</t>
  </si>
  <si>
    <t>ORD02148</t>
  </si>
  <si>
    <t>ORD02149</t>
  </si>
  <si>
    <t>ORD02150</t>
  </si>
  <si>
    <t>ORD02151</t>
  </si>
  <si>
    <t>ORD02152</t>
  </si>
  <si>
    <t>ORD02153</t>
  </si>
  <si>
    <t>ORD02154</t>
  </si>
  <si>
    <t>ORD02155</t>
  </si>
  <si>
    <t>ORD02156</t>
  </si>
  <si>
    <t>ORD02157</t>
  </si>
  <si>
    <t>ORD02158</t>
  </si>
  <si>
    <t>ORD02159</t>
  </si>
  <si>
    <t>ORD02160</t>
  </si>
  <si>
    <t>ORD02161</t>
  </si>
  <si>
    <t>ORD02162</t>
  </si>
  <si>
    <t>ORD02163</t>
  </si>
  <si>
    <t>ORD02164</t>
  </si>
  <si>
    <t>ORD02165</t>
  </si>
  <si>
    <t>ORD02166</t>
  </si>
  <si>
    <t>ORD02167</t>
  </si>
  <si>
    <t>ORD02168</t>
  </si>
  <si>
    <t>ORD02169</t>
  </si>
  <si>
    <t>ORD02170</t>
  </si>
  <si>
    <t>ORD02171</t>
  </si>
  <si>
    <t>ORD02172</t>
  </si>
  <si>
    <t>ORD02173</t>
  </si>
  <si>
    <t>ORD02174</t>
  </si>
  <si>
    <t>ORD02175</t>
  </si>
  <si>
    <t>ORD02176</t>
  </si>
  <si>
    <t>ORD02177</t>
  </si>
  <si>
    <t>ORD02178</t>
  </si>
  <si>
    <t>ORD02179</t>
  </si>
  <si>
    <t>ORD02180</t>
  </si>
  <si>
    <t>ORD02181</t>
  </si>
  <si>
    <t>ORD02182</t>
  </si>
  <si>
    <t>ORD02183</t>
  </si>
  <si>
    <t>ORD02184</t>
  </si>
  <si>
    <t>ORD02185</t>
  </si>
  <si>
    <t>ORD02186</t>
  </si>
  <si>
    <t>ORD02187</t>
  </si>
  <si>
    <t>ORD02188</t>
  </si>
  <si>
    <t>ORD02189</t>
  </si>
  <si>
    <t>ORD02190</t>
  </si>
  <si>
    <t>ORD02191</t>
  </si>
  <si>
    <t>ORD02192</t>
  </si>
  <si>
    <t>ORD02193</t>
  </si>
  <si>
    <t>ORD02194</t>
  </si>
  <si>
    <t>ORD02195</t>
  </si>
  <si>
    <t>ORD02196</t>
  </si>
  <si>
    <t>ORD02197</t>
  </si>
  <si>
    <t>ORD02198</t>
  </si>
  <si>
    <t>ORD02199</t>
  </si>
  <si>
    <t>ORD02200</t>
  </si>
  <si>
    <t>ORD02201</t>
  </si>
  <si>
    <t>ORD02202</t>
  </si>
  <si>
    <t>ORD02203</t>
  </si>
  <si>
    <t>ORD02204</t>
  </si>
  <si>
    <t>ORD02205</t>
  </si>
  <si>
    <t>ORD02206</t>
  </si>
  <si>
    <t>ORD02207</t>
  </si>
  <si>
    <t>ORD02208</t>
  </si>
  <si>
    <t>ORD02209</t>
  </si>
  <si>
    <t>ORD02210</t>
  </si>
  <si>
    <t>ORD02211</t>
  </si>
  <si>
    <t>ORD02212</t>
  </si>
  <si>
    <t>ORD02213</t>
  </si>
  <si>
    <t>ORD02214</t>
  </si>
  <si>
    <t>ORD02215</t>
  </si>
  <si>
    <t>ORD02216</t>
  </si>
  <si>
    <t>ORD02217</t>
  </si>
  <si>
    <t>ORD02218</t>
  </si>
  <si>
    <t>ORD02219</t>
  </si>
  <si>
    <t>ORD02220</t>
  </si>
  <si>
    <t>ORD02221</t>
  </si>
  <si>
    <t>ORD02222</t>
  </si>
  <si>
    <t>ORD02223</t>
  </si>
  <si>
    <t>ORD02224</t>
  </si>
  <si>
    <t>ORD02225</t>
  </si>
  <si>
    <t>ORD02226</t>
  </si>
  <si>
    <t>ORD02227</t>
  </si>
  <si>
    <t>ORD02228</t>
  </si>
  <si>
    <t>ORD02229</t>
  </si>
  <si>
    <t>ORD02230</t>
  </si>
  <si>
    <t>ORD02231</t>
  </si>
  <si>
    <t>ORD02232</t>
  </si>
  <si>
    <t>ORD02233</t>
  </si>
  <si>
    <t>ORD02234</t>
  </si>
  <si>
    <t>ORD02235</t>
  </si>
  <si>
    <t>ORD02236</t>
  </si>
  <si>
    <t>ORD02237</t>
  </si>
  <si>
    <t>ORD02238</t>
  </si>
  <si>
    <t>ORD02239</t>
  </si>
  <si>
    <t>ORD02240</t>
  </si>
  <si>
    <t>ORD02241</t>
  </si>
  <si>
    <t>ORD02242</t>
  </si>
  <si>
    <t>ORD02243</t>
  </si>
  <si>
    <t>ORD02244</t>
  </si>
  <si>
    <t>ORD02245</t>
  </si>
  <si>
    <t>ORD02246</t>
  </si>
  <si>
    <t>ORD02247</t>
  </si>
  <si>
    <t>ORD02248</t>
  </si>
  <si>
    <t>ORD02249</t>
  </si>
  <si>
    <t>ORD02250</t>
  </si>
  <si>
    <t>ORD02251</t>
  </si>
  <si>
    <t>ORD02252</t>
  </si>
  <si>
    <t>ORD02253</t>
  </si>
  <si>
    <t>ORD02254</t>
  </si>
  <si>
    <t>ORD02255</t>
  </si>
  <si>
    <t>ORD02256</t>
  </si>
  <si>
    <t>ORD02257</t>
  </si>
  <si>
    <t>ORD02258</t>
  </si>
  <si>
    <t>ORD02259</t>
  </si>
  <si>
    <t>ORD02260</t>
  </si>
  <si>
    <t>ORD02261</t>
  </si>
  <si>
    <t>ORD02262</t>
  </si>
  <si>
    <t>ORD02263</t>
  </si>
  <si>
    <t>ORD02264</t>
  </si>
  <si>
    <t>ORD02265</t>
  </si>
  <si>
    <t>ORD02266</t>
  </si>
  <si>
    <t>ORD02267</t>
  </si>
  <si>
    <t>ORD02268</t>
  </si>
  <si>
    <t>ORD02269</t>
  </si>
  <si>
    <t>ORD02270</t>
  </si>
  <si>
    <t>ORD02271</t>
  </si>
  <si>
    <t>ORD02272</t>
  </si>
  <si>
    <t>ORD02273</t>
  </si>
  <si>
    <t>ORD02274</t>
  </si>
  <si>
    <t>ORD02275</t>
  </si>
  <si>
    <t>ORD02276</t>
  </si>
  <si>
    <t>ORD02277</t>
  </si>
  <si>
    <t>ORD02278</t>
  </si>
  <si>
    <t>ORD02279</t>
  </si>
  <si>
    <t>ORD02280</t>
  </si>
  <si>
    <t>ORD02281</t>
  </si>
  <si>
    <t>ORD02282</t>
  </si>
  <si>
    <t>ORD02283</t>
  </si>
  <si>
    <t>ORD02284</t>
  </si>
  <si>
    <t>ORD02285</t>
  </si>
  <si>
    <t>ORD02286</t>
  </si>
  <si>
    <t>ORD02287</t>
  </si>
  <si>
    <t>ORD02288</t>
  </si>
  <si>
    <t>ORD02289</t>
  </si>
  <si>
    <t>ORD02290</t>
  </si>
  <si>
    <t>ORD02291</t>
  </si>
  <si>
    <t>ORD02292</t>
  </si>
  <si>
    <t>ORD02293</t>
  </si>
  <si>
    <t>ORD02294</t>
  </si>
  <si>
    <t>ORD02295</t>
  </si>
  <si>
    <t>ORD02296</t>
  </si>
  <si>
    <t>ORD02297</t>
  </si>
  <si>
    <t>ORD02298</t>
  </si>
  <si>
    <t>ORD02299</t>
  </si>
  <si>
    <t>ORD02300</t>
  </si>
  <si>
    <t>ORD02301</t>
  </si>
  <si>
    <t>ORD02302</t>
  </si>
  <si>
    <t>ORD02303</t>
  </si>
  <si>
    <t>ORD02304</t>
  </si>
  <si>
    <t>ORD02305</t>
  </si>
  <si>
    <t>ORD02306</t>
  </si>
  <si>
    <t>ORD02307</t>
  </si>
  <si>
    <t>ORD02308</t>
  </si>
  <si>
    <t>ORD02309</t>
  </si>
  <si>
    <t>ORD02310</t>
  </si>
  <si>
    <t>ORD02311</t>
  </si>
  <si>
    <t>ORD02312</t>
  </si>
  <si>
    <t>ORD02313</t>
  </si>
  <si>
    <t>ORD02314</t>
  </si>
  <si>
    <t>ORD02315</t>
  </si>
  <si>
    <t>ORD02316</t>
  </si>
  <si>
    <t>ORD02317</t>
  </si>
  <si>
    <t>ORD02318</t>
  </si>
  <si>
    <t>ORD02319</t>
  </si>
  <si>
    <t>ORD02320</t>
  </si>
  <si>
    <t>ORD02321</t>
  </si>
  <si>
    <t>ORD02322</t>
  </si>
  <si>
    <t>ORD02323</t>
  </si>
  <si>
    <t>ORD02324</t>
  </si>
  <si>
    <t>ORD02325</t>
  </si>
  <si>
    <t>ORD02326</t>
  </si>
  <si>
    <t>ORD02327</t>
  </si>
  <si>
    <t>ORD02328</t>
  </si>
  <si>
    <t>ORD02329</t>
  </si>
  <si>
    <t>ORD02330</t>
  </si>
  <si>
    <t>ORD02331</t>
  </si>
  <si>
    <t>ORD02332</t>
  </si>
  <si>
    <t>ORD02333</t>
  </si>
  <si>
    <t>ORD02334</t>
  </si>
  <si>
    <t>ORD02335</t>
  </si>
  <si>
    <t>ORD02336</t>
  </si>
  <si>
    <t>ORD02337</t>
  </si>
  <si>
    <t>ORD02338</t>
  </si>
  <si>
    <t>ORD02339</t>
  </si>
  <si>
    <t>ORD02340</t>
  </si>
  <si>
    <t>ORD02341</t>
  </si>
  <si>
    <t>ORD02342</t>
  </si>
  <si>
    <t>ORD02343</t>
  </si>
  <si>
    <t>ORD02344</t>
  </si>
  <si>
    <t>ORD02345</t>
  </si>
  <si>
    <t>ORD02346</t>
  </si>
  <si>
    <t>ORD02347</t>
  </si>
  <si>
    <t>ORD02348</t>
  </si>
  <si>
    <t>ORD02349</t>
  </si>
  <si>
    <t>ORD02350</t>
  </si>
  <si>
    <t>ORD02351</t>
  </si>
  <si>
    <t>ORD02352</t>
  </si>
  <si>
    <t>ORD02353</t>
  </si>
  <si>
    <t>ORD02354</t>
  </si>
  <si>
    <t>ORD02355</t>
  </si>
  <si>
    <t>ORD02356</t>
  </si>
  <si>
    <t>ORD02357</t>
  </si>
  <si>
    <t>ORD02358</t>
  </si>
  <si>
    <t>ORD02359</t>
  </si>
  <si>
    <t>ORD02360</t>
  </si>
  <si>
    <t>ORD02361</t>
  </si>
  <si>
    <t>ORD02362</t>
  </si>
  <si>
    <t>ORD02363</t>
  </si>
  <si>
    <t>ORD02364</t>
  </si>
  <si>
    <t>ORD02365</t>
  </si>
  <si>
    <t>ORD02366</t>
  </si>
  <si>
    <t>ORD02367</t>
  </si>
  <si>
    <t>ORD02368</t>
  </si>
  <si>
    <t>ORD02369</t>
  </si>
  <si>
    <t>ORD02370</t>
  </si>
  <si>
    <t>ORD02371</t>
  </si>
  <si>
    <t>ORD02372</t>
  </si>
  <si>
    <t>ORD02373</t>
  </si>
  <si>
    <t>ORD02374</t>
  </si>
  <si>
    <t>ORD02375</t>
  </si>
  <si>
    <t>ORD02376</t>
  </si>
  <si>
    <t>ORD02377</t>
  </si>
  <si>
    <t>ORD02378</t>
  </si>
  <si>
    <t>ORD02379</t>
  </si>
  <si>
    <t>ORD02380</t>
  </si>
  <si>
    <t>ORD02381</t>
  </si>
  <si>
    <t>ORD02382</t>
  </si>
  <si>
    <t>ORD02383</t>
  </si>
  <si>
    <t>ORD02384</t>
  </si>
  <si>
    <t>ORD02385</t>
  </si>
  <si>
    <t>ORD02386</t>
  </si>
  <si>
    <t>ORD02387</t>
  </si>
  <si>
    <t>ORD02388</t>
  </si>
  <si>
    <t>ORD02389</t>
  </si>
  <si>
    <t>ORD02390</t>
  </si>
  <si>
    <t>ORD02391</t>
  </si>
  <si>
    <t>ORD02392</t>
  </si>
  <si>
    <t>ORD02393</t>
  </si>
  <si>
    <t>ORD02394</t>
  </si>
  <si>
    <t>ORD02395</t>
  </si>
  <si>
    <t>ORD02396</t>
  </si>
  <si>
    <t>ORD02397</t>
  </si>
  <si>
    <t>ORD02398</t>
  </si>
  <si>
    <t>ORD02399</t>
  </si>
  <si>
    <t>ORD02400</t>
  </si>
  <si>
    <t>ORD02401</t>
  </si>
  <si>
    <t>ORD02402</t>
  </si>
  <si>
    <t>ORD02403</t>
  </si>
  <si>
    <t>ORD02404</t>
  </si>
  <si>
    <t>ORD02405</t>
  </si>
  <si>
    <t>ORD02406</t>
  </si>
  <si>
    <t>ORD02407</t>
  </si>
  <si>
    <t>ORD02408</t>
  </si>
  <si>
    <t>ORD02409</t>
  </si>
  <si>
    <t>ORD02410</t>
  </si>
  <si>
    <t>ORD02411</t>
  </si>
  <si>
    <t>ORD02412</t>
  </si>
  <si>
    <t>ORD02413</t>
  </si>
  <si>
    <t>ORD02414</t>
  </si>
  <si>
    <t>ORD02415</t>
  </si>
  <si>
    <t>ORD02416</t>
  </si>
  <si>
    <t>ORD02417</t>
  </si>
  <si>
    <t>ORD02418</t>
  </si>
  <si>
    <t>ORD02419</t>
  </si>
  <si>
    <t>ORD02420</t>
  </si>
  <si>
    <t>ORD02421</t>
  </si>
  <si>
    <t>ORD02422</t>
  </si>
  <si>
    <t>ORD02423</t>
  </si>
  <si>
    <t>ORD02424</t>
  </si>
  <si>
    <t>ORD02425</t>
  </si>
  <si>
    <t>ORD02426</t>
  </si>
  <si>
    <t>ORD02427</t>
  </si>
  <si>
    <t>ORD02428</t>
  </si>
  <si>
    <t>ORD02429</t>
  </si>
  <si>
    <t>ORD02430</t>
  </si>
  <si>
    <t>ORD02431</t>
  </si>
  <si>
    <t>ORD02432</t>
  </si>
  <si>
    <t>ORD02433</t>
  </si>
  <si>
    <t>ORD02434</t>
  </si>
  <si>
    <t>ORD02435</t>
  </si>
  <si>
    <t>ORD02436</t>
  </si>
  <si>
    <t>ORD02437</t>
  </si>
  <si>
    <t>ORD02438</t>
  </si>
  <si>
    <t>ORD02439</t>
  </si>
  <si>
    <t>ORD02440</t>
  </si>
  <si>
    <t>ORD02441</t>
  </si>
  <si>
    <t>ORD02442</t>
  </si>
  <si>
    <t>ORD02443</t>
  </si>
  <si>
    <t>ORD02444</t>
  </si>
  <si>
    <t>ORD02445</t>
  </si>
  <si>
    <t>ORD02446</t>
  </si>
  <si>
    <t>ORD02447</t>
  </si>
  <si>
    <t>ORD02448</t>
  </si>
  <si>
    <t>ORD02449</t>
  </si>
  <si>
    <t>ORD02450</t>
  </si>
  <si>
    <t>ORD02451</t>
  </si>
  <si>
    <t>ORD02452</t>
  </si>
  <si>
    <t>ORD02453</t>
  </si>
  <si>
    <t>ORD02454</t>
  </si>
  <si>
    <t>ORD02455</t>
  </si>
  <si>
    <t>ORD02456</t>
  </si>
  <si>
    <t>ORD02457</t>
  </si>
  <si>
    <t>ORD02458</t>
  </si>
  <si>
    <t>ORD02459</t>
  </si>
  <si>
    <t>ORD02460</t>
  </si>
  <si>
    <t>ORD02461</t>
  </si>
  <si>
    <t>ORD02462</t>
  </si>
  <si>
    <t>ORD02463</t>
  </si>
  <si>
    <t>ORD02464</t>
  </si>
  <si>
    <t>ORD02465</t>
  </si>
  <si>
    <t>ORD02466</t>
  </si>
  <si>
    <t>ORD02467</t>
  </si>
  <si>
    <t>ORD02468</t>
  </si>
  <si>
    <t>ORD02469</t>
  </si>
  <si>
    <t>ORD02470</t>
  </si>
  <si>
    <t>ORD02471</t>
  </si>
  <si>
    <t>ORD02472</t>
  </si>
  <si>
    <t>ORD02473</t>
  </si>
  <si>
    <t>ORD02474</t>
  </si>
  <si>
    <t>ORD02475</t>
  </si>
  <si>
    <t>ORD02476</t>
  </si>
  <si>
    <t>ORD02477</t>
  </si>
  <si>
    <t>ORD02478</t>
  </si>
  <si>
    <t>ORD02479</t>
  </si>
  <si>
    <t>ORD02480</t>
  </si>
  <si>
    <t>ORD02481</t>
  </si>
  <si>
    <t>ORD02482</t>
  </si>
  <si>
    <t>ORD02483</t>
  </si>
  <si>
    <t>ORD02484</t>
  </si>
  <si>
    <t>ORD02485</t>
  </si>
  <si>
    <t>ORD02486</t>
  </si>
  <si>
    <t>ORD02487</t>
  </si>
  <si>
    <t>ORD02488</t>
  </si>
  <si>
    <t>ORD02489</t>
  </si>
  <si>
    <t>ORD02490</t>
  </si>
  <si>
    <t>ORD02491</t>
  </si>
  <si>
    <t>ORD02492</t>
  </si>
  <si>
    <t>ORD02493</t>
  </si>
  <si>
    <t>ORD02494</t>
  </si>
  <si>
    <t>ORD02495</t>
  </si>
  <si>
    <t>ORD02496</t>
  </si>
  <si>
    <t>ORD02497</t>
  </si>
  <si>
    <t>ORD02498</t>
  </si>
  <si>
    <t>ORD02499</t>
  </si>
  <si>
    <t>ORD02500</t>
  </si>
  <si>
    <t>ORD02501</t>
  </si>
  <si>
    <t>ORD02502</t>
  </si>
  <si>
    <t>ORD02503</t>
  </si>
  <si>
    <t>ORD02504</t>
  </si>
  <si>
    <t>ORD02505</t>
  </si>
  <si>
    <t>ORD02506</t>
  </si>
  <si>
    <t>ORD02507</t>
  </si>
  <si>
    <t>ORD02508</t>
  </si>
  <si>
    <t>ORD02509</t>
  </si>
  <si>
    <t>ORD02510</t>
  </si>
  <si>
    <t>ORD02511</t>
  </si>
  <si>
    <t>ORD02512</t>
  </si>
  <si>
    <t>ORD02513</t>
  </si>
  <si>
    <t>ORD02514</t>
  </si>
  <si>
    <t>ORD02515</t>
  </si>
  <si>
    <t>ORD02516</t>
  </si>
  <si>
    <t>ORD02517</t>
  </si>
  <si>
    <t>ORD02518</t>
  </si>
  <si>
    <t>ORD02519</t>
  </si>
  <si>
    <t>ORD02520</t>
  </si>
  <si>
    <t>ORD02521</t>
  </si>
  <si>
    <t>ORD02522</t>
  </si>
  <si>
    <t>ORD02523</t>
  </si>
  <si>
    <t>ORD02524</t>
  </si>
  <si>
    <t>ORD02525</t>
  </si>
  <si>
    <t>ORD02526</t>
  </si>
  <si>
    <t>ORD02527</t>
  </si>
  <si>
    <t>ORD02528</t>
  </si>
  <si>
    <t>ORD02529</t>
  </si>
  <si>
    <t>ORD02530</t>
  </si>
  <si>
    <t>ORD02531</t>
  </si>
  <si>
    <t>ORD02532</t>
  </si>
  <si>
    <t>ORD02533</t>
  </si>
  <si>
    <t>ORD02534</t>
  </si>
  <si>
    <t>ORD02535</t>
  </si>
  <si>
    <t>ORD02536</t>
  </si>
  <si>
    <t>ORD02537</t>
  </si>
  <si>
    <t>ORD02538</t>
  </si>
  <si>
    <t>ORD02539</t>
  </si>
  <si>
    <t>ORD02540</t>
  </si>
  <si>
    <t>ORD02541</t>
  </si>
  <si>
    <t>ORD02542</t>
  </si>
  <si>
    <t>ORD02543</t>
  </si>
  <si>
    <t>ORD02544</t>
  </si>
  <si>
    <t>ORD02545</t>
  </si>
  <si>
    <t>ORD02546</t>
  </si>
  <si>
    <t>ORD02547</t>
  </si>
  <si>
    <t>ORD02548</t>
  </si>
  <si>
    <t>ORD02549</t>
  </si>
  <si>
    <t>ORD02550</t>
  </si>
  <si>
    <t>ORD02551</t>
  </si>
  <si>
    <t>ORD02552</t>
  </si>
  <si>
    <t>ORD02553</t>
  </si>
  <si>
    <t>ORD02554</t>
  </si>
  <si>
    <t>ORD02555</t>
  </si>
  <si>
    <t>ORD02556</t>
  </si>
  <si>
    <t>ORD02557</t>
  </si>
  <si>
    <t>ORD02558</t>
  </si>
  <si>
    <t>ORD02559</t>
  </si>
  <si>
    <t>ORD02560</t>
  </si>
  <si>
    <t>ORD02561</t>
  </si>
  <si>
    <t>ORD02562</t>
  </si>
  <si>
    <t>ORD02563</t>
  </si>
  <si>
    <t>ORD02564</t>
  </si>
  <si>
    <t>ORD02565</t>
  </si>
  <si>
    <t>ORD02566</t>
  </si>
  <si>
    <t>ORD02567</t>
  </si>
  <si>
    <t>ORD02568</t>
  </si>
  <si>
    <t>ORD02569</t>
  </si>
  <si>
    <t>ORD02570</t>
  </si>
  <si>
    <t>ORD02571</t>
  </si>
  <si>
    <t>ORD02572</t>
  </si>
  <si>
    <t>ORD02573</t>
  </si>
  <si>
    <t>ORD02574</t>
  </si>
  <si>
    <t>ORD02575</t>
  </si>
  <si>
    <t>ORD02576</t>
  </si>
  <si>
    <t>ORD02577</t>
  </si>
  <si>
    <t>ORD02578</t>
  </si>
  <si>
    <t>ORD02579</t>
  </si>
  <si>
    <t>ORD02580</t>
  </si>
  <si>
    <t>ORD02581</t>
  </si>
  <si>
    <t>ORD02582</t>
  </si>
  <si>
    <t>ORD02583</t>
  </si>
  <si>
    <t>ORD02584</t>
  </si>
  <si>
    <t>ORD02585</t>
  </si>
  <si>
    <t>ORD02586</t>
  </si>
  <si>
    <t>ORD02587</t>
  </si>
  <si>
    <t>ORD02588</t>
  </si>
  <si>
    <t>ORD02589</t>
  </si>
  <si>
    <t>ORD02590</t>
  </si>
  <si>
    <t>ORD02591</t>
  </si>
  <si>
    <t>ORD02592</t>
  </si>
  <si>
    <t>ORD02593</t>
  </si>
  <si>
    <t>ORD02594</t>
  </si>
  <si>
    <t>ORD02595</t>
  </si>
  <si>
    <t>ORD02596</t>
  </si>
  <si>
    <t>ORD02597</t>
  </si>
  <si>
    <t>ORD02598</t>
  </si>
  <si>
    <t>ORD02599</t>
  </si>
  <si>
    <t>ORD02600</t>
  </si>
  <si>
    <t>ORD02601</t>
  </si>
  <si>
    <t>ORD02602</t>
  </si>
  <si>
    <t>ORD02603</t>
  </si>
  <si>
    <t>ORD02604</t>
  </si>
  <si>
    <t>ORD02605</t>
  </si>
  <si>
    <t>ORD02606</t>
  </si>
  <si>
    <t>ORD02607</t>
  </si>
  <si>
    <t>ORD02608</t>
  </si>
  <si>
    <t>ORD02609</t>
  </si>
  <si>
    <t>ORD02610</t>
  </si>
  <si>
    <t>ORD02611</t>
  </si>
  <si>
    <t>ORD02612</t>
  </si>
  <si>
    <t>ORD02613</t>
  </si>
  <si>
    <t>ORD02614</t>
  </si>
  <si>
    <t>ORD02615</t>
  </si>
  <si>
    <t>ORD02616</t>
  </si>
  <si>
    <t>ORD02617</t>
  </si>
  <si>
    <t>ORD02618</t>
  </si>
  <si>
    <t>ORD02619</t>
  </si>
  <si>
    <t>ORD02620</t>
  </si>
  <si>
    <t>ORD02621</t>
  </si>
  <si>
    <t>ORD02622</t>
  </si>
  <si>
    <t>ORD02623</t>
  </si>
  <si>
    <t>ORD02624</t>
  </si>
  <si>
    <t>ORD02625</t>
  </si>
  <si>
    <t>ORD02626</t>
  </si>
  <si>
    <t>ORD02627</t>
  </si>
  <si>
    <t>ORD02628</t>
  </si>
  <si>
    <t>ORD02629</t>
  </si>
  <si>
    <t>ORD02630</t>
  </si>
  <si>
    <t>ORD02631</t>
  </si>
  <si>
    <t>ORD02632</t>
  </si>
  <si>
    <t>ORD02633</t>
  </si>
  <si>
    <t>ORD02634</t>
  </si>
  <si>
    <t>ORD02635</t>
  </si>
  <si>
    <t>ORD02636</t>
  </si>
  <si>
    <t>ORD02637</t>
  </si>
  <si>
    <t>ORD02638</t>
  </si>
  <si>
    <t>ORD02639</t>
  </si>
  <si>
    <t>ORD02640</t>
  </si>
  <si>
    <t>ORD02641</t>
  </si>
  <si>
    <t>ORD02642</t>
  </si>
  <si>
    <t>ORD02643</t>
  </si>
  <si>
    <t>ORD02644</t>
  </si>
  <si>
    <t>ORD02645</t>
  </si>
  <si>
    <t>ORD02646</t>
  </si>
  <si>
    <t>ORD02647</t>
  </si>
  <si>
    <t>ORD02648</t>
  </si>
  <si>
    <t>ORD02649</t>
  </si>
  <si>
    <t>ORD02650</t>
  </si>
  <si>
    <t>ORD02651</t>
  </si>
  <si>
    <t>ORD02652</t>
  </si>
  <si>
    <t>ORD02653</t>
  </si>
  <si>
    <t>ORD02654</t>
  </si>
  <si>
    <t>ORD02655</t>
  </si>
  <si>
    <t>ORD02656</t>
  </si>
  <si>
    <t>ORD02657</t>
  </si>
  <si>
    <t>ORD02658</t>
  </si>
  <si>
    <t>ORD02659</t>
  </si>
  <si>
    <t>ORD02660</t>
  </si>
  <si>
    <t>ORD02661</t>
  </si>
  <si>
    <t>ORD02662</t>
  </si>
  <si>
    <t>ORD02663</t>
  </si>
  <si>
    <t>ORD02664</t>
  </si>
  <si>
    <t>ORD02665</t>
  </si>
  <si>
    <t>ORD02666</t>
  </si>
  <si>
    <t>ORD02667</t>
  </si>
  <si>
    <t>ORD02668</t>
  </si>
  <si>
    <t>ORD02669</t>
  </si>
  <si>
    <t>ORD02670</t>
  </si>
  <si>
    <t>ORD02671</t>
  </si>
  <si>
    <t>ORD02672</t>
  </si>
  <si>
    <t>ORD02673</t>
  </si>
  <si>
    <t>ORD02674</t>
  </si>
  <si>
    <t>ORD02675</t>
  </si>
  <si>
    <t>ORD02676</t>
  </si>
  <si>
    <t>ORD02677</t>
  </si>
  <si>
    <t>ORD02678</t>
  </si>
  <si>
    <t>ORD02679</t>
  </si>
  <si>
    <t>ORD02680</t>
  </si>
  <si>
    <t>ORD02681</t>
  </si>
  <si>
    <t>ORD02682</t>
  </si>
  <si>
    <t>ORD02683</t>
  </si>
  <si>
    <t>ORD02684</t>
  </si>
  <si>
    <t>ORD02685</t>
  </si>
  <si>
    <t>ORD02686</t>
  </si>
  <si>
    <t>ORD02687</t>
  </si>
  <si>
    <t>ORD02688</t>
  </si>
  <si>
    <t>ORD02689</t>
  </si>
  <si>
    <t>ORD02690</t>
  </si>
  <si>
    <t>ORD02691</t>
  </si>
  <si>
    <t>ORD02692</t>
  </si>
  <si>
    <t>ORD02693</t>
  </si>
  <si>
    <t>ORD02694</t>
  </si>
  <si>
    <t>ORD02695</t>
  </si>
  <si>
    <t>ORD02696</t>
  </si>
  <si>
    <t>ORD02697</t>
  </si>
  <si>
    <t>ORD02698</t>
  </si>
  <si>
    <t>ORD02699</t>
  </si>
  <si>
    <t>ORD02700</t>
  </si>
  <si>
    <t>ORD02701</t>
  </si>
  <si>
    <t>ORD02702</t>
  </si>
  <si>
    <t>ORD02703</t>
  </si>
  <si>
    <t>ORD02704</t>
  </si>
  <si>
    <t>ORD02705</t>
  </si>
  <si>
    <t>ORD02706</t>
  </si>
  <si>
    <t>ORD02707</t>
  </si>
  <si>
    <t>ORD02708</t>
  </si>
  <si>
    <t>ORD02709</t>
  </si>
  <si>
    <t>ORD02710</t>
  </si>
  <si>
    <t>ORD02711</t>
  </si>
  <si>
    <t>ORD02712</t>
  </si>
  <si>
    <t>ORD02713</t>
  </si>
  <si>
    <t>ORD02714</t>
  </si>
  <si>
    <t>ORD02715</t>
  </si>
  <si>
    <t>ORD02716</t>
  </si>
  <si>
    <t>ORD02717</t>
  </si>
  <si>
    <t>ORD02718</t>
  </si>
  <si>
    <t>ORD02719</t>
  </si>
  <si>
    <t>ORD02720</t>
  </si>
  <si>
    <t>ORD02721</t>
  </si>
  <si>
    <t>ORD02722</t>
  </si>
  <si>
    <t>ORD02723</t>
  </si>
  <si>
    <t>ORD02724</t>
  </si>
  <si>
    <t>ORD02725</t>
  </si>
  <si>
    <t>ORD02726</t>
  </si>
  <si>
    <t>ORD02727</t>
  </si>
  <si>
    <t>ORD02728</t>
  </si>
  <si>
    <t>ORD02729</t>
  </si>
  <si>
    <t>ORD02730</t>
  </si>
  <si>
    <t>ORD02731</t>
  </si>
  <si>
    <t>ORD02732</t>
  </si>
  <si>
    <t>ORD02733</t>
  </si>
  <si>
    <t>ORD02734</t>
  </si>
  <si>
    <t>ORD02735</t>
  </si>
  <si>
    <t>ORD02736</t>
  </si>
  <si>
    <t>ORD02737</t>
  </si>
  <si>
    <t>ORD02738</t>
  </si>
  <si>
    <t>ORD02739</t>
  </si>
  <si>
    <t>ORD02740</t>
  </si>
  <si>
    <t>ORD02741</t>
  </si>
  <si>
    <t>ORD02742</t>
  </si>
  <si>
    <t>ORD02743</t>
  </si>
  <si>
    <t>ORD02744</t>
  </si>
  <si>
    <t>ORD02745</t>
  </si>
  <si>
    <t>ORD02746</t>
  </si>
  <si>
    <t>ORD02747</t>
  </si>
  <si>
    <t>ORD02748</t>
  </si>
  <si>
    <t>ORD02749</t>
  </si>
  <si>
    <t>ORD02750</t>
  </si>
  <si>
    <t>ORD02751</t>
  </si>
  <si>
    <t>ORD02752</t>
  </si>
  <si>
    <t>ORD02753</t>
  </si>
  <si>
    <t>ORD02754</t>
  </si>
  <si>
    <t>ORD02755</t>
  </si>
  <si>
    <t>ORD02756</t>
  </si>
  <si>
    <t>ORD02757</t>
  </si>
  <si>
    <t>ORD02758</t>
  </si>
  <si>
    <t>ORD02759</t>
  </si>
  <si>
    <t>ORD02760</t>
  </si>
  <si>
    <t>ORD02761</t>
  </si>
  <si>
    <t>ORD02762</t>
  </si>
  <si>
    <t>ORD02763</t>
  </si>
  <si>
    <t>ORD02764</t>
  </si>
  <si>
    <t>ORD02765</t>
  </si>
  <si>
    <t>ORD02766</t>
  </si>
  <si>
    <t>ORD02767</t>
  </si>
  <si>
    <t>ORD02768</t>
  </si>
  <si>
    <t>ORD02769</t>
  </si>
  <si>
    <t>ORD02770</t>
  </si>
  <si>
    <t>ORD02771</t>
  </si>
  <si>
    <t>ORD02772</t>
  </si>
  <si>
    <t>ORD02773</t>
  </si>
  <si>
    <t>ORD02774</t>
  </si>
  <si>
    <t>ORD02775</t>
  </si>
  <si>
    <t>ORD02776</t>
  </si>
  <si>
    <t>ORD02777</t>
  </si>
  <si>
    <t>ORD02778</t>
  </si>
  <si>
    <t>ORD02779</t>
  </si>
  <si>
    <t>ORD02780</t>
  </si>
  <si>
    <t>ORD02781</t>
  </si>
  <si>
    <t>ORD02782</t>
  </si>
  <si>
    <t>ORD02783</t>
  </si>
  <si>
    <t>ORD02784</t>
  </si>
  <si>
    <t>ORD02785</t>
  </si>
  <si>
    <t>ORD02786</t>
  </si>
  <si>
    <t>ORD02787</t>
  </si>
  <si>
    <t>ORD02788</t>
  </si>
  <si>
    <t>ORD02789</t>
  </si>
  <si>
    <t>ORD02790</t>
  </si>
  <si>
    <t>ORD02791</t>
  </si>
  <si>
    <t>ORD02792</t>
  </si>
  <si>
    <t>ORD02793</t>
  </si>
  <si>
    <t>ORD02794</t>
  </si>
  <si>
    <t>ORD02795</t>
  </si>
  <si>
    <t>ORD02796</t>
  </si>
  <si>
    <t>ORD02797</t>
  </si>
  <si>
    <t>ORD02798</t>
  </si>
  <si>
    <t>ORD02799</t>
  </si>
  <si>
    <t>ORD02800</t>
  </si>
  <si>
    <t>ORD02801</t>
  </si>
  <si>
    <t>ORD02802</t>
  </si>
  <si>
    <t>ORD02803</t>
  </si>
  <si>
    <t>ORD02804</t>
  </si>
  <si>
    <t>ORD02805</t>
  </si>
  <si>
    <t>ORD02806</t>
  </si>
  <si>
    <t>ORD02807</t>
  </si>
  <si>
    <t>ORD02808</t>
  </si>
  <si>
    <t>ORD02809</t>
  </si>
  <si>
    <t>ORD02810</t>
  </si>
  <si>
    <t>ORD02811</t>
  </si>
  <si>
    <t>ORD02812</t>
  </si>
  <si>
    <t>ORD02813</t>
  </si>
  <si>
    <t>ORD02814</t>
  </si>
  <si>
    <t>ORD02815</t>
  </si>
  <si>
    <t>ORD02816</t>
  </si>
  <si>
    <t>ORD02817</t>
  </si>
  <si>
    <t>ORD02818</t>
  </si>
  <si>
    <t>ORD02819</t>
  </si>
  <si>
    <t>ORD02820</t>
  </si>
  <si>
    <t>ORD02821</t>
  </si>
  <si>
    <t>ORD02822</t>
  </si>
  <si>
    <t>ORD02823</t>
  </si>
  <si>
    <t>ORD02824</t>
  </si>
  <si>
    <t>ORD02825</t>
  </si>
  <si>
    <t>ORD02826</t>
  </si>
  <si>
    <t>ORD02827</t>
  </si>
  <si>
    <t>ORD02828</t>
  </si>
  <si>
    <t>ORD02829</t>
  </si>
  <si>
    <t>ORD02830</t>
  </si>
  <si>
    <t>ORD02831</t>
  </si>
  <si>
    <t>ORD02832</t>
  </si>
  <si>
    <t>ORD02833</t>
  </si>
  <si>
    <t>ORD02834</t>
  </si>
  <si>
    <t>ORD02835</t>
  </si>
  <si>
    <t>ORD02836</t>
  </si>
  <si>
    <t>ORD02837</t>
  </si>
  <si>
    <t>ORD02838</t>
  </si>
  <si>
    <t>ORD02839</t>
  </si>
  <si>
    <t>ORD02840</t>
  </si>
  <si>
    <t>ORD02841</t>
  </si>
  <si>
    <t>ORD02842</t>
  </si>
  <si>
    <t>ORD02843</t>
  </si>
  <si>
    <t>ORD02844</t>
  </si>
  <si>
    <t>ORD02845</t>
  </si>
  <si>
    <t>ORD02846</t>
  </si>
  <si>
    <t>ORD02847</t>
  </si>
  <si>
    <t>ORD02848</t>
  </si>
  <si>
    <t>ORD02849</t>
  </si>
  <si>
    <t>ORD02850</t>
  </si>
  <si>
    <t>ORD02851</t>
  </si>
  <si>
    <t>ORD02852</t>
  </si>
  <si>
    <t>ORD02853</t>
  </si>
  <si>
    <t>ORD02854</t>
  </si>
  <si>
    <t>ORD02855</t>
  </si>
  <si>
    <t>ORD02856</t>
  </si>
  <si>
    <t>ORD02857</t>
  </si>
  <si>
    <t>ORD02858</t>
  </si>
  <si>
    <t>ORD02859</t>
  </si>
  <si>
    <t>ORD02860</t>
  </si>
  <si>
    <t>ORD02861</t>
  </si>
  <si>
    <t>ORD02862</t>
  </si>
  <si>
    <t>ORD02863</t>
  </si>
  <si>
    <t>ORD02864</t>
  </si>
  <si>
    <t>ORD02865</t>
  </si>
  <si>
    <t>ORD02866</t>
  </si>
  <si>
    <t>ORD02867</t>
  </si>
  <si>
    <t>ORD02868</t>
  </si>
  <si>
    <t>ORD02869</t>
  </si>
  <si>
    <t>ORD02870</t>
  </si>
  <si>
    <t>ORD02871</t>
  </si>
  <si>
    <t>ORD02872</t>
  </si>
  <si>
    <t>ORD02873</t>
  </si>
  <si>
    <t>ORD02874</t>
  </si>
  <si>
    <t>ORD02875</t>
  </si>
  <si>
    <t>ORD02876</t>
  </si>
  <si>
    <t>ORD02877</t>
  </si>
  <si>
    <t>ORD02878</t>
  </si>
  <si>
    <t>ORD02879</t>
  </si>
  <si>
    <t>ORD02880</t>
  </si>
  <si>
    <t>ORD02881</t>
  </si>
  <si>
    <t>ORD02882</t>
  </si>
  <si>
    <t>ORD02883</t>
  </si>
  <si>
    <t>ORD02884</t>
  </si>
  <si>
    <t>ORD02885</t>
  </si>
  <si>
    <t>ORD02886</t>
  </si>
  <si>
    <t>ORD02887</t>
  </si>
  <si>
    <t>ORD02888</t>
  </si>
  <si>
    <t>ORD02889</t>
  </si>
  <si>
    <t>ORD02890</t>
  </si>
  <si>
    <t>ORD02891</t>
  </si>
  <si>
    <t>ORD02892</t>
  </si>
  <si>
    <t>ORD02893</t>
  </si>
  <si>
    <t>ORD02894</t>
  </si>
  <si>
    <t>ORD02895</t>
  </si>
  <si>
    <t>ORD02896</t>
  </si>
  <si>
    <t>ORD02897</t>
  </si>
  <si>
    <t>ORD02898</t>
  </si>
  <si>
    <t>ORD02899</t>
  </si>
  <si>
    <t>ORD02900</t>
  </si>
  <si>
    <t>ORD02901</t>
  </si>
  <si>
    <t>ORD02902</t>
  </si>
  <si>
    <t>ORD02903</t>
  </si>
  <si>
    <t>ORD02904</t>
  </si>
  <si>
    <t>ORD02905</t>
  </si>
  <si>
    <t>ORD02906</t>
  </si>
  <si>
    <t>ORD02907</t>
  </si>
  <si>
    <t>ORD02908</t>
  </si>
  <si>
    <t>ORD02909</t>
  </si>
  <si>
    <t>ORD02910</t>
  </si>
  <si>
    <t>ORD02911</t>
  </si>
  <si>
    <t>ORD02912</t>
  </si>
  <si>
    <t>ORD02913</t>
  </si>
  <si>
    <t>ORD02914</t>
  </si>
  <si>
    <t>ORD02915</t>
  </si>
  <si>
    <t>ORD02916</t>
  </si>
  <si>
    <t>ORD02917</t>
  </si>
  <si>
    <t>ORD02918</t>
  </si>
  <si>
    <t>ORD02919</t>
  </si>
  <si>
    <t>ORD02920</t>
  </si>
  <si>
    <t>ORD02921</t>
  </si>
  <si>
    <t>ORD02922</t>
  </si>
  <si>
    <t>ORD02923</t>
  </si>
  <si>
    <t>ORD02924</t>
  </si>
  <si>
    <t>ORD02925</t>
  </si>
  <si>
    <t>ORD02926</t>
  </si>
  <si>
    <t>ORD02927</t>
  </si>
  <si>
    <t>ORD02928</t>
  </si>
  <si>
    <t>ORD02929</t>
  </si>
  <si>
    <t>ORD02930</t>
  </si>
  <si>
    <t>ORD02931</t>
  </si>
  <si>
    <t>ORD02932</t>
  </si>
  <si>
    <t>ORD02933</t>
  </si>
  <si>
    <t>ORD02934</t>
  </si>
  <si>
    <t>ORD02935</t>
  </si>
  <si>
    <t>ORD02936</t>
  </si>
  <si>
    <t>ORD02937</t>
  </si>
  <si>
    <t>ORD02938</t>
  </si>
  <si>
    <t>ORD02939</t>
  </si>
  <si>
    <t>ORD02940</t>
  </si>
  <si>
    <t>ORD02941</t>
  </si>
  <si>
    <t>ORD02942</t>
  </si>
  <si>
    <t>ORD02943</t>
  </si>
  <si>
    <t>ORD02944</t>
  </si>
  <si>
    <t>ORD02945</t>
  </si>
  <si>
    <t>ORD02946</t>
  </si>
  <si>
    <t>ORD02947</t>
  </si>
  <si>
    <t>ORD02948</t>
  </si>
  <si>
    <t>ORD02949</t>
  </si>
  <si>
    <t>ORD02950</t>
  </si>
  <si>
    <t>ORD02951</t>
  </si>
  <si>
    <t>ORD02952</t>
  </si>
  <si>
    <t>ORD02953</t>
  </si>
  <si>
    <t>ORD02954</t>
  </si>
  <si>
    <t>ORD02955</t>
  </si>
  <si>
    <t>ORD02956</t>
  </si>
  <si>
    <t>ORD02957</t>
  </si>
  <si>
    <t>ORD02958</t>
  </si>
  <si>
    <t>ORD02959</t>
  </si>
  <si>
    <t>ORD02960</t>
  </si>
  <si>
    <t>ORD02961</t>
  </si>
  <si>
    <t>ORD02962</t>
  </si>
  <si>
    <t>ORD02963</t>
  </si>
  <si>
    <t>ORD02964</t>
  </si>
  <si>
    <t>ORD02965</t>
  </si>
  <si>
    <t>ORD02966</t>
  </si>
  <si>
    <t>ORD02967</t>
  </si>
  <si>
    <t>ORD02968</t>
  </si>
  <si>
    <t>ORD02969</t>
  </si>
  <si>
    <t>ORD02970</t>
  </si>
  <si>
    <t>ORD02971</t>
  </si>
  <si>
    <t>ORD02972</t>
  </si>
  <si>
    <t>ORD02973</t>
  </si>
  <si>
    <t>ORD02974</t>
  </si>
  <si>
    <t>ORD02975</t>
  </si>
  <si>
    <t>ORD02976</t>
  </si>
  <si>
    <t>ORD02977</t>
  </si>
  <si>
    <t>ORD02978</t>
  </si>
  <si>
    <t>ORD02979</t>
  </si>
  <si>
    <t>ORD02980</t>
  </si>
  <si>
    <t>ORD02981</t>
  </si>
  <si>
    <t>ORD02982</t>
  </si>
  <si>
    <t>ORD02983</t>
  </si>
  <si>
    <t>ORD02984</t>
  </si>
  <si>
    <t>ORD02985</t>
  </si>
  <si>
    <t>ORD02986</t>
  </si>
  <si>
    <t>ORD02987</t>
  </si>
  <si>
    <t>ORD02988</t>
  </si>
  <si>
    <t>ORD02989</t>
  </si>
  <si>
    <t>ORD02990</t>
  </si>
  <si>
    <t>ORD02991</t>
  </si>
  <si>
    <t>ORD02992</t>
  </si>
  <si>
    <t>ORD02993</t>
  </si>
  <si>
    <t>ORD02994</t>
  </si>
  <si>
    <t>ORD02995</t>
  </si>
  <si>
    <t>ORD02996</t>
  </si>
  <si>
    <t>ORD02997</t>
  </si>
  <si>
    <t>ORD02998</t>
  </si>
  <si>
    <t>ORD02999</t>
  </si>
  <si>
    <t>ORD03000</t>
  </si>
  <si>
    <t>ORD03001</t>
  </si>
  <si>
    <t>ORD03002</t>
  </si>
  <si>
    <t>ORD03003</t>
  </si>
  <si>
    <t>ORD03004</t>
  </si>
  <si>
    <t>ORD03005</t>
  </si>
  <si>
    <t>ORD03006</t>
  </si>
  <si>
    <t>ORD03007</t>
  </si>
  <si>
    <t>ORD03008</t>
  </si>
  <si>
    <t>ORD03009</t>
  </si>
  <si>
    <t>ORD03010</t>
  </si>
  <si>
    <t>ORD03011</t>
  </si>
  <si>
    <t>ORD03012</t>
  </si>
  <si>
    <t>ORD03013</t>
  </si>
  <si>
    <t>ORD03014</t>
  </si>
  <si>
    <t>ORD03015</t>
  </si>
  <si>
    <t>ORD03016</t>
  </si>
  <si>
    <t>ORD03017</t>
  </si>
  <si>
    <t>ORD03018</t>
  </si>
  <si>
    <t>ORD03019</t>
  </si>
  <si>
    <t>ORD03020</t>
  </si>
  <si>
    <t>ORD03021</t>
  </si>
  <si>
    <t>ORD03022</t>
  </si>
  <si>
    <t>ORD03023</t>
  </si>
  <si>
    <t>ORD03024</t>
  </si>
  <si>
    <t>ORD03025</t>
  </si>
  <si>
    <t>ORD03026</t>
  </si>
  <si>
    <t>ORD03027</t>
  </si>
  <si>
    <t>ORD03028</t>
  </si>
  <si>
    <t>ORD03029</t>
  </si>
  <si>
    <t>ORD03030</t>
  </si>
  <si>
    <t>ORD03031</t>
  </si>
  <si>
    <t>ORD03032</t>
  </si>
  <si>
    <t>ORD03033</t>
  </si>
  <si>
    <t>ORD03034</t>
  </si>
  <si>
    <t>ORD03035</t>
  </si>
  <si>
    <t>ORD03036</t>
  </si>
  <si>
    <t>ORD03037</t>
  </si>
  <si>
    <t>ORD03038</t>
  </si>
  <si>
    <t>ORD03039</t>
  </si>
  <si>
    <t>ORD03040</t>
  </si>
  <si>
    <t>ORD03041</t>
  </si>
  <si>
    <t>ORD03042</t>
  </si>
  <si>
    <t>ORD03043</t>
  </si>
  <si>
    <t>ORD03044</t>
  </si>
  <si>
    <t>ORD03045</t>
  </si>
  <si>
    <t>ORD03046</t>
  </si>
  <si>
    <t>ORD03047</t>
  </si>
  <si>
    <t>ORD03048</t>
  </si>
  <si>
    <t>ORD03049</t>
  </si>
  <si>
    <t>ORD03050</t>
  </si>
  <si>
    <t>ORD03051</t>
  </si>
  <si>
    <t>ORD03052</t>
  </si>
  <si>
    <t>ORD03053</t>
  </si>
  <si>
    <t>ORD03054</t>
  </si>
  <si>
    <t>ORD03055</t>
  </si>
  <si>
    <t>ORD03056</t>
  </si>
  <si>
    <t>ORD03057</t>
  </si>
  <si>
    <t>ORD03058</t>
  </si>
  <si>
    <t>ORD03059</t>
  </si>
  <si>
    <t>ORD03060</t>
  </si>
  <si>
    <t>ORD03061</t>
  </si>
  <si>
    <t>ORD03062</t>
  </si>
  <si>
    <t>ORD03063</t>
  </si>
  <si>
    <t>ORD03064</t>
  </si>
  <si>
    <t>ORD03065</t>
  </si>
  <si>
    <t>ORD03066</t>
  </si>
  <si>
    <t>ORD03067</t>
  </si>
  <si>
    <t>ORD03068</t>
  </si>
  <si>
    <t>ORD03069</t>
  </si>
  <si>
    <t>ORD03070</t>
  </si>
  <si>
    <t>ORD03071</t>
  </si>
  <si>
    <t>ORD03072</t>
  </si>
  <si>
    <t>ORD03073</t>
  </si>
  <si>
    <t>ORD03074</t>
  </si>
  <si>
    <t>ORD03075</t>
  </si>
  <si>
    <t>ORD03076</t>
  </si>
  <si>
    <t>ORD03077</t>
  </si>
  <si>
    <t>ORD03078</t>
  </si>
  <si>
    <t>ORD03079</t>
  </si>
  <si>
    <t>ORD03080</t>
  </si>
  <si>
    <t>ORD03081</t>
  </si>
  <si>
    <t>ORD03082</t>
  </si>
  <si>
    <t>ORD03083</t>
  </si>
  <si>
    <t>ORD03084</t>
  </si>
  <si>
    <t>ORD03085</t>
  </si>
  <si>
    <t>ORD03086</t>
  </si>
  <si>
    <t>ORD03087</t>
  </si>
  <si>
    <t>ORD03088</t>
  </si>
  <si>
    <t>ORD03089</t>
  </si>
  <si>
    <t>ORD03090</t>
  </si>
  <si>
    <t>ORD03091</t>
  </si>
  <si>
    <t>ORD03092</t>
  </si>
  <si>
    <t>ORD03093</t>
  </si>
  <si>
    <t>ORD03094</t>
  </si>
  <si>
    <t>ORD03095</t>
  </si>
  <si>
    <t>ORD03096</t>
  </si>
  <si>
    <t>ORD03097</t>
  </si>
  <si>
    <t>ORD03098</t>
  </si>
  <si>
    <t>ORD03099</t>
  </si>
  <si>
    <t>ORD03100</t>
  </si>
  <si>
    <t>ORD03101</t>
  </si>
  <si>
    <t>ORD03102</t>
  </si>
  <si>
    <t>ORD03103</t>
  </si>
  <si>
    <t>ORD03104</t>
  </si>
  <si>
    <t>ORD03105</t>
  </si>
  <si>
    <t>ORD03106</t>
  </si>
  <si>
    <t>ORD03107</t>
  </si>
  <si>
    <t>ORD03108</t>
  </si>
  <si>
    <t>ORD03109</t>
  </si>
  <si>
    <t>ORD03110</t>
  </si>
  <si>
    <t>ORD03111</t>
  </si>
  <si>
    <t>ORD03112</t>
  </si>
  <si>
    <t>ORD03113</t>
  </si>
  <si>
    <t>ORD03114</t>
  </si>
  <si>
    <t>ORD03115</t>
  </si>
  <si>
    <t>ORD03116</t>
  </si>
  <si>
    <t>ORD03117</t>
  </si>
  <si>
    <t>ORD03118</t>
  </si>
  <si>
    <t>ORD03119</t>
  </si>
  <si>
    <t>ORD03120</t>
  </si>
  <si>
    <t>ORD03121</t>
  </si>
  <si>
    <t>ORD03122</t>
  </si>
  <si>
    <t>ORD03123</t>
  </si>
  <si>
    <t>ORD03124</t>
  </si>
  <si>
    <t>ORD03125</t>
  </si>
  <si>
    <t>ORD03126</t>
  </si>
  <si>
    <t>ORD03127</t>
  </si>
  <si>
    <t>ORD03128</t>
  </si>
  <si>
    <t>ORD03129</t>
  </si>
  <si>
    <t>ORD03130</t>
  </si>
  <si>
    <t>ORD03131</t>
  </si>
  <si>
    <t>ORD03132</t>
  </si>
  <si>
    <t>ORD03133</t>
  </si>
  <si>
    <t>ORD03134</t>
  </si>
  <si>
    <t>ORD03135</t>
  </si>
  <si>
    <t>ORD03136</t>
  </si>
  <si>
    <t>ORD03137</t>
  </si>
  <si>
    <t>ORD03138</t>
  </si>
  <si>
    <t>ORD03139</t>
  </si>
  <si>
    <t>ORD03140</t>
  </si>
  <si>
    <t>ORD03141</t>
  </si>
  <si>
    <t>ORD03142</t>
  </si>
  <si>
    <t>ORD03143</t>
  </si>
  <si>
    <t>ORD03144</t>
  </si>
  <si>
    <t>ORD03145</t>
  </si>
  <si>
    <t>ORD03146</t>
  </si>
  <si>
    <t>ORD03147</t>
  </si>
  <si>
    <t>ORD03148</t>
  </si>
  <si>
    <t>ORD03149</t>
  </si>
  <si>
    <t>ORD03150</t>
  </si>
  <si>
    <t>ORD03151</t>
  </si>
  <si>
    <t>ORD03152</t>
  </si>
  <si>
    <t>ORD03153</t>
  </si>
  <si>
    <t>ORD03154</t>
  </si>
  <si>
    <t>ORD03155</t>
  </si>
  <si>
    <t>ORD03156</t>
  </si>
  <si>
    <t>ORD03157</t>
  </si>
  <si>
    <t>ORD03158</t>
  </si>
  <si>
    <t>ORD03159</t>
  </si>
  <si>
    <t>ORD03160</t>
  </si>
  <si>
    <t>ORD03161</t>
  </si>
  <si>
    <t>ORD03162</t>
  </si>
  <si>
    <t>ORD03163</t>
  </si>
  <si>
    <t>ORD03164</t>
  </si>
  <si>
    <t>ORD03165</t>
  </si>
  <si>
    <t>ORD03166</t>
  </si>
  <si>
    <t>ORD03167</t>
  </si>
  <si>
    <t>ORD03168</t>
  </si>
  <si>
    <t>ORD03169</t>
  </si>
  <si>
    <t>ORD03170</t>
  </si>
  <si>
    <t>ORD03171</t>
  </si>
  <si>
    <t>ORD03172</t>
  </si>
  <si>
    <t>ORD03173</t>
  </si>
  <si>
    <t>ORD03174</t>
  </si>
  <si>
    <t>ORD03175</t>
  </si>
  <si>
    <t>ORD03176</t>
  </si>
  <si>
    <t>ORD03177</t>
  </si>
  <si>
    <t>ORD03178</t>
  </si>
  <si>
    <t>ORD03179</t>
  </si>
  <si>
    <t>ORD03180</t>
  </si>
  <si>
    <t>ORD03181</t>
  </si>
  <si>
    <t>ORD03182</t>
  </si>
  <si>
    <t>ORD03183</t>
  </si>
  <si>
    <t>ORD03184</t>
  </si>
  <si>
    <t>ORD03185</t>
  </si>
  <si>
    <t>ORD03186</t>
  </si>
  <si>
    <t>ORD03187</t>
  </si>
  <si>
    <t>ORD03188</t>
  </si>
  <si>
    <t>ORD03189</t>
  </si>
  <si>
    <t>ORD03190</t>
  </si>
  <si>
    <t>ORD03191</t>
  </si>
  <si>
    <t>ORD03192</t>
  </si>
  <si>
    <t>ORD03193</t>
  </si>
  <si>
    <t>ORD03194</t>
  </si>
  <si>
    <t>ORD03195</t>
  </si>
  <si>
    <t>ORD03196</t>
  </si>
  <si>
    <t>ORD03197</t>
  </si>
  <si>
    <t>ORD03198</t>
  </si>
  <si>
    <t>ORD03199</t>
  </si>
  <si>
    <t>ORD03200</t>
  </si>
  <si>
    <t>ORD03201</t>
  </si>
  <si>
    <t>ORD03202</t>
  </si>
  <si>
    <t>ORD03203</t>
  </si>
  <si>
    <t>ORD03204</t>
  </si>
  <si>
    <t>ORD03205</t>
  </si>
  <si>
    <t>ORD03206</t>
  </si>
  <si>
    <t>ORD03207</t>
  </si>
  <si>
    <t>ORD03208</t>
  </si>
  <si>
    <t>ORD03209</t>
  </si>
  <si>
    <t>ORD03210</t>
  </si>
  <si>
    <t>ORD03211</t>
  </si>
  <si>
    <t>ORD03212</t>
  </si>
  <si>
    <t>ORD03213</t>
  </si>
  <si>
    <t>ORD03214</t>
  </si>
  <si>
    <t>ORD03215</t>
  </si>
  <si>
    <t>ORD03216</t>
  </si>
  <si>
    <t>ORD03217</t>
  </si>
  <si>
    <t>ORD03218</t>
  </si>
  <si>
    <t>ORD03219</t>
  </si>
  <si>
    <t>ORD03220</t>
  </si>
  <si>
    <t>ORD03221</t>
  </si>
  <si>
    <t>ORD03222</t>
  </si>
  <si>
    <t>ORD03223</t>
  </si>
  <si>
    <t>ORD03224</t>
  </si>
  <si>
    <t>ORD03225</t>
  </si>
  <si>
    <t>ORD03226</t>
  </si>
  <si>
    <t>ORD03227</t>
  </si>
  <si>
    <t>ORD03228</t>
  </si>
  <si>
    <t>ORD03229</t>
  </si>
  <si>
    <t>ORD03230</t>
  </si>
  <si>
    <t>ORD03231</t>
  </si>
  <si>
    <t>ORD03232</t>
  </si>
  <si>
    <t>ORD03233</t>
  </si>
  <si>
    <t>ORD03234</t>
  </si>
  <si>
    <t>ORD03235</t>
  </si>
  <si>
    <t>ORD03236</t>
  </si>
  <si>
    <t>ORD03237</t>
  </si>
  <si>
    <t>ORD03238</t>
  </si>
  <si>
    <t>ORD03239</t>
  </si>
  <si>
    <t>ORD03240</t>
  </si>
  <si>
    <t>ORD03241</t>
  </si>
  <si>
    <t>ORD03242</t>
  </si>
  <si>
    <t>ORD03243</t>
  </si>
  <si>
    <t>ORD03244</t>
  </si>
  <si>
    <t>ORD03245</t>
  </si>
  <si>
    <t>ORD03246</t>
  </si>
  <si>
    <t>ORD03247</t>
  </si>
  <si>
    <t>ORD03248</t>
  </si>
  <si>
    <t>ORD03249</t>
  </si>
  <si>
    <t>ORD03250</t>
  </si>
  <si>
    <t>ORD03251</t>
  </si>
  <si>
    <t>ORD03252</t>
  </si>
  <si>
    <t>ORD03253</t>
  </si>
  <si>
    <t>ORD03254</t>
  </si>
  <si>
    <t>ORD03255</t>
  </si>
  <si>
    <t>ORD03256</t>
  </si>
  <si>
    <t>ORD03257</t>
  </si>
  <si>
    <t>ORD03258</t>
  </si>
  <si>
    <t>ORD03259</t>
  </si>
  <si>
    <t>ORD03260</t>
  </si>
  <si>
    <t>ORD03261</t>
  </si>
  <si>
    <t>ORD03262</t>
  </si>
  <si>
    <t>ORD03263</t>
  </si>
  <si>
    <t>ORD03264</t>
  </si>
  <si>
    <t>ORD03265</t>
  </si>
  <si>
    <t>ORD03266</t>
  </si>
  <si>
    <t>ORD03267</t>
  </si>
  <si>
    <t>ORD03268</t>
  </si>
  <si>
    <t>ORD03269</t>
  </si>
  <si>
    <t>ORD03270</t>
  </si>
  <si>
    <t>ORD03271</t>
  </si>
  <si>
    <t>ORD03272</t>
  </si>
  <si>
    <t>ORD03273</t>
  </si>
  <si>
    <t>ORD03274</t>
  </si>
  <si>
    <t>ORD03275</t>
  </si>
  <si>
    <t>ORD03276</t>
  </si>
  <si>
    <t>ORD03277</t>
  </si>
  <si>
    <t>ORD03278</t>
  </si>
  <si>
    <t>ORD03279</t>
  </si>
  <si>
    <t>ORD03280</t>
  </si>
  <si>
    <t>ORD03281</t>
  </si>
  <si>
    <t>ORD03282</t>
  </si>
  <si>
    <t>ORD03283</t>
  </si>
  <si>
    <t>ORD03284</t>
  </si>
  <si>
    <t>ORD03285</t>
  </si>
  <si>
    <t>ORD03286</t>
  </si>
  <si>
    <t>ORD03287</t>
  </si>
  <si>
    <t>ORD03288</t>
  </si>
  <si>
    <t>ORD03289</t>
  </si>
  <si>
    <t>ORD03290</t>
  </si>
  <si>
    <t>ORD03291</t>
  </si>
  <si>
    <t>ORD03292</t>
  </si>
  <si>
    <t>ORD03293</t>
  </si>
  <si>
    <t>ORD03294</t>
  </si>
  <si>
    <t>ORD03295</t>
  </si>
  <si>
    <t>ORD03296</t>
  </si>
  <si>
    <t>ORD03297</t>
  </si>
  <si>
    <t>ORD03298</t>
  </si>
  <si>
    <t>ORD03299</t>
  </si>
  <si>
    <t>ORD03300</t>
  </si>
  <si>
    <t>ORD03301</t>
  </si>
  <si>
    <t>ORD03302</t>
  </si>
  <si>
    <t>ORD03303</t>
  </si>
  <si>
    <t>ORD03304</t>
  </si>
  <si>
    <t>ORD03305</t>
  </si>
  <si>
    <t>ORD03306</t>
  </si>
  <si>
    <t>ORD03307</t>
  </si>
  <si>
    <t>ORD03308</t>
  </si>
  <si>
    <t>ORD03309</t>
  </si>
  <si>
    <t>ORD03310</t>
  </si>
  <si>
    <t>ORD03311</t>
  </si>
  <si>
    <t>ORD03312</t>
  </si>
  <si>
    <t>ORD03313</t>
  </si>
  <si>
    <t>ORD03314</t>
  </si>
  <si>
    <t>ORD03315</t>
  </si>
  <si>
    <t>ORD03316</t>
  </si>
  <si>
    <t>ORD03317</t>
  </si>
  <si>
    <t>ORD03318</t>
  </si>
  <si>
    <t>ORD03319</t>
  </si>
  <si>
    <t>ORD03320</t>
  </si>
  <si>
    <t>ORD03321</t>
  </si>
  <si>
    <t>ORD03322</t>
  </si>
  <si>
    <t>ORD03323</t>
  </si>
  <si>
    <t>ORD03324</t>
  </si>
  <si>
    <t>ORD03325</t>
  </si>
  <si>
    <t>ORD03326</t>
  </si>
  <si>
    <t>ORD03327</t>
  </si>
  <si>
    <t>ORD03328</t>
  </si>
  <si>
    <t>ORD03329</t>
  </si>
  <si>
    <t>ORD03330</t>
  </si>
  <si>
    <t>ORD03331</t>
  </si>
  <si>
    <t>ORD03332</t>
  </si>
  <si>
    <t>ORD03333</t>
  </si>
  <si>
    <t>ORD03334</t>
  </si>
  <si>
    <t>ORD03335</t>
  </si>
  <si>
    <t>ORD03336</t>
  </si>
  <si>
    <t>ORD03337</t>
  </si>
  <si>
    <t>ORD03338</t>
  </si>
  <si>
    <t>ORD03339</t>
  </si>
  <si>
    <t>ORD03340</t>
  </si>
  <si>
    <t>ORD03341</t>
  </si>
  <si>
    <t>ORD03342</t>
  </si>
  <si>
    <t>ORD03343</t>
  </si>
  <si>
    <t>ORD03344</t>
  </si>
  <si>
    <t>ORD03345</t>
  </si>
  <si>
    <t>ORD03346</t>
  </si>
  <si>
    <t>ORD03347</t>
  </si>
  <si>
    <t>ORD03348</t>
  </si>
  <si>
    <t>ORD03349</t>
  </si>
  <si>
    <t>ORD03350</t>
  </si>
  <si>
    <t>ORD03351</t>
  </si>
  <si>
    <t>ORD03352</t>
  </si>
  <si>
    <t>ORD03353</t>
  </si>
  <si>
    <t>ORD03354</t>
  </si>
  <si>
    <t>ORD03355</t>
  </si>
  <si>
    <t>ORD03356</t>
  </si>
  <si>
    <t>ORD03357</t>
  </si>
  <si>
    <t>ORD03358</t>
  </si>
  <si>
    <t>ORD03359</t>
  </si>
  <si>
    <t>ORD03360</t>
  </si>
  <si>
    <t>ORD03361</t>
  </si>
  <si>
    <t>ORD03362</t>
  </si>
  <si>
    <t>ORD03363</t>
  </si>
  <si>
    <t>ORD03364</t>
  </si>
  <si>
    <t>ORD03365</t>
  </si>
  <si>
    <t>ORD03366</t>
  </si>
  <si>
    <t>ORD03367</t>
  </si>
  <si>
    <t>ORD03368</t>
  </si>
  <si>
    <t>ORD03369</t>
  </si>
  <si>
    <t>ORD03370</t>
  </si>
  <si>
    <t>ORD03371</t>
  </si>
  <si>
    <t>ORD03372</t>
  </si>
  <si>
    <t>ORD03373</t>
  </si>
  <si>
    <t>ORD03374</t>
  </si>
  <si>
    <t>ORD03375</t>
  </si>
  <si>
    <t>ORD03376</t>
  </si>
  <si>
    <t>ORD03377</t>
  </si>
  <si>
    <t>ORD03378</t>
  </si>
  <si>
    <t>ORD03379</t>
  </si>
  <si>
    <t>ORD03380</t>
  </si>
  <si>
    <t>ORD03381</t>
  </si>
  <si>
    <t>ORD03382</t>
  </si>
  <si>
    <t>ORD03383</t>
  </si>
  <si>
    <t>ORD03384</t>
  </si>
  <si>
    <t>ORD03385</t>
  </si>
  <si>
    <t>ORD03386</t>
  </si>
  <si>
    <t>ORD03387</t>
  </si>
  <si>
    <t>ORD03388</t>
  </si>
  <si>
    <t>ORD03389</t>
  </si>
  <si>
    <t>ORD03390</t>
  </si>
  <si>
    <t>ORD03391</t>
  </si>
  <si>
    <t>ORD03392</t>
  </si>
  <si>
    <t>ORD03393</t>
  </si>
  <si>
    <t>ORD03394</t>
  </si>
  <si>
    <t>ORD03395</t>
  </si>
  <si>
    <t>ORD03396</t>
  </si>
  <si>
    <t>ORD03397</t>
  </si>
  <si>
    <t>ORD03398</t>
  </si>
  <si>
    <t>ORD03399</t>
  </si>
  <si>
    <t>ORD03400</t>
  </si>
  <si>
    <t>ORD03401</t>
  </si>
  <si>
    <t>ORD03402</t>
  </si>
  <si>
    <t>ORD03403</t>
  </si>
  <si>
    <t>ORD03404</t>
  </si>
  <si>
    <t>ORD03405</t>
  </si>
  <si>
    <t>ORD03406</t>
  </si>
  <si>
    <t>ORD03407</t>
  </si>
  <si>
    <t>ORD03408</t>
  </si>
  <si>
    <t>ORD03409</t>
  </si>
  <si>
    <t>ORD03410</t>
  </si>
  <si>
    <t>ORD03411</t>
  </si>
  <si>
    <t>ORD03412</t>
  </si>
  <si>
    <t>ORD03413</t>
  </si>
  <si>
    <t>ORD03414</t>
  </si>
  <si>
    <t>ORD03415</t>
  </si>
  <si>
    <t>ORD03416</t>
  </si>
  <si>
    <t>ORD03417</t>
  </si>
  <si>
    <t>ORD03418</t>
  </si>
  <si>
    <t>ORD03419</t>
  </si>
  <si>
    <t>ORD03420</t>
  </si>
  <si>
    <t>ORD03421</t>
  </si>
  <si>
    <t>ORD03422</t>
  </si>
  <si>
    <t>ORD03423</t>
  </si>
  <si>
    <t>ORD03424</t>
  </si>
  <si>
    <t>ORD03425</t>
  </si>
  <si>
    <t>ORD03426</t>
  </si>
  <si>
    <t>ORD03427</t>
  </si>
  <si>
    <t>ORD03428</t>
  </si>
  <si>
    <t>ORD03429</t>
  </si>
  <si>
    <t>ORD03430</t>
  </si>
  <si>
    <t>ORD03431</t>
  </si>
  <si>
    <t>ORD03432</t>
  </si>
  <si>
    <t>ORD03433</t>
  </si>
  <si>
    <t>ORD03434</t>
  </si>
  <si>
    <t>ORD03435</t>
  </si>
  <si>
    <t>ORD03436</t>
  </si>
  <si>
    <t>ORD03437</t>
  </si>
  <si>
    <t>ORD03438</t>
  </si>
  <si>
    <t>ORD03439</t>
  </si>
  <si>
    <t>ORD03440</t>
  </si>
  <si>
    <t>ORD03441</t>
  </si>
  <si>
    <t>ORD03442</t>
  </si>
  <si>
    <t>ORD03443</t>
  </si>
  <si>
    <t>ORD03444</t>
  </si>
  <si>
    <t>ORD03445</t>
  </si>
  <si>
    <t>ORD03446</t>
  </si>
  <si>
    <t>ORD03447</t>
  </si>
  <si>
    <t>ORD03448</t>
  </si>
  <si>
    <t>ORD03449</t>
  </si>
  <si>
    <t>ORD03450</t>
  </si>
  <si>
    <t>ORD03451</t>
  </si>
  <si>
    <t>ORD03452</t>
  </si>
  <si>
    <t>ORD03453</t>
  </si>
  <si>
    <t>ORD03454</t>
  </si>
  <si>
    <t>ORD03455</t>
  </si>
  <si>
    <t>ORD03456</t>
  </si>
  <si>
    <t>ORD03457</t>
  </si>
  <si>
    <t>ORD03458</t>
  </si>
  <si>
    <t>ORD03459</t>
  </si>
  <si>
    <t>ORD03460</t>
  </si>
  <si>
    <t>ORD03461</t>
  </si>
  <si>
    <t>ORD03462</t>
  </si>
  <si>
    <t>ORD03463</t>
  </si>
  <si>
    <t>ORD03464</t>
  </si>
  <si>
    <t>ORD03465</t>
  </si>
  <si>
    <t>ORD03466</t>
  </si>
  <si>
    <t>ORD03467</t>
  </si>
  <si>
    <t>ORD03468</t>
  </si>
  <si>
    <t>ORD03469</t>
  </si>
  <si>
    <t>ORD03470</t>
  </si>
  <si>
    <t>ORD03471</t>
  </si>
  <si>
    <t>ORD03472</t>
  </si>
  <si>
    <t>ORD03473</t>
  </si>
  <si>
    <t>ORD03474</t>
  </si>
  <si>
    <t>ORD03475</t>
  </si>
  <si>
    <t>ORD03476</t>
  </si>
  <si>
    <t>ORD03477</t>
  </si>
  <si>
    <t>ORD03478</t>
  </si>
  <si>
    <t>ORD03479</t>
  </si>
  <si>
    <t>ORD03480</t>
  </si>
  <si>
    <t>ORD03481</t>
  </si>
  <si>
    <t>ORD03482</t>
  </si>
  <si>
    <t>ORD03483</t>
  </si>
  <si>
    <t>ORD03484</t>
  </si>
  <si>
    <t>ORD03485</t>
  </si>
  <si>
    <t>ORD03486</t>
  </si>
  <si>
    <t>ORD03487</t>
  </si>
  <si>
    <t>ORD03488</t>
  </si>
  <si>
    <t>ORD03489</t>
  </si>
  <si>
    <t>ORD03490</t>
  </si>
  <si>
    <t>ORD03491</t>
  </si>
  <si>
    <t>ORD03492</t>
  </si>
  <si>
    <t>ORD03493</t>
  </si>
  <si>
    <t>ORD03494</t>
  </si>
  <si>
    <t>ORD03495</t>
  </si>
  <si>
    <t>ORD03496</t>
  </si>
  <si>
    <t>ORD03497</t>
  </si>
  <si>
    <t>ORD03498</t>
  </si>
  <si>
    <t>ORD03499</t>
  </si>
  <si>
    <t>ORD03500</t>
  </si>
  <si>
    <t>ORD03501</t>
  </si>
  <si>
    <t>ORD03502</t>
  </si>
  <si>
    <t>ORD03503</t>
  </si>
  <si>
    <t>ORD03504</t>
  </si>
  <si>
    <t>ORD03505</t>
  </si>
  <si>
    <t>ORD03506</t>
  </si>
  <si>
    <t>ORD03507</t>
  </si>
  <si>
    <t>ORD03508</t>
  </si>
  <si>
    <t>ORD03509</t>
  </si>
  <si>
    <t>ORD03510</t>
  </si>
  <si>
    <t>ORD03511</t>
  </si>
  <si>
    <t>ORD03512</t>
  </si>
  <si>
    <t>ORD03513</t>
  </si>
  <si>
    <t>ORD03514</t>
  </si>
  <si>
    <t>ORD03515</t>
  </si>
  <si>
    <t>ORD03516</t>
  </si>
  <si>
    <t>ORD03517</t>
  </si>
  <si>
    <t>ORD03518</t>
  </si>
  <si>
    <t>ORD03519</t>
  </si>
  <si>
    <t>ORD03520</t>
  </si>
  <si>
    <t>ORD03521</t>
  </si>
  <si>
    <t>ORD03522</t>
  </si>
  <si>
    <t>ORD03523</t>
  </si>
  <si>
    <t>ORD03524</t>
  </si>
  <si>
    <t>ORD03525</t>
  </si>
  <si>
    <t>ORD03526</t>
  </si>
  <si>
    <t>ORD03527</t>
  </si>
  <si>
    <t>ORD03528</t>
  </si>
  <si>
    <t>ORD03529</t>
  </si>
  <si>
    <t>ORD03530</t>
  </si>
  <si>
    <t>ORD03531</t>
  </si>
  <si>
    <t>ORD03532</t>
  </si>
  <si>
    <t>ORD03533</t>
  </si>
  <si>
    <t>ORD03534</t>
  </si>
  <si>
    <t>ORD03535</t>
  </si>
  <si>
    <t>ORD03536</t>
  </si>
  <si>
    <t>ORD03537</t>
  </si>
  <si>
    <t>ORD03538</t>
  </si>
  <si>
    <t>ORD03539</t>
  </si>
  <si>
    <t>ORD03540</t>
  </si>
  <si>
    <t>ORD03541</t>
  </si>
  <si>
    <t>ORD03542</t>
  </si>
  <si>
    <t>ORD03543</t>
  </si>
  <si>
    <t>ORD03544</t>
  </si>
  <si>
    <t>ORD03545</t>
  </si>
  <si>
    <t>ORD03546</t>
  </si>
  <si>
    <t>ORD03547</t>
  </si>
  <si>
    <t>ORD03548</t>
  </si>
  <si>
    <t>ORD03549</t>
  </si>
  <si>
    <t>ORD03550</t>
  </si>
  <si>
    <t>ORD03551</t>
  </si>
  <si>
    <t>ORD03552</t>
  </si>
  <si>
    <t>ORD03553</t>
  </si>
  <si>
    <t>ORD03554</t>
  </si>
  <si>
    <t>ORD03555</t>
  </si>
  <si>
    <t>ORD03556</t>
  </si>
  <si>
    <t>ORD03557</t>
  </si>
  <si>
    <t>ORD03558</t>
  </si>
  <si>
    <t>ORD03559</t>
  </si>
  <si>
    <t>ORD03560</t>
  </si>
  <si>
    <t>ORD03561</t>
  </si>
  <si>
    <t>ORD03562</t>
  </si>
  <si>
    <t>ORD03563</t>
  </si>
  <si>
    <t>ORD03564</t>
  </si>
  <si>
    <t>ORD03565</t>
  </si>
  <si>
    <t>ORD03566</t>
  </si>
  <si>
    <t>ORD03567</t>
  </si>
  <si>
    <t>ORD03568</t>
  </si>
  <si>
    <t>ORD03569</t>
  </si>
  <si>
    <t>ORD03570</t>
  </si>
  <si>
    <t>ORD03571</t>
  </si>
  <si>
    <t>ORD03572</t>
  </si>
  <si>
    <t>ORD03573</t>
  </si>
  <si>
    <t>ORD03574</t>
  </si>
  <si>
    <t>ORD03575</t>
  </si>
  <si>
    <t>ORD03576</t>
  </si>
  <si>
    <t>ORD03577</t>
  </si>
  <si>
    <t>ORD03578</t>
  </si>
  <si>
    <t>ORD03579</t>
  </si>
  <si>
    <t>ORD03580</t>
  </si>
  <si>
    <t>ORD03581</t>
  </si>
  <si>
    <t>ORD03582</t>
  </si>
  <si>
    <t>ORD03583</t>
  </si>
  <si>
    <t>ORD03584</t>
  </si>
  <si>
    <t>ORD03585</t>
  </si>
  <si>
    <t>ORD03586</t>
  </si>
  <si>
    <t>ORD03587</t>
  </si>
  <si>
    <t>ORD03588</t>
  </si>
  <si>
    <t>ORD03589</t>
  </si>
  <si>
    <t>ORD03590</t>
  </si>
  <si>
    <t>ORD03591</t>
  </si>
  <si>
    <t>ORD03592</t>
  </si>
  <si>
    <t>ORD03593</t>
  </si>
  <si>
    <t>ORD03594</t>
  </si>
  <si>
    <t>ORD03595</t>
  </si>
  <si>
    <t>ORD03596</t>
  </si>
  <si>
    <t>ORD03597</t>
  </si>
  <si>
    <t>ORD03598</t>
  </si>
  <si>
    <t>ORD03599</t>
  </si>
  <si>
    <t>ORD03600</t>
  </si>
  <si>
    <t>ORD03601</t>
  </si>
  <si>
    <t>ORD03602</t>
  </si>
  <si>
    <t>ORD03603</t>
  </si>
  <si>
    <t>ORD03604</t>
  </si>
  <si>
    <t>ORD03605</t>
  </si>
  <si>
    <t>ORD03606</t>
  </si>
  <si>
    <t>ORD03607</t>
  </si>
  <si>
    <t>ORD03608</t>
  </si>
  <si>
    <t>ORD03609</t>
  </si>
  <si>
    <t>ORD03610</t>
  </si>
  <si>
    <t>ORD03611</t>
  </si>
  <si>
    <t>ORD03612</t>
  </si>
  <si>
    <t>ORD03613</t>
  </si>
  <si>
    <t>ORD03614</t>
  </si>
  <si>
    <t>ORD03615</t>
  </si>
  <si>
    <t>ORD03616</t>
  </si>
  <si>
    <t>ORD03617</t>
  </si>
  <si>
    <t>ORD03618</t>
  </si>
  <si>
    <t>ORD03619</t>
  </si>
  <si>
    <t>ORD03620</t>
  </si>
  <si>
    <t>ORD03621</t>
  </si>
  <si>
    <t>ORD03622</t>
  </si>
  <si>
    <t>ORD03623</t>
  </si>
  <si>
    <t>ORD03624</t>
  </si>
  <si>
    <t>ORD03625</t>
  </si>
  <si>
    <t>ORD03626</t>
  </si>
  <si>
    <t>ORD03627</t>
  </si>
  <si>
    <t>ORD03628</t>
  </si>
  <si>
    <t>ORD03629</t>
  </si>
  <si>
    <t>ORD03630</t>
  </si>
  <si>
    <t>ORD03631</t>
  </si>
  <si>
    <t>ORD03632</t>
  </si>
  <si>
    <t>ORD03633</t>
  </si>
  <si>
    <t>ORD03634</t>
  </si>
  <si>
    <t>ORD03635</t>
  </si>
  <si>
    <t>ORD03636</t>
  </si>
  <si>
    <t>ORD03637</t>
  </si>
  <si>
    <t>ORD03638</t>
  </si>
  <si>
    <t>ORD03639</t>
  </si>
  <si>
    <t>ORD03640</t>
  </si>
  <si>
    <t>ORD03641</t>
  </si>
  <si>
    <t>ORD03642</t>
  </si>
  <si>
    <t>ORD03643</t>
  </si>
  <si>
    <t>ORD03644</t>
  </si>
  <si>
    <t>ORD03645</t>
  </si>
  <si>
    <t>ORD03646</t>
  </si>
  <si>
    <t>ORD03647</t>
  </si>
  <si>
    <t>ORD03648</t>
  </si>
  <si>
    <t>ORD03649</t>
  </si>
  <si>
    <t>ORD03650</t>
  </si>
  <si>
    <t>ORD03651</t>
  </si>
  <si>
    <t>ORD03652</t>
  </si>
  <si>
    <t>ORD03653</t>
  </si>
  <si>
    <t>ORD03654</t>
  </si>
  <si>
    <t>ORD03655</t>
  </si>
  <si>
    <t>ORD03656</t>
  </si>
  <si>
    <t>ORD03657</t>
  </si>
  <si>
    <t>ORD03658</t>
  </si>
  <si>
    <t>ORD03659</t>
  </si>
  <si>
    <t>ORD03660</t>
  </si>
  <si>
    <t>ORD03661</t>
  </si>
  <si>
    <t>ORD03662</t>
  </si>
  <si>
    <t>ORD03663</t>
  </si>
  <si>
    <t>ORD03664</t>
  </si>
  <si>
    <t>ORD03665</t>
  </si>
  <si>
    <t>ORD03666</t>
  </si>
  <si>
    <t>ORD03667</t>
  </si>
  <si>
    <t>ORD03668</t>
  </si>
  <si>
    <t>ORD03669</t>
  </si>
  <si>
    <t>ORD03670</t>
  </si>
  <si>
    <t>ORD03671</t>
  </si>
  <si>
    <t>ORD03672</t>
  </si>
  <si>
    <t>ORD03673</t>
  </si>
  <si>
    <t>ORD03674</t>
  </si>
  <si>
    <t>ORD03675</t>
  </si>
  <si>
    <t>ORD03676</t>
  </si>
  <si>
    <t>ORD03677</t>
  </si>
  <si>
    <t>ORD03678</t>
  </si>
  <si>
    <t>ORD03679</t>
  </si>
  <si>
    <t>ORD03680</t>
  </si>
  <si>
    <t>ORD03681</t>
  </si>
  <si>
    <t>ORD03682</t>
  </si>
  <si>
    <t>ORD03683</t>
  </si>
  <si>
    <t>ORD03684</t>
  </si>
  <si>
    <t>ORD03685</t>
  </si>
  <si>
    <t>ORD03686</t>
  </si>
  <si>
    <t>ORD03687</t>
  </si>
  <si>
    <t>ORD03688</t>
  </si>
  <si>
    <t>ORD03689</t>
  </si>
  <si>
    <t>ORD03690</t>
  </si>
  <si>
    <t>ORD03691</t>
  </si>
  <si>
    <t>ORD03692</t>
  </si>
  <si>
    <t>ORD03693</t>
  </si>
  <si>
    <t>ORD03694</t>
  </si>
  <si>
    <t>ORD03695</t>
  </si>
  <si>
    <t>ORD03696</t>
  </si>
  <si>
    <t>ORD03697</t>
  </si>
  <si>
    <t>ORD03698</t>
  </si>
  <si>
    <t>ORD03699</t>
  </si>
  <si>
    <t>ORD03700</t>
  </si>
  <si>
    <t>ORD03701</t>
  </si>
  <si>
    <t>ORD03702</t>
  </si>
  <si>
    <t>ORD03703</t>
  </si>
  <si>
    <t>ORD03704</t>
  </si>
  <si>
    <t>ORD03705</t>
  </si>
  <si>
    <t>ORD03706</t>
  </si>
  <si>
    <t>ORD03707</t>
  </si>
  <si>
    <t>ORD03708</t>
  </si>
  <si>
    <t>ORD03709</t>
  </si>
  <si>
    <t>ORD03710</t>
  </si>
  <si>
    <t>ORD03711</t>
  </si>
  <si>
    <t>ORD03712</t>
  </si>
  <si>
    <t>ORD03713</t>
  </si>
  <si>
    <t>ORD03714</t>
  </si>
  <si>
    <t>ORD03715</t>
  </si>
  <si>
    <t>ORD03716</t>
  </si>
  <si>
    <t>ORD03717</t>
  </si>
  <si>
    <t>ORD03718</t>
  </si>
  <si>
    <t>ORD03719</t>
  </si>
  <si>
    <t>ORD03720</t>
  </si>
  <si>
    <t>ORD03721</t>
  </si>
  <si>
    <t>ORD03722</t>
  </si>
  <si>
    <t>ORD03723</t>
  </si>
  <si>
    <t>ORD03724</t>
  </si>
  <si>
    <t>ORD03725</t>
  </si>
  <si>
    <t>ORD03726</t>
  </si>
  <si>
    <t>ORD03727</t>
  </si>
  <si>
    <t>ORD03728</t>
  </si>
  <si>
    <t>ORD03729</t>
  </si>
  <si>
    <t>ORD03730</t>
  </si>
  <si>
    <t>ORD03731</t>
  </si>
  <si>
    <t>ORD03732</t>
  </si>
  <si>
    <t>ORD03733</t>
  </si>
  <si>
    <t>ORD03734</t>
  </si>
  <si>
    <t>ORD03735</t>
  </si>
  <si>
    <t>ORD03736</t>
  </si>
  <si>
    <t>ORD03737</t>
  </si>
  <si>
    <t>ORD03738</t>
  </si>
  <si>
    <t>ORD03739</t>
  </si>
  <si>
    <t>ORD03740</t>
  </si>
  <si>
    <t>ORD03741</t>
  </si>
  <si>
    <t>ORD03742</t>
  </si>
  <si>
    <t>ORD03743</t>
  </si>
  <si>
    <t>ORD03744</t>
  </si>
  <si>
    <t>ORD03745</t>
  </si>
  <si>
    <t>ORD03746</t>
  </si>
  <si>
    <t>ORD03747</t>
  </si>
  <si>
    <t>ORD03748</t>
  </si>
  <si>
    <t>ORD03749</t>
  </si>
  <si>
    <t>ORD03750</t>
  </si>
  <si>
    <t>ORD03751</t>
  </si>
  <si>
    <t>ORD03752</t>
  </si>
  <si>
    <t>ORD03753</t>
  </si>
  <si>
    <t>ORD03754</t>
  </si>
  <si>
    <t>ORD03755</t>
  </si>
  <si>
    <t>ORD03756</t>
  </si>
  <si>
    <t>ORD03757</t>
  </si>
  <si>
    <t>ORD03758</t>
  </si>
  <si>
    <t>ORD03759</t>
  </si>
  <si>
    <t>ORD03760</t>
  </si>
  <si>
    <t>ORD03761</t>
  </si>
  <si>
    <t>ORD03762</t>
  </si>
  <si>
    <t>ORD03763</t>
  </si>
  <si>
    <t>ORD03764</t>
  </si>
  <si>
    <t>ORD03765</t>
  </si>
  <si>
    <t>ORD03766</t>
  </si>
  <si>
    <t>ORD03767</t>
  </si>
  <si>
    <t>ORD03768</t>
  </si>
  <si>
    <t>ORD03769</t>
  </si>
  <si>
    <t>ORD03770</t>
  </si>
  <si>
    <t>ORD03771</t>
  </si>
  <si>
    <t>ORD03772</t>
  </si>
  <si>
    <t>ORD03773</t>
  </si>
  <si>
    <t>ORD03774</t>
  </si>
  <si>
    <t>ORD03775</t>
  </si>
  <si>
    <t>ORD03776</t>
  </si>
  <si>
    <t>ORD03777</t>
  </si>
  <si>
    <t>ORD03778</t>
  </si>
  <si>
    <t>ORD03779</t>
  </si>
  <si>
    <t>ORD03780</t>
  </si>
  <si>
    <t>ORD03781</t>
  </si>
  <si>
    <t>ORD03782</t>
  </si>
  <si>
    <t>ORD03783</t>
  </si>
  <si>
    <t>ORD03784</t>
  </si>
  <si>
    <t>ORD03785</t>
  </si>
  <si>
    <t>ORD03786</t>
  </si>
  <si>
    <t>ORD03787</t>
  </si>
  <si>
    <t>ORD03788</t>
  </si>
  <si>
    <t>ORD03789</t>
  </si>
  <si>
    <t>ORD03790</t>
  </si>
  <si>
    <t>ORD03791</t>
  </si>
  <si>
    <t>ORD03792</t>
  </si>
  <si>
    <t>ORD03793</t>
  </si>
  <si>
    <t>ORD03794</t>
  </si>
  <si>
    <t>ORD03795</t>
  </si>
  <si>
    <t>ORD03796</t>
  </si>
  <si>
    <t>ORD03797</t>
  </si>
  <si>
    <t>ORD03798</t>
  </si>
  <si>
    <t>ORD03799</t>
  </si>
  <si>
    <t>ORD03800</t>
  </si>
  <si>
    <t>ORD03801</t>
  </si>
  <si>
    <t>ORD03802</t>
  </si>
  <si>
    <t>ORD03803</t>
  </si>
  <si>
    <t>ORD03804</t>
  </si>
  <si>
    <t>ORD03805</t>
  </si>
  <si>
    <t>ORD03806</t>
  </si>
  <si>
    <t>ORD03807</t>
  </si>
  <si>
    <t>ORD03808</t>
  </si>
  <si>
    <t>ORD03809</t>
  </si>
  <si>
    <t>ORD03810</t>
  </si>
  <si>
    <t>ORD03811</t>
  </si>
  <si>
    <t>ORD03812</t>
  </si>
  <si>
    <t>ORD03813</t>
  </si>
  <si>
    <t>ORD03814</t>
  </si>
  <si>
    <t>ORD03815</t>
  </si>
  <si>
    <t>ORD03816</t>
  </si>
  <si>
    <t>ORD03817</t>
  </si>
  <si>
    <t>ORD03818</t>
  </si>
  <si>
    <t>ORD03819</t>
  </si>
  <si>
    <t>ORD03820</t>
  </si>
  <si>
    <t>ORD03821</t>
  </si>
  <si>
    <t>ORD03822</t>
  </si>
  <si>
    <t>ORD03823</t>
  </si>
  <si>
    <t>ORD03824</t>
  </si>
  <si>
    <t>ORD03825</t>
  </si>
  <si>
    <t>ORD03826</t>
  </si>
  <si>
    <t>ORD03827</t>
  </si>
  <si>
    <t>ORD03828</t>
  </si>
  <si>
    <t>ORD03829</t>
  </si>
  <si>
    <t>ORD03830</t>
  </si>
  <si>
    <t>ORD03831</t>
  </si>
  <si>
    <t>ORD03832</t>
  </si>
  <si>
    <t>ORD03833</t>
  </si>
  <si>
    <t>ORD03834</t>
  </si>
  <si>
    <t>ORD03835</t>
  </si>
  <si>
    <t>ORD03836</t>
  </si>
  <si>
    <t>ORD03837</t>
  </si>
  <si>
    <t>ORD03838</t>
  </si>
  <si>
    <t>ORD03839</t>
  </si>
  <si>
    <t>ORD03840</t>
  </si>
  <si>
    <t>ORD03841</t>
  </si>
  <si>
    <t>ORD03842</t>
  </si>
  <si>
    <t>ORD03843</t>
  </si>
  <si>
    <t>ORD03844</t>
  </si>
  <si>
    <t>ORD03845</t>
  </si>
  <si>
    <t>ORD03846</t>
  </si>
  <si>
    <t>ORD03847</t>
  </si>
  <si>
    <t>ORD03848</t>
  </si>
  <si>
    <t>ORD03849</t>
  </si>
  <si>
    <t>ORD03850</t>
  </si>
  <si>
    <t>ORD03851</t>
  </si>
  <si>
    <t>ORD03852</t>
  </si>
  <si>
    <t>ORD03853</t>
  </si>
  <si>
    <t>ORD03854</t>
  </si>
  <si>
    <t>ORD03855</t>
  </si>
  <si>
    <t>ORD03856</t>
  </si>
  <si>
    <t>ORD03857</t>
  </si>
  <si>
    <t>ORD03858</t>
  </si>
  <si>
    <t>ORD03859</t>
  </si>
  <si>
    <t>ORD03860</t>
  </si>
  <si>
    <t>ORD03861</t>
  </si>
  <si>
    <t>ORD03862</t>
  </si>
  <si>
    <t>ORD03863</t>
  </si>
  <si>
    <t>ORD03864</t>
  </si>
  <si>
    <t>ORD03865</t>
  </si>
  <si>
    <t>ORD03866</t>
  </si>
  <si>
    <t>ORD03867</t>
  </si>
  <si>
    <t>ORD03868</t>
  </si>
  <si>
    <t>ORD03869</t>
  </si>
  <si>
    <t>ORD03870</t>
  </si>
  <si>
    <t>ORD03871</t>
  </si>
  <si>
    <t>ORD03872</t>
  </si>
  <si>
    <t>ORD03873</t>
  </si>
  <si>
    <t>ORD03874</t>
  </si>
  <si>
    <t>ORD03875</t>
  </si>
  <si>
    <t>ORD03876</t>
  </si>
  <si>
    <t>ORD03877</t>
  </si>
  <si>
    <t>ORD03878</t>
  </si>
  <si>
    <t>ORD03879</t>
  </si>
  <si>
    <t>ORD03880</t>
  </si>
  <si>
    <t>ORD03881</t>
  </si>
  <si>
    <t>ORD03882</t>
  </si>
  <si>
    <t>ORD03883</t>
  </si>
  <si>
    <t>ORD03884</t>
  </si>
  <si>
    <t>ORD03885</t>
  </si>
  <si>
    <t>ORD03886</t>
  </si>
  <si>
    <t>ORD03887</t>
  </si>
  <si>
    <t>ORD03888</t>
  </si>
  <si>
    <t>ORD03889</t>
  </si>
  <si>
    <t>ORD03890</t>
  </si>
  <si>
    <t>ORD03891</t>
  </si>
  <si>
    <t>ORD03892</t>
  </si>
  <si>
    <t>ORD03893</t>
  </si>
  <si>
    <t>ORD03894</t>
  </si>
  <si>
    <t>ORD03895</t>
  </si>
  <si>
    <t>ORD03896</t>
  </si>
  <si>
    <t>ORD03897</t>
  </si>
  <si>
    <t>ORD03898</t>
  </si>
  <si>
    <t>ORD03899</t>
  </si>
  <si>
    <t>ORD03900</t>
  </si>
  <si>
    <t>ORD03901</t>
  </si>
  <si>
    <t>ORD03902</t>
  </si>
  <si>
    <t>ORD03903</t>
  </si>
  <si>
    <t>ORD03904</t>
  </si>
  <si>
    <t>ORD03905</t>
  </si>
  <si>
    <t>ORD03906</t>
  </si>
  <si>
    <t>ORD03907</t>
  </si>
  <si>
    <t>ORD03908</t>
  </si>
  <si>
    <t>ORD03909</t>
  </si>
  <si>
    <t>ORD03910</t>
  </si>
  <si>
    <t>ORD03911</t>
  </si>
  <si>
    <t>ORD03912</t>
  </si>
  <si>
    <t>ORD03913</t>
  </si>
  <si>
    <t>ORD03914</t>
  </si>
  <si>
    <t>ORD03915</t>
  </si>
  <si>
    <t>ORD03916</t>
  </si>
  <si>
    <t>ORD03917</t>
  </si>
  <si>
    <t>ORD03918</t>
  </si>
  <si>
    <t>ORD03919</t>
  </si>
  <si>
    <t>ORD03920</t>
  </si>
  <si>
    <t>ORD03921</t>
  </si>
  <si>
    <t>ORD03922</t>
  </si>
  <si>
    <t>ORD03923</t>
  </si>
  <si>
    <t>ORD03924</t>
  </si>
  <si>
    <t>ORD03925</t>
  </si>
  <si>
    <t>ORD03926</t>
  </si>
  <si>
    <t>ORD03927</t>
  </si>
  <si>
    <t>ORD03928</t>
  </si>
  <si>
    <t>ORD03929</t>
  </si>
  <si>
    <t>ORD03930</t>
  </si>
  <si>
    <t>ORD03931</t>
  </si>
  <si>
    <t>ORD03932</t>
  </si>
  <si>
    <t>ORD03933</t>
  </si>
  <si>
    <t>ORD03934</t>
  </si>
  <si>
    <t>ORD03935</t>
  </si>
  <si>
    <t>ORD03936</t>
  </si>
  <si>
    <t>ORD03937</t>
  </si>
  <si>
    <t>ORD03938</t>
  </si>
  <si>
    <t>ORD03939</t>
  </si>
  <si>
    <t>ORD03940</t>
  </si>
  <si>
    <t>ORD03941</t>
  </si>
  <si>
    <t>ORD03942</t>
  </si>
  <si>
    <t>ORD03943</t>
  </si>
  <si>
    <t>ORD03944</t>
  </si>
  <si>
    <t>ORD03945</t>
  </si>
  <si>
    <t>ORD03946</t>
  </si>
  <si>
    <t>ORD03947</t>
  </si>
  <si>
    <t>ORD03948</t>
  </si>
  <si>
    <t>ORD03949</t>
  </si>
  <si>
    <t>ORD03950</t>
  </si>
  <si>
    <t>ORD03951</t>
  </si>
  <si>
    <t>ORD03952</t>
  </si>
  <si>
    <t>ORD03953</t>
  </si>
  <si>
    <t>ORD03954</t>
  </si>
  <si>
    <t>ORD03955</t>
  </si>
  <si>
    <t>ORD03956</t>
  </si>
  <si>
    <t>ORD03957</t>
  </si>
  <si>
    <t>ORD03958</t>
  </si>
  <si>
    <t>ORD03959</t>
  </si>
  <si>
    <t>ORD03960</t>
  </si>
  <si>
    <t>ORD03961</t>
  </si>
  <si>
    <t>ORD03962</t>
  </si>
  <si>
    <t>ORD03963</t>
  </si>
  <si>
    <t>ORD03964</t>
  </si>
  <si>
    <t>ORD03965</t>
  </si>
  <si>
    <t>ORD03966</t>
  </si>
  <si>
    <t>ORD03967</t>
  </si>
  <si>
    <t>ORD03968</t>
  </si>
  <si>
    <t>ORD03969</t>
  </si>
  <si>
    <t>ORD03970</t>
  </si>
  <si>
    <t>ORD03971</t>
  </si>
  <si>
    <t>ORD03972</t>
  </si>
  <si>
    <t>ORD03973</t>
  </si>
  <si>
    <t>ORD03974</t>
  </si>
  <si>
    <t>ORD03975</t>
  </si>
  <si>
    <t>ORD03976</t>
  </si>
  <si>
    <t>ORD03977</t>
  </si>
  <si>
    <t>ORD03978</t>
  </si>
  <si>
    <t>ORD03979</t>
  </si>
  <si>
    <t>ORD03980</t>
  </si>
  <si>
    <t>ORD03981</t>
  </si>
  <si>
    <t>ORD03982</t>
  </si>
  <si>
    <t>ORD03983</t>
  </si>
  <si>
    <t>ORD03984</t>
  </si>
  <si>
    <t>ORD03985</t>
  </si>
  <si>
    <t>ORD03986</t>
  </si>
  <si>
    <t>ORD03987</t>
  </si>
  <si>
    <t>ORD03988</t>
  </si>
  <si>
    <t>ORD03989</t>
  </si>
  <si>
    <t>ORD03990</t>
  </si>
  <si>
    <t>ORD03991</t>
  </si>
  <si>
    <t>ORD03992</t>
  </si>
  <si>
    <t>ORD03993</t>
  </si>
  <si>
    <t>ORD03994</t>
  </si>
  <si>
    <t>ORD03995</t>
  </si>
  <si>
    <t>ORD03996</t>
  </si>
  <si>
    <t>ORD03997</t>
  </si>
  <si>
    <t>ORD03998</t>
  </si>
  <si>
    <t>ORD03999</t>
  </si>
  <si>
    <t>ORD04000</t>
  </si>
  <si>
    <t>ORD04001</t>
  </si>
  <si>
    <t>ORD04002</t>
  </si>
  <si>
    <t>ORD04003</t>
  </si>
  <si>
    <t>ORD04004</t>
  </si>
  <si>
    <t>ORD04005</t>
  </si>
  <si>
    <t>ORD04006</t>
  </si>
  <si>
    <t>ORD04007</t>
  </si>
  <si>
    <t>ORD04008</t>
  </si>
  <si>
    <t>ORD04009</t>
  </si>
  <si>
    <t>ORD04010</t>
  </si>
  <si>
    <t>ORD04011</t>
  </si>
  <si>
    <t>ORD04012</t>
  </si>
  <si>
    <t>ORD04013</t>
  </si>
  <si>
    <t>ORD04014</t>
  </si>
  <si>
    <t>ORD04015</t>
  </si>
  <si>
    <t>ORD04016</t>
  </si>
  <si>
    <t>ORD04017</t>
  </si>
  <si>
    <t>ORD04018</t>
  </si>
  <si>
    <t>ORD04019</t>
  </si>
  <si>
    <t>ORD04020</t>
  </si>
  <si>
    <t>ORD04021</t>
  </si>
  <si>
    <t>ORD04022</t>
  </si>
  <si>
    <t>ORD04023</t>
  </si>
  <si>
    <t>ORD04024</t>
  </si>
  <si>
    <t>ORD04025</t>
  </si>
  <si>
    <t>ORD04026</t>
  </si>
  <si>
    <t>ORD04027</t>
  </si>
  <si>
    <t>ORD04028</t>
  </si>
  <si>
    <t>ORD04029</t>
  </si>
  <si>
    <t>ORD04030</t>
  </si>
  <si>
    <t>ORD04031</t>
  </si>
  <si>
    <t>ORD04032</t>
  </si>
  <si>
    <t>ORD04033</t>
  </si>
  <si>
    <t>ORD04034</t>
  </si>
  <si>
    <t>ORD04035</t>
  </si>
  <si>
    <t>ORD04036</t>
  </si>
  <si>
    <t>ORD04037</t>
  </si>
  <si>
    <t>ORD04038</t>
  </si>
  <si>
    <t>ORD04039</t>
  </si>
  <si>
    <t>ORD04040</t>
  </si>
  <si>
    <t>ORD04041</t>
  </si>
  <si>
    <t>ORD04042</t>
  </si>
  <si>
    <t>ORD04043</t>
  </si>
  <si>
    <t>ORD04044</t>
  </si>
  <si>
    <t>ORD04045</t>
  </si>
  <si>
    <t>ORD04046</t>
  </si>
  <si>
    <t>ORD04047</t>
  </si>
  <si>
    <t>ORD04048</t>
  </si>
  <si>
    <t>ORD04049</t>
  </si>
  <si>
    <t>ORD04050</t>
  </si>
  <si>
    <t>ORD04051</t>
  </si>
  <si>
    <t>ORD04052</t>
  </si>
  <si>
    <t>ORD04053</t>
  </si>
  <si>
    <t>ORD04054</t>
  </si>
  <si>
    <t>ORD04055</t>
  </si>
  <si>
    <t>ORD04056</t>
  </si>
  <si>
    <t>ORD04057</t>
  </si>
  <si>
    <t>ORD04058</t>
  </si>
  <si>
    <t>ORD04059</t>
  </si>
  <si>
    <t>ORD04060</t>
  </si>
  <si>
    <t>ORD04061</t>
  </si>
  <si>
    <t>ORD04062</t>
  </si>
  <si>
    <t>ORD04063</t>
  </si>
  <si>
    <t>ORD04064</t>
  </si>
  <si>
    <t>ORD04065</t>
  </si>
  <si>
    <t>ORD04066</t>
  </si>
  <si>
    <t>ORD04067</t>
  </si>
  <si>
    <t>ORD04068</t>
  </si>
  <si>
    <t>ORD04069</t>
  </si>
  <si>
    <t>ORD04070</t>
  </si>
  <si>
    <t>ORD04071</t>
  </si>
  <si>
    <t>ORD04072</t>
  </si>
  <si>
    <t>ORD04073</t>
  </si>
  <si>
    <t>ORD04074</t>
  </si>
  <si>
    <t>ORD04075</t>
  </si>
  <si>
    <t>ORD04076</t>
  </si>
  <si>
    <t>ORD04077</t>
  </si>
  <si>
    <t>ORD04078</t>
  </si>
  <si>
    <t>ORD04079</t>
  </si>
  <si>
    <t>ORD04080</t>
  </si>
  <si>
    <t>ORD04081</t>
  </si>
  <si>
    <t>ORD04082</t>
  </si>
  <si>
    <t>ORD04083</t>
  </si>
  <si>
    <t>ORD04084</t>
  </si>
  <si>
    <t>ORD04085</t>
  </si>
  <si>
    <t>ORD04086</t>
  </si>
  <si>
    <t>ORD04087</t>
  </si>
  <si>
    <t>ORD04088</t>
  </si>
  <si>
    <t>ORD04089</t>
  </si>
  <si>
    <t>ORD04090</t>
  </si>
  <si>
    <t>ORD04091</t>
  </si>
  <si>
    <t>ORD04092</t>
  </si>
  <si>
    <t>ORD04093</t>
  </si>
  <si>
    <t>ORD04094</t>
  </si>
  <si>
    <t>ORD04095</t>
  </si>
  <si>
    <t>ORD04096</t>
  </si>
  <si>
    <t>ORD04097</t>
  </si>
  <si>
    <t>ORD04098</t>
  </si>
  <si>
    <t>ORD04099</t>
  </si>
  <si>
    <t>ORD04100</t>
  </si>
  <si>
    <t>ORD04101</t>
  </si>
  <si>
    <t>ORD04102</t>
  </si>
  <si>
    <t>ORD04103</t>
  </si>
  <si>
    <t>ORD04104</t>
  </si>
  <si>
    <t>ORD04105</t>
  </si>
  <si>
    <t>ORD04106</t>
  </si>
  <si>
    <t>ORD04107</t>
  </si>
  <si>
    <t>ORD04108</t>
  </si>
  <si>
    <t>ORD04109</t>
  </si>
  <si>
    <t>ORD04110</t>
  </si>
  <si>
    <t>ORD04111</t>
  </si>
  <si>
    <t>ORD04112</t>
  </si>
  <si>
    <t>ORD04113</t>
  </si>
  <si>
    <t>ORD04114</t>
  </si>
  <si>
    <t>ORD04115</t>
  </si>
  <si>
    <t>ORD04116</t>
  </si>
  <si>
    <t>ORD04117</t>
  </si>
  <si>
    <t>ORD04118</t>
  </si>
  <si>
    <t>ORD04119</t>
  </si>
  <si>
    <t>ORD04120</t>
  </si>
  <si>
    <t>ORD04121</t>
  </si>
  <si>
    <t>ORD04122</t>
  </si>
  <si>
    <t>ORD04123</t>
  </si>
  <si>
    <t>ORD04124</t>
  </si>
  <si>
    <t>ORD04125</t>
  </si>
  <si>
    <t>ORD04126</t>
  </si>
  <si>
    <t>ORD04127</t>
  </si>
  <si>
    <t>ORD04128</t>
  </si>
  <si>
    <t>ORD04129</t>
  </si>
  <si>
    <t>ORD04130</t>
  </si>
  <si>
    <t>ORD04131</t>
  </si>
  <si>
    <t>ORD04132</t>
  </si>
  <si>
    <t>ORD04133</t>
  </si>
  <si>
    <t>ORD04134</t>
  </si>
  <si>
    <t>ORD04135</t>
  </si>
  <si>
    <t>ORD04136</t>
  </si>
  <si>
    <t>ORD04137</t>
  </si>
  <si>
    <t>ORD04138</t>
  </si>
  <si>
    <t>ORD04139</t>
  </si>
  <si>
    <t>ORD04140</t>
  </si>
  <si>
    <t>ORD04141</t>
  </si>
  <si>
    <t>ORD04142</t>
  </si>
  <si>
    <t>ORD04143</t>
  </si>
  <si>
    <t>ORD04144</t>
  </si>
  <si>
    <t>ORD04145</t>
  </si>
  <si>
    <t>ORD04146</t>
  </si>
  <si>
    <t>ORD04147</t>
  </si>
  <si>
    <t>ORD04148</t>
  </si>
  <si>
    <t>ORD04149</t>
  </si>
  <si>
    <t>ORD04150</t>
  </si>
  <si>
    <t>ORD04151</t>
  </si>
  <si>
    <t>ORD04152</t>
  </si>
  <si>
    <t>ORD04153</t>
  </si>
  <si>
    <t>ORD04154</t>
  </si>
  <si>
    <t>ORD04155</t>
  </si>
  <si>
    <t>ORD04156</t>
  </si>
  <si>
    <t>ORD04157</t>
  </si>
  <si>
    <t>ORD04158</t>
  </si>
  <si>
    <t>ORD04159</t>
  </si>
  <si>
    <t>ORD04160</t>
  </si>
  <si>
    <t>ORD04161</t>
  </si>
  <si>
    <t>ORD04162</t>
  </si>
  <si>
    <t>ORD04163</t>
  </si>
  <si>
    <t>ORD04164</t>
  </si>
  <si>
    <t>ORD04165</t>
  </si>
  <si>
    <t>ORD04166</t>
  </si>
  <si>
    <t>ORD04167</t>
  </si>
  <si>
    <t>ORD04168</t>
  </si>
  <si>
    <t>ORD04169</t>
  </si>
  <si>
    <t>ORD04170</t>
  </si>
  <si>
    <t>ORD04171</t>
  </si>
  <si>
    <t>ORD04172</t>
  </si>
  <si>
    <t>ORD04173</t>
  </si>
  <si>
    <t>ORD04174</t>
  </si>
  <si>
    <t>ORD04175</t>
  </si>
  <si>
    <t>ORD04176</t>
  </si>
  <si>
    <t>ORD04177</t>
  </si>
  <si>
    <t>ORD04178</t>
  </si>
  <si>
    <t>ORD04179</t>
  </si>
  <si>
    <t>ORD04180</t>
  </si>
  <si>
    <t>ORD04181</t>
  </si>
  <si>
    <t>ORD04182</t>
  </si>
  <si>
    <t>ORD04183</t>
  </si>
  <si>
    <t>ORD04184</t>
  </si>
  <si>
    <t>ORD04185</t>
  </si>
  <si>
    <t>ORD04186</t>
  </si>
  <si>
    <t>ORD04187</t>
  </si>
  <si>
    <t>ORD04188</t>
  </si>
  <si>
    <t>ORD04189</t>
  </si>
  <si>
    <t>ORD04190</t>
  </si>
  <si>
    <t>ORD04191</t>
  </si>
  <si>
    <t>ORD04192</t>
  </si>
  <si>
    <t>ORD04193</t>
  </si>
  <si>
    <t>ORD04194</t>
  </si>
  <si>
    <t>ORD04195</t>
  </si>
  <si>
    <t>ORD04196</t>
  </si>
  <si>
    <t>ORD04197</t>
  </si>
  <si>
    <t>ORD04198</t>
  </si>
  <si>
    <t>ORD04199</t>
  </si>
  <si>
    <t>ORD04200</t>
  </si>
  <si>
    <t>ORD04201</t>
  </si>
  <si>
    <t>ORD04202</t>
  </si>
  <si>
    <t>ORD04203</t>
  </si>
  <si>
    <t>ORD04204</t>
  </si>
  <si>
    <t>ORD04205</t>
  </si>
  <si>
    <t>ORD04206</t>
  </si>
  <si>
    <t>ORD04207</t>
  </si>
  <si>
    <t>ORD04208</t>
  </si>
  <si>
    <t>ORD04209</t>
  </si>
  <si>
    <t>ORD04210</t>
  </si>
  <si>
    <t>ORD04211</t>
  </si>
  <si>
    <t>ORD04212</t>
  </si>
  <si>
    <t>ORD04213</t>
  </si>
  <si>
    <t>ORD04214</t>
  </si>
  <si>
    <t>ORD04215</t>
  </si>
  <si>
    <t>ORD04216</t>
  </si>
  <si>
    <t>ORD04217</t>
  </si>
  <si>
    <t>ORD04218</t>
  </si>
  <si>
    <t>ORD04219</t>
  </si>
  <si>
    <t>ORD04220</t>
  </si>
  <si>
    <t>ORD04221</t>
  </si>
  <si>
    <t>ORD04222</t>
  </si>
  <si>
    <t>ORD04223</t>
  </si>
  <si>
    <t>ORD04224</t>
  </si>
  <si>
    <t>ORD04225</t>
  </si>
  <si>
    <t>ORD04226</t>
  </si>
  <si>
    <t>ORD04227</t>
  </si>
  <si>
    <t>ORD04228</t>
  </si>
  <si>
    <t>ORD04229</t>
  </si>
  <si>
    <t>ORD04230</t>
  </si>
  <si>
    <t>ORD04231</t>
  </si>
  <si>
    <t>ORD04232</t>
  </si>
  <si>
    <t>ORD04233</t>
  </si>
  <si>
    <t>ORD04234</t>
  </si>
  <si>
    <t>ORD04235</t>
  </si>
  <si>
    <t>ORD04236</t>
  </si>
  <si>
    <t>ORD04237</t>
  </si>
  <si>
    <t>ORD04238</t>
  </si>
  <si>
    <t>ORD04239</t>
  </si>
  <si>
    <t>ORD04240</t>
  </si>
  <si>
    <t>ORD04241</t>
  </si>
  <si>
    <t>ORD04242</t>
  </si>
  <si>
    <t>ORD04243</t>
  </si>
  <si>
    <t>ORD04244</t>
  </si>
  <si>
    <t>ORD04245</t>
  </si>
  <si>
    <t>ORD04246</t>
  </si>
  <si>
    <t>ORD04247</t>
  </si>
  <si>
    <t>ORD04248</t>
  </si>
  <si>
    <t>ORD04249</t>
  </si>
  <si>
    <t>ORD04250</t>
  </si>
  <si>
    <t>ORD04251</t>
  </si>
  <si>
    <t>ORD04252</t>
  </si>
  <si>
    <t>ORD04253</t>
  </si>
  <si>
    <t>ORD04254</t>
  </si>
  <si>
    <t>ORD04255</t>
  </si>
  <si>
    <t>ORD04256</t>
  </si>
  <si>
    <t>ORD04257</t>
  </si>
  <si>
    <t>ORD04258</t>
  </si>
  <si>
    <t>ORD04259</t>
  </si>
  <si>
    <t>ORD04260</t>
  </si>
  <si>
    <t>ORD04261</t>
  </si>
  <si>
    <t>ORD04262</t>
  </si>
  <si>
    <t>ORD04263</t>
  </si>
  <si>
    <t>ORD04264</t>
  </si>
  <si>
    <t>ORD04265</t>
  </si>
  <si>
    <t>ORD04266</t>
  </si>
  <si>
    <t>ORD04267</t>
  </si>
  <si>
    <t>ORD04268</t>
  </si>
  <si>
    <t>ORD04269</t>
  </si>
  <si>
    <t>ORD04270</t>
  </si>
  <si>
    <t>ORD04271</t>
  </si>
  <si>
    <t>ORD04272</t>
  </si>
  <si>
    <t>ORD04273</t>
  </si>
  <si>
    <t>ORD04274</t>
  </si>
  <si>
    <t>ORD04275</t>
  </si>
  <si>
    <t>ORD04276</t>
  </si>
  <si>
    <t>ORD04277</t>
  </si>
  <si>
    <t>ORD04278</t>
  </si>
  <si>
    <t>ORD04279</t>
  </si>
  <si>
    <t>ORD04280</t>
  </si>
  <si>
    <t>ORD04281</t>
  </si>
  <si>
    <t>ORD04282</t>
  </si>
  <si>
    <t>ORD04283</t>
  </si>
  <si>
    <t>ORD04284</t>
  </si>
  <si>
    <t>ORD04285</t>
  </si>
  <si>
    <t>ORD04286</t>
  </si>
  <si>
    <t>ORD04287</t>
  </si>
  <si>
    <t>ORD04288</t>
  </si>
  <si>
    <t>ORD04289</t>
  </si>
  <si>
    <t>ORD04290</t>
  </si>
  <si>
    <t>ORD04291</t>
  </si>
  <si>
    <t>ORD04292</t>
  </si>
  <si>
    <t>ORD04293</t>
  </si>
  <si>
    <t>ORD04294</t>
  </si>
  <si>
    <t>ORD04295</t>
  </si>
  <si>
    <t>ORD04296</t>
  </si>
  <si>
    <t>ORD04297</t>
  </si>
  <si>
    <t>ORD04298</t>
  </si>
  <si>
    <t>ORD04299</t>
  </si>
  <si>
    <t>ORD04300</t>
  </si>
  <si>
    <t>ORD04301</t>
  </si>
  <si>
    <t>ORD04302</t>
  </si>
  <si>
    <t>ORD04303</t>
  </si>
  <si>
    <t>ORD04304</t>
  </si>
  <si>
    <t>ORD04305</t>
  </si>
  <si>
    <t>ORD04306</t>
  </si>
  <si>
    <t>ORD04307</t>
  </si>
  <si>
    <t>ORD04308</t>
  </si>
  <si>
    <t>ORD04309</t>
  </si>
  <si>
    <t>ORD04310</t>
  </si>
  <si>
    <t>ORD04311</t>
  </si>
  <si>
    <t>ORD04312</t>
  </si>
  <si>
    <t>ORD04313</t>
  </si>
  <si>
    <t>ORD04314</t>
  </si>
  <si>
    <t>ORD04315</t>
  </si>
  <si>
    <t>ORD04316</t>
  </si>
  <si>
    <t>ORD04317</t>
  </si>
  <si>
    <t>ORD04318</t>
  </si>
  <si>
    <t>ORD04319</t>
  </si>
  <si>
    <t>ORD04320</t>
  </si>
  <si>
    <t>ORD04321</t>
  </si>
  <si>
    <t>ORD04322</t>
  </si>
  <si>
    <t>ORD04323</t>
  </si>
  <si>
    <t>ORD04324</t>
  </si>
  <si>
    <t>ORD04325</t>
  </si>
  <si>
    <t>ORD04326</t>
  </si>
  <si>
    <t>ORD04327</t>
  </si>
  <si>
    <t>ORD04328</t>
  </si>
  <si>
    <t>ORD04329</t>
  </si>
  <si>
    <t>ORD04330</t>
  </si>
  <si>
    <t>ORD04331</t>
  </si>
  <si>
    <t>ORD04332</t>
  </si>
  <si>
    <t>ORD04333</t>
  </si>
  <si>
    <t>ORD04334</t>
  </si>
  <si>
    <t>ORD04335</t>
  </si>
  <si>
    <t>ORD04336</t>
  </si>
  <si>
    <t>ORD04337</t>
  </si>
  <si>
    <t>ORD04338</t>
  </si>
  <si>
    <t>ORD04339</t>
  </si>
  <si>
    <t>ORD04340</t>
  </si>
  <si>
    <t>ORD04341</t>
  </si>
  <si>
    <t>ORD04342</t>
  </si>
  <si>
    <t>ORD04343</t>
  </si>
  <si>
    <t>ORD04344</t>
  </si>
  <si>
    <t>ORD04345</t>
  </si>
  <si>
    <t>ORD04346</t>
  </si>
  <si>
    <t>ORD04347</t>
  </si>
  <si>
    <t>ORD04348</t>
  </si>
  <si>
    <t>ORD04349</t>
  </si>
  <si>
    <t>ORD04350</t>
  </si>
  <si>
    <t>ORD04351</t>
  </si>
  <si>
    <t>ORD04352</t>
  </si>
  <si>
    <t>ORD04353</t>
  </si>
  <si>
    <t>ORD04354</t>
  </si>
  <si>
    <t>ORD04355</t>
  </si>
  <si>
    <t>ORD04356</t>
  </si>
  <si>
    <t>ORD04357</t>
  </si>
  <si>
    <t>ORD04358</t>
  </si>
  <si>
    <t>ORD04359</t>
  </si>
  <si>
    <t>ORD04360</t>
  </si>
  <si>
    <t>ORD04361</t>
  </si>
  <si>
    <t>ORD04362</t>
  </si>
  <si>
    <t>ORD04363</t>
  </si>
  <si>
    <t>ORD04364</t>
  </si>
  <si>
    <t>ORD04365</t>
  </si>
  <si>
    <t>ORD04366</t>
  </si>
  <si>
    <t>ORD04367</t>
  </si>
  <si>
    <t>ORD04368</t>
  </si>
  <si>
    <t>ORD04369</t>
  </si>
  <si>
    <t>ORD04370</t>
  </si>
  <si>
    <t>ORD04371</t>
  </si>
  <si>
    <t>ORD04372</t>
  </si>
  <si>
    <t>ORD04373</t>
  </si>
  <si>
    <t>ORD04374</t>
  </si>
  <si>
    <t>ORD04375</t>
  </si>
  <si>
    <t>ORD04376</t>
  </si>
  <si>
    <t>ORD04377</t>
  </si>
  <si>
    <t>ORD04378</t>
  </si>
  <si>
    <t>ORD04379</t>
  </si>
  <si>
    <t>ORD04380</t>
  </si>
  <si>
    <t>ORD04381</t>
  </si>
  <si>
    <t>ORD04382</t>
  </si>
  <si>
    <t>ORD04383</t>
  </si>
  <si>
    <t>ORD04384</t>
  </si>
  <si>
    <t>ORD04385</t>
  </si>
  <si>
    <t>ORD04386</t>
  </si>
  <si>
    <t>ORD04387</t>
  </si>
  <si>
    <t>ORD04388</t>
  </si>
  <si>
    <t>ORD04389</t>
  </si>
  <si>
    <t>ORD04390</t>
  </si>
  <si>
    <t>ORD04391</t>
  </si>
  <si>
    <t>ORD04392</t>
  </si>
  <si>
    <t>ORD04393</t>
  </si>
  <si>
    <t>ORD04394</t>
  </si>
  <si>
    <t>ORD04395</t>
  </si>
  <si>
    <t>ORD04396</t>
  </si>
  <si>
    <t>ORD04397</t>
  </si>
  <si>
    <t>ORD04398</t>
  </si>
  <si>
    <t>ORD04399</t>
  </si>
  <si>
    <t>ORD04400</t>
  </si>
  <si>
    <t>ORD04401</t>
  </si>
  <si>
    <t>ORD04402</t>
  </si>
  <si>
    <t>ORD04403</t>
  </si>
  <si>
    <t>ORD04404</t>
  </si>
  <si>
    <t>ORD04405</t>
  </si>
  <si>
    <t>ORD04406</t>
  </si>
  <si>
    <t>ORD04407</t>
  </si>
  <si>
    <t>ORD04408</t>
  </si>
  <si>
    <t>ORD04409</t>
  </si>
  <si>
    <t>ORD04410</t>
  </si>
  <si>
    <t>ORD04411</t>
  </si>
  <si>
    <t>ORD04412</t>
  </si>
  <si>
    <t>ORD04413</t>
  </si>
  <si>
    <t>ORD04414</t>
  </si>
  <si>
    <t>ORD04415</t>
  </si>
  <si>
    <t>ORD04416</t>
  </si>
  <si>
    <t>ORD04417</t>
  </si>
  <si>
    <t>ORD04418</t>
  </si>
  <si>
    <t>ORD04419</t>
  </si>
  <si>
    <t>ORD04420</t>
  </si>
  <si>
    <t>ORD04421</t>
  </si>
  <si>
    <t>ORD04422</t>
  </si>
  <si>
    <t>ORD04423</t>
  </si>
  <si>
    <t>ORD04424</t>
  </si>
  <si>
    <t>ORD04425</t>
  </si>
  <si>
    <t>ORD04426</t>
  </si>
  <si>
    <t>ORD04427</t>
  </si>
  <si>
    <t>ORD04428</t>
  </si>
  <si>
    <t>ORD04429</t>
  </si>
  <si>
    <t>ORD04430</t>
  </si>
  <si>
    <t>ORD04431</t>
  </si>
  <si>
    <t>ORD04432</t>
  </si>
  <si>
    <t>ORD04433</t>
  </si>
  <si>
    <t>ORD04434</t>
  </si>
  <si>
    <t>ORD04435</t>
  </si>
  <si>
    <t>ORD04436</t>
  </si>
  <si>
    <t>ORD04437</t>
  </si>
  <si>
    <t>ORD04438</t>
  </si>
  <si>
    <t>ORD04439</t>
  </si>
  <si>
    <t>ORD04440</t>
  </si>
  <si>
    <t>ORD04441</t>
  </si>
  <si>
    <t>ORD04442</t>
  </si>
  <si>
    <t>ORD04443</t>
  </si>
  <si>
    <t>ORD04444</t>
  </si>
  <si>
    <t>ORD04445</t>
  </si>
  <si>
    <t>ORD04446</t>
  </si>
  <si>
    <t>ORD04447</t>
  </si>
  <si>
    <t>ORD04448</t>
  </si>
  <si>
    <t>ORD04449</t>
  </si>
  <si>
    <t>ORD04450</t>
  </si>
  <si>
    <t>ORD04451</t>
  </si>
  <si>
    <t>ORD04452</t>
  </si>
  <si>
    <t>ORD04453</t>
  </si>
  <si>
    <t>ORD04454</t>
  </si>
  <si>
    <t>ORD04455</t>
  </si>
  <si>
    <t>ORD04456</t>
  </si>
  <si>
    <t>ORD04457</t>
  </si>
  <si>
    <t>ORD04458</t>
  </si>
  <si>
    <t>ORD04459</t>
  </si>
  <si>
    <t>ORD04460</t>
  </si>
  <si>
    <t>ORD04461</t>
  </si>
  <si>
    <t>ORD04462</t>
  </si>
  <si>
    <t>ORD04463</t>
  </si>
  <si>
    <t>ORD04464</t>
  </si>
  <si>
    <t>ORD04465</t>
  </si>
  <si>
    <t>ORD04466</t>
  </si>
  <si>
    <t>ORD04467</t>
  </si>
  <si>
    <t>ORD04468</t>
  </si>
  <si>
    <t>ORD04469</t>
  </si>
  <si>
    <t>ORD04470</t>
  </si>
  <si>
    <t>ORD04471</t>
  </si>
  <si>
    <t>ORD04472</t>
  </si>
  <si>
    <t>ORD04473</t>
  </si>
  <si>
    <t>ORD04474</t>
  </si>
  <si>
    <t>ORD04475</t>
  </si>
  <si>
    <t>ORD04476</t>
  </si>
  <si>
    <t>ORD04477</t>
  </si>
  <si>
    <t>ORD04478</t>
  </si>
  <si>
    <t>ORD04479</t>
  </si>
  <si>
    <t>ORD04480</t>
  </si>
  <si>
    <t>ORD04481</t>
  </si>
  <si>
    <t>ORD04482</t>
  </si>
  <si>
    <t>ORD04483</t>
  </si>
  <si>
    <t>ORD04484</t>
  </si>
  <si>
    <t>ORD04485</t>
  </si>
  <si>
    <t>ORD04486</t>
  </si>
  <si>
    <t>ORD04487</t>
  </si>
  <si>
    <t>ORD04488</t>
  </si>
  <si>
    <t>ORD04489</t>
  </si>
  <si>
    <t>ORD04490</t>
  </si>
  <si>
    <t>ORD04491</t>
  </si>
  <si>
    <t>ORD04492</t>
  </si>
  <si>
    <t>ORD04493</t>
  </si>
  <si>
    <t>ORD04494</t>
  </si>
  <si>
    <t>ORD04495</t>
  </si>
  <si>
    <t>ORD04496</t>
  </si>
  <si>
    <t>ORD04497</t>
  </si>
  <si>
    <t>ORD04498</t>
  </si>
  <si>
    <t>ORD04499</t>
  </si>
  <si>
    <t>ORD04500</t>
  </si>
  <si>
    <t>ORD04501</t>
  </si>
  <si>
    <t>ORD04502</t>
  </si>
  <si>
    <t>ORD04503</t>
  </si>
  <si>
    <t>ORD04504</t>
  </si>
  <si>
    <t>ORD04505</t>
  </si>
  <si>
    <t>ORD04506</t>
  </si>
  <si>
    <t>ORD04507</t>
  </si>
  <si>
    <t>ORD04508</t>
  </si>
  <si>
    <t>ORD04509</t>
  </si>
  <si>
    <t>ORD04510</t>
  </si>
  <si>
    <t>ORD04511</t>
  </si>
  <si>
    <t>ORD04512</t>
  </si>
  <si>
    <t>ORD04513</t>
  </si>
  <si>
    <t>ORD04514</t>
  </si>
  <si>
    <t>ORD04515</t>
  </si>
  <si>
    <t>ORD04516</t>
  </si>
  <si>
    <t>ORD04517</t>
  </si>
  <si>
    <t>ORD04518</t>
  </si>
  <si>
    <t>ORD04519</t>
  </si>
  <si>
    <t>ORD04520</t>
  </si>
  <si>
    <t>ORD04521</t>
  </si>
  <si>
    <t>ORD04522</t>
  </si>
  <si>
    <t>ORD04523</t>
  </si>
  <si>
    <t>ORD04524</t>
  </si>
  <si>
    <t>ORD04525</t>
  </si>
  <si>
    <t>ORD04526</t>
  </si>
  <si>
    <t>ORD04527</t>
  </si>
  <si>
    <t>ORD04528</t>
  </si>
  <si>
    <t>ORD04529</t>
  </si>
  <si>
    <t>ORD04530</t>
  </si>
  <si>
    <t>ORD04531</t>
  </si>
  <si>
    <t>ORD04532</t>
  </si>
  <si>
    <t>ORD04533</t>
  </si>
  <si>
    <t>ORD04534</t>
  </si>
  <si>
    <t>ORD04535</t>
  </si>
  <si>
    <t>ORD04536</t>
  </si>
  <si>
    <t>ORD04537</t>
  </si>
  <si>
    <t>ORD04538</t>
  </si>
  <si>
    <t>ORD04539</t>
  </si>
  <si>
    <t>ORD04540</t>
  </si>
  <si>
    <t>ORD04541</t>
  </si>
  <si>
    <t>ORD04542</t>
  </si>
  <si>
    <t>ORD04543</t>
  </si>
  <si>
    <t>ORD04544</t>
  </si>
  <si>
    <t>ORD04545</t>
  </si>
  <si>
    <t>ORD04546</t>
  </si>
  <si>
    <t>ORD04547</t>
  </si>
  <si>
    <t>ORD04548</t>
  </si>
  <si>
    <t>ORD04549</t>
  </si>
  <si>
    <t>ORD04550</t>
  </si>
  <si>
    <t>ORD04551</t>
  </si>
  <si>
    <t>ORD04552</t>
  </si>
  <si>
    <t>ORD04553</t>
  </si>
  <si>
    <t>ORD04554</t>
  </si>
  <si>
    <t>ORD04555</t>
  </si>
  <si>
    <t>ORD04556</t>
  </si>
  <si>
    <t>ORD04557</t>
  </si>
  <si>
    <t>ORD04558</t>
  </si>
  <si>
    <t>ORD04559</t>
  </si>
  <si>
    <t>ORD04560</t>
  </si>
  <si>
    <t>ORD04561</t>
  </si>
  <si>
    <t>ORD04562</t>
  </si>
  <si>
    <t>ORD04563</t>
  </si>
  <si>
    <t>ORD04564</t>
  </si>
  <si>
    <t>ORD04565</t>
  </si>
  <si>
    <t>ORD04566</t>
  </si>
  <si>
    <t>ORD04567</t>
  </si>
  <si>
    <t>ORD04568</t>
  </si>
  <si>
    <t>ORD04569</t>
  </si>
  <si>
    <t>ORD04570</t>
  </si>
  <si>
    <t>ORD04571</t>
  </si>
  <si>
    <t>ORD04572</t>
  </si>
  <si>
    <t>ORD04573</t>
  </si>
  <si>
    <t>ORD04574</t>
  </si>
  <si>
    <t>ORD04575</t>
  </si>
  <si>
    <t>ORD04576</t>
  </si>
  <si>
    <t>ORD04577</t>
  </si>
  <si>
    <t>ORD04578</t>
  </si>
  <si>
    <t>ORD04579</t>
  </si>
  <si>
    <t>ORD04580</t>
  </si>
  <si>
    <t>ORD04581</t>
  </si>
  <si>
    <t>ORD04582</t>
  </si>
  <si>
    <t>ORD04583</t>
  </si>
  <si>
    <t>ORD04584</t>
  </si>
  <si>
    <t>ORD04585</t>
  </si>
  <si>
    <t>ORD04586</t>
  </si>
  <si>
    <t>ORD04587</t>
  </si>
  <si>
    <t>ORD04588</t>
  </si>
  <si>
    <t>ORD04589</t>
  </si>
  <si>
    <t>ORD04590</t>
  </si>
  <si>
    <t>ORD04591</t>
  </si>
  <si>
    <t>ORD04592</t>
  </si>
  <si>
    <t>ORD04593</t>
  </si>
  <si>
    <t>ORD04594</t>
  </si>
  <si>
    <t>ORD04595</t>
  </si>
  <si>
    <t>ORD04596</t>
  </si>
  <si>
    <t>ORD04597</t>
  </si>
  <si>
    <t>ORD04598</t>
  </si>
  <si>
    <t>ORD04599</t>
  </si>
  <si>
    <t>ORD04600</t>
  </si>
  <si>
    <t>ORD04601</t>
  </si>
  <si>
    <t>ORD04602</t>
  </si>
  <si>
    <t>ORD04603</t>
  </si>
  <si>
    <t>ORD04604</t>
  </si>
  <si>
    <t>ORD04605</t>
  </si>
  <si>
    <t>ORD04606</t>
  </si>
  <si>
    <t>ORD04607</t>
  </si>
  <si>
    <t>ORD04608</t>
  </si>
  <si>
    <t>ORD04609</t>
  </si>
  <si>
    <t>ORD04610</t>
  </si>
  <si>
    <t>ORD04611</t>
  </si>
  <si>
    <t>ORD04612</t>
  </si>
  <si>
    <t>ORD04613</t>
  </si>
  <si>
    <t>ORD04614</t>
  </si>
  <si>
    <t>ORD04615</t>
  </si>
  <si>
    <t>ORD04616</t>
  </si>
  <si>
    <t>ORD04617</t>
  </si>
  <si>
    <t>ORD04618</t>
  </si>
  <si>
    <t>ORD04619</t>
  </si>
  <si>
    <t>ORD04620</t>
  </si>
  <si>
    <t>ORD04621</t>
  </si>
  <si>
    <t>ORD04622</t>
  </si>
  <si>
    <t>ORD04623</t>
  </si>
  <si>
    <t>ORD04624</t>
  </si>
  <si>
    <t>ORD04625</t>
  </si>
  <si>
    <t>ORD04626</t>
  </si>
  <si>
    <t>ORD04627</t>
  </si>
  <si>
    <t>ORD04628</t>
  </si>
  <si>
    <t>ORD04629</t>
  </si>
  <si>
    <t>ORD04630</t>
  </si>
  <si>
    <t>ORD04631</t>
  </si>
  <si>
    <t>ORD04632</t>
  </si>
  <si>
    <t>ORD04633</t>
  </si>
  <si>
    <t>ORD04634</t>
  </si>
  <si>
    <t>ORD04635</t>
  </si>
  <si>
    <t>ORD04636</t>
  </si>
  <si>
    <t>ORD04637</t>
  </si>
  <si>
    <t>ORD04638</t>
  </si>
  <si>
    <t>ORD04639</t>
  </si>
  <si>
    <t>ORD04640</t>
  </si>
  <si>
    <t>ORD04641</t>
  </si>
  <si>
    <t>ORD04642</t>
  </si>
  <si>
    <t>ORD04643</t>
  </si>
  <si>
    <t>ORD04644</t>
  </si>
  <si>
    <t>ORD04645</t>
  </si>
  <si>
    <t>ORD04646</t>
  </si>
  <si>
    <t>ORD04647</t>
  </si>
  <si>
    <t>ORD04648</t>
  </si>
  <si>
    <t>ORD04649</t>
  </si>
  <si>
    <t>ORD04650</t>
  </si>
  <si>
    <t>ORD04651</t>
  </si>
  <si>
    <t>ORD04652</t>
  </si>
  <si>
    <t>ORD04653</t>
  </si>
  <si>
    <t>ORD04654</t>
  </si>
  <si>
    <t>ORD04655</t>
  </si>
  <si>
    <t>ORD04656</t>
  </si>
  <si>
    <t>ORD04657</t>
  </si>
  <si>
    <t>ORD04658</t>
  </si>
  <si>
    <t>ORD04659</t>
  </si>
  <si>
    <t>ORD04660</t>
  </si>
  <si>
    <t>ORD04661</t>
  </si>
  <si>
    <t>ORD04662</t>
  </si>
  <si>
    <t>ORD04663</t>
  </si>
  <si>
    <t>ORD04664</t>
  </si>
  <si>
    <t>ORD04665</t>
  </si>
  <si>
    <t>ORD04666</t>
  </si>
  <si>
    <t>ORD04667</t>
  </si>
  <si>
    <t>ORD04668</t>
  </si>
  <si>
    <t>ORD04669</t>
  </si>
  <si>
    <t>ORD04670</t>
  </si>
  <si>
    <t>ORD04671</t>
  </si>
  <si>
    <t>ORD04672</t>
  </si>
  <si>
    <t>ORD04673</t>
  </si>
  <si>
    <t>ORD04674</t>
  </si>
  <si>
    <t>ORD04675</t>
  </si>
  <si>
    <t>ORD04676</t>
  </si>
  <si>
    <t>ORD04677</t>
  </si>
  <si>
    <t>ORD04678</t>
  </si>
  <si>
    <t>ORD04679</t>
  </si>
  <si>
    <t>ORD04680</t>
  </si>
  <si>
    <t>ORD04681</t>
  </si>
  <si>
    <t>ORD04682</t>
  </si>
  <si>
    <t>ORD04683</t>
  </si>
  <si>
    <t>ORD04684</t>
  </si>
  <si>
    <t>ORD04685</t>
  </si>
  <si>
    <t>ORD04686</t>
  </si>
  <si>
    <t>ORD04687</t>
  </si>
  <si>
    <t>ORD04688</t>
  </si>
  <si>
    <t>ORD04689</t>
  </si>
  <si>
    <t>ORD04690</t>
  </si>
  <si>
    <t>ORD04691</t>
  </si>
  <si>
    <t>ORD04692</t>
  </si>
  <si>
    <t>ORD04693</t>
  </si>
  <si>
    <t>ORD04694</t>
  </si>
  <si>
    <t>ORD04695</t>
  </si>
  <si>
    <t>ORD04696</t>
  </si>
  <si>
    <t>ORD04697</t>
  </si>
  <si>
    <t>ORD04698</t>
  </si>
  <si>
    <t>ORD04699</t>
  </si>
  <si>
    <t>ORD04700</t>
  </si>
  <si>
    <t>ORD04701</t>
  </si>
  <si>
    <t>ORD04702</t>
  </si>
  <si>
    <t>ORD04703</t>
  </si>
  <si>
    <t>ORD04704</t>
  </si>
  <si>
    <t>ORD04705</t>
  </si>
  <si>
    <t>ORD04706</t>
  </si>
  <si>
    <t>ORD04707</t>
  </si>
  <si>
    <t>ORD04708</t>
  </si>
  <si>
    <t>ORD04709</t>
  </si>
  <si>
    <t>ORD04710</t>
  </si>
  <si>
    <t>ORD04711</t>
  </si>
  <si>
    <t>ORD04712</t>
  </si>
  <si>
    <t>ORD04713</t>
  </si>
  <si>
    <t>ORD04714</t>
  </si>
  <si>
    <t>ORD04715</t>
  </si>
  <si>
    <t>ORD04716</t>
  </si>
  <si>
    <t>ORD04717</t>
  </si>
  <si>
    <t>ORD04718</t>
  </si>
  <si>
    <t>ORD04719</t>
  </si>
  <si>
    <t>ORD04720</t>
  </si>
  <si>
    <t>ORD04721</t>
  </si>
  <si>
    <t>ORD04722</t>
  </si>
  <si>
    <t>ORD04723</t>
  </si>
  <si>
    <t>ORD04724</t>
  </si>
  <si>
    <t>ORD04725</t>
  </si>
  <si>
    <t>ORD04726</t>
  </si>
  <si>
    <t>ORD04727</t>
  </si>
  <si>
    <t>ORD04728</t>
  </si>
  <si>
    <t>ORD04729</t>
  </si>
  <si>
    <t>ORD04730</t>
  </si>
  <si>
    <t>ORD04731</t>
  </si>
  <si>
    <t>ORD04732</t>
  </si>
  <si>
    <t>ORD04733</t>
  </si>
  <si>
    <t>ORD04734</t>
  </si>
  <si>
    <t>ORD04735</t>
  </si>
  <si>
    <t>ORD04736</t>
  </si>
  <si>
    <t>ORD04737</t>
  </si>
  <si>
    <t>ORD04738</t>
  </si>
  <si>
    <t>ORD04739</t>
  </si>
  <si>
    <t>ORD04740</t>
  </si>
  <si>
    <t>ORD04741</t>
  </si>
  <si>
    <t>ORD04742</t>
  </si>
  <si>
    <t>ORD04743</t>
  </si>
  <si>
    <t>ORD04744</t>
  </si>
  <si>
    <t>ORD04745</t>
  </si>
  <si>
    <t>ORD04746</t>
  </si>
  <si>
    <t>ORD04747</t>
  </si>
  <si>
    <t>ORD04748</t>
  </si>
  <si>
    <t>ORD04749</t>
  </si>
  <si>
    <t>ORD04750</t>
  </si>
  <si>
    <t>ORD04751</t>
  </si>
  <si>
    <t>ORD04752</t>
  </si>
  <si>
    <t>ORD04753</t>
  </si>
  <si>
    <t>ORD04754</t>
  </si>
  <si>
    <t>ORD04755</t>
  </si>
  <si>
    <t>ORD04756</t>
  </si>
  <si>
    <t>ORD04757</t>
  </si>
  <si>
    <t>ORD04758</t>
  </si>
  <si>
    <t>ORD04759</t>
  </si>
  <si>
    <t>ORD04760</t>
  </si>
  <si>
    <t>ORD04761</t>
  </si>
  <si>
    <t>ORD04762</t>
  </si>
  <si>
    <t>ORD04763</t>
  </si>
  <si>
    <t>ORD04764</t>
  </si>
  <si>
    <t>ORD04765</t>
  </si>
  <si>
    <t>ORD04766</t>
  </si>
  <si>
    <t>ORD04767</t>
  </si>
  <si>
    <t>ORD04768</t>
  </si>
  <si>
    <t>ORD04769</t>
  </si>
  <si>
    <t>ORD04770</t>
  </si>
  <si>
    <t>ORD04771</t>
  </si>
  <si>
    <t>ORD04772</t>
  </si>
  <si>
    <t>ORD04773</t>
  </si>
  <si>
    <t>ORD04774</t>
  </si>
  <si>
    <t>ORD04775</t>
  </si>
  <si>
    <t>ORD04776</t>
  </si>
  <si>
    <t>ORD04777</t>
  </si>
  <si>
    <t>ORD04778</t>
  </si>
  <si>
    <t>ORD04779</t>
  </si>
  <si>
    <t>ORD04780</t>
  </si>
  <si>
    <t>ORD04781</t>
  </si>
  <si>
    <t>ORD04782</t>
  </si>
  <si>
    <t>ORD04783</t>
  </si>
  <si>
    <t>ORD04784</t>
  </si>
  <si>
    <t>ORD04785</t>
  </si>
  <si>
    <t>ORD04786</t>
  </si>
  <si>
    <t>ORD04787</t>
  </si>
  <si>
    <t>ORD04788</t>
  </si>
  <si>
    <t>ORD04789</t>
  </si>
  <si>
    <t>ORD04790</t>
  </si>
  <si>
    <t>ORD04791</t>
  </si>
  <si>
    <t>ORD04792</t>
  </si>
  <si>
    <t>ORD04793</t>
  </si>
  <si>
    <t>ORD04794</t>
  </si>
  <si>
    <t>ORD04795</t>
  </si>
  <si>
    <t>ORD04796</t>
  </si>
  <si>
    <t>ORD04797</t>
  </si>
  <si>
    <t>ORD04798</t>
  </si>
  <si>
    <t>ORD04799</t>
  </si>
  <si>
    <t>ORD04800</t>
  </si>
  <si>
    <t>ORD04801</t>
  </si>
  <si>
    <t>ORD04802</t>
  </si>
  <si>
    <t>ORD04803</t>
  </si>
  <si>
    <t>ORD04804</t>
  </si>
  <si>
    <t>ORD04805</t>
  </si>
  <si>
    <t>ORD04806</t>
  </si>
  <si>
    <t>ORD04807</t>
  </si>
  <si>
    <t>ORD04808</t>
  </si>
  <si>
    <t>ORD04809</t>
  </si>
  <si>
    <t>ORD04810</t>
  </si>
  <si>
    <t>ORD04811</t>
  </si>
  <si>
    <t>ORD04812</t>
  </si>
  <si>
    <t>ORD04813</t>
  </si>
  <si>
    <t>ORD04814</t>
  </si>
  <si>
    <t>ORD04815</t>
  </si>
  <si>
    <t>ORD04816</t>
  </si>
  <si>
    <t>ORD04817</t>
  </si>
  <si>
    <t>ORD04818</t>
  </si>
  <si>
    <t>ORD04819</t>
  </si>
  <si>
    <t>ORD04820</t>
  </si>
  <si>
    <t>ORD04821</t>
  </si>
  <si>
    <t>ORD04822</t>
  </si>
  <si>
    <t>ORD04823</t>
  </si>
  <si>
    <t>ORD04824</t>
  </si>
  <si>
    <t>ORD04825</t>
  </si>
  <si>
    <t>ORD04826</t>
  </si>
  <si>
    <t>ORD04827</t>
  </si>
  <si>
    <t>ORD04828</t>
  </si>
  <si>
    <t>ORD04829</t>
  </si>
  <si>
    <t>ORD04830</t>
  </si>
  <si>
    <t>ORD04831</t>
  </si>
  <si>
    <t>ORD04832</t>
  </si>
  <si>
    <t>ORD04833</t>
  </si>
  <si>
    <t>ORD04834</t>
  </si>
  <si>
    <t>ORD04835</t>
  </si>
  <si>
    <t>ORD04836</t>
  </si>
  <si>
    <t>ORD04837</t>
  </si>
  <si>
    <t>ORD04838</t>
  </si>
  <si>
    <t>ORD04839</t>
  </si>
  <si>
    <t>ORD04840</t>
  </si>
  <si>
    <t>ORD04841</t>
  </si>
  <si>
    <t>ORD04842</t>
  </si>
  <si>
    <t>ORD04843</t>
  </si>
  <si>
    <t>ORD04844</t>
  </si>
  <si>
    <t>ORD04845</t>
  </si>
  <si>
    <t>ORD04846</t>
  </si>
  <si>
    <t>ORD04847</t>
  </si>
  <si>
    <t>ORD04848</t>
  </si>
  <si>
    <t>ORD04849</t>
  </si>
  <si>
    <t>ORD04850</t>
  </si>
  <si>
    <t>ORD04851</t>
  </si>
  <si>
    <t>ORD04852</t>
  </si>
  <si>
    <t>ORD04853</t>
  </si>
  <si>
    <t>ORD04854</t>
  </si>
  <si>
    <t>ORD04855</t>
  </si>
  <si>
    <t>ORD04856</t>
  </si>
  <si>
    <t>ORD04857</t>
  </si>
  <si>
    <t>ORD04858</t>
  </si>
  <si>
    <t>ORD04859</t>
  </si>
  <si>
    <t>ORD04860</t>
  </si>
  <si>
    <t>ORD04861</t>
  </si>
  <si>
    <t>ORD04862</t>
  </si>
  <si>
    <t>ORD04863</t>
  </si>
  <si>
    <t>ORD04864</t>
  </si>
  <si>
    <t>ORD04865</t>
  </si>
  <si>
    <t>ORD04866</t>
  </si>
  <si>
    <t>ORD04867</t>
  </si>
  <si>
    <t>ORD04868</t>
  </si>
  <si>
    <t>ORD04869</t>
  </si>
  <si>
    <t>ORD04870</t>
  </si>
  <si>
    <t>ORD04871</t>
  </si>
  <si>
    <t>ORD04872</t>
  </si>
  <si>
    <t>ORD04873</t>
  </si>
  <si>
    <t>ORD04874</t>
  </si>
  <si>
    <t>ORD04875</t>
  </si>
  <si>
    <t>ORD04876</t>
  </si>
  <si>
    <t>ORD04877</t>
  </si>
  <si>
    <t>ORD04878</t>
  </si>
  <si>
    <t>ORD04879</t>
  </si>
  <si>
    <t>ORD04880</t>
  </si>
  <si>
    <t>ORD04881</t>
  </si>
  <si>
    <t>ORD04882</t>
  </si>
  <si>
    <t>ORD04883</t>
  </si>
  <si>
    <t>ORD04884</t>
  </si>
  <si>
    <t>ORD04885</t>
  </si>
  <si>
    <t>ORD04886</t>
  </si>
  <si>
    <t>ORD04887</t>
  </si>
  <si>
    <t>ORD04888</t>
  </si>
  <si>
    <t>ORD04889</t>
  </si>
  <si>
    <t>ORD04890</t>
  </si>
  <si>
    <t>ORD04891</t>
  </si>
  <si>
    <t>ORD04892</t>
  </si>
  <si>
    <t>ORD04893</t>
  </si>
  <si>
    <t>ORD04894</t>
  </si>
  <si>
    <t>ORD04895</t>
  </si>
  <si>
    <t>ORD04896</t>
  </si>
  <si>
    <t>ORD04897</t>
  </si>
  <si>
    <t>ORD04898</t>
  </si>
  <si>
    <t>ORD04899</t>
  </si>
  <si>
    <t>ORD04900</t>
  </si>
  <si>
    <t>ORD04901</t>
  </si>
  <si>
    <t>ORD04902</t>
  </si>
  <si>
    <t>ORD04903</t>
  </si>
  <si>
    <t>ORD04904</t>
  </si>
  <si>
    <t>ORD04905</t>
  </si>
  <si>
    <t>ORD04906</t>
  </si>
  <si>
    <t>ORD04907</t>
  </si>
  <si>
    <t>ORD04908</t>
  </si>
  <si>
    <t>ORD04909</t>
  </si>
  <si>
    <t>ORD04910</t>
  </si>
  <si>
    <t>ORD04911</t>
  </si>
  <si>
    <t>ORD04912</t>
  </si>
  <si>
    <t>ORD04913</t>
  </si>
  <si>
    <t>ORD04914</t>
  </si>
  <si>
    <t>ORD04915</t>
  </si>
  <si>
    <t>ORD04916</t>
  </si>
  <si>
    <t>ORD04917</t>
  </si>
  <si>
    <t>ORD04918</t>
  </si>
  <si>
    <t>ORD04919</t>
  </si>
  <si>
    <t>ORD04920</t>
  </si>
  <si>
    <t>ORD04921</t>
  </si>
  <si>
    <t>ORD04922</t>
  </si>
  <si>
    <t>ORD04923</t>
  </si>
  <si>
    <t>ORD04924</t>
  </si>
  <si>
    <t>ORD04925</t>
  </si>
  <si>
    <t>ORD04926</t>
  </si>
  <si>
    <t>ORD04927</t>
  </si>
  <si>
    <t>ORD04928</t>
  </si>
  <si>
    <t>ORD04929</t>
  </si>
  <si>
    <t>ORD04930</t>
  </si>
  <si>
    <t>ORD04931</t>
  </si>
  <si>
    <t>ORD04932</t>
  </si>
  <si>
    <t>ORD04933</t>
  </si>
  <si>
    <t>ORD04934</t>
  </si>
  <si>
    <t>ORD04935</t>
  </si>
  <si>
    <t>ORD04936</t>
  </si>
  <si>
    <t>ORD04937</t>
  </si>
  <si>
    <t>ORD04938</t>
  </si>
  <si>
    <t>ORD04939</t>
  </si>
  <si>
    <t>ORD04940</t>
  </si>
  <si>
    <t>ORD04941</t>
  </si>
  <si>
    <t>ORD04942</t>
  </si>
  <si>
    <t>ORD04943</t>
  </si>
  <si>
    <t>ORD04944</t>
  </si>
  <si>
    <t>ORD04945</t>
  </si>
  <si>
    <t>ORD04946</t>
  </si>
  <si>
    <t>ORD04947</t>
  </si>
  <si>
    <t>ORD04948</t>
  </si>
  <si>
    <t>ORD04949</t>
  </si>
  <si>
    <t>ORD04950</t>
  </si>
  <si>
    <t>ORD04951</t>
  </si>
  <si>
    <t>ORD04952</t>
  </si>
  <si>
    <t>ORD04953</t>
  </si>
  <si>
    <t>ORD04954</t>
  </si>
  <si>
    <t>ORD04955</t>
  </si>
  <si>
    <t>ORD04956</t>
  </si>
  <si>
    <t>ORD04957</t>
  </si>
  <si>
    <t>ORD04958</t>
  </si>
  <si>
    <t>ORD04959</t>
  </si>
  <si>
    <t>ORD04960</t>
  </si>
  <si>
    <t>ORD04961</t>
  </si>
  <si>
    <t>ORD04962</t>
  </si>
  <si>
    <t>ORD04963</t>
  </si>
  <si>
    <t>ORD04964</t>
  </si>
  <si>
    <t>ORD04965</t>
  </si>
  <si>
    <t>ORD04966</t>
  </si>
  <si>
    <t>ORD04967</t>
  </si>
  <si>
    <t>ORD04968</t>
  </si>
  <si>
    <t>ORD04969</t>
  </si>
  <si>
    <t>ORD04970</t>
  </si>
  <si>
    <t>ORD04971</t>
  </si>
  <si>
    <t>ORD04972</t>
  </si>
  <si>
    <t>ORD04973</t>
  </si>
  <si>
    <t>ORD04974</t>
  </si>
  <si>
    <t>ORD04975</t>
  </si>
  <si>
    <t>ORD04976</t>
  </si>
  <si>
    <t>ORD04977</t>
  </si>
  <si>
    <t>ORD04978</t>
  </si>
  <si>
    <t>ORD04979</t>
  </si>
  <si>
    <t>ORD04980</t>
  </si>
  <si>
    <t>ORD04981</t>
  </si>
  <si>
    <t>ORD04982</t>
  </si>
  <si>
    <t>ORD04983</t>
  </si>
  <si>
    <t>ORD04984</t>
  </si>
  <si>
    <t>ORD04985</t>
  </si>
  <si>
    <t>ORD04986</t>
  </si>
  <si>
    <t>ORD04987</t>
  </si>
  <si>
    <t>ORD04988</t>
  </si>
  <si>
    <t>ORD04989</t>
  </si>
  <si>
    <t>ORD04990</t>
  </si>
  <si>
    <t>ORD04991</t>
  </si>
  <si>
    <t>ORD04992</t>
  </si>
  <si>
    <t>ORD04993</t>
  </si>
  <si>
    <t>ORD04994</t>
  </si>
  <si>
    <t>ORD04995</t>
  </si>
  <si>
    <t>ORD04996</t>
  </si>
  <si>
    <t>ORD04997</t>
  </si>
  <si>
    <t>ORD04998</t>
  </si>
  <si>
    <t>ORD04999</t>
  </si>
  <si>
    <t>ORD05000</t>
  </si>
  <si>
    <t>ORD05001</t>
  </si>
  <si>
    <t>ORD05002</t>
  </si>
  <si>
    <t>ORD05003</t>
  </si>
  <si>
    <t>ORD05004</t>
  </si>
  <si>
    <t>ORD05005</t>
  </si>
  <si>
    <t>ORD05006</t>
  </si>
  <si>
    <t>ORD05007</t>
  </si>
  <si>
    <t>ORD05008</t>
  </si>
  <si>
    <t>ORD05009</t>
  </si>
  <si>
    <t>ORD05010</t>
  </si>
  <si>
    <t>ORD05011</t>
  </si>
  <si>
    <t>ORD05012</t>
  </si>
  <si>
    <t>ORD05013</t>
  </si>
  <si>
    <t>ORD05014</t>
  </si>
  <si>
    <t>ORD05015</t>
  </si>
  <si>
    <t>ORD05016</t>
  </si>
  <si>
    <t>ORD05017</t>
  </si>
  <si>
    <t>ORD05018</t>
  </si>
  <si>
    <t>ORD05019</t>
  </si>
  <si>
    <t>ORD05020</t>
  </si>
  <si>
    <t>ORD05021</t>
  </si>
  <si>
    <t>ORD05022</t>
  </si>
  <si>
    <t>ORD05023</t>
  </si>
  <si>
    <t>ORD05024</t>
  </si>
  <si>
    <t>ORD05025</t>
  </si>
  <si>
    <t>ORD05026</t>
  </si>
  <si>
    <t>ORD05027</t>
  </si>
  <si>
    <t>ORD05028</t>
  </si>
  <si>
    <t>ORD05029</t>
  </si>
  <si>
    <t>ORD05030</t>
  </si>
  <si>
    <t>ORD05031</t>
  </si>
  <si>
    <t>ORD05032</t>
  </si>
  <si>
    <t>ORD05033</t>
  </si>
  <si>
    <t>ORD05034</t>
  </si>
  <si>
    <t>ORD05035</t>
  </si>
  <si>
    <t>ORD05036</t>
  </si>
  <si>
    <t>ORD05037</t>
  </si>
  <si>
    <t>ORD05038</t>
  </si>
  <si>
    <t>ORD05039</t>
  </si>
  <si>
    <t>ORD05040</t>
  </si>
  <si>
    <t>ORD05041</t>
  </si>
  <si>
    <t>ORD05042</t>
  </si>
  <si>
    <t>ORD05043</t>
  </si>
  <si>
    <t>ORD05044</t>
  </si>
  <si>
    <t>ORD05045</t>
  </si>
  <si>
    <t>ORD05046</t>
  </si>
  <si>
    <t>ORD05047</t>
  </si>
  <si>
    <t>ORD05048</t>
  </si>
  <si>
    <t>ORD05049</t>
  </si>
  <si>
    <t>ORD05050</t>
  </si>
  <si>
    <t>ORD05051</t>
  </si>
  <si>
    <t>ORD05052</t>
  </si>
  <si>
    <t>ORD05053</t>
  </si>
  <si>
    <t>ORD05054</t>
  </si>
  <si>
    <t>ORD05055</t>
  </si>
  <si>
    <t>ORD05056</t>
  </si>
  <si>
    <t>ORD05057</t>
  </si>
  <si>
    <t>ORD05058</t>
  </si>
  <si>
    <t>ORD05059</t>
  </si>
  <si>
    <t>ORD05060</t>
  </si>
  <si>
    <t>ORD05061</t>
  </si>
  <si>
    <t>ORD05062</t>
  </si>
  <si>
    <t>ORD05063</t>
  </si>
  <si>
    <t>ORD05064</t>
  </si>
  <si>
    <t>ORD05065</t>
  </si>
  <si>
    <t>ORD05066</t>
  </si>
  <si>
    <t>ORD05067</t>
  </si>
  <si>
    <t>ORD05068</t>
  </si>
  <si>
    <t>ORD05069</t>
  </si>
  <si>
    <t>ORD05070</t>
  </si>
  <si>
    <t>ORD05071</t>
  </si>
  <si>
    <t>ORD05072</t>
  </si>
  <si>
    <t>ORD05073</t>
  </si>
  <si>
    <t>ORD05074</t>
  </si>
  <si>
    <t>ORD05075</t>
  </si>
  <si>
    <t>ORD05076</t>
  </si>
  <si>
    <t>ORD05077</t>
  </si>
  <si>
    <t>ORD05078</t>
  </si>
  <si>
    <t>ORD05079</t>
  </si>
  <si>
    <t>ORD05080</t>
  </si>
  <si>
    <t>ORD05081</t>
  </si>
  <si>
    <t>ORD05082</t>
  </si>
  <si>
    <t>ORD05083</t>
  </si>
  <si>
    <t>ORD05084</t>
  </si>
  <si>
    <t>ORD05085</t>
  </si>
  <si>
    <t>ORD05086</t>
  </si>
  <si>
    <t>ORD05087</t>
  </si>
  <si>
    <t>ORD05088</t>
  </si>
  <si>
    <t>ORD05089</t>
  </si>
  <si>
    <t>ORD05090</t>
  </si>
  <si>
    <t>ORD05091</t>
  </si>
  <si>
    <t>ORD05092</t>
  </si>
  <si>
    <t>ORD05093</t>
  </si>
  <si>
    <t>ORD05094</t>
  </si>
  <si>
    <t>ORD05095</t>
  </si>
  <si>
    <t>ORD05096</t>
  </si>
  <si>
    <t>ORD05097</t>
  </si>
  <si>
    <t>ORD05098</t>
  </si>
  <si>
    <t>ORD05099</t>
  </si>
  <si>
    <t>ORD05100</t>
  </si>
  <si>
    <t>ORD05101</t>
  </si>
  <si>
    <t>ORD05102</t>
  </si>
  <si>
    <t>ORD05103</t>
  </si>
  <si>
    <t>ORD05104</t>
  </si>
  <si>
    <t>ORD05105</t>
  </si>
  <si>
    <t>ORD05106</t>
  </si>
  <si>
    <t>ORD05107</t>
  </si>
  <si>
    <t>ORD05108</t>
  </si>
  <si>
    <t>ORD05109</t>
  </si>
  <si>
    <t>ORD05110</t>
  </si>
  <si>
    <t>ORD05111</t>
  </si>
  <si>
    <t>ORD05112</t>
  </si>
  <si>
    <t>ORD05113</t>
  </si>
  <si>
    <t>ORD05114</t>
  </si>
  <si>
    <t>ORD05115</t>
  </si>
  <si>
    <t>ORD05116</t>
  </si>
  <si>
    <t>ORD05117</t>
  </si>
  <si>
    <t>ORD05118</t>
  </si>
  <si>
    <t>ORD05119</t>
  </si>
  <si>
    <t>ORD05120</t>
  </si>
  <si>
    <t>ORD05121</t>
  </si>
  <si>
    <t>ORD05122</t>
  </si>
  <si>
    <t>ORD05123</t>
  </si>
  <si>
    <t>ORD05124</t>
  </si>
  <si>
    <t>ORD05125</t>
  </si>
  <si>
    <t>ORD05126</t>
  </si>
  <si>
    <t>ORD05127</t>
  </si>
  <si>
    <t>ORD05128</t>
  </si>
  <si>
    <t>ORD05129</t>
  </si>
  <si>
    <t>ORD05130</t>
  </si>
  <si>
    <t>ORD05131</t>
  </si>
  <si>
    <t>ORD05132</t>
  </si>
  <si>
    <t>ORD05133</t>
  </si>
  <si>
    <t>ORD05134</t>
  </si>
  <si>
    <t>ORD05135</t>
  </si>
  <si>
    <t>ORD05136</t>
  </si>
  <si>
    <t>ORD05137</t>
  </si>
  <si>
    <t>ORD05138</t>
  </si>
  <si>
    <t>ORD05139</t>
  </si>
  <si>
    <t>ORD05140</t>
  </si>
  <si>
    <t>ORD05141</t>
  </si>
  <si>
    <t>ORD05142</t>
  </si>
  <si>
    <t>ORD05143</t>
  </si>
  <si>
    <t>ORD05144</t>
  </si>
  <si>
    <t>ORD05145</t>
  </si>
  <si>
    <t>ORD05146</t>
  </si>
  <si>
    <t>ORD05147</t>
  </si>
  <si>
    <t>ORD05148</t>
  </si>
  <si>
    <t>ORD05149</t>
  </si>
  <si>
    <t>ORD05150</t>
  </si>
  <si>
    <t>ORD05151</t>
  </si>
  <si>
    <t>ORD05152</t>
  </si>
  <si>
    <t>ORD05153</t>
  </si>
  <si>
    <t>ORD05154</t>
  </si>
  <si>
    <t>ORD05155</t>
  </si>
  <si>
    <t>ORD05156</t>
  </si>
  <si>
    <t>ORD05157</t>
  </si>
  <si>
    <t>ORD05158</t>
  </si>
  <si>
    <t>ORD05159</t>
  </si>
  <si>
    <t>ORD05160</t>
  </si>
  <si>
    <t>ORD05161</t>
  </si>
  <si>
    <t>ORD05162</t>
  </si>
  <si>
    <t>ORD05163</t>
  </si>
  <si>
    <t>ORD05164</t>
  </si>
  <si>
    <t>ORD05165</t>
  </si>
  <si>
    <t>ORD05166</t>
  </si>
  <si>
    <t>ORD05167</t>
  </si>
  <si>
    <t>ORD05168</t>
  </si>
  <si>
    <t>ORD05169</t>
  </si>
  <si>
    <t>ORD05170</t>
  </si>
  <si>
    <t>ORD05171</t>
  </si>
  <si>
    <t>ORD05172</t>
  </si>
  <si>
    <t>ORD05173</t>
  </si>
  <si>
    <t>ORD05174</t>
  </si>
  <si>
    <t>ORD05175</t>
  </si>
  <si>
    <t>ORD05176</t>
  </si>
  <si>
    <t>ORD05177</t>
  </si>
  <si>
    <t>ORD05178</t>
  </si>
  <si>
    <t>ORD05179</t>
  </si>
  <si>
    <t>ORD05180</t>
  </si>
  <si>
    <t>ORD05181</t>
  </si>
  <si>
    <t>ORD05182</t>
  </si>
  <si>
    <t>ORD05183</t>
  </si>
  <si>
    <t>ORD05184</t>
  </si>
  <si>
    <t>ORD05185</t>
  </si>
  <si>
    <t>ORD05186</t>
  </si>
  <si>
    <t>ORD05187</t>
  </si>
  <si>
    <t>ORD05188</t>
  </si>
  <si>
    <t>ORD05189</t>
  </si>
  <si>
    <t>ORD05190</t>
  </si>
  <si>
    <t>ORD05191</t>
  </si>
  <si>
    <t>ORD05192</t>
  </si>
  <si>
    <t>ORD05193</t>
  </si>
  <si>
    <t>ORD05194</t>
  </si>
  <si>
    <t>ORD05195</t>
  </si>
  <si>
    <t>ORD05196</t>
  </si>
  <si>
    <t>ORD05197</t>
  </si>
  <si>
    <t>ORD05198</t>
  </si>
  <si>
    <t>ORD05199</t>
  </si>
  <si>
    <t>ORD05200</t>
  </si>
  <si>
    <t>ORD05201</t>
  </si>
  <si>
    <t>ORD05202</t>
  </si>
  <si>
    <t>ORD05203</t>
  </si>
  <si>
    <t>ORD05204</t>
  </si>
  <si>
    <t>ORD05205</t>
  </si>
  <si>
    <t>ORD05206</t>
  </si>
  <si>
    <t>ORD05207</t>
  </si>
  <si>
    <t>ORD05208</t>
  </si>
  <si>
    <t>ORD05209</t>
  </si>
  <si>
    <t>ORD05210</t>
  </si>
  <si>
    <t>ORD05211</t>
  </si>
  <si>
    <t>ORD05212</t>
  </si>
  <si>
    <t>ORD05213</t>
  </si>
  <si>
    <t>ORD05214</t>
  </si>
  <si>
    <t>ORD05215</t>
  </si>
  <si>
    <t>ORD05216</t>
  </si>
  <si>
    <t>ORD05217</t>
  </si>
  <si>
    <t>ORD05218</t>
  </si>
  <si>
    <t>ORD05219</t>
  </si>
  <si>
    <t>ORD05220</t>
  </si>
  <si>
    <t>ORD05221</t>
  </si>
  <si>
    <t>ORD05222</t>
  </si>
  <si>
    <t>ORD05223</t>
  </si>
  <si>
    <t>ORD05224</t>
  </si>
  <si>
    <t>ORD05225</t>
  </si>
  <si>
    <t>ORD05226</t>
  </si>
  <si>
    <t>ORD05227</t>
  </si>
  <si>
    <t>ORD05228</t>
  </si>
  <si>
    <t>ORD05229</t>
  </si>
  <si>
    <t>ORD05230</t>
  </si>
  <si>
    <t>ORD05231</t>
  </si>
  <si>
    <t>ORD05232</t>
  </si>
  <si>
    <t>ORD05233</t>
  </si>
  <si>
    <t>ORD05234</t>
  </si>
  <si>
    <t>ORD05235</t>
  </si>
  <si>
    <t>ORD05236</t>
  </si>
  <si>
    <t>ORD05237</t>
  </si>
  <si>
    <t>ORD05238</t>
  </si>
  <si>
    <t>ORD05239</t>
  </si>
  <si>
    <t>ORD05240</t>
  </si>
  <si>
    <t>ORD05241</t>
  </si>
  <si>
    <t>ORD05242</t>
  </si>
  <si>
    <t>ORD05243</t>
  </si>
  <si>
    <t>ORD05244</t>
  </si>
  <si>
    <t>ORD05245</t>
  </si>
  <si>
    <t>ORD05246</t>
  </si>
  <si>
    <t>ORD05247</t>
  </si>
  <si>
    <t>ORD05248</t>
  </si>
  <si>
    <t>ORD05249</t>
  </si>
  <si>
    <t>ORD05250</t>
  </si>
  <si>
    <t>ORD05251</t>
  </si>
  <si>
    <t>ORD05252</t>
  </si>
  <si>
    <t>ORD05253</t>
  </si>
  <si>
    <t>ORD05254</t>
  </si>
  <si>
    <t>ORD05255</t>
  </si>
  <si>
    <t>ORD05256</t>
  </si>
  <si>
    <t>ORD05257</t>
  </si>
  <si>
    <t>ORD05258</t>
  </si>
  <si>
    <t>ORD05259</t>
  </si>
  <si>
    <t>ORD05260</t>
  </si>
  <si>
    <t>ORD05261</t>
  </si>
  <si>
    <t>ORD05262</t>
  </si>
  <si>
    <t>ORD05263</t>
  </si>
  <si>
    <t>ORD05264</t>
  </si>
  <si>
    <t>ORD05265</t>
  </si>
  <si>
    <t>ORD05266</t>
  </si>
  <si>
    <t>ORD05267</t>
  </si>
  <si>
    <t>ORD05268</t>
  </si>
  <si>
    <t>ORD05269</t>
  </si>
  <si>
    <t>ORD05270</t>
  </si>
  <si>
    <t>ORD05271</t>
  </si>
  <si>
    <t>ORD05272</t>
  </si>
  <si>
    <t>ORD05273</t>
  </si>
  <si>
    <t>ORD05274</t>
  </si>
  <si>
    <t>ORD05275</t>
  </si>
  <si>
    <t>ORD05276</t>
  </si>
  <si>
    <t>ORD05277</t>
  </si>
  <si>
    <t>ORD05278</t>
  </si>
  <si>
    <t>ORD05279</t>
  </si>
  <si>
    <t>ORD05280</t>
  </si>
  <si>
    <t>ORD05281</t>
  </si>
  <si>
    <t>ORD05282</t>
  </si>
  <si>
    <t>ORD05283</t>
  </si>
  <si>
    <t>ORD05284</t>
  </si>
  <si>
    <t>ORD05285</t>
  </si>
  <si>
    <t>ORD05286</t>
  </si>
  <si>
    <t>ORD05287</t>
  </si>
  <si>
    <t>ORD05288</t>
  </si>
  <si>
    <t>ORD05289</t>
  </si>
  <si>
    <t>ORD05290</t>
  </si>
  <si>
    <t>ORD05291</t>
  </si>
  <si>
    <t>ORD05292</t>
  </si>
  <si>
    <t>ORD05293</t>
  </si>
  <si>
    <t>ORD05294</t>
  </si>
  <si>
    <t>ORD05295</t>
  </si>
  <si>
    <t>ORD05296</t>
  </si>
  <si>
    <t>ORD05297</t>
  </si>
  <si>
    <t>ORD05298</t>
  </si>
  <si>
    <t>ORD05299</t>
  </si>
  <si>
    <t>ORD05300</t>
  </si>
  <si>
    <t>ORD05301</t>
  </si>
  <si>
    <t>ORD05302</t>
  </si>
  <si>
    <t>ORD05303</t>
  </si>
  <si>
    <t>ORD05304</t>
  </si>
  <si>
    <t>ORD05305</t>
  </si>
  <si>
    <t>ORD05306</t>
  </si>
  <si>
    <t>ORD05307</t>
  </si>
  <si>
    <t>ORD05308</t>
  </si>
  <si>
    <t>ORD05309</t>
  </si>
  <si>
    <t>ORD05310</t>
  </si>
  <si>
    <t>ORD05311</t>
  </si>
  <si>
    <t>ORD05312</t>
  </si>
  <si>
    <t>ORD05313</t>
  </si>
  <si>
    <t>ORD05314</t>
  </si>
  <si>
    <t>ORD05315</t>
  </si>
  <si>
    <t>ORD05316</t>
  </si>
  <si>
    <t>ORD05317</t>
  </si>
  <si>
    <t>ORD05318</t>
  </si>
  <si>
    <t>ORD05319</t>
  </si>
  <si>
    <t>ORD05320</t>
  </si>
  <si>
    <t>ORD05321</t>
  </si>
  <si>
    <t>ORD05322</t>
  </si>
  <si>
    <t>ORD05323</t>
  </si>
  <si>
    <t>ORD05324</t>
  </si>
  <si>
    <t>ORD05325</t>
  </si>
  <si>
    <t>ORD05326</t>
  </si>
  <si>
    <t>ORD05327</t>
  </si>
  <si>
    <t>ORD05328</t>
  </si>
  <si>
    <t>ORD05329</t>
  </si>
  <si>
    <t>ORD05330</t>
  </si>
  <si>
    <t>ORD05331</t>
  </si>
  <si>
    <t>ORD05332</t>
  </si>
  <si>
    <t>ORD05333</t>
  </si>
  <si>
    <t>ORD05334</t>
  </si>
  <si>
    <t>ORD05335</t>
  </si>
  <si>
    <t>ORD05336</t>
  </si>
  <si>
    <t>ORD05337</t>
  </si>
  <si>
    <t>ORD05338</t>
  </si>
  <si>
    <t>ORD05339</t>
  </si>
  <si>
    <t>ORD05340</t>
  </si>
  <si>
    <t>ORD05341</t>
  </si>
  <si>
    <t>ORD05342</t>
  </si>
  <si>
    <t>ORD05343</t>
  </si>
  <si>
    <t>ORD05344</t>
  </si>
  <si>
    <t>ORD05345</t>
  </si>
  <si>
    <t>ORD05346</t>
  </si>
  <si>
    <t>ORD05347</t>
  </si>
  <si>
    <t>ORD05348</t>
  </si>
  <si>
    <t>ORD05349</t>
  </si>
  <si>
    <t>ORD05350</t>
  </si>
  <si>
    <t>ORD05351</t>
  </si>
  <si>
    <t>ORD05352</t>
  </si>
  <si>
    <t>ORD05353</t>
  </si>
  <si>
    <t>ORD05354</t>
  </si>
  <si>
    <t>ORD05355</t>
  </si>
  <si>
    <t>ORD05356</t>
  </si>
  <si>
    <t>ORD05357</t>
  </si>
  <si>
    <t>ORD05358</t>
  </si>
  <si>
    <t>ORD05359</t>
  </si>
  <si>
    <t>ORD05360</t>
  </si>
  <si>
    <t>ORD05361</t>
  </si>
  <si>
    <t>ORD05362</t>
  </si>
  <si>
    <t>ORD05363</t>
  </si>
  <si>
    <t>ORD05364</t>
  </si>
  <si>
    <t>ORD05365</t>
  </si>
  <si>
    <t>ORD05366</t>
  </si>
  <si>
    <t>ORD05367</t>
  </si>
  <si>
    <t>ORD05368</t>
  </si>
  <si>
    <t>ORD05369</t>
  </si>
  <si>
    <t>ORD05370</t>
  </si>
  <si>
    <t>ORD05371</t>
  </si>
  <si>
    <t>ORD05372</t>
  </si>
  <si>
    <t>ORD05373</t>
  </si>
  <si>
    <t>ORD05374</t>
  </si>
  <si>
    <t>ORD05375</t>
  </si>
  <si>
    <t>ORD05376</t>
  </si>
  <si>
    <t>ORD05377</t>
  </si>
  <si>
    <t>ORD05378</t>
  </si>
  <si>
    <t>ORD05379</t>
  </si>
  <si>
    <t>ORD05380</t>
  </si>
  <si>
    <t>ORD05381</t>
  </si>
  <si>
    <t>ORD05382</t>
  </si>
  <si>
    <t>ORD05383</t>
  </si>
  <si>
    <t>ORD05384</t>
  </si>
  <si>
    <t>ORD05385</t>
  </si>
  <si>
    <t>ORD05386</t>
  </si>
  <si>
    <t>ORD05387</t>
  </si>
  <si>
    <t>ORD05388</t>
  </si>
  <si>
    <t>ORD05389</t>
  </si>
  <si>
    <t>ORD05390</t>
  </si>
  <si>
    <t>ORD05391</t>
  </si>
  <si>
    <t>ORD05392</t>
  </si>
  <si>
    <t>ORD05393</t>
  </si>
  <si>
    <t>ORD05394</t>
  </si>
  <si>
    <t>ORD05395</t>
  </si>
  <si>
    <t>ORD05396</t>
  </si>
  <si>
    <t>ORD05397</t>
  </si>
  <si>
    <t>ORD05398</t>
  </si>
  <si>
    <t>ORD05399</t>
  </si>
  <si>
    <t>ORD05400</t>
  </si>
  <si>
    <t>ORD05401</t>
  </si>
  <si>
    <t>ORD05402</t>
  </si>
  <si>
    <t>ORD05403</t>
  </si>
  <si>
    <t>ORD05404</t>
  </si>
  <si>
    <t>ORD05405</t>
  </si>
  <si>
    <t>ORD05406</t>
  </si>
  <si>
    <t>ORD05407</t>
  </si>
  <si>
    <t>ORD05408</t>
  </si>
  <si>
    <t>ORD05409</t>
  </si>
  <si>
    <t>ORD05410</t>
  </si>
  <si>
    <t>ORD05411</t>
  </si>
  <si>
    <t>ORD05412</t>
  </si>
  <si>
    <t>ORD05413</t>
  </si>
  <si>
    <t>ORD05414</t>
  </si>
  <si>
    <t>ORD05415</t>
  </si>
  <si>
    <t>ORD05416</t>
  </si>
  <si>
    <t>ORD05417</t>
  </si>
  <si>
    <t>ORD05418</t>
  </si>
  <si>
    <t>ORD05419</t>
  </si>
  <si>
    <t>ORD05420</t>
  </si>
  <si>
    <t>ORD05421</t>
  </si>
  <si>
    <t>ORD05422</t>
  </si>
  <si>
    <t>ORD05423</t>
  </si>
  <si>
    <t>ORD05424</t>
  </si>
  <si>
    <t>ORD05425</t>
  </si>
  <si>
    <t>ORD05426</t>
  </si>
  <si>
    <t>ORD05427</t>
  </si>
  <si>
    <t>ORD05428</t>
  </si>
  <si>
    <t>ORD05429</t>
  </si>
  <si>
    <t>ORD05430</t>
  </si>
  <si>
    <t>ORD05431</t>
  </si>
  <si>
    <t>ORD05432</t>
  </si>
  <si>
    <t>ORD05433</t>
  </si>
  <si>
    <t>ORD05434</t>
  </si>
  <si>
    <t>ORD05435</t>
  </si>
  <si>
    <t>ORD05436</t>
  </si>
  <si>
    <t>ORD05437</t>
  </si>
  <si>
    <t>ORD05438</t>
  </si>
  <si>
    <t>ORD05439</t>
  </si>
  <si>
    <t>ORD05440</t>
  </si>
  <si>
    <t>ORD05441</t>
  </si>
  <si>
    <t>ORD05442</t>
  </si>
  <si>
    <t>ORD05443</t>
  </si>
  <si>
    <t>ORD05444</t>
  </si>
  <si>
    <t>ORD05445</t>
  </si>
  <si>
    <t>ORD05446</t>
  </si>
  <si>
    <t>ORD05447</t>
  </si>
  <si>
    <t>ORD05448</t>
  </si>
  <si>
    <t>ORD05449</t>
  </si>
  <si>
    <t>ORD05450</t>
  </si>
  <si>
    <t>ORD05451</t>
  </si>
  <si>
    <t>ORD05452</t>
  </si>
  <si>
    <t>ORD05453</t>
  </si>
  <si>
    <t>ORD05454</t>
  </si>
  <si>
    <t>ORD05455</t>
  </si>
  <si>
    <t>ORD05456</t>
  </si>
  <si>
    <t>ORD05457</t>
  </si>
  <si>
    <t>ORD05458</t>
  </si>
  <si>
    <t>ORD05459</t>
  </si>
  <si>
    <t>ORD05460</t>
  </si>
  <si>
    <t>ORD05461</t>
  </si>
  <si>
    <t>ORD05462</t>
  </si>
  <si>
    <t>ORD05463</t>
  </si>
  <si>
    <t>ORD05464</t>
  </si>
  <si>
    <t>ORD05465</t>
  </si>
  <si>
    <t>ORD05466</t>
  </si>
  <si>
    <t>ORD05467</t>
  </si>
  <si>
    <t>ORD05468</t>
  </si>
  <si>
    <t>ORD05469</t>
  </si>
  <si>
    <t>ORD05470</t>
  </si>
  <si>
    <t>ORD05471</t>
  </si>
  <si>
    <t>ORD05472</t>
  </si>
  <si>
    <t>ORD05473</t>
  </si>
  <si>
    <t>ORD05474</t>
  </si>
  <si>
    <t>ORD05475</t>
  </si>
  <si>
    <t>ORD05476</t>
  </si>
  <si>
    <t>ORD05477</t>
  </si>
  <si>
    <t>ORD05478</t>
  </si>
  <si>
    <t>ORD05479</t>
  </si>
  <si>
    <t>ORD05480</t>
  </si>
  <si>
    <t>ORD05481</t>
  </si>
  <si>
    <t>ORD05482</t>
  </si>
  <si>
    <t>ORD05483</t>
  </si>
  <si>
    <t>ORD05484</t>
  </si>
  <si>
    <t>ORD05485</t>
  </si>
  <si>
    <t>ORD05486</t>
  </si>
  <si>
    <t>ORD05487</t>
  </si>
  <si>
    <t>ORD05488</t>
  </si>
  <si>
    <t>ORD05489</t>
  </si>
  <si>
    <t>ORD05490</t>
  </si>
  <si>
    <t>ORD05491</t>
  </si>
  <si>
    <t>ORD05492</t>
  </si>
  <si>
    <t>ORD05493</t>
  </si>
  <si>
    <t>ORD05494</t>
  </si>
  <si>
    <t>ORD05495</t>
  </si>
  <si>
    <t>ORD05496</t>
  </si>
  <si>
    <t>ORD05497</t>
  </si>
  <si>
    <t>ORD05498</t>
  </si>
  <si>
    <t>ORD05499</t>
  </si>
  <si>
    <t>ORD05500</t>
  </si>
  <si>
    <t>ORD05501</t>
  </si>
  <si>
    <t>ORD05502</t>
  </si>
  <si>
    <t>ORD05503</t>
  </si>
  <si>
    <t>ORD05504</t>
  </si>
  <si>
    <t>ORD05505</t>
  </si>
  <si>
    <t>ORD05506</t>
  </si>
  <si>
    <t>ORD05507</t>
  </si>
  <si>
    <t>ORD05508</t>
  </si>
  <si>
    <t>ORD05509</t>
  </si>
  <si>
    <t>ORD05510</t>
  </si>
  <si>
    <t>ORD05511</t>
  </si>
  <si>
    <t>ORD05512</t>
  </si>
  <si>
    <t>ORD05513</t>
  </si>
  <si>
    <t>ORD05514</t>
  </si>
  <si>
    <t>ORD05515</t>
  </si>
  <si>
    <t>ORD05516</t>
  </si>
  <si>
    <t>ORD05517</t>
  </si>
  <si>
    <t>ORD05518</t>
  </si>
  <si>
    <t>ORD05519</t>
  </si>
  <si>
    <t>ORD05520</t>
  </si>
  <si>
    <t>ORD05521</t>
  </si>
  <si>
    <t>ORD05522</t>
  </si>
  <si>
    <t>ORD05523</t>
  </si>
  <si>
    <t>ORD05524</t>
  </si>
  <si>
    <t>ORD05525</t>
  </si>
  <si>
    <t>ORD05526</t>
  </si>
  <si>
    <t>ORD05527</t>
  </si>
  <si>
    <t>ORD05528</t>
  </si>
  <si>
    <t>ORD05529</t>
  </si>
  <si>
    <t>ORD05530</t>
  </si>
  <si>
    <t>ORD05531</t>
  </si>
  <si>
    <t>ORD05532</t>
  </si>
  <si>
    <t>ORD05533</t>
  </si>
  <si>
    <t>ORD05534</t>
  </si>
  <si>
    <t>ORD05535</t>
  </si>
  <si>
    <t>ORD05536</t>
  </si>
  <si>
    <t>ORD05537</t>
  </si>
  <si>
    <t>ORD05538</t>
  </si>
  <si>
    <t>ORD05539</t>
  </si>
  <si>
    <t>ORD05540</t>
  </si>
  <si>
    <t>ORD05541</t>
  </si>
  <si>
    <t>ORD05542</t>
  </si>
  <si>
    <t>ORD05543</t>
  </si>
  <si>
    <t>ORD05544</t>
  </si>
  <si>
    <t>ORD05545</t>
  </si>
  <si>
    <t>ORD05546</t>
  </si>
  <si>
    <t>ORD05547</t>
  </si>
  <si>
    <t>ORD05548</t>
  </si>
  <si>
    <t>ORD05549</t>
  </si>
  <si>
    <t>ORD05550</t>
  </si>
  <si>
    <t>ORD05551</t>
  </si>
  <si>
    <t>ORD05552</t>
  </si>
  <si>
    <t>ORD05553</t>
  </si>
  <si>
    <t>ORD05554</t>
  </si>
  <si>
    <t>ORD05555</t>
  </si>
  <si>
    <t>ORD05556</t>
  </si>
  <si>
    <t>ORD05557</t>
  </si>
  <si>
    <t>ORD05558</t>
  </si>
  <si>
    <t>ORD05559</t>
  </si>
  <si>
    <t>ORD05560</t>
  </si>
  <si>
    <t>ORD05561</t>
  </si>
  <si>
    <t>ORD05562</t>
  </si>
  <si>
    <t>ORD05563</t>
  </si>
  <si>
    <t>ORD05564</t>
  </si>
  <si>
    <t>ORD05565</t>
  </si>
  <si>
    <t>ORD05566</t>
  </si>
  <si>
    <t>ORD05567</t>
  </si>
  <si>
    <t>ORD05568</t>
  </si>
  <si>
    <t>ORD05569</t>
  </si>
  <si>
    <t>ORD05570</t>
  </si>
  <si>
    <t>ORD05571</t>
  </si>
  <si>
    <t>ORD05572</t>
  </si>
  <si>
    <t>ORD05573</t>
  </si>
  <si>
    <t>ORD05574</t>
  </si>
  <si>
    <t>ORD05575</t>
  </si>
  <si>
    <t>ORD05576</t>
  </si>
  <si>
    <t>ORD05577</t>
  </si>
  <si>
    <t>ORD05578</t>
  </si>
  <si>
    <t>ORD05579</t>
  </si>
  <si>
    <t>ORD05580</t>
  </si>
  <si>
    <t>ORD05581</t>
  </si>
  <si>
    <t>ORD05582</t>
  </si>
  <si>
    <t>ORD05583</t>
  </si>
  <si>
    <t>ORD05584</t>
  </si>
  <si>
    <t>ORD05585</t>
  </si>
  <si>
    <t>ORD05586</t>
  </si>
  <si>
    <t>ORD05587</t>
  </si>
  <si>
    <t>ORD05588</t>
  </si>
  <si>
    <t>ORD05589</t>
  </si>
  <si>
    <t>ORD05590</t>
  </si>
  <si>
    <t>ORD05591</t>
  </si>
  <si>
    <t>ORD05592</t>
  </si>
  <si>
    <t>ORD05593</t>
  </si>
  <si>
    <t>ORD05594</t>
  </si>
  <si>
    <t>ORD05595</t>
  </si>
  <si>
    <t>ORD05596</t>
  </si>
  <si>
    <t>ORD05597</t>
  </si>
  <si>
    <t>ORD05598</t>
  </si>
  <si>
    <t>ORD05599</t>
  </si>
  <si>
    <t>ORD05600</t>
  </si>
  <si>
    <t>ORD05601</t>
  </si>
  <si>
    <t>ORD05602</t>
  </si>
  <si>
    <t>ORD05603</t>
  </si>
  <si>
    <t>ORD05604</t>
  </si>
  <si>
    <t>ORD05605</t>
  </si>
  <si>
    <t>ORD05606</t>
  </si>
  <si>
    <t>ORD05607</t>
  </si>
  <si>
    <t>ORD05608</t>
  </si>
  <si>
    <t>ORD05609</t>
  </si>
  <si>
    <t>ORD05610</t>
  </si>
  <si>
    <t>ORD05611</t>
  </si>
  <si>
    <t>ORD05612</t>
  </si>
  <si>
    <t>ORD05613</t>
  </si>
  <si>
    <t>ORD05614</t>
  </si>
  <si>
    <t>ORD05615</t>
  </si>
  <si>
    <t>ORD05616</t>
  </si>
  <si>
    <t>ORD05617</t>
  </si>
  <si>
    <t>ORD05618</t>
  </si>
  <si>
    <t>ORD05619</t>
  </si>
  <si>
    <t>ORD05620</t>
  </si>
  <si>
    <t>ORD05621</t>
  </si>
  <si>
    <t>ORD05622</t>
  </si>
  <si>
    <t>ORD05623</t>
  </si>
  <si>
    <t>ORD05624</t>
  </si>
  <si>
    <t>ORD05625</t>
  </si>
  <si>
    <t>ORD05626</t>
  </si>
  <si>
    <t>ORD05627</t>
  </si>
  <si>
    <t>ORD05628</t>
  </si>
  <si>
    <t>ORD05629</t>
  </si>
  <si>
    <t>ORD05630</t>
  </si>
  <si>
    <t>ORD05631</t>
  </si>
  <si>
    <t>ORD05632</t>
  </si>
  <si>
    <t>ORD05633</t>
  </si>
  <si>
    <t>ORD05634</t>
  </si>
  <si>
    <t>ORD05635</t>
  </si>
  <si>
    <t>ORD05636</t>
  </si>
  <si>
    <t>ORD05637</t>
  </si>
  <si>
    <t>ORD05638</t>
  </si>
  <si>
    <t>ORD05639</t>
  </si>
  <si>
    <t>ORD05640</t>
  </si>
  <si>
    <t>ORD05641</t>
  </si>
  <si>
    <t>ORD05642</t>
  </si>
  <si>
    <t>ORD05643</t>
  </si>
  <si>
    <t>ORD05644</t>
  </si>
  <si>
    <t>ORD05645</t>
  </si>
  <si>
    <t>ORD05646</t>
  </si>
  <si>
    <t>ORD05647</t>
  </si>
  <si>
    <t>ORD05648</t>
  </si>
  <si>
    <t>ORD05649</t>
  </si>
  <si>
    <t>ORD05650</t>
  </si>
  <si>
    <t>ORD05651</t>
  </si>
  <si>
    <t>ORD05652</t>
  </si>
  <si>
    <t>ORD05653</t>
  </si>
  <si>
    <t>ORD05654</t>
  </si>
  <si>
    <t>ORD05655</t>
  </si>
  <si>
    <t>ORD05656</t>
  </si>
  <si>
    <t>ORD05657</t>
  </si>
  <si>
    <t>ORD05658</t>
  </si>
  <si>
    <t>ORD05659</t>
  </si>
  <si>
    <t>ORD05660</t>
  </si>
  <si>
    <t>ORD05661</t>
  </si>
  <si>
    <t>ORD05662</t>
  </si>
  <si>
    <t>ORD05663</t>
  </si>
  <si>
    <t>ORD05664</t>
  </si>
  <si>
    <t>ORD05665</t>
  </si>
  <si>
    <t>ORD05666</t>
  </si>
  <si>
    <t>ORD05667</t>
  </si>
  <si>
    <t>ORD05668</t>
  </si>
  <si>
    <t>ORD05669</t>
  </si>
  <si>
    <t>ORD05670</t>
  </si>
  <si>
    <t>ORD05671</t>
  </si>
  <si>
    <t>ORD05672</t>
  </si>
  <si>
    <t>ORD05673</t>
  </si>
  <si>
    <t>ORD05674</t>
  </si>
  <si>
    <t>ORD05675</t>
  </si>
  <si>
    <t>ORD05676</t>
  </si>
  <si>
    <t>ORD05677</t>
  </si>
  <si>
    <t>ORD05678</t>
  </si>
  <si>
    <t>ORD05679</t>
  </si>
  <si>
    <t>ORD05680</t>
  </si>
  <si>
    <t>ORD05681</t>
  </si>
  <si>
    <t>ORD05682</t>
  </si>
  <si>
    <t>ORD05683</t>
  </si>
  <si>
    <t>ORD05684</t>
  </si>
  <si>
    <t>ORD05685</t>
  </si>
  <si>
    <t>ORD05686</t>
  </si>
  <si>
    <t>ORD05687</t>
  </si>
  <si>
    <t>ORD05688</t>
  </si>
  <si>
    <t>ORD05689</t>
  </si>
  <si>
    <t>ORD05690</t>
  </si>
  <si>
    <t>ORD05691</t>
  </si>
  <si>
    <t>ORD05692</t>
  </si>
  <si>
    <t>ORD05693</t>
  </si>
  <si>
    <t>ORD05694</t>
  </si>
  <si>
    <t>ORD05695</t>
  </si>
  <si>
    <t>ORD05696</t>
  </si>
  <si>
    <t>ORD05697</t>
  </si>
  <si>
    <t>ORD05698</t>
  </si>
  <si>
    <t>ORD05699</t>
  </si>
  <si>
    <t>ORD05700</t>
  </si>
  <si>
    <t>ORD05701</t>
  </si>
  <si>
    <t>ORD05702</t>
  </si>
  <si>
    <t>ORD05703</t>
  </si>
  <si>
    <t>ORD05704</t>
  </si>
  <si>
    <t>ORD05705</t>
  </si>
  <si>
    <t>ORD05706</t>
  </si>
  <si>
    <t>ORD05707</t>
  </si>
  <si>
    <t>ORD05708</t>
  </si>
  <si>
    <t>ORD05709</t>
  </si>
  <si>
    <t>ORD05710</t>
  </si>
  <si>
    <t>ORD05711</t>
  </si>
  <si>
    <t>ORD05712</t>
  </si>
  <si>
    <t>ORD05713</t>
  </si>
  <si>
    <t>ORD05714</t>
  </si>
  <si>
    <t>ORD05715</t>
  </si>
  <si>
    <t>ORD05716</t>
  </si>
  <si>
    <t>ORD05717</t>
  </si>
  <si>
    <t>ORD05718</t>
  </si>
  <si>
    <t>ORD05719</t>
  </si>
  <si>
    <t>ORD05720</t>
  </si>
  <si>
    <t>ORD05721</t>
  </si>
  <si>
    <t>ORD05722</t>
  </si>
  <si>
    <t>ORD05723</t>
  </si>
  <si>
    <t>ORD05724</t>
  </si>
  <si>
    <t>ORD05725</t>
  </si>
  <si>
    <t>ORD05726</t>
  </si>
  <si>
    <t>ORD05727</t>
  </si>
  <si>
    <t>ORD05728</t>
  </si>
  <si>
    <t>ORD05729</t>
  </si>
  <si>
    <t>ORD05730</t>
  </si>
  <si>
    <t>ORD05731</t>
  </si>
  <si>
    <t>ORD05732</t>
  </si>
  <si>
    <t>ORD05733</t>
  </si>
  <si>
    <t>ORD05734</t>
  </si>
  <si>
    <t>ORD05735</t>
  </si>
  <si>
    <t>ORD05736</t>
  </si>
  <si>
    <t>ORD05737</t>
  </si>
  <si>
    <t>ORD05738</t>
  </si>
  <si>
    <t>ORD05739</t>
  </si>
  <si>
    <t>ORD05740</t>
  </si>
  <si>
    <t>ORD05741</t>
  </si>
  <si>
    <t>ORD05742</t>
  </si>
  <si>
    <t>ORD05743</t>
  </si>
  <si>
    <t>ORD05744</t>
  </si>
  <si>
    <t>ORD05745</t>
  </si>
  <si>
    <t>ORD05746</t>
  </si>
  <si>
    <t>ORD05747</t>
  </si>
  <si>
    <t>ORD05748</t>
  </si>
  <si>
    <t>ORD05749</t>
  </si>
  <si>
    <t>ORD05750</t>
  </si>
  <si>
    <t>ORD05751</t>
  </si>
  <si>
    <t>ORD05752</t>
  </si>
  <si>
    <t>ORD05753</t>
  </si>
  <si>
    <t>ORD05754</t>
  </si>
  <si>
    <t>ORD05755</t>
  </si>
  <si>
    <t>ORD05756</t>
  </si>
  <si>
    <t>ORD05757</t>
  </si>
  <si>
    <t>ORD05758</t>
  </si>
  <si>
    <t>ORD05759</t>
  </si>
  <si>
    <t>ORD05760</t>
  </si>
  <si>
    <t>ORD05761</t>
  </si>
  <si>
    <t>ORD05762</t>
  </si>
  <si>
    <t>ORD05763</t>
  </si>
  <si>
    <t>ORD05764</t>
  </si>
  <si>
    <t>ORD05765</t>
  </si>
  <si>
    <t>ORD05766</t>
  </si>
  <si>
    <t>ORD05767</t>
  </si>
  <si>
    <t>ORD05768</t>
  </si>
  <si>
    <t>ORD05769</t>
  </si>
  <si>
    <t>ORD05770</t>
  </si>
  <si>
    <t>ORD05771</t>
  </si>
  <si>
    <t>ORD05772</t>
  </si>
  <si>
    <t>ORD05773</t>
  </si>
  <si>
    <t>ORD05774</t>
  </si>
  <si>
    <t>ORD05775</t>
  </si>
  <si>
    <t>ORD05776</t>
  </si>
  <si>
    <t>ORD05777</t>
  </si>
  <si>
    <t>ORD05778</t>
  </si>
  <si>
    <t>ORD05779</t>
  </si>
  <si>
    <t>ORD05780</t>
  </si>
  <si>
    <t>ORD05781</t>
  </si>
  <si>
    <t>ORD05782</t>
  </si>
  <si>
    <t>ORD05783</t>
  </si>
  <si>
    <t>ORD05784</t>
  </si>
  <si>
    <t>ORD05785</t>
  </si>
  <si>
    <t>ORD05786</t>
  </si>
  <si>
    <t>ORD05787</t>
  </si>
  <si>
    <t>ORD05788</t>
  </si>
  <si>
    <t>ORD05789</t>
  </si>
  <si>
    <t>ORD05790</t>
  </si>
  <si>
    <t>ORD05791</t>
  </si>
  <si>
    <t>ORD05792</t>
  </si>
  <si>
    <t>ORD05793</t>
  </si>
  <si>
    <t>ORD05794</t>
  </si>
  <si>
    <t>ORD05795</t>
  </si>
  <si>
    <t>ORD05796</t>
  </si>
  <si>
    <t>ORD05797</t>
  </si>
  <si>
    <t>ORD05798</t>
  </si>
  <si>
    <t>ORD05799</t>
  </si>
  <si>
    <t>ORD05800</t>
  </si>
  <si>
    <t>ORD05801</t>
  </si>
  <si>
    <t>ORD05802</t>
  </si>
  <si>
    <t>ORD05803</t>
  </si>
  <si>
    <t>ORD05804</t>
  </si>
  <si>
    <t>ORD05805</t>
  </si>
  <si>
    <t>ORD05806</t>
  </si>
  <si>
    <t>ORD05807</t>
  </si>
  <si>
    <t>ORD05808</t>
  </si>
  <si>
    <t>ORD05809</t>
  </si>
  <si>
    <t>ORD05810</t>
  </si>
  <si>
    <t>ORD05811</t>
  </si>
  <si>
    <t>ORD05812</t>
  </si>
  <si>
    <t>ORD05813</t>
  </si>
  <si>
    <t>ORD05814</t>
  </si>
  <si>
    <t>ORD05815</t>
  </si>
  <si>
    <t>ORD05816</t>
  </si>
  <si>
    <t>ORD05817</t>
  </si>
  <si>
    <t>ORD05818</t>
  </si>
  <si>
    <t>ORD05819</t>
  </si>
  <si>
    <t>ORD05820</t>
  </si>
  <si>
    <t>ORD05821</t>
  </si>
  <si>
    <t>ORD05822</t>
  </si>
  <si>
    <t>ORD05823</t>
  </si>
  <si>
    <t>ORD05824</t>
  </si>
  <si>
    <t>ORD05825</t>
  </si>
  <si>
    <t>ORD05826</t>
  </si>
  <si>
    <t>ORD05827</t>
  </si>
  <si>
    <t>ORD05828</t>
  </si>
  <si>
    <t>ORD05829</t>
  </si>
  <si>
    <t>ORD05830</t>
  </si>
  <si>
    <t>ORD05831</t>
  </si>
  <si>
    <t>ORD05832</t>
  </si>
  <si>
    <t>ORD05833</t>
  </si>
  <si>
    <t>ORD05834</t>
  </si>
  <si>
    <t>ORD05835</t>
  </si>
  <si>
    <t>ORD05836</t>
  </si>
  <si>
    <t>ORD05837</t>
  </si>
  <si>
    <t>ORD05838</t>
  </si>
  <si>
    <t>ORD05839</t>
  </si>
  <si>
    <t>ORD05840</t>
  </si>
  <si>
    <t>ORD05841</t>
  </si>
  <si>
    <t>ORD05842</t>
  </si>
  <si>
    <t>ORD05843</t>
  </si>
  <si>
    <t>ORD05844</t>
  </si>
  <si>
    <t>ORD05845</t>
  </si>
  <si>
    <t>ORD05846</t>
  </si>
  <si>
    <t>ORD05847</t>
  </si>
  <si>
    <t>ORD05848</t>
  </si>
  <si>
    <t>ORD05849</t>
  </si>
  <si>
    <t>ORD05850</t>
  </si>
  <si>
    <t>ORD05851</t>
  </si>
  <si>
    <t>ORD05852</t>
  </si>
  <si>
    <t>ORD05853</t>
  </si>
  <si>
    <t>ORD05854</t>
  </si>
  <si>
    <t>ORD05855</t>
  </si>
  <si>
    <t>ORD05856</t>
  </si>
  <si>
    <t>ORD05857</t>
  </si>
  <si>
    <t>ORD05858</t>
  </si>
  <si>
    <t>ORD05859</t>
  </si>
  <si>
    <t>ORD05860</t>
  </si>
  <si>
    <t>ORD05861</t>
  </si>
  <si>
    <t>ORD05862</t>
  </si>
  <si>
    <t>ORD05863</t>
  </si>
  <si>
    <t>ORD05864</t>
  </si>
  <si>
    <t>ORD05865</t>
  </si>
  <si>
    <t>ORD05866</t>
  </si>
  <si>
    <t>ORD05867</t>
  </si>
  <si>
    <t>ORD05868</t>
  </si>
  <si>
    <t>ORD05869</t>
  </si>
  <si>
    <t>ORD05870</t>
  </si>
  <si>
    <t>ORD05871</t>
  </si>
  <si>
    <t>ORD05872</t>
  </si>
  <si>
    <t>ORD05873</t>
  </si>
  <si>
    <t>ORD05874</t>
  </si>
  <si>
    <t>ORD05875</t>
  </si>
  <si>
    <t>ORD05876</t>
  </si>
  <si>
    <t>ORD05877</t>
  </si>
  <si>
    <t>ORD05878</t>
  </si>
  <si>
    <t>ORD05879</t>
  </si>
  <si>
    <t>ORD05880</t>
  </si>
  <si>
    <t>ORD05881</t>
  </si>
  <si>
    <t>ORD05882</t>
  </si>
  <si>
    <t>ORD05883</t>
  </si>
  <si>
    <t>ORD05884</t>
  </si>
  <si>
    <t>ORD05885</t>
  </si>
  <si>
    <t>ORD05886</t>
  </si>
  <si>
    <t>ORD05887</t>
  </si>
  <si>
    <t>ORD05888</t>
  </si>
  <si>
    <t>ORD05889</t>
  </si>
  <si>
    <t>ORD05890</t>
  </si>
  <si>
    <t>ORD05891</t>
  </si>
  <si>
    <t>ORD05892</t>
  </si>
  <si>
    <t>ORD05893</t>
  </si>
  <si>
    <t>ORD05894</t>
  </si>
  <si>
    <t>ORD05895</t>
  </si>
  <si>
    <t>ORD05896</t>
  </si>
  <si>
    <t>ORD05897</t>
  </si>
  <si>
    <t>ORD05898</t>
  </si>
  <si>
    <t>ORD05899</t>
  </si>
  <si>
    <t>ORD05900</t>
  </si>
  <si>
    <t>ORD05901</t>
  </si>
  <si>
    <t>ORD05902</t>
  </si>
  <si>
    <t>ORD05903</t>
  </si>
  <si>
    <t>ORD05904</t>
  </si>
  <si>
    <t>ORD05905</t>
  </si>
  <si>
    <t>ORD05906</t>
  </si>
  <si>
    <t>ORD05907</t>
  </si>
  <si>
    <t>ORD05908</t>
  </si>
  <si>
    <t>ORD05909</t>
  </si>
  <si>
    <t>ORD05910</t>
  </si>
  <si>
    <t>ORD05911</t>
  </si>
  <si>
    <t>ORD05912</t>
  </si>
  <si>
    <t>ORD05913</t>
  </si>
  <si>
    <t>ORD05914</t>
  </si>
  <si>
    <t>ORD05915</t>
  </si>
  <si>
    <t>ORD05916</t>
  </si>
  <si>
    <t>ORD05917</t>
  </si>
  <si>
    <t>ORD05918</t>
  </si>
  <si>
    <t>ORD05919</t>
  </si>
  <si>
    <t>ORD05920</t>
  </si>
  <si>
    <t>ORD05921</t>
  </si>
  <si>
    <t>ORD05922</t>
  </si>
  <si>
    <t>ORD05923</t>
  </si>
  <si>
    <t>ORD05924</t>
  </si>
  <si>
    <t>ORD05925</t>
  </si>
  <si>
    <t>ORD05926</t>
  </si>
  <si>
    <t>ORD05927</t>
  </si>
  <si>
    <t>ORD05928</t>
  </si>
  <si>
    <t>ORD05929</t>
  </si>
  <si>
    <t>ORD05930</t>
  </si>
  <si>
    <t>ORD05931</t>
  </si>
  <si>
    <t>ORD05932</t>
  </si>
  <si>
    <t>ORD05933</t>
  </si>
  <si>
    <t>ORD05934</t>
  </si>
  <si>
    <t>ORD05935</t>
  </si>
  <si>
    <t>ORD05936</t>
  </si>
  <si>
    <t>ORD05937</t>
  </si>
  <si>
    <t>ORD05938</t>
  </si>
  <si>
    <t>ORD05939</t>
  </si>
  <si>
    <t>ORD05940</t>
  </si>
  <si>
    <t>ORD05941</t>
  </si>
  <si>
    <t>ORD05942</t>
  </si>
  <si>
    <t>ORD05943</t>
  </si>
  <si>
    <t>ORD05944</t>
  </si>
  <si>
    <t>ORD05945</t>
  </si>
  <si>
    <t>ORD05946</t>
  </si>
  <si>
    <t>ORD05947</t>
  </si>
  <si>
    <t>ORD05948</t>
  </si>
  <si>
    <t>ORD05949</t>
  </si>
  <si>
    <t>ORD05950</t>
  </si>
  <si>
    <t>ORD05951</t>
  </si>
  <si>
    <t>ORD05952</t>
  </si>
  <si>
    <t>ORD05953</t>
  </si>
  <si>
    <t>ORD05954</t>
  </si>
  <si>
    <t>ORD05955</t>
  </si>
  <si>
    <t>ORD05956</t>
  </si>
  <si>
    <t>ORD05957</t>
  </si>
  <si>
    <t>ORD05958</t>
  </si>
  <si>
    <t>ORD05959</t>
  </si>
  <si>
    <t>ORD05960</t>
  </si>
  <si>
    <t>ORD05961</t>
  </si>
  <si>
    <t>ORD05962</t>
  </si>
  <si>
    <t>ORD05963</t>
  </si>
  <si>
    <t>ORD05964</t>
  </si>
  <si>
    <t>ORD05965</t>
  </si>
  <si>
    <t>ORD05966</t>
  </si>
  <si>
    <t>ORD05967</t>
  </si>
  <si>
    <t>ORD05968</t>
  </si>
  <si>
    <t>ORD05969</t>
  </si>
  <si>
    <t>ORD05970</t>
  </si>
  <si>
    <t>ORD05971</t>
  </si>
  <si>
    <t>ORD05972</t>
  </si>
  <si>
    <t>ORD05973</t>
  </si>
  <si>
    <t>ORD05974</t>
  </si>
  <si>
    <t>ORD05975</t>
  </si>
  <si>
    <t>ORD05976</t>
  </si>
  <si>
    <t>ORD05977</t>
  </si>
  <si>
    <t>ORD05978</t>
  </si>
  <si>
    <t>ORD05979</t>
  </si>
  <si>
    <t>ORD05980</t>
  </si>
  <si>
    <t>ORD05981</t>
  </si>
  <si>
    <t>ORD05982</t>
  </si>
  <si>
    <t>ORD05983</t>
  </si>
  <si>
    <t>ORD05984</t>
  </si>
  <si>
    <t>ORD05985</t>
  </si>
  <si>
    <t>ORD05986</t>
  </si>
  <si>
    <t>ORD05987</t>
  </si>
  <si>
    <t>ORD05988</t>
  </si>
  <si>
    <t>ORD05989</t>
  </si>
  <si>
    <t>ORD05990</t>
  </si>
  <si>
    <t>ORD05991</t>
  </si>
  <si>
    <t>ORD05992</t>
  </si>
  <si>
    <t>ORD05993</t>
  </si>
  <si>
    <t>ORD05994</t>
  </si>
  <si>
    <t>ORD05995</t>
  </si>
  <si>
    <t>ORD05996</t>
  </si>
  <si>
    <t>ORD05997</t>
  </si>
  <si>
    <t>ORD05998</t>
  </si>
  <si>
    <t>ORD05999</t>
  </si>
  <si>
    <t>ORD06000</t>
  </si>
  <si>
    <t>ORD06001</t>
  </si>
  <si>
    <t>ORD06002</t>
  </si>
  <si>
    <t>ORD06003</t>
  </si>
  <si>
    <t>ORD06004</t>
  </si>
  <si>
    <t>ORD06005</t>
  </si>
  <si>
    <t>ORD06006</t>
  </si>
  <si>
    <t>ORD06007</t>
  </si>
  <si>
    <t>ORD06008</t>
  </si>
  <si>
    <t>ORD06009</t>
  </si>
  <si>
    <t>ORD06010</t>
  </si>
  <si>
    <t>ORD06011</t>
  </si>
  <si>
    <t>ORD06012</t>
  </si>
  <si>
    <t>ORD06013</t>
  </si>
  <si>
    <t>ORD06014</t>
  </si>
  <si>
    <t>ORD06015</t>
  </si>
  <si>
    <t>ORD06016</t>
  </si>
  <si>
    <t>ORD06017</t>
  </si>
  <si>
    <t>ORD06018</t>
  </si>
  <si>
    <t>ORD06019</t>
  </si>
  <si>
    <t>ORD06020</t>
  </si>
  <si>
    <t>ORD06021</t>
  </si>
  <si>
    <t>ORD06022</t>
  </si>
  <si>
    <t>ORD06023</t>
  </si>
  <si>
    <t>ORD06024</t>
  </si>
  <si>
    <t>ORD06025</t>
  </si>
  <si>
    <t>ORD06026</t>
  </si>
  <si>
    <t>ORD06027</t>
  </si>
  <si>
    <t>ORD06028</t>
  </si>
  <si>
    <t>ORD06029</t>
  </si>
  <si>
    <t>ORD06030</t>
  </si>
  <si>
    <t>ORD06031</t>
  </si>
  <si>
    <t>ORD06032</t>
  </si>
  <si>
    <t>ORD06033</t>
  </si>
  <si>
    <t>ORD06034</t>
  </si>
  <si>
    <t>ORD06035</t>
  </si>
  <si>
    <t>ORD06036</t>
  </si>
  <si>
    <t>ORD06037</t>
  </si>
  <si>
    <t>ORD06038</t>
  </si>
  <si>
    <t>ORD06039</t>
  </si>
  <si>
    <t>ORD06040</t>
  </si>
  <si>
    <t>ORD06041</t>
  </si>
  <si>
    <t>ORD06042</t>
  </si>
  <si>
    <t>ORD06043</t>
  </si>
  <si>
    <t>ORD06044</t>
  </si>
  <si>
    <t>ORD06045</t>
  </si>
  <si>
    <t>ORD06046</t>
  </si>
  <si>
    <t>ORD06047</t>
  </si>
  <si>
    <t>ORD06048</t>
  </si>
  <si>
    <t>ORD06049</t>
  </si>
  <si>
    <t>ORD06050</t>
  </si>
  <si>
    <t>ORD06051</t>
  </si>
  <si>
    <t>ORD06052</t>
  </si>
  <si>
    <t>ORD06053</t>
  </si>
  <si>
    <t>ORD06054</t>
  </si>
  <si>
    <t>ORD06055</t>
  </si>
  <si>
    <t>ORD06056</t>
  </si>
  <si>
    <t>ORD06057</t>
  </si>
  <si>
    <t>ORD06058</t>
  </si>
  <si>
    <t>ORD06059</t>
  </si>
  <si>
    <t>ORD06060</t>
  </si>
  <si>
    <t>ORD06061</t>
  </si>
  <si>
    <t>ORD06062</t>
  </si>
  <si>
    <t>ORD06063</t>
  </si>
  <si>
    <t>ORD06064</t>
  </si>
  <si>
    <t>ORD06065</t>
  </si>
  <si>
    <t>ORD06066</t>
  </si>
  <si>
    <t>ORD06067</t>
  </si>
  <si>
    <t>ORD06068</t>
  </si>
  <si>
    <t>ORD06069</t>
  </si>
  <si>
    <t>ORD06070</t>
  </si>
  <si>
    <t>ORD06071</t>
  </si>
  <si>
    <t>ORD06072</t>
  </si>
  <si>
    <t>ORD06073</t>
  </si>
  <si>
    <t>ORD06074</t>
  </si>
  <si>
    <t>ORD06075</t>
  </si>
  <si>
    <t>ORD06076</t>
  </si>
  <si>
    <t>ORD06077</t>
  </si>
  <si>
    <t>ORD06078</t>
  </si>
  <si>
    <t>ORD06079</t>
  </si>
  <si>
    <t>ORD06080</t>
  </si>
  <si>
    <t>ORD06081</t>
  </si>
  <si>
    <t>ORD06082</t>
  </si>
  <si>
    <t>ORD06083</t>
  </si>
  <si>
    <t>ORD06084</t>
  </si>
  <si>
    <t>ORD06085</t>
  </si>
  <si>
    <t>ORD06086</t>
  </si>
  <si>
    <t>ORD06087</t>
  </si>
  <si>
    <t>ORD06088</t>
  </si>
  <si>
    <t>ORD06089</t>
  </si>
  <si>
    <t>ORD06090</t>
  </si>
  <si>
    <t>ORD06091</t>
  </si>
  <si>
    <t>ORD06092</t>
  </si>
  <si>
    <t>ORD06093</t>
  </si>
  <si>
    <t>ORD06094</t>
  </si>
  <si>
    <t>ORD06095</t>
  </si>
  <si>
    <t>ORD06096</t>
  </si>
  <si>
    <t>ORD06097</t>
  </si>
  <si>
    <t>ORD06098</t>
  </si>
  <si>
    <t>ORD06099</t>
  </si>
  <si>
    <t>ORD06100</t>
  </si>
  <si>
    <t>ORD06101</t>
  </si>
  <si>
    <t>ORD06102</t>
  </si>
  <si>
    <t>ORD06103</t>
  </si>
  <si>
    <t>ORD06104</t>
  </si>
  <si>
    <t>ORD06105</t>
  </si>
  <si>
    <t>ORD06106</t>
  </si>
  <si>
    <t>ORD06107</t>
  </si>
  <si>
    <t>ORD06108</t>
  </si>
  <si>
    <t>ORD06109</t>
  </si>
  <si>
    <t>ORD06110</t>
  </si>
  <si>
    <t>ORD06111</t>
  </si>
  <si>
    <t>ORD06112</t>
  </si>
  <si>
    <t>ORD06113</t>
  </si>
  <si>
    <t>ORD06114</t>
  </si>
  <si>
    <t>ORD06115</t>
  </si>
  <si>
    <t>ORD06116</t>
  </si>
  <si>
    <t>ORD06117</t>
  </si>
  <si>
    <t>ORD06118</t>
  </si>
  <si>
    <t>ORD06119</t>
  </si>
  <si>
    <t>ORD06120</t>
  </si>
  <si>
    <t>ORD06121</t>
  </si>
  <si>
    <t>ORD06122</t>
  </si>
  <si>
    <t>ORD06123</t>
  </si>
  <si>
    <t>ORD06124</t>
  </si>
  <si>
    <t>ORD06125</t>
  </si>
  <si>
    <t>ORD06126</t>
  </si>
  <si>
    <t>ORD06127</t>
  </si>
  <si>
    <t>ORD06128</t>
  </si>
  <si>
    <t>ORD06129</t>
  </si>
  <si>
    <t>ORD06130</t>
  </si>
  <si>
    <t>ORD06131</t>
  </si>
  <si>
    <t>ORD06132</t>
  </si>
  <si>
    <t>ORD06133</t>
  </si>
  <si>
    <t>ORD06134</t>
  </si>
  <si>
    <t>ORD06135</t>
  </si>
  <si>
    <t>ORD06136</t>
  </si>
  <si>
    <t>ORD06137</t>
  </si>
  <si>
    <t>ORD06138</t>
  </si>
  <si>
    <t>ORD06139</t>
  </si>
  <si>
    <t>ORD06140</t>
  </si>
  <si>
    <t>ORD06141</t>
  </si>
  <si>
    <t>ORD06142</t>
  </si>
  <si>
    <t>ORD06143</t>
  </si>
  <si>
    <t>ORD06144</t>
  </si>
  <si>
    <t>ORD06145</t>
  </si>
  <si>
    <t>ORD06146</t>
  </si>
  <si>
    <t>ORD06147</t>
  </si>
  <si>
    <t>ORD06148</t>
  </si>
  <si>
    <t>ORD06149</t>
  </si>
  <si>
    <t>ORD06150</t>
  </si>
  <si>
    <t>ORD06151</t>
  </si>
  <si>
    <t>ORD06152</t>
  </si>
  <si>
    <t>ORD06153</t>
  </si>
  <si>
    <t>ORD06154</t>
  </si>
  <si>
    <t>ORD06155</t>
  </si>
  <si>
    <t>ORD06156</t>
  </si>
  <si>
    <t>ORD06157</t>
  </si>
  <si>
    <t>ORD06158</t>
  </si>
  <si>
    <t>ORD06159</t>
  </si>
  <si>
    <t>ORD06160</t>
  </si>
  <si>
    <t>ORD06161</t>
  </si>
  <si>
    <t>ORD06162</t>
  </si>
  <si>
    <t>ORD06163</t>
  </si>
  <si>
    <t>ORD06164</t>
  </si>
  <si>
    <t>ORD06165</t>
  </si>
  <si>
    <t>ORD06166</t>
  </si>
  <si>
    <t>ORD06167</t>
  </si>
  <si>
    <t>ORD06168</t>
  </si>
  <si>
    <t>ORD06169</t>
  </si>
  <si>
    <t>ORD06170</t>
  </si>
  <si>
    <t>ORD06171</t>
  </si>
  <si>
    <t>ORD06172</t>
  </si>
  <si>
    <t>ORD06173</t>
  </si>
  <si>
    <t>ORD06174</t>
  </si>
  <si>
    <t>ORD06175</t>
  </si>
  <si>
    <t>ORD06176</t>
  </si>
  <si>
    <t>ORD06177</t>
  </si>
  <si>
    <t>ORD06178</t>
  </si>
  <si>
    <t>ORD06179</t>
  </si>
  <si>
    <t>ORD06180</t>
  </si>
  <si>
    <t>ORD06181</t>
  </si>
  <si>
    <t>ORD06182</t>
  </si>
  <si>
    <t>ORD06183</t>
  </si>
  <si>
    <t>ORD06184</t>
  </si>
  <si>
    <t>ORD06185</t>
  </si>
  <si>
    <t>ORD06186</t>
  </si>
  <si>
    <t>ORD06187</t>
  </si>
  <si>
    <t>ORD06188</t>
  </si>
  <si>
    <t>ORD06189</t>
  </si>
  <si>
    <t>ORD06190</t>
  </si>
  <si>
    <t>ORD06191</t>
  </si>
  <si>
    <t>ORD06192</t>
  </si>
  <si>
    <t>ORD06193</t>
  </si>
  <si>
    <t>ORD06194</t>
  </si>
  <si>
    <t>ORD06195</t>
  </si>
  <si>
    <t>ORD06196</t>
  </si>
  <si>
    <t>ORD06197</t>
  </si>
  <si>
    <t>ORD06198</t>
  </si>
  <si>
    <t>ORD06199</t>
  </si>
  <si>
    <t>ORD06200</t>
  </si>
  <si>
    <t>ORD06201</t>
  </si>
  <si>
    <t>ORD06202</t>
  </si>
  <si>
    <t>ORD06203</t>
  </si>
  <si>
    <t>ORD06204</t>
  </si>
  <si>
    <t>ORD06205</t>
  </si>
  <si>
    <t>ORD06206</t>
  </si>
  <si>
    <t>ORD06207</t>
  </si>
  <si>
    <t>ORD06208</t>
  </si>
  <si>
    <t>ORD06209</t>
  </si>
  <si>
    <t>ORD06210</t>
  </si>
  <si>
    <t>ORD06211</t>
  </si>
  <si>
    <t>ORD06212</t>
  </si>
  <si>
    <t>ORD06213</t>
  </si>
  <si>
    <t>ORD06214</t>
  </si>
  <si>
    <t>ORD06215</t>
  </si>
  <si>
    <t>ORD06216</t>
  </si>
  <si>
    <t>ORD06217</t>
  </si>
  <si>
    <t>ORD06218</t>
  </si>
  <si>
    <t>ORD06219</t>
  </si>
  <si>
    <t>ORD06220</t>
  </si>
  <si>
    <t>ORD06221</t>
  </si>
  <si>
    <t>ORD06222</t>
  </si>
  <si>
    <t>ORD06223</t>
  </si>
  <si>
    <t>ORD06224</t>
  </si>
  <si>
    <t>ORD06225</t>
  </si>
  <si>
    <t>ORD06226</t>
  </si>
  <si>
    <t>ORD06227</t>
  </si>
  <si>
    <t>ORD06228</t>
  </si>
  <si>
    <t>ORD06229</t>
  </si>
  <si>
    <t>ORD06230</t>
  </si>
  <si>
    <t>ORD06231</t>
  </si>
  <si>
    <t>ORD06232</t>
  </si>
  <si>
    <t>ORD06233</t>
  </si>
  <si>
    <t>ORD06234</t>
  </si>
  <si>
    <t>ORD06235</t>
  </si>
  <si>
    <t>ORD06236</t>
  </si>
  <si>
    <t>ORD06237</t>
  </si>
  <si>
    <t>ORD06238</t>
  </si>
  <si>
    <t>ORD06239</t>
  </si>
  <si>
    <t>ORD06240</t>
  </si>
  <si>
    <t>ORD06241</t>
  </si>
  <si>
    <t>ORD06242</t>
  </si>
  <si>
    <t>ORD06243</t>
  </si>
  <si>
    <t>ORD06244</t>
  </si>
  <si>
    <t>ORD06245</t>
  </si>
  <si>
    <t>ORD06246</t>
  </si>
  <si>
    <t>ORD06247</t>
  </si>
  <si>
    <t>ORD06248</t>
  </si>
  <si>
    <t>ORD06249</t>
  </si>
  <si>
    <t>ORD06250</t>
  </si>
  <si>
    <t>ORD06251</t>
  </si>
  <si>
    <t>ORD06252</t>
  </si>
  <si>
    <t>ORD06253</t>
  </si>
  <si>
    <t>ORD06254</t>
  </si>
  <si>
    <t>ORD06255</t>
  </si>
  <si>
    <t>ORD06256</t>
  </si>
  <si>
    <t>ORD06257</t>
  </si>
  <si>
    <t>ORD06258</t>
  </si>
  <si>
    <t>ORD06259</t>
  </si>
  <si>
    <t>ORD06260</t>
  </si>
  <si>
    <t>ORD06261</t>
  </si>
  <si>
    <t>ORD06262</t>
  </si>
  <si>
    <t>ORD06263</t>
  </si>
  <si>
    <t>ORD06264</t>
  </si>
  <si>
    <t>ORD06265</t>
  </si>
  <si>
    <t>ORD06266</t>
  </si>
  <si>
    <t>ORD06267</t>
  </si>
  <si>
    <t>ORD06268</t>
  </si>
  <si>
    <t>ORD06269</t>
  </si>
  <si>
    <t>ORD06270</t>
  </si>
  <si>
    <t>ORD06271</t>
  </si>
  <si>
    <t>ORD06272</t>
  </si>
  <si>
    <t>ORD06273</t>
  </si>
  <si>
    <t>ORD06274</t>
  </si>
  <si>
    <t>ORD06275</t>
  </si>
  <si>
    <t>ORD06276</t>
  </si>
  <si>
    <t>ORD06277</t>
  </si>
  <si>
    <t>ORD06278</t>
  </si>
  <si>
    <t>ORD06279</t>
  </si>
  <si>
    <t>ORD06280</t>
  </si>
  <si>
    <t>ORD06281</t>
  </si>
  <si>
    <t>ORD06282</t>
  </si>
  <si>
    <t>ORD06283</t>
  </si>
  <si>
    <t>ORD06284</t>
  </si>
  <si>
    <t>ORD06285</t>
  </si>
  <si>
    <t>ORD06286</t>
  </si>
  <si>
    <t>ORD06287</t>
  </si>
  <si>
    <t>ORD06288</t>
  </si>
  <si>
    <t>ORD06289</t>
  </si>
  <si>
    <t>ORD06290</t>
  </si>
  <si>
    <t>ORD06291</t>
  </si>
  <si>
    <t>ORD06292</t>
  </si>
  <si>
    <t>ORD06293</t>
  </si>
  <si>
    <t>ORD06294</t>
  </si>
  <si>
    <t>ORD06295</t>
  </si>
  <si>
    <t>ORD06296</t>
  </si>
  <si>
    <t>ORD06297</t>
  </si>
  <si>
    <t>ORD06298</t>
  </si>
  <si>
    <t>ORD06299</t>
  </si>
  <si>
    <t>ORD06300</t>
  </si>
  <si>
    <t>ORD06301</t>
  </si>
  <si>
    <t>ORD06302</t>
  </si>
  <si>
    <t>ORD06303</t>
  </si>
  <si>
    <t>ORD06304</t>
  </si>
  <si>
    <t>ORD06305</t>
  </si>
  <si>
    <t>ORD06306</t>
  </si>
  <si>
    <t>ORD06307</t>
  </si>
  <si>
    <t>ORD06308</t>
  </si>
  <si>
    <t>ORD06309</t>
  </si>
  <si>
    <t>ORD06310</t>
  </si>
  <si>
    <t>ORD06311</t>
  </si>
  <si>
    <t>ORD06312</t>
  </si>
  <si>
    <t>ORD06313</t>
  </si>
  <si>
    <t>ORD06314</t>
  </si>
  <si>
    <t>ORD06315</t>
  </si>
  <si>
    <t>ORD06316</t>
  </si>
  <si>
    <t>ORD06317</t>
  </si>
  <si>
    <t>ORD06318</t>
  </si>
  <si>
    <t>ORD06319</t>
  </si>
  <si>
    <t>ORD06320</t>
  </si>
  <si>
    <t>ORD06321</t>
  </si>
  <si>
    <t>ORD06322</t>
  </si>
  <si>
    <t>ORD06323</t>
  </si>
  <si>
    <t>ORD06324</t>
  </si>
  <si>
    <t>ORD06325</t>
  </si>
  <si>
    <t>ORD06326</t>
  </si>
  <si>
    <t>ORD06327</t>
  </si>
  <si>
    <t>ORD06328</t>
  </si>
  <si>
    <t>ORD06329</t>
  </si>
  <si>
    <t>ORD06330</t>
  </si>
  <si>
    <t>ORD06331</t>
  </si>
  <si>
    <t>ORD06332</t>
  </si>
  <si>
    <t>ORD06333</t>
  </si>
  <si>
    <t>ORD06334</t>
  </si>
  <si>
    <t>ORD06335</t>
  </si>
  <si>
    <t>ORD06336</t>
  </si>
  <si>
    <t>ORD06337</t>
  </si>
  <si>
    <t>ORD06338</t>
  </si>
  <si>
    <t>ORD06339</t>
  </si>
  <si>
    <t>ORD06340</t>
  </si>
  <si>
    <t>ORD06341</t>
  </si>
  <si>
    <t>ORD06342</t>
  </si>
  <si>
    <t>ORD06343</t>
  </si>
  <si>
    <t>ORD06344</t>
  </si>
  <si>
    <t>ORD06345</t>
  </si>
  <si>
    <t>ORD06346</t>
  </si>
  <si>
    <t>ORD06347</t>
  </si>
  <si>
    <t>ORD06348</t>
  </si>
  <si>
    <t>ORD06349</t>
  </si>
  <si>
    <t>ORD06350</t>
  </si>
  <si>
    <t>ORD06351</t>
  </si>
  <si>
    <t>ORD06352</t>
  </si>
  <si>
    <t>ORD06353</t>
  </si>
  <si>
    <t>ORD06354</t>
  </si>
  <si>
    <t>ORD06355</t>
  </si>
  <si>
    <t>ORD06356</t>
  </si>
  <si>
    <t>ORD06357</t>
  </si>
  <si>
    <t>ORD06358</t>
  </si>
  <si>
    <t>ORD06359</t>
  </si>
  <si>
    <t>ORD06360</t>
  </si>
  <si>
    <t>ORD06361</t>
  </si>
  <si>
    <t>ORD06362</t>
  </si>
  <si>
    <t>ORD06363</t>
  </si>
  <si>
    <t>ORD06364</t>
  </si>
  <si>
    <t>ORD06365</t>
  </si>
  <si>
    <t>ORD06366</t>
  </si>
  <si>
    <t>ORD06367</t>
  </si>
  <si>
    <t>ORD06368</t>
  </si>
  <si>
    <t>ORD06369</t>
  </si>
  <si>
    <t>ORD06370</t>
  </si>
  <si>
    <t>ORD06371</t>
  </si>
  <si>
    <t>ORD06372</t>
  </si>
  <si>
    <t>ORD06373</t>
  </si>
  <si>
    <t>ORD06374</t>
  </si>
  <si>
    <t>ORD06375</t>
  </si>
  <si>
    <t>ORD06376</t>
  </si>
  <si>
    <t>ORD06377</t>
  </si>
  <si>
    <t>ORD06378</t>
  </si>
  <si>
    <t>ORD06379</t>
  </si>
  <si>
    <t>ORD06380</t>
  </si>
  <si>
    <t>ORD06381</t>
  </si>
  <si>
    <t>ORD06382</t>
  </si>
  <si>
    <t>ORD06383</t>
  </si>
  <si>
    <t>ORD06384</t>
  </si>
  <si>
    <t>ORD06385</t>
  </si>
  <si>
    <t>ORD06386</t>
  </si>
  <si>
    <t>ORD06387</t>
  </si>
  <si>
    <t>ORD06388</t>
  </si>
  <si>
    <t>ORD06389</t>
  </si>
  <si>
    <t>ORD06390</t>
  </si>
  <si>
    <t>ORD06391</t>
  </si>
  <si>
    <t>ORD06392</t>
  </si>
  <si>
    <t>ORD06393</t>
  </si>
  <si>
    <t>ORD06394</t>
  </si>
  <si>
    <t>ORD06395</t>
  </si>
  <si>
    <t>ORD06396</t>
  </si>
  <si>
    <t>ORD06397</t>
  </si>
  <si>
    <t>ORD06398</t>
  </si>
  <si>
    <t>ORD06399</t>
  </si>
  <si>
    <t>ORD06400</t>
  </si>
  <si>
    <t>ORD06401</t>
  </si>
  <si>
    <t>ORD06402</t>
  </si>
  <si>
    <t>ORD06403</t>
  </si>
  <si>
    <t>ORD06404</t>
  </si>
  <si>
    <t>ORD06405</t>
  </si>
  <si>
    <t>ORD06406</t>
  </si>
  <si>
    <t>ORD06407</t>
  </si>
  <si>
    <t>ORD06408</t>
  </si>
  <si>
    <t>ORD06409</t>
  </si>
  <si>
    <t>ORD06410</t>
  </si>
  <si>
    <t>ORD06411</t>
  </si>
  <si>
    <t>ORD06412</t>
  </si>
  <si>
    <t>ORD06413</t>
  </si>
  <si>
    <t>ORD06414</t>
  </si>
  <si>
    <t>ORD06415</t>
  </si>
  <si>
    <t>ORD06416</t>
  </si>
  <si>
    <t>ORD06417</t>
  </si>
  <si>
    <t>ORD06418</t>
  </si>
  <si>
    <t>ORD06419</t>
  </si>
  <si>
    <t>ORD06420</t>
  </si>
  <si>
    <t>ORD06421</t>
  </si>
  <si>
    <t>ORD06422</t>
  </si>
  <si>
    <t>ORD06423</t>
  </si>
  <si>
    <t>ORD06424</t>
  </si>
  <si>
    <t>ORD06425</t>
  </si>
  <si>
    <t>ORD06426</t>
  </si>
  <si>
    <t>ORD06427</t>
  </si>
  <si>
    <t>ORD06428</t>
  </si>
  <si>
    <t>ORD06429</t>
  </si>
  <si>
    <t>ORD06430</t>
  </si>
  <si>
    <t>ORD06431</t>
  </si>
  <si>
    <t>ORD06432</t>
  </si>
  <si>
    <t>ORD06433</t>
  </si>
  <si>
    <t>ORD06434</t>
  </si>
  <si>
    <t>ORD06435</t>
  </si>
  <si>
    <t>ORD06436</t>
  </si>
  <si>
    <t>ORD06437</t>
  </si>
  <si>
    <t>ORD06438</t>
  </si>
  <si>
    <t>ORD06439</t>
  </si>
  <si>
    <t>ORD06440</t>
  </si>
  <si>
    <t>ORD06441</t>
  </si>
  <si>
    <t>ORD06442</t>
  </si>
  <si>
    <t>ORD06443</t>
  </si>
  <si>
    <t>ORD06444</t>
  </si>
  <si>
    <t>ORD06445</t>
  </si>
  <si>
    <t>ORD06446</t>
  </si>
  <si>
    <t>ORD06447</t>
  </si>
  <si>
    <t>ORD06448</t>
  </si>
  <si>
    <t>ORD06449</t>
  </si>
  <si>
    <t>ORD06450</t>
  </si>
  <si>
    <t>ORD06451</t>
  </si>
  <si>
    <t>ORD06452</t>
  </si>
  <si>
    <t>ORD06453</t>
  </si>
  <si>
    <t>ORD06454</t>
  </si>
  <si>
    <t>ORD06455</t>
  </si>
  <si>
    <t>ORD06456</t>
  </si>
  <si>
    <t>ORD06457</t>
  </si>
  <si>
    <t>ORD06458</t>
  </si>
  <si>
    <t>ORD06459</t>
  </si>
  <si>
    <t>ORD06460</t>
  </si>
  <si>
    <t>ORD06461</t>
  </si>
  <si>
    <t>ORD06462</t>
  </si>
  <si>
    <t>ORD06463</t>
  </si>
  <si>
    <t>ORD06464</t>
  </si>
  <si>
    <t>ORD06465</t>
  </si>
  <si>
    <t>ORD06466</t>
  </si>
  <si>
    <t>ORD06467</t>
  </si>
  <si>
    <t>ORD06468</t>
  </si>
  <si>
    <t>ORD06469</t>
  </si>
  <si>
    <t>ORD06470</t>
  </si>
  <si>
    <t>ORD06471</t>
  </si>
  <si>
    <t>ORD06472</t>
  </si>
  <si>
    <t>ORD06473</t>
  </si>
  <si>
    <t>ORD06474</t>
  </si>
  <si>
    <t>ORD06475</t>
  </si>
  <si>
    <t>ORD06476</t>
  </si>
  <si>
    <t>ORD06477</t>
  </si>
  <si>
    <t>ORD06478</t>
  </si>
  <si>
    <t>ORD06479</t>
  </si>
  <si>
    <t>ORD06480</t>
  </si>
  <si>
    <t>ORD06481</t>
  </si>
  <si>
    <t>ORD06482</t>
  </si>
  <si>
    <t>ORD06483</t>
  </si>
  <si>
    <t>ORD06484</t>
  </si>
  <si>
    <t>ORD06485</t>
  </si>
  <si>
    <t>ORD06486</t>
  </si>
  <si>
    <t>ORD06487</t>
  </si>
  <si>
    <t>ORD06488</t>
  </si>
  <si>
    <t>ORD06489</t>
  </si>
  <si>
    <t>ORD06490</t>
  </si>
  <si>
    <t>ORD06491</t>
  </si>
  <si>
    <t>ORD06492</t>
  </si>
  <si>
    <t>ORD06493</t>
  </si>
  <si>
    <t>ORD06494</t>
  </si>
  <si>
    <t>ORD06495</t>
  </si>
  <si>
    <t>ORD06496</t>
  </si>
  <si>
    <t>ORD06497</t>
  </si>
  <si>
    <t>ORD06498</t>
  </si>
  <si>
    <t>ORD06499</t>
  </si>
  <si>
    <t>ORD06500</t>
  </si>
  <si>
    <t>ORD06501</t>
  </si>
  <si>
    <t>ORD06502</t>
  </si>
  <si>
    <t>ORD06503</t>
  </si>
  <si>
    <t>ORD06504</t>
  </si>
  <si>
    <t>ORD06505</t>
  </si>
  <si>
    <t>ORD06506</t>
  </si>
  <si>
    <t>ORD06507</t>
  </si>
  <si>
    <t>ORD06508</t>
  </si>
  <si>
    <t>ORD06509</t>
  </si>
  <si>
    <t>ORD06510</t>
  </si>
  <si>
    <t>ORD06511</t>
  </si>
  <si>
    <t>ORD06512</t>
  </si>
  <si>
    <t>ORD06513</t>
  </si>
  <si>
    <t>ORD06514</t>
  </si>
  <si>
    <t>ORD06515</t>
  </si>
  <si>
    <t>ORD06516</t>
  </si>
  <si>
    <t>ORD06517</t>
  </si>
  <si>
    <t>ORD06518</t>
  </si>
  <si>
    <t>ORD06519</t>
  </si>
  <si>
    <t>ORD06520</t>
  </si>
  <si>
    <t>ORD06521</t>
  </si>
  <si>
    <t>ORD06522</t>
  </si>
  <si>
    <t>ORD06523</t>
  </si>
  <si>
    <t>ORD06524</t>
  </si>
  <si>
    <t>ORD06525</t>
  </si>
  <si>
    <t>ORD06526</t>
  </si>
  <si>
    <t>ORD06527</t>
  </si>
  <si>
    <t>ORD06528</t>
  </si>
  <si>
    <t>ORD06529</t>
  </si>
  <si>
    <t>ORD06530</t>
  </si>
  <si>
    <t>ORD06531</t>
  </si>
  <si>
    <t>ORD06532</t>
  </si>
  <si>
    <t>ORD06533</t>
  </si>
  <si>
    <t>ORD06534</t>
  </si>
  <si>
    <t>ORD06535</t>
  </si>
  <si>
    <t>ORD06536</t>
  </si>
  <si>
    <t>ORD06537</t>
  </si>
  <si>
    <t>ORD06538</t>
  </si>
  <si>
    <t>ORD06539</t>
  </si>
  <si>
    <t>ORD06540</t>
  </si>
  <si>
    <t>ORD06541</t>
  </si>
  <si>
    <t>ORD06542</t>
  </si>
  <si>
    <t>ORD06543</t>
  </si>
  <si>
    <t>ORD06544</t>
  </si>
  <si>
    <t>ORD06545</t>
  </si>
  <si>
    <t>ORD06546</t>
  </si>
  <si>
    <t>ORD06547</t>
  </si>
  <si>
    <t>ORD06548</t>
  </si>
  <si>
    <t>ORD06549</t>
  </si>
  <si>
    <t>ORD06550</t>
  </si>
  <si>
    <t>ORD06551</t>
  </si>
  <si>
    <t>ORD06552</t>
  </si>
  <si>
    <t>ORD06553</t>
  </si>
  <si>
    <t>ORD06554</t>
  </si>
  <si>
    <t>ORD06555</t>
  </si>
  <si>
    <t>ORD06556</t>
  </si>
  <si>
    <t>ORD06557</t>
  </si>
  <si>
    <t>ORD06558</t>
  </si>
  <si>
    <t>ORD06559</t>
  </si>
  <si>
    <t>ORD06560</t>
  </si>
  <si>
    <t>ORD06561</t>
  </si>
  <si>
    <t>ORD06562</t>
  </si>
  <si>
    <t>ORD06563</t>
  </si>
  <si>
    <t>ORD06564</t>
  </si>
  <si>
    <t>ORD06565</t>
  </si>
  <si>
    <t>ORD06566</t>
  </si>
  <si>
    <t>ORD06567</t>
  </si>
  <si>
    <t>ORD06568</t>
  </si>
  <si>
    <t>ORD06569</t>
  </si>
  <si>
    <t>ORD06570</t>
  </si>
  <si>
    <t>ORD06571</t>
  </si>
  <si>
    <t>ORD06572</t>
  </si>
  <si>
    <t>ORD06573</t>
  </si>
  <si>
    <t>ORD06574</t>
  </si>
  <si>
    <t>ORD06575</t>
  </si>
  <si>
    <t>ORD06576</t>
  </si>
  <si>
    <t>ORD06577</t>
  </si>
  <si>
    <t>ORD06578</t>
  </si>
  <si>
    <t>ORD06579</t>
  </si>
  <si>
    <t>ORD06580</t>
  </si>
  <si>
    <t>ORD06581</t>
  </si>
  <si>
    <t>ORD06582</t>
  </si>
  <si>
    <t>ORD06583</t>
  </si>
  <si>
    <t>ORD06584</t>
  </si>
  <si>
    <t>ORD06585</t>
  </si>
  <si>
    <t>ORD06586</t>
  </si>
  <si>
    <t>ORD06587</t>
  </si>
  <si>
    <t>ORD06588</t>
  </si>
  <si>
    <t>ORD06589</t>
  </si>
  <si>
    <t>ORD06590</t>
  </si>
  <si>
    <t>ORD06591</t>
  </si>
  <si>
    <t>ORD06592</t>
  </si>
  <si>
    <t>ORD06593</t>
  </si>
  <si>
    <t>ORD06594</t>
  </si>
  <si>
    <t>ORD06595</t>
  </si>
  <si>
    <t>ORD06596</t>
  </si>
  <si>
    <t>ORD06597</t>
  </si>
  <si>
    <t>ORD06598</t>
  </si>
  <si>
    <t>ORD06599</t>
  </si>
  <si>
    <t>ORD06600</t>
  </si>
  <si>
    <t>ORD06601</t>
  </si>
  <si>
    <t>ORD06602</t>
  </si>
  <si>
    <t>ORD06603</t>
  </si>
  <si>
    <t>ORD06604</t>
  </si>
  <si>
    <t>ORD06605</t>
  </si>
  <si>
    <t>ORD06606</t>
  </si>
  <si>
    <t>ORD06607</t>
  </si>
  <si>
    <t>ORD06608</t>
  </si>
  <si>
    <t>ORD06609</t>
  </si>
  <si>
    <t>ORD06610</t>
  </si>
  <si>
    <t>ORD06611</t>
  </si>
  <si>
    <t>ORD06612</t>
  </si>
  <si>
    <t>ORD06613</t>
  </si>
  <si>
    <t>ORD06614</t>
  </si>
  <si>
    <t>ORD06615</t>
  </si>
  <si>
    <t>ORD06616</t>
  </si>
  <si>
    <t>ORD06617</t>
  </si>
  <si>
    <t>ORD06618</t>
  </si>
  <si>
    <t>ORD06619</t>
  </si>
  <si>
    <t>ORD06620</t>
  </si>
  <si>
    <t>ORD06621</t>
  </si>
  <si>
    <t>ORD06622</t>
  </si>
  <si>
    <t>ORD06623</t>
  </si>
  <si>
    <t>ORD06624</t>
  </si>
  <si>
    <t>ORD06625</t>
  </si>
  <si>
    <t>ORD06626</t>
  </si>
  <si>
    <t>ORD06627</t>
  </si>
  <si>
    <t>ORD06628</t>
  </si>
  <si>
    <t>ORD06629</t>
  </si>
  <si>
    <t>ORD06630</t>
  </si>
  <si>
    <t>ORD06631</t>
  </si>
  <si>
    <t>ORD06632</t>
  </si>
  <si>
    <t>ORD06633</t>
  </si>
  <si>
    <t>ORD06634</t>
  </si>
  <si>
    <t>ORD06635</t>
  </si>
  <si>
    <t>ORD06636</t>
  </si>
  <si>
    <t>ORD06637</t>
  </si>
  <si>
    <t>ORD06638</t>
  </si>
  <si>
    <t>ORD06639</t>
  </si>
  <si>
    <t>ORD06640</t>
  </si>
  <si>
    <t>ORD06641</t>
  </si>
  <si>
    <t>ORD06642</t>
  </si>
  <si>
    <t>ORD06643</t>
  </si>
  <si>
    <t>ORD06644</t>
  </si>
  <si>
    <t>ORD06645</t>
  </si>
  <si>
    <t>ORD06646</t>
  </si>
  <si>
    <t>ORD06647</t>
  </si>
  <si>
    <t>ORD06648</t>
  </si>
  <si>
    <t>ORD06649</t>
  </si>
  <si>
    <t>ORD06650</t>
  </si>
  <si>
    <t>ORD06651</t>
  </si>
  <si>
    <t>ORD06652</t>
  </si>
  <si>
    <t>ORD06653</t>
  </si>
  <si>
    <t>ORD06654</t>
  </si>
  <si>
    <t>ORD06655</t>
  </si>
  <si>
    <t>ORD06656</t>
  </si>
  <si>
    <t>ORD06657</t>
  </si>
  <si>
    <t>ORD06658</t>
  </si>
  <si>
    <t>ORD06659</t>
  </si>
  <si>
    <t>ORD06660</t>
  </si>
  <si>
    <t>ORD06661</t>
  </si>
  <si>
    <t>ORD06662</t>
  </si>
  <si>
    <t>ORD06663</t>
  </si>
  <si>
    <t>ORD06664</t>
  </si>
  <si>
    <t>ORD06665</t>
  </si>
  <si>
    <t>ORD06666</t>
  </si>
  <si>
    <t>ORD06667</t>
  </si>
  <si>
    <t>ORD06668</t>
  </si>
  <si>
    <t>ORD06669</t>
  </si>
  <si>
    <t>ORD06670</t>
  </si>
  <si>
    <t>ORD06671</t>
  </si>
  <si>
    <t>ORD06672</t>
  </si>
  <si>
    <t>ORD06673</t>
  </si>
  <si>
    <t>ORD06674</t>
  </si>
  <si>
    <t>ORD06675</t>
  </si>
  <si>
    <t>ORD06676</t>
  </si>
  <si>
    <t>ORD06677</t>
  </si>
  <si>
    <t>ORD06678</t>
  </si>
  <si>
    <t>ORD06679</t>
  </si>
  <si>
    <t>ORD06680</t>
  </si>
  <si>
    <t>ORD06681</t>
  </si>
  <si>
    <t>ORD06682</t>
  </si>
  <si>
    <t>ORD06683</t>
  </si>
  <si>
    <t>ORD06684</t>
  </si>
  <si>
    <t>ORD06685</t>
  </si>
  <si>
    <t>ORD06686</t>
  </si>
  <si>
    <t>ORD06687</t>
  </si>
  <si>
    <t>ORD06688</t>
  </si>
  <si>
    <t>ORD06689</t>
  </si>
  <si>
    <t>ORD06690</t>
  </si>
  <si>
    <t>ORD06691</t>
  </si>
  <si>
    <t>ORD06692</t>
  </si>
  <si>
    <t>ORD06693</t>
  </si>
  <si>
    <t>ORD06694</t>
  </si>
  <si>
    <t>ORD06695</t>
  </si>
  <si>
    <t>ORD06696</t>
  </si>
  <si>
    <t>ORD06697</t>
  </si>
  <si>
    <t>ORD06698</t>
  </si>
  <si>
    <t>ORD06699</t>
  </si>
  <si>
    <t>ORD06700</t>
  </si>
  <si>
    <t>ORD06701</t>
  </si>
  <si>
    <t>ORD06702</t>
  </si>
  <si>
    <t>ORD06703</t>
  </si>
  <si>
    <t>ORD06704</t>
  </si>
  <si>
    <t>ORD06705</t>
  </si>
  <si>
    <t>ORD06706</t>
  </si>
  <si>
    <t>ORD06707</t>
  </si>
  <si>
    <t>ORD06708</t>
  </si>
  <si>
    <t>ORD06709</t>
  </si>
  <si>
    <t>ORD06710</t>
  </si>
  <si>
    <t>ORD06711</t>
  </si>
  <si>
    <t>ORD06712</t>
  </si>
  <si>
    <t>ORD06713</t>
  </si>
  <si>
    <t>ORD06714</t>
  </si>
  <si>
    <t>ORD06715</t>
  </si>
  <si>
    <t>ORD06716</t>
  </si>
  <si>
    <t>ORD06717</t>
  </si>
  <si>
    <t>ORD06718</t>
  </si>
  <si>
    <t>ORD06719</t>
  </si>
  <si>
    <t>ORD06720</t>
  </si>
  <si>
    <t>ORD06721</t>
  </si>
  <si>
    <t>ORD06722</t>
  </si>
  <si>
    <t>ORD06723</t>
  </si>
  <si>
    <t>ORD06724</t>
  </si>
  <si>
    <t>ORD06725</t>
  </si>
  <si>
    <t>ORD06726</t>
  </si>
  <si>
    <t>ORD06727</t>
  </si>
  <si>
    <t>ORD06728</t>
  </si>
  <si>
    <t>ORD06729</t>
  </si>
  <si>
    <t>ORD06730</t>
  </si>
  <si>
    <t>ORD06731</t>
  </si>
  <si>
    <t>ORD06732</t>
  </si>
  <si>
    <t>ORD06733</t>
  </si>
  <si>
    <t>ORD06734</t>
  </si>
  <si>
    <t>ORD06735</t>
  </si>
  <si>
    <t>ORD06736</t>
  </si>
  <si>
    <t>ORD06737</t>
  </si>
  <si>
    <t>ORD06738</t>
  </si>
  <si>
    <t>ORD06739</t>
  </si>
  <si>
    <t>ORD06740</t>
  </si>
  <si>
    <t>ORD06741</t>
  </si>
  <si>
    <t>ORD06742</t>
  </si>
  <si>
    <t>ORD06743</t>
  </si>
  <si>
    <t>ORD06744</t>
  </si>
  <si>
    <t>ORD06745</t>
  </si>
  <si>
    <t>ORD06746</t>
  </si>
  <si>
    <t>ORD06747</t>
  </si>
  <si>
    <t>ORD06748</t>
  </si>
  <si>
    <t>ORD06749</t>
  </si>
  <si>
    <t>ORD06750</t>
  </si>
  <si>
    <t>ORD06751</t>
  </si>
  <si>
    <t>ORD06752</t>
  </si>
  <si>
    <t>ORD06753</t>
  </si>
  <si>
    <t>ORD06754</t>
  </si>
  <si>
    <t>ORD06755</t>
  </si>
  <si>
    <t>ORD06756</t>
  </si>
  <si>
    <t>ORD06757</t>
  </si>
  <si>
    <t>ORD06758</t>
  </si>
  <si>
    <t>ORD06759</t>
  </si>
  <si>
    <t>ORD06760</t>
  </si>
  <si>
    <t>ORD06761</t>
  </si>
  <si>
    <t>ORD06762</t>
  </si>
  <si>
    <t>ORD06763</t>
  </si>
  <si>
    <t>ORD06764</t>
  </si>
  <si>
    <t>ORD06765</t>
  </si>
  <si>
    <t>ORD06766</t>
  </si>
  <si>
    <t>ORD06767</t>
  </si>
  <si>
    <t>ORD06768</t>
  </si>
  <si>
    <t>ORD06769</t>
  </si>
  <si>
    <t>ORD06770</t>
  </si>
  <si>
    <t>ORD06771</t>
  </si>
  <si>
    <t>ORD06772</t>
  </si>
  <si>
    <t>ORD06773</t>
  </si>
  <si>
    <t>ORD06774</t>
  </si>
  <si>
    <t>ORD06775</t>
  </si>
  <si>
    <t>ORD06776</t>
  </si>
  <si>
    <t>ORD06777</t>
  </si>
  <si>
    <t>ORD06778</t>
  </si>
  <si>
    <t>ORD06779</t>
  </si>
  <si>
    <t>ORD06780</t>
  </si>
  <si>
    <t>ORD06781</t>
  </si>
  <si>
    <t>ORD06782</t>
  </si>
  <si>
    <t>ORD06783</t>
  </si>
  <si>
    <t>ORD06784</t>
  </si>
  <si>
    <t>ORD06785</t>
  </si>
  <si>
    <t>ORD06786</t>
  </si>
  <si>
    <t>ORD06787</t>
  </si>
  <si>
    <t>ORD06788</t>
  </si>
  <si>
    <t>ORD06789</t>
  </si>
  <si>
    <t>ORD06790</t>
  </si>
  <si>
    <t>ORD06791</t>
  </si>
  <si>
    <t>ORD06792</t>
  </si>
  <si>
    <t>ORD06793</t>
  </si>
  <si>
    <t>ORD06794</t>
  </si>
  <si>
    <t>ORD06795</t>
  </si>
  <si>
    <t>ORD06796</t>
  </si>
  <si>
    <t>ORD06797</t>
  </si>
  <si>
    <t>ORD06798</t>
  </si>
  <si>
    <t>ORD06799</t>
  </si>
  <si>
    <t>ORD06800</t>
  </si>
  <si>
    <t>ORD06801</t>
  </si>
  <si>
    <t>ORD06802</t>
  </si>
  <si>
    <t>ORD06803</t>
  </si>
  <si>
    <t>ORD06804</t>
  </si>
  <si>
    <t>ORD06805</t>
  </si>
  <si>
    <t>ORD06806</t>
  </si>
  <si>
    <t>ORD06807</t>
  </si>
  <si>
    <t>ORD06808</t>
  </si>
  <si>
    <t>ORD06809</t>
  </si>
  <si>
    <t>ORD06810</t>
  </si>
  <si>
    <t>ORD06811</t>
  </si>
  <si>
    <t>ORD06812</t>
  </si>
  <si>
    <t>ORD06813</t>
  </si>
  <si>
    <t>ORD06814</t>
  </si>
  <si>
    <t>ORD06815</t>
  </si>
  <si>
    <t>ORD06816</t>
  </si>
  <si>
    <t>ORD06817</t>
  </si>
  <si>
    <t>ORD06818</t>
  </si>
  <si>
    <t>ORD06819</t>
  </si>
  <si>
    <t>ORD06820</t>
  </si>
  <si>
    <t>ORD06821</t>
  </si>
  <si>
    <t>ORD06822</t>
  </si>
  <si>
    <t>ORD06823</t>
  </si>
  <si>
    <t>ORD06824</t>
  </si>
  <si>
    <t>ORD06825</t>
  </si>
  <si>
    <t>ORD06826</t>
  </si>
  <si>
    <t>ORD06827</t>
  </si>
  <si>
    <t>ORD06828</t>
  </si>
  <si>
    <t>ORD06829</t>
  </si>
  <si>
    <t>ORD06830</t>
  </si>
  <si>
    <t>ORD06831</t>
  </si>
  <si>
    <t>ORD06832</t>
  </si>
  <si>
    <t>ORD06833</t>
  </si>
  <si>
    <t>ORD06834</t>
  </si>
  <si>
    <t>ORD06835</t>
  </si>
  <si>
    <t>ORD06836</t>
  </si>
  <si>
    <t>ORD06837</t>
  </si>
  <si>
    <t>ORD06838</t>
  </si>
  <si>
    <t>ORD06839</t>
  </si>
  <si>
    <t>ORD06840</t>
  </si>
  <si>
    <t>ORD06841</t>
  </si>
  <si>
    <t>ORD06842</t>
  </si>
  <si>
    <t>ORD06843</t>
  </si>
  <si>
    <t>ORD06844</t>
  </si>
  <si>
    <t>ORD06845</t>
  </si>
  <si>
    <t>ORD06846</t>
  </si>
  <si>
    <t>ORD06847</t>
  </si>
  <si>
    <t>ORD06848</t>
  </si>
  <si>
    <t>ORD06849</t>
  </si>
  <si>
    <t>ORD06850</t>
  </si>
  <si>
    <t>ORD06851</t>
  </si>
  <si>
    <t>ORD06852</t>
  </si>
  <si>
    <t>ORD06853</t>
  </si>
  <si>
    <t>ORD06854</t>
  </si>
  <si>
    <t>ORD06855</t>
  </si>
  <si>
    <t>ORD06856</t>
  </si>
  <si>
    <t>ORD06857</t>
  </si>
  <si>
    <t>ORD06858</t>
  </si>
  <si>
    <t>ORD06859</t>
  </si>
  <si>
    <t>ORD06860</t>
  </si>
  <si>
    <t>ORD06861</t>
  </si>
  <si>
    <t>ORD06862</t>
  </si>
  <si>
    <t>ORD06863</t>
  </si>
  <si>
    <t>ORD06864</t>
  </si>
  <si>
    <t>ORD06865</t>
  </si>
  <si>
    <t>ORD06866</t>
  </si>
  <si>
    <t>ORD06867</t>
  </si>
  <si>
    <t>ORD06868</t>
  </si>
  <si>
    <t>ORD06869</t>
  </si>
  <si>
    <t>ORD06870</t>
  </si>
  <si>
    <t>ORD06871</t>
  </si>
  <si>
    <t>ORD06872</t>
  </si>
  <si>
    <t>ORD06873</t>
  </si>
  <si>
    <t>ORD06874</t>
  </si>
  <si>
    <t>ORD06875</t>
  </si>
  <si>
    <t>ORD06876</t>
  </si>
  <si>
    <t>ORD06877</t>
  </si>
  <si>
    <t>ORD06878</t>
  </si>
  <si>
    <t>ORD06879</t>
  </si>
  <si>
    <t>ORD06880</t>
  </si>
  <si>
    <t>ORD06881</t>
  </si>
  <si>
    <t>ORD06882</t>
  </si>
  <si>
    <t>ORD06883</t>
  </si>
  <si>
    <t>ORD06884</t>
  </si>
  <si>
    <t>ORD06885</t>
  </si>
  <si>
    <t>ORD06886</t>
  </si>
  <si>
    <t>ORD06887</t>
  </si>
  <si>
    <t>ORD06888</t>
  </si>
  <si>
    <t>ORD06889</t>
  </si>
  <si>
    <t>ORD06890</t>
  </si>
  <si>
    <t>ORD06891</t>
  </si>
  <si>
    <t>ORD06892</t>
  </si>
  <si>
    <t>ORD06893</t>
  </si>
  <si>
    <t>ORD06894</t>
  </si>
  <si>
    <t>ORD06895</t>
  </si>
  <si>
    <t>ORD06896</t>
  </si>
  <si>
    <t>ORD06897</t>
  </si>
  <si>
    <t>ORD06898</t>
  </si>
  <si>
    <t>ORD06899</t>
  </si>
  <si>
    <t>ORD06900</t>
  </si>
  <si>
    <t>ORD06901</t>
  </si>
  <si>
    <t>ORD06902</t>
  </si>
  <si>
    <t>ORD06903</t>
  </si>
  <si>
    <t>ORD06904</t>
  </si>
  <si>
    <t>ORD06905</t>
  </si>
  <si>
    <t>ORD06906</t>
  </si>
  <si>
    <t>ORD06907</t>
  </si>
  <si>
    <t>ORD06908</t>
  </si>
  <si>
    <t>ORD06909</t>
  </si>
  <si>
    <t>ORD06910</t>
  </si>
  <si>
    <t>ORD06911</t>
  </si>
  <si>
    <t>ORD06912</t>
  </si>
  <si>
    <t>ORD06913</t>
  </si>
  <si>
    <t>ORD06914</t>
  </si>
  <si>
    <t>ORD06915</t>
  </si>
  <si>
    <t>ORD06916</t>
  </si>
  <si>
    <t>ORD06917</t>
  </si>
  <si>
    <t>ORD06918</t>
  </si>
  <si>
    <t>ORD06919</t>
  </si>
  <si>
    <t>ORD06920</t>
  </si>
  <si>
    <t>ORD06921</t>
  </si>
  <si>
    <t>ORD06922</t>
  </si>
  <si>
    <t>ORD06923</t>
  </si>
  <si>
    <t>ORD06924</t>
  </si>
  <si>
    <t>ORD06925</t>
  </si>
  <si>
    <t>ORD06926</t>
  </si>
  <si>
    <t>ORD06927</t>
  </si>
  <si>
    <t>ORD06928</t>
  </si>
  <si>
    <t>ORD06929</t>
  </si>
  <si>
    <t>ORD06930</t>
  </si>
  <si>
    <t>ORD06931</t>
  </si>
  <si>
    <t>ORD06932</t>
  </si>
  <si>
    <t>ORD06933</t>
  </si>
  <si>
    <t>ORD06934</t>
  </si>
  <si>
    <t>ORD06935</t>
  </si>
  <si>
    <t>ORD06936</t>
  </si>
  <si>
    <t>ORD06937</t>
  </si>
  <si>
    <t>ORD06938</t>
  </si>
  <si>
    <t>ORD06939</t>
  </si>
  <si>
    <t>ORD06940</t>
  </si>
  <si>
    <t>ORD06941</t>
  </si>
  <si>
    <t>ORD06942</t>
  </si>
  <si>
    <t>ORD06943</t>
  </si>
  <si>
    <t>ORD06944</t>
  </si>
  <si>
    <t>ORD06945</t>
  </si>
  <si>
    <t>ORD06946</t>
  </si>
  <si>
    <t>ORD06947</t>
  </si>
  <si>
    <t>ORD06948</t>
  </si>
  <si>
    <t>ORD06949</t>
  </si>
  <si>
    <t>ORD06950</t>
  </si>
  <si>
    <t>ORD06951</t>
  </si>
  <si>
    <t>ORD06952</t>
  </si>
  <si>
    <t>ORD06953</t>
  </si>
  <si>
    <t>ORD06954</t>
  </si>
  <si>
    <t>ORD06955</t>
  </si>
  <si>
    <t>ORD06956</t>
  </si>
  <si>
    <t>ORD06957</t>
  </si>
  <si>
    <t>ORD06958</t>
  </si>
  <si>
    <t>ORD06959</t>
  </si>
  <si>
    <t>ORD06960</t>
  </si>
  <si>
    <t>ORD06961</t>
  </si>
  <si>
    <t>ORD06962</t>
  </si>
  <si>
    <t>ORD06963</t>
  </si>
  <si>
    <t>ORD06964</t>
  </si>
  <si>
    <t>ORD06965</t>
  </si>
  <si>
    <t>ORD06966</t>
  </si>
  <si>
    <t>ORD06967</t>
  </si>
  <si>
    <t>ORD06968</t>
  </si>
  <si>
    <t>ORD06969</t>
  </si>
  <si>
    <t>ORD06970</t>
  </si>
  <si>
    <t>ORD06971</t>
  </si>
  <si>
    <t>ORD06972</t>
  </si>
  <si>
    <t>ORD06973</t>
  </si>
  <si>
    <t>ORD06974</t>
  </si>
  <si>
    <t>ORD06975</t>
  </si>
  <si>
    <t>ORD06976</t>
  </si>
  <si>
    <t>ORD06977</t>
  </si>
  <si>
    <t>ORD06978</t>
  </si>
  <si>
    <t>ORD06979</t>
  </si>
  <si>
    <t>ORD06980</t>
  </si>
  <si>
    <t>ORD06981</t>
  </si>
  <si>
    <t>ORD06982</t>
  </si>
  <si>
    <t>ORD06983</t>
  </si>
  <si>
    <t>ORD06984</t>
  </si>
  <si>
    <t>ORD06985</t>
  </si>
  <si>
    <t>ORD06986</t>
  </si>
  <si>
    <t>ORD06987</t>
  </si>
  <si>
    <t>ORD06988</t>
  </si>
  <si>
    <t>ORD06989</t>
  </si>
  <si>
    <t>ORD06990</t>
  </si>
  <si>
    <t>ORD06991</t>
  </si>
  <si>
    <t>ORD06992</t>
  </si>
  <si>
    <t>ORD06993</t>
  </si>
  <si>
    <t>ORD06994</t>
  </si>
  <si>
    <t>ORD06995</t>
  </si>
  <si>
    <t>ORD06996</t>
  </si>
  <si>
    <t>ORD06997</t>
  </si>
  <si>
    <t>ORD06998</t>
  </si>
  <si>
    <t>ORD06999</t>
  </si>
  <si>
    <t>ORD07000</t>
  </si>
  <si>
    <t>ORD07001</t>
  </si>
  <si>
    <t>ORD07002</t>
  </si>
  <si>
    <t>ORD07003</t>
  </si>
  <si>
    <t>ORD07004</t>
  </si>
  <si>
    <t>ORD07005</t>
  </si>
  <si>
    <t>ORD07006</t>
  </si>
  <si>
    <t>ORD07007</t>
  </si>
  <si>
    <t>ORD07008</t>
  </si>
  <si>
    <t>ORD07009</t>
  </si>
  <si>
    <t>ORD07010</t>
  </si>
  <si>
    <t>ORD07011</t>
  </si>
  <si>
    <t>ORD07012</t>
  </si>
  <si>
    <t>ORD07013</t>
  </si>
  <si>
    <t>ORD07014</t>
  </si>
  <si>
    <t>ORD07015</t>
  </si>
  <si>
    <t>ORD07016</t>
  </si>
  <si>
    <t>ORD07017</t>
  </si>
  <si>
    <t>ORD07018</t>
  </si>
  <si>
    <t>ORD07019</t>
  </si>
  <si>
    <t>ORD07020</t>
  </si>
  <si>
    <t>ORD07021</t>
  </si>
  <si>
    <t>ORD07022</t>
  </si>
  <si>
    <t>ORD07023</t>
  </si>
  <si>
    <t>ORD07024</t>
  </si>
  <si>
    <t>ORD07025</t>
  </si>
  <si>
    <t>ORD07026</t>
  </si>
  <si>
    <t>ORD07027</t>
  </si>
  <si>
    <t>ORD07028</t>
  </si>
  <si>
    <t>ORD07029</t>
  </si>
  <si>
    <t>ORD07030</t>
  </si>
  <si>
    <t>ORD07031</t>
  </si>
  <si>
    <t>ORD07032</t>
  </si>
  <si>
    <t>ORD07033</t>
  </si>
  <si>
    <t>ORD07034</t>
  </si>
  <si>
    <t>ORD07035</t>
  </si>
  <si>
    <t>ORD07036</t>
  </si>
  <si>
    <t>ORD07037</t>
  </si>
  <si>
    <t>ORD07038</t>
  </si>
  <si>
    <t>ORD07039</t>
  </si>
  <si>
    <t>ORD07040</t>
  </si>
  <si>
    <t>ORD07041</t>
  </si>
  <si>
    <t>ORD07042</t>
  </si>
  <si>
    <t>ORD07043</t>
  </si>
  <si>
    <t>ORD07044</t>
  </si>
  <si>
    <t>ORD07045</t>
  </si>
  <si>
    <t>ORD07046</t>
  </si>
  <si>
    <t>ORD07047</t>
  </si>
  <si>
    <t>ORD07048</t>
  </si>
  <si>
    <t>ORD07049</t>
  </si>
  <si>
    <t>ORD07050</t>
  </si>
  <si>
    <t>ORD07051</t>
  </si>
  <si>
    <t>ORD07052</t>
  </si>
  <si>
    <t>ORD07053</t>
  </si>
  <si>
    <t>ORD07054</t>
  </si>
  <si>
    <t>ORD07055</t>
  </si>
  <si>
    <t>ORD07056</t>
  </si>
  <si>
    <t>ORD07057</t>
  </si>
  <si>
    <t>ORD07058</t>
  </si>
  <si>
    <t>ORD07059</t>
  </si>
  <si>
    <t>ORD07060</t>
  </si>
  <si>
    <t>ORD07061</t>
  </si>
  <si>
    <t>ORD07062</t>
  </si>
  <si>
    <t>ORD07063</t>
  </si>
  <si>
    <t>ORD07064</t>
  </si>
  <si>
    <t>ORD07065</t>
  </si>
  <si>
    <t>ORD07066</t>
  </si>
  <si>
    <t>ORD07067</t>
  </si>
  <si>
    <t>ORD07068</t>
  </si>
  <si>
    <t>ORD07069</t>
  </si>
  <si>
    <t>ORD07070</t>
  </si>
  <si>
    <t>ORD07071</t>
  </si>
  <si>
    <t>ORD07072</t>
  </si>
  <si>
    <t>ORD07073</t>
  </si>
  <si>
    <t>ORD07074</t>
  </si>
  <si>
    <t>ORD07075</t>
  </si>
  <si>
    <t>ORD07076</t>
  </si>
  <si>
    <t>ORD07077</t>
  </si>
  <si>
    <t>ORD07078</t>
  </si>
  <si>
    <t>ORD07079</t>
  </si>
  <si>
    <t>ORD07080</t>
  </si>
  <si>
    <t>ORD07081</t>
  </si>
  <si>
    <t>ORD07082</t>
  </si>
  <si>
    <t>ORD07083</t>
  </si>
  <si>
    <t>ORD07084</t>
  </si>
  <si>
    <t>ORD07085</t>
  </si>
  <si>
    <t>ORD07086</t>
  </si>
  <si>
    <t>ORD07087</t>
  </si>
  <si>
    <t>ORD07088</t>
  </si>
  <si>
    <t>ORD07089</t>
  </si>
  <si>
    <t>ORD07090</t>
  </si>
  <si>
    <t>ORD07091</t>
  </si>
  <si>
    <t>ORD07092</t>
  </si>
  <si>
    <t>ORD07093</t>
  </si>
  <si>
    <t>ORD07094</t>
  </si>
  <si>
    <t>ORD07095</t>
  </si>
  <si>
    <t>ORD07096</t>
  </si>
  <si>
    <t>ORD07097</t>
  </si>
  <si>
    <t>ORD07098</t>
  </si>
  <si>
    <t>ORD07099</t>
  </si>
  <si>
    <t>ORD07100</t>
  </si>
  <si>
    <t>ORD07101</t>
  </si>
  <si>
    <t>ORD07102</t>
  </si>
  <si>
    <t>ORD07103</t>
  </si>
  <si>
    <t>ORD07104</t>
  </si>
  <si>
    <t>ORD07105</t>
  </si>
  <si>
    <t>ORD07106</t>
  </si>
  <si>
    <t>ORD07107</t>
  </si>
  <si>
    <t>ORD07108</t>
  </si>
  <si>
    <t>ORD07109</t>
  </si>
  <si>
    <t>ORD07110</t>
  </si>
  <si>
    <t>ORD07111</t>
  </si>
  <si>
    <t>ORD07112</t>
  </si>
  <si>
    <t>ORD07113</t>
  </si>
  <si>
    <t>ORD07114</t>
  </si>
  <si>
    <t>ORD07115</t>
  </si>
  <si>
    <t>ORD07116</t>
  </si>
  <si>
    <t>ORD07117</t>
  </si>
  <si>
    <t>ORD07118</t>
  </si>
  <si>
    <t>ORD07119</t>
  </si>
  <si>
    <t>ORD07120</t>
  </si>
  <si>
    <t>ORD07121</t>
  </si>
  <si>
    <t>ORD07122</t>
  </si>
  <si>
    <t>ORD07123</t>
  </si>
  <si>
    <t>ORD07124</t>
  </si>
  <si>
    <t>ORD07125</t>
  </si>
  <si>
    <t>ORD07126</t>
  </si>
  <si>
    <t>ORD07127</t>
  </si>
  <si>
    <t>ORD07128</t>
  </si>
  <si>
    <t>ORD07129</t>
  </si>
  <si>
    <t>ORD07130</t>
  </si>
  <si>
    <t>ORD07131</t>
  </si>
  <si>
    <t>ORD07132</t>
  </si>
  <si>
    <t>ORD07133</t>
  </si>
  <si>
    <t>ORD07134</t>
  </si>
  <si>
    <t>ORD07135</t>
  </si>
  <si>
    <t>ORD07136</t>
  </si>
  <si>
    <t>ORD07137</t>
  </si>
  <si>
    <t>ORD07138</t>
  </si>
  <si>
    <t>ORD07139</t>
  </si>
  <si>
    <t>ORD07140</t>
  </si>
  <si>
    <t>ORD07141</t>
  </si>
  <si>
    <t>ORD07142</t>
  </si>
  <si>
    <t>ORD07143</t>
  </si>
  <si>
    <t>ORD07144</t>
  </si>
  <si>
    <t>ORD07145</t>
  </si>
  <si>
    <t>ORD07146</t>
  </si>
  <si>
    <t>ORD07147</t>
  </si>
  <si>
    <t>ORD07148</t>
  </si>
  <si>
    <t>ORD07149</t>
  </si>
  <si>
    <t>ORD07150</t>
  </si>
  <si>
    <t>ORD07151</t>
  </si>
  <si>
    <t>ORD07152</t>
  </si>
  <si>
    <t>ORD07153</t>
  </si>
  <si>
    <t>ORD07154</t>
  </si>
  <si>
    <t>ORD07155</t>
  </si>
  <si>
    <t>ORD07156</t>
  </si>
  <si>
    <t>ORD07157</t>
  </si>
  <si>
    <t>ORD07158</t>
  </si>
  <si>
    <t>ORD07159</t>
  </si>
  <si>
    <t>ORD07160</t>
  </si>
  <si>
    <t>ORD07161</t>
  </si>
  <si>
    <t>ORD07162</t>
  </si>
  <si>
    <t>ORD07163</t>
  </si>
  <si>
    <t>ORD07164</t>
  </si>
  <si>
    <t>ORD07165</t>
  </si>
  <si>
    <t>ORD07166</t>
  </si>
  <si>
    <t>ORD07167</t>
  </si>
  <si>
    <t>ORD07168</t>
  </si>
  <si>
    <t>ORD07169</t>
  </si>
  <si>
    <t>ORD07170</t>
  </si>
  <si>
    <t>ORD07171</t>
  </si>
  <si>
    <t>ORD07172</t>
  </si>
  <si>
    <t>ORD07173</t>
  </si>
  <si>
    <t>ORD07174</t>
  </si>
  <si>
    <t>ORD07175</t>
  </si>
  <si>
    <t>ORD07176</t>
  </si>
  <si>
    <t>ORD07177</t>
  </si>
  <si>
    <t>ORD07178</t>
  </si>
  <si>
    <t>ORD07179</t>
  </si>
  <si>
    <t>ORD07180</t>
  </si>
  <si>
    <t>ORD07181</t>
  </si>
  <si>
    <t>ORD07182</t>
  </si>
  <si>
    <t>ORD07183</t>
  </si>
  <si>
    <t>ORD07184</t>
  </si>
  <si>
    <t>ORD07185</t>
  </si>
  <si>
    <t>ORD07186</t>
  </si>
  <si>
    <t>ORD07187</t>
  </si>
  <si>
    <t>ORD07188</t>
  </si>
  <si>
    <t>ORD07189</t>
  </si>
  <si>
    <t>ORD07190</t>
  </si>
  <si>
    <t>ORD07191</t>
  </si>
  <si>
    <t>ORD07192</t>
  </si>
  <si>
    <t>ORD07193</t>
  </si>
  <si>
    <t>ORD07194</t>
  </si>
  <si>
    <t>ORD07195</t>
  </si>
  <si>
    <t>ORD07196</t>
  </si>
  <si>
    <t>ORD07197</t>
  </si>
  <si>
    <t>ORD07198</t>
  </si>
  <si>
    <t>ORD07199</t>
  </si>
  <si>
    <t>ORD07200</t>
  </si>
  <si>
    <t>ORD07201</t>
  </si>
  <si>
    <t>ORD07202</t>
  </si>
  <si>
    <t>ORD07203</t>
  </si>
  <si>
    <t>ORD07204</t>
  </si>
  <si>
    <t>ORD07205</t>
  </si>
  <si>
    <t>ORD07206</t>
  </si>
  <si>
    <t>ORD07207</t>
  </si>
  <si>
    <t>ORD07208</t>
  </si>
  <si>
    <t>ORD07209</t>
  </si>
  <si>
    <t>ORD07210</t>
  </si>
  <si>
    <t>ORD07211</t>
  </si>
  <si>
    <t>ORD07212</t>
  </si>
  <si>
    <t>ORD07213</t>
  </si>
  <si>
    <t>ORD07214</t>
  </si>
  <si>
    <t>ORD07215</t>
  </si>
  <si>
    <t>ORD07216</t>
  </si>
  <si>
    <t>ORD07217</t>
  </si>
  <si>
    <t>ORD07218</t>
  </si>
  <si>
    <t>ORD07219</t>
  </si>
  <si>
    <t>ORD07220</t>
  </si>
  <si>
    <t>ORD07221</t>
  </si>
  <si>
    <t>ORD07222</t>
  </si>
  <si>
    <t>ORD07223</t>
  </si>
  <si>
    <t>ORD07224</t>
  </si>
  <si>
    <t>ORD07225</t>
  </si>
  <si>
    <t>ORD07226</t>
  </si>
  <si>
    <t>ORD07227</t>
  </si>
  <si>
    <t>ORD07228</t>
  </si>
  <si>
    <t>ORD07229</t>
  </si>
  <si>
    <t>ORD07230</t>
  </si>
  <si>
    <t>ORD07231</t>
  </si>
  <si>
    <t>ORD07232</t>
  </si>
  <si>
    <t>ORD07233</t>
  </si>
  <si>
    <t>ORD07234</t>
  </si>
  <si>
    <t>ORD07235</t>
  </si>
  <si>
    <t>ORD07236</t>
  </si>
  <si>
    <t>ORD07237</t>
  </si>
  <si>
    <t>ORD07238</t>
  </si>
  <si>
    <t>ORD07239</t>
  </si>
  <si>
    <t>ORD07240</t>
  </si>
  <si>
    <t>ORD07241</t>
  </si>
  <si>
    <t>ORD07242</t>
  </si>
  <si>
    <t>ORD07243</t>
  </si>
  <si>
    <t>ORD07244</t>
  </si>
  <si>
    <t>ORD07245</t>
  </si>
  <si>
    <t>ORD07246</t>
  </si>
  <si>
    <t>ORD07247</t>
  </si>
  <si>
    <t>ORD07248</t>
  </si>
  <si>
    <t>ORD07249</t>
  </si>
  <si>
    <t>ORD07250</t>
  </si>
  <si>
    <t>ORD07251</t>
  </si>
  <si>
    <t>ORD07252</t>
  </si>
  <si>
    <t>ORD07253</t>
  </si>
  <si>
    <t>ORD07254</t>
  </si>
  <si>
    <t>ORD07255</t>
  </si>
  <si>
    <t>ORD07256</t>
  </si>
  <si>
    <t>ORD07257</t>
  </si>
  <si>
    <t>ORD07258</t>
  </si>
  <si>
    <t>ORD07259</t>
  </si>
  <si>
    <t>ORD07260</t>
  </si>
  <si>
    <t>ORD07261</t>
  </si>
  <si>
    <t>ORD07262</t>
  </si>
  <si>
    <t>ORD07263</t>
  </si>
  <si>
    <t>ORD07264</t>
  </si>
  <si>
    <t>ORD07265</t>
  </si>
  <si>
    <t>ORD07266</t>
  </si>
  <si>
    <t>ORD07267</t>
  </si>
  <si>
    <t>ORD07268</t>
  </si>
  <si>
    <t>ORD07269</t>
  </si>
  <si>
    <t>ORD07270</t>
  </si>
  <si>
    <t>ORD07271</t>
  </si>
  <si>
    <t>ORD07272</t>
  </si>
  <si>
    <t>ORD07273</t>
  </si>
  <si>
    <t>ORD07274</t>
  </si>
  <si>
    <t>ORD07275</t>
  </si>
  <si>
    <t>ORD07276</t>
  </si>
  <si>
    <t>ORD07277</t>
  </si>
  <si>
    <t>ORD07278</t>
  </si>
  <si>
    <t>ORD07279</t>
  </si>
  <si>
    <t>ORD07280</t>
  </si>
  <si>
    <t>ORD07281</t>
  </si>
  <si>
    <t>ORD07282</t>
  </si>
  <si>
    <t>ORD07283</t>
  </si>
  <si>
    <t>ORD07284</t>
  </si>
  <si>
    <t>ORD07285</t>
  </si>
  <si>
    <t>ORD07286</t>
  </si>
  <si>
    <t>ORD07287</t>
  </si>
  <si>
    <t>ORD07288</t>
  </si>
  <si>
    <t>ORD07289</t>
  </si>
  <si>
    <t>ORD07290</t>
  </si>
  <si>
    <t>ORD07291</t>
  </si>
  <si>
    <t>ORD07292</t>
  </si>
  <si>
    <t>ORD07293</t>
  </si>
  <si>
    <t>ORD07294</t>
  </si>
  <si>
    <t>ORD07295</t>
  </si>
  <si>
    <t>ORD07296</t>
  </si>
  <si>
    <t>ORD07297</t>
  </si>
  <si>
    <t>ORD07298</t>
  </si>
  <si>
    <t>ORD07299</t>
  </si>
  <si>
    <t>ORD07300</t>
  </si>
  <si>
    <t>ORD07301</t>
  </si>
  <si>
    <t>ORD07302</t>
  </si>
  <si>
    <t>ORD07303</t>
  </si>
  <si>
    <t>ORD07304</t>
  </si>
  <si>
    <t>ORD07305</t>
  </si>
  <si>
    <t>ORD07306</t>
  </si>
  <si>
    <t>ORD07307</t>
  </si>
  <si>
    <t>ORD07308</t>
  </si>
  <si>
    <t>ORD07309</t>
  </si>
  <si>
    <t>ORD07310</t>
  </si>
  <si>
    <t>ORD07311</t>
  </si>
  <si>
    <t>ORD07312</t>
  </si>
  <si>
    <t>ORD07313</t>
  </si>
  <si>
    <t>ORD07314</t>
  </si>
  <si>
    <t>ORD07315</t>
  </si>
  <si>
    <t>ORD07316</t>
  </si>
  <si>
    <t>ORD07317</t>
  </si>
  <si>
    <t>ORD07318</t>
  </si>
  <si>
    <t>ORD07319</t>
  </si>
  <si>
    <t>ORD07320</t>
  </si>
  <si>
    <t>ORD07321</t>
  </si>
  <si>
    <t>ORD07322</t>
  </si>
  <si>
    <t>ORD07323</t>
  </si>
  <si>
    <t>ORD07324</t>
  </si>
  <si>
    <t>ORD07325</t>
  </si>
  <si>
    <t>ORD07326</t>
  </si>
  <si>
    <t>ORD07327</t>
  </si>
  <si>
    <t>ORD07328</t>
  </si>
  <si>
    <t>ORD07329</t>
  </si>
  <si>
    <t>ORD07330</t>
  </si>
  <si>
    <t>ORD07331</t>
  </si>
  <si>
    <t>ORD07332</t>
  </si>
  <si>
    <t>ORD07333</t>
  </si>
  <si>
    <t>ORD07334</t>
  </si>
  <si>
    <t>ORD07335</t>
  </si>
  <si>
    <t>ORD07336</t>
  </si>
  <si>
    <t>ORD07337</t>
  </si>
  <si>
    <t>ORD07338</t>
  </si>
  <si>
    <t>ORD07339</t>
  </si>
  <si>
    <t>ORD07340</t>
  </si>
  <si>
    <t>ORD07341</t>
  </si>
  <si>
    <t>ORD07342</t>
  </si>
  <si>
    <t>ORD07343</t>
  </si>
  <si>
    <t>ORD07344</t>
  </si>
  <si>
    <t>ORD07345</t>
  </si>
  <si>
    <t>ORD07346</t>
  </si>
  <si>
    <t>ORD07347</t>
  </si>
  <si>
    <t>ORD07348</t>
  </si>
  <si>
    <t>ORD07349</t>
  </si>
  <si>
    <t>ORD07350</t>
  </si>
  <si>
    <t>ORD07351</t>
  </si>
  <si>
    <t>ORD07352</t>
  </si>
  <si>
    <t>ORD07353</t>
  </si>
  <si>
    <t>ORD07354</t>
  </si>
  <si>
    <t>ORD07355</t>
  </si>
  <si>
    <t>ORD07356</t>
  </si>
  <si>
    <t>ORD07357</t>
  </si>
  <si>
    <t>ORD07358</t>
  </si>
  <si>
    <t>ORD07359</t>
  </si>
  <si>
    <t>ORD07360</t>
  </si>
  <si>
    <t>ORD07361</t>
  </si>
  <si>
    <t>ORD07362</t>
  </si>
  <si>
    <t>ORD07363</t>
  </si>
  <si>
    <t>ORD07364</t>
  </si>
  <si>
    <t>ORD07365</t>
  </si>
  <si>
    <t>ORD07366</t>
  </si>
  <si>
    <t>ORD07367</t>
  </si>
  <si>
    <t>ORD07368</t>
  </si>
  <si>
    <t>ORD07369</t>
  </si>
  <si>
    <t>ORD07370</t>
  </si>
  <si>
    <t>ORD07371</t>
  </si>
  <si>
    <t>ORD07372</t>
  </si>
  <si>
    <t>ORD07373</t>
  </si>
  <si>
    <t>ORD07374</t>
  </si>
  <si>
    <t>ORD07375</t>
  </si>
  <si>
    <t>ORD07376</t>
  </si>
  <si>
    <t>ORD07377</t>
  </si>
  <si>
    <t>ORD07378</t>
  </si>
  <si>
    <t>ORD07379</t>
  </si>
  <si>
    <t>ORD07380</t>
  </si>
  <si>
    <t>ORD07381</t>
  </si>
  <si>
    <t>ORD07382</t>
  </si>
  <si>
    <t>ORD07383</t>
  </si>
  <si>
    <t>ORD07384</t>
  </si>
  <si>
    <t>ORD07385</t>
  </si>
  <si>
    <t>ORD07386</t>
  </si>
  <si>
    <t>ORD07387</t>
  </si>
  <si>
    <t>ORD07388</t>
  </si>
  <si>
    <t>ORD07389</t>
  </si>
  <si>
    <t>ORD07390</t>
  </si>
  <si>
    <t>ORD07391</t>
  </si>
  <si>
    <t>ORD07392</t>
  </si>
  <si>
    <t>ORD07393</t>
  </si>
  <si>
    <t>ORD07394</t>
  </si>
  <si>
    <t>ORD07395</t>
  </si>
  <si>
    <t>ORD07396</t>
  </si>
  <si>
    <t>ORD07397</t>
  </si>
  <si>
    <t>ORD07398</t>
  </si>
  <si>
    <t>ORD07399</t>
  </si>
  <si>
    <t>ORD07400</t>
  </si>
  <si>
    <t>ORD07401</t>
  </si>
  <si>
    <t>ORD07402</t>
  </si>
  <si>
    <t>ORD07403</t>
  </si>
  <si>
    <t>ORD07404</t>
  </si>
  <si>
    <t>ORD07405</t>
  </si>
  <si>
    <t>ORD07406</t>
  </si>
  <si>
    <t>ORD07407</t>
  </si>
  <si>
    <t>ORD07408</t>
  </si>
  <si>
    <t>ORD07409</t>
  </si>
  <si>
    <t>ORD07410</t>
  </si>
  <si>
    <t>ORD07411</t>
  </si>
  <si>
    <t>ORD07412</t>
  </si>
  <si>
    <t>ORD07413</t>
  </si>
  <si>
    <t>ORD07414</t>
  </si>
  <si>
    <t>ORD07415</t>
  </si>
  <si>
    <t>ORD07416</t>
  </si>
  <si>
    <t>ORD07417</t>
  </si>
  <si>
    <t>ORD07418</t>
  </si>
  <si>
    <t>ORD07419</t>
  </si>
  <si>
    <t>ORD07420</t>
  </si>
  <si>
    <t>ORD07421</t>
  </si>
  <si>
    <t>ORD07422</t>
  </si>
  <si>
    <t>ORD07423</t>
  </si>
  <si>
    <t>ORD07424</t>
  </si>
  <si>
    <t>ORD07425</t>
  </si>
  <si>
    <t>ORD07426</t>
  </si>
  <si>
    <t>ORD07427</t>
  </si>
  <si>
    <t>ORD07428</t>
  </si>
  <si>
    <t>ORD07429</t>
  </si>
  <si>
    <t>ORD07430</t>
  </si>
  <si>
    <t>ORD07431</t>
  </si>
  <si>
    <t>ORD07432</t>
  </si>
  <si>
    <t>ORD07433</t>
  </si>
  <si>
    <t>ORD07434</t>
  </si>
  <si>
    <t>ORD07435</t>
  </si>
  <si>
    <t>ORD07436</t>
  </si>
  <si>
    <t>ORD07437</t>
  </si>
  <si>
    <t>ORD07438</t>
  </si>
  <si>
    <t>ORD07439</t>
  </si>
  <si>
    <t>ORD07440</t>
  </si>
  <si>
    <t>ORD07441</t>
  </si>
  <si>
    <t>ORD07442</t>
  </si>
  <si>
    <t>ORD07443</t>
  </si>
  <si>
    <t>ORD07444</t>
  </si>
  <si>
    <t>ORD07445</t>
  </si>
  <si>
    <t>ORD07446</t>
  </si>
  <si>
    <t>ORD07447</t>
  </si>
  <si>
    <t>ORD07448</t>
  </si>
  <si>
    <t>ORD07449</t>
  </si>
  <si>
    <t>ORD07450</t>
  </si>
  <si>
    <t>ORD07451</t>
  </si>
  <si>
    <t>ORD07452</t>
  </si>
  <si>
    <t>ORD07453</t>
  </si>
  <si>
    <t>ORD07454</t>
  </si>
  <si>
    <t>ORD07455</t>
  </si>
  <si>
    <t>ORD07456</t>
  </si>
  <si>
    <t>ORD07457</t>
  </si>
  <si>
    <t>ORD07458</t>
  </si>
  <si>
    <t>ORD07459</t>
  </si>
  <si>
    <t>ORD07460</t>
  </si>
  <si>
    <t>ORD07461</t>
  </si>
  <si>
    <t>ORD07462</t>
  </si>
  <si>
    <t>ORD07463</t>
  </si>
  <si>
    <t>ORD07464</t>
  </si>
  <si>
    <t>ORD07465</t>
  </si>
  <si>
    <t>ORD07466</t>
  </si>
  <si>
    <t>ORD07467</t>
  </si>
  <si>
    <t>ORD07468</t>
  </si>
  <si>
    <t>ORD07469</t>
  </si>
  <si>
    <t>ORD07470</t>
  </si>
  <si>
    <t>ORD07471</t>
  </si>
  <si>
    <t>ORD07472</t>
  </si>
  <si>
    <t>ORD07473</t>
  </si>
  <si>
    <t>ORD07474</t>
  </si>
  <si>
    <t>ORD07475</t>
  </si>
  <si>
    <t>ORD07476</t>
  </si>
  <si>
    <t>ORD07477</t>
  </si>
  <si>
    <t>ORD07478</t>
  </si>
  <si>
    <t>ORD07479</t>
  </si>
  <si>
    <t>ORD07480</t>
  </si>
  <si>
    <t>ORD07481</t>
  </si>
  <si>
    <t>ORD07482</t>
  </si>
  <si>
    <t>ORD07483</t>
  </si>
  <si>
    <t>ORD07484</t>
  </si>
  <si>
    <t>ORD07485</t>
  </si>
  <si>
    <t>ORD07486</t>
  </si>
  <si>
    <t>ORD07487</t>
  </si>
  <si>
    <t>ORD07488</t>
  </si>
  <si>
    <t>ORD07489</t>
  </si>
  <si>
    <t>ORD07490</t>
  </si>
  <si>
    <t>ORD07491</t>
  </si>
  <si>
    <t>ORD07492</t>
  </si>
  <si>
    <t>ORD07493</t>
  </si>
  <si>
    <t>ORD07494</t>
  </si>
  <si>
    <t>ORD07495</t>
  </si>
  <si>
    <t>ORD07496</t>
  </si>
  <si>
    <t>ORD07497</t>
  </si>
  <si>
    <t>ORD07498</t>
  </si>
  <si>
    <t>ORD07499</t>
  </si>
  <si>
    <t>ORD07500</t>
  </si>
  <si>
    <t>ORD07501</t>
  </si>
  <si>
    <t>ORD07502</t>
  </si>
  <si>
    <t>ORD07503</t>
  </si>
  <si>
    <t>ORD07504</t>
  </si>
  <si>
    <t>ORD07505</t>
  </si>
  <si>
    <t>ORD07506</t>
  </si>
  <si>
    <t>ORD07507</t>
  </si>
  <si>
    <t>ORD07508</t>
  </si>
  <si>
    <t>ORD07509</t>
  </si>
  <si>
    <t>ORD07510</t>
  </si>
  <si>
    <t>ORD07511</t>
  </si>
  <si>
    <t>ORD07512</t>
  </si>
  <si>
    <t>ORD07513</t>
  </si>
  <si>
    <t>ORD07514</t>
  </si>
  <si>
    <t>ORD07515</t>
  </si>
  <si>
    <t>ORD07516</t>
  </si>
  <si>
    <t>ORD07517</t>
  </si>
  <si>
    <t>ORD07518</t>
  </si>
  <si>
    <t>ORD07519</t>
  </si>
  <si>
    <t>ORD07520</t>
  </si>
  <si>
    <t>ORD07521</t>
  </si>
  <si>
    <t>ORD07522</t>
  </si>
  <si>
    <t>ORD07523</t>
  </si>
  <si>
    <t>ORD07524</t>
  </si>
  <si>
    <t>ORD07525</t>
  </si>
  <si>
    <t>ORD07526</t>
  </si>
  <si>
    <t>ORD07527</t>
  </si>
  <si>
    <t>ORD07528</t>
  </si>
  <si>
    <t>ORD07529</t>
  </si>
  <si>
    <t>ORD07530</t>
  </si>
  <si>
    <t>ORD07531</t>
  </si>
  <si>
    <t>ORD07532</t>
  </si>
  <si>
    <t>ORD07533</t>
  </si>
  <si>
    <t>ORD07534</t>
  </si>
  <si>
    <t>ORD07535</t>
  </si>
  <si>
    <t>ORD07536</t>
  </si>
  <si>
    <t>ORD07537</t>
  </si>
  <si>
    <t>ORD07538</t>
  </si>
  <si>
    <t>ORD07539</t>
  </si>
  <si>
    <t>ORD07540</t>
  </si>
  <si>
    <t>ORD07541</t>
  </si>
  <si>
    <t>ORD07542</t>
  </si>
  <si>
    <t>ORD07543</t>
  </si>
  <si>
    <t>ORD07544</t>
  </si>
  <si>
    <t>ORD07545</t>
  </si>
  <si>
    <t>ORD07546</t>
  </si>
  <si>
    <t>ORD07547</t>
  </si>
  <si>
    <t>ORD07548</t>
  </si>
  <si>
    <t>ORD07549</t>
  </si>
  <si>
    <t>ORD07550</t>
  </si>
  <si>
    <t>ORD07551</t>
  </si>
  <si>
    <t>ORD07552</t>
  </si>
  <si>
    <t>ORD07553</t>
  </si>
  <si>
    <t>ORD07554</t>
  </si>
  <si>
    <t>ORD07555</t>
  </si>
  <si>
    <t>ORD07556</t>
  </si>
  <si>
    <t>ORD07557</t>
  </si>
  <si>
    <t>ORD07558</t>
  </si>
  <si>
    <t>ORD07559</t>
  </si>
  <si>
    <t>ORD07560</t>
  </si>
  <si>
    <t>ORD07561</t>
  </si>
  <si>
    <t>ORD07562</t>
  </si>
  <si>
    <t>ORD07563</t>
  </si>
  <si>
    <t>ORD07564</t>
  </si>
  <si>
    <t>ORD07565</t>
  </si>
  <si>
    <t>ORD07566</t>
  </si>
  <si>
    <t>ORD07567</t>
  </si>
  <si>
    <t>ORD07568</t>
  </si>
  <si>
    <t>ORD07569</t>
  </si>
  <si>
    <t>ORD07570</t>
  </si>
  <si>
    <t>ORD07571</t>
  </si>
  <si>
    <t>ORD07572</t>
  </si>
  <si>
    <t>ORD07573</t>
  </si>
  <si>
    <t>ORD07574</t>
  </si>
  <si>
    <t>ORD07575</t>
  </si>
  <si>
    <t>ORD07576</t>
  </si>
  <si>
    <t>ORD07577</t>
  </si>
  <si>
    <t>ORD07578</t>
  </si>
  <si>
    <t>ORD07579</t>
  </si>
  <si>
    <t>ORD07580</t>
  </si>
  <si>
    <t>ORD07581</t>
  </si>
  <si>
    <t>ORD07582</t>
  </si>
  <si>
    <t>ORD07583</t>
  </si>
  <si>
    <t>ORD07584</t>
  </si>
  <si>
    <t>ORD07585</t>
  </si>
  <si>
    <t>ORD07586</t>
  </si>
  <si>
    <t>ORD07587</t>
  </si>
  <si>
    <t>ORD07588</t>
  </si>
  <si>
    <t>ORD07589</t>
  </si>
  <si>
    <t>ORD07590</t>
  </si>
  <si>
    <t>ORD07591</t>
  </si>
  <si>
    <t>ORD07592</t>
  </si>
  <si>
    <t>ORD07593</t>
  </si>
  <si>
    <t>ORD07594</t>
  </si>
  <si>
    <t>ORD07595</t>
  </si>
  <si>
    <t>ORD07596</t>
  </si>
  <si>
    <t>ORD07597</t>
  </si>
  <si>
    <t>ORD07598</t>
  </si>
  <si>
    <t>ORD07599</t>
  </si>
  <si>
    <t>ORD07600</t>
  </si>
  <si>
    <t>ORD07601</t>
  </si>
  <si>
    <t>ORD07602</t>
  </si>
  <si>
    <t>ORD07603</t>
  </si>
  <si>
    <t>ORD07604</t>
  </si>
  <si>
    <t>ORD07605</t>
  </si>
  <si>
    <t>ORD07606</t>
  </si>
  <si>
    <t>ORD07607</t>
  </si>
  <si>
    <t>ORD07608</t>
  </si>
  <si>
    <t>ORD07609</t>
  </si>
  <si>
    <t>ORD07610</t>
  </si>
  <si>
    <t>ORD07611</t>
  </si>
  <si>
    <t>ORD07612</t>
  </si>
  <si>
    <t>ORD07613</t>
  </si>
  <si>
    <t>ORD07614</t>
  </si>
  <si>
    <t>ORD07615</t>
  </si>
  <si>
    <t>ORD07616</t>
  </si>
  <si>
    <t>ORD07617</t>
  </si>
  <si>
    <t>ORD07618</t>
  </si>
  <si>
    <t>ORD07619</t>
  </si>
  <si>
    <t>ORD07620</t>
  </si>
  <si>
    <t>ORD07621</t>
  </si>
  <si>
    <t>ORD07622</t>
  </si>
  <si>
    <t>ORD07623</t>
  </si>
  <si>
    <t>ORD07624</t>
  </si>
  <si>
    <t>ORD07625</t>
  </si>
  <si>
    <t>ORD07626</t>
  </si>
  <si>
    <t>ORD07627</t>
  </si>
  <si>
    <t>ORD07628</t>
  </si>
  <si>
    <t>ORD07629</t>
  </si>
  <si>
    <t>ORD07630</t>
  </si>
  <si>
    <t>ORD07631</t>
  </si>
  <si>
    <t>ORD07632</t>
  </si>
  <si>
    <t>ORD07633</t>
  </si>
  <si>
    <t>ORD07634</t>
  </si>
  <si>
    <t>ORD07635</t>
  </si>
  <si>
    <t>ORD07636</t>
  </si>
  <si>
    <t>ORD07637</t>
  </si>
  <si>
    <t>ORD07638</t>
  </si>
  <si>
    <t>ORD07639</t>
  </si>
  <si>
    <t>ORD07640</t>
  </si>
  <si>
    <t>ORD07641</t>
  </si>
  <si>
    <t>ORD07642</t>
  </si>
  <si>
    <t>ORD07643</t>
  </si>
  <si>
    <t>ORD07644</t>
  </si>
  <si>
    <t>ORD07645</t>
  </si>
  <si>
    <t>ORD07646</t>
  </si>
  <si>
    <t>ORD07647</t>
  </si>
  <si>
    <t>ORD07648</t>
  </si>
  <si>
    <t>ORD07649</t>
  </si>
  <si>
    <t>ORD07650</t>
  </si>
  <si>
    <t>ORD07651</t>
  </si>
  <si>
    <t>ORD07652</t>
  </si>
  <si>
    <t>ORD07653</t>
  </si>
  <si>
    <t>ORD07654</t>
  </si>
  <si>
    <t>ORD07655</t>
  </si>
  <si>
    <t>ORD07656</t>
  </si>
  <si>
    <t>ORD07657</t>
  </si>
  <si>
    <t>ORD07658</t>
  </si>
  <si>
    <t>ORD07659</t>
  </si>
  <si>
    <t>ORD07660</t>
  </si>
  <si>
    <t>ORD07661</t>
  </si>
  <si>
    <t>ORD07662</t>
  </si>
  <si>
    <t>ORD07663</t>
  </si>
  <si>
    <t>ORD07664</t>
  </si>
  <si>
    <t>ORD07665</t>
  </si>
  <si>
    <t>ORD07666</t>
  </si>
  <si>
    <t>ORD07667</t>
  </si>
  <si>
    <t>ORD07668</t>
  </si>
  <si>
    <t>ORD07669</t>
  </si>
  <si>
    <t>ORD07670</t>
  </si>
  <si>
    <t>ORD07671</t>
  </si>
  <si>
    <t>ORD07672</t>
  </si>
  <si>
    <t>ORD07673</t>
  </si>
  <si>
    <t>ORD07674</t>
  </si>
  <si>
    <t>ORD07675</t>
  </si>
  <si>
    <t>ORD07676</t>
  </si>
  <si>
    <t>ORD07677</t>
  </si>
  <si>
    <t>ORD07678</t>
  </si>
  <si>
    <t>ORD07679</t>
  </si>
  <si>
    <t>ORD07680</t>
  </si>
  <si>
    <t>ORD07681</t>
  </si>
  <si>
    <t>ORD07682</t>
  </si>
  <si>
    <t>ORD07683</t>
  </si>
  <si>
    <t>ORD07684</t>
  </si>
  <si>
    <t>ORD07685</t>
  </si>
  <si>
    <t>ORD07686</t>
  </si>
  <si>
    <t>ORD07687</t>
  </si>
  <si>
    <t>ORD07688</t>
  </si>
  <si>
    <t>ORD07689</t>
  </si>
  <si>
    <t>ORD07690</t>
  </si>
  <si>
    <t>ORD07691</t>
  </si>
  <si>
    <t>ORD07692</t>
  </si>
  <si>
    <t>ORD07693</t>
  </si>
  <si>
    <t>ORD07694</t>
  </si>
  <si>
    <t>ORD07695</t>
  </si>
  <si>
    <t>ORD07696</t>
  </si>
  <si>
    <t>ORD07697</t>
  </si>
  <si>
    <t>ORD07698</t>
  </si>
  <si>
    <t>ORD07699</t>
  </si>
  <si>
    <t>ORD07700</t>
  </si>
  <si>
    <t>ORD07701</t>
  </si>
  <si>
    <t>ORD07702</t>
  </si>
  <si>
    <t>ORD07703</t>
  </si>
  <si>
    <t>ORD07704</t>
  </si>
  <si>
    <t>ORD07705</t>
  </si>
  <si>
    <t>ORD07706</t>
  </si>
  <si>
    <t>ORD07707</t>
  </si>
  <si>
    <t>ORD07708</t>
  </si>
  <si>
    <t>ORD07709</t>
  </si>
  <si>
    <t>ORD07710</t>
  </si>
  <si>
    <t>ORD07711</t>
  </si>
  <si>
    <t>ORD07712</t>
  </si>
  <si>
    <t>ORD07713</t>
  </si>
  <si>
    <t>ORD07714</t>
  </si>
  <si>
    <t>ORD07715</t>
  </si>
  <si>
    <t>ORD07716</t>
  </si>
  <si>
    <t>ORD07717</t>
  </si>
  <si>
    <t>ORD07718</t>
  </si>
  <si>
    <t>ORD07719</t>
  </si>
  <si>
    <t>ORD07720</t>
  </si>
  <si>
    <t>ORD07721</t>
  </si>
  <si>
    <t>ORD07722</t>
  </si>
  <si>
    <t>ORD07723</t>
  </si>
  <si>
    <t>ORD07724</t>
  </si>
  <si>
    <t>ORD07725</t>
  </si>
  <si>
    <t>ORD07726</t>
  </si>
  <si>
    <t>ORD07727</t>
  </si>
  <si>
    <t>ORD07728</t>
  </si>
  <si>
    <t>ORD07729</t>
  </si>
  <si>
    <t>ORD07730</t>
  </si>
  <si>
    <t>ORD07731</t>
  </si>
  <si>
    <t>ORD07732</t>
  </si>
  <si>
    <t>ORD07733</t>
  </si>
  <si>
    <t>ORD07734</t>
  </si>
  <si>
    <t>ORD07735</t>
  </si>
  <si>
    <t>ORD07736</t>
  </si>
  <si>
    <t>ORD07737</t>
  </si>
  <si>
    <t>ORD07738</t>
  </si>
  <si>
    <t>ORD07739</t>
  </si>
  <si>
    <t>ORD07740</t>
  </si>
  <si>
    <t>ORD07741</t>
  </si>
  <si>
    <t>ORD07742</t>
  </si>
  <si>
    <t>ORD07743</t>
  </si>
  <si>
    <t>ORD07744</t>
  </si>
  <si>
    <t>ORD07745</t>
  </si>
  <si>
    <t>ORD07746</t>
  </si>
  <si>
    <t>ORD07747</t>
  </si>
  <si>
    <t>ORD07748</t>
  </si>
  <si>
    <t>ORD07749</t>
  </si>
  <si>
    <t>ORD07750</t>
  </si>
  <si>
    <t>ORD07751</t>
  </si>
  <si>
    <t>ORD07752</t>
  </si>
  <si>
    <t>ORD07753</t>
  </si>
  <si>
    <t>ORD07754</t>
  </si>
  <si>
    <t>ORD07755</t>
  </si>
  <si>
    <t>ORD07756</t>
  </si>
  <si>
    <t>ORD07757</t>
  </si>
  <si>
    <t>ORD07758</t>
  </si>
  <si>
    <t>ORD07759</t>
  </si>
  <si>
    <t>ORD07760</t>
  </si>
  <si>
    <t>ORD07761</t>
  </si>
  <si>
    <t>ORD07762</t>
  </si>
  <si>
    <t>ORD07763</t>
  </si>
  <si>
    <t>ORD07764</t>
  </si>
  <si>
    <t>ORD07765</t>
  </si>
  <si>
    <t>ORD07766</t>
  </si>
  <si>
    <t>ORD07767</t>
  </si>
  <si>
    <t>ORD07768</t>
  </si>
  <si>
    <t>ORD07769</t>
  </si>
  <si>
    <t>ORD07770</t>
  </si>
  <si>
    <t>ORD07771</t>
  </si>
  <si>
    <t>ORD07772</t>
  </si>
  <si>
    <t>ORD07773</t>
  </si>
  <si>
    <t>ORD07774</t>
  </si>
  <si>
    <t>ORD07775</t>
  </si>
  <si>
    <t>ORD07776</t>
  </si>
  <si>
    <t>ORD07777</t>
  </si>
  <si>
    <t>ORD07778</t>
  </si>
  <si>
    <t>ORD07779</t>
  </si>
  <si>
    <t>ORD07780</t>
  </si>
  <si>
    <t>ORD07781</t>
  </si>
  <si>
    <t>ORD07782</t>
  </si>
  <si>
    <t>ORD07783</t>
  </si>
  <si>
    <t>ORD07784</t>
  </si>
  <si>
    <t>ORD07785</t>
  </si>
  <si>
    <t>ORD07786</t>
  </si>
  <si>
    <t>ORD07787</t>
  </si>
  <si>
    <t>ORD07788</t>
  </si>
  <si>
    <t>ORD07789</t>
  </si>
  <si>
    <t>ORD07790</t>
  </si>
  <si>
    <t>ORD07791</t>
  </si>
  <si>
    <t>ORD07792</t>
  </si>
  <si>
    <t>ORD07793</t>
  </si>
  <si>
    <t>ORD07794</t>
  </si>
  <si>
    <t>ORD07795</t>
  </si>
  <si>
    <t>ORD07796</t>
  </si>
  <si>
    <t>ORD07797</t>
  </si>
  <si>
    <t>ORD07798</t>
  </si>
  <si>
    <t>ORD07799</t>
  </si>
  <si>
    <t>ORD07800</t>
  </si>
  <si>
    <t>ORD07801</t>
  </si>
  <si>
    <t>ORD07802</t>
  </si>
  <si>
    <t>ORD07803</t>
  </si>
  <si>
    <t>ORD07804</t>
  </si>
  <si>
    <t>ORD07805</t>
  </si>
  <si>
    <t>ORD07806</t>
  </si>
  <si>
    <t>ORD07807</t>
  </si>
  <si>
    <t>ORD07808</t>
  </si>
  <si>
    <t>ORD07809</t>
  </si>
  <si>
    <t>ORD07810</t>
  </si>
  <si>
    <t>ORD07811</t>
  </si>
  <si>
    <t>ORD07812</t>
  </si>
  <si>
    <t>ORD07813</t>
  </si>
  <si>
    <t>ORD07814</t>
  </si>
  <si>
    <t>ORD07815</t>
  </si>
  <si>
    <t>ORD07816</t>
  </si>
  <si>
    <t>ORD07817</t>
  </si>
  <si>
    <t>ORD07818</t>
  </si>
  <si>
    <t>ORD07819</t>
  </si>
  <si>
    <t>ORD07820</t>
  </si>
  <si>
    <t>ORD07821</t>
  </si>
  <si>
    <t>ORD07822</t>
  </si>
  <si>
    <t>ORD07823</t>
  </si>
  <si>
    <t>ORD07824</t>
  </si>
  <si>
    <t>ORD07825</t>
  </si>
  <si>
    <t>ORD07826</t>
  </si>
  <si>
    <t>ORD07827</t>
  </si>
  <si>
    <t>ORD07828</t>
  </si>
  <si>
    <t>ORD07829</t>
  </si>
  <si>
    <t>ORD07830</t>
  </si>
  <si>
    <t>ORD07831</t>
  </si>
  <si>
    <t>ORD07832</t>
  </si>
  <si>
    <t>ORD07833</t>
  </si>
  <si>
    <t>ORD07834</t>
  </si>
  <si>
    <t>ORD07835</t>
  </si>
  <si>
    <t>ORD07836</t>
  </si>
  <si>
    <t>ORD07837</t>
  </si>
  <si>
    <t>ORD07838</t>
  </si>
  <si>
    <t>ORD07839</t>
  </si>
  <si>
    <t>ORD07840</t>
  </si>
  <si>
    <t>ORD07841</t>
  </si>
  <si>
    <t>ORD07842</t>
  </si>
  <si>
    <t>ORD07843</t>
  </si>
  <si>
    <t>ORD07844</t>
  </si>
  <si>
    <t>ORD07845</t>
  </si>
  <si>
    <t>ORD07846</t>
  </si>
  <si>
    <t>ORD07847</t>
  </si>
  <si>
    <t>ORD07848</t>
  </si>
  <si>
    <t>ORD07849</t>
  </si>
  <si>
    <t>ORD07850</t>
  </si>
  <si>
    <t>ORD07851</t>
  </si>
  <si>
    <t>ORD07852</t>
  </si>
  <si>
    <t>ORD07853</t>
  </si>
  <si>
    <t>ORD07854</t>
  </si>
  <si>
    <t>ORD07855</t>
  </si>
  <si>
    <t>ORD07856</t>
  </si>
  <si>
    <t>ORD07857</t>
  </si>
  <si>
    <t>ORD07858</t>
  </si>
  <si>
    <t>ORD07859</t>
  </si>
  <si>
    <t>ORD07860</t>
  </si>
  <si>
    <t>ORD07861</t>
  </si>
  <si>
    <t>ORD07862</t>
  </si>
  <si>
    <t>ORD07863</t>
  </si>
  <si>
    <t>ORD07864</t>
  </si>
  <si>
    <t>ORD07865</t>
  </si>
  <si>
    <t>ORD07866</t>
  </si>
  <si>
    <t>ORD07867</t>
  </si>
  <si>
    <t>ORD07868</t>
  </si>
  <si>
    <t>ORD07869</t>
  </si>
  <si>
    <t>ORD07870</t>
  </si>
  <si>
    <t>ORD07871</t>
  </si>
  <si>
    <t>ORD07872</t>
  </si>
  <si>
    <t>ORD07873</t>
  </si>
  <si>
    <t>ORD07874</t>
  </si>
  <si>
    <t>ORD07875</t>
  </si>
  <si>
    <t>ORD07876</t>
  </si>
  <si>
    <t>ORD07877</t>
  </si>
  <si>
    <t>ORD07878</t>
  </si>
  <si>
    <t>ORD07879</t>
  </si>
  <si>
    <t>ORD07880</t>
  </si>
  <si>
    <t>ORD07881</t>
  </si>
  <si>
    <t>ORD07882</t>
  </si>
  <si>
    <t>ORD07883</t>
  </si>
  <si>
    <t>ORD07884</t>
  </si>
  <si>
    <t>ORD07885</t>
  </si>
  <si>
    <t>ORD07886</t>
  </si>
  <si>
    <t>ORD07887</t>
  </si>
  <si>
    <t>ORD07888</t>
  </si>
  <si>
    <t>ORD07889</t>
  </si>
  <si>
    <t>ORD07890</t>
  </si>
  <si>
    <t>ORD07891</t>
  </si>
  <si>
    <t>ORD07892</t>
  </si>
  <si>
    <t>ORD07893</t>
  </si>
  <si>
    <t>ORD07894</t>
  </si>
  <si>
    <t>ORD07895</t>
  </si>
  <si>
    <t>ORD07896</t>
  </si>
  <si>
    <t>ORD07897</t>
  </si>
  <si>
    <t>ORD07898</t>
  </si>
  <si>
    <t>ORD07899</t>
  </si>
  <si>
    <t>ORD07900</t>
  </si>
  <si>
    <t>ORD07901</t>
  </si>
  <si>
    <t>ORD07902</t>
  </si>
  <si>
    <t>ORD07903</t>
  </si>
  <si>
    <t>ORD07904</t>
  </si>
  <si>
    <t>ORD07905</t>
  </si>
  <si>
    <t>ORD07906</t>
  </si>
  <si>
    <t>ORD07907</t>
  </si>
  <si>
    <t>ORD07908</t>
  </si>
  <si>
    <t>ORD07909</t>
  </si>
  <si>
    <t>ORD07910</t>
  </si>
  <si>
    <t>ORD07911</t>
  </si>
  <si>
    <t>ORD07912</t>
  </si>
  <si>
    <t>ORD07913</t>
  </si>
  <si>
    <t>ORD07914</t>
  </si>
  <si>
    <t>ORD07915</t>
  </si>
  <si>
    <t>ORD07916</t>
  </si>
  <si>
    <t>ORD07917</t>
  </si>
  <si>
    <t>ORD07918</t>
  </si>
  <si>
    <t>ORD07919</t>
  </si>
  <si>
    <t>ORD07920</t>
  </si>
  <si>
    <t>ORD07921</t>
  </si>
  <si>
    <t>ORD07922</t>
  </si>
  <si>
    <t>ORD07923</t>
  </si>
  <si>
    <t>ORD07924</t>
  </si>
  <si>
    <t>ORD07925</t>
  </si>
  <si>
    <t>ORD07926</t>
  </si>
  <si>
    <t>ORD07927</t>
  </si>
  <si>
    <t>ORD07928</t>
  </si>
  <si>
    <t>ORD07929</t>
  </si>
  <si>
    <t>ORD07930</t>
  </si>
  <si>
    <t>ORD07931</t>
  </si>
  <si>
    <t>ORD07932</t>
  </si>
  <si>
    <t>ORD07933</t>
  </si>
  <si>
    <t>ORD07934</t>
  </si>
  <si>
    <t>ORD07935</t>
  </si>
  <si>
    <t>ORD07936</t>
  </si>
  <si>
    <t>ORD07937</t>
  </si>
  <si>
    <t>ORD07938</t>
  </si>
  <si>
    <t>ORD07939</t>
  </si>
  <si>
    <t>ORD07940</t>
  </si>
  <si>
    <t>ORD07941</t>
  </si>
  <si>
    <t>ORD07942</t>
  </si>
  <si>
    <t>ORD07943</t>
  </si>
  <si>
    <t>ORD07944</t>
  </si>
  <si>
    <t>ORD07945</t>
  </si>
  <si>
    <t>ORD07946</t>
  </si>
  <si>
    <t>ORD07947</t>
  </si>
  <si>
    <t>ORD07948</t>
  </si>
  <si>
    <t>ORD07949</t>
  </si>
  <si>
    <t>ORD07950</t>
  </si>
  <si>
    <t>ORD07951</t>
  </si>
  <si>
    <t>ORD07952</t>
  </si>
  <si>
    <t>ORD07953</t>
  </si>
  <si>
    <t>ORD07954</t>
  </si>
  <si>
    <t>ORD07955</t>
  </si>
  <si>
    <t>ORD07956</t>
  </si>
  <si>
    <t>ORD07957</t>
  </si>
  <si>
    <t>ORD07958</t>
  </si>
  <si>
    <t>ORD07959</t>
  </si>
  <si>
    <t>ORD07960</t>
  </si>
  <si>
    <t>ORD07961</t>
  </si>
  <si>
    <t>ORD07962</t>
  </si>
  <si>
    <t>ORD07963</t>
  </si>
  <si>
    <t>ORD07964</t>
  </si>
  <si>
    <t>ORD07965</t>
  </si>
  <si>
    <t>ORD07966</t>
  </si>
  <si>
    <t>ORD07967</t>
  </si>
  <si>
    <t>ORD07968</t>
  </si>
  <si>
    <t>ORD07969</t>
  </si>
  <si>
    <t>ORD07970</t>
  </si>
  <si>
    <t>ORD07971</t>
  </si>
  <si>
    <t>ORD07972</t>
  </si>
  <si>
    <t>ORD07973</t>
  </si>
  <si>
    <t>ORD07974</t>
  </si>
  <si>
    <t>ORD07975</t>
  </si>
  <si>
    <t>ORD07976</t>
  </si>
  <si>
    <t>ORD07977</t>
  </si>
  <si>
    <t>ORD07978</t>
  </si>
  <si>
    <t>ORD07979</t>
  </si>
  <si>
    <t>ORD07980</t>
  </si>
  <si>
    <t>ORD07981</t>
  </si>
  <si>
    <t>ORD07982</t>
  </si>
  <si>
    <t>ORD07983</t>
  </si>
  <si>
    <t>ORD07984</t>
  </si>
  <si>
    <t>ORD07985</t>
  </si>
  <si>
    <t>ORD07986</t>
  </si>
  <si>
    <t>ORD07987</t>
  </si>
  <si>
    <t>ORD07988</t>
  </si>
  <si>
    <t>ORD07989</t>
  </si>
  <si>
    <t>ORD07990</t>
  </si>
  <si>
    <t>ORD07991</t>
  </si>
  <si>
    <t>ORD07992</t>
  </si>
  <si>
    <t>ORD07993</t>
  </si>
  <si>
    <t>ORD07994</t>
  </si>
  <si>
    <t>ORD07995</t>
  </si>
  <si>
    <t>ORD07996</t>
  </si>
  <si>
    <t>ORD07997</t>
  </si>
  <si>
    <t>ORD07998</t>
  </si>
  <si>
    <t>ORD07999</t>
  </si>
  <si>
    <t>ORD08000</t>
  </si>
  <si>
    <t>ORD08001</t>
  </si>
  <si>
    <t>ORD08002</t>
  </si>
  <si>
    <t>ORD08003</t>
  </si>
  <si>
    <t>ORD08004</t>
  </si>
  <si>
    <t>ORD08005</t>
  </si>
  <si>
    <t>ORD08006</t>
  </si>
  <si>
    <t>ORD08007</t>
  </si>
  <si>
    <t>ORD08008</t>
  </si>
  <si>
    <t>ORD08009</t>
  </si>
  <si>
    <t>ORD08010</t>
  </si>
  <si>
    <t>ORD08011</t>
  </si>
  <si>
    <t>ORD08012</t>
  </si>
  <si>
    <t>ORD08013</t>
  </si>
  <si>
    <t>ORD08014</t>
  </si>
  <si>
    <t>ORD08015</t>
  </si>
  <si>
    <t>ORD08016</t>
  </si>
  <si>
    <t>ORD08017</t>
  </si>
  <si>
    <t>ORD08018</t>
  </si>
  <si>
    <t>ORD08019</t>
  </si>
  <si>
    <t>ORD08020</t>
  </si>
  <si>
    <t>ORD08021</t>
  </si>
  <si>
    <t>ORD08022</t>
  </si>
  <si>
    <t>ORD08023</t>
  </si>
  <si>
    <t>ORD08024</t>
  </si>
  <si>
    <t>ORD08025</t>
  </si>
  <si>
    <t>ORD08026</t>
  </si>
  <si>
    <t>ORD08027</t>
  </si>
  <si>
    <t>ORD08028</t>
  </si>
  <si>
    <t>ORD08029</t>
  </si>
  <si>
    <t>ORD08030</t>
  </si>
  <si>
    <t>ORD08031</t>
  </si>
  <si>
    <t>ORD08032</t>
  </si>
  <si>
    <t>ORD08033</t>
  </si>
  <si>
    <t>ORD08034</t>
  </si>
  <si>
    <t>ORD08035</t>
  </si>
  <si>
    <t>ORD08036</t>
  </si>
  <si>
    <t>ORD08037</t>
  </si>
  <si>
    <t>ORD08038</t>
  </si>
  <si>
    <t>ORD08039</t>
  </si>
  <si>
    <t>ORD08040</t>
  </si>
  <si>
    <t>ORD08041</t>
  </si>
  <si>
    <t>ORD08042</t>
  </si>
  <si>
    <t>ORD08043</t>
  </si>
  <si>
    <t>ORD08044</t>
  </si>
  <si>
    <t>ORD08045</t>
  </si>
  <si>
    <t>ORD08046</t>
  </si>
  <si>
    <t>ORD08047</t>
  </si>
  <si>
    <t>ORD08048</t>
  </si>
  <si>
    <t>ORD08049</t>
  </si>
  <si>
    <t>ORD08050</t>
  </si>
  <si>
    <t>ORD08051</t>
  </si>
  <si>
    <t>ORD08052</t>
  </si>
  <si>
    <t>ORD08053</t>
  </si>
  <si>
    <t>ORD08054</t>
  </si>
  <si>
    <t>ORD08055</t>
  </si>
  <si>
    <t>ORD08056</t>
  </si>
  <si>
    <t>ORD08057</t>
  </si>
  <si>
    <t>ORD08058</t>
  </si>
  <si>
    <t>ORD08059</t>
  </si>
  <si>
    <t>ORD08060</t>
  </si>
  <si>
    <t>ORD08061</t>
  </si>
  <si>
    <t>ORD08062</t>
  </si>
  <si>
    <t>ORD08063</t>
  </si>
  <si>
    <t>ORD08064</t>
  </si>
  <si>
    <t>ORD08065</t>
  </si>
  <si>
    <t>ORD08066</t>
  </si>
  <si>
    <t>ORD08067</t>
  </si>
  <si>
    <t>ORD08068</t>
  </si>
  <si>
    <t>ORD08069</t>
  </si>
  <si>
    <t>ORD08070</t>
  </si>
  <si>
    <t>ORD08071</t>
  </si>
  <si>
    <t>ORD08072</t>
  </si>
  <si>
    <t>ORD08073</t>
  </si>
  <si>
    <t>ORD08074</t>
  </si>
  <si>
    <t>ORD08075</t>
  </si>
  <si>
    <t>ORD08076</t>
  </si>
  <si>
    <t>ORD08077</t>
  </si>
  <si>
    <t>ORD08078</t>
  </si>
  <si>
    <t>ORD08079</t>
  </si>
  <si>
    <t>ORD08080</t>
  </si>
  <si>
    <t>ORD08081</t>
  </si>
  <si>
    <t>ORD08082</t>
  </si>
  <si>
    <t>ORD08083</t>
  </si>
  <si>
    <t>ORD08084</t>
  </si>
  <si>
    <t>ORD08085</t>
  </si>
  <si>
    <t>ORD08086</t>
  </si>
  <si>
    <t>ORD08087</t>
  </si>
  <si>
    <t>ORD08088</t>
  </si>
  <si>
    <t>ORD08089</t>
  </si>
  <si>
    <t>ORD08090</t>
  </si>
  <si>
    <t>ORD08091</t>
  </si>
  <si>
    <t>ORD08092</t>
  </si>
  <si>
    <t>ORD08093</t>
  </si>
  <si>
    <t>ORD08094</t>
  </si>
  <si>
    <t>ORD08095</t>
  </si>
  <si>
    <t>ORD08096</t>
  </si>
  <si>
    <t>ORD08097</t>
  </si>
  <si>
    <t>ORD08098</t>
  </si>
  <si>
    <t>ORD08099</t>
  </si>
  <si>
    <t>ORD08100</t>
  </si>
  <si>
    <t>ORD08101</t>
  </si>
  <si>
    <t>ORD08102</t>
  </si>
  <si>
    <t>ORD08103</t>
  </si>
  <si>
    <t>ORD08104</t>
  </si>
  <si>
    <t>ORD08105</t>
  </si>
  <si>
    <t>ORD08106</t>
  </si>
  <si>
    <t>ORD08107</t>
  </si>
  <si>
    <t>ORD08108</t>
  </si>
  <si>
    <t>ORD08109</t>
  </si>
  <si>
    <t>ORD08110</t>
  </si>
  <si>
    <t>ORD08111</t>
  </si>
  <si>
    <t>ORD08112</t>
  </si>
  <si>
    <t>ORD08113</t>
  </si>
  <si>
    <t>ORD08114</t>
  </si>
  <si>
    <t>ORD08115</t>
  </si>
  <si>
    <t>ORD08116</t>
  </si>
  <si>
    <t>ORD08117</t>
  </si>
  <si>
    <t>ORD08118</t>
  </si>
  <si>
    <t>ORD08119</t>
  </si>
  <si>
    <t>ORD08120</t>
  </si>
  <si>
    <t>ORD08121</t>
  </si>
  <si>
    <t>ORD08122</t>
  </si>
  <si>
    <t>ORD08123</t>
  </si>
  <si>
    <t>ORD08124</t>
  </si>
  <si>
    <t>ORD08125</t>
  </si>
  <si>
    <t>ORD08126</t>
  </si>
  <si>
    <t>ORD08127</t>
  </si>
  <si>
    <t>ORD08128</t>
  </si>
  <si>
    <t>ORD08129</t>
  </si>
  <si>
    <t>ORD08130</t>
  </si>
  <si>
    <t>ORD08131</t>
  </si>
  <si>
    <t>ORD08132</t>
  </si>
  <si>
    <t>ORD08133</t>
  </si>
  <si>
    <t>ORD08134</t>
  </si>
  <si>
    <t>ORD08135</t>
  </si>
  <si>
    <t>ORD08136</t>
  </si>
  <si>
    <t>ORD08137</t>
  </si>
  <si>
    <t>ORD08138</t>
  </si>
  <si>
    <t>ORD08139</t>
  </si>
  <si>
    <t>ORD08140</t>
  </si>
  <si>
    <t>ORD08141</t>
  </si>
  <si>
    <t>ORD08142</t>
  </si>
  <si>
    <t>ORD08143</t>
  </si>
  <si>
    <t>ORD08144</t>
  </si>
  <si>
    <t>ORD08145</t>
  </si>
  <si>
    <t>ORD08146</t>
  </si>
  <si>
    <t>ORD08147</t>
  </si>
  <si>
    <t>ORD08148</t>
  </si>
  <si>
    <t>ORD08149</t>
  </si>
  <si>
    <t>ORD08150</t>
  </si>
  <si>
    <t>ORD08151</t>
  </si>
  <si>
    <t>ORD08152</t>
  </si>
  <si>
    <t>ORD08153</t>
  </si>
  <si>
    <t>ORD08154</t>
  </si>
  <si>
    <t>ORD08155</t>
  </si>
  <si>
    <t>ORD08156</t>
  </si>
  <si>
    <t>ORD08157</t>
  </si>
  <si>
    <t>ORD08158</t>
  </si>
  <si>
    <t>ORD08159</t>
  </si>
  <si>
    <t>ORD08160</t>
  </si>
  <si>
    <t>ORD08161</t>
  </si>
  <si>
    <t>ORD08162</t>
  </si>
  <si>
    <t>ORD08163</t>
  </si>
  <si>
    <t>ORD08164</t>
  </si>
  <si>
    <t>ORD08165</t>
  </si>
  <si>
    <t>ORD08166</t>
  </si>
  <si>
    <t>ORD08167</t>
  </si>
  <si>
    <t>ORD08168</t>
  </si>
  <si>
    <t>ORD08169</t>
  </si>
  <si>
    <t>ORD08170</t>
  </si>
  <si>
    <t>ORD08171</t>
  </si>
  <si>
    <t>ORD08172</t>
  </si>
  <si>
    <t>ORD08173</t>
  </si>
  <si>
    <t>ORD08174</t>
  </si>
  <si>
    <t>ORD08175</t>
  </si>
  <si>
    <t>ORD08176</t>
  </si>
  <si>
    <t>ORD08177</t>
  </si>
  <si>
    <t>ORD08178</t>
  </si>
  <si>
    <t>ORD08179</t>
  </si>
  <si>
    <t>ORD08180</t>
  </si>
  <si>
    <t>ORD08181</t>
  </si>
  <si>
    <t>ORD08182</t>
  </si>
  <si>
    <t>ORD08183</t>
  </si>
  <si>
    <t>ORD08184</t>
  </si>
  <si>
    <t>ORD08185</t>
  </si>
  <si>
    <t>ORD08186</t>
  </si>
  <si>
    <t>ORD08187</t>
  </si>
  <si>
    <t>ORD08188</t>
  </si>
  <si>
    <t>ORD08189</t>
  </si>
  <si>
    <t>ORD08190</t>
  </si>
  <si>
    <t>ORD08191</t>
  </si>
  <si>
    <t>ORD08192</t>
  </si>
  <si>
    <t>ORD08193</t>
  </si>
  <si>
    <t>ORD08194</t>
  </si>
  <si>
    <t>ORD08195</t>
  </si>
  <si>
    <t>ORD08196</t>
  </si>
  <si>
    <t>ORD08197</t>
  </si>
  <si>
    <t>ORD08198</t>
  </si>
  <si>
    <t>ORD08199</t>
  </si>
  <si>
    <t>ORD08200</t>
  </si>
  <si>
    <t>ORD08201</t>
  </si>
  <si>
    <t>ORD08202</t>
  </si>
  <si>
    <t>ORD08203</t>
  </si>
  <si>
    <t>ORD08204</t>
  </si>
  <si>
    <t>ORD08205</t>
  </si>
  <si>
    <t>ORD08206</t>
  </si>
  <si>
    <t>ORD08207</t>
  </si>
  <si>
    <t>ORD08208</t>
  </si>
  <si>
    <t>ORD08209</t>
  </si>
  <si>
    <t>ORD08210</t>
  </si>
  <si>
    <t>ORD08211</t>
  </si>
  <si>
    <t>ORD08212</t>
  </si>
  <si>
    <t>ORD08213</t>
  </si>
  <si>
    <t>ORD08214</t>
  </si>
  <si>
    <t>ORD08215</t>
  </si>
  <si>
    <t>ORD08216</t>
  </si>
  <si>
    <t>ORD08217</t>
  </si>
  <si>
    <t>ORD08218</t>
  </si>
  <si>
    <t>ORD08219</t>
  </si>
  <si>
    <t>ORD08220</t>
  </si>
  <si>
    <t>ORD08221</t>
  </si>
  <si>
    <t>ORD08222</t>
  </si>
  <si>
    <t>ORD08223</t>
  </si>
  <si>
    <t>ORD08224</t>
  </si>
  <si>
    <t>ORD08225</t>
  </si>
  <si>
    <t>ORD08226</t>
  </si>
  <si>
    <t>ORD08227</t>
  </si>
  <si>
    <t>ORD08228</t>
  </si>
  <si>
    <t>ORD08229</t>
  </si>
  <si>
    <t>ORD08230</t>
  </si>
  <si>
    <t>ORD08231</t>
  </si>
  <si>
    <t>ORD08232</t>
  </si>
  <si>
    <t>ORD08233</t>
  </si>
  <si>
    <t>ORD08234</t>
  </si>
  <si>
    <t>ORD08235</t>
  </si>
  <si>
    <t>ORD08236</t>
  </si>
  <si>
    <t>ORD08237</t>
  </si>
  <si>
    <t>ORD08238</t>
  </si>
  <si>
    <t>ORD08239</t>
  </si>
  <si>
    <t>ORD08240</t>
  </si>
  <si>
    <t>ORD08241</t>
  </si>
  <si>
    <t>ORD08242</t>
  </si>
  <si>
    <t>ORD08243</t>
  </si>
  <si>
    <t>ORD08244</t>
  </si>
  <si>
    <t>ORD08245</t>
  </si>
  <si>
    <t>ORD08246</t>
  </si>
  <si>
    <t>ORD08247</t>
  </si>
  <si>
    <t>ORD08248</t>
  </si>
  <si>
    <t>ORD08249</t>
  </si>
  <si>
    <t>ORD08250</t>
  </si>
  <si>
    <t>ORD08251</t>
  </si>
  <si>
    <t>ORD08252</t>
  </si>
  <si>
    <t>ORD08253</t>
  </si>
  <si>
    <t>ORD08254</t>
  </si>
  <si>
    <t>ORD08255</t>
  </si>
  <si>
    <t>ORD08256</t>
  </si>
  <si>
    <t>ORD08257</t>
  </si>
  <si>
    <t>ORD08258</t>
  </si>
  <si>
    <t>ORD08259</t>
  </si>
  <si>
    <t>ORD08260</t>
  </si>
  <si>
    <t>ORD08261</t>
  </si>
  <si>
    <t>ORD08262</t>
  </si>
  <si>
    <t>ORD08263</t>
  </si>
  <si>
    <t>ORD08264</t>
  </si>
  <si>
    <t>ORD08265</t>
  </si>
  <si>
    <t>ORD08266</t>
  </si>
  <si>
    <t>ORD08267</t>
  </si>
  <si>
    <t>ORD08268</t>
  </si>
  <si>
    <t>ORD08269</t>
  </si>
  <si>
    <t>ORD08270</t>
  </si>
  <si>
    <t>ORD08271</t>
  </si>
  <si>
    <t>ORD08272</t>
  </si>
  <si>
    <t>ORD08273</t>
  </si>
  <si>
    <t>ORD08274</t>
  </si>
  <si>
    <t>ORD08275</t>
  </si>
  <si>
    <t>ORD08276</t>
  </si>
  <si>
    <t>ORD08277</t>
  </si>
  <si>
    <t>ORD08278</t>
  </si>
  <si>
    <t>ORD08279</t>
  </si>
  <si>
    <t>ORD08280</t>
  </si>
  <si>
    <t>ORD08281</t>
  </si>
  <si>
    <t>ORD08282</t>
  </si>
  <si>
    <t>ORD08283</t>
  </si>
  <si>
    <t>ORD08284</t>
  </si>
  <si>
    <t>ORD08285</t>
  </si>
  <si>
    <t>ORD08286</t>
  </si>
  <si>
    <t>ORD08287</t>
  </si>
  <si>
    <t>ORD08288</t>
  </si>
  <si>
    <t>ORD08289</t>
  </si>
  <si>
    <t>ORD08290</t>
  </si>
  <si>
    <t>ORD08291</t>
  </si>
  <si>
    <t>ORD08292</t>
  </si>
  <si>
    <t>ORD08293</t>
  </si>
  <si>
    <t>ORD08294</t>
  </si>
  <si>
    <t>ORD08295</t>
  </si>
  <si>
    <t>ORD08296</t>
  </si>
  <si>
    <t>ORD08297</t>
  </si>
  <si>
    <t>ORD08298</t>
  </si>
  <si>
    <t>ORD08299</t>
  </si>
  <si>
    <t>ORD08300</t>
  </si>
  <si>
    <t>ORD08301</t>
  </si>
  <si>
    <t>ORD08302</t>
  </si>
  <si>
    <t>ORD08303</t>
  </si>
  <si>
    <t>ORD08304</t>
  </si>
  <si>
    <t>ORD08305</t>
  </si>
  <si>
    <t>ORD08306</t>
  </si>
  <si>
    <t>ORD08307</t>
  </si>
  <si>
    <t>ORD08308</t>
  </si>
  <si>
    <t>ORD08309</t>
  </si>
  <si>
    <t>ORD08310</t>
  </si>
  <si>
    <t>ORD08311</t>
  </si>
  <si>
    <t>ORD08312</t>
  </si>
  <si>
    <t>ORD08313</t>
  </si>
  <si>
    <t>ORD08314</t>
  </si>
  <si>
    <t>ORD08315</t>
  </si>
  <si>
    <t>ORD08316</t>
  </si>
  <si>
    <t>ORD08317</t>
  </si>
  <si>
    <t>ORD08318</t>
  </si>
  <si>
    <t>ORD08319</t>
  </si>
  <si>
    <t>ORD08320</t>
  </si>
  <si>
    <t>ORD08321</t>
  </si>
  <si>
    <t>ORD08322</t>
  </si>
  <si>
    <t>ORD08323</t>
  </si>
  <si>
    <t>ORD08324</t>
  </si>
  <si>
    <t>ORD08325</t>
  </si>
  <si>
    <t>ORD08326</t>
  </si>
  <si>
    <t>ORD08327</t>
  </si>
  <si>
    <t>ORD08328</t>
  </si>
  <si>
    <t>ORD08329</t>
  </si>
  <si>
    <t>ORD08330</t>
  </si>
  <si>
    <t>ORD08331</t>
  </si>
  <si>
    <t>ORD08332</t>
  </si>
  <si>
    <t>ORD08333</t>
  </si>
  <si>
    <t>ORD08334</t>
  </si>
  <si>
    <t>ORD08335</t>
  </si>
  <si>
    <t>ORD08336</t>
  </si>
  <si>
    <t>ORD08337</t>
  </si>
  <si>
    <t>ORD08338</t>
  </si>
  <si>
    <t>ORD08339</t>
  </si>
  <si>
    <t>ORD08340</t>
  </si>
  <si>
    <t>ORD08341</t>
  </si>
  <si>
    <t>ORD08342</t>
  </si>
  <si>
    <t>ORD08343</t>
  </si>
  <si>
    <t>ORD08344</t>
  </si>
  <si>
    <t>ORD08345</t>
  </si>
  <si>
    <t>ORD08346</t>
  </si>
  <si>
    <t>ORD08347</t>
  </si>
  <si>
    <t>ORD08348</t>
  </si>
  <si>
    <t>ORD08349</t>
  </si>
  <si>
    <t>ORD08350</t>
  </si>
  <si>
    <t>ORD08351</t>
  </si>
  <si>
    <t>ORD08352</t>
  </si>
  <si>
    <t>ORD08353</t>
  </si>
  <si>
    <t>ORD08354</t>
  </si>
  <si>
    <t>ORD08355</t>
  </si>
  <si>
    <t>ORD08356</t>
  </si>
  <si>
    <t>ORD08357</t>
  </si>
  <si>
    <t>ORD08358</t>
  </si>
  <si>
    <t>ORD08359</t>
  </si>
  <si>
    <t>ORD08360</t>
  </si>
  <si>
    <t>ORD08361</t>
  </si>
  <si>
    <t>ORD08362</t>
  </si>
  <si>
    <t>ORD08363</t>
  </si>
  <si>
    <t>ORD08364</t>
  </si>
  <si>
    <t>ORD08365</t>
  </si>
  <si>
    <t>ORD08366</t>
  </si>
  <si>
    <t>ORD08367</t>
  </si>
  <si>
    <t>ORD08368</t>
  </si>
  <si>
    <t>ORD08369</t>
  </si>
  <si>
    <t>ORD08370</t>
  </si>
  <si>
    <t>ORD08371</t>
  </si>
  <si>
    <t>ORD08372</t>
  </si>
  <si>
    <t>ORD08373</t>
  </si>
  <si>
    <t>ORD08374</t>
  </si>
  <si>
    <t>ORD08375</t>
  </si>
  <si>
    <t>ORD08376</t>
  </si>
  <si>
    <t>ORD08377</t>
  </si>
  <si>
    <t>ORD08378</t>
  </si>
  <si>
    <t>ORD08379</t>
  </si>
  <si>
    <t>ORD08380</t>
  </si>
  <si>
    <t>ORD08381</t>
  </si>
  <si>
    <t>ORD08382</t>
  </si>
  <si>
    <t>ORD08383</t>
  </si>
  <si>
    <t>ORD08384</t>
  </si>
  <si>
    <t>ORD08385</t>
  </si>
  <si>
    <t>ORD08386</t>
  </si>
  <si>
    <t>ORD08387</t>
  </si>
  <si>
    <t>ORD08388</t>
  </si>
  <si>
    <t>ORD08389</t>
  </si>
  <si>
    <t>ORD08390</t>
  </si>
  <si>
    <t>ORD08391</t>
  </si>
  <si>
    <t>ORD08392</t>
  </si>
  <si>
    <t>ORD08393</t>
  </si>
  <si>
    <t>ORD08394</t>
  </si>
  <si>
    <t>ORD08395</t>
  </si>
  <si>
    <t>ORD08396</t>
  </si>
  <si>
    <t>ORD08397</t>
  </si>
  <si>
    <t>ORD08398</t>
  </si>
  <si>
    <t>ORD08399</t>
  </si>
  <si>
    <t>ORD08400</t>
  </si>
  <si>
    <t>ORD08401</t>
  </si>
  <si>
    <t>ORD08402</t>
  </si>
  <si>
    <t>ORD08403</t>
  </si>
  <si>
    <t>ORD08404</t>
  </si>
  <si>
    <t>ORD08405</t>
  </si>
  <si>
    <t>ORD08406</t>
  </si>
  <si>
    <t>ORD08407</t>
  </si>
  <si>
    <t>ORD08408</t>
  </si>
  <si>
    <t>ORD08409</t>
  </si>
  <si>
    <t>ORD08410</t>
  </si>
  <si>
    <t>ORD08411</t>
  </si>
  <si>
    <t>ORD08412</t>
  </si>
  <si>
    <t>ORD08413</t>
  </si>
  <si>
    <t>ORD08414</t>
  </si>
  <si>
    <t>ORD08415</t>
  </si>
  <si>
    <t>ORD08416</t>
  </si>
  <si>
    <t>ORD08417</t>
  </si>
  <si>
    <t>ORD08418</t>
  </si>
  <si>
    <t>ORD08419</t>
  </si>
  <si>
    <t>ORD08420</t>
  </si>
  <si>
    <t>ORD08421</t>
  </si>
  <si>
    <t>ORD08422</t>
  </si>
  <si>
    <t>ORD08423</t>
  </si>
  <si>
    <t>ORD08424</t>
  </si>
  <si>
    <t>ORD08425</t>
  </si>
  <si>
    <t>ORD08426</t>
  </si>
  <si>
    <t>ORD08427</t>
  </si>
  <si>
    <t>ORD08428</t>
  </si>
  <si>
    <t>ORD08429</t>
  </si>
  <si>
    <t>ORD08430</t>
  </si>
  <si>
    <t>ORD08431</t>
  </si>
  <si>
    <t>ORD08432</t>
  </si>
  <si>
    <t>ORD08433</t>
  </si>
  <si>
    <t>ORD08434</t>
  </si>
  <si>
    <t>ORD08435</t>
  </si>
  <si>
    <t>ORD08436</t>
  </si>
  <si>
    <t>ORD08437</t>
  </si>
  <si>
    <t>ORD08438</t>
  </si>
  <si>
    <t>ORD08439</t>
  </si>
  <si>
    <t>ORD08440</t>
  </si>
  <si>
    <t>ORD08441</t>
  </si>
  <si>
    <t>ORD08442</t>
  </si>
  <si>
    <t>ORD08443</t>
  </si>
  <si>
    <t>ORD08444</t>
  </si>
  <si>
    <t>ORD08445</t>
  </si>
  <si>
    <t>ORD08446</t>
  </si>
  <si>
    <t>ORD08447</t>
  </si>
  <si>
    <t>ORD08448</t>
  </si>
  <si>
    <t>ORD08449</t>
  </si>
  <si>
    <t>ORD08450</t>
  </si>
  <si>
    <t>ORD08451</t>
  </si>
  <si>
    <t>ORD08452</t>
  </si>
  <si>
    <t>ORD08453</t>
  </si>
  <si>
    <t>ORD08454</t>
  </si>
  <si>
    <t>ORD08455</t>
  </si>
  <si>
    <t>ORD08456</t>
  </si>
  <si>
    <t>ORD08457</t>
  </si>
  <si>
    <t>ORD08458</t>
  </si>
  <si>
    <t>ORD08459</t>
  </si>
  <si>
    <t>ORD08460</t>
  </si>
  <si>
    <t>ORD08461</t>
  </si>
  <si>
    <t>ORD08462</t>
  </si>
  <si>
    <t>ORD08463</t>
  </si>
  <si>
    <t>ORD08464</t>
  </si>
  <si>
    <t>ORD08465</t>
  </si>
  <si>
    <t>ORD08466</t>
  </si>
  <si>
    <t>ORD08467</t>
  </si>
  <si>
    <t>ORD08468</t>
  </si>
  <si>
    <t>ORD08469</t>
  </si>
  <si>
    <t>ORD08470</t>
  </si>
  <si>
    <t>ORD08471</t>
  </si>
  <si>
    <t>ORD08472</t>
  </si>
  <si>
    <t>ORD08473</t>
  </si>
  <si>
    <t>ORD08474</t>
  </si>
  <si>
    <t>ORD08475</t>
  </si>
  <si>
    <t>ORD08476</t>
  </si>
  <si>
    <t>ORD08477</t>
  </si>
  <si>
    <t>ORD08478</t>
  </si>
  <si>
    <t>ORD08479</t>
  </si>
  <si>
    <t>ORD08480</t>
  </si>
  <si>
    <t>ORD08481</t>
  </si>
  <si>
    <t>ORD08482</t>
  </si>
  <si>
    <t>ORD08483</t>
  </si>
  <si>
    <t>ORD08484</t>
  </si>
  <si>
    <t>ORD08485</t>
  </si>
  <si>
    <t>ORD08486</t>
  </si>
  <si>
    <t>ORD08487</t>
  </si>
  <si>
    <t>ORD08488</t>
  </si>
  <si>
    <t>ORD08489</t>
  </si>
  <si>
    <t>ORD08490</t>
  </si>
  <si>
    <t>ORD08491</t>
  </si>
  <si>
    <t>ORD08492</t>
  </si>
  <si>
    <t>ORD08493</t>
  </si>
  <si>
    <t>ORD08494</t>
  </si>
  <si>
    <t>ORD08495</t>
  </si>
  <si>
    <t>ORD08496</t>
  </si>
  <si>
    <t>ORD08497</t>
  </si>
  <si>
    <t>ORD08498</t>
  </si>
  <si>
    <t>ORD08499</t>
  </si>
  <si>
    <t>ORD08500</t>
  </si>
  <si>
    <t>ORD08501</t>
  </si>
  <si>
    <t>ORD08502</t>
  </si>
  <si>
    <t>ORD08503</t>
  </si>
  <si>
    <t>ORD08504</t>
  </si>
  <si>
    <t>ORD08505</t>
  </si>
  <si>
    <t>ORD08506</t>
  </si>
  <si>
    <t>ORD08507</t>
  </si>
  <si>
    <t>ORD08508</t>
  </si>
  <si>
    <t>ORD08509</t>
  </si>
  <si>
    <t>ORD08510</t>
  </si>
  <si>
    <t>ORD08511</t>
  </si>
  <si>
    <t>ORD08512</t>
  </si>
  <si>
    <t>ORD08513</t>
  </si>
  <si>
    <t>ORD08514</t>
  </si>
  <si>
    <t>ORD08515</t>
  </si>
  <si>
    <t>ORD08516</t>
  </si>
  <si>
    <t>ORD08517</t>
  </si>
  <si>
    <t>ORD08518</t>
  </si>
  <si>
    <t>ORD08519</t>
  </si>
  <si>
    <t>ORD08520</t>
  </si>
  <si>
    <t>ORD08521</t>
  </si>
  <si>
    <t>ORD08522</t>
  </si>
  <si>
    <t>ORD08523</t>
  </si>
  <si>
    <t>ORD08524</t>
  </si>
  <si>
    <t>ORD08525</t>
  </si>
  <si>
    <t>ORD08526</t>
  </si>
  <si>
    <t>ORD08527</t>
  </si>
  <si>
    <t>ORD08528</t>
  </si>
  <si>
    <t>ORD08529</t>
  </si>
  <si>
    <t>ORD08530</t>
  </si>
  <si>
    <t>ORD08531</t>
  </si>
  <si>
    <t>ORD08532</t>
  </si>
  <si>
    <t>ORD08533</t>
  </si>
  <si>
    <t>ORD08534</t>
  </si>
  <si>
    <t>ORD08535</t>
  </si>
  <si>
    <t>ORD08536</t>
  </si>
  <si>
    <t>ORD08537</t>
  </si>
  <si>
    <t>ORD08538</t>
  </si>
  <si>
    <t>ORD08539</t>
  </si>
  <si>
    <t>ORD08540</t>
  </si>
  <si>
    <t>ORD08541</t>
  </si>
  <si>
    <t>ORD08542</t>
  </si>
  <si>
    <t>ORD08543</t>
  </si>
  <si>
    <t>ORD08544</t>
  </si>
  <si>
    <t>ORD08545</t>
  </si>
  <si>
    <t>ORD08546</t>
  </si>
  <si>
    <t>ORD08547</t>
  </si>
  <si>
    <t>ORD08548</t>
  </si>
  <si>
    <t>ORD08549</t>
  </si>
  <si>
    <t>ORD08550</t>
  </si>
  <si>
    <t>ORD08551</t>
  </si>
  <si>
    <t>ORD08552</t>
  </si>
  <si>
    <t>ORD08553</t>
  </si>
  <si>
    <t>ORD08554</t>
  </si>
  <si>
    <t>ORD08555</t>
  </si>
  <si>
    <t>ORD08556</t>
  </si>
  <si>
    <t>ORD08557</t>
  </si>
  <si>
    <t>ORD08558</t>
  </si>
  <si>
    <t>ORD08559</t>
  </si>
  <si>
    <t>ORD08560</t>
  </si>
  <si>
    <t>ORD08561</t>
  </si>
  <si>
    <t>ORD08562</t>
  </si>
  <si>
    <t>ORD08563</t>
  </si>
  <si>
    <t>ORD08564</t>
  </si>
  <si>
    <t>ORD08565</t>
  </si>
  <si>
    <t>ORD08566</t>
  </si>
  <si>
    <t>ORD08567</t>
  </si>
  <si>
    <t>ORD08568</t>
  </si>
  <si>
    <t>ORD08569</t>
  </si>
  <si>
    <t>ORD08570</t>
  </si>
  <si>
    <t>ORD08571</t>
  </si>
  <si>
    <t>ORD08572</t>
  </si>
  <si>
    <t>ORD08573</t>
  </si>
  <si>
    <t>ORD08574</t>
  </si>
  <si>
    <t>ORD08575</t>
  </si>
  <si>
    <t>ORD08576</t>
  </si>
  <si>
    <t>ORD08577</t>
  </si>
  <si>
    <t>ORD08578</t>
  </si>
  <si>
    <t>ORD08579</t>
  </si>
  <si>
    <t>ORD08580</t>
  </si>
  <si>
    <t>ORD08581</t>
  </si>
  <si>
    <t>ORD08582</t>
  </si>
  <si>
    <t>ORD08583</t>
  </si>
  <si>
    <t>ORD08584</t>
  </si>
  <si>
    <t>ORD08585</t>
  </si>
  <si>
    <t>ORD08586</t>
  </si>
  <si>
    <t>ORD08587</t>
  </si>
  <si>
    <t>ORD08588</t>
  </si>
  <si>
    <t>ORD08589</t>
  </si>
  <si>
    <t>ORD08590</t>
  </si>
  <si>
    <t>ORD08591</t>
  </si>
  <si>
    <t>ORD08592</t>
  </si>
  <si>
    <t>ORD08593</t>
  </si>
  <si>
    <t>ORD08594</t>
  </si>
  <si>
    <t>ORD08595</t>
  </si>
  <si>
    <t>ORD08596</t>
  </si>
  <si>
    <t>ORD08597</t>
  </si>
  <si>
    <t>ORD08598</t>
  </si>
  <si>
    <t>ORD08599</t>
  </si>
  <si>
    <t>ORD08600</t>
  </si>
  <si>
    <t>ORD08601</t>
  </si>
  <si>
    <t>ORD08602</t>
  </si>
  <si>
    <t>ORD08603</t>
  </si>
  <si>
    <t>ORD08604</t>
  </si>
  <si>
    <t>ORD08605</t>
  </si>
  <si>
    <t>ORD08606</t>
  </si>
  <si>
    <t>ORD08607</t>
  </si>
  <si>
    <t>ORD08608</t>
  </si>
  <si>
    <t>ORD08609</t>
  </si>
  <si>
    <t>ORD08610</t>
  </si>
  <si>
    <t>ORD08611</t>
  </si>
  <si>
    <t>ORD08612</t>
  </si>
  <si>
    <t>ORD08613</t>
  </si>
  <si>
    <t>ORD08614</t>
  </si>
  <si>
    <t>ORD08615</t>
  </si>
  <si>
    <t>ORD08616</t>
  </si>
  <si>
    <t>ORD08617</t>
  </si>
  <si>
    <t>ORD08618</t>
  </si>
  <si>
    <t>ORD08619</t>
  </si>
  <si>
    <t>ORD08620</t>
  </si>
  <si>
    <t>ORD08621</t>
  </si>
  <si>
    <t>ORD08622</t>
  </si>
  <si>
    <t>ORD08623</t>
  </si>
  <si>
    <t>ORD08624</t>
  </si>
  <si>
    <t>ORD08625</t>
  </si>
  <si>
    <t>ORD08626</t>
  </si>
  <si>
    <t>ORD08627</t>
  </si>
  <si>
    <t>ORD08628</t>
  </si>
  <si>
    <t>ORD08629</t>
  </si>
  <si>
    <t>ORD08630</t>
  </si>
  <si>
    <t>ORD08631</t>
  </si>
  <si>
    <t>ORD08632</t>
  </si>
  <si>
    <t>ORD08633</t>
  </si>
  <si>
    <t>ORD08634</t>
  </si>
  <si>
    <t>ORD08635</t>
  </si>
  <si>
    <t>ORD08636</t>
  </si>
  <si>
    <t>ORD08637</t>
  </si>
  <si>
    <t>ORD08638</t>
  </si>
  <si>
    <t>ORD08639</t>
  </si>
  <si>
    <t>ORD08640</t>
  </si>
  <si>
    <t>ORD08641</t>
  </si>
  <si>
    <t>ORD08642</t>
  </si>
  <si>
    <t>ORD08643</t>
  </si>
  <si>
    <t>ORD08644</t>
  </si>
  <si>
    <t>ORD08645</t>
  </si>
  <si>
    <t>ORD08646</t>
  </si>
  <si>
    <t>ORD08647</t>
  </si>
  <si>
    <t>ORD08648</t>
  </si>
  <si>
    <t>ORD08649</t>
  </si>
  <si>
    <t>ORD08650</t>
  </si>
  <si>
    <t>ORD08651</t>
  </si>
  <si>
    <t>ORD08652</t>
  </si>
  <si>
    <t>ORD08653</t>
  </si>
  <si>
    <t>ORD08654</t>
  </si>
  <si>
    <t>ORD08655</t>
  </si>
  <si>
    <t>ORD08656</t>
  </si>
  <si>
    <t>ORD08657</t>
  </si>
  <si>
    <t>ORD08658</t>
  </si>
  <si>
    <t>ORD08659</t>
  </si>
  <si>
    <t>ORD08660</t>
  </si>
  <si>
    <t>ORD08661</t>
  </si>
  <si>
    <t>ORD08662</t>
  </si>
  <si>
    <t>ORD08663</t>
  </si>
  <si>
    <t>ORD08664</t>
  </si>
  <si>
    <t>ORD08665</t>
  </si>
  <si>
    <t>ORD08666</t>
  </si>
  <si>
    <t>ORD08667</t>
  </si>
  <si>
    <t>ORD08668</t>
  </si>
  <si>
    <t>ORD08669</t>
  </si>
  <si>
    <t>ORD08670</t>
  </si>
  <si>
    <t>ORD08671</t>
  </si>
  <si>
    <t>ORD08672</t>
  </si>
  <si>
    <t>ORD08673</t>
  </si>
  <si>
    <t>ORD08674</t>
  </si>
  <si>
    <t>ORD08675</t>
  </si>
  <si>
    <t>ORD08676</t>
  </si>
  <si>
    <t>ORD08677</t>
  </si>
  <si>
    <t>ORD08678</t>
  </si>
  <si>
    <t>ORD08679</t>
  </si>
  <si>
    <t>ORD08680</t>
  </si>
  <si>
    <t>ORD08681</t>
  </si>
  <si>
    <t>ORD08682</t>
  </si>
  <si>
    <t>ORD08683</t>
  </si>
  <si>
    <t>ORD08684</t>
  </si>
  <si>
    <t>ORD08685</t>
  </si>
  <si>
    <t>ORD08686</t>
  </si>
  <si>
    <t>ORD08687</t>
  </si>
  <si>
    <t>ORD08688</t>
  </si>
  <si>
    <t>ORD08689</t>
  </si>
  <si>
    <t>ORD08690</t>
  </si>
  <si>
    <t>ORD08691</t>
  </si>
  <si>
    <t>ORD08692</t>
  </si>
  <si>
    <t>ORD08693</t>
  </si>
  <si>
    <t>ORD08694</t>
  </si>
  <si>
    <t>ORD08695</t>
  </si>
  <si>
    <t>ORD08696</t>
  </si>
  <si>
    <t>ORD08697</t>
  </si>
  <si>
    <t>ORD08698</t>
  </si>
  <si>
    <t>ORD08699</t>
  </si>
  <si>
    <t>ORD08700</t>
  </si>
  <si>
    <t>ORD08701</t>
  </si>
  <si>
    <t>ORD08702</t>
  </si>
  <si>
    <t>ORD08703</t>
  </si>
  <si>
    <t>ORD08704</t>
  </si>
  <si>
    <t>ORD08705</t>
  </si>
  <si>
    <t>ORD08706</t>
  </si>
  <si>
    <t>ORD08707</t>
  </si>
  <si>
    <t>ORD08708</t>
  </si>
  <si>
    <t>ORD08709</t>
  </si>
  <si>
    <t>ORD08710</t>
  </si>
  <si>
    <t>ORD08711</t>
  </si>
  <si>
    <t>ORD08712</t>
  </si>
  <si>
    <t>ORD08713</t>
  </si>
  <si>
    <t>ORD08714</t>
  </si>
  <si>
    <t>ORD08715</t>
  </si>
  <si>
    <t>ORD08716</t>
  </si>
  <si>
    <t>ORD08717</t>
  </si>
  <si>
    <t>ORD08718</t>
  </si>
  <si>
    <t>ORD08719</t>
  </si>
  <si>
    <t>ORD08720</t>
  </si>
  <si>
    <t>ORD08721</t>
  </si>
  <si>
    <t>ORD08722</t>
  </si>
  <si>
    <t>ORD08723</t>
  </si>
  <si>
    <t>ORD08724</t>
  </si>
  <si>
    <t>ORD08725</t>
  </si>
  <si>
    <t>ORD08726</t>
  </si>
  <si>
    <t>ORD08727</t>
  </si>
  <si>
    <t>ORD08728</t>
  </si>
  <si>
    <t>ORD08729</t>
  </si>
  <si>
    <t>ORD08730</t>
  </si>
  <si>
    <t>ORD08731</t>
  </si>
  <si>
    <t>ORD08732</t>
  </si>
  <si>
    <t>ORD08733</t>
  </si>
  <si>
    <t>ORD08734</t>
  </si>
  <si>
    <t>ORD08735</t>
  </si>
  <si>
    <t>ORD08736</t>
  </si>
  <si>
    <t>ORD08737</t>
  </si>
  <si>
    <t>ORD08738</t>
  </si>
  <si>
    <t>ORD08739</t>
  </si>
  <si>
    <t>ORD08740</t>
  </si>
  <si>
    <t>ORD08741</t>
  </si>
  <si>
    <t>ORD08742</t>
  </si>
  <si>
    <t>ORD08743</t>
  </si>
  <si>
    <t>ORD08744</t>
  </si>
  <si>
    <t>ORD08745</t>
  </si>
  <si>
    <t>ORD08746</t>
  </si>
  <si>
    <t>ORD08747</t>
  </si>
  <si>
    <t>ORD08748</t>
  </si>
  <si>
    <t>ORD08749</t>
  </si>
  <si>
    <t>ORD08750</t>
  </si>
  <si>
    <t>ORD08751</t>
  </si>
  <si>
    <t>ORD08752</t>
  </si>
  <si>
    <t>ORD08753</t>
  </si>
  <si>
    <t>ORD08754</t>
  </si>
  <si>
    <t>ORD08755</t>
  </si>
  <si>
    <t>ORD08756</t>
  </si>
  <si>
    <t>ORD08757</t>
  </si>
  <si>
    <t>ORD08758</t>
  </si>
  <si>
    <t>ORD08759</t>
  </si>
  <si>
    <t>ORD08760</t>
  </si>
  <si>
    <t>ORD08761</t>
  </si>
  <si>
    <t>ORD08762</t>
  </si>
  <si>
    <t>ORD08763</t>
  </si>
  <si>
    <t>ORD08764</t>
  </si>
  <si>
    <t>ORD08765</t>
  </si>
  <si>
    <t>ORD08766</t>
  </si>
  <si>
    <t>ORD08767</t>
  </si>
  <si>
    <t>ORD08768</t>
  </si>
  <si>
    <t>ORD08769</t>
  </si>
  <si>
    <t>ORD08770</t>
  </si>
  <si>
    <t>ORD08771</t>
  </si>
  <si>
    <t>ORD08772</t>
  </si>
  <si>
    <t>ORD08773</t>
  </si>
  <si>
    <t>ORD08774</t>
  </si>
  <si>
    <t>ORD08775</t>
  </si>
  <si>
    <t>ORD08776</t>
  </si>
  <si>
    <t>ORD08777</t>
  </si>
  <si>
    <t>ORD08778</t>
  </si>
  <si>
    <t>ORD08779</t>
  </si>
  <si>
    <t>ORD08780</t>
  </si>
  <si>
    <t>ORD08781</t>
  </si>
  <si>
    <t>ORD08782</t>
  </si>
  <si>
    <t>ORD08783</t>
  </si>
  <si>
    <t>ORD08784</t>
  </si>
  <si>
    <t>ORD08785</t>
  </si>
  <si>
    <t>ORD08786</t>
  </si>
  <si>
    <t>ORD08787</t>
  </si>
  <si>
    <t>ORD08788</t>
  </si>
  <si>
    <t>ORD08789</t>
  </si>
  <si>
    <t>ORD08790</t>
  </si>
  <si>
    <t>ORD08791</t>
  </si>
  <si>
    <t>ORD08792</t>
  </si>
  <si>
    <t>ORD08793</t>
  </si>
  <si>
    <t>ORD08794</t>
  </si>
  <si>
    <t>ORD08795</t>
  </si>
  <si>
    <t>ORD08796</t>
  </si>
  <si>
    <t>ORD08797</t>
  </si>
  <si>
    <t>ORD08798</t>
  </si>
  <si>
    <t>ORD08799</t>
  </si>
  <si>
    <t>ORD08800</t>
  </si>
  <si>
    <t>ORD08801</t>
  </si>
  <si>
    <t>ORD08802</t>
  </si>
  <si>
    <t>ORD08803</t>
  </si>
  <si>
    <t>ORD08804</t>
  </si>
  <si>
    <t>ORD08805</t>
  </si>
  <si>
    <t>ORD08806</t>
  </si>
  <si>
    <t>ORD08807</t>
  </si>
  <si>
    <t>ORD08808</t>
  </si>
  <si>
    <t>ORD08809</t>
  </si>
  <si>
    <t>ORD08810</t>
  </si>
  <si>
    <t>ORD08811</t>
  </si>
  <si>
    <t>ORD08812</t>
  </si>
  <si>
    <t>ORD08813</t>
  </si>
  <si>
    <t>ORD08814</t>
  </si>
  <si>
    <t>ORD08815</t>
  </si>
  <si>
    <t>ORD08816</t>
  </si>
  <si>
    <t>ORD08817</t>
  </si>
  <si>
    <t>ORD08818</t>
  </si>
  <si>
    <t>ORD08819</t>
  </si>
  <si>
    <t>ORD08820</t>
  </si>
  <si>
    <t>ORD08821</t>
  </si>
  <si>
    <t>ORD08822</t>
  </si>
  <si>
    <t>ORD08823</t>
  </si>
  <si>
    <t>ORD08824</t>
  </si>
  <si>
    <t>ORD08825</t>
  </si>
  <si>
    <t>ORD08826</t>
  </si>
  <si>
    <t>ORD08827</t>
  </si>
  <si>
    <t>ORD08828</t>
  </si>
  <si>
    <t>ORD08829</t>
  </si>
  <si>
    <t>ORD08830</t>
  </si>
  <si>
    <t>ORD08831</t>
  </si>
  <si>
    <t>ORD08832</t>
  </si>
  <si>
    <t>ORD08833</t>
  </si>
  <si>
    <t>ORD08834</t>
  </si>
  <si>
    <t>ORD08835</t>
  </si>
  <si>
    <t>ORD08836</t>
  </si>
  <si>
    <t>ORD08837</t>
  </si>
  <si>
    <t>ORD08838</t>
  </si>
  <si>
    <t>ORD08839</t>
  </si>
  <si>
    <t>ORD08840</t>
  </si>
  <si>
    <t>ORD08841</t>
  </si>
  <si>
    <t>ORD08842</t>
  </si>
  <si>
    <t>ORD08843</t>
  </si>
  <si>
    <t>ORD08844</t>
  </si>
  <si>
    <t>ORD08845</t>
  </si>
  <si>
    <t>ORD08846</t>
  </si>
  <si>
    <t>ORD08847</t>
  </si>
  <si>
    <t>ORD08848</t>
  </si>
  <si>
    <t>ORD08849</t>
  </si>
  <si>
    <t>ORD08850</t>
  </si>
  <si>
    <t>ORD08851</t>
  </si>
  <si>
    <t>ORD08852</t>
  </si>
  <si>
    <t>ORD08853</t>
  </si>
  <si>
    <t>ORD08854</t>
  </si>
  <si>
    <t>ORD08855</t>
  </si>
  <si>
    <t>ORD08856</t>
  </si>
  <si>
    <t>ORD08857</t>
  </si>
  <si>
    <t>ORD08858</t>
  </si>
  <si>
    <t>ORD08859</t>
  </si>
  <si>
    <t>ORD08860</t>
  </si>
  <si>
    <t>ORD08861</t>
  </si>
  <si>
    <t>ORD08862</t>
  </si>
  <si>
    <t>ORD08863</t>
  </si>
  <si>
    <t>ORD08864</t>
  </si>
  <si>
    <t>ORD08865</t>
  </si>
  <si>
    <t>ORD08866</t>
  </si>
  <si>
    <t>ORD08867</t>
  </si>
  <si>
    <t>ORD08868</t>
  </si>
  <si>
    <t>ORD08869</t>
  </si>
  <si>
    <t>ORD08870</t>
  </si>
  <si>
    <t>ORD08871</t>
  </si>
  <si>
    <t>ORD08872</t>
  </si>
  <si>
    <t>ORD08873</t>
  </si>
  <si>
    <t>ORD08874</t>
  </si>
  <si>
    <t>ORD08875</t>
  </si>
  <si>
    <t>ORD08876</t>
  </si>
  <si>
    <t>ORD08877</t>
  </si>
  <si>
    <t>ORD08878</t>
  </si>
  <si>
    <t>ORD08879</t>
  </si>
  <si>
    <t>ORD08880</t>
  </si>
  <si>
    <t>ORD08881</t>
  </si>
  <si>
    <t>ORD08882</t>
  </si>
  <si>
    <t>ORD08883</t>
  </si>
  <si>
    <t>ORD08884</t>
  </si>
  <si>
    <t>ORD08885</t>
  </si>
  <si>
    <t>ORD08886</t>
  </si>
  <si>
    <t>ORD08887</t>
  </si>
  <si>
    <t>ORD08888</t>
  </si>
  <si>
    <t>ORD08889</t>
  </si>
  <si>
    <t>ORD08890</t>
  </si>
  <si>
    <t>ORD08891</t>
  </si>
  <si>
    <t>ORD08892</t>
  </si>
  <si>
    <t>ORD08893</t>
  </si>
  <si>
    <t>ORD08894</t>
  </si>
  <si>
    <t>ORD08895</t>
  </si>
  <si>
    <t>ORD08896</t>
  </si>
  <si>
    <t>ORD08897</t>
  </si>
  <si>
    <t>ORD08898</t>
  </si>
  <si>
    <t>ORD08899</t>
  </si>
  <si>
    <t>ORD08900</t>
  </si>
  <si>
    <t>ORD08901</t>
  </si>
  <si>
    <t>ORD08902</t>
  </si>
  <si>
    <t>ORD08903</t>
  </si>
  <si>
    <t>ORD08904</t>
  </si>
  <si>
    <t>ORD08905</t>
  </si>
  <si>
    <t>ORD08906</t>
  </si>
  <si>
    <t>ORD08907</t>
  </si>
  <si>
    <t>ORD08908</t>
  </si>
  <si>
    <t>ORD08909</t>
  </si>
  <si>
    <t>ORD08910</t>
  </si>
  <si>
    <t>ORD08911</t>
  </si>
  <si>
    <t>ORD08912</t>
  </si>
  <si>
    <t>ORD08913</t>
  </si>
  <si>
    <t>ORD08914</t>
  </si>
  <si>
    <t>ORD08915</t>
  </si>
  <si>
    <t>ORD08916</t>
  </si>
  <si>
    <t>ORD08917</t>
  </si>
  <si>
    <t>ORD08918</t>
  </si>
  <si>
    <t>ORD08919</t>
  </si>
  <si>
    <t>ORD08920</t>
  </si>
  <si>
    <t>ORD08921</t>
  </si>
  <si>
    <t>ORD08922</t>
  </si>
  <si>
    <t>ORD08923</t>
  </si>
  <si>
    <t>ORD08924</t>
  </si>
  <si>
    <t>ORD08925</t>
  </si>
  <si>
    <t>ORD08926</t>
  </si>
  <si>
    <t>ORD08927</t>
  </si>
  <si>
    <t>ORD08928</t>
  </si>
  <si>
    <t>ORD08929</t>
  </si>
  <si>
    <t>ORD08930</t>
  </si>
  <si>
    <t>ORD08931</t>
  </si>
  <si>
    <t>ORD08932</t>
  </si>
  <si>
    <t>ORD08933</t>
  </si>
  <si>
    <t>ORD08934</t>
  </si>
  <si>
    <t>ORD08935</t>
  </si>
  <si>
    <t>ORD08936</t>
  </si>
  <si>
    <t>ORD08937</t>
  </si>
  <si>
    <t>ORD08938</t>
  </si>
  <si>
    <t>ORD08939</t>
  </si>
  <si>
    <t>ORD08940</t>
  </si>
  <si>
    <t>ORD08941</t>
  </si>
  <si>
    <t>ORD08942</t>
  </si>
  <si>
    <t>ORD08943</t>
  </si>
  <si>
    <t>ORD08944</t>
  </si>
  <si>
    <t>ORD08945</t>
  </si>
  <si>
    <t>ORD08946</t>
  </si>
  <si>
    <t>ORD08947</t>
  </si>
  <si>
    <t>ORD08948</t>
  </si>
  <si>
    <t>ORD08949</t>
  </si>
  <si>
    <t>ORD08950</t>
  </si>
  <si>
    <t>ORD08951</t>
  </si>
  <si>
    <t>ORD08952</t>
  </si>
  <si>
    <t>ORD08953</t>
  </si>
  <si>
    <t>ORD08954</t>
  </si>
  <si>
    <t>ORD08955</t>
  </si>
  <si>
    <t>ORD08956</t>
  </si>
  <si>
    <t>ORD08957</t>
  </si>
  <si>
    <t>ORD08958</t>
  </si>
  <si>
    <t>ORD08959</t>
  </si>
  <si>
    <t>ORD08960</t>
  </si>
  <si>
    <t>ORD08961</t>
  </si>
  <si>
    <t>ORD08962</t>
  </si>
  <si>
    <t>ORD08963</t>
  </si>
  <si>
    <t>ORD08964</t>
  </si>
  <si>
    <t>ORD08965</t>
  </si>
  <si>
    <t>ORD08966</t>
  </si>
  <si>
    <t>ORD08967</t>
  </si>
  <si>
    <t>ORD08968</t>
  </si>
  <si>
    <t>ORD08969</t>
  </si>
  <si>
    <t>ORD08970</t>
  </si>
  <si>
    <t>ORD08971</t>
  </si>
  <si>
    <t>ORD08972</t>
  </si>
  <si>
    <t>ORD08973</t>
  </si>
  <si>
    <t>ORD08974</t>
  </si>
  <si>
    <t>ORD08975</t>
  </si>
  <si>
    <t>ORD08976</t>
  </si>
  <si>
    <t>ORD08977</t>
  </si>
  <si>
    <t>ORD08978</t>
  </si>
  <si>
    <t>ORD08979</t>
  </si>
  <si>
    <t>ORD08980</t>
  </si>
  <si>
    <t>ORD08981</t>
  </si>
  <si>
    <t>ORD08982</t>
  </si>
  <si>
    <t>ORD08983</t>
  </si>
  <si>
    <t>ORD08984</t>
  </si>
  <si>
    <t>ORD08985</t>
  </si>
  <si>
    <t>ORD08986</t>
  </si>
  <si>
    <t>ORD08987</t>
  </si>
  <si>
    <t>ORD08988</t>
  </si>
  <si>
    <t>ORD08989</t>
  </si>
  <si>
    <t>ORD08990</t>
  </si>
  <si>
    <t>ORD08991</t>
  </si>
  <si>
    <t>ORD08992</t>
  </si>
  <si>
    <t>ORD08993</t>
  </si>
  <si>
    <t>ORD08994</t>
  </si>
  <si>
    <t>ORD08995</t>
  </si>
  <si>
    <t>ORD08996</t>
  </si>
  <si>
    <t>ORD08997</t>
  </si>
  <si>
    <t>ORD08998</t>
  </si>
  <si>
    <t>ORD08999</t>
  </si>
  <si>
    <t>ORD09000</t>
  </si>
  <si>
    <t>ORD09001</t>
  </si>
  <si>
    <t>ORD09002</t>
  </si>
  <si>
    <t>ORD09003</t>
  </si>
  <si>
    <t>ORD09004</t>
  </si>
  <si>
    <t>ORD09005</t>
  </si>
  <si>
    <t>ORD09006</t>
  </si>
  <si>
    <t>ORD09007</t>
  </si>
  <si>
    <t>ORD09008</t>
  </si>
  <si>
    <t>ORD09009</t>
  </si>
  <si>
    <t>ORD09010</t>
  </si>
  <si>
    <t>ORD09011</t>
  </si>
  <si>
    <t>ORD09012</t>
  </si>
  <si>
    <t>ORD09013</t>
  </si>
  <si>
    <t>ORD09014</t>
  </si>
  <si>
    <t>ORD09015</t>
  </si>
  <si>
    <t>ORD09016</t>
  </si>
  <si>
    <t>ORD09017</t>
  </si>
  <si>
    <t>ORD09018</t>
  </si>
  <si>
    <t>ORD09019</t>
  </si>
  <si>
    <t>ORD09020</t>
  </si>
  <si>
    <t>ORD09021</t>
  </si>
  <si>
    <t>ORD09022</t>
  </si>
  <si>
    <t>ORD09023</t>
  </si>
  <si>
    <t>ORD09024</t>
  </si>
  <si>
    <t>ORD09025</t>
  </si>
  <si>
    <t>ORD09026</t>
  </si>
  <si>
    <t>ORD09027</t>
  </si>
  <si>
    <t>ORD09028</t>
  </si>
  <si>
    <t>ORD09029</t>
  </si>
  <si>
    <t>ORD09030</t>
  </si>
  <si>
    <t>ORD09031</t>
  </si>
  <si>
    <t>ORD09032</t>
  </si>
  <si>
    <t>ORD09033</t>
  </si>
  <si>
    <t>ORD09034</t>
  </si>
  <si>
    <t>ORD09035</t>
  </si>
  <si>
    <t>ORD09036</t>
  </si>
  <si>
    <t>ORD09037</t>
  </si>
  <si>
    <t>ORD09038</t>
  </si>
  <si>
    <t>ORD09039</t>
  </si>
  <si>
    <t>ORD09040</t>
  </si>
  <si>
    <t>ORD09041</t>
  </si>
  <si>
    <t>ORD09042</t>
  </si>
  <si>
    <t>ORD09043</t>
  </si>
  <si>
    <t>ORD09044</t>
  </si>
  <si>
    <t>ORD09045</t>
  </si>
  <si>
    <t>ORD09046</t>
  </si>
  <si>
    <t>ORD09047</t>
  </si>
  <si>
    <t>ORD09048</t>
  </si>
  <si>
    <t>ORD09049</t>
  </si>
  <si>
    <t>ORD09050</t>
  </si>
  <si>
    <t>ORD09051</t>
  </si>
  <si>
    <t>ORD09052</t>
  </si>
  <si>
    <t>ORD09053</t>
  </si>
  <si>
    <t>ORD09054</t>
  </si>
  <si>
    <t>ORD09055</t>
  </si>
  <si>
    <t>ORD09056</t>
  </si>
  <si>
    <t>ORD09057</t>
  </si>
  <si>
    <t>ORD09058</t>
  </si>
  <si>
    <t>ORD09059</t>
  </si>
  <si>
    <t>ORD09060</t>
  </si>
  <si>
    <t>ORD09061</t>
  </si>
  <si>
    <t>ORD09062</t>
  </si>
  <si>
    <t>ORD09063</t>
  </si>
  <si>
    <t>ORD09064</t>
  </si>
  <si>
    <t>ORD09065</t>
  </si>
  <si>
    <t>ORD09066</t>
  </si>
  <si>
    <t>ORD09067</t>
  </si>
  <si>
    <t>ORD09068</t>
  </si>
  <si>
    <t>ORD09069</t>
  </si>
  <si>
    <t>ORD09070</t>
  </si>
  <si>
    <t>ORD09071</t>
  </si>
  <si>
    <t>ORD09072</t>
  </si>
  <si>
    <t>ORD09073</t>
  </si>
  <si>
    <t>ORD09074</t>
  </si>
  <si>
    <t>ORD09075</t>
  </si>
  <si>
    <t>ORD09076</t>
  </si>
  <si>
    <t>ORD09077</t>
  </si>
  <si>
    <t>ORD09078</t>
  </si>
  <si>
    <t>ORD09079</t>
  </si>
  <si>
    <t>ORD09080</t>
  </si>
  <si>
    <t>ORD09081</t>
  </si>
  <si>
    <t>ORD09082</t>
  </si>
  <si>
    <t>ORD09083</t>
  </si>
  <si>
    <t>ORD09084</t>
  </si>
  <si>
    <t>ORD09085</t>
  </si>
  <si>
    <t>ORD09086</t>
  </si>
  <si>
    <t>ORD09087</t>
  </si>
  <si>
    <t>ORD09088</t>
  </si>
  <si>
    <t>ORD09089</t>
  </si>
  <si>
    <t>ORD09090</t>
  </si>
  <si>
    <t>ORD09091</t>
  </si>
  <si>
    <t>ORD09092</t>
  </si>
  <si>
    <t>ORD09093</t>
  </si>
  <si>
    <t>ORD09094</t>
  </si>
  <si>
    <t>ORD09095</t>
  </si>
  <si>
    <t>ORD09096</t>
  </si>
  <si>
    <t>ORD09097</t>
  </si>
  <si>
    <t>ORD09098</t>
  </si>
  <si>
    <t>ORD09099</t>
  </si>
  <si>
    <t>ORD09100</t>
  </si>
  <si>
    <t>ORD09101</t>
  </si>
  <si>
    <t>ORD09102</t>
  </si>
  <si>
    <t>ORD09103</t>
  </si>
  <si>
    <t>ORD09104</t>
  </si>
  <si>
    <t>ORD09105</t>
  </si>
  <si>
    <t>ORD09106</t>
  </si>
  <si>
    <t>ORD09107</t>
  </si>
  <si>
    <t>ORD09108</t>
  </si>
  <si>
    <t>ORD09109</t>
  </si>
  <si>
    <t>ORD09110</t>
  </si>
  <si>
    <t>ORD09111</t>
  </si>
  <si>
    <t>ORD09112</t>
  </si>
  <si>
    <t>ORD09113</t>
  </si>
  <si>
    <t>ORD09114</t>
  </si>
  <si>
    <t>ORD09115</t>
  </si>
  <si>
    <t>ORD09116</t>
  </si>
  <si>
    <t>ORD09117</t>
  </si>
  <si>
    <t>ORD09118</t>
  </si>
  <si>
    <t>ORD09119</t>
  </si>
  <si>
    <t>ORD09120</t>
  </si>
  <si>
    <t>ORD09121</t>
  </si>
  <si>
    <t>ORD09122</t>
  </si>
  <si>
    <t>ORD09123</t>
  </si>
  <si>
    <t>ORD09124</t>
  </si>
  <si>
    <t>ORD09125</t>
  </si>
  <si>
    <t>ORD09126</t>
  </si>
  <si>
    <t>ORD09127</t>
  </si>
  <si>
    <t>ORD09128</t>
  </si>
  <si>
    <t>ORD09129</t>
  </si>
  <si>
    <t>ORD09130</t>
  </si>
  <si>
    <t>ORD09131</t>
  </si>
  <si>
    <t>ORD09132</t>
  </si>
  <si>
    <t>ORD09133</t>
  </si>
  <si>
    <t>ORD09134</t>
  </si>
  <si>
    <t>ORD09135</t>
  </si>
  <si>
    <t>ORD09136</t>
  </si>
  <si>
    <t>ORD09137</t>
  </si>
  <si>
    <t>ORD09138</t>
  </si>
  <si>
    <t>ORD09139</t>
  </si>
  <si>
    <t>ORD09140</t>
  </si>
  <si>
    <t>ORD09141</t>
  </si>
  <si>
    <t>ORD09142</t>
  </si>
  <si>
    <t>ORD09143</t>
  </si>
  <si>
    <t>ORD09144</t>
  </si>
  <si>
    <t>ORD09145</t>
  </si>
  <si>
    <t>ORD09146</t>
  </si>
  <si>
    <t>ORD09147</t>
  </si>
  <si>
    <t>ORD09148</t>
  </si>
  <si>
    <t>ORD09149</t>
  </si>
  <si>
    <t>ORD09150</t>
  </si>
  <si>
    <t>ORD09151</t>
  </si>
  <si>
    <t>ORD09152</t>
  </si>
  <si>
    <t>ORD09153</t>
  </si>
  <si>
    <t>ORD09154</t>
  </si>
  <si>
    <t>ORD09155</t>
  </si>
  <si>
    <t>ORD09156</t>
  </si>
  <si>
    <t>ORD09157</t>
  </si>
  <si>
    <t>ORD09158</t>
  </si>
  <si>
    <t>ORD09159</t>
  </si>
  <si>
    <t>ORD09160</t>
  </si>
  <si>
    <t>ORD09161</t>
  </si>
  <si>
    <t>ORD09162</t>
  </si>
  <si>
    <t>ORD09163</t>
  </si>
  <si>
    <t>ORD09164</t>
  </si>
  <si>
    <t>ORD09165</t>
  </si>
  <si>
    <t>ORD09166</t>
  </si>
  <si>
    <t>ORD09167</t>
  </si>
  <si>
    <t>ORD09168</t>
  </si>
  <si>
    <t>ORD09169</t>
  </si>
  <si>
    <t>ORD09170</t>
  </si>
  <si>
    <t>ORD09171</t>
  </si>
  <si>
    <t>ORD09172</t>
  </si>
  <si>
    <t>ORD09173</t>
  </si>
  <si>
    <t>ORD09174</t>
  </si>
  <si>
    <t>ORD09175</t>
  </si>
  <si>
    <t>ORD09176</t>
  </si>
  <si>
    <t>ORD09177</t>
  </si>
  <si>
    <t>ORD09178</t>
  </si>
  <si>
    <t>ORD09179</t>
  </si>
  <si>
    <t>ORD09180</t>
  </si>
  <si>
    <t>ORD09181</t>
  </si>
  <si>
    <t>ORD09182</t>
  </si>
  <si>
    <t>ORD09183</t>
  </si>
  <si>
    <t>ORD09184</t>
  </si>
  <si>
    <t>ORD09185</t>
  </si>
  <si>
    <t>ORD09186</t>
  </si>
  <si>
    <t>ORD09187</t>
  </si>
  <si>
    <t>ORD09188</t>
  </si>
  <si>
    <t>ORD09189</t>
  </si>
  <si>
    <t>ORD09190</t>
  </si>
  <si>
    <t>ORD09191</t>
  </si>
  <si>
    <t>ORD09192</t>
  </si>
  <si>
    <t>ORD09193</t>
  </si>
  <si>
    <t>ORD09194</t>
  </si>
  <si>
    <t>ORD09195</t>
  </si>
  <si>
    <t>ORD09196</t>
  </si>
  <si>
    <t>ORD09197</t>
  </si>
  <si>
    <t>ORD09198</t>
  </si>
  <si>
    <t>ORD09199</t>
  </si>
  <si>
    <t>ORD09200</t>
  </si>
  <si>
    <t>ORD09201</t>
  </si>
  <si>
    <t>ORD09202</t>
  </si>
  <si>
    <t>ORD09203</t>
  </si>
  <si>
    <t>ORD09204</t>
  </si>
  <si>
    <t>ORD09205</t>
  </si>
  <si>
    <t>ORD09206</t>
  </si>
  <si>
    <t>ORD09207</t>
  </si>
  <si>
    <t>ORD09208</t>
  </si>
  <si>
    <t>ORD09209</t>
  </si>
  <si>
    <t>ORD09210</t>
  </si>
  <si>
    <t>ORD09211</t>
  </si>
  <si>
    <t>ORD09212</t>
  </si>
  <si>
    <t>ORD09213</t>
  </si>
  <si>
    <t>ORD09214</t>
  </si>
  <si>
    <t>ORD09215</t>
  </si>
  <si>
    <t>ORD09216</t>
  </si>
  <si>
    <t>ORD09217</t>
  </si>
  <si>
    <t>ORD09218</t>
  </si>
  <si>
    <t>ORD09219</t>
  </si>
  <si>
    <t>ORD09220</t>
  </si>
  <si>
    <t>ORD09221</t>
  </si>
  <si>
    <t>ORD09222</t>
  </si>
  <si>
    <t>ORD09223</t>
  </si>
  <si>
    <t>ORD09224</t>
  </si>
  <si>
    <t>ORD09225</t>
  </si>
  <si>
    <t>ORD09226</t>
  </si>
  <si>
    <t>ORD09227</t>
  </si>
  <si>
    <t>ORD09228</t>
  </si>
  <si>
    <t>ORD09229</t>
  </si>
  <si>
    <t>ORD09230</t>
  </si>
  <si>
    <t>ORD09231</t>
  </si>
  <si>
    <t>ORD09232</t>
  </si>
  <si>
    <t>ORD09233</t>
  </si>
  <si>
    <t>ORD09234</t>
  </si>
  <si>
    <t>ORD09235</t>
  </si>
  <si>
    <t>ORD09236</t>
  </si>
  <si>
    <t>ORD09237</t>
  </si>
  <si>
    <t>ORD09238</t>
  </si>
  <si>
    <t>ORD09239</t>
  </si>
  <si>
    <t>ORD09240</t>
  </si>
  <si>
    <t>ORD09241</t>
  </si>
  <si>
    <t>ORD09242</t>
  </si>
  <si>
    <t>ORD09243</t>
  </si>
  <si>
    <t>ORD09244</t>
  </si>
  <si>
    <t>ORD09245</t>
  </si>
  <si>
    <t>ORD09246</t>
  </si>
  <si>
    <t>ORD09247</t>
  </si>
  <si>
    <t>ORD09248</t>
  </si>
  <si>
    <t>ORD09249</t>
  </si>
  <si>
    <t>ORD09250</t>
  </si>
  <si>
    <t>ORD09251</t>
  </si>
  <si>
    <t>ORD09252</t>
  </si>
  <si>
    <t>ORD09253</t>
  </si>
  <si>
    <t>ORD09254</t>
  </si>
  <si>
    <t>ORD09255</t>
  </si>
  <si>
    <t>ORD09256</t>
  </si>
  <si>
    <t>ORD09257</t>
  </si>
  <si>
    <t>ORD09258</t>
  </si>
  <si>
    <t>ORD09259</t>
  </si>
  <si>
    <t>ORD09260</t>
  </si>
  <si>
    <t>ORD09261</t>
  </si>
  <si>
    <t>ORD09262</t>
  </si>
  <si>
    <t>ORD09263</t>
  </si>
  <si>
    <t>ORD09264</t>
  </si>
  <si>
    <t>ORD09265</t>
  </si>
  <si>
    <t>ORD09266</t>
  </si>
  <si>
    <t>ORD09267</t>
  </si>
  <si>
    <t>ORD09268</t>
  </si>
  <si>
    <t>ORD09269</t>
  </si>
  <si>
    <t>ORD09270</t>
  </si>
  <si>
    <t>ORD09271</t>
  </si>
  <si>
    <t>ORD09272</t>
  </si>
  <si>
    <t>ORD09273</t>
  </si>
  <si>
    <t>ORD09274</t>
  </si>
  <si>
    <t>ORD09275</t>
  </si>
  <si>
    <t>ORD09276</t>
  </si>
  <si>
    <t>ORD09277</t>
  </si>
  <si>
    <t>ORD09278</t>
  </si>
  <si>
    <t>ORD09279</t>
  </si>
  <si>
    <t>ORD09280</t>
  </si>
  <si>
    <t>ORD09281</t>
  </si>
  <si>
    <t>ORD09282</t>
  </si>
  <si>
    <t>ORD09283</t>
  </si>
  <si>
    <t>ORD09284</t>
  </si>
  <si>
    <t>ORD09285</t>
  </si>
  <si>
    <t>ORD09286</t>
  </si>
  <si>
    <t>ORD09287</t>
  </si>
  <si>
    <t>ORD09288</t>
  </si>
  <si>
    <t>ORD09289</t>
  </si>
  <si>
    <t>ORD09290</t>
  </si>
  <si>
    <t>ORD09291</t>
  </si>
  <si>
    <t>ORD09292</t>
  </si>
  <si>
    <t>ORD09293</t>
  </si>
  <si>
    <t>ORD09294</t>
  </si>
  <si>
    <t>ORD09295</t>
  </si>
  <si>
    <t>ORD09296</t>
  </si>
  <si>
    <t>ORD09297</t>
  </si>
  <si>
    <t>ORD09298</t>
  </si>
  <si>
    <t>ORD09299</t>
  </si>
  <si>
    <t>ORD09300</t>
  </si>
  <si>
    <t>ORD09301</t>
  </si>
  <si>
    <t>ORD09302</t>
  </si>
  <si>
    <t>ORD09303</t>
  </si>
  <si>
    <t>ORD09304</t>
  </si>
  <si>
    <t>ORD09305</t>
  </si>
  <si>
    <t>ORD09306</t>
  </si>
  <si>
    <t>ORD09307</t>
  </si>
  <si>
    <t>ORD09308</t>
  </si>
  <si>
    <t>ORD09309</t>
  </si>
  <si>
    <t>ORD09310</t>
  </si>
  <si>
    <t>ORD09311</t>
  </si>
  <si>
    <t>ORD09312</t>
  </si>
  <si>
    <t>ORD09313</t>
  </si>
  <si>
    <t>ORD09314</t>
  </si>
  <si>
    <t>ORD09315</t>
  </si>
  <si>
    <t>ORD09316</t>
  </si>
  <si>
    <t>ORD09317</t>
  </si>
  <si>
    <t>ORD09318</t>
  </si>
  <si>
    <t>ORD09319</t>
  </si>
  <si>
    <t>ORD09320</t>
  </si>
  <si>
    <t>ORD09321</t>
  </si>
  <si>
    <t>ORD09322</t>
  </si>
  <si>
    <t>ORD09323</t>
  </si>
  <si>
    <t>ORD09324</t>
  </si>
  <si>
    <t>ORD09325</t>
  </si>
  <si>
    <t>ORD09326</t>
  </si>
  <si>
    <t>ORD09327</t>
  </si>
  <si>
    <t>ORD09328</t>
  </si>
  <si>
    <t>ORD09329</t>
  </si>
  <si>
    <t>ORD09330</t>
  </si>
  <si>
    <t>ORD09331</t>
  </si>
  <si>
    <t>ORD09332</t>
  </si>
  <si>
    <t>ORD09333</t>
  </si>
  <si>
    <t>ORD09334</t>
  </si>
  <si>
    <t>ORD09335</t>
  </si>
  <si>
    <t>ORD09336</t>
  </si>
  <si>
    <t>ORD09337</t>
  </si>
  <si>
    <t>ORD09338</t>
  </si>
  <si>
    <t>ORD09339</t>
  </si>
  <si>
    <t>ORD09340</t>
  </si>
  <si>
    <t>ORD09341</t>
  </si>
  <si>
    <t>ORD09342</t>
  </si>
  <si>
    <t>ORD09343</t>
  </si>
  <si>
    <t>ORD09344</t>
  </si>
  <si>
    <t>ORD09345</t>
  </si>
  <si>
    <t>ORD09346</t>
  </si>
  <si>
    <t>ORD09347</t>
  </si>
  <si>
    <t>ORD09348</t>
  </si>
  <si>
    <t>ORD09349</t>
  </si>
  <si>
    <t>ORD09350</t>
  </si>
  <si>
    <t>ORD09351</t>
  </si>
  <si>
    <t>ORD09352</t>
  </si>
  <si>
    <t>ORD09353</t>
  </si>
  <si>
    <t>ORD09354</t>
  </si>
  <si>
    <t>ORD09355</t>
  </si>
  <si>
    <t>ORD09356</t>
  </si>
  <si>
    <t>ORD09357</t>
  </si>
  <si>
    <t>ORD09358</t>
  </si>
  <si>
    <t>ORD09359</t>
  </si>
  <si>
    <t>ORD09360</t>
  </si>
  <si>
    <t>ORD09361</t>
  </si>
  <si>
    <t>ORD09362</t>
  </si>
  <si>
    <t>ORD09363</t>
  </si>
  <si>
    <t>ORD09364</t>
  </si>
  <si>
    <t>ORD09365</t>
  </si>
  <si>
    <t>ORD09366</t>
  </si>
  <si>
    <t>ORD09367</t>
  </si>
  <si>
    <t>ORD09368</t>
  </si>
  <si>
    <t>ORD09369</t>
  </si>
  <si>
    <t>ORD09370</t>
  </si>
  <si>
    <t>ORD09371</t>
  </si>
  <si>
    <t>ORD09372</t>
  </si>
  <si>
    <t>ORD09373</t>
  </si>
  <si>
    <t>ORD09374</t>
  </si>
  <si>
    <t>ORD09375</t>
  </si>
  <si>
    <t>ORD09376</t>
  </si>
  <si>
    <t>ORD09377</t>
  </si>
  <si>
    <t>ORD09378</t>
  </si>
  <si>
    <t>ORD09379</t>
  </si>
  <si>
    <t>ORD09380</t>
  </si>
  <si>
    <t>ORD09381</t>
  </si>
  <si>
    <t>ORD09382</t>
  </si>
  <si>
    <t>ORD09383</t>
  </si>
  <si>
    <t>ORD09384</t>
  </si>
  <si>
    <t>ORD09385</t>
  </si>
  <si>
    <t>ORD09386</t>
  </si>
  <si>
    <t>ORD09387</t>
  </si>
  <si>
    <t>ORD09388</t>
  </si>
  <si>
    <t>ORD09389</t>
  </si>
  <si>
    <t>ORD09390</t>
  </si>
  <si>
    <t>ORD09391</t>
  </si>
  <si>
    <t>ORD09392</t>
  </si>
  <si>
    <t>ORD09393</t>
  </si>
  <si>
    <t>ORD09394</t>
  </si>
  <si>
    <t>ORD09395</t>
  </si>
  <si>
    <t>ORD09396</t>
  </si>
  <si>
    <t>ORD09397</t>
  </si>
  <si>
    <t>ORD09398</t>
  </si>
  <si>
    <t>ORD09399</t>
  </si>
  <si>
    <t>ORD09400</t>
  </si>
  <si>
    <t>ORD09401</t>
  </si>
  <si>
    <t>ORD09402</t>
  </si>
  <si>
    <t>ORD09403</t>
  </si>
  <si>
    <t>ORD09404</t>
  </si>
  <si>
    <t>ORD09405</t>
  </si>
  <si>
    <t>ORD09406</t>
  </si>
  <si>
    <t>ORD09407</t>
  </si>
  <si>
    <t>ORD09408</t>
  </si>
  <si>
    <t>ORD09409</t>
  </si>
  <si>
    <t>ORD09410</t>
  </si>
  <si>
    <t>ORD09411</t>
  </si>
  <si>
    <t>ORD09412</t>
  </si>
  <si>
    <t>ORD09413</t>
  </si>
  <si>
    <t>ORD09414</t>
  </si>
  <si>
    <t>ORD09415</t>
  </si>
  <si>
    <t>ORD09416</t>
  </si>
  <si>
    <t>ORD09417</t>
  </si>
  <si>
    <t>ORD09418</t>
  </si>
  <si>
    <t>ORD09419</t>
  </si>
  <si>
    <t>ORD09420</t>
  </si>
  <si>
    <t>ORD09421</t>
  </si>
  <si>
    <t>ORD09422</t>
  </si>
  <si>
    <t>ORD09423</t>
  </si>
  <si>
    <t>ORD09424</t>
  </si>
  <si>
    <t>ORD09425</t>
  </si>
  <si>
    <t>ORD09426</t>
  </si>
  <si>
    <t>ORD09427</t>
  </si>
  <si>
    <t>ORD09428</t>
  </si>
  <si>
    <t>ORD09429</t>
  </si>
  <si>
    <t>ORD09430</t>
  </si>
  <si>
    <t>ORD09431</t>
  </si>
  <si>
    <t>ORD09432</t>
  </si>
  <si>
    <t>ORD09433</t>
  </si>
  <si>
    <t>ORD09434</t>
  </si>
  <si>
    <t>ORD09435</t>
  </si>
  <si>
    <t>ORD09436</t>
  </si>
  <si>
    <t>ORD09437</t>
  </si>
  <si>
    <t>ORD09438</t>
  </si>
  <si>
    <t>ORD09439</t>
  </si>
  <si>
    <t>ORD09440</t>
  </si>
  <si>
    <t>ORD09441</t>
  </si>
  <si>
    <t>ORD09442</t>
  </si>
  <si>
    <t>ORD09443</t>
  </si>
  <si>
    <t>ORD09444</t>
  </si>
  <si>
    <t>ORD09445</t>
  </si>
  <si>
    <t>ORD09446</t>
  </si>
  <si>
    <t>ORD09447</t>
  </si>
  <si>
    <t>ORD09448</t>
  </si>
  <si>
    <t>ORD09449</t>
  </si>
  <si>
    <t>ORD09450</t>
  </si>
  <si>
    <t>ORD09451</t>
  </si>
  <si>
    <t>ORD09452</t>
  </si>
  <si>
    <t>ORD09453</t>
  </si>
  <si>
    <t>ORD09454</t>
  </si>
  <si>
    <t>ORD09455</t>
  </si>
  <si>
    <t>ORD09456</t>
  </si>
  <si>
    <t>ORD09457</t>
  </si>
  <si>
    <t>ORD09458</t>
  </si>
  <si>
    <t>ORD09459</t>
  </si>
  <si>
    <t>ORD09460</t>
  </si>
  <si>
    <t>ORD09461</t>
  </si>
  <si>
    <t>ORD09462</t>
  </si>
  <si>
    <t>ORD09463</t>
  </si>
  <si>
    <t>ORD09464</t>
  </si>
  <si>
    <t>ORD09465</t>
  </si>
  <si>
    <t>ORD09466</t>
  </si>
  <si>
    <t>ORD09467</t>
  </si>
  <si>
    <t>ORD09468</t>
  </si>
  <si>
    <t>ORD09469</t>
  </si>
  <si>
    <t>ORD09470</t>
  </si>
  <si>
    <t>ORD09471</t>
  </si>
  <si>
    <t>ORD09472</t>
  </si>
  <si>
    <t>ORD09473</t>
  </si>
  <si>
    <t>ORD09474</t>
  </si>
  <si>
    <t>ORD09475</t>
  </si>
  <si>
    <t>ORD09476</t>
  </si>
  <si>
    <t>ORD09477</t>
  </si>
  <si>
    <t>ORD09478</t>
  </si>
  <si>
    <t>ORD09479</t>
  </si>
  <si>
    <t>ORD09480</t>
  </si>
  <si>
    <t>ORD09481</t>
  </si>
  <si>
    <t>ORD09482</t>
  </si>
  <si>
    <t>ORD09483</t>
  </si>
  <si>
    <t>ORD09484</t>
  </si>
  <si>
    <t>ORD09485</t>
  </si>
  <si>
    <t>ORD09486</t>
  </si>
  <si>
    <t>ORD09487</t>
  </si>
  <si>
    <t>ORD09488</t>
  </si>
  <si>
    <t>ORD09489</t>
  </si>
  <si>
    <t>ORD09490</t>
  </si>
  <si>
    <t>ORD09491</t>
  </si>
  <si>
    <t>ORD09492</t>
  </si>
  <si>
    <t>ORD09493</t>
  </si>
  <si>
    <t>ORD09494</t>
  </si>
  <si>
    <t>ORD09495</t>
  </si>
  <si>
    <t>ORD09496</t>
  </si>
  <si>
    <t>ORD09497</t>
  </si>
  <si>
    <t>ORD09498</t>
  </si>
  <si>
    <t>ORD09499</t>
  </si>
  <si>
    <t>ORD09500</t>
  </si>
  <si>
    <t>ORD09501</t>
  </si>
  <si>
    <t>ORD09502</t>
  </si>
  <si>
    <t>ORD09503</t>
  </si>
  <si>
    <t>ORD09504</t>
  </si>
  <si>
    <t>ORD09505</t>
  </si>
  <si>
    <t>ORD09506</t>
  </si>
  <si>
    <t>ORD09507</t>
  </si>
  <si>
    <t>ORD09508</t>
  </si>
  <si>
    <t>ORD09509</t>
  </si>
  <si>
    <t>ORD09510</t>
  </si>
  <si>
    <t>ORD09511</t>
  </si>
  <si>
    <t>ORD09512</t>
  </si>
  <si>
    <t>ORD09513</t>
  </si>
  <si>
    <t>ORD09514</t>
  </si>
  <si>
    <t>ORD09515</t>
  </si>
  <si>
    <t>ORD09516</t>
  </si>
  <si>
    <t>ORD09517</t>
  </si>
  <si>
    <t>ORD09518</t>
  </si>
  <si>
    <t>ORD09519</t>
  </si>
  <si>
    <t>ORD09520</t>
  </si>
  <si>
    <t>ORD09521</t>
  </si>
  <si>
    <t>ORD09522</t>
  </si>
  <si>
    <t>ORD09523</t>
  </si>
  <si>
    <t>ORD09524</t>
  </si>
  <si>
    <t>ORD09525</t>
  </si>
  <si>
    <t>ORD09526</t>
  </si>
  <si>
    <t>ORD09527</t>
  </si>
  <si>
    <t>ORD09528</t>
  </si>
  <si>
    <t>ORD09529</t>
  </si>
  <si>
    <t>ORD09530</t>
  </si>
  <si>
    <t>ORD09531</t>
  </si>
  <si>
    <t>ORD09532</t>
  </si>
  <si>
    <t>ORD09533</t>
  </si>
  <si>
    <t>ORD09534</t>
  </si>
  <si>
    <t>ORD09535</t>
  </si>
  <si>
    <t>ORD09536</t>
  </si>
  <si>
    <t>ORD09537</t>
  </si>
  <si>
    <t>ORD09538</t>
  </si>
  <si>
    <t>ORD09539</t>
  </si>
  <si>
    <t>ORD09540</t>
  </si>
  <si>
    <t>ORD09541</t>
  </si>
  <si>
    <t>ORD09542</t>
  </si>
  <si>
    <t>ORD09543</t>
  </si>
  <si>
    <t>ORD09544</t>
  </si>
  <si>
    <t>ORD09545</t>
  </si>
  <si>
    <t>ORD09546</t>
  </si>
  <si>
    <t>ORD09547</t>
  </si>
  <si>
    <t>ORD09548</t>
  </si>
  <si>
    <t>ORD09549</t>
  </si>
  <si>
    <t>ORD09550</t>
  </si>
  <si>
    <t>ORD09551</t>
  </si>
  <si>
    <t>ORD09552</t>
  </si>
  <si>
    <t>ORD09553</t>
  </si>
  <si>
    <t>ORD09554</t>
  </si>
  <si>
    <t>ORD09555</t>
  </si>
  <si>
    <t>ORD09556</t>
  </si>
  <si>
    <t>ORD09557</t>
  </si>
  <si>
    <t>ORD09558</t>
  </si>
  <si>
    <t>ORD09559</t>
  </si>
  <si>
    <t>ORD09560</t>
  </si>
  <si>
    <t>ORD09561</t>
  </si>
  <si>
    <t>ORD09562</t>
  </si>
  <si>
    <t>ORD09563</t>
  </si>
  <si>
    <t>ORD09564</t>
  </si>
  <si>
    <t>ORD09565</t>
  </si>
  <si>
    <t>ORD09566</t>
  </si>
  <si>
    <t>ORD09567</t>
  </si>
  <si>
    <t>ORD09568</t>
  </si>
  <si>
    <t>ORD09569</t>
  </si>
  <si>
    <t>ORD09570</t>
  </si>
  <si>
    <t>ORD09571</t>
  </si>
  <si>
    <t>ORD09572</t>
  </si>
  <si>
    <t>ORD09573</t>
  </si>
  <si>
    <t>ORD09574</t>
  </si>
  <si>
    <t>ORD09575</t>
  </si>
  <si>
    <t>ORD09576</t>
  </si>
  <si>
    <t>ORD09577</t>
  </si>
  <si>
    <t>ORD09578</t>
  </si>
  <si>
    <t>ORD09579</t>
  </si>
  <si>
    <t>ORD09580</t>
  </si>
  <si>
    <t>ORD09581</t>
  </si>
  <si>
    <t>ORD09582</t>
  </si>
  <si>
    <t>ORD09583</t>
  </si>
  <si>
    <t>ORD09584</t>
  </si>
  <si>
    <t>ORD09585</t>
  </si>
  <si>
    <t>ORD09586</t>
  </si>
  <si>
    <t>ORD09587</t>
  </si>
  <si>
    <t>ORD09588</t>
  </si>
  <si>
    <t>ORD09589</t>
  </si>
  <si>
    <t>ORD09590</t>
  </si>
  <si>
    <t>ORD09591</t>
  </si>
  <si>
    <t>ORD09592</t>
  </si>
  <si>
    <t>ORD09593</t>
  </si>
  <si>
    <t>ORD09594</t>
  </si>
  <si>
    <t>ORD09595</t>
  </si>
  <si>
    <t>ORD09596</t>
  </si>
  <si>
    <t>ORD09597</t>
  </si>
  <si>
    <t>ORD09598</t>
  </si>
  <si>
    <t>ORD09599</t>
  </si>
  <si>
    <t>ORD09600</t>
  </si>
  <si>
    <t>ORD09601</t>
  </si>
  <si>
    <t>ORD09602</t>
  </si>
  <si>
    <t>ORD09603</t>
  </si>
  <si>
    <t>ORD09604</t>
  </si>
  <si>
    <t>ORD09605</t>
  </si>
  <si>
    <t>ORD09606</t>
  </si>
  <si>
    <t>ORD09607</t>
  </si>
  <si>
    <t>ORD09608</t>
  </si>
  <si>
    <t>ORD09609</t>
  </si>
  <si>
    <t>ORD09610</t>
  </si>
  <si>
    <t>ORD09611</t>
  </si>
  <si>
    <t>ORD09612</t>
  </si>
  <si>
    <t>ORD09613</t>
  </si>
  <si>
    <t>ORD09614</t>
  </si>
  <si>
    <t>ORD09615</t>
  </si>
  <si>
    <t>ORD09616</t>
  </si>
  <si>
    <t>ORD09617</t>
  </si>
  <si>
    <t>ORD09618</t>
  </si>
  <si>
    <t>ORD09619</t>
  </si>
  <si>
    <t>ORD09620</t>
  </si>
  <si>
    <t>ORD09621</t>
  </si>
  <si>
    <t>ORD09622</t>
  </si>
  <si>
    <t>ORD09623</t>
  </si>
  <si>
    <t>ORD09624</t>
  </si>
  <si>
    <t>ORD09625</t>
  </si>
  <si>
    <t>ORD09626</t>
  </si>
  <si>
    <t>ORD09627</t>
  </si>
  <si>
    <t>ORD09628</t>
  </si>
  <si>
    <t>ORD09629</t>
  </si>
  <si>
    <t>ORD09630</t>
  </si>
  <si>
    <t>ORD09631</t>
  </si>
  <si>
    <t>ORD09632</t>
  </si>
  <si>
    <t>ORD09633</t>
  </si>
  <si>
    <t>ORD09634</t>
  </si>
  <si>
    <t>ORD09635</t>
  </si>
  <si>
    <t>ORD09636</t>
  </si>
  <si>
    <t>ORD09637</t>
  </si>
  <si>
    <t>ORD09638</t>
  </si>
  <si>
    <t>ORD09639</t>
  </si>
  <si>
    <t>ORD09640</t>
  </si>
  <si>
    <t>ORD09641</t>
  </si>
  <si>
    <t>ORD09642</t>
  </si>
  <si>
    <t>ORD09643</t>
  </si>
  <si>
    <t>ORD09644</t>
  </si>
  <si>
    <t>ORD09645</t>
  </si>
  <si>
    <t>ORD09646</t>
  </si>
  <si>
    <t>ORD09647</t>
  </si>
  <si>
    <t>ORD09648</t>
  </si>
  <si>
    <t>ORD09649</t>
  </si>
  <si>
    <t>ORD09650</t>
  </si>
  <si>
    <t>ORD09651</t>
  </si>
  <si>
    <t>ORD09652</t>
  </si>
  <si>
    <t>ORD09653</t>
  </si>
  <si>
    <t>ORD09654</t>
  </si>
  <si>
    <t>ORD09655</t>
  </si>
  <si>
    <t>ORD09656</t>
  </si>
  <si>
    <t>ORD09657</t>
  </si>
  <si>
    <t>ORD09658</t>
  </si>
  <si>
    <t>ORD09659</t>
  </si>
  <si>
    <t>ORD09660</t>
  </si>
  <si>
    <t>ORD09661</t>
  </si>
  <si>
    <t>ORD09662</t>
  </si>
  <si>
    <t>ORD09663</t>
  </si>
  <si>
    <t>ORD09664</t>
  </si>
  <si>
    <t>ORD09665</t>
  </si>
  <si>
    <t>ORD09666</t>
  </si>
  <si>
    <t>ORD09667</t>
  </si>
  <si>
    <t>ORD09668</t>
  </si>
  <si>
    <t>ORD09669</t>
  </si>
  <si>
    <t>ORD09670</t>
  </si>
  <si>
    <t>ORD09671</t>
  </si>
  <si>
    <t>ORD09672</t>
  </si>
  <si>
    <t>ORD09673</t>
  </si>
  <si>
    <t>ORD09674</t>
  </si>
  <si>
    <t>ORD09675</t>
  </si>
  <si>
    <t>ORD09676</t>
  </si>
  <si>
    <t>ORD09677</t>
  </si>
  <si>
    <t>ORD09678</t>
  </si>
  <si>
    <t>ORD09679</t>
  </si>
  <si>
    <t>ORD09680</t>
  </si>
  <si>
    <t>ORD09681</t>
  </si>
  <si>
    <t>ORD09682</t>
  </si>
  <si>
    <t>ORD09683</t>
  </si>
  <si>
    <t>ORD09684</t>
  </si>
  <si>
    <t>ORD09685</t>
  </si>
  <si>
    <t>ORD09686</t>
  </si>
  <si>
    <t>ORD09687</t>
  </si>
  <si>
    <t>ORD09688</t>
  </si>
  <si>
    <t>ORD09689</t>
  </si>
  <si>
    <t>ORD09690</t>
  </si>
  <si>
    <t>ORD09691</t>
  </si>
  <si>
    <t>ORD09692</t>
  </si>
  <si>
    <t>ORD09693</t>
  </si>
  <si>
    <t>ORD09694</t>
  </si>
  <si>
    <t>ORD09695</t>
  </si>
  <si>
    <t>ORD09696</t>
  </si>
  <si>
    <t>ORD09697</t>
  </si>
  <si>
    <t>ORD09698</t>
  </si>
  <si>
    <t>ORD09699</t>
  </si>
  <si>
    <t>ORD09700</t>
  </si>
  <si>
    <t>ORD09701</t>
  </si>
  <si>
    <t>ORD09702</t>
  </si>
  <si>
    <t>ORD09703</t>
  </si>
  <si>
    <t>ORD09704</t>
  </si>
  <si>
    <t>ORD09705</t>
  </si>
  <si>
    <t>ORD09706</t>
  </si>
  <si>
    <t>ORD09707</t>
  </si>
  <si>
    <t>ORD09708</t>
  </si>
  <si>
    <t>ORD09709</t>
  </si>
  <si>
    <t>ORD09710</t>
  </si>
  <si>
    <t>ORD09711</t>
  </si>
  <si>
    <t>ORD09712</t>
  </si>
  <si>
    <t>ORD09713</t>
  </si>
  <si>
    <t>ORD09714</t>
  </si>
  <si>
    <t>ORD09715</t>
  </si>
  <si>
    <t>ORD09716</t>
  </si>
  <si>
    <t>ORD09717</t>
  </si>
  <si>
    <t>ORD09718</t>
  </si>
  <si>
    <t>ORD09719</t>
  </si>
  <si>
    <t>ORD09720</t>
  </si>
  <si>
    <t>ORD09721</t>
  </si>
  <si>
    <t>ORD09722</t>
  </si>
  <si>
    <t>ORD09723</t>
  </si>
  <si>
    <t>ORD09724</t>
  </si>
  <si>
    <t>ORD09725</t>
  </si>
  <si>
    <t>ORD09726</t>
  </si>
  <si>
    <t>ORD09727</t>
  </si>
  <si>
    <t>ORD09728</t>
  </si>
  <si>
    <t>ORD09729</t>
  </si>
  <si>
    <t>ORD09730</t>
  </si>
  <si>
    <t>ORD09731</t>
  </si>
  <si>
    <t>ORD09732</t>
  </si>
  <si>
    <t>ORD09733</t>
  </si>
  <si>
    <t>ORD09734</t>
  </si>
  <si>
    <t>ORD09735</t>
  </si>
  <si>
    <t>ORD09736</t>
  </si>
  <si>
    <t>ORD09737</t>
  </si>
  <si>
    <t>ORD09738</t>
  </si>
  <si>
    <t>ORD09739</t>
  </si>
  <si>
    <t>ORD09740</t>
  </si>
  <si>
    <t>ORD09741</t>
  </si>
  <si>
    <t>ORD09742</t>
  </si>
  <si>
    <t>ORD09743</t>
  </si>
  <si>
    <t>ORD09744</t>
  </si>
  <si>
    <t>ORD09745</t>
  </si>
  <si>
    <t>ORD09746</t>
  </si>
  <si>
    <t>ORD09747</t>
  </si>
  <si>
    <t>ORD09748</t>
  </si>
  <si>
    <t>ORD09749</t>
  </si>
  <si>
    <t>ORD09750</t>
  </si>
  <si>
    <t>ORD09751</t>
  </si>
  <si>
    <t>ORD09752</t>
  </si>
  <si>
    <t>ORD09753</t>
  </si>
  <si>
    <t>ORD09754</t>
  </si>
  <si>
    <t>ORD09755</t>
  </si>
  <si>
    <t>ORD09756</t>
  </si>
  <si>
    <t>ORD09757</t>
  </si>
  <si>
    <t>ORD09758</t>
  </si>
  <si>
    <t>ORD09759</t>
  </si>
  <si>
    <t>ORD09760</t>
  </si>
  <si>
    <t>ORD09761</t>
  </si>
  <si>
    <t>ORD09762</t>
  </si>
  <si>
    <t>ORD09763</t>
  </si>
  <si>
    <t>ORD09764</t>
  </si>
  <si>
    <t>ORD09765</t>
  </si>
  <si>
    <t>ORD09766</t>
  </si>
  <si>
    <t>ORD09767</t>
  </si>
  <si>
    <t>ORD09768</t>
  </si>
  <si>
    <t>ORD09769</t>
  </si>
  <si>
    <t>ORD09770</t>
  </si>
  <si>
    <t>ORD09771</t>
  </si>
  <si>
    <t>ORD09772</t>
  </si>
  <si>
    <t>ORD09773</t>
  </si>
  <si>
    <t>ORD09774</t>
  </si>
  <si>
    <t>ORD09775</t>
  </si>
  <si>
    <t>ORD09776</t>
  </si>
  <si>
    <t>ORD09777</t>
  </si>
  <si>
    <t>ORD09778</t>
  </si>
  <si>
    <t>ORD09779</t>
  </si>
  <si>
    <t>ORD09780</t>
  </si>
  <si>
    <t>ORD09781</t>
  </si>
  <si>
    <t>ORD09782</t>
  </si>
  <si>
    <t>ORD09783</t>
  </si>
  <si>
    <t>ORD09784</t>
  </si>
  <si>
    <t>ORD09785</t>
  </si>
  <si>
    <t>ORD09786</t>
  </si>
  <si>
    <t>ORD09787</t>
  </si>
  <si>
    <t>ORD09788</t>
  </si>
  <si>
    <t>ORD09789</t>
  </si>
  <si>
    <t>ORD09790</t>
  </si>
  <si>
    <t>ORD09791</t>
  </si>
  <si>
    <t>ORD09792</t>
  </si>
  <si>
    <t>ORD09793</t>
  </si>
  <si>
    <t>ORD09794</t>
  </si>
  <si>
    <t>ORD09795</t>
  </si>
  <si>
    <t>ORD09796</t>
  </si>
  <si>
    <t>ORD09797</t>
  </si>
  <si>
    <t>ORD09798</t>
  </si>
  <si>
    <t>ORD09799</t>
  </si>
  <si>
    <t>ORD09800</t>
  </si>
  <si>
    <t>ORD09801</t>
  </si>
  <si>
    <t>ORD09802</t>
  </si>
  <si>
    <t>ORD09803</t>
  </si>
  <si>
    <t>ORD09804</t>
  </si>
  <si>
    <t>ORD09805</t>
  </si>
  <si>
    <t>ORD09806</t>
  </si>
  <si>
    <t>ORD09807</t>
  </si>
  <si>
    <t>ORD09808</t>
  </si>
  <si>
    <t>ORD09809</t>
  </si>
  <si>
    <t>ORD09810</t>
  </si>
  <si>
    <t>ORD09811</t>
  </si>
  <si>
    <t>ORD09812</t>
  </si>
  <si>
    <t>ORD09813</t>
  </si>
  <si>
    <t>ORD09814</t>
  </si>
  <si>
    <t>ORD09815</t>
  </si>
  <si>
    <t>ORD09816</t>
  </si>
  <si>
    <t>ORD09817</t>
  </si>
  <si>
    <t>ORD09818</t>
  </si>
  <si>
    <t>ORD09819</t>
  </si>
  <si>
    <t>ORD09820</t>
  </si>
  <si>
    <t>ORD09821</t>
  </si>
  <si>
    <t>ORD09822</t>
  </si>
  <si>
    <t>ORD09823</t>
  </si>
  <si>
    <t>ORD09824</t>
  </si>
  <si>
    <t>ORD09825</t>
  </si>
  <si>
    <t>ORD09826</t>
  </si>
  <si>
    <t>ORD09827</t>
  </si>
  <si>
    <t>ORD09828</t>
  </si>
  <si>
    <t>ORD09829</t>
  </si>
  <si>
    <t>ORD09830</t>
  </si>
  <si>
    <t>ORD09831</t>
  </si>
  <si>
    <t>ORD09832</t>
  </si>
  <si>
    <t>ORD09833</t>
  </si>
  <si>
    <t>ORD09834</t>
  </si>
  <si>
    <t>ORD09835</t>
  </si>
  <si>
    <t>ORD09836</t>
  </si>
  <si>
    <t>ORD09837</t>
  </si>
  <si>
    <t>ORD09838</t>
  </si>
  <si>
    <t>ORD09839</t>
  </si>
  <si>
    <t>ORD09840</t>
  </si>
  <si>
    <t>ORD09841</t>
  </si>
  <si>
    <t>ORD09842</t>
  </si>
  <si>
    <t>ORD09843</t>
  </si>
  <si>
    <t>ORD09844</t>
  </si>
  <si>
    <t>ORD09845</t>
  </si>
  <si>
    <t>ORD09846</t>
  </si>
  <si>
    <t>ORD09847</t>
  </si>
  <si>
    <t>ORD09848</t>
  </si>
  <si>
    <t>ORD09849</t>
  </si>
  <si>
    <t>ORD09850</t>
  </si>
  <si>
    <t>ORD09851</t>
  </si>
  <si>
    <t>ORD09852</t>
  </si>
  <si>
    <t>ORD09853</t>
  </si>
  <si>
    <t>ORD09854</t>
  </si>
  <si>
    <t>ORD09855</t>
  </si>
  <si>
    <t>ORD09856</t>
  </si>
  <si>
    <t>ORD09857</t>
  </si>
  <si>
    <t>ORD09858</t>
  </si>
  <si>
    <t>ORD09859</t>
  </si>
  <si>
    <t>ORD09860</t>
  </si>
  <si>
    <t>ORD09861</t>
  </si>
  <si>
    <t>ORD09862</t>
  </si>
  <si>
    <t>ORD09863</t>
  </si>
  <si>
    <t>ORD09864</t>
  </si>
  <si>
    <t>ORD09865</t>
  </si>
  <si>
    <t>ORD09866</t>
  </si>
  <si>
    <t>ORD09867</t>
  </si>
  <si>
    <t>ORD09868</t>
  </si>
  <si>
    <t>ORD09869</t>
  </si>
  <si>
    <t>ORD09870</t>
  </si>
  <si>
    <t>ORD09871</t>
  </si>
  <si>
    <t>ORD09872</t>
  </si>
  <si>
    <t>ORD09873</t>
  </si>
  <si>
    <t>ORD09874</t>
  </si>
  <si>
    <t>ORD09875</t>
  </si>
  <si>
    <t>ORD09876</t>
  </si>
  <si>
    <t>ORD09877</t>
  </si>
  <si>
    <t>ORD09878</t>
  </si>
  <si>
    <t>ORD09879</t>
  </si>
  <si>
    <t>ORD09880</t>
  </si>
  <si>
    <t>ORD09881</t>
  </si>
  <si>
    <t>ORD09882</t>
  </si>
  <si>
    <t>ORD09883</t>
  </si>
  <si>
    <t>ORD09884</t>
  </si>
  <si>
    <t>ORD09885</t>
  </si>
  <si>
    <t>ORD09886</t>
  </si>
  <si>
    <t>ORD09887</t>
  </si>
  <si>
    <t>ORD09888</t>
  </si>
  <si>
    <t>ORD09889</t>
  </si>
  <si>
    <t>ORD09890</t>
  </si>
  <si>
    <t>ORD09891</t>
  </si>
  <si>
    <t>ORD09892</t>
  </si>
  <si>
    <t>ORD09893</t>
  </si>
  <si>
    <t>ORD09894</t>
  </si>
  <si>
    <t>ORD09895</t>
  </si>
  <si>
    <t>ORD09896</t>
  </si>
  <si>
    <t>ORD09897</t>
  </si>
  <si>
    <t>ORD09898</t>
  </si>
  <si>
    <t>ORD09899</t>
  </si>
  <si>
    <t>ORD09900</t>
  </si>
  <si>
    <t>ORD09901</t>
  </si>
  <si>
    <t>ORD09902</t>
  </si>
  <si>
    <t>ORD09903</t>
  </si>
  <si>
    <t>ORD09904</t>
  </si>
  <si>
    <t>ORD09905</t>
  </si>
  <si>
    <t>ORD09906</t>
  </si>
  <si>
    <t>ORD09907</t>
  </si>
  <si>
    <t>ORD09908</t>
  </si>
  <si>
    <t>ORD09909</t>
  </si>
  <si>
    <t>ORD09910</t>
  </si>
  <si>
    <t>ORD09911</t>
  </si>
  <si>
    <t>ORD09912</t>
  </si>
  <si>
    <t>ORD09913</t>
  </si>
  <si>
    <t>ORD09914</t>
  </si>
  <si>
    <t>ORD09915</t>
  </si>
  <si>
    <t>ORD09916</t>
  </si>
  <si>
    <t>ORD09917</t>
  </si>
  <si>
    <t>ORD09918</t>
  </si>
  <si>
    <t>ORD09919</t>
  </si>
  <si>
    <t>ORD09920</t>
  </si>
  <si>
    <t>ORD09921</t>
  </si>
  <si>
    <t>ORD09922</t>
  </si>
  <si>
    <t>ORD09923</t>
  </si>
  <si>
    <t>ORD09924</t>
  </si>
  <si>
    <t>ORD09925</t>
  </si>
  <si>
    <t>ORD09926</t>
  </si>
  <si>
    <t>ORD09927</t>
  </si>
  <si>
    <t>ORD09928</t>
  </si>
  <si>
    <t>ORD09929</t>
  </si>
  <si>
    <t>ORD09930</t>
  </si>
  <si>
    <t>ORD09931</t>
  </si>
  <si>
    <t>ORD09932</t>
  </si>
  <si>
    <t>ORD09933</t>
  </si>
  <si>
    <t>ORD09934</t>
  </si>
  <si>
    <t>ORD09935</t>
  </si>
  <si>
    <t>ORD09936</t>
  </si>
  <si>
    <t>ORD09937</t>
  </si>
  <si>
    <t>ORD09938</t>
  </si>
  <si>
    <t>ORD09939</t>
  </si>
  <si>
    <t>ORD09940</t>
  </si>
  <si>
    <t>ORD09941</t>
  </si>
  <si>
    <t>ORD09942</t>
  </si>
  <si>
    <t>ORD09943</t>
  </si>
  <si>
    <t>ORD09944</t>
  </si>
  <si>
    <t>ORD09945</t>
  </si>
  <si>
    <t>ORD09946</t>
  </si>
  <si>
    <t>ORD09947</t>
  </si>
  <si>
    <t>ORD09948</t>
  </si>
  <si>
    <t>ORD09949</t>
  </si>
  <si>
    <t>ORD09950</t>
  </si>
  <si>
    <t>ORD09951</t>
  </si>
  <si>
    <t>ORD09952</t>
  </si>
  <si>
    <t>ORD09953</t>
  </si>
  <si>
    <t>ORD09954</t>
  </si>
  <si>
    <t>ORD09955</t>
  </si>
  <si>
    <t>ORD09956</t>
  </si>
  <si>
    <t>ORD09957</t>
  </si>
  <si>
    <t>ORD09958</t>
  </si>
  <si>
    <t>ORD09959</t>
  </si>
  <si>
    <t>ORD09960</t>
  </si>
  <si>
    <t>ORD09961</t>
  </si>
  <si>
    <t>ORD09962</t>
  </si>
  <si>
    <t>ORD09963</t>
  </si>
  <si>
    <t>ORD09964</t>
  </si>
  <si>
    <t>ORD09965</t>
  </si>
  <si>
    <t>ORD09966</t>
  </si>
  <si>
    <t>ORD09967</t>
  </si>
  <si>
    <t>ORD09968</t>
  </si>
  <si>
    <t>ORD09969</t>
  </si>
  <si>
    <t>ORD09970</t>
  </si>
  <si>
    <t>ORD09971</t>
  </si>
  <si>
    <t>ORD09972</t>
  </si>
  <si>
    <t>ORD09973</t>
  </si>
  <si>
    <t>ORD09974</t>
  </si>
  <si>
    <t>ORD09975</t>
  </si>
  <si>
    <t>ORD09976</t>
  </si>
  <si>
    <t>ORD09977</t>
  </si>
  <si>
    <t>ORD09978</t>
  </si>
  <si>
    <t>ORD09979</t>
  </si>
  <si>
    <t>ORD09980</t>
  </si>
  <si>
    <t>ORD09981</t>
  </si>
  <si>
    <t>ORD09982</t>
  </si>
  <si>
    <t>ORD09983</t>
  </si>
  <si>
    <t>ORD09984</t>
  </si>
  <si>
    <t>ORD09985</t>
  </si>
  <si>
    <t>ORD09986</t>
  </si>
  <si>
    <t>ORD09987</t>
  </si>
  <si>
    <t>ORD09988</t>
  </si>
  <si>
    <t>ORD09989</t>
  </si>
  <si>
    <t>ORD09990</t>
  </si>
  <si>
    <t>ORD09991</t>
  </si>
  <si>
    <t>ORD09992</t>
  </si>
  <si>
    <t>ORD09993</t>
  </si>
  <si>
    <t>ORD09994</t>
  </si>
  <si>
    <t>ORD09995</t>
  </si>
  <si>
    <t>ORD09996</t>
  </si>
  <si>
    <t>ORD09997</t>
  </si>
  <si>
    <t>ORD09998</t>
  </si>
  <si>
    <t>ORD09999</t>
  </si>
  <si>
    <t>ORD10000</t>
  </si>
  <si>
    <t>Sum of TargetSales</t>
  </si>
  <si>
    <t>Sum of ActualSales</t>
  </si>
  <si>
    <t>Row Labels</t>
  </si>
  <si>
    <t>Grand Total</t>
  </si>
  <si>
    <t>Sales Distribution Dashboard</t>
  </si>
  <si>
    <t>By Lean Excel Solutions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</si>
</sst>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9" x14ac:knownFonts="1">
    <font>
      <sz val="11"/>
      <color theme="1"/>
      <name val="Calibri"/>
      <family val="2"/>
      <scheme val="minor"/>
    </font>
    <font>
      <sz val="11"/>
      <color theme="0"/>
      <name val="Calibri"/>
      <family val="2"/>
      <scheme val="minor"/>
    </font>
    <font>
      <b/>
      <sz val="14"/>
      <color theme="0"/>
      <name val="Calibri"/>
      <family val="2"/>
      <scheme val="minor"/>
    </font>
    <font>
      <b/>
      <sz val="16"/>
      <color theme="0"/>
      <name val="Calibri"/>
      <family val="2"/>
      <scheme val="minor"/>
    </font>
    <font>
      <b/>
      <sz val="28"/>
      <color theme="0"/>
      <name val="Calibri"/>
      <family val="2"/>
      <scheme val="minor"/>
    </font>
    <font>
      <sz val="16"/>
      <color theme="0"/>
      <name val="Eras Bold ITC"/>
      <family val="2"/>
    </font>
    <font>
      <sz val="26"/>
      <color theme="0"/>
      <name val="Eras Bold ITC"/>
      <family val="2"/>
    </font>
    <font>
      <b/>
      <sz val="16"/>
      <color theme="0"/>
      <name val="Eras Bold ITC"/>
      <family val="2"/>
    </font>
    <font>
      <b/>
      <sz val="22"/>
      <color theme="9" tint="-0.249977111117893"/>
      <name val="Calibri"/>
      <family val="2"/>
      <scheme val="minor"/>
    </font>
  </fonts>
  <fills count="3">
    <fill>
      <patternFill patternType="none"/>
    </fill>
    <fill>
      <patternFill patternType="gray125"/>
    </fill>
    <fill>
      <patternFill patternType="solid">
        <fgColor theme="1"/>
        <bgColor indexed="64"/>
      </patternFill>
    </fill>
  </fills>
  <borders count="9">
    <border>
      <left/>
      <right/>
      <top/>
      <bottom/>
      <diagonal/>
    </border>
    <border>
      <left style="thin">
        <color theme="2" tint="-9.9978637043366805E-2"/>
      </left>
      <right/>
      <top style="thin">
        <color theme="2" tint="-9.9978637043366805E-2"/>
      </top>
      <bottom/>
      <diagonal/>
    </border>
    <border>
      <left/>
      <right/>
      <top style="thin">
        <color theme="2" tint="-9.9978637043366805E-2"/>
      </top>
      <bottom/>
      <diagonal/>
    </border>
    <border>
      <left/>
      <right style="thin">
        <color theme="2" tint="-9.9978637043366805E-2"/>
      </right>
      <top style="thin">
        <color theme="2" tint="-9.9978637043366805E-2"/>
      </top>
      <bottom/>
      <diagonal/>
    </border>
    <border>
      <left style="thin">
        <color theme="2" tint="-9.9978637043366805E-2"/>
      </left>
      <right/>
      <top/>
      <bottom/>
      <diagonal/>
    </border>
    <border>
      <left/>
      <right style="thin">
        <color theme="2" tint="-9.9978637043366805E-2"/>
      </right>
      <top/>
      <bottom/>
      <diagonal/>
    </border>
    <border>
      <left style="thin">
        <color theme="2" tint="-9.9978637043366805E-2"/>
      </left>
      <right/>
      <top/>
      <bottom style="thin">
        <color theme="2" tint="-9.9978637043366805E-2"/>
      </bottom>
      <diagonal/>
    </border>
    <border>
      <left/>
      <right/>
      <top/>
      <bottom style="thin">
        <color theme="2" tint="-9.9978637043366805E-2"/>
      </bottom>
      <diagonal/>
    </border>
    <border>
      <left/>
      <right style="thin">
        <color theme="2" tint="-9.9978637043366805E-2"/>
      </right>
      <top/>
      <bottom style="thin">
        <color theme="2" tint="-9.9978637043366805E-2"/>
      </bottom>
      <diagonal/>
    </border>
  </borders>
  <cellStyleXfs count="1">
    <xf numFmtId="0" fontId="0" fillId="0" borderId="0"/>
  </cellStyleXfs>
  <cellXfs count="22">
    <xf numFmtId="0" fontId="0" fillId="0" borderId="0" xfId="0"/>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1" fillId="2" borderId="0" xfId="0" applyFont="1" applyFill="1" applyBorder="1"/>
    <xf numFmtId="0" fontId="5" fillId="2" borderId="0" xfId="0" applyFont="1" applyFill="1" applyBorder="1"/>
    <xf numFmtId="0" fontId="6" fillId="2" borderId="0" xfId="0" applyFont="1" applyFill="1" applyBorder="1"/>
    <xf numFmtId="0" fontId="7" fillId="2" borderId="0" xfId="0" applyFont="1" applyFill="1" applyBorder="1"/>
    <xf numFmtId="0" fontId="4" fillId="2" borderId="0" xfId="0" applyFont="1" applyFill="1" applyBorder="1"/>
    <xf numFmtId="0" fontId="2" fillId="2" borderId="0" xfId="0" applyFont="1" applyFill="1" applyBorder="1"/>
    <xf numFmtId="0" fontId="3" fillId="2" borderId="0" xfId="0" applyFont="1" applyFill="1" applyBorder="1"/>
    <xf numFmtId="0" fontId="8" fillId="2" borderId="0" xfId="0" applyFont="1" applyFill="1" applyBorder="1"/>
  </cellXfs>
  <cellStyles count="1">
    <cellStyle name="Normal" xfId="0" builtinId="0"/>
  </cellStyles>
  <dxfs count="0"/>
  <tableStyles count="1" defaultTableStyle="TableStyleMedium9" defaultPivotStyle="PivotStyleLight16">
    <tableStyle name="Slicer Style 1" pivot="0" table="0" count="0" xr9:uid="{7E2BFBE3-52C4-48EE-8D5B-88C62F8B99CA}"/>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[Sales_Distribution_Dashboard_Dataset.xlsx]PIVOTING!PivotTable1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PIVOTING!$B$3</c:f>
              <c:strCache>
                <c:ptCount val="1"/>
                <c:pt idx="0">
                  <c:v>Sum of TargetSales</c:v>
                </c:pt>
              </c:strCache>
            </c:strRef>
          </c:tx>
          <c:spPr>
            <a:solidFill>
              <a:schemeClr val="accent1"/>
            </a:solidFill>
            <a:ln>
              <a:noFill/>
            </a:ln>
            <a:effectLst/>
          </c:spPr>
          <c:invertIfNegative val="0"/>
          <c:cat>
            <c:strRef>
              <c:f>PIVOTING!$A$4:$A$16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PIVOTING!$B$4:$B$16</c:f>
              <c:numCache>
                <c:formatCode>General</c:formatCode>
                <c:ptCount val="12"/>
                <c:pt idx="0">
                  <c:v>24113980</c:v>
                </c:pt>
                <c:pt idx="1">
                  <c:v>20086449</c:v>
                </c:pt>
                <c:pt idx="2">
                  <c:v>22636831</c:v>
                </c:pt>
                <c:pt idx="3">
                  <c:v>21090928</c:v>
                </c:pt>
                <c:pt idx="4">
                  <c:v>23741565</c:v>
                </c:pt>
                <c:pt idx="5">
                  <c:v>21358975</c:v>
                </c:pt>
                <c:pt idx="6">
                  <c:v>24087163</c:v>
                </c:pt>
                <c:pt idx="7">
                  <c:v>24795589</c:v>
                </c:pt>
                <c:pt idx="8">
                  <c:v>24007463</c:v>
                </c:pt>
                <c:pt idx="9">
                  <c:v>23020127</c:v>
                </c:pt>
                <c:pt idx="10">
                  <c:v>22363079</c:v>
                </c:pt>
                <c:pt idx="11">
                  <c:v>23919085</c:v>
                </c:pt>
              </c:numCache>
            </c:numRef>
          </c:val>
          <c:extLst>
            <c:ext xmlns:c16="http://schemas.microsoft.com/office/drawing/2014/chart" uri="{C3380CC4-5D6E-409C-BE32-E72D297353CC}">
              <c16:uniqueId val="{00000000-FBA6-46F6-B913-1AB06E7024FE}"/>
            </c:ext>
          </c:extLst>
        </c:ser>
        <c:dLbls>
          <c:showLegendKey val="0"/>
          <c:showVal val="0"/>
          <c:showCatName val="0"/>
          <c:showSerName val="0"/>
          <c:showPercent val="0"/>
          <c:showBubbleSize val="0"/>
        </c:dLbls>
        <c:gapWidth val="219"/>
        <c:overlap val="-27"/>
        <c:axId val="43775759"/>
        <c:axId val="468242864"/>
      </c:barChart>
      <c:lineChart>
        <c:grouping val="standard"/>
        <c:varyColors val="0"/>
        <c:ser>
          <c:idx val="1"/>
          <c:order val="1"/>
          <c:tx>
            <c:strRef>
              <c:f>PIVOTING!$C$3</c:f>
              <c:strCache>
                <c:ptCount val="1"/>
                <c:pt idx="0">
                  <c:v>Sum of ActualSales</c:v>
                </c:pt>
              </c:strCache>
            </c:strRef>
          </c:tx>
          <c:spPr>
            <a:ln w="28575" cap="rnd">
              <a:solidFill>
                <a:schemeClr val="accent2"/>
              </a:solidFill>
              <a:round/>
            </a:ln>
            <a:effectLst/>
          </c:spPr>
          <c:marker>
            <c:symbol val="none"/>
          </c:marker>
          <c:cat>
            <c:strRef>
              <c:f>PIVOTING!$A$4:$A$16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PIVOTING!$C$4:$C$16</c:f>
              <c:numCache>
                <c:formatCode>General</c:formatCode>
                <c:ptCount val="12"/>
                <c:pt idx="0">
                  <c:v>24280637</c:v>
                </c:pt>
                <c:pt idx="1">
                  <c:v>20079094</c:v>
                </c:pt>
                <c:pt idx="2">
                  <c:v>22645660</c:v>
                </c:pt>
                <c:pt idx="3">
                  <c:v>21094966</c:v>
                </c:pt>
                <c:pt idx="4">
                  <c:v>23836034</c:v>
                </c:pt>
                <c:pt idx="5">
                  <c:v>21359401</c:v>
                </c:pt>
                <c:pt idx="6">
                  <c:v>23993919</c:v>
                </c:pt>
                <c:pt idx="7">
                  <c:v>24503074</c:v>
                </c:pt>
                <c:pt idx="8">
                  <c:v>23987112</c:v>
                </c:pt>
                <c:pt idx="9">
                  <c:v>22920301</c:v>
                </c:pt>
                <c:pt idx="10">
                  <c:v>22189228</c:v>
                </c:pt>
                <c:pt idx="11">
                  <c:v>23906358</c:v>
                </c:pt>
              </c:numCache>
            </c:numRef>
          </c:val>
          <c:smooth val="0"/>
          <c:extLst>
            <c:ext xmlns:c16="http://schemas.microsoft.com/office/drawing/2014/chart" uri="{C3380CC4-5D6E-409C-BE32-E72D297353CC}">
              <c16:uniqueId val="{00000001-FBA6-46F6-B913-1AB06E7024FE}"/>
            </c:ext>
          </c:extLst>
        </c:ser>
        <c:dLbls>
          <c:showLegendKey val="0"/>
          <c:showVal val="0"/>
          <c:showCatName val="0"/>
          <c:showSerName val="0"/>
          <c:showPercent val="0"/>
          <c:showBubbleSize val="0"/>
        </c:dLbls>
        <c:marker val="1"/>
        <c:smooth val="0"/>
        <c:axId val="43775759"/>
        <c:axId val="468242864"/>
      </c:lineChart>
      <c:catAx>
        <c:axId val="4377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242864"/>
        <c:crosses val="autoZero"/>
        <c:auto val="1"/>
        <c:lblAlgn val="ctr"/>
        <c:lblOffset val="100"/>
        <c:noMultiLvlLbl val="0"/>
      </c:catAx>
      <c:valAx>
        <c:axId val="468242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75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[Sales_Distribution_Dashboard_Dataset.xlsx]PIVOTING!PivotTable2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02537182852144"/>
          <c:y val="0.11472003499562555"/>
          <c:w val="0.53112182852143486"/>
          <c:h val="0.75010279965004378"/>
        </c:manualLayout>
      </c:layout>
      <c:areaChart>
        <c:grouping val="standard"/>
        <c:varyColors val="0"/>
        <c:ser>
          <c:idx val="0"/>
          <c:order val="0"/>
          <c:tx>
            <c:strRef>
              <c:f>PIVOTING!$B$21</c:f>
              <c:strCache>
                <c:ptCount val="1"/>
                <c:pt idx="0">
                  <c:v>Total</c:v>
                </c:pt>
              </c:strCache>
            </c:strRef>
          </c:tx>
          <c:spPr>
            <a:solidFill>
              <a:schemeClr val="accent1"/>
            </a:solidFill>
            <a:ln>
              <a:noFill/>
            </a:ln>
            <a:effectLst/>
          </c:spPr>
          <c:cat>
            <c:strRef>
              <c:f>PIVOTING!$A$22:$A$74</c:f>
              <c:strCach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strCache>
            </c:strRef>
          </c:cat>
          <c:val>
            <c:numRef>
              <c:f>PIVOTING!$B$22:$B$74</c:f>
              <c:numCache>
                <c:formatCode>General</c:formatCode>
                <c:ptCount val="52"/>
                <c:pt idx="0">
                  <c:v>6171434</c:v>
                </c:pt>
                <c:pt idx="1">
                  <c:v>5753140</c:v>
                </c:pt>
                <c:pt idx="2">
                  <c:v>5557298</c:v>
                </c:pt>
                <c:pt idx="3">
                  <c:v>5630411</c:v>
                </c:pt>
                <c:pt idx="4">
                  <c:v>4893211</c:v>
                </c:pt>
                <c:pt idx="5">
                  <c:v>5343498</c:v>
                </c:pt>
                <c:pt idx="6">
                  <c:v>4205085</c:v>
                </c:pt>
                <c:pt idx="7">
                  <c:v>5141169</c:v>
                </c:pt>
                <c:pt idx="8">
                  <c:v>5801272</c:v>
                </c:pt>
                <c:pt idx="9">
                  <c:v>4816134</c:v>
                </c:pt>
                <c:pt idx="10">
                  <c:v>5022510</c:v>
                </c:pt>
                <c:pt idx="11">
                  <c:v>4794148</c:v>
                </c:pt>
                <c:pt idx="12">
                  <c:v>5271067</c:v>
                </c:pt>
                <c:pt idx="13">
                  <c:v>5285638</c:v>
                </c:pt>
                <c:pt idx="14">
                  <c:v>4678334</c:v>
                </c:pt>
                <c:pt idx="15">
                  <c:v>5108003</c:v>
                </c:pt>
                <c:pt idx="16">
                  <c:v>4781561</c:v>
                </c:pt>
                <c:pt idx="17">
                  <c:v>5875434</c:v>
                </c:pt>
                <c:pt idx="18">
                  <c:v>5607859</c:v>
                </c:pt>
                <c:pt idx="19">
                  <c:v>4736450</c:v>
                </c:pt>
                <c:pt idx="20">
                  <c:v>5026142</c:v>
                </c:pt>
                <c:pt idx="21">
                  <c:v>5139925</c:v>
                </c:pt>
                <c:pt idx="22">
                  <c:v>4669970</c:v>
                </c:pt>
                <c:pt idx="23">
                  <c:v>5128072</c:v>
                </c:pt>
                <c:pt idx="24">
                  <c:v>4948324</c:v>
                </c:pt>
                <c:pt idx="25">
                  <c:v>5305902</c:v>
                </c:pt>
                <c:pt idx="26">
                  <c:v>5942496</c:v>
                </c:pt>
                <c:pt idx="27">
                  <c:v>4773110</c:v>
                </c:pt>
                <c:pt idx="28">
                  <c:v>5392519</c:v>
                </c:pt>
                <c:pt idx="29">
                  <c:v>5560283</c:v>
                </c:pt>
                <c:pt idx="30">
                  <c:v>5361127</c:v>
                </c:pt>
                <c:pt idx="31">
                  <c:v>5567822</c:v>
                </c:pt>
                <c:pt idx="32">
                  <c:v>5205245</c:v>
                </c:pt>
                <c:pt idx="33">
                  <c:v>5251112</c:v>
                </c:pt>
                <c:pt idx="34">
                  <c:v>6310133</c:v>
                </c:pt>
                <c:pt idx="35">
                  <c:v>5635928</c:v>
                </c:pt>
                <c:pt idx="36">
                  <c:v>5456261</c:v>
                </c:pt>
                <c:pt idx="37">
                  <c:v>5374516</c:v>
                </c:pt>
                <c:pt idx="38">
                  <c:v>5940347</c:v>
                </c:pt>
                <c:pt idx="39">
                  <c:v>5486937</c:v>
                </c:pt>
                <c:pt idx="40">
                  <c:v>4795672</c:v>
                </c:pt>
                <c:pt idx="41">
                  <c:v>5119940</c:v>
                </c:pt>
                <c:pt idx="42">
                  <c:v>5351092</c:v>
                </c:pt>
                <c:pt idx="43">
                  <c:v>5244859</c:v>
                </c:pt>
                <c:pt idx="44">
                  <c:v>5016988</c:v>
                </c:pt>
                <c:pt idx="45">
                  <c:v>5570703</c:v>
                </c:pt>
                <c:pt idx="46">
                  <c:v>4830003</c:v>
                </c:pt>
                <c:pt idx="47">
                  <c:v>5273395</c:v>
                </c:pt>
                <c:pt idx="48">
                  <c:v>5171451</c:v>
                </c:pt>
                <c:pt idx="49">
                  <c:v>5413827</c:v>
                </c:pt>
                <c:pt idx="50">
                  <c:v>5452437</c:v>
                </c:pt>
                <c:pt idx="51">
                  <c:v>5605590</c:v>
                </c:pt>
              </c:numCache>
            </c:numRef>
          </c:val>
          <c:extLst>
            <c:ext xmlns:c16="http://schemas.microsoft.com/office/drawing/2014/chart" uri="{C3380CC4-5D6E-409C-BE32-E72D297353CC}">
              <c16:uniqueId val="{00000000-BDCF-412D-B0D9-AD6028CFDBDF}"/>
            </c:ext>
          </c:extLst>
        </c:ser>
        <c:dLbls>
          <c:showLegendKey val="0"/>
          <c:showVal val="0"/>
          <c:showCatName val="0"/>
          <c:showSerName val="0"/>
          <c:showPercent val="0"/>
          <c:showBubbleSize val="0"/>
        </c:dLbls>
        <c:axId val="43685743"/>
        <c:axId val="954046160"/>
      </c:areaChart>
      <c:catAx>
        <c:axId val="436857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046160"/>
        <c:crosses val="autoZero"/>
        <c:auto val="1"/>
        <c:lblAlgn val="ctr"/>
        <c:lblOffset val="100"/>
        <c:noMultiLvlLbl val="0"/>
      </c:catAx>
      <c:valAx>
        <c:axId val="954046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8574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[Sales_Distribution_Dashboard_Dataset.xlsx]PIVOTING!PivotTable3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PIVOTING!$F$43</c:f>
              <c:strCache>
                <c:ptCount val="1"/>
                <c:pt idx="0">
                  <c:v>Total</c:v>
                </c:pt>
              </c:strCache>
            </c:strRef>
          </c:tx>
          <c:spPr>
            <a:solidFill>
              <a:schemeClr val="accent1"/>
            </a:solidFill>
            <a:ln>
              <a:noFill/>
            </a:ln>
            <a:effectLst/>
          </c:spPr>
          <c:invertIfNegative val="0"/>
          <c:cat>
            <c:strRef>
              <c:f>PIVOTING!$E$44:$E$54</c:f>
              <c:strCache>
                <c:ptCount val="10"/>
                <c:pt idx="0">
                  <c:v>Product01</c:v>
                </c:pt>
                <c:pt idx="1">
                  <c:v>Product04</c:v>
                </c:pt>
                <c:pt idx="2">
                  <c:v>Product06</c:v>
                </c:pt>
                <c:pt idx="3">
                  <c:v>Product08</c:v>
                </c:pt>
                <c:pt idx="4">
                  <c:v>Product14</c:v>
                </c:pt>
                <c:pt idx="5">
                  <c:v>Product19</c:v>
                </c:pt>
                <c:pt idx="6">
                  <c:v>Product20</c:v>
                </c:pt>
                <c:pt idx="7">
                  <c:v>Product21</c:v>
                </c:pt>
                <c:pt idx="8">
                  <c:v>Product23</c:v>
                </c:pt>
                <c:pt idx="9">
                  <c:v>Product25</c:v>
                </c:pt>
              </c:strCache>
            </c:strRef>
          </c:cat>
          <c:val>
            <c:numRef>
              <c:f>PIVOTING!$F$44:$F$54</c:f>
              <c:numCache>
                <c:formatCode>General</c:formatCode>
                <c:ptCount val="10"/>
                <c:pt idx="0">
                  <c:v>9792929</c:v>
                </c:pt>
                <c:pt idx="1">
                  <c:v>9594063</c:v>
                </c:pt>
                <c:pt idx="2">
                  <c:v>10233503</c:v>
                </c:pt>
                <c:pt idx="3">
                  <c:v>9954029</c:v>
                </c:pt>
                <c:pt idx="4">
                  <c:v>9747980</c:v>
                </c:pt>
                <c:pt idx="5">
                  <c:v>9844399</c:v>
                </c:pt>
                <c:pt idx="6">
                  <c:v>9801281</c:v>
                </c:pt>
                <c:pt idx="7">
                  <c:v>10130248</c:v>
                </c:pt>
                <c:pt idx="8">
                  <c:v>9456547</c:v>
                </c:pt>
                <c:pt idx="9">
                  <c:v>9534721</c:v>
                </c:pt>
              </c:numCache>
            </c:numRef>
          </c:val>
          <c:extLst>
            <c:ext xmlns:c16="http://schemas.microsoft.com/office/drawing/2014/chart" uri="{C3380CC4-5D6E-409C-BE32-E72D297353CC}">
              <c16:uniqueId val="{00000000-A7FD-400A-8761-C31E2094ADBA}"/>
            </c:ext>
          </c:extLst>
        </c:ser>
        <c:dLbls>
          <c:showLegendKey val="0"/>
          <c:showVal val="0"/>
          <c:showCatName val="0"/>
          <c:showSerName val="0"/>
          <c:showPercent val="0"/>
          <c:showBubbleSize val="0"/>
        </c:dLbls>
        <c:gapWidth val="182"/>
        <c:axId val="43757199"/>
        <c:axId val="56064527"/>
      </c:barChart>
      <c:catAx>
        <c:axId val="43757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64527"/>
        <c:crosses val="autoZero"/>
        <c:auto val="1"/>
        <c:lblAlgn val="ctr"/>
        <c:lblOffset val="100"/>
        <c:noMultiLvlLbl val="0"/>
      </c:catAx>
      <c:valAx>
        <c:axId val="560645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57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[Sales_Distribution_Dashboard_Dataset.xlsx]PIVOTING!PivotTable4</c:name>
    <c:fmtId val="9"/>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PIVOTING!$F$66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PIVOTING!$E$67:$E$74</c:f>
              <c:strCache>
                <c:ptCount val="7"/>
                <c:pt idx="0">
                  <c:v>Central</c:v>
                </c:pt>
                <c:pt idx="1">
                  <c:v>East</c:v>
                </c:pt>
                <c:pt idx="2">
                  <c:v>Export</c:v>
                </c:pt>
                <c:pt idx="3">
                  <c:v>North</c:v>
                </c:pt>
                <c:pt idx="4">
                  <c:v>Northeast</c:v>
                </c:pt>
                <c:pt idx="5">
                  <c:v>South</c:v>
                </c:pt>
                <c:pt idx="6">
                  <c:v>Western</c:v>
                </c:pt>
              </c:strCache>
            </c:strRef>
          </c:cat>
          <c:val>
            <c:numRef>
              <c:f>PIVOTING!$F$67:$F$74</c:f>
              <c:numCache>
                <c:formatCode>General</c:formatCode>
                <c:ptCount val="7"/>
                <c:pt idx="0">
                  <c:v>37595767</c:v>
                </c:pt>
                <c:pt idx="1">
                  <c:v>40104181</c:v>
                </c:pt>
                <c:pt idx="2">
                  <c:v>39096265</c:v>
                </c:pt>
                <c:pt idx="3">
                  <c:v>39566010</c:v>
                </c:pt>
                <c:pt idx="4">
                  <c:v>40093720</c:v>
                </c:pt>
                <c:pt idx="5">
                  <c:v>38503029</c:v>
                </c:pt>
                <c:pt idx="6">
                  <c:v>39836812</c:v>
                </c:pt>
              </c:numCache>
            </c:numRef>
          </c:val>
          <c:extLst>
            <c:ext xmlns:c16="http://schemas.microsoft.com/office/drawing/2014/chart" uri="{C3380CC4-5D6E-409C-BE32-E72D297353CC}">
              <c16:uniqueId val="{00000000-4FD3-4277-8D77-6F30CE05BA7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[Sales_Distribution_Dashboard_Dataset.xlsx]PIVOTING!PivotTable4</c:name>
    <c:fmtId val="16"/>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PIVOTING!$F$66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DE8-42EA-8D5A-4132972D35E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DE8-42EA-8D5A-4132972D35E7}"/>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DE8-42EA-8D5A-4132972D35E7}"/>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BDE8-42EA-8D5A-4132972D35E7}"/>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BDE8-42EA-8D5A-4132972D35E7}"/>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BDE8-42EA-8D5A-4132972D35E7}"/>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BDE8-42EA-8D5A-4132972D35E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PIVOTING!$E$67:$E$74</c:f>
              <c:strCache>
                <c:ptCount val="7"/>
                <c:pt idx="0">
                  <c:v>Central</c:v>
                </c:pt>
                <c:pt idx="1">
                  <c:v>East</c:v>
                </c:pt>
                <c:pt idx="2">
                  <c:v>Export</c:v>
                </c:pt>
                <c:pt idx="3">
                  <c:v>North</c:v>
                </c:pt>
                <c:pt idx="4">
                  <c:v>Northeast</c:v>
                </c:pt>
                <c:pt idx="5">
                  <c:v>South</c:v>
                </c:pt>
                <c:pt idx="6">
                  <c:v>Western</c:v>
                </c:pt>
              </c:strCache>
            </c:strRef>
          </c:cat>
          <c:val>
            <c:numRef>
              <c:f>PIVOTING!$F$67:$F$74</c:f>
              <c:numCache>
                <c:formatCode>General</c:formatCode>
                <c:ptCount val="7"/>
                <c:pt idx="0">
                  <c:v>37595767</c:v>
                </c:pt>
                <c:pt idx="1">
                  <c:v>40104181</c:v>
                </c:pt>
                <c:pt idx="2">
                  <c:v>39096265</c:v>
                </c:pt>
                <c:pt idx="3">
                  <c:v>39566010</c:v>
                </c:pt>
                <c:pt idx="4">
                  <c:v>40093720</c:v>
                </c:pt>
                <c:pt idx="5">
                  <c:v>38503029</c:v>
                </c:pt>
                <c:pt idx="6">
                  <c:v>39836812</c:v>
                </c:pt>
              </c:numCache>
            </c:numRef>
          </c:val>
          <c:extLst>
            <c:ext xmlns:c16="http://schemas.microsoft.com/office/drawing/2014/chart" uri="{C3380CC4-5D6E-409C-BE32-E72D297353CC}">
              <c16:uniqueId val="{0000000E-BDE8-42EA-8D5A-4132972D35E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[Sales_Distribution_Dashboard_Dataset.xlsx]PIVOTING!PivotTable1</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dk1">
                  <a:tint val="88500"/>
                  <a:tint val="50000"/>
                  <a:satMod val="300000"/>
                </a:schemeClr>
              </a:gs>
              <a:gs pos="35000">
                <a:schemeClr val="dk1">
                  <a:tint val="88500"/>
                  <a:tint val="37000"/>
                  <a:satMod val="300000"/>
                </a:schemeClr>
              </a:gs>
              <a:gs pos="100000">
                <a:schemeClr val="dk1">
                  <a:tint val="88500"/>
                  <a:tint val="15000"/>
                  <a:satMod val="350000"/>
                </a:schemeClr>
              </a:gs>
            </a:gsLst>
            <a:lin ang="16200000" scaled="1"/>
          </a:gradFill>
          <a:ln w="9525" cap="flat" cmpd="sng" algn="ctr">
            <a:solidFill>
              <a:schemeClr val="dk1">
                <a:tint val="88500"/>
                <a:shade val="95000"/>
              </a:schemeClr>
            </a:solidFill>
            <a:round/>
          </a:ln>
          <a:effectLst>
            <a:outerShdw blurRad="40000" dist="20000" dir="5400000" rotWithShape="0">
              <a:srgbClr val="000000">
                <a:alpha val="38000"/>
              </a:srgbClr>
            </a:outerShdw>
          </a:effectLst>
        </c:spPr>
        <c:marker>
          <c:symbol val="circle"/>
          <c:size val="5"/>
          <c:spPr>
            <a:gradFill rotWithShape="1">
              <a:gsLst>
                <a:gs pos="0">
                  <a:schemeClr val="dk1">
                    <a:tint val="88500"/>
                    <a:tint val="50000"/>
                    <a:satMod val="300000"/>
                  </a:schemeClr>
                </a:gs>
                <a:gs pos="35000">
                  <a:schemeClr val="dk1">
                    <a:tint val="88500"/>
                    <a:tint val="37000"/>
                    <a:satMod val="300000"/>
                  </a:schemeClr>
                </a:gs>
                <a:gs pos="100000">
                  <a:schemeClr val="dk1">
                    <a:tint val="88500"/>
                    <a:tint val="15000"/>
                    <a:satMod val="350000"/>
                  </a:schemeClr>
                </a:gs>
              </a:gsLst>
              <a:lin ang="16200000" scaled="1"/>
            </a:gradFill>
            <a:ln w="9525" cap="flat" cmpd="sng" algn="ctr">
              <a:solidFill>
                <a:schemeClr val="dk1">
                  <a:tint val="88500"/>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15875" cap="rnd">
            <a:solidFill>
              <a:schemeClr val="tx2"/>
            </a:solidFill>
            <a:round/>
          </a:ln>
          <a:effectLst>
            <a:outerShdw blurRad="40000" dist="20000" dir="5400000" rotWithShape="0">
              <a:srgbClr val="000000">
                <a:alpha val="38000"/>
              </a:srgbClr>
            </a:outerShdw>
          </a:effectLst>
        </c:spPr>
        <c:marker>
          <c:symbol val="circle"/>
          <c:size val="5"/>
          <c:spPr>
            <a:solidFill>
              <a:schemeClr val="tx2"/>
            </a:solidFill>
            <a:ln w="9525" cap="flat" cmpd="sng" algn="ctr">
              <a:solidFill>
                <a:schemeClr val="tx2"/>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72577590659383"/>
          <c:y val="6.7187588750912297E-2"/>
          <c:w val="0.85327416700031145"/>
          <c:h val="0.8416746864975212"/>
        </c:manualLayout>
      </c:layout>
      <c:barChart>
        <c:barDir val="col"/>
        <c:grouping val="clustered"/>
        <c:varyColors val="0"/>
        <c:ser>
          <c:idx val="0"/>
          <c:order val="0"/>
          <c:tx>
            <c:strRef>
              <c:f>PIVOTING!$B$3</c:f>
              <c:strCache>
                <c:ptCount val="1"/>
                <c:pt idx="0">
                  <c:v>Sum of TargetSales</c:v>
                </c:pt>
              </c:strCache>
            </c:strRef>
          </c:tx>
          <c:spPr>
            <a:gradFill rotWithShape="1">
              <a:gsLst>
                <a:gs pos="0">
                  <a:schemeClr val="dk1">
                    <a:tint val="88500"/>
                    <a:tint val="50000"/>
                    <a:satMod val="300000"/>
                  </a:schemeClr>
                </a:gs>
                <a:gs pos="35000">
                  <a:schemeClr val="dk1">
                    <a:tint val="88500"/>
                    <a:tint val="37000"/>
                    <a:satMod val="300000"/>
                  </a:schemeClr>
                </a:gs>
                <a:gs pos="100000">
                  <a:schemeClr val="dk1">
                    <a:tint val="88500"/>
                    <a:tint val="15000"/>
                    <a:satMod val="350000"/>
                  </a:schemeClr>
                </a:gs>
              </a:gsLst>
              <a:lin ang="16200000" scaled="1"/>
            </a:gradFill>
            <a:ln w="9525" cap="flat" cmpd="sng" algn="ctr">
              <a:solidFill>
                <a:schemeClr val="dk1">
                  <a:tint val="88500"/>
                  <a:shade val="95000"/>
                </a:schemeClr>
              </a:solidFill>
              <a:round/>
            </a:ln>
            <a:effectLst>
              <a:outerShdw blurRad="40000" dist="20000" dir="5400000" rotWithShape="0">
                <a:srgbClr val="000000">
                  <a:alpha val="38000"/>
                </a:srgbClr>
              </a:outerShdw>
            </a:effectLst>
          </c:spPr>
          <c:invertIfNegative val="0"/>
          <c:cat>
            <c:strRef>
              <c:f>PIVOTING!$A$4:$A$16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PIVOTING!$B$4:$B$16</c:f>
              <c:numCache>
                <c:formatCode>General</c:formatCode>
                <c:ptCount val="12"/>
                <c:pt idx="0">
                  <c:v>24113980</c:v>
                </c:pt>
                <c:pt idx="1">
                  <c:v>20086449</c:v>
                </c:pt>
                <c:pt idx="2">
                  <c:v>22636831</c:v>
                </c:pt>
                <c:pt idx="3">
                  <c:v>21090928</c:v>
                </c:pt>
                <c:pt idx="4">
                  <c:v>23741565</c:v>
                </c:pt>
                <c:pt idx="5">
                  <c:v>21358975</c:v>
                </c:pt>
                <c:pt idx="6">
                  <c:v>24087163</c:v>
                </c:pt>
                <c:pt idx="7">
                  <c:v>24795589</c:v>
                </c:pt>
                <c:pt idx="8">
                  <c:v>24007463</c:v>
                </c:pt>
                <c:pt idx="9">
                  <c:v>23020127</c:v>
                </c:pt>
                <c:pt idx="10">
                  <c:v>22363079</c:v>
                </c:pt>
                <c:pt idx="11">
                  <c:v>23919085</c:v>
                </c:pt>
              </c:numCache>
            </c:numRef>
          </c:val>
          <c:extLst>
            <c:ext xmlns:c16="http://schemas.microsoft.com/office/drawing/2014/chart" uri="{C3380CC4-5D6E-409C-BE32-E72D297353CC}">
              <c16:uniqueId val="{00000000-888F-43BC-B4AC-FE1932029B81}"/>
            </c:ext>
          </c:extLst>
        </c:ser>
        <c:dLbls>
          <c:showLegendKey val="0"/>
          <c:showVal val="0"/>
          <c:showCatName val="0"/>
          <c:showSerName val="0"/>
          <c:showPercent val="0"/>
          <c:showBubbleSize val="0"/>
        </c:dLbls>
        <c:gapWidth val="219"/>
        <c:overlap val="-27"/>
        <c:axId val="43775759"/>
        <c:axId val="468242864"/>
      </c:barChart>
      <c:lineChart>
        <c:grouping val="standard"/>
        <c:varyColors val="0"/>
        <c:ser>
          <c:idx val="1"/>
          <c:order val="1"/>
          <c:tx>
            <c:strRef>
              <c:f>PIVOTING!$C$3</c:f>
              <c:strCache>
                <c:ptCount val="1"/>
                <c:pt idx="0">
                  <c:v>Sum of ActualSales</c:v>
                </c:pt>
              </c:strCache>
            </c:strRef>
          </c:tx>
          <c:spPr>
            <a:ln w="15875" cap="rnd">
              <a:solidFill>
                <a:schemeClr val="tx2"/>
              </a:solidFill>
              <a:round/>
            </a:ln>
            <a:effectLst>
              <a:outerShdw blurRad="40000" dist="20000" dir="5400000" rotWithShape="0">
                <a:srgbClr val="000000">
                  <a:alpha val="38000"/>
                </a:srgbClr>
              </a:outerShdw>
            </a:effectLst>
          </c:spPr>
          <c:marker>
            <c:symbol val="circle"/>
            <c:size val="5"/>
            <c:spPr>
              <a:solidFill>
                <a:schemeClr val="tx2"/>
              </a:solidFill>
              <a:ln w="9525" cap="flat" cmpd="sng" algn="ctr">
                <a:solidFill>
                  <a:schemeClr val="tx2"/>
                </a:solidFill>
                <a:round/>
              </a:ln>
              <a:effectLst>
                <a:outerShdw blurRad="40000" dist="20000" dir="5400000" rotWithShape="0">
                  <a:srgbClr val="000000">
                    <a:alpha val="38000"/>
                  </a:srgbClr>
                </a:outerShdw>
              </a:effectLst>
            </c:spPr>
          </c:marker>
          <c:cat>
            <c:strRef>
              <c:f>PIVOTING!$A$4:$A$16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PIVOTING!$C$4:$C$16</c:f>
              <c:numCache>
                <c:formatCode>General</c:formatCode>
                <c:ptCount val="12"/>
                <c:pt idx="0">
                  <c:v>24280637</c:v>
                </c:pt>
                <c:pt idx="1">
                  <c:v>20079094</c:v>
                </c:pt>
                <c:pt idx="2">
                  <c:v>22645660</c:v>
                </c:pt>
                <c:pt idx="3">
                  <c:v>21094966</c:v>
                </c:pt>
                <c:pt idx="4">
                  <c:v>23836034</c:v>
                </c:pt>
                <c:pt idx="5">
                  <c:v>21359401</c:v>
                </c:pt>
                <c:pt idx="6">
                  <c:v>23993919</c:v>
                </c:pt>
                <c:pt idx="7">
                  <c:v>24503074</c:v>
                </c:pt>
                <c:pt idx="8">
                  <c:v>23987112</c:v>
                </c:pt>
                <c:pt idx="9">
                  <c:v>22920301</c:v>
                </c:pt>
                <c:pt idx="10">
                  <c:v>22189228</c:v>
                </c:pt>
                <c:pt idx="11">
                  <c:v>23906358</c:v>
                </c:pt>
              </c:numCache>
            </c:numRef>
          </c:val>
          <c:smooth val="0"/>
          <c:extLst>
            <c:ext xmlns:c16="http://schemas.microsoft.com/office/drawing/2014/chart" uri="{C3380CC4-5D6E-409C-BE32-E72D297353CC}">
              <c16:uniqueId val="{00000001-888F-43BC-B4AC-FE1932029B81}"/>
            </c:ext>
          </c:extLst>
        </c:ser>
        <c:dLbls>
          <c:showLegendKey val="0"/>
          <c:showVal val="0"/>
          <c:showCatName val="0"/>
          <c:showSerName val="0"/>
          <c:showPercent val="0"/>
          <c:showBubbleSize val="0"/>
        </c:dLbls>
        <c:marker val="1"/>
        <c:smooth val="0"/>
        <c:axId val="43775759"/>
        <c:axId val="468242864"/>
      </c:lineChart>
      <c:catAx>
        <c:axId val="4377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68242864"/>
        <c:crosses val="autoZero"/>
        <c:auto val="1"/>
        <c:lblAlgn val="ctr"/>
        <c:lblOffset val="100"/>
        <c:noMultiLvlLbl val="0"/>
      </c:catAx>
      <c:valAx>
        <c:axId val="468242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3775759"/>
        <c:crosses val="autoZero"/>
        <c:crossBetween val="between"/>
      </c:valAx>
      <c:spPr>
        <a:noFill/>
        <a:ln>
          <a:solidFill>
            <a:schemeClr val="tx1">
              <a:lumMod val="85000"/>
              <a:lumOff val="1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[Sales_Distribution_Dashboard_Dataset.xlsx]PIVOTING!PivotTable2</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75000"/>
            </a:schemeClr>
          </a:solidFill>
          <a:ln>
            <a:noFill/>
          </a:ln>
          <a:effectLst/>
        </c:spPr>
        <c:marker>
          <c:symbol val="circle"/>
          <c:size val="5"/>
          <c:spPr>
            <a:solidFill>
              <a:schemeClr val="bg1">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312299016449359E-2"/>
          <c:y val="0.16808622226158382"/>
          <c:w val="0.53112182852143486"/>
          <c:h val="0.75010279965004378"/>
        </c:manualLayout>
      </c:layout>
      <c:areaChart>
        <c:grouping val="standard"/>
        <c:varyColors val="0"/>
        <c:ser>
          <c:idx val="0"/>
          <c:order val="0"/>
          <c:tx>
            <c:strRef>
              <c:f>PIVOTING!$B$21</c:f>
              <c:strCache>
                <c:ptCount val="1"/>
                <c:pt idx="0">
                  <c:v>Total</c:v>
                </c:pt>
              </c:strCache>
            </c:strRef>
          </c:tx>
          <c:spPr>
            <a:solidFill>
              <a:schemeClr val="bg1">
                <a:lumMod val="75000"/>
              </a:schemeClr>
            </a:solidFill>
            <a:ln>
              <a:noFill/>
            </a:ln>
            <a:effectLst/>
          </c:spPr>
          <c:cat>
            <c:strRef>
              <c:f>PIVOTING!$A$22:$A$74</c:f>
              <c:strCach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strCache>
            </c:strRef>
          </c:cat>
          <c:val>
            <c:numRef>
              <c:f>PIVOTING!$B$22:$B$74</c:f>
              <c:numCache>
                <c:formatCode>General</c:formatCode>
                <c:ptCount val="52"/>
                <c:pt idx="0">
                  <c:v>6171434</c:v>
                </c:pt>
                <c:pt idx="1">
                  <c:v>5753140</c:v>
                </c:pt>
                <c:pt idx="2">
                  <c:v>5557298</c:v>
                </c:pt>
                <c:pt idx="3">
                  <c:v>5630411</c:v>
                </c:pt>
                <c:pt idx="4">
                  <c:v>4893211</c:v>
                </c:pt>
                <c:pt idx="5">
                  <c:v>5343498</c:v>
                </c:pt>
                <c:pt idx="6">
                  <c:v>4205085</c:v>
                </c:pt>
                <c:pt idx="7">
                  <c:v>5141169</c:v>
                </c:pt>
                <c:pt idx="8">
                  <c:v>5801272</c:v>
                </c:pt>
                <c:pt idx="9">
                  <c:v>4816134</c:v>
                </c:pt>
                <c:pt idx="10">
                  <c:v>5022510</c:v>
                </c:pt>
                <c:pt idx="11">
                  <c:v>4794148</c:v>
                </c:pt>
                <c:pt idx="12">
                  <c:v>5271067</c:v>
                </c:pt>
                <c:pt idx="13">
                  <c:v>5285638</c:v>
                </c:pt>
                <c:pt idx="14">
                  <c:v>4678334</c:v>
                </c:pt>
                <c:pt idx="15">
                  <c:v>5108003</c:v>
                </c:pt>
                <c:pt idx="16">
                  <c:v>4781561</c:v>
                </c:pt>
                <c:pt idx="17">
                  <c:v>5875434</c:v>
                </c:pt>
                <c:pt idx="18">
                  <c:v>5607859</c:v>
                </c:pt>
                <c:pt idx="19">
                  <c:v>4736450</c:v>
                </c:pt>
                <c:pt idx="20">
                  <c:v>5026142</c:v>
                </c:pt>
                <c:pt idx="21">
                  <c:v>5139925</c:v>
                </c:pt>
                <c:pt idx="22">
                  <c:v>4669970</c:v>
                </c:pt>
                <c:pt idx="23">
                  <c:v>5128072</c:v>
                </c:pt>
                <c:pt idx="24">
                  <c:v>4948324</c:v>
                </c:pt>
                <c:pt idx="25">
                  <c:v>5305902</c:v>
                </c:pt>
                <c:pt idx="26">
                  <c:v>5942496</c:v>
                </c:pt>
                <c:pt idx="27">
                  <c:v>4773110</c:v>
                </c:pt>
                <c:pt idx="28">
                  <c:v>5392519</c:v>
                </c:pt>
                <c:pt idx="29">
                  <c:v>5560283</c:v>
                </c:pt>
                <c:pt idx="30">
                  <c:v>5361127</c:v>
                </c:pt>
                <c:pt idx="31">
                  <c:v>5567822</c:v>
                </c:pt>
                <c:pt idx="32">
                  <c:v>5205245</c:v>
                </c:pt>
                <c:pt idx="33">
                  <c:v>5251112</c:v>
                </c:pt>
                <c:pt idx="34">
                  <c:v>6310133</c:v>
                </c:pt>
                <c:pt idx="35">
                  <c:v>5635928</c:v>
                </c:pt>
                <c:pt idx="36">
                  <c:v>5456261</c:v>
                </c:pt>
                <c:pt idx="37">
                  <c:v>5374516</c:v>
                </c:pt>
                <c:pt idx="38">
                  <c:v>5940347</c:v>
                </c:pt>
                <c:pt idx="39">
                  <c:v>5486937</c:v>
                </c:pt>
                <c:pt idx="40">
                  <c:v>4795672</c:v>
                </c:pt>
                <c:pt idx="41">
                  <c:v>5119940</c:v>
                </c:pt>
                <c:pt idx="42">
                  <c:v>5351092</c:v>
                </c:pt>
                <c:pt idx="43">
                  <c:v>5244859</c:v>
                </c:pt>
                <c:pt idx="44">
                  <c:v>5016988</c:v>
                </c:pt>
                <c:pt idx="45">
                  <c:v>5570703</c:v>
                </c:pt>
                <c:pt idx="46">
                  <c:v>4830003</c:v>
                </c:pt>
                <c:pt idx="47">
                  <c:v>5273395</c:v>
                </c:pt>
                <c:pt idx="48">
                  <c:v>5171451</c:v>
                </c:pt>
                <c:pt idx="49">
                  <c:v>5413827</c:v>
                </c:pt>
                <c:pt idx="50">
                  <c:v>5452437</c:v>
                </c:pt>
                <c:pt idx="51">
                  <c:v>5605590</c:v>
                </c:pt>
              </c:numCache>
            </c:numRef>
          </c:val>
          <c:extLst>
            <c:ext xmlns:c16="http://schemas.microsoft.com/office/drawing/2014/chart" uri="{C3380CC4-5D6E-409C-BE32-E72D297353CC}">
              <c16:uniqueId val="{00000000-65BA-4E27-8C8D-FA279EEFC912}"/>
            </c:ext>
          </c:extLst>
        </c:ser>
        <c:dLbls>
          <c:showLegendKey val="0"/>
          <c:showVal val="0"/>
          <c:showCatName val="0"/>
          <c:showSerName val="0"/>
          <c:showPercent val="0"/>
          <c:showBubbleSize val="0"/>
        </c:dLbls>
        <c:axId val="43685743"/>
        <c:axId val="954046160"/>
      </c:areaChart>
      <c:catAx>
        <c:axId val="436857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046160"/>
        <c:crosses val="autoZero"/>
        <c:auto val="1"/>
        <c:lblAlgn val="ctr"/>
        <c:lblOffset val="100"/>
        <c:noMultiLvlLbl val="0"/>
      </c:catAx>
      <c:valAx>
        <c:axId val="954046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85743"/>
        <c:crosses val="autoZero"/>
        <c:crossBetween val="midCat"/>
      </c:valAx>
      <c:spPr>
        <a:solidFill>
          <a:schemeClr val="tx1">
            <a:lumMod val="85000"/>
            <a:lumOff val="15000"/>
          </a:schemeClr>
        </a:solidFill>
        <a:ln>
          <a:solidFill>
            <a:schemeClr val="tx1">
              <a:lumMod val="85000"/>
              <a:lumOff val="15000"/>
            </a:schemeClr>
          </a:solid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[Sales_Distribution_Dashboard_Dataset.xlsx]PIVOTING!PivotTable3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PIVOTING!$F$43</c:f>
              <c:strCache>
                <c:ptCount val="1"/>
                <c:pt idx="0">
                  <c:v>Total</c:v>
                </c:pt>
              </c:strCache>
            </c:strRef>
          </c:tx>
          <c:spPr>
            <a:solidFill>
              <a:schemeClr val="bg1">
                <a:lumMod val="85000"/>
              </a:schemeClr>
            </a:solidFill>
            <a:ln>
              <a:noFill/>
            </a:ln>
            <a:effectLst/>
          </c:spPr>
          <c:invertIfNegative val="0"/>
          <c:cat>
            <c:strRef>
              <c:f>PIVOTING!$E$44:$E$54</c:f>
              <c:strCache>
                <c:ptCount val="10"/>
                <c:pt idx="0">
                  <c:v>Product01</c:v>
                </c:pt>
                <c:pt idx="1">
                  <c:v>Product04</c:v>
                </c:pt>
                <c:pt idx="2">
                  <c:v>Product06</c:v>
                </c:pt>
                <c:pt idx="3">
                  <c:v>Product08</c:v>
                </c:pt>
                <c:pt idx="4">
                  <c:v>Product14</c:v>
                </c:pt>
                <c:pt idx="5">
                  <c:v>Product19</c:v>
                </c:pt>
                <c:pt idx="6">
                  <c:v>Product20</c:v>
                </c:pt>
                <c:pt idx="7">
                  <c:v>Product21</c:v>
                </c:pt>
                <c:pt idx="8">
                  <c:v>Product23</c:v>
                </c:pt>
                <c:pt idx="9">
                  <c:v>Product25</c:v>
                </c:pt>
              </c:strCache>
            </c:strRef>
          </c:cat>
          <c:val>
            <c:numRef>
              <c:f>PIVOTING!$F$44:$F$54</c:f>
              <c:numCache>
                <c:formatCode>General</c:formatCode>
                <c:ptCount val="10"/>
                <c:pt idx="0">
                  <c:v>9792929</c:v>
                </c:pt>
                <c:pt idx="1">
                  <c:v>9594063</c:v>
                </c:pt>
                <c:pt idx="2">
                  <c:v>10233503</c:v>
                </c:pt>
                <c:pt idx="3">
                  <c:v>9954029</c:v>
                </c:pt>
                <c:pt idx="4">
                  <c:v>9747980</c:v>
                </c:pt>
                <c:pt idx="5">
                  <c:v>9844399</c:v>
                </c:pt>
                <c:pt idx="6">
                  <c:v>9801281</c:v>
                </c:pt>
                <c:pt idx="7">
                  <c:v>10130248</c:v>
                </c:pt>
                <c:pt idx="8">
                  <c:v>9456547</c:v>
                </c:pt>
                <c:pt idx="9">
                  <c:v>9534721</c:v>
                </c:pt>
              </c:numCache>
            </c:numRef>
          </c:val>
          <c:extLst>
            <c:ext xmlns:c16="http://schemas.microsoft.com/office/drawing/2014/chart" uri="{C3380CC4-5D6E-409C-BE32-E72D297353CC}">
              <c16:uniqueId val="{00000000-4117-4364-B005-36B3937CB811}"/>
            </c:ext>
          </c:extLst>
        </c:ser>
        <c:dLbls>
          <c:showLegendKey val="0"/>
          <c:showVal val="0"/>
          <c:showCatName val="0"/>
          <c:showSerName val="0"/>
          <c:showPercent val="0"/>
          <c:showBubbleSize val="0"/>
        </c:dLbls>
        <c:gapWidth val="182"/>
        <c:axId val="43757199"/>
        <c:axId val="56064527"/>
      </c:barChart>
      <c:catAx>
        <c:axId val="43757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64527"/>
        <c:crosses val="autoZero"/>
        <c:auto val="1"/>
        <c:lblAlgn val="ctr"/>
        <c:lblOffset val="100"/>
        <c:noMultiLvlLbl val="0"/>
      </c:catAx>
      <c:valAx>
        <c:axId val="560645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57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320040</xdr:colOff>
      <xdr:row>1</xdr:row>
      <xdr:rowOff>64770</xdr:rowOff>
    </xdr:from>
    <xdr:to>
      <xdr:col>11</xdr:col>
      <xdr:colOff>15240</xdr:colOff>
      <xdr:row>16</xdr:row>
      <xdr:rowOff>64770</xdr:rowOff>
    </xdr:to>
    <xdr:graphicFrame macro="">
      <xdr:nvGraphicFramePr>
        <xdr:cNvPr id="2" name="Chart 1">
          <a:extLst>
            <a:ext uri="{FF2B5EF4-FFF2-40B4-BE49-F238E27FC236}">
              <a16:creationId xmlns:a16="http://schemas.microsoft.com/office/drawing/2014/main" id="{16B0A90D-6A75-D791-DEF8-A9CF78BFF3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1116330</xdr:colOff>
      <xdr:row>20</xdr:row>
      <xdr:rowOff>156210</xdr:rowOff>
    </xdr:from>
    <xdr:to>
      <xdr:col>11</xdr:col>
      <xdr:colOff>213360</xdr:colOff>
      <xdr:row>35</xdr:row>
      <xdr:rowOff>156210</xdr:rowOff>
    </xdr:to>
    <xdr:graphicFrame macro="">
      <xdr:nvGraphicFramePr>
        <xdr:cNvPr id="3" name="Chart 2">
          <a:extLst>
            <a:ext uri="{FF2B5EF4-FFF2-40B4-BE49-F238E27FC236}">
              <a16:creationId xmlns:a16="http://schemas.microsoft.com/office/drawing/2014/main" id="{08DD4766-7325-B3BA-1E71-E871145050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87630</xdr:colOff>
      <xdr:row>42</xdr:row>
      <xdr:rowOff>171450</xdr:rowOff>
    </xdr:from>
    <xdr:to>
      <xdr:col>14</xdr:col>
      <xdr:colOff>392430</xdr:colOff>
      <xdr:row>57</xdr:row>
      <xdr:rowOff>171450</xdr:rowOff>
    </xdr:to>
    <xdr:graphicFrame macro="">
      <xdr:nvGraphicFramePr>
        <xdr:cNvPr id="4" name="Chart 3">
          <a:extLst>
            <a:ext uri="{FF2B5EF4-FFF2-40B4-BE49-F238E27FC236}">
              <a16:creationId xmlns:a16="http://schemas.microsoft.com/office/drawing/2014/main" id="{30B7CBE0-D69D-9A90-4C92-7B7CDBBECD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506730</xdr:colOff>
      <xdr:row>62</xdr:row>
      <xdr:rowOff>26670</xdr:rowOff>
    </xdr:from>
    <xdr:to>
      <xdr:col>15</xdr:col>
      <xdr:colOff>201930</xdr:colOff>
      <xdr:row>77</xdr:row>
      <xdr:rowOff>26670</xdr:rowOff>
    </xdr:to>
    <xdr:graphicFrame macro="">
      <xdr:nvGraphicFramePr>
        <xdr:cNvPr id="5" name="Chart 4">
          <a:extLst>
            <a:ext uri="{FF2B5EF4-FFF2-40B4-BE49-F238E27FC236}">
              <a16:creationId xmlns:a16="http://schemas.microsoft.com/office/drawing/2014/main" id="{30525833-FBF0-EE12-D2DD-7C31B3DCE3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320040</xdr:colOff>
      <xdr:row>47</xdr:row>
      <xdr:rowOff>114300</xdr:rowOff>
    </xdr:from>
    <xdr:to>
      <xdr:col>19</xdr:col>
      <xdr:colOff>15240</xdr:colOff>
      <xdr:row>52</xdr:row>
      <xdr:rowOff>114300</xdr:rowOff>
    </xdr:to>
    <xdr:sp macro="" textlink="">
      <xdr:nvSpPr>
        <xdr:cNvPr id="6" name="Rectangle 5">
          <a:extLst>
            <a:ext uri="{FF2B5EF4-FFF2-40B4-BE49-F238E27FC236}">
              <a16:creationId xmlns:a16="http://schemas.microsoft.com/office/drawing/2014/main" id="{DAE66DDA-9521-5C6D-31F2-BF97736E0A7D}"/>
            </a:ext>
          </a:extLst>
        </xdr:cNvPr>
        <xdr:cNvSpPr/>
      </xdr:nvSpPr>
      <xdr:spPr>
        <a:xfrm>
          <a:off x="12900660" y="8709660"/>
          <a:ext cx="914400" cy="914400"/>
        </a:xfrm>
        <a:prstGeom prst="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792480</xdr:colOff>
      <xdr:row>85</xdr:row>
      <xdr:rowOff>0</xdr:rowOff>
    </xdr:from>
    <xdr:to>
      <xdr:col>7</xdr:col>
      <xdr:colOff>830580</xdr:colOff>
      <xdr:row>98</xdr:row>
      <xdr:rowOff>89535</xdr:rowOff>
    </xdr:to>
    <mc:AlternateContent xmlns:mc="http://schemas.openxmlformats.org/markup-compatibility/2006">
      <mc:Choice xmlns:a14="http://schemas.microsoft.com/office/drawing/2010/main" Requires="a14">
        <xdr:graphicFrame macro="">
          <xdr:nvGraphicFramePr>
            <xdr:cNvPr id="8" name="Month">
              <a:extLst>
                <a:ext uri="{FF2B5EF4-FFF2-40B4-BE49-F238E27FC236}">
                  <a16:creationId xmlns:a16="http://schemas.microsoft.com/office/drawing/2014/main" id="{C0A68839-030D-8892-8817-AB9A9C0FF62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5166360" y="15544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431167</xdr:colOff>
      <xdr:row>4</xdr:row>
      <xdr:rowOff>132057</xdr:rowOff>
    </xdr:from>
    <xdr:to>
      <xdr:col>13</xdr:col>
      <xdr:colOff>547709</xdr:colOff>
      <xdr:row>17</xdr:row>
      <xdr:rowOff>155504</xdr:rowOff>
    </xdr:to>
    <xdr:sp macro="" textlink="">
      <xdr:nvSpPr>
        <xdr:cNvPr id="13" name="Rectangle 12">
          <a:extLst>
            <a:ext uri="{FF2B5EF4-FFF2-40B4-BE49-F238E27FC236}">
              <a16:creationId xmlns:a16="http://schemas.microsoft.com/office/drawing/2014/main" id="{CA9B4475-9D04-4BB5-B738-B858177DBB3A}"/>
            </a:ext>
          </a:extLst>
        </xdr:cNvPr>
        <xdr:cNvSpPr/>
      </xdr:nvSpPr>
      <xdr:spPr>
        <a:xfrm>
          <a:off x="6468552" y="1143172"/>
          <a:ext cx="3882580" cy="3291255"/>
        </a:xfrm>
        <a:prstGeom prst="rect">
          <a:avLst/>
        </a:prstGeom>
        <a:solidFill>
          <a:schemeClr val="tx1">
            <a:lumMod val="85000"/>
            <a:lumOff val="15000"/>
            <a:alpha val="69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340188</xdr:colOff>
      <xdr:row>4</xdr:row>
      <xdr:rowOff>141546</xdr:rowOff>
    </xdr:from>
    <xdr:to>
      <xdr:col>8</xdr:col>
      <xdr:colOff>322729</xdr:colOff>
      <xdr:row>10</xdr:row>
      <xdr:rowOff>116542</xdr:rowOff>
    </xdr:to>
    <xdr:sp macro="" textlink="">
      <xdr:nvSpPr>
        <xdr:cNvPr id="7" name="Rectangle 6">
          <a:extLst>
            <a:ext uri="{FF2B5EF4-FFF2-40B4-BE49-F238E27FC236}">
              <a16:creationId xmlns:a16="http://schemas.microsoft.com/office/drawing/2014/main" id="{24BE307B-7378-EE54-8BAE-2EDEF8E37071}"/>
            </a:ext>
          </a:extLst>
        </xdr:cNvPr>
        <xdr:cNvSpPr/>
      </xdr:nvSpPr>
      <xdr:spPr>
        <a:xfrm>
          <a:off x="3952964" y="1145593"/>
          <a:ext cx="2385083" cy="1472102"/>
        </a:xfrm>
        <a:prstGeom prst="rect">
          <a:avLst/>
        </a:prstGeom>
        <a:solidFill>
          <a:schemeClr val="tx1">
            <a:lumMod val="85000"/>
            <a:lumOff val="15000"/>
            <a:alpha val="69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68580</xdr:colOff>
      <xdr:row>3</xdr:row>
      <xdr:rowOff>91440</xdr:rowOff>
    </xdr:from>
    <xdr:to>
      <xdr:col>13</xdr:col>
      <xdr:colOff>449580</xdr:colOff>
      <xdr:row>4</xdr:row>
      <xdr:rowOff>38100</xdr:rowOff>
    </xdr:to>
    <xdr:sp macro="" textlink="">
      <xdr:nvSpPr>
        <xdr:cNvPr id="2" name="Rectangle 1">
          <a:extLst>
            <a:ext uri="{FF2B5EF4-FFF2-40B4-BE49-F238E27FC236}">
              <a16:creationId xmlns:a16="http://schemas.microsoft.com/office/drawing/2014/main" id="{7566E22F-2C35-4267-91B3-3A5A71AE3403}"/>
            </a:ext>
          </a:extLst>
        </xdr:cNvPr>
        <xdr:cNvSpPr/>
      </xdr:nvSpPr>
      <xdr:spPr>
        <a:xfrm>
          <a:off x="68580" y="906780"/>
          <a:ext cx="8305800" cy="137160"/>
        </a:xfrm>
        <a:prstGeom prst="rect">
          <a:avLst/>
        </a:prstGeom>
        <a:solidFill>
          <a:schemeClr val="accent6">
            <a:lumMod val="75000"/>
          </a:schemeClr>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36315</xdr:colOff>
      <xdr:row>0</xdr:row>
      <xdr:rowOff>72189</xdr:rowOff>
    </xdr:from>
    <xdr:to>
      <xdr:col>14</xdr:col>
      <xdr:colOff>94295</xdr:colOff>
      <xdr:row>4</xdr:row>
      <xdr:rowOff>40776</xdr:rowOff>
    </xdr:to>
    <xdr:sp macro="" textlink="">
      <xdr:nvSpPr>
        <xdr:cNvPr id="3" name="Flowchart: Data 2">
          <a:extLst>
            <a:ext uri="{FF2B5EF4-FFF2-40B4-BE49-F238E27FC236}">
              <a16:creationId xmlns:a16="http://schemas.microsoft.com/office/drawing/2014/main" id="{044BF40D-9271-EE52-BD19-E7AC9FD3C47B}"/>
            </a:ext>
          </a:extLst>
        </xdr:cNvPr>
        <xdr:cNvSpPr/>
      </xdr:nvSpPr>
      <xdr:spPr>
        <a:xfrm>
          <a:off x="7961115" y="72189"/>
          <a:ext cx="667580" cy="979240"/>
        </a:xfrm>
        <a:prstGeom prst="flowChartInputOutput">
          <a:avLst/>
        </a:prstGeom>
        <a:solidFill>
          <a:schemeClr val="accent6">
            <a:lumMod val="75000"/>
          </a:schemeClr>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184483</xdr:colOff>
      <xdr:row>0</xdr:row>
      <xdr:rowOff>72189</xdr:rowOff>
    </xdr:from>
    <xdr:to>
      <xdr:col>23</xdr:col>
      <xdr:colOff>593558</xdr:colOff>
      <xdr:row>2</xdr:row>
      <xdr:rowOff>168441</xdr:rowOff>
    </xdr:to>
    <xdr:sp macro="" textlink="">
      <xdr:nvSpPr>
        <xdr:cNvPr id="5" name="Rectangle 4">
          <a:extLst>
            <a:ext uri="{FF2B5EF4-FFF2-40B4-BE49-F238E27FC236}">
              <a16:creationId xmlns:a16="http://schemas.microsoft.com/office/drawing/2014/main" id="{8E913F88-2905-45C7-BC36-81607F12F191}"/>
            </a:ext>
          </a:extLst>
        </xdr:cNvPr>
        <xdr:cNvSpPr/>
      </xdr:nvSpPr>
      <xdr:spPr>
        <a:xfrm>
          <a:off x="8109283" y="72189"/>
          <a:ext cx="6505075" cy="697831"/>
        </a:xfrm>
        <a:prstGeom prst="rect">
          <a:avLst/>
        </a:prstGeom>
        <a:solidFill>
          <a:schemeClr val="accent6">
            <a:lumMod val="75000"/>
          </a:schemeClr>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2000">
              <a:solidFill>
                <a:schemeClr val="tx1"/>
              </a:solidFill>
              <a:latin typeface="Aptos" panose="020B0004020202020204" pitchFamily="34" charset="0"/>
            </a:rPr>
            <a:t>Leane</a:t>
          </a:r>
          <a:r>
            <a:rPr lang="en-IN" sz="2000">
              <a:solidFill>
                <a:schemeClr val="tx1"/>
              </a:solidFill>
              <a:latin typeface="Bodoni MT Black" panose="02070A03080606020203" pitchFamily="18" charset="0"/>
            </a:rPr>
            <a:t>X</a:t>
          </a:r>
          <a:r>
            <a:rPr lang="en-IN" sz="2000">
              <a:solidFill>
                <a:schemeClr val="tx1"/>
              </a:solidFill>
              <a:latin typeface="Aptos" panose="020B0004020202020204" pitchFamily="34" charset="0"/>
            </a:rPr>
            <a:t>cel</a:t>
          </a:r>
        </a:p>
      </xdr:txBody>
    </xdr:sp>
    <xdr:clientData/>
  </xdr:twoCellAnchor>
  <xdr:oneCellAnchor>
    <xdr:from>
      <xdr:col>22</xdr:col>
      <xdr:colOff>40105</xdr:colOff>
      <xdr:row>1</xdr:row>
      <xdr:rowOff>224591</xdr:rowOff>
    </xdr:from>
    <xdr:ext cx="1074822" cy="240630"/>
    <xdr:sp macro="" textlink="">
      <xdr:nvSpPr>
        <xdr:cNvPr id="6" name="TextBox 5">
          <a:extLst>
            <a:ext uri="{FF2B5EF4-FFF2-40B4-BE49-F238E27FC236}">
              <a16:creationId xmlns:a16="http://schemas.microsoft.com/office/drawing/2014/main" id="{3C38D0E9-069B-53EA-5632-2519D18E1881}"/>
            </a:ext>
          </a:extLst>
        </xdr:cNvPr>
        <xdr:cNvSpPr txBox="1"/>
      </xdr:nvSpPr>
      <xdr:spPr>
        <a:xfrm>
          <a:off x="13451305" y="409075"/>
          <a:ext cx="1074822" cy="2406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IN" sz="1400">
              <a:latin typeface="Old English Text MT" panose="03040902040508030806" pitchFamily="66" charset="0"/>
            </a:rPr>
            <a:t>Solutions</a:t>
          </a:r>
        </a:p>
      </xdr:txBody>
    </xdr:sp>
    <xdr:clientData/>
  </xdr:oneCellAnchor>
  <xdr:twoCellAnchor>
    <xdr:from>
      <xdr:col>6</xdr:col>
      <xdr:colOff>430305</xdr:colOff>
      <xdr:row>5</xdr:row>
      <xdr:rowOff>60392</xdr:rowOff>
    </xdr:from>
    <xdr:to>
      <xdr:col>8</xdr:col>
      <xdr:colOff>222230</xdr:colOff>
      <xdr:row>6</xdr:row>
      <xdr:rowOff>151455</xdr:rowOff>
    </xdr:to>
    <xdr:sp macro="" textlink="">
      <xdr:nvSpPr>
        <xdr:cNvPr id="8" name="Rectangle: Rounded Corners 7">
          <a:extLst>
            <a:ext uri="{FF2B5EF4-FFF2-40B4-BE49-F238E27FC236}">
              <a16:creationId xmlns:a16="http://schemas.microsoft.com/office/drawing/2014/main" id="{AAF7F685-AE0D-3F41-ED12-7A56BA624BF4}"/>
            </a:ext>
          </a:extLst>
        </xdr:cNvPr>
        <xdr:cNvSpPr/>
      </xdr:nvSpPr>
      <xdr:spPr>
        <a:xfrm>
          <a:off x="4043081" y="1243733"/>
          <a:ext cx="2194467" cy="270357"/>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2"/>
              </a:solidFill>
            </a:rPr>
            <a:t>TOTAL</a:t>
          </a:r>
          <a:r>
            <a:rPr lang="en-IN" sz="1400" b="1" baseline="0">
              <a:solidFill>
                <a:schemeClr val="accent2"/>
              </a:solidFill>
            </a:rPr>
            <a:t> SALES</a:t>
          </a:r>
          <a:endParaRPr lang="en-IN" sz="1400" b="1">
            <a:solidFill>
              <a:schemeClr val="accent2"/>
            </a:solidFill>
          </a:endParaRPr>
        </a:p>
      </xdr:txBody>
    </xdr:sp>
    <xdr:clientData/>
  </xdr:twoCellAnchor>
  <xdr:twoCellAnchor>
    <xdr:from>
      <xdr:col>9</xdr:col>
      <xdr:colOff>116539</xdr:colOff>
      <xdr:row>5</xdr:row>
      <xdr:rowOff>44825</xdr:rowOff>
    </xdr:from>
    <xdr:to>
      <xdr:col>13</xdr:col>
      <xdr:colOff>322728</xdr:colOff>
      <xdr:row>6</xdr:row>
      <xdr:rowOff>170331</xdr:rowOff>
    </xdr:to>
    <xdr:sp macro="" textlink="">
      <xdr:nvSpPr>
        <xdr:cNvPr id="9" name="Rectangle: Rounded Corners 8">
          <a:extLst>
            <a:ext uri="{FF2B5EF4-FFF2-40B4-BE49-F238E27FC236}">
              <a16:creationId xmlns:a16="http://schemas.microsoft.com/office/drawing/2014/main" id="{BB25C6C3-1F3F-78AE-B854-A47254ABD213}"/>
            </a:ext>
          </a:extLst>
        </xdr:cNvPr>
        <xdr:cNvSpPr/>
      </xdr:nvSpPr>
      <xdr:spPr>
        <a:xfrm>
          <a:off x="6741457" y="1228166"/>
          <a:ext cx="3155577" cy="304800"/>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2"/>
              </a:solidFill>
            </a:rPr>
            <a:t>TOP 3 CUSTOMERS</a:t>
          </a:r>
        </a:p>
      </xdr:txBody>
    </xdr:sp>
    <xdr:clientData/>
  </xdr:twoCellAnchor>
  <xdr:twoCellAnchor>
    <xdr:from>
      <xdr:col>9</xdr:col>
      <xdr:colOff>475129</xdr:colOff>
      <xdr:row>8</xdr:row>
      <xdr:rowOff>152400</xdr:rowOff>
    </xdr:from>
    <xdr:to>
      <xdr:col>10</xdr:col>
      <xdr:colOff>322729</xdr:colOff>
      <xdr:row>9</xdr:row>
      <xdr:rowOff>251012</xdr:rowOff>
    </xdr:to>
    <xdr:sp macro="" textlink="">
      <xdr:nvSpPr>
        <xdr:cNvPr id="10" name="Flowchart: Connector 9">
          <a:extLst>
            <a:ext uri="{FF2B5EF4-FFF2-40B4-BE49-F238E27FC236}">
              <a16:creationId xmlns:a16="http://schemas.microsoft.com/office/drawing/2014/main" id="{9BD799DE-78BF-E8EB-5F37-C5C16CB87CC4}"/>
            </a:ext>
          </a:extLst>
        </xdr:cNvPr>
        <xdr:cNvSpPr/>
      </xdr:nvSpPr>
      <xdr:spPr>
        <a:xfrm>
          <a:off x="7100047" y="1927412"/>
          <a:ext cx="457200" cy="457200"/>
        </a:xfrm>
        <a:prstGeom prst="flowChartConnector">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solidFill>
                <a:schemeClr val="tx1"/>
              </a:solidFill>
            </a:rPr>
            <a:t> </a:t>
          </a:r>
          <a:r>
            <a:rPr lang="en-IN" sz="1100" b="1" baseline="0">
              <a:solidFill>
                <a:schemeClr val="tx1"/>
              </a:solidFill>
            </a:rPr>
            <a:t>1</a:t>
          </a:r>
          <a:endParaRPr lang="en-IN" sz="1100" b="1">
            <a:solidFill>
              <a:schemeClr val="tx1"/>
            </a:solidFill>
          </a:endParaRPr>
        </a:p>
      </xdr:txBody>
    </xdr:sp>
    <xdr:clientData/>
  </xdr:twoCellAnchor>
  <xdr:twoCellAnchor>
    <xdr:from>
      <xdr:col>9</xdr:col>
      <xdr:colOff>466164</xdr:colOff>
      <xdr:row>11</xdr:row>
      <xdr:rowOff>98611</xdr:rowOff>
    </xdr:from>
    <xdr:to>
      <xdr:col>10</xdr:col>
      <xdr:colOff>313764</xdr:colOff>
      <xdr:row>12</xdr:row>
      <xdr:rowOff>286870</xdr:rowOff>
    </xdr:to>
    <xdr:sp macro="" textlink="">
      <xdr:nvSpPr>
        <xdr:cNvPr id="11" name="Flowchart: Connector 10">
          <a:extLst>
            <a:ext uri="{FF2B5EF4-FFF2-40B4-BE49-F238E27FC236}">
              <a16:creationId xmlns:a16="http://schemas.microsoft.com/office/drawing/2014/main" id="{B1BA5F1B-3A92-42DA-9197-650C0A5B5E6E}"/>
            </a:ext>
          </a:extLst>
        </xdr:cNvPr>
        <xdr:cNvSpPr/>
      </xdr:nvSpPr>
      <xdr:spPr>
        <a:xfrm>
          <a:off x="7091082" y="2779058"/>
          <a:ext cx="457200" cy="457200"/>
        </a:xfrm>
        <a:prstGeom prst="flowChartConnector">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solidFill>
                <a:schemeClr val="tx1"/>
              </a:solidFill>
            </a:rPr>
            <a:t> </a:t>
          </a:r>
          <a:r>
            <a:rPr lang="en-IN" sz="1100" b="1" baseline="0">
              <a:solidFill>
                <a:schemeClr val="tx1"/>
              </a:solidFill>
            </a:rPr>
            <a:t>2</a:t>
          </a:r>
          <a:endParaRPr lang="en-IN" sz="1100" b="1">
            <a:solidFill>
              <a:schemeClr val="tx1"/>
            </a:solidFill>
          </a:endParaRPr>
        </a:p>
      </xdr:txBody>
    </xdr:sp>
    <xdr:clientData/>
  </xdr:twoCellAnchor>
  <xdr:twoCellAnchor>
    <xdr:from>
      <xdr:col>9</xdr:col>
      <xdr:colOff>475129</xdr:colOff>
      <xdr:row>14</xdr:row>
      <xdr:rowOff>116541</xdr:rowOff>
    </xdr:from>
    <xdr:to>
      <xdr:col>10</xdr:col>
      <xdr:colOff>322729</xdr:colOff>
      <xdr:row>15</xdr:row>
      <xdr:rowOff>304800</xdr:rowOff>
    </xdr:to>
    <xdr:sp macro="" textlink="">
      <xdr:nvSpPr>
        <xdr:cNvPr id="12" name="Flowchart: Connector 11">
          <a:extLst>
            <a:ext uri="{FF2B5EF4-FFF2-40B4-BE49-F238E27FC236}">
              <a16:creationId xmlns:a16="http://schemas.microsoft.com/office/drawing/2014/main" id="{F42DBFC0-44EA-43DB-B0E5-4244E7906318}"/>
            </a:ext>
          </a:extLst>
        </xdr:cNvPr>
        <xdr:cNvSpPr/>
      </xdr:nvSpPr>
      <xdr:spPr>
        <a:xfrm>
          <a:off x="7100047" y="3612776"/>
          <a:ext cx="457200" cy="457200"/>
        </a:xfrm>
        <a:prstGeom prst="flowChartConnector">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solidFill>
                <a:schemeClr val="tx1"/>
              </a:solidFill>
            </a:rPr>
            <a:t> </a:t>
          </a:r>
          <a:r>
            <a:rPr lang="en-IN" sz="1100" b="1" baseline="0">
              <a:solidFill>
                <a:schemeClr val="tx1"/>
              </a:solidFill>
            </a:rPr>
            <a:t>3</a:t>
          </a:r>
          <a:endParaRPr lang="en-IN" sz="1100" b="1">
            <a:solidFill>
              <a:schemeClr val="tx1"/>
            </a:solidFill>
          </a:endParaRPr>
        </a:p>
      </xdr:txBody>
    </xdr:sp>
    <xdr:clientData/>
  </xdr:twoCellAnchor>
  <xdr:twoCellAnchor>
    <xdr:from>
      <xdr:col>14</xdr:col>
      <xdr:colOff>131885</xdr:colOff>
      <xdr:row>3</xdr:row>
      <xdr:rowOff>58616</xdr:rowOff>
    </xdr:from>
    <xdr:to>
      <xdr:col>23</xdr:col>
      <xdr:colOff>600808</xdr:colOff>
      <xdr:row>18</xdr:row>
      <xdr:rowOff>87923</xdr:rowOff>
    </xdr:to>
    <xdr:sp macro="" textlink="">
      <xdr:nvSpPr>
        <xdr:cNvPr id="17" name="Rectangle 16">
          <a:extLst>
            <a:ext uri="{FF2B5EF4-FFF2-40B4-BE49-F238E27FC236}">
              <a16:creationId xmlns:a16="http://schemas.microsoft.com/office/drawing/2014/main" id="{5C84DD16-97E8-48C2-9F10-5C8042751B94}"/>
            </a:ext>
          </a:extLst>
        </xdr:cNvPr>
        <xdr:cNvSpPr/>
      </xdr:nvSpPr>
      <xdr:spPr>
        <a:xfrm>
          <a:off x="10360270" y="879231"/>
          <a:ext cx="6008076" cy="3663461"/>
        </a:xfrm>
        <a:prstGeom prst="rect">
          <a:avLst/>
        </a:prstGeom>
        <a:solidFill>
          <a:schemeClr val="tx1">
            <a:lumMod val="85000"/>
            <a:lumOff val="15000"/>
            <a:alpha val="69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117230</xdr:colOff>
      <xdr:row>6</xdr:row>
      <xdr:rowOff>58615</xdr:rowOff>
    </xdr:from>
    <xdr:to>
      <xdr:col>23</xdr:col>
      <xdr:colOff>483576</xdr:colOff>
      <xdr:row>18</xdr:row>
      <xdr:rowOff>58616</xdr:rowOff>
    </xdr:to>
    <xdr:graphicFrame macro="">
      <xdr:nvGraphicFramePr>
        <xdr:cNvPr id="14" name="Chart 13">
          <a:extLst>
            <a:ext uri="{FF2B5EF4-FFF2-40B4-BE49-F238E27FC236}">
              <a16:creationId xmlns:a16="http://schemas.microsoft.com/office/drawing/2014/main" id="{A981F14C-42C2-4688-B2E5-DBC88EA14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310444</xdr:colOff>
      <xdr:row>11</xdr:row>
      <xdr:rowOff>8284</xdr:rowOff>
    </xdr:from>
    <xdr:to>
      <xdr:col>8</xdr:col>
      <xdr:colOff>314738</xdr:colOff>
      <xdr:row>26</xdr:row>
      <xdr:rowOff>16566</xdr:rowOff>
    </xdr:to>
    <xdr:sp macro="" textlink="">
      <xdr:nvSpPr>
        <xdr:cNvPr id="22" name="Rectangle 21">
          <a:extLst>
            <a:ext uri="{FF2B5EF4-FFF2-40B4-BE49-F238E27FC236}">
              <a16:creationId xmlns:a16="http://schemas.microsoft.com/office/drawing/2014/main" id="{60A25913-DB8B-5F65-9941-498F1E7BC1BC}"/>
            </a:ext>
          </a:extLst>
        </xdr:cNvPr>
        <xdr:cNvSpPr/>
      </xdr:nvSpPr>
      <xdr:spPr>
        <a:xfrm>
          <a:off x="1533407" y="2679988"/>
          <a:ext cx="4802072" cy="3235022"/>
        </a:xfrm>
        <a:prstGeom prst="rect">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65313</xdr:colOff>
      <xdr:row>26</xdr:row>
      <xdr:rowOff>65315</xdr:rowOff>
    </xdr:from>
    <xdr:to>
      <xdr:col>8</xdr:col>
      <xdr:colOff>435428</xdr:colOff>
      <xdr:row>42</xdr:row>
      <xdr:rowOff>65314</xdr:rowOff>
    </xdr:to>
    <xdr:sp macro="" textlink="">
      <xdr:nvSpPr>
        <xdr:cNvPr id="23" name="Rectangle 22">
          <a:extLst>
            <a:ext uri="{FF2B5EF4-FFF2-40B4-BE49-F238E27FC236}">
              <a16:creationId xmlns:a16="http://schemas.microsoft.com/office/drawing/2014/main" id="{A1B29096-BE41-333E-BEE3-9CDDEDF6D136}"/>
            </a:ext>
          </a:extLst>
        </xdr:cNvPr>
        <xdr:cNvSpPr/>
      </xdr:nvSpPr>
      <xdr:spPr>
        <a:xfrm>
          <a:off x="65313" y="6106886"/>
          <a:ext cx="6389915" cy="2960914"/>
        </a:xfrm>
        <a:prstGeom prst="rect">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205153</xdr:colOff>
      <xdr:row>4</xdr:row>
      <xdr:rowOff>29307</xdr:rowOff>
    </xdr:from>
    <xdr:to>
      <xdr:col>23</xdr:col>
      <xdr:colOff>512885</xdr:colOff>
      <xdr:row>6</xdr:row>
      <xdr:rowOff>58615</xdr:rowOff>
    </xdr:to>
    <xdr:sp macro="" textlink="">
      <xdr:nvSpPr>
        <xdr:cNvPr id="16" name="Rectangle: Rounded Corners 15">
          <a:extLst>
            <a:ext uri="{FF2B5EF4-FFF2-40B4-BE49-F238E27FC236}">
              <a16:creationId xmlns:a16="http://schemas.microsoft.com/office/drawing/2014/main" id="{202BBB2E-9918-4A41-90AD-A3B159448028}"/>
            </a:ext>
          </a:extLst>
        </xdr:cNvPr>
        <xdr:cNvSpPr/>
      </xdr:nvSpPr>
      <xdr:spPr>
        <a:xfrm>
          <a:off x="10433538" y="1040422"/>
          <a:ext cx="5846885" cy="381001"/>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2"/>
              </a:solidFill>
            </a:rPr>
            <a:t>REGION</a:t>
          </a:r>
        </a:p>
      </xdr:txBody>
    </xdr:sp>
    <xdr:clientData/>
  </xdr:twoCellAnchor>
  <xdr:twoCellAnchor>
    <xdr:from>
      <xdr:col>2</xdr:col>
      <xdr:colOff>432740</xdr:colOff>
      <xdr:row>12</xdr:row>
      <xdr:rowOff>150361</xdr:rowOff>
    </xdr:from>
    <xdr:to>
      <xdr:col>8</xdr:col>
      <xdr:colOff>222787</xdr:colOff>
      <xdr:row>25</xdr:row>
      <xdr:rowOff>133541</xdr:rowOff>
    </xdr:to>
    <xdr:graphicFrame macro="">
      <xdr:nvGraphicFramePr>
        <xdr:cNvPr id="18" name="Chart 17">
          <a:extLst>
            <a:ext uri="{FF2B5EF4-FFF2-40B4-BE49-F238E27FC236}">
              <a16:creationId xmlns:a16="http://schemas.microsoft.com/office/drawing/2014/main" id="{B1BF77B3-49F8-4420-B7B0-185685BEB0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511628</xdr:colOff>
      <xdr:row>18</xdr:row>
      <xdr:rowOff>43542</xdr:rowOff>
    </xdr:from>
    <xdr:to>
      <xdr:col>14</xdr:col>
      <xdr:colOff>65313</xdr:colOff>
      <xdr:row>42</xdr:row>
      <xdr:rowOff>130627</xdr:rowOff>
    </xdr:to>
    <xdr:sp macro="" textlink="">
      <xdr:nvSpPr>
        <xdr:cNvPr id="26" name="Rectangle 25">
          <a:extLst>
            <a:ext uri="{FF2B5EF4-FFF2-40B4-BE49-F238E27FC236}">
              <a16:creationId xmlns:a16="http://schemas.microsoft.com/office/drawing/2014/main" id="{1DBB92C2-8708-D82D-D2CE-E89D88C88520}"/>
            </a:ext>
          </a:extLst>
        </xdr:cNvPr>
        <xdr:cNvSpPr/>
      </xdr:nvSpPr>
      <xdr:spPr>
        <a:xfrm>
          <a:off x="6531428" y="4604656"/>
          <a:ext cx="3907971" cy="4528457"/>
        </a:xfrm>
        <a:prstGeom prst="rect">
          <a:avLst/>
        </a:prstGeom>
        <a:solidFill>
          <a:schemeClr val="tx1">
            <a:lumMod val="85000"/>
            <a:lumOff val="15000"/>
          </a:schemeClr>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65315</xdr:colOff>
      <xdr:row>26</xdr:row>
      <xdr:rowOff>91971</xdr:rowOff>
    </xdr:from>
    <xdr:to>
      <xdr:col>13</xdr:col>
      <xdr:colOff>217713</xdr:colOff>
      <xdr:row>42</xdr:row>
      <xdr:rowOff>21632</xdr:rowOff>
    </xdr:to>
    <xdr:graphicFrame macro="">
      <xdr:nvGraphicFramePr>
        <xdr:cNvPr id="19" name="Chart 18">
          <a:extLst>
            <a:ext uri="{FF2B5EF4-FFF2-40B4-BE49-F238E27FC236}">
              <a16:creationId xmlns:a16="http://schemas.microsoft.com/office/drawing/2014/main" id="{0D08AB45-E46F-482B-ABA2-17E824B788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545541</xdr:colOff>
      <xdr:row>20</xdr:row>
      <xdr:rowOff>108857</xdr:rowOff>
    </xdr:from>
    <xdr:to>
      <xdr:col>14</xdr:col>
      <xdr:colOff>47310</xdr:colOff>
      <xdr:row>42</xdr:row>
      <xdr:rowOff>110112</xdr:rowOff>
    </xdr:to>
    <xdr:graphicFrame macro="">
      <xdr:nvGraphicFramePr>
        <xdr:cNvPr id="20" name="Chart 19">
          <a:extLst>
            <a:ext uri="{FF2B5EF4-FFF2-40B4-BE49-F238E27FC236}">
              <a16:creationId xmlns:a16="http://schemas.microsoft.com/office/drawing/2014/main" id="{1E68A218-B879-46D8-9807-1DEA64A3D3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431666</xdr:colOff>
      <xdr:row>11</xdr:row>
      <xdr:rowOff>87515</xdr:rowOff>
    </xdr:from>
    <xdr:to>
      <xdr:col>8</xdr:col>
      <xdr:colOff>217713</xdr:colOff>
      <xdr:row>12</xdr:row>
      <xdr:rowOff>178624</xdr:rowOff>
    </xdr:to>
    <xdr:sp macro="" textlink="">
      <xdr:nvSpPr>
        <xdr:cNvPr id="21" name="Rectangle: Rounded Corners 20">
          <a:extLst>
            <a:ext uri="{FF2B5EF4-FFF2-40B4-BE49-F238E27FC236}">
              <a16:creationId xmlns:a16="http://schemas.microsoft.com/office/drawing/2014/main" id="{B70F62A8-920B-48D5-B308-553BBCD18302}"/>
            </a:ext>
          </a:extLst>
        </xdr:cNvPr>
        <xdr:cNvSpPr/>
      </xdr:nvSpPr>
      <xdr:spPr>
        <a:xfrm>
          <a:off x="1650866" y="2808944"/>
          <a:ext cx="4586647" cy="363251"/>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2"/>
              </a:solidFill>
            </a:rPr>
            <a:t>MONTHLY</a:t>
          </a:r>
          <a:r>
            <a:rPr lang="en-IN" sz="1600" b="1" baseline="0">
              <a:solidFill>
                <a:schemeClr val="accent2"/>
              </a:solidFill>
            </a:rPr>
            <a:t> ( Target VS Actual )</a:t>
          </a:r>
          <a:endParaRPr lang="en-IN" sz="1600" b="1">
            <a:solidFill>
              <a:schemeClr val="accent2"/>
            </a:solidFill>
          </a:endParaRPr>
        </a:p>
      </xdr:txBody>
    </xdr:sp>
    <xdr:clientData/>
  </xdr:twoCellAnchor>
  <xdr:twoCellAnchor>
    <xdr:from>
      <xdr:col>8</xdr:col>
      <xdr:colOff>576944</xdr:colOff>
      <xdr:row>18</xdr:row>
      <xdr:rowOff>119743</xdr:rowOff>
    </xdr:from>
    <xdr:to>
      <xdr:col>14</xdr:col>
      <xdr:colOff>43544</xdr:colOff>
      <xdr:row>20</xdr:row>
      <xdr:rowOff>112879</xdr:rowOff>
    </xdr:to>
    <xdr:sp macro="" textlink="">
      <xdr:nvSpPr>
        <xdr:cNvPr id="25" name="Rectangle: Rounded Corners 24">
          <a:extLst>
            <a:ext uri="{FF2B5EF4-FFF2-40B4-BE49-F238E27FC236}">
              <a16:creationId xmlns:a16="http://schemas.microsoft.com/office/drawing/2014/main" id="{DC73A68A-1BE8-4EB8-9D7F-D75883FAADC6}"/>
            </a:ext>
          </a:extLst>
        </xdr:cNvPr>
        <xdr:cNvSpPr/>
      </xdr:nvSpPr>
      <xdr:spPr>
        <a:xfrm>
          <a:off x="6596744" y="4680857"/>
          <a:ext cx="3820886" cy="363251"/>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2"/>
              </a:solidFill>
            </a:rPr>
            <a:t>TOP</a:t>
          </a:r>
          <a:r>
            <a:rPr lang="en-IN" sz="1600" b="1" baseline="0">
              <a:solidFill>
                <a:schemeClr val="accent2"/>
              </a:solidFill>
            </a:rPr>
            <a:t> 10 PRODUCTS</a:t>
          </a:r>
          <a:endParaRPr lang="en-IN" sz="1600" b="1">
            <a:solidFill>
              <a:schemeClr val="accent2"/>
            </a:solidFill>
          </a:endParaRPr>
        </a:p>
      </xdr:txBody>
    </xdr:sp>
    <xdr:clientData/>
  </xdr:twoCellAnchor>
  <xdr:twoCellAnchor editAs="oneCell">
    <xdr:from>
      <xdr:col>0</xdr:col>
      <xdr:colOff>97970</xdr:colOff>
      <xdr:row>4</xdr:row>
      <xdr:rowOff>141514</xdr:rowOff>
    </xdr:from>
    <xdr:to>
      <xdr:col>6</xdr:col>
      <xdr:colOff>250370</xdr:colOff>
      <xdr:row>10</xdr:row>
      <xdr:rowOff>32400</xdr:rowOff>
    </xdr:to>
    <mc:AlternateContent xmlns:mc="http://schemas.openxmlformats.org/markup-compatibility/2006">
      <mc:Choice xmlns:a14="http://schemas.microsoft.com/office/drawing/2010/main" Requires="a14">
        <xdr:graphicFrame macro="">
          <xdr:nvGraphicFramePr>
            <xdr:cNvPr id="27" name="Month 1">
              <a:extLst>
                <a:ext uri="{FF2B5EF4-FFF2-40B4-BE49-F238E27FC236}">
                  <a16:creationId xmlns:a16="http://schemas.microsoft.com/office/drawing/2014/main" id="{4C86014C-16A0-402A-AF18-65675F55AF28}"/>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97970" y="1164771"/>
              <a:ext cx="3766457" cy="140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0.00282</cdr:x>
      <cdr:y>0</cdr:y>
    </cdr:from>
    <cdr:to>
      <cdr:x>0.62841</cdr:x>
      <cdr:y>0.12567</cdr:y>
    </cdr:to>
    <cdr:sp macro="" textlink="">
      <cdr:nvSpPr>
        <cdr:cNvPr id="2" name="Rectangle: Rounded Corners 1">
          <a:extLst xmlns:a="http://schemas.openxmlformats.org/drawingml/2006/main">
            <a:ext uri="{FF2B5EF4-FFF2-40B4-BE49-F238E27FC236}">
              <a16:creationId xmlns:a16="http://schemas.microsoft.com/office/drawing/2014/main" id="{B70F62A8-920B-48D5-B308-553BBCD18302}"/>
            </a:ext>
          </a:extLst>
        </cdr:cNvPr>
        <cdr:cNvSpPr/>
      </cdr:nvSpPr>
      <cdr:spPr>
        <a:xfrm xmlns:a="http://schemas.openxmlformats.org/drawingml/2006/main">
          <a:off x="27945" y="0"/>
          <a:ext cx="6203925" cy="363251"/>
        </a:xfrm>
        <a:prstGeom xmlns:a="http://schemas.openxmlformats.org/drawingml/2006/main" prst="roundRect">
          <a:avLst/>
        </a:prstGeom>
        <a:solidFill xmlns:a="http://schemas.openxmlformats.org/drawingml/2006/main">
          <a:schemeClr val="tx2">
            <a:lumMod val="75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IN" sz="1600" b="1">
              <a:solidFill>
                <a:schemeClr val="accent2"/>
              </a:solidFill>
            </a:rPr>
            <a:t>WEEKLY</a:t>
          </a:r>
          <a:r>
            <a:rPr lang="en-IN" sz="1600" b="1" baseline="0">
              <a:solidFill>
                <a:schemeClr val="accent2"/>
              </a:solidFill>
            </a:rPr>
            <a:t> </a:t>
          </a:r>
          <a:endParaRPr lang="en-IN" sz="1600" b="1">
            <a:solidFill>
              <a:schemeClr val="accent2"/>
            </a:solidFill>
          </a:endParaRPr>
        </a:p>
      </cdr:txBody>
    </cdr:sp>
  </cdr:relSizeAnchor>
  <cdr:relSizeAnchor xmlns:cdr="http://schemas.openxmlformats.org/drawingml/2006/chartDrawing">
    <cdr:from>
      <cdr:x>0.90779</cdr:x>
      <cdr:y>0.00584</cdr:y>
    </cdr:from>
    <cdr:to>
      <cdr:x>1</cdr:x>
      <cdr:y>0.32218</cdr:y>
    </cdr:to>
    <cdr:sp macro="" textlink="">
      <cdr:nvSpPr>
        <cdr:cNvPr id="3" name="Rectangle 2">
          <a:extLst xmlns:a="http://schemas.openxmlformats.org/drawingml/2006/main">
            <a:ext uri="{FF2B5EF4-FFF2-40B4-BE49-F238E27FC236}">
              <a16:creationId xmlns:a16="http://schemas.microsoft.com/office/drawing/2014/main" id="{30A85ECE-9E18-EB36-5F7F-F7F39CD140B7}"/>
            </a:ext>
          </a:extLst>
        </cdr:cNvPr>
        <cdr:cNvSpPr/>
      </cdr:nvSpPr>
      <cdr:spPr>
        <a:xfrm xmlns:a="http://schemas.openxmlformats.org/drawingml/2006/main">
          <a:off x="12213770" y="16887"/>
          <a:ext cx="914400" cy="914400"/>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du krishna" refreshedDate="46207.511922453705" createdVersion="8" refreshedVersion="8" minRefreshableVersion="3" recordCount="10000" xr:uid="{1CD89141-9FC1-453B-A2FF-12F9536122EE}">
  <cacheSource type="worksheet">
    <worksheetSource ref="A1:J10001" sheet="Sales_Data"/>
  </cacheSource>
  <cacheFields count="10">
    <cacheField name="OrderID" numFmtId="0">
      <sharedItems/>
    </cacheField>
    <cacheField name="Date" numFmtId="164">
      <sharedItems containsSemiMixedTypes="0" containsNonDate="0" containsDate="1" containsString="0" minDate="2025-01-01T00:00:00" maxDate="2026-01-01T00:00:00"/>
    </cacheField>
    <cacheField name="Month" numFmtId="0">
      <sharedItems count="12">
        <s v="Jul"/>
        <s v="Jan"/>
        <s v="Nov"/>
        <s v="Sep"/>
        <s v="Oct"/>
        <s v="Jun"/>
        <s v="Feb"/>
        <s v="Apr"/>
        <s v="May"/>
        <s v="Mar"/>
        <s v="Dec"/>
        <s v="Aug"/>
      </sharedItems>
    </cacheField>
    <cacheField name="Week" numFmtId="0">
      <sharedItems containsSemiMixedTypes="0" containsString="0" containsNumber="1" containsInteger="1" minValue="1" maxValue="52" count="52">
        <n v="30"/>
        <n v="3"/>
        <n v="44"/>
        <n v="5"/>
        <n v="36"/>
        <n v="1"/>
        <n v="2"/>
        <n v="4"/>
        <n v="38"/>
        <n v="47"/>
        <n v="42"/>
        <n v="48"/>
        <n v="31"/>
        <n v="25"/>
        <n v="29"/>
        <n v="8"/>
        <n v="15"/>
        <n v="20"/>
        <n v="19"/>
        <n v="11"/>
        <n v="16"/>
        <n v="51"/>
        <n v="9"/>
        <n v="32"/>
        <n v="22"/>
        <n v="39"/>
        <n v="21"/>
        <n v="18"/>
        <n v="35"/>
        <n v="7"/>
        <n v="33"/>
        <n v="37"/>
        <n v="50"/>
        <n v="13"/>
        <n v="14"/>
        <n v="10"/>
        <n v="26"/>
        <n v="27"/>
        <n v="17"/>
        <n v="12"/>
        <n v="24"/>
        <n v="23"/>
        <n v="52"/>
        <n v="49"/>
        <n v="46"/>
        <n v="41"/>
        <n v="34"/>
        <n v="28"/>
        <n v="6"/>
        <n v="40"/>
        <n v="43"/>
        <n v="45"/>
      </sharedItems>
    </cacheField>
    <cacheField name="Region" numFmtId="0">
      <sharedItems count="7">
        <s v="Central"/>
        <s v="North"/>
        <s v="Northeast"/>
        <s v="Western"/>
        <s v="Export"/>
        <s v="East"/>
        <s v="South"/>
      </sharedItems>
    </cacheField>
    <cacheField name="Country" numFmtId="0">
      <sharedItems/>
    </cacheField>
    <cacheField name="Customer" numFmtId="0">
      <sharedItems count="50">
        <s v="Customer06"/>
        <s v="Customer46"/>
        <s v="Customer45"/>
        <s v="Customer26"/>
        <s v="Customer43"/>
        <s v="Customer32"/>
        <s v="Customer10"/>
        <s v="Customer01"/>
        <s v="Customer20"/>
        <s v="Customer12"/>
        <s v="Customer14"/>
        <s v="Customer30"/>
        <s v="Customer19"/>
        <s v="Customer16"/>
        <s v="Customer47"/>
        <s v="Customer24"/>
        <s v="Customer44"/>
        <s v="Customer48"/>
        <s v="Customer04"/>
        <s v="Customer27"/>
        <s v="Customer03"/>
        <s v="Customer02"/>
        <s v="Customer42"/>
        <s v="Customer21"/>
        <s v="Customer37"/>
        <s v="Customer31"/>
        <s v="Customer11"/>
        <s v="Customer33"/>
        <s v="Customer36"/>
        <s v="Customer09"/>
        <s v="Customer41"/>
        <s v="Customer17"/>
        <s v="Customer15"/>
        <s v="Customer08"/>
        <s v="Customer40"/>
        <s v="Customer50"/>
        <s v="Customer07"/>
        <s v="Customer35"/>
        <s v="Customer23"/>
        <s v="Customer38"/>
        <s v="Customer05"/>
        <s v="Customer39"/>
        <s v="Customer25"/>
        <s v="Customer18"/>
        <s v="Customer22"/>
        <s v="Customer49"/>
        <s v="Customer13"/>
        <s v="Customer28"/>
        <s v="Customer29"/>
        <s v="Customer34"/>
      </sharedItems>
    </cacheField>
    <cacheField name="Product" numFmtId="0">
      <sharedItems count="30">
        <s v="Product23"/>
        <s v="Product18"/>
        <s v="Product14"/>
        <s v="Product03"/>
        <s v="Product08"/>
        <s v="Product02"/>
        <s v="Product11"/>
        <s v="Product06"/>
        <s v="Product09"/>
        <s v="Product26"/>
        <s v="Product05"/>
        <s v="Product30"/>
        <s v="Product15"/>
        <s v="Product20"/>
        <s v="Product25"/>
        <s v="Product01"/>
        <s v="Product13"/>
        <s v="Product04"/>
        <s v="Product19"/>
        <s v="Product07"/>
        <s v="Product17"/>
        <s v="Product12"/>
        <s v="Product29"/>
        <s v="Product10"/>
        <s v="Product24"/>
        <s v="Product16"/>
        <s v="Product22"/>
        <s v="Product21"/>
        <s v="Product28"/>
        <s v="Product27"/>
      </sharedItems>
    </cacheField>
    <cacheField name="TargetSales" numFmtId="0">
      <sharedItems containsSemiMixedTypes="0" containsString="0" containsNumber="1" containsInteger="1" minValue="15000" maxValue="39996"/>
    </cacheField>
    <cacheField name="ActualSales" numFmtId="0">
      <sharedItems containsSemiMixedTypes="0" containsString="0" containsNumber="1" containsInteger="1" minValue="10613" maxValue="51544"/>
    </cacheField>
  </cacheFields>
  <extLst>
    <ext xmlns:x14="http://schemas.microsoft.com/office/spreadsheetml/2009/9/main" uri="{725AE2AE-9491-48be-B2B4-4EB974FC3084}">
      <x14:pivotCacheDefinition pivotCacheId="572215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00001"/>
    <d v="2025-07-22T00:00:00"/>
    <x v="0"/>
    <x v="0"/>
    <x v="0"/>
    <s v="UAE"/>
    <x v="0"/>
    <x v="0"/>
    <n v="19699"/>
    <n v="24658"/>
  </r>
  <r>
    <s v="ORD00002"/>
    <d v="2025-01-14T00:00:00"/>
    <x v="1"/>
    <x v="1"/>
    <x v="1"/>
    <s v="Spain"/>
    <x v="1"/>
    <x v="1"/>
    <n v="18760"/>
    <n v="22952"/>
  </r>
  <r>
    <s v="ORD00003"/>
    <d v="2025-11-02T00:00:00"/>
    <x v="2"/>
    <x v="2"/>
    <x v="2"/>
    <s v="Japan"/>
    <x v="2"/>
    <x v="2"/>
    <n v="36651"/>
    <n v="31290"/>
  </r>
  <r>
    <s v="ORD00004"/>
    <d v="2025-01-27T00:00:00"/>
    <x v="1"/>
    <x v="3"/>
    <x v="2"/>
    <s v="UK"/>
    <x v="3"/>
    <x v="3"/>
    <n v="24976"/>
    <n v="27852"/>
  </r>
  <r>
    <s v="ORD00005"/>
    <d v="2025-01-15T00:00:00"/>
    <x v="1"/>
    <x v="1"/>
    <x v="3"/>
    <s v="Turkey"/>
    <x v="4"/>
    <x v="4"/>
    <n v="33159"/>
    <n v="42189"/>
  </r>
  <r>
    <s v="ORD00006"/>
    <d v="2025-09-02T00:00:00"/>
    <x v="3"/>
    <x v="4"/>
    <x v="4"/>
    <s v="UK"/>
    <x v="5"/>
    <x v="5"/>
    <n v="34867"/>
    <n v="26191"/>
  </r>
  <r>
    <s v="ORD00007"/>
    <d v="2025-01-05T00:00:00"/>
    <x v="1"/>
    <x v="5"/>
    <x v="2"/>
    <s v="Russia"/>
    <x v="6"/>
    <x v="0"/>
    <n v="29895"/>
    <n v="33031"/>
  </r>
  <r>
    <s v="ORD00008"/>
    <d v="2025-01-09T00:00:00"/>
    <x v="1"/>
    <x v="6"/>
    <x v="2"/>
    <s v="Malaysia"/>
    <x v="7"/>
    <x v="6"/>
    <n v="21059"/>
    <n v="24375"/>
  </r>
  <r>
    <s v="ORD00009"/>
    <d v="2025-01-20T00:00:00"/>
    <x v="1"/>
    <x v="7"/>
    <x v="1"/>
    <s v="Mexico"/>
    <x v="8"/>
    <x v="7"/>
    <n v="35192"/>
    <n v="33008"/>
  </r>
  <r>
    <s v="ORD00010"/>
    <d v="2025-01-24T00:00:00"/>
    <x v="1"/>
    <x v="7"/>
    <x v="1"/>
    <s v="UAE"/>
    <x v="9"/>
    <x v="8"/>
    <n v="24705"/>
    <n v="25365"/>
  </r>
  <r>
    <s v="ORD00011"/>
    <d v="2025-09-21T00:00:00"/>
    <x v="3"/>
    <x v="8"/>
    <x v="1"/>
    <s v="Thailand"/>
    <x v="10"/>
    <x v="9"/>
    <n v="22259"/>
    <n v="20774"/>
  </r>
  <r>
    <s v="ORD00012"/>
    <d v="2025-11-22T00:00:00"/>
    <x v="2"/>
    <x v="9"/>
    <x v="5"/>
    <s v="Canada"/>
    <x v="11"/>
    <x v="10"/>
    <n v="29699"/>
    <n v="26547"/>
  </r>
  <r>
    <s v="ORD00013"/>
    <d v="2025-10-17T00:00:00"/>
    <x v="4"/>
    <x v="10"/>
    <x v="5"/>
    <s v="Canada"/>
    <x v="12"/>
    <x v="11"/>
    <n v="16859"/>
    <n v="14892"/>
  </r>
  <r>
    <s v="ORD00014"/>
    <d v="2025-11-26T00:00:00"/>
    <x v="2"/>
    <x v="11"/>
    <x v="6"/>
    <s v="Spain"/>
    <x v="10"/>
    <x v="9"/>
    <n v="25814"/>
    <n v="33450"/>
  </r>
  <r>
    <s v="ORD00015"/>
    <d v="2025-07-28T00:00:00"/>
    <x v="0"/>
    <x v="12"/>
    <x v="5"/>
    <s v="Japan"/>
    <x v="13"/>
    <x v="9"/>
    <n v="18328"/>
    <n v="17104"/>
  </r>
  <r>
    <s v="ORD00016"/>
    <d v="2025-06-20T00:00:00"/>
    <x v="5"/>
    <x v="13"/>
    <x v="0"/>
    <s v="Brazil"/>
    <x v="14"/>
    <x v="7"/>
    <n v="30181"/>
    <n v="31533"/>
  </r>
  <r>
    <s v="ORD00017"/>
    <d v="2025-07-14T00:00:00"/>
    <x v="0"/>
    <x v="14"/>
    <x v="5"/>
    <s v="USA"/>
    <x v="15"/>
    <x v="12"/>
    <n v="16499"/>
    <n v="20348"/>
  </r>
  <r>
    <s v="ORD00018"/>
    <d v="2025-02-18T00:00:00"/>
    <x v="6"/>
    <x v="15"/>
    <x v="1"/>
    <s v="Japan"/>
    <x v="16"/>
    <x v="13"/>
    <n v="32423"/>
    <n v="30110"/>
  </r>
  <r>
    <s v="ORD00019"/>
    <d v="2025-04-08T00:00:00"/>
    <x v="7"/>
    <x v="16"/>
    <x v="0"/>
    <s v="France"/>
    <x v="17"/>
    <x v="9"/>
    <n v="29263"/>
    <n v="23015"/>
  </r>
  <r>
    <s v="ORD00020"/>
    <d v="2025-05-18T00:00:00"/>
    <x v="8"/>
    <x v="17"/>
    <x v="2"/>
    <s v="UK"/>
    <x v="16"/>
    <x v="5"/>
    <n v="29432"/>
    <n v="25875"/>
  </r>
  <r>
    <s v="ORD00021"/>
    <d v="2025-05-10T00:00:00"/>
    <x v="8"/>
    <x v="18"/>
    <x v="0"/>
    <s v="China"/>
    <x v="18"/>
    <x v="12"/>
    <n v="39847"/>
    <n v="36759"/>
  </r>
  <r>
    <s v="ORD00022"/>
    <d v="2025-03-15T00:00:00"/>
    <x v="9"/>
    <x v="19"/>
    <x v="0"/>
    <s v="UK"/>
    <x v="4"/>
    <x v="14"/>
    <n v="29567"/>
    <n v="36880"/>
  </r>
  <r>
    <s v="ORD00023"/>
    <d v="2025-04-20T00:00:00"/>
    <x v="7"/>
    <x v="20"/>
    <x v="1"/>
    <s v="Mexico"/>
    <x v="1"/>
    <x v="15"/>
    <n v="22502"/>
    <n v="21293"/>
  </r>
  <r>
    <s v="ORD00024"/>
    <d v="2025-12-16T00:00:00"/>
    <x v="10"/>
    <x v="21"/>
    <x v="1"/>
    <s v="Australia"/>
    <x v="19"/>
    <x v="16"/>
    <n v="24021"/>
    <n v="17271"/>
  </r>
  <r>
    <s v="ORD00025"/>
    <d v="2025-02-28T00:00:00"/>
    <x v="6"/>
    <x v="22"/>
    <x v="5"/>
    <s v="USA"/>
    <x v="17"/>
    <x v="14"/>
    <n v="31212"/>
    <n v="37806"/>
  </r>
  <r>
    <s v="ORD00026"/>
    <d v="2025-03-13T00:00:00"/>
    <x v="9"/>
    <x v="19"/>
    <x v="2"/>
    <s v="Canada"/>
    <x v="19"/>
    <x v="16"/>
    <n v="18987"/>
    <n v="22632"/>
  </r>
  <r>
    <s v="ORD00027"/>
    <d v="2025-02-19T00:00:00"/>
    <x v="6"/>
    <x v="15"/>
    <x v="2"/>
    <s v="Spain"/>
    <x v="20"/>
    <x v="12"/>
    <n v="21784"/>
    <n v="20593"/>
  </r>
  <r>
    <s v="ORD00028"/>
    <d v="2025-02-23T00:00:00"/>
    <x v="6"/>
    <x v="15"/>
    <x v="2"/>
    <s v="South Africa"/>
    <x v="21"/>
    <x v="17"/>
    <n v="33188"/>
    <n v="26010"/>
  </r>
  <r>
    <s v="ORD00029"/>
    <d v="2025-08-07T00:00:00"/>
    <x v="11"/>
    <x v="23"/>
    <x v="0"/>
    <s v="Singapore"/>
    <x v="22"/>
    <x v="18"/>
    <n v="22669"/>
    <n v="27671"/>
  </r>
  <r>
    <s v="ORD00030"/>
    <d v="2025-08-01T00:00:00"/>
    <x v="11"/>
    <x v="12"/>
    <x v="0"/>
    <s v="France"/>
    <x v="23"/>
    <x v="19"/>
    <n v="27628"/>
    <n v="33205"/>
  </r>
  <r>
    <s v="ORD00031"/>
    <d v="2025-05-31T00:00:00"/>
    <x v="8"/>
    <x v="24"/>
    <x v="5"/>
    <s v="Russia"/>
    <x v="12"/>
    <x v="14"/>
    <n v="16367"/>
    <n v="19079"/>
  </r>
  <r>
    <s v="ORD00032"/>
    <d v="2025-07-25T00:00:00"/>
    <x v="0"/>
    <x v="0"/>
    <x v="1"/>
    <s v="Italy"/>
    <x v="7"/>
    <x v="20"/>
    <n v="25204"/>
    <n v="18099"/>
  </r>
  <r>
    <s v="ORD00033"/>
    <d v="2025-07-22T00:00:00"/>
    <x v="0"/>
    <x v="0"/>
    <x v="1"/>
    <s v="Canada"/>
    <x v="19"/>
    <x v="13"/>
    <n v="32801"/>
    <n v="25922"/>
  </r>
  <r>
    <s v="ORD00034"/>
    <d v="2025-09-22T00:00:00"/>
    <x v="3"/>
    <x v="25"/>
    <x v="1"/>
    <s v="China"/>
    <x v="24"/>
    <x v="6"/>
    <n v="30741"/>
    <n v="27344"/>
  </r>
  <r>
    <s v="ORD00035"/>
    <d v="2025-07-23T00:00:00"/>
    <x v="0"/>
    <x v="0"/>
    <x v="5"/>
    <s v="UAE"/>
    <x v="25"/>
    <x v="17"/>
    <n v="25130"/>
    <n v="23480"/>
  </r>
  <r>
    <s v="ORD00036"/>
    <d v="2025-05-22T00:00:00"/>
    <x v="8"/>
    <x v="26"/>
    <x v="0"/>
    <s v="Russia"/>
    <x v="26"/>
    <x v="7"/>
    <n v="33246"/>
    <n v="40857"/>
  </r>
  <r>
    <s v="ORD00037"/>
    <d v="2025-05-02T00:00:00"/>
    <x v="8"/>
    <x v="27"/>
    <x v="3"/>
    <s v="Singapore"/>
    <x v="27"/>
    <x v="21"/>
    <n v="25958"/>
    <n v="32663"/>
  </r>
  <r>
    <s v="ORD00038"/>
    <d v="2025-12-30T00:00:00"/>
    <x v="10"/>
    <x v="5"/>
    <x v="6"/>
    <s v="Mexico"/>
    <x v="28"/>
    <x v="18"/>
    <n v="26441"/>
    <n v="25772"/>
  </r>
  <r>
    <s v="ORD00039"/>
    <d v="2025-11-28T00:00:00"/>
    <x v="2"/>
    <x v="11"/>
    <x v="6"/>
    <s v="Malaysia"/>
    <x v="29"/>
    <x v="7"/>
    <n v="18827"/>
    <n v="20835"/>
  </r>
  <r>
    <s v="ORD00040"/>
    <d v="2025-06-17T00:00:00"/>
    <x v="5"/>
    <x v="13"/>
    <x v="6"/>
    <s v="France"/>
    <x v="19"/>
    <x v="8"/>
    <n v="32396"/>
    <n v="30903"/>
  </r>
  <r>
    <s v="ORD00041"/>
    <d v="2025-08-25T00:00:00"/>
    <x v="11"/>
    <x v="28"/>
    <x v="4"/>
    <s v="Germany"/>
    <x v="30"/>
    <x v="19"/>
    <n v="24056"/>
    <n v="20758"/>
  </r>
  <r>
    <s v="ORD00042"/>
    <d v="2025-06-22T00:00:00"/>
    <x v="5"/>
    <x v="13"/>
    <x v="4"/>
    <s v="France"/>
    <x v="7"/>
    <x v="1"/>
    <n v="19225"/>
    <n v="19346"/>
  </r>
  <r>
    <s v="ORD00043"/>
    <d v="2025-05-17T00:00:00"/>
    <x v="8"/>
    <x v="17"/>
    <x v="1"/>
    <s v="Thailand"/>
    <x v="3"/>
    <x v="2"/>
    <n v="27005"/>
    <n v="26191"/>
  </r>
  <r>
    <s v="ORD00044"/>
    <d v="2025-02-20T00:00:00"/>
    <x v="6"/>
    <x v="15"/>
    <x v="2"/>
    <s v="Russia"/>
    <x v="31"/>
    <x v="19"/>
    <n v="31539"/>
    <n v="25505"/>
  </r>
  <r>
    <s v="ORD00045"/>
    <d v="2025-02-13T00:00:00"/>
    <x v="6"/>
    <x v="29"/>
    <x v="4"/>
    <s v="South Africa"/>
    <x v="32"/>
    <x v="4"/>
    <n v="39005"/>
    <n v="49936"/>
  </r>
  <r>
    <s v="ORD00046"/>
    <d v="2025-08-13T00:00:00"/>
    <x v="11"/>
    <x v="30"/>
    <x v="3"/>
    <s v="Turkey"/>
    <x v="33"/>
    <x v="15"/>
    <n v="34608"/>
    <n v="31309"/>
  </r>
  <r>
    <s v="ORD00047"/>
    <d v="2025-09-12T00:00:00"/>
    <x v="3"/>
    <x v="31"/>
    <x v="6"/>
    <s v="Turkey"/>
    <x v="1"/>
    <x v="22"/>
    <n v="21219"/>
    <n v="18689"/>
  </r>
  <r>
    <s v="ORD00048"/>
    <d v="2025-12-13T00:00:00"/>
    <x v="10"/>
    <x v="32"/>
    <x v="4"/>
    <s v="Russia"/>
    <x v="23"/>
    <x v="6"/>
    <n v="19837"/>
    <n v="14284"/>
  </r>
  <r>
    <s v="ORD00049"/>
    <d v="2025-03-27T00:00:00"/>
    <x v="9"/>
    <x v="33"/>
    <x v="3"/>
    <s v="France"/>
    <x v="11"/>
    <x v="3"/>
    <n v="32053"/>
    <n v="26672"/>
  </r>
  <r>
    <s v="ORD00050"/>
    <d v="2025-04-06T00:00:00"/>
    <x v="7"/>
    <x v="34"/>
    <x v="3"/>
    <s v="Malaysia"/>
    <x v="4"/>
    <x v="23"/>
    <n v="24775"/>
    <n v="28164"/>
  </r>
  <r>
    <s v="ORD00051"/>
    <d v="2025-03-04T00:00:00"/>
    <x v="9"/>
    <x v="35"/>
    <x v="1"/>
    <s v="UK"/>
    <x v="30"/>
    <x v="24"/>
    <n v="17186"/>
    <n v="19282"/>
  </r>
  <r>
    <s v="ORD00052"/>
    <d v="2025-08-05T00:00:00"/>
    <x v="11"/>
    <x v="23"/>
    <x v="5"/>
    <s v="UK"/>
    <x v="33"/>
    <x v="6"/>
    <n v="34448"/>
    <n v="32268"/>
  </r>
  <r>
    <s v="ORD00053"/>
    <d v="2025-09-12T00:00:00"/>
    <x v="3"/>
    <x v="31"/>
    <x v="6"/>
    <s v="France"/>
    <x v="34"/>
    <x v="1"/>
    <n v="21327"/>
    <n v="26450"/>
  </r>
  <r>
    <s v="ORD00054"/>
    <d v="2025-09-02T00:00:00"/>
    <x v="3"/>
    <x v="4"/>
    <x v="3"/>
    <s v="Thailand"/>
    <x v="32"/>
    <x v="1"/>
    <n v="17429"/>
    <n v="14082"/>
  </r>
  <r>
    <s v="ORD00055"/>
    <d v="2025-04-05T00:00:00"/>
    <x v="7"/>
    <x v="34"/>
    <x v="5"/>
    <s v="Russia"/>
    <x v="13"/>
    <x v="25"/>
    <n v="24739"/>
    <n v="25049"/>
  </r>
  <r>
    <s v="ORD00056"/>
    <d v="2025-05-30T00:00:00"/>
    <x v="8"/>
    <x v="24"/>
    <x v="6"/>
    <s v="USA"/>
    <x v="5"/>
    <x v="26"/>
    <n v="34484"/>
    <n v="44450"/>
  </r>
  <r>
    <s v="ORD00057"/>
    <d v="2025-06-28T00:00:00"/>
    <x v="5"/>
    <x v="36"/>
    <x v="2"/>
    <s v="Italy"/>
    <x v="13"/>
    <x v="1"/>
    <n v="38820"/>
    <n v="33573"/>
  </r>
  <r>
    <s v="ORD00058"/>
    <d v="2025-10-28T00:00:00"/>
    <x v="4"/>
    <x v="2"/>
    <x v="3"/>
    <s v="Japan"/>
    <x v="4"/>
    <x v="15"/>
    <n v="33702"/>
    <n v="41831"/>
  </r>
  <r>
    <s v="ORD00059"/>
    <d v="2025-12-16T00:00:00"/>
    <x v="10"/>
    <x v="21"/>
    <x v="5"/>
    <s v="Malaysia"/>
    <x v="28"/>
    <x v="13"/>
    <n v="20570"/>
    <n v="14643"/>
  </r>
  <r>
    <s v="ORD00060"/>
    <d v="2025-03-31T00:00:00"/>
    <x v="9"/>
    <x v="34"/>
    <x v="0"/>
    <s v="Italy"/>
    <x v="11"/>
    <x v="17"/>
    <n v="36883"/>
    <n v="44547"/>
  </r>
  <r>
    <s v="ORD00061"/>
    <d v="2025-07-04T00:00:00"/>
    <x v="0"/>
    <x v="37"/>
    <x v="6"/>
    <s v="Germany"/>
    <x v="35"/>
    <x v="14"/>
    <n v="38143"/>
    <n v="34840"/>
  </r>
  <r>
    <s v="ORD00062"/>
    <d v="2025-11-29T00:00:00"/>
    <x v="2"/>
    <x v="11"/>
    <x v="3"/>
    <s v="Malaysia"/>
    <x v="19"/>
    <x v="16"/>
    <n v="32341"/>
    <n v="26614"/>
  </r>
  <r>
    <s v="ORD00063"/>
    <d v="2025-05-21T00:00:00"/>
    <x v="8"/>
    <x v="26"/>
    <x v="1"/>
    <s v="Canada"/>
    <x v="3"/>
    <x v="9"/>
    <n v="33224"/>
    <n v="39049"/>
  </r>
  <r>
    <s v="ORD00064"/>
    <d v="2025-04-23T00:00:00"/>
    <x v="7"/>
    <x v="38"/>
    <x v="4"/>
    <s v="Australia"/>
    <x v="30"/>
    <x v="1"/>
    <n v="29337"/>
    <n v="32431"/>
  </r>
  <r>
    <s v="ORD00065"/>
    <d v="2025-05-24T00:00:00"/>
    <x v="8"/>
    <x v="26"/>
    <x v="1"/>
    <s v="UAE"/>
    <x v="13"/>
    <x v="26"/>
    <n v="23224"/>
    <n v="21337"/>
  </r>
  <r>
    <s v="ORD00066"/>
    <d v="2025-03-17T00:00:00"/>
    <x v="9"/>
    <x v="39"/>
    <x v="5"/>
    <s v="Canada"/>
    <x v="19"/>
    <x v="10"/>
    <n v="16117"/>
    <n v="11433"/>
  </r>
  <r>
    <s v="ORD00067"/>
    <d v="2025-08-07T00:00:00"/>
    <x v="11"/>
    <x v="23"/>
    <x v="6"/>
    <s v="Singapore"/>
    <x v="33"/>
    <x v="9"/>
    <n v="33031"/>
    <n v="25644"/>
  </r>
  <r>
    <s v="ORD00068"/>
    <d v="2025-12-21T00:00:00"/>
    <x v="10"/>
    <x v="21"/>
    <x v="5"/>
    <s v="Singapore"/>
    <x v="30"/>
    <x v="2"/>
    <n v="17400"/>
    <n v="22513"/>
  </r>
  <r>
    <s v="ORD00069"/>
    <d v="2025-11-20T00:00:00"/>
    <x v="2"/>
    <x v="9"/>
    <x v="3"/>
    <s v="Germany"/>
    <x v="28"/>
    <x v="20"/>
    <n v="22314"/>
    <n v="24175"/>
  </r>
  <r>
    <s v="ORD00070"/>
    <d v="2025-08-25T00:00:00"/>
    <x v="11"/>
    <x v="28"/>
    <x v="6"/>
    <s v="Brazil"/>
    <x v="13"/>
    <x v="21"/>
    <n v="39104"/>
    <n v="35623"/>
  </r>
  <r>
    <s v="ORD00071"/>
    <d v="2025-06-27T00:00:00"/>
    <x v="5"/>
    <x v="36"/>
    <x v="6"/>
    <s v="China"/>
    <x v="36"/>
    <x v="2"/>
    <n v="39956"/>
    <n v="45816"/>
  </r>
  <r>
    <s v="ORD00072"/>
    <d v="2025-08-03T00:00:00"/>
    <x v="11"/>
    <x v="12"/>
    <x v="1"/>
    <s v="Thailand"/>
    <x v="2"/>
    <x v="8"/>
    <n v="31996"/>
    <n v="40850"/>
  </r>
  <r>
    <s v="ORD00073"/>
    <d v="2025-06-10T00:00:00"/>
    <x v="5"/>
    <x v="40"/>
    <x v="4"/>
    <s v="UAE"/>
    <x v="22"/>
    <x v="3"/>
    <n v="36406"/>
    <n v="45818"/>
  </r>
  <r>
    <s v="ORD00074"/>
    <d v="2025-12-31T00:00:00"/>
    <x v="10"/>
    <x v="5"/>
    <x v="6"/>
    <s v="Thailand"/>
    <x v="3"/>
    <x v="18"/>
    <n v="19320"/>
    <n v="22367"/>
  </r>
  <r>
    <s v="ORD00075"/>
    <d v="2025-06-04T00:00:00"/>
    <x v="5"/>
    <x v="41"/>
    <x v="2"/>
    <s v="Australia"/>
    <x v="4"/>
    <x v="13"/>
    <n v="20730"/>
    <n v="21864"/>
  </r>
  <r>
    <s v="ORD00076"/>
    <d v="2025-03-02T00:00:00"/>
    <x v="9"/>
    <x v="22"/>
    <x v="2"/>
    <s v="UAE"/>
    <x v="29"/>
    <x v="27"/>
    <n v="22973"/>
    <n v="29267"/>
  </r>
  <r>
    <s v="ORD00077"/>
    <d v="2025-12-17T00:00:00"/>
    <x v="10"/>
    <x v="21"/>
    <x v="4"/>
    <s v="USA"/>
    <x v="3"/>
    <x v="8"/>
    <n v="34209"/>
    <n v="26704"/>
  </r>
  <r>
    <s v="ORD00078"/>
    <d v="2025-09-20T00:00:00"/>
    <x v="3"/>
    <x v="8"/>
    <x v="2"/>
    <s v="Malaysia"/>
    <x v="37"/>
    <x v="21"/>
    <n v="35581"/>
    <n v="42728"/>
  </r>
  <r>
    <s v="ORD00079"/>
    <d v="2025-06-02T00:00:00"/>
    <x v="5"/>
    <x v="41"/>
    <x v="2"/>
    <s v="India"/>
    <x v="10"/>
    <x v="18"/>
    <n v="25059"/>
    <n v="18396"/>
  </r>
  <r>
    <s v="ORD00080"/>
    <d v="2025-01-11T00:00:00"/>
    <x v="1"/>
    <x v="6"/>
    <x v="3"/>
    <s v="Mexico"/>
    <x v="29"/>
    <x v="22"/>
    <n v="39477"/>
    <n v="50371"/>
  </r>
  <r>
    <s v="ORD00081"/>
    <d v="2025-03-28T00:00:00"/>
    <x v="9"/>
    <x v="33"/>
    <x v="4"/>
    <s v="UAE"/>
    <x v="15"/>
    <x v="21"/>
    <n v="34451"/>
    <n v="32309"/>
  </r>
  <r>
    <s v="ORD00082"/>
    <d v="2025-08-04T00:00:00"/>
    <x v="11"/>
    <x v="23"/>
    <x v="2"/>
    <s v="Turkey"/>
    <x v="35"/>
    <x v="18"/>
    <n v="20909"/>
    <n v="21140"/>
  </r>
  <r>
    <s v="ORD00083"/>
    <d v="2025-12-22T00:00:00"/>
    <x v="10"/>
    <x v="42"/>
    <x v="3"/>
    <s v="Russia"/>
    <x v="36"/>
    <x v="19"/>
    <n v="37114"/>
    <n v="45641"/>
  </r>
  <r>
    <s v="ORD00084"/>
    <d v="2025-12-01T00:00:00"/>
    <x v="10"/>
    <x v="43"/>
    <x v="3"/>
    <s v="Mexico"/>
    <x v="38"/>
    <x v="18"/>
    <n v="33473"/>
    <n v="42518"/>
  </r>
  <r>
    <s v="ORD00085"/>
    <d v="2025-08-13T00:00:00"/>
    <x v="11"/>
    <x v="30"/>
    <x v="3"/>
    <s v="Japan"/>
    <x v="39"/>
    <x v="15"/>
    <n v="32028"/>
    <n v="30172"/>
  </r>
  <r>
    <s v="ORD00086"/>
    <d v="2025-09-09T00:00:00"/>
    <x v="3"/>
    <x v="31"/>
    <x v="6"/>
    <s v="Japan"/>
    <x v="23"/>
    <x v="26"/>
    <n v="17566"/>
    <n v="17412"/>
  </r>
  <r>
    <s v="ORD00087"/>
    <d v="2025-07-27T00:00:00"/>
    <x v="0"/>
    <x v="0"/>
    <x v="6"/>
    <s v="Canada"/>
    <x v="18"/>
    <x v="17"/>
    <n v="36983"/>
    <n v="27445"/>
  </r>
  <r>
    <s v="ORD00088"/>
    <d v="2025-02-11T00:00:00"/>
    <x v="6"/>
    <x v="29"/>
    <x v="0"/>
    <s v="Japan"/>
    <x v="28"/>
    <x v="4"/>
    <n v="19995"/>
    <n v="22073"/>
  </r>
  <r>
    <s v="ORD00089"/>
    <d v="2025-11-15T00:00:00"/>
    <x v="2"/>
    <x v="44"/>
    <x v="2"/>
    <s v="USA"/>
    <x v="40"/>
    <x v="23"/>
    <n v="39432"/>
    <n v="49326"/>
  </r>
  <r>
    <s v="ORD00090"/>
    <d v="2025-01-02T00:00:00"/>
    <x v="1"/>
    <x v="5"/>
    <x v="4"/>
    <s v="USA"/>
    <x v="4"/>
    <x v="4"/>
    <n v="23714"/>
    <n v="25469"/>
  </r>
  <r>
    <s v="ORD00091"/>
    <d v="2025-03-16T00:00:00"/>
    <x v="9"/>
    <x v="19"/>
    <x v="2"/>
    <s v="Russia"/>
    <x v="5"/>
    <x v="15"/>
    <n v="38406"/>
    <n v="31893"/>
  </r>
  <r>
    <s v="ORD00092"/>
    <d v="2025-06-30T00:00:00"/>
    <x v="5"/>
    <x v="37"/>
    <x v="4"/>
    <s v="Australia"/>
    <x v="18"/>
    <x v="15"/>
    <n v="30271"/>
    <n v="25271"/>
  </r>
  <r>
    <s v="ORD00093"/>
    <d v="2025-12-25T00:00:00"/>
    <x v="10"/>
    <x v="42"/>
    <x v="1"/>
    <s v="South Africa"/>
    <x v="13"/>
    <x v="28"/>
    <n v="24918"/>
    <n v="31444"/>
  </r>
  <r>
    <s v="ORD00094"/>
    <d v="2025-12-17T00:00:00"/>
    <x v="10"/>
    <x v="21"/>
    <x v="5"/>
    <s v="Japan"/>
    <x v="11"/>
    <x v="10"/>
    <n v="33927"/>
    <n v="25470"/>
  </r>
  <r>
    <s v="ORD00095"/>
    <d v="2025-06-23T00:00:00"/>
    <x v="5"/>
    <x v="36"/>
    <x v="3"/>
    <s v="South Africa"/>
    <x v="34"/>
    <x v="12"/>
    <n v="31924"/>
    <n v="25290"/>
  </r>
  <r>
    <s v="ORD00096"/>
    <d v="2025-06-08T00:00:00"/>
    <x v="5"/>
    <x v="41"/>
    <x v="2"/>
    <s v="Mexico"/>
    <x v="20"/>
    <x v="22"/>
    <n v="38036"/>
    <n v="44760"/>
  </r>
  <r>
    <s v="ORD00097"/>
    <d v="2025-10-10T00:00:00"/>
    <x v="4"/>
    <x v="45"/>
    <x v="2"/>
    <s v="Canada"/>
    <x v="8"/>
    <x v="9"/>
    <n v="15703"/>
    <n v="16202"/>
  </r>
  <r>
    <s v="ORD00098"/>
    <d v="2025-04-13T00:00:00"/>
    <x v="7"/>
    <x v="16"/>
    <x v="3"/>
    <s v="India"/>
    <x v="26"/>
    <x v="28"/>
    <n v="18546"/>
    <n v="17900"/>
  </r>
  <r>
    <s v="ORD00099"/>
    <d v="2025-08-05T00:00:00"/>
    <x v="11"/>
    <x v="23"/>
    <x v="2"/>
    <s v="Germany"/>
    <x v="36"/>
    <x v="19"/>
    <n v="33379"/>
    <n v="31480"/>
  </r>
  <r>
    <s v="ORD00100"/>
    <d v="2025-01-13T00:00:00"/>
    <x v="1"/>
    <x v="1"/>
    <x v="3"/>
    <s v="UK"/>
    <x v="23"/>
    <x v="15"/>
    <n v="38894"/>
    <n v="27551"/>
  </r>
  <r>
    <s v="ORD00101"/>
    <d v="2025-04-10T00:00:00"/>
    <x v="7"/>
    <x v="16"/>
    <x v="2"/>
    <s v="UAE"/>
    <x v="2"/>
    <x v="23"/>
    <n v="30283"/>
    <n v="22436"/>
  </r>
  <r>
    <s v="ORD00102"/>
    <d v="2025-08-22T00:00:00"/>
    <x v="11"/>
    <x v="46"/>
    <x v="6"/>
    <s v="UAE"/>
    <x v="2"/>
    <x v="19"/>
    <n v="34881"/>
    <n v="32430"/>
  </r>
  <r>
    <s v="ORD00103"/>
    <d v="2025-01-26T00:00:00"/>
    <x v="1"/>
    <x v="7"/>
    <x v="6"/>
    <s v="Italy"/>
    <x v="37"/>
    <x v="19"/>
    <n v="30806"/>
    <n v="31693"/>
  </r>
  <r>
    <s v="ORD00104"/>
    <d v="2025-04-27T00:00:00"/>
    <x v="7"/>
    <x v="38"/>
    <x v="5"/>
    <s v="Malaysia"/>
    <x v="26"/>
    <x v="22"/>
    <n v="31269"/>
    <n v="40165"/>
  </r>
  <r>
    <s v="ORD00105"/>
    <d v="2025-04-27T00:00:00"/>
    <x v="7"/>
    <x v="38"/>
    <x v="3"/>
    <s v="Italy"/>
    <x v="41"/>
    <x v="25"/>
    <n v="30763"/>
    <n v="24939"/>
  </r>
  <r>
    <s v="ORD00106"/>
    <d v="2025-07-08T00:00:00"/>
    <x v="0"/>
    <x v="47"/>
    <x v="3"/>
    <s v="Thailand"/>
    <x v="3"/>
    <x v="28"/>
    <n v="17546"/>
    <n v="13637"/>
  </r>
  <r>
    <s v="ORD00107"/>
    <d v="2025-09-08T00:00:00"/>
    <x v="3"/>
    <x v="31"/>
    <x v="3"/>
    <s v="USA"/>
    <x v="26"/>
    <x v="13"/>
    <n v="16547"/>
    <n v="19781"/>
  </r>
  <r>
    <s v="ORD00108"/>
    <d v="2025-05-27T00:00:00"/>
    <x v="8"/>
    <x v="24"/>
    <x v="6"/>
    <s v="Spain"/>
    <x v="26"/>
    <x v="12"/>
    <n v="21530"/>
    <n v="17580"/>
  </r>
  <r>
    <s v="ORD00109"/>
    <d v="2025-05-27T00:00:00"/>
    <x v="8"/>
    <x v="24"/>
    <x v="6"/>
    <s v="Australia"/>
    <x v="29"/>
    <x v="1"/>
    <n v="32369"/>
    <n v="23225"/>
  </r>
  <r>
    <s v="ORD00110"/>
    <d v="2025-03-12T00:00:00"/>
    <x v="9"/>
    <x v="19"/>
    <x v="0"/>
    <s v="Mexico"/>
    <x v="42"/>
    <x v="4"/>
    <n v="38620"/>
    <n v="32509"/>
  </r>
  <r>
    <s v="ORD00111"/>
    <d v="2025-11-19T00:00:00"/>
    <x v="2"/>
    <x v="9"/>
    <x v="5"/>
    <s v="Russia"/>
    <x v="32"/>
    <x v="16"/>
    <n v="30908"/>
    <n v="35108"/>
  </r>
  <r>
    <s v="ORD00112"/>
    <d v="2025-11-20T00:00:00"/>
    <x v="2"/>
    <x v="9"/>
    <x v="6"/>
    <s v="China"/>
    <x v="19"/>
    <x v="27"/>
    <n v="23385"/>
    <n v="26356"/>
  </r>
  <r>
    <s v="ORD00113"/>
    <d v="2025-02-14T00:00:00"/>
    <x v="6"/>
    <x v="29"/>
    <x v="3"/>
    <s v="South Africa"/>
    <x v="43"/>
    <x v="10"/>
    <n v="30207"/>
    <n v="29114"/>
  </r>
  <r>
    <s v="ORD00114"/>
    <d v="2025-09-12T00:00:00"/>
    <x v="3"/>
    <x v="31"/>
    <x v="2"/>
    <s v="Germany"/>
    <x v="41"/>
    <x v="27"/>
    <n v="20713"/>
    <n v="24174"/>
  </r>
  <r>
    <s v="ORD00115"/>
    <d v="2025-08-15T00:00:00"/>
    <x v="11"/>
    <x v="30"/>
    <x v="4"/>
    <s v="China"/>
    <x v="12"/>
    <x v="13"/>
    <n v="26723"/>
    <n v="24826"/>
  </r>
  <r>
    <s v="ORD00116"/>
    <d v="2025-02-10T00:00:00"/>
    <x v="6"/>
    <x v="29"/>
    <x v="6"/>
    <s v="India"/>
    <x v="6"/>
    <x v="0"/>
    <n v="30766"/>
    <n v="26923"/>
  </r>
  <r>
    <s v="ORD00117"/>
    <d v="2025-09-24T00:00:00"/>
    <x v="3"/>
    <x v="25"/>
    <x v="4"/>
    <s v="Canada"/>
    <x v="9"/>
    <x v="21"/>
    <n v="35428"/>
    <n v="45556"/>
  </r>
  <r>
    <s v="ORD00118"/>
    <d v="2025-08-15T00:00:00"/>
    <x v="11"/>
    <x v="30"/>
    <x v="3"/>
    <s v="Russia"/>
    <x v="44"/>
    <x v="25"/>
    <n v="16363"/>
    <n v="20222"/>
  </r>
  <r>
    <s v="ORD00119"/>
    <d v="2025-12-09T00:00:00"/>
    <x v="10"/>
    <x v="32"/>
    <x v="0"/>
    <s v="Russia"/>
    <x v="31"/>
    <x v="20"/>
    <n v="28833"/>
    <n v="23867"/>
  </r>
  <r>
    <s v="ORD00120"/>
    <d v="2025-06-03T00:00:00"/>
    <x v="5"/>
    <x v="41"/>
    <x v="5"/>
    <s v="USA"/>
    <x v="11"/>
    <x v="29"/>
    <n v="18270"/>
    <n v="13869"/>
  </r>
  <r>
    <s v="ORD00121"/>
    <d v="2025-09-27T00:00:00"/>
    <x v="3"/>
    <x v="25"/>
    <x v="1"/>
    <s v="Spain"/>
    <x v="32"/>
    <x v="20"/>
    <n v="22141"/>
    <n v="24510"/>
  </r>
  <r>
    <s v="ORD00122"/>
    <d v="2025-09-12T00:00:00"/>
    <x v="3"/>
    <x v="31"/>
    <x v="3"/>
    <s v="Malaysia"/>
    <x v="26"/>
    <x v="8"/>
    <n v="32577"/>
    <n v="39337"/>
  </r>
  <r>
    <s v="ORD00123"/>
    <d v="2025-04-06T00:00:00"/>
    <x v="7"/>
    <x v="34"/>
    <x v="6"/>
    <s v="Malaysia"/>
    <x v="6"/>
    <x v="16"/>
    <n v="33366"/>
    <n v="28946"/>
  </r>
  <r>
    <s v="ORD00124"/>
    <d v="2025-07-18T00:00:00"/>
    <x v="0"/>
    <x v="14"/>
    <x v="6"/>
    <s v="Spain"/>
    <x v="2"/>
    <x v="3"/>
    <n v="24544"/>
    <n v="22723"/>
  </r>
  <r>
    <s v="ORD00125"/>
    <d v="2025-03-23T00:00:00"/>
    <x v="9"/>
    <x v="39"/>
    <x v="6"/>
    <s v="USA"/>
    <x v="41"/>
    <x v="23"/>
    <n v="25012"/>
    <n v="27163"/>
  </r>
  <r>
    <s v="ORD00126"/>
    <d v="2025-02-22T00:00:00"/>
    <x v="6"/>
    <x v="15"/>
    <x v="0"/>
    <s v="Brazil"/>
    <x v="36"/>
    <x v="14"/>
    <n v="22249"/>
    <n v="25015"/>
  </r>
  <r>
    <s v="ORD00127"/>
    <d v="2025-02-04T00:00:00"/>
    <x v="6"/>
    <x v="48"/>
    <x v="6"/>
    <s v="UAE"/>
    <x v="2"/>
    <x v="14"/>
    <n v="18620"/>
    <n v="17117"/>
  </r>
  <r>
    <s v="ORD00128"/>
    <d v="2025-09-30T00:00:00"/>
    <x v="3"/>
    <x v="49"/>
    <x v="3"/>
    <s v="France"/>
    <x v="8"/>
    <x v="10"/>
    <n v="24420"/>
    <n v="30852"/>
  </r>
  <r>
    <s v="ORD00129"/>
    <d v="2025-06-13T00:00:00"/>
    <x v="5"/>
    <x v="40"/>
    <x v="4"/>
    <s v="Turkey"/>
    <x v="45"/>
    <x v="25"/>
    <n v="15132"/>
    <n v="11784"/>
  </r>
  <r>
    <s v="ORD00130"/>
    <d v="2025-04-06T00:00:00"/>
    <x v="7"/>
    <x v="34"/>
    <x v="3"/>
    <s v="Mexico"/>
    <x v="3"/>
    <x v="27"/>
    <n v="32935"/>
    <n v="30264"/>
  </r>
  <r>
    <s v="ORD00131"/>
    <d v="2025-05-03T00:00:00"/>
    <x v="8"/>
    <x v="27"/>
    <x v="0"/>
    <s v="Australia"/>
    <x v="5"/>
    <x v="15"/>
    <n v="18043"/>
    <n v="22563"/>
  </r>
  <r>
    <s v="ORD00132"/>
    <d v="2025-10-15T00:00:00"/>
    <x v="4"/>
    <x v="10"/>
    <x v="2"/>
    <s v="Australia"/>
    <x v="33"/>
    <x v="16"/>
    <n v="38558"/>
    <n v="44040"/>
  </r>
  <r>
    <s v="ORD00133"/>
    <d v="2025-03-28T00:00:00"/>
    <x v="9"/>
    <x v="33"/>
    <x v="2"/>
    <s v="France"/>
    <x v="9"/>
    <x v="9"/>
    <n v="30471"/>
    <n v="31138"/>
  </r>
  <r>
    <s v="ORD00134"/>
    <d v="2025-02-03T00:00:00"/>
    <x v="6"/>
    <x v="48"/>
    <x v="3"/>
    <s v="India"/>
    <x v="12"/>
    <x v="18"/>
    <n v="27693"/>
    <n v="21239"/>
  </r>
  <r>
    <s v="ORD00135"/>
    <d v="2025-04-16T00:00:00"/>
    <x v="7"/>
    <x v="20"/>
    <x v="4"/>
    <s v="China"/>
    <x v="7"/>
    <x v="25"/>
    <n v="17983"/>
    <n v="18619"/>
  </r>
  <r>
    <s v="ORD00136"/>
    <d v="2025-07-21T00:00:00"/>
    <x v="0"/>
    <x v="0"/>
    <x v="4"/>
    <s v="Thailand"/>
    <x v="26"/>
    <x v="27"/>
    <n v="18033"/>
    <n v="19270"/>
  </r>
  <r>
    <s v="ORD00137"/>
    <d v="2025-11-13T00:00:00"/>
    <x v="2"/>
    <x v="44"/>
    <x v="1"/>
    <s v="Russia"/>
    <x v="43"/>
    <x v="8"/>
    <n v="33085"/>
    <n v="33967"/>
  </r>
  <r>
    <s v="ORD00138"/>
    <d v="2025-01-10T00:00:00"/>
    <x v="1"/>
    <x v="6"/>
    <x v="0"/>
    <s v="Japan"/>
    <x v="15"/>
    <x v="16"/>
    <n v="22095"/>
    <n v="27563"/>
  </r>
  <r>
    <s v="ORD00139"/>
    <d v="2025-07-24T00:00:00"/>
    <x v="0"/>
    <x v="0"/>
    <x v="0"/>
    <s v="Australia"/>
    <x v="45"/>
    <x v="3"/>
    <n v="39651"/>
    <n v="40233"/>
  </r>
  <r>
    <s v="ORD00140"/>
    <d v="2025-03-19T00:00:00"/>
    <x v="9"/>
    <x v="39"/>
    <x v="5"/>
    <s v="France"/>
    <x v="13"/>
    <x v="24"/>
    <n v="37642"/>
    <n v="31502"/>
  </r>
  <r>
    <s v="ORD00141"/>
    <d v="2025-03-23T00:00:00"/>
    <x v="9"/>
    <x v="39"/>
    <x v="2"/>
    <s v="France"/>
    <x v="46"/>
    <x v="5"/>
    <n v="29879"/>
    <n v="35509"/>
  </r>
  <r>
    <s v="ORD00142"/>
    <d v="2025-08-30T00:00:00"/>
    <x v="11"/>
    <x v="28"/>
    <x v="3"/>
    <s v="Turkey"/>
    <x v="29"/>
    <x v="6"/>
    <n v="39804"/>
    <n v="29054"/>
  </r>
  <r>
    <s v="ORD00143"/>
    <d v="2025-11-13T00:00:00"/>
    <x v="2"/>
    <x v="44"/>
    <x v="5"/>
    <s v="Malaysia"/>
    <x v="11"/>
    <x v="1"/>
    <n v="21117"/>
    <n v="16571"/>
  </r>
  <r>
    <s v="ORD00144"/>
    <d v="2025-12-28T00:00:00"/>
    <x v="10"/>
    <x v="42"/>
    <x v="5"/>
    <s v="Spain"/>
    <x v="25"/>
    <x v="17"/>
    <n v="32343"/>
    <n v="33258"/>
  </r>
  <r>
    <s v="ORD00145"/>
    <d v="2025-05-02T00:00:00"/>
    <x v="8"/>
    <x v="27"/>
    <x v="5"/>
    <s v="Germany"/>
    <x v="24"/>
    <x v="11"/>
    <n v="25088"/>
    <n v="20225"/>
  </r>
  <r>
    <s v="ORD00146"/>
    <d v="2025-03-25T00:00:00"/>
    <x v="9"/>
    <x v="33"/>
    <x v="5"/>
    <s v="Australia"/>
    <x v="10"/>
    <x v="0"/>
    <n v="24318"/>
    <n v="29569"/>
  </r>
  <r>
    <s v="ORD00147"/>
    <d v="2025-12-28T00:00:00"/>
    <x v="10"/>
    <x v="42"/>
    <x v="4"/>
    <s v="Thailand"/>
    <x v="24"/>
    <x v="17"/>
    <n v="17057"/>
    <n v="21175"/>
  </r>
  <r>
    <s v="ORD00148"/>
    <d v="2025-05-19T00:00:00"/>
    <x v="8"/>
    <x v="26"/>
    <x v="5"/>
    <s v="USA"/>
    <x v="25"/>
    <x v="5"/>
    <n v="28291"/>
    <n v="20754"/>
  </r>
  <r>
    <s v="ORD00149"/>
    <d v="2025-09-28T00:00:00"/>
    <x v="3"/>
    <x v="25"/>
    <x v="4"/>
    <s v="India"/>
    <x v="22"/>
    <x v="17"/>
    <n v="33107"/>
    <n v="27530"/>
  </r>
  <r>
    <s v="ORD00150"/>
    <d v="2025-12-12T00:00:00"/>
    <x v="10"/>
    <x v="32"/>
    <x v="3"/>
    <s v="China"/>
    <x v="24"/>
    <x v="25"/>
    <n v="18579"/>
    <n v="14478"/>
  </r>
  <r>
    <s v="ORD00151"/>
    <d v="2025-04-17T00:00:00"/>
    <x v="7"/>
    <x v="20"/>
    <x v="2"/>
    <s v="China"/>
    <x v="24"/>
    <x v="2"/>
    <n v="16299"/>
    <n v="20246"/>
  </r>
  <r>
    <s v="ORD00152"/>
    <d v="2025-12-22T00:00:00"/>
    <x v="10"/>
    <x v="42"/>
    <x v="0"/>
    <s v="Turkey"/>
    <x v="4"/>
    <x v="22"/>
    <n v="34005"/>
    <n v="37104"/>
  </r>
  <r>
    <s v="ORD00153"/>
    <d v="2025-02-23T00:00:00"/>
    <x v="6"/>
    <x v="15"/>
    <x v="6"/>
    <s v="France"/>
    <x v="5"/>
    <x v="18"/>
    <n v="19363"/>
    <n v="18187"/>
  </r>
  <r>
    <s v="ORD00154"/>
    <d v="2025-02-05T00:00:00"/>
    <x v="6"/>
    <x v="48"/>
    <x v="4"/>
    <s v="USA"/>
    <x v="42"/>
    <x v="13"/>
    <n v="28866"/>
    <n v="36404"/>
  </r>
  <r>
    <s v="ORD00155"/>
    <d v="2025-10-26T00:00:00"/>
    <x v="4"/>
    <x v="50"/>
    <x v="2"/>
    <s v="Mexico"/>
    <x v="0"/>
    <x v="23"/>
    <n v="37476"/>
    <n v="45894"/>
  </r>
  <r>
    <s v="ORD00156"/>
    <d v="2025-08-26T00:00:00"/>
    <x v="11"/>
    <x v="28"/>
    <x v="3"/>
    <s v="Australia"/>
    <x v="29"/>
    <x v="17"/>
    <n v="32797"/>
    <n v="23083"/>
  </r>
  <r>
    <s v="ORD00157"/>
    <d v="2025-07-27T00:00:00"/>
    <x v="0"/>
    <x v="0"/>
    <x v="6"/>
    <s v="South Africa"/>
    <x v="14"/>
    <x v="3"/>
    <n v="31424"/>
    <n v="22959"/>
  </r>
  <r>
    <s v="ORD00158"/>
    <d v="2025-09-05T00:00:00"/>
    <x v="3"/>
    <x v="4"/>
    <x v="6"/>
    <s v="China"/>
    <x v="9"/>
    <x v="26"/>
    <n v="38274"/>
    <n v="43301"/>
  </r>
  <r>
    <s v="ORD00159"/>
    <d v="2025-05-06T00:00:00"/>
    <x v="8"/>
    <x v="18"/>
    <x v="0"/>
    <s v="Russia"/>
    <x v="26"/>
    <x v="8"/>
    <n v="26516"/>
    <n v="19910"/>
  </r>
  <r>
    <s v="ORD00160"/>
    <d v="2025-10-15T00:00:00"/>
    <x v="4"/>
    <x v="10"/>
    <x v="1"/>
    <s v="Brazil"/>
    <x v="45"/>
    <x v="6"/>
    <n v="26311"/>
    <n v="27860"/>
  </r>
  <r>
    <s v="ORD00161"/>
    <d v="2025-04-29T00:00:00"/>
    <x v="7"/>
    <x v="27"/>
    <x v="3"/>
    <s v="South Africa"/>
    <x v="3"/>
    <x v="19"/>
    <n v="32862"/>
    <n v="35373"/>
  </r>
  <r>
    <s v="ORD00162"/>
    <d v="2025-01-02T00:00:00"/>
    <x v="1"/>
    <x v="5"/>
    <x v="1"/>
    <s v="Canada"/>
    <x v="46"/>
    <x v="3"/>
    <n v="24066"/>
    <n v="28881"/>
  </r>
  <r>
    <s v="ORD00163"/>
    <d v="2025-02-02T00:00:00"/>
    <x v="6"/>
    <x v="3"/>
    <x v="1"/>
    <s v="India"/>
    <x v="21"/>
    <x v="17"/>
    <n v="39007"/>
    <n v="42651"/>
  </r>
  <r>
    <s v="ORD00164"/>
    <d v="2025-02-03T00:00:00"/>
    <x v="6"/>
    <x v="48"/>
    <x v="5"/>
    <s v="Singapore"/>
    <x v="11"/>
    <x v="14"/>
    <n v="35564"/>
    <n v="27058"/>
  </r>
  <r>
    <s v="ORD00165"/>
    <d v="2025-09-05T00:00:00"/>
    <x v="3"/>
    <x v="4"/>
    <x v="6"/>
    <s v="Australia"/>
    <x v="47"/>
    <x v="19"/>
    <n v="38015"/>
    <n v="27551"/>
  </r>
  <r>
    <s v="ORD00166"/>
    <d v="2025-11-14T00:00:00"/>
    <x v="2"/>
    <x v="44"/>
    <x v="2"/>
    <s v="UK"/>
    <x v="1"/>
    <x v="18"/>
    <n v="32045"/>
    <n v="34454"/>
  </r>
  <r>
    <s v="ORD00167"/>
    <d v="2025-04-17T00:00:00"/>
    <x v="7"/>
    <x v="20"/>
    <x v="2"/>
    <s v="UAE"/>
    <x v="1"/>
    <x v="20"/>
    <n v="37082"/>
    <n v="31431"/>
  </r>
  <r>
    <s v="ORD00168"/>
    <d v="2025-09-23T00:00:00"/>
    <x v="3"/>
    <x v="25"/>
    <x v="4"/>
    <s v="Japan"/>
    <x v="16"/>
    <x v="4"/>
    <n v="20471"/>
    <n v="20854"/>
  </r>
  <r>
    <s v="ORD00169"/>
    <d v="2025-01-20T00:00:00"/>
    <x v="1"/>
    <x v="7"/>
    <x v="5"/>
    <s v="Russia"/>
    <x v="21"/>
    <x v="15"/>
    <n v="22064"/>
    <n v="20455"/>
  </r>
  <r>
    <s v="ORD00170"/>
    <d v="2025-08-26T00:00:00"/>
    <x v="11"/>
    <x v="28"/>
    <x v="6"/>
    <s v="UK"/>
    <x v="35"/>
    <x v="24"/>
    <n v="31471"/>
    <n v="29682"/>
  </r>
  <r>
    <s v="ORD00171"/>
    <d v="2025-06-13T00:00:00"/>
    <x v="5"/>
    <x v="40"/>
    <x v="0"/>
    <s v="India"/>
    <x v="38"/>
    <x v="2"/>
    <n v="31578"/>
    <n v="29124"/>
  </r>
  <r>
    <s v="ORD00172"/>
    <d v="2025-07-03T00:00:00"/>
    <x v="0"/>
    <x v="37"/>
    <x v="6"/>
    <s v="Japan"/>
    <x v="27"/>
    <x v="14"/>
    <n v="36654"/>
    <n v="32076"/>
  </r>
  <r>
    <s v="ORD00173"/>
    <d v="2025-03-04T00:00:00"/>
    <x v="9"/>
    <x v="35"/>
    <x v="5"/>
    <s v="China"/>
    <x v="39"/>
    <x v="21"/>
    <n v="22824"/>
    <n v="22613"/>
  </r>
  <r>
    <s v="ORD00174"/>
    <d v="2025-01-06T00:00:00"/>
    <x v="1"/>
    <x v="6"/>
    <x v="0"/>
    <s v="France"/>
    <x v="3"/>
    <x v="24"/>
    <n v="33125"/>
    <n v="42754"/>
  </r>
  <r>
    <s v="ORD00175"/>
    <d v="2025-07-12T00:00:00"/>
    <x v="0"/>
    <x v="47"/>
    <x v="2"/>
    <s v="Canada"/>
    <x v="5"/>
    <x v="14"/>
    <n v="25027"/>
    <n v="18109"/>
  </r>
  <r>
    <s v="ORD00176"/>
    <d v="2025-12-27T00:00:00"/>
    <x v="10"/>
    <x v="42"/>
    <x v="6"/>
    <s v="Thailand"/>
    <x v="47"/>
    <x v="1"/>
    <n v="23788"/>
    <n v="30189"/>
  </r>
  <r>
    <s v="ORD00177"/>
    <d v="2025-10-25T00:00:00"/>
    <x v="4"/>
    <x v="50"/>
    <x v="2"/>
    <s v="Thailand"/>
    <x v="6"/>
    <x v="9"/>
    <n v="27013"/>
    <n v="25864"/>
  </r>
  <r>
    <s v="ORD00178"/>
    <d v="2025-09-22T00:00:00"/>
    <x v="3"/>
    <x v="25"/>
    <x v="5"/>
    <s v="UAE"/>
    <x v="5"/>
    <x v="12"/>
    <n v="19214"/>
    <n v="19816"/>
  </r>
  <r>
    <s v="ORD00179"/>
    <d v="2025-08-27T00:00:00"/>
    <x v="11"/>
    <x v="28"/>
    <x v="6"/>
    <s v="Malaysia"/>
    <x v="7"/>
    <x v="15"/>
    <n v="25589"/>
    <n v="32460"/>
  </r>
  <r>
    <s v="ORD00180"/>
    <d v="2025-12-05T00:00:00"/>
    <x v="10"/>
    <x v="43"/>
    <x v="1"/>
    <s v="Spain"/>
    <x v="14"/>
    <x v="13"/>
    <n v="19487"/>
    <n v="13886"/>
  </r>
  <r>
    <s v="ORD00181"/>
    <d v="2025-09-08T00:00:00"/>
    <x v="3"/>
    <x v="31"/>
    <x v="5"/>
    <s v="Japan"/>
    <x v="25"/>
    <x v="15"/>
    <n v="21179"/>
    <n v="25397"/>
  </r>
  <r>
    <s v="ORD00182"/>
    <d v="2025-04-26T00:00:00"/>
    <x v="7"/>
    <x v="38"/>
    <x v="2"/>
    <s v="Australia"/>
    <x v="23"/>
    <x v="8"/>
    <n v="30984"/>
    <n v="32170"/>
  </r>
  <r>
    <s v="ORD00183"/>
    <d v="2025-04-10T00:00:00"/>
    <x v="7"/>
    <x v="16"/>
    <x v="2"/>
    <s v="South Africa"/>
    <x v="35"/>
    <x v="25"/>
    <n v="37206"/>
    <n v="27670"/>
  </r>
  <r>
    <s v="ORD00184"/>
    <d v="2025-04-11T00:00:00"/>
    <x v="7"/>
    <x v="16"/>
    <x v="1"/>
    <s v="UAE"/>
    <x v="39"/>
    <x v="12"/>
    <n v="27102"/>
    <n v="32304"/>
  </r>
  <r>
    <s v="ORD00185"/>
    <d v="2025-08-28T00:00:00"/>
    <x v="11"/>
    <x v="28"/>
    <x v="4"/>
    <s v="UK"/>
    <x v="2"/>
    <x v="9"/>
    <n v="31553"/>
    <n v="29280"/>
  </r>
  <r>
    <s v="ORD00186"/>
    <d v="2025-04-17T00:00:00"/>
    <x v="7"/>
    <x v="20"/>
    <x v="6"/>
    <s v="Brazil"/>
    <x v="15"/>
    <x v="17"/>
    <n v="17635"/>
    <n v="15116"/>
  </r>
  <r>
    <s v="ORD00187"/>
    <d v="2025-12-25T00:00:00"/>
    <x v="10"/>
    <x v="42"/>
    <x v="1"/>
    <s v="Australia"/>
    <x v="30"/>
    <x v="4"/>
    <n v="24398"/>
    <n v="28235"/>
  </r>
  <r>
    <s v="ORD00188"/>
    <d v="2025-02-15T00:00:00"/>
    <x v="6"/>
    <x v="29"/>
    <x v="4"/>
    <s v="USA"/>
    <x v="23"/>
    <x v="23"/>
    <n v="35605"/>
    <n v="29181"/>
  </r>
  <r>
    <s v="ORD00189"/>
    <d v="2025-04-10T00:00:00"/>
    <x v="7"/>
    <x v="16"/>
    <x v="3"/>
    <s v="China"/>
    <x v="46"/>
    <x v="3"/>
    <n v="19301"/>
    <n v="22405"/>
  </r>
  <r>
    <s v="ORD00190"/>
    <d v="2025-07-26T00:00:00"/>
    <x v="0"/>
    <x v="0"/>
    <x v="5"/>
    <s v="India"/>
    <x v="2"/>
    <x v="22"/>
    <n v="15469"/>
    <n v="12427"/>
  </r>
  <r>
    <s v="ORD00191"/>
    <d v="2025-02-20T00:00:00"/>
    <x v="6"/>
    <x v="15"/>
    <x v="6"/>
    <s v="Malaysia"/>
    <x v="36"/>
    <x v="7"/>
    <n v="30936"/>
    <n v="32137"/>
  </r>
  <r>
    <s v="ORD00192"/>
    <d v="2025-01-20T00:00:00"/>
    <x v="1"/>
    <x v="7"/>
    <x v="1"/>
    <s v="Mexico"/>
    <x v="32"/>
    <x v="5"/>
    <n v="37089"/>
    <n v="41442"/>
  </r>
  <r>
    <s v="ORD00193"/>
    <d v="2025-03-16T00:00:00"/>
    <x v="9"/>
    <x v="19"/>
    <x v="6"/>
    <s v="Singapore"/>
    <x v="25"/>
    <x v="6"/>
    <n v="32482"/>
    <n v="37197"/>
  </r>
  <r>
    <s v="ORD00194"/>
    <d v="2025-10-21T00:00:00"/>
    <x v="4"/>
    <x v="50"/>
    <x v="4"/>
    <s v="India"/>
    <x v="26"/>
    <x v="22"/>
    <n v="37852"/>
    <n v="28614"/>
  </r>
  <r>
    <s v="ORD00195"/>
    <d v="2025-01-21T00:00:00"/>
    <x v="1"/>
    <x v="7"/>
    <x v="5"/>
    <s v="Germany"/>
    <x v="37"/>
    <x v="13"/>
    <n v="18438"/>
    <n v="21851"/>
  </r>
  <r>
    <s v="ORD00196"/>
    <d v="2025-06-01T00:00:00"/>
    <x v="5"/>
    <x v="24"/>
    <x v="0"/>
    <s v="USA"/>
    <x v="44"/>
    <x v="10"/>
    <n v="34592"/>
    <n v="24822"/>
  </r>
  <r>
    <s v="ORD00197"/>
    <d v="2025-09-25T00:00:00"/>
    <x v="3"/>
    <x v="25"/>
    <x v="4"/>
    <s v="China"/>
    <x v="48"/>
    <x v="28"/>
    <n v="15330"/>
    <n v="17838"/>
  </r>
  <r>
    <s v="ORD00198"/>
    <d v="2025-09-04T00:00:00"/>
    <x v="3"/>
    <x v="4"/>
    <x v="4"/>
    <s v="Japan"/>
    <x v="49"/>
    <x v="9"/>
    <n v="35554"/>
    <n v="37931"/>
  </r>
  <r>
    <s v="ORD00199"/>
    <d v="2025-10-29T00:00:00"/>
    <x v="4"/>
    <x v="2"/>
    <x v="5"/>
    <s v="India"/>
    <x v="5"/>
    <x v="5"/>
    <n v="30795"/>
    <n v="23547"/>
  </r>
  <r>
    <s v="ORD00200"/>
    <d v="2025-06-28T00:00:00"/>
    <x v="5"/>
    <x v="36"/>
    <x v="0"/>
    <s v="Thailand"/>
    <x v="31"/>
    <x v="22"/>
    <n v="38196"/>
    <n v="32214"/>
  </r>
  <r>
    <s v="ORD00201"/>
    <d v="2025-05-18T00:00:00"/>
    <x v="8"/>
    <x v="17"/>
    <x v="1"/>
    <s v="France"/>
    <x v="8"/>
    <x v="15"/>
    <n v="28706"/>
    <n v="34428"/>
  </r>
  <r>
    <s v="ORD00202"/>
    <d v="2025-02-13T00:00:00"/>
    <x v="6"/>
    <x v="29"/>
    <x v="6"/>
    <s v="Thailand"/>
    <x v="11"/>
    <x v="9"/>
    <n v="23442"/>
    <n v="21219"/>
  </r>
  <r>
    <s v="ORD00203"/>
    <d v="2025-07-01T00:00:00"/>
    <x v="0"/>
    <x v="37"/>
    <x v="2"/>
    <s v="Italy"/>
    <x v="30"/>
    <x v="5"/>
    <n v="27634"/>
    <n v="20729"/>
  </r>
  <r>
    <s v="ORD00204"/>
    <d v="2025-11-14T00:00:00"/>
    <x v="2"/>
    <x v="44"/>
    <x v="1"/>
    <s v="India"/>
    <x v="15"/>
    <x v="9"/>
    <n v="28686"/>
    <n v="33083"/>
  </r>
  <r>
    <s v="ORD00205"/>
    <d v="2025-08-02T00:00:00"/>
    <x v="11"/>
    <x v="12"/>
    <x v="6"/>
    <s v="India"/>
    <x v="5"/>
    <x v="28"/>
    <n v="21734"/>
    <n v="19887"/>
  </r>
  <r>
    <s v="ORD00206"/>
    <d v="2025-07-18T00:00:00"/>
    <x v="0"/>
    <x v="14"/>
    <x v="5"/>
    <s v="Spain"/>
    <x v="19"/>
    <x v="21"/>
    <n v="27242"/>
    <n v="25202"/>
  </r>
  <r>
    <s v="ORD00207"/>
    <d v="2025-11-04T00:00:00"/>
    <x v="2"/>
    <x v="51"/>
    <x v="6"/>
    <s v="Spain"/>
    <x v="36"/>
    <x v="6"/>
    <n v="29857"/>
    <n v="30759"/>
  </r>
  <r>
    <s v="ORD00208"/>
    <d v="2025-10-01T00:00:00"/>
    <x v="4"/>
    <x v="49"/>
    <x v="3"/>
    <s v="Japan"/>
    <x v="32"/>
    <x v="7"/>
    <n v="28035"/>
    <n v="29193"/>
  </r>
  <r>
    <s v="ORD00209"/>
    <d v="2025-02-06T00:00:00"/>
    <x v="6"/>
    <x v="48"/>
    <x v="6"/>
    <s v="China"/>
    <x v="44"/>
    <x v="7"/>
    <n v="29441"/>
    <n v="28923"/>
  </r>
  <r>
    <s v="ORD00210"/>
    <d v="2025-11-11T00:00:00"/>
    <x v="2"/>
    <x v="44"/>
    <x v="4"/>
    <s v="Italy"/>
    <x v="1"/>
    <x v="14"/>
    <n v="28129"/>
    <n v="35994"/>
  </r>
  <r>
    <s v="ORD00211"/>
    <d v="2025-06-26T00:00:00"/>
    <x v="5"/>
    <x v="36"/>
    <x v="2"/>
    <s v="Mexico"/>
    <x v="40"/>
    <x v="12"/>
    <n v="37448"/>
    <n v="29193"/>
  </r>
  <r>
    <s v="ORD00212"/>
    <d v="2025-03-06T00:00:00"/>
    <x v="9"/>
    <x v="35"/>
    <x v="4"/>
    <s v="France"/>
    <x v="32"/>
    <x v="14"/>
    <n v="26486"/>
    <n v="26311"/>
  </r>
  <r>
    <s v="ORD00213"/>
    <d v="2025-10-19T00:00:00"/>
    <x v="4"/>
    <x v="10"/>
    <x v="4"/>
    <s v="Malaysia"/>
    <x v="2"/>
    <x v="20"/>
    <n v="38560"/>
    <n v="48052"/>
  </r>
  <r>
    <s v="ORD00214"/>
    <d v="2025-05-22T00:00:00"/>
    <x v="8"/>
    <x v="26"/>
    <x v="4"/>
    <s v="Canada"/>
    <x v="4"/>
    <x v="21"/>
    <n v="37709"/>
    <n v="41560"/>
  </r>
  <r>
    <s v="ORD00215"/>
    <d v="2025-10-24T00:00:00"/>
    <x v="4"/>
    <x v="50"/>
    <x v="3"/>
    <s v="France"/>
    <x v="22"/>
    <x v="27"/>
    <n v="15830"/>
    <n v="14106"/>
  </r>
  <r>
    <s v="ORD00216"/>
    <d v="2025-04-22T00:00:00"/>
    <x v="7"/>
    <x v="38"/>
    <x v="0"/>
    <s v="Canada"/>
    <x v="30"/>
    <x v="20"/>
    <n v="32286"/>
    <n v="31566"/>
  </r>
  <r>
    <s v="ORD00217"/>
    <d v="2025-05-17T00:00:00"/>
    <x v="8"/>
    <x v="17"/>
    <x v="2"/>
    <s v="Mexico"/>
    <x v="23"/>
    <x v="5"/>
    <n v="30561"/>
    <n v="22248"/>
  </r>
  <r>
    <s v="ORD00218"/>
    <d v="2025-05-30T00:00:00"/>
    <x v="8"/>
    <x v="24"/>
    <x v="0"/>
    <s v="Canada"/>
    <x v="11"/>
    <x v="29"/>
    <n v="26952"/>
    <n v="31047"/>
  </r>
  <r>
    <s v="ORD00219"/>
    <d v="2025-03-25T00:00:00"/>
    <x v="9"/>
    <x v="33"/>
    <x v="0"/>
    <s v="India"/>
    <x v="15"/>
    <x v="17"/>
    <n v="20760"/>
    <n v="16547"/>
  </r>
  <r>
    <s v="ORD00220"/>
    <d v="2025-11-14T00:00:00"/>
    <x v="2"/>
    <x v="44"/>
    <x v="5"/>
    <s v="Italy"/>
    <x v="36"/>
    <x v="23"/>
    <n v="34812"/>
    <n v="31226"/>
  </r>
  <r>
    <s v="ORD00221"/>
    <d v="2025-11-25T00:00:00"/>
    <x v="2"/>
    <x v="11"/>
    <x v="3"/>
    <s v="India"/>
    <x v="17"/>
    <x v="20"/>
    <n v="32210"/>
    <n v="37419"/>
  </r>
  <r>
    <s v="ORD00222"/>
    <d v="2025-10-19T00:00:00"/>
    <x v="4"/>
    <x v="10"/>
    <x v="0"/>
    <s v="UK"/>
    <x v="43"/>
    <x v="23"/>
    <n v="19273"/>
    <n v="23270"/>
  </r>
  <r>
    <s v="ORD00223"/>
    <d v="2025-09-02T00:00:00"/>
    <x v="3"/>
    <x v="4"/>
    <x v="0"/>
    <s v="Mexico"/>
    <x v="32"/>
    <x v="28"/>
    <n v="37480"/>
    <n v="26395"/>
  </r>
  <r>
    <s v="ORD00224"/>
    <d v="2025-06-19T00:00:00"/>
    <x v="5"/>
    <x v="13"/>
    <x v="6"/>
    <s v="Thailand"/>
    <x v="26"/>
    <x v="27"/>
    <n v="29834"/>
    <n v="38659"/>
  </r>
  <r>
    <s v="ORD00225"/>
    <d v="2025-01-15T00:00:00"/>
    <x v="1"/>
    <x v="1"/>
    <x v="5"/>
    <s v="Mexico"/>
    <x v="11"/>
    <x v="19"/>
    <n v="29969"/>
    <n v="31289"/>
  </r>
  <r>
    <s v="ORD00226"/>
    <d v="2025-11-21T00:00:00"/>
    <x v="2"/>
    <x v="9"/>
    <x v="0"/>
    <s v="Japan"/>
    <x v="17"/>
    <x v="17"/>
    <n v="28261"/>
    <n v="26466"/>
  </r>
  <r>
    <s v="ORD00227"/>
    <d v="2025-09-23T00:00:00"/>
    <x v="3"/>
    <x v="25"/>
    <x v="6"/>
    <s v="Germany"/>
    <x v="7"/>
    <x v="7"/>
    <n v="15262"/>
    <n v="14052"/>
  </r>
  <r>
    <s v="ORD00228"/>
    <d v="2025-03-18T00:00:00"/>
    <x v="9"/>
    <x v="39"/>
    <x v="4"/>
    <s v="Thailand"/>
    <x v="21"/>
    <x v="10"/>
    <n v="15247"/>
    <n v="17866"/>
  </r>
  <r>
    <s v="ORD00229"/>
    <d v="2025-07-20T00:00:00"/>
    <x v="0"/>
    <x v="14"/>
    <x v="4"/>
    <s v="France"/>
    <x v="44"/>
    <x v="17"/>
    <n v="24528"/>
    <n v="19817"/>
  </r>
  <r>
    <s v="ORD00230"/>
    <d v="2025-05-28T00:00:00"/>
    <x v="8"/>
    <x v="24"/>
    <x v="4"/>
    <s v="Thailand"/>
    <x v="32"/>
    <x v="23"/>
    <n v="16987"/>
    <n v="18979"/>
  </r>
  <r>
    <s v="ORD00231"/>
    <d v="2025-10-16T00:00:00"/>
    <x v="4"/>
    <x v="10"/>
    <x v="3"/>
    <s v="Mexico"/>
    <x v="0"/>
    <x v="5"/>
    <n v="36465"/>
    <n v="35194"/>
  </r>
  <r>
    <s v="ORD00232"/>
    <d v="2025-12-05T00:00:00"/>
    <x v="10"/>
    <x v="43"/>
    <x v="5"/>
    <s v="UAE"/>
    <x v="21"/>
    <x v="1"/>
    <n v="23927"/>
    <n v="30897"/>
  </r>
  <r>
    <s v="ORD00233"/>
    <d v="2025-11-20T00:00:00"/>
    <x v="2"/>
    <x v="9"/>
    <x v="5"/>
    <s v="Mexico"/>
    <x v="28"/>
    <x v="16"/>
    <n v="17724"/>
    <n v="16098"/>
  </r>
  <r>
    <s v="ORD00234"/>
    <d v="2025-12-20T00:00:00"/>
    <x v="10"/>
    <x v="21"/>
    <x v="2"/>
    <s v="Italy"/>
    <x v="10"/>
    <x v="12"/>
    <n v="16686"/>
    <n v="18689"/>
  </r>
  <r>
    <s v="ORD00235"/>
    <d v="2025-01-06T00:00:00"/>
    <x v="1"/>
    <x v="6"/>
    <x v="6"/>
    <s v="Malaysia"/>
    <x v="49"/>
    <x v="4"/>
    <n v="17554"/>
    <n v="20254"/>
  </r>
  <r>
    <s v="ORD00236"/>
    <d v="2025-09-16T00:00:00"/>
    <x v="3"/>
    <x v="8"/>
    <x v="6"/>
    <s v="Italy"/>
    <x v="45"/>
    <x v="1"/>
    <n v="21279"/>
    <n v="15493"/>
  </r>
  <r>
    <s v="ORD00237"/>
    <d v="2025-07-17T00:00:00"/>
    <x v="0"/>
    <x v="14"/>
    <x v="5"/>
    <s v="Australia"/>
    <x v="8"/>
    <x v="10"/>
    <n v="31602"/>
    <n v="23236"/>
  </r>
  <r>
    <s v="ORD00238"/>
    <d v="2025-06-23T00:00:00"/>
    <x v="5"/>
    <x v="36"/>
    <x v="5"/>
    <s v="UK"/>
    <x v="29"/>
    <x v="26"/>
    <n v="18665"/>
    <n v="20985"/>
  </r>
  <r>
    <s v="ORD00239"/>
    <d v="2025-04-15T00:00:00"/>
    <x v="7"/>
    <x v="20"/>
    <x v="2"/>
    <s v="Japan"/>
    <x v="11"/>
    <x v="15"/>
    <n v="16771"/>
    <n v="17855"/>
  </r>
  <r>
    <s v="ORD00240"/>
    <d v="2025-03-29T00:00:00"/>
    <x v="9"/>
    <x v="33"/>
    <x v="2"/>
    <s v="Canada"/>
    <x v="5"/>
    <x v="21"/>
    <n v="23789"/>
    <n v="29548"/>
  </r>
  <r>
    <s v="ORD00241"/>
    <d v="2025-02-12T00:00:00"/>
    <x v="6"/>
    <x v="29"/>
    <x v="2"/>
    <s v="Japan"/>
    <x v="30"/>
    <x v="0"/>
    <n v="25457"/>
    <n v="25263"/>
  </r>
  <r>
    <s v="ORD00242"/>
    <d v="2025-01-27T00:00:00"/>
    <x v="1"/>
    <x v="3"/>
    <x v="2"/>
    <s v="UK"/>
    <x v="20"/>
    <x v="5"/>
    <n v="28381"/>
    <n v="30079"/>
  </r>
  <r>
    <s v="ORD00243"/>
    <d v="2025-08-04T00:00:00"/>
    <x v="11"/>
    <x v="23"/>
    <x v="3"/>
    <s v="Turkey"/>
    <x v="29"/>
    <x v="6"/>
    <n v="18618"/>
    <n v="16700"/>
  </r>
  <r>
    <s v="ORD00244"/>
    <d v="2025-01-21T00:00:00"/>
    <x v="1"/>
    <x v="7"/>
    <x v="4"/>
    <s v="Thailand"/>
    <x v="40"/>
    <x v="9"/>
    <n v="34621"/>
    <n v="29588"/>
  </r>
  <r>
    <s v="ORD00245"/>
    <d v="2025-02-23T00:00:00"/>
    <x v="6"/>
    <x v="15"/>
    <x v="0"/>
    <s v="USA"/>
    <x v="44"/>
    <x v="5"/>
    <n v="19422"/>
    <n v="20934"/>
  </r>
  <r>
    <s v="ORD00246"/>
    <d v="2025-11-16T00:00:00"/>
    <x v="2"/>
    <x v="44"/>
    <x v="0"/>
    <s v="Thailand"/>
    <x v="5"/>
    <x v="10"/>
    <n v="15520"/>
    <n v="15709"/>
  </r>
  <r>
    <s v="ORD00247"/>
    <d v="2025-04-05T00:00:00"/>
    <x v="7"/>
    <x v="34"/>
    <x v="2"/>
    <s v="Spain"/>
    <x v="42"/>
    <x v="3"/>
    <n v="20095"/>
    <n v="20682"/>
  </r>
  <r>
    <s v="ORD00248"/>
    <d v="2025-07-03T00:00:00"/>
    <x v="0"/>
    <x v="37"/>
    <x v="5"/>
    <s v="Spain"/>
    <x v="27"/>
    <x v="24"/>
    <n v="28432"/>
    <n v="32605"/>
  </r>
  <r>
    <s v="ORD00249"/>
    <d v="2025-02-27T00:00:00"/>
    <x v="6"/>
    <x v="22"/>
    <x v="1"/>
    <s v="Malaysia"/>
    <x v="19"/>
    <x v="27"/>
    <n v="15995"/>
    <n v="19215"/>
  </r>
  <r>
    <s v="ORD00250"/>
    <d v="2025-08-24T00:00:00"/>
    <x v="11"/>
    <x v="46"/>
    <x v="6"/>
    <s v="France"/>
    <x v="14"/>
    <x v="26"/>
    <n v="26551"/>
    <n v="33294"/>
  </r>
  <r>
    <s v="ORD00251"/>
    <d v="2025-03-10T00:00:00"/>
    <x v="9"/>
    <x v="19"/>
    <x v="5"/>
    <s v="China"/>
    <x v="6"/>
    <x v="11"/>
    <n v="28476"/>
    <n v="28762"/>
  </r>
  <r>
    <s v="ORD00252"/>
    <d v="2025-11-22T00:00:00"/>
    <x v="2"/>
    <x v="9"/>
    <x v="5"/>
    <s v="UAE"/>
    <x v="16"/>
    <x v="5"/>
    <n v="30543"/>
    <n v="34287"/>
  </r>
  <r>
    <s v="ORD00253"/>
    <d v="2025-08-24T00:00:00"/>
    <x v="11"/>
    <x v="46"/>
    <x v="4"/>
    <s v="UAE"/>
    <x v="21"/>
    <x v="21"/>
    <n v="34963"/>
    <n v="33262"/>
  </r>
  <r>
    <s v="ORD00254"/>
    <d v="2025-09-29T00:00:00"/>
    <x v="3"/>
    <x v="49"/>
    <x v="6"/>
    <s v="Singapore"/>
    <x v="22"/>
    <x v="24"/>
    <n v="37965"/>
    <n v="39679"/>
  </r>
  <r>
    <s v="ORD00255"/>
    <d v="2025-02-16T00:00:00"/>
    <x v="6"/>
    <x v="29"/>
    <x v="2"/>
    <s v="Germany"/>
    <x v="18"/>
    <x v="27"/>
    <n v="32481"/>
    <n v="30192"/>
  </r>
  <r>
    <s v="ORD00256"/>
    <d v="2025-11-14T00:00:00"/>
    <x v="2"/>
    <x v="44"/>
    <x v="6"/>
    <s v="UK"/>
    <x v="14"/>
    <x v="14"/>
    <n v="32915"/>
    <n v="31887"/>
  </r>
  <r>
    <s v="ORD00257"/>
    <d v="2025-06-30T00:00:00"/>
    <x v="5"/>
    <x v="37"/>
    <x v="0"/>
    <s v="Brazil"/>
    <x v="0"/>
    <x v="14"/>
    <n v="32637"/>
    <n v="25553"/>
  </r>
  <r>
    <s v="ORD00258"/>
    <d v="2025-07-20T00:00:00"/>
    <x v="0"/>
    <x v="14"/>
    <x v="2"/>
    <s v="Singapore"/>
    <x v="46"/>
    <x v="7"/>
    <n v="15711"/>
    <n v="14998"/>
  </r>
  <r>
    <s v="ORD00259"/>
    <d v="2025-01-21T00:00:00"/>
    <x v="1"/>
    <x v="7"/>
    <x v="5"/>
    <s v="Canada"/>
    <x v="8"/>
    <x v="6"/>
    <n v="22315"/>
    <n v="15722"/>
  </r>
  <r>
    <s v="ORD00260"/>
    <d v="2025-01-18T00:00:00"/>
    <x v="1"/>
    <x v="1"/>
    <x v="5"/>
    <s v="South Africa"/>
    <x v="43"/>
    <x v="22"/>
    <n v="36756"/>
    <n v="47706"/>
  </r>
  <r>
    <s v="ORD00261"/>
    <d v="2025-06-15T00:00:00"/>
    <x v="5"/>
    <x v="40"/>
    <x v="5"/>
    <s v="Canada"/>
    <x v="39"/>
    <x v="11"/>
    <n v="37463"/>
    <n v="32111"/>
  </r>
  <r>
    <s v="ORD00262"/>
    <d v="2025-05-03T00:00:00"/>
    <x v="8"/>
    <x v="27"/>
    <x v="3"/>
    <s v="India"/>
    <x v="34"/>
    <x v="17"/>
    <n v="23179"/>
    <n v="29612"/>
  </r>
  <r>
    <s v="ORD00263"/>
    <d v="2025-03-12T00:00:00"/>
    <x v="9"/>
    <x v="19"/>
    <x v="6"/>
    <s v="Singapore"/>
    <x v="0"/>
    <x v="20"/>
    <n v="26488"/>
    <n v="23975"/>
  </r>
  <r>
    <s v="ORD00264"/>
    <d v="2025-03-19T00:00:00"/>
    <x v="9"/>
    <x v="39"/>
    <x v="1"/>
    <s v="Italy"/>
    <x v="14"/>
    <x v="10"/>
    <n v="28508"/>
    <n v="20176"/>
  </r>
  <r>
    <s v="ORD00265"/>
    <d v="2025-12-30T00:00:00"/>
    <x v="10"/>
    <x v="5"/>
    <x v="1"/>
    <s v="South Africa"/>
    <x v="31"/>
    <x v="25"/>
    <n v="29030"/>
    <n v="28027"/>
  </r>
  <r>
    <s v="ORD00266"/>
    <d v="2025-06-02T00:00:00"/>
    <x v="5"/>
    <x v="41"/>
    <x v="0"/>
    <s v="Japan"/>
    <x v="33"/>
    <x v="14"/>
    <n v="16535"/>
    <n v="12052"/>
  </r>
  <r>
    <s v="ORD00267"/>
    <d v="2025-11-07T00:00:00"/>
    <x v="2"/>
    <x v="51"/>
    <x v="3"/>
    <s v="Spain"/>
    <x v="28"/>
    <x v="9"/>
    <n v="28072"/>
    <n v="31899"/>
  </r>
  <r>
    <s v="ORD00268"/>
    <d v="2025-07-14T00:00:00"/>
    <x v="0"/>
    <x v="14"/>
    <x v="5"/>
    <s v="China"/>
    <x v="30"/>
    <x v="23"/>
    <n v="38960"/>
    <n v="28340"/>
  </r>
  <r>
    <s v="ORD00269"/>
    <d v="2025-10-20T00:00:00"/>
    <x v="4"/>
    <x v="50"/>
    <x v="0"/>
    <s v="South Africa"/>
    <x v="2"/>
    <x v="28"/>
    <n v="16427"/>
    <n v="13728"/>
  </r>
  <r>
    <s v="ORD00270"/>
    <d v="2025-11-30T00:00:00"/>
    <x v="2"/>
    <x v="11"/>
    <x v="6"/>
    <s v="Turkey"/>
    <x v="30"/>
    <x v="7"/>
    <n v="28437"/>
    <n v="24064"/>
  </r>
  <r>
    <s v="ORD00271"/>
    <d v="2025-08-07T00:00:00"/>
    <x v="11"/>
    <x v="23"/>
    <x v="0"/>
    <s v="Mexico"/>
    <x v="26"/>
    <x v="20"/>
    <n v="18425"/>
    <n v="16910"/>
  </r>
  <r>
    <s v="ORD00272"/>
    <d v="2025-01-20T00:00:00"/>
    <x v="1"/>
    <x v="7"/>
    <x v="6"/>
    <s v="Malaysia"/>
    <x v="7"/>
    <x v="24"/>
    <n v="32110"/>
    <n v="27728"/>
  </r>
  <r>
    <s v="ORD00273"/>
    <d v="2025-04-11T00:00:00"/>
    <x v="7"/>
    <x v="16"/>
    <x v="2"/>
    <s v="USA"/>
    <x v="40"/>
    <x v="15"/>
    <n v="16680"/>
    <n v="18788"/>
  </r>
  <r>
    <s v="ORD00274"/>
    <d v="2025-01-11T00:00:00"/>
    <x v="1"/>
    <x v="6"/>
    <x v="3"/>
    <s v="Italy"/>
    <x v="38"/>
    <x v="14"/>
    <n v="34339"/>
    <n v="29597"/>
  </r>
  <r>
    <s v="ORD00275"/>
    <d v="2025-12-06T00:00:00"/>
    <x v="10"/>
    <x v="43"/>
    <x v="3"/>
    <s v="Italy"/>
    <x v="0"/>
    <x v="8"/>
    <n v="25109"/>
    <n v="28080"/>
  </r>
  <r>
    <s v="ORD00276"/>
    <d v="2025-12-24T00:00:00"/>
    <x v="10"/>
    <x v="42"/>
    <x v="2"/>
    <s v="Japan"/>
    <x v="35"/>
    <x v="8"/>
    <n v="32953"/>
    <n v="29870"/>
  </r>
  <r>
    <s v="ORD00277"/>
    <d v="2025-01-15T00:00:00"/>
    <x v="1"/>
    <x v="1"/>
    <x v="0"/>
    <s v="UAE"/>
    <x v="27"/>
    <x v="2"/>
    <n v="25538"/>
    <n v="24717"/>
  </r>
  <r>
    <s v="ORD00278"/>
    <d v="2025-02-14T00:00:00"/>
    <x v="6"/>
    <x v="29"/>
    <x v="3"/>
    <s v="Canada"/>
    <x v="14"/>
    <x v="18"/>
    <n v="34239"/>
    <n v="27031"/>
  </r>
  <r>
    <s v="ORD00279"/>
    <d v="2025-12-28T00:00:00"/>
    <x v="10"/>
    <x v="42"/>
    <x v="5"/>
    <s v="Malaysia"/>
    <x v="24"/>
    <x v="19"/>
    <n v="34443"/>
    <n v="40235"/>
  </r>
  <r>
    <s v="ORD00280"/>
    <d v="2025-06-15T00:00:00"/>
    <x v="5"/>
    <x v="40"/>
    <x v="0"/>
    <s v="UK"/>
    <x v="32"/>
    <x v="25"/>
    <n v="20962"/>
    <n v="15277"/>
  </r>
  <r>
    <s v="ORD00281"/>
    <d v="2025-08-01T00:00:00"/>
    <x v="11"/>
    <x v="12"/>
    <x v="2"/>
    <s v="Brazil"/>
    <x v="26"/>
    <x v="11"/>
    <n v="26746"/>
    <n v="31883"/>
  </r>
  <r>
    <s v="ORD00282"/>
    <d v="2025-08-26T00:00:00"/>
    <x v="11"/>
    <x v="28"/>
    <x v="6"/>
    <s v="Thailand"/>
    <x v="13"/>
    <x v="0"/>
    <n v="26918"/>
    <n v="34328"/>
  </r>
  <r>
    <s v="ORD00283"/>
    <d v="2025-01-28T00:00:00"/>
    <x v="1"/>
    <x v="3"/>
    <x v="1"/>
    <s v="UK"/>
    <x v="20"/>
    <x v="25"/>
    <n v="27179"/>
    <n v="34405"/>
  </r>
  <r>
    <s v="ORD00284"/>
    <d v="2025-05-23T00:00:00"/>
    <x v="8"/>
    <x v="26"/>
    <x v="4"/>
    <s v="UK"/>
    <x v="0"/>
    <x v="5"/>
    <n v="24574"/>
    <n v="24442"/>
  </r>
  <r>
    <s v="ORD00285"/>
    <d v="2025-08-31T00:00:00"/>
    <x v="11"/>
    <x v="28"/>
    <x v="3"/>
    <s v="UAE"/>
    <x v="14"/>
    <x v="11"/>
    <n v="37431"/>
    <n v="45401"/>
  </r>
  <r>
    <s v="ORD00286"/>
    <d v="2025-04-19T00:00:00"/>
    <x v="7"/>
    <x v="20"/>
    <x v="6"/>
    <s v="Germany"/>
    <x v="44"/>
    <x v="21"/>
    <n v="31813"/>
    <n v="32191"/>
  </r>
  <r>
    <s v="ORD00287"/>
    <d v="2025-01-27T00:00:00"/>
    <x v="1"/>
    <x v="3"/>
    <x v="0"/>
    <s v="Japan"/>
    <x v="30"/>
    <x v="13"/>
    <n v="34813"/>
    <n v="37666"/>
  </r>
  <r>
    <s v="ORD00288"/>
    <d v="2025-05-16T00:00:00"/>
    <x v="8"/>
    <x v="17"/>
    <x v="2"/>
    <s v="UK"/>
    <x v="24"/>
    <x v="27"/>
    <n v="29130"/>
    <n v="29966"/>
  </r>
  <r>
    <s v="ORD00289"/>
    <d v="2025-10-13T00:00:00"/>
    <x v="4"/>
    <x v="10"/>
    <x v="5"/>
    <s v="China"/>
    <x v="40"/>
    <x v="11"/>
    <n v="23377"/>
    <n v="21864"/>
  </r>
  <r>
    <s v="ORD00290"/>
    <d v="2025-06-27T00:00:00"/>
    <x v="5"/>
    <x v="36"/>
    <x v="0"/>
    <s v="France"/>
    <x v="38"/>
    <x v="29"/>
    <n v="17338"/>
    <n v="15097"/>
  </r>
  <r>
    <s v="ORD00291"/>
    <d v="2025-08-15T00:00:00"/>
    <x v="11"/>
    <x v="30"/>
    <x v="0"/>
    <s v="USA"/>
    <x v="4"/>
    <x v="27"/>
    <n v="33435"/>
    <n v="28532"/>
  </r>
  <r>
    <s v="ORD00292"/>
    <d v="2025-01-08T00:00:00"/>
    <x v="1"/>
    <x v="6"/>
    <x v="0"/>
    <s v="Canada"/>
    <x v="13"/>
    <x v="1"/>
    <n v="29915"/>
    <n v="23499"/>
  </r>
  <r>
    <s v="ORD00293"/>
    <d v="2025-10-25T00:00:00"/>
    <x v="4"/>
    <x v="50"/>
    <x v="5"/>
    <s v="India"/>
    <x v="13"/>
    <x v="5"/>
    <n v="38461"/>
    <n v="29767"/>
  </r>
  <r>
    <s v="ORD00294"/>
    <d v="2025-07-30T00:00:00"/>
    <x v="0"/>
    <x v="12"/>
    <x v="3"/>
    <s v="USA"/>
    <x v="35"/>
    <x v="1"/>
    <n v="16856"/>
    <n v="20320"/>
  </r>
  <r>
    <s v="ORD00295"/>
    <d v="2025-06-25T00:00:00"/>
    <x v="5"/>
    <x v="36"/>
    <x v="4"/>
    <s v="Spain"/>
    <x v="18"/>
    <x v="10"/>
    <n v="22181"/>
    <n v="25285"/>
  </r>
  <r>
    <s v="ORD00296"/>
    <d v="2025-04-28T00:00:00"/>
    <x v="7"/>
    <x v="27"/>
    <x v="5"/>
    <s v="India"/>
    <x v="26"/>
    <x v="8"/>
    <n v="26142"/>
    <n v="22631"/>
  </r>
  <r>
    <s v="ORD00297"/>
    <d v="2025-07-02T00:00:00"/>
    <x v="0"/>
    <x v="37"/>
    <x v="4"/>
    <s v="France"/>
    <x v="11"/>
    <x v="7"/>
    <n v="16554"/>
    <n v="14426"/>
  </r>
  <r>
    <s v="ORD00298"/>
    <d v="2025-03-25T00:00:00"/>
    <x v="9"/>
    <x v="33"/>
    <x v="6"/>
    <s v="China"/>
    <x v="31"/>
    <x v="20"/>
    <n v="26968"/>
    <n v="20875"/>
  </r>
  <r>
    <s v="ORD00299"/>
    <d v="2025-11-29T00:00:00"/>
    <x v="2"/>
    <x v="11"/>
    <x v="6"/>
    <s v="Germany"/>
    <x v="48"/>
    <x v="16"/>
    <n v="36154"/>
    <n v="42774"/>
  </r>
  <r>
    <s v="ORD00300"/>
    <d v="2025-08-18T00:00:00"/>
    <x v="11"/>
    <x v="46"/>
    <x v="0"/>
    <s v="Japan"/>
    <x v="42"/>
    <x v="23"/>
    <n v="18291"/>
    <n v="13998"/>
  </r>
  <r>
    <s v="ORD00301"/>
    <d v="2025-05-31T00:00:00"/>
    <x v="8"/>
    <x v="24"/>
    <x v="5"/>
    <s v="Germany"/>
    <x v="40"/>
    <x v="12"/>
    <n v="37973"/>
    <n v="38172"/>
  </r>
  <r>
    <s v="ORD00302"/>
    <d v="2025-06-30T00:00:00"/>
    <x v="5"/>
    <x v="37"/>
    <x v="1"/>
    <s v="Germany"/>
    <x v="37"/>
    <x v="5"/>
    <n v="30951"/>
    <n v="30047"/>
  </r>
  <r>
    <s v="ORD00303"/>
    <d v="2025-05-21T00:00:00"/>
    <x v="8"/>
    <x v="26"/>
    <x v="1"/>
    <s v="India"/>
    <x v="24"/>
    <x v="1"/>
    <n v="35874"/>
    <n v="33410"/>
  </r>
  <r>
    <s v="ORD00304"/>
    <d v="2025-11-07T00:00:00"/>
    <x v="2"/>
    <x v="51"/>
    <x v="3"/>
    <s v="Mexico"/>
    <x v="34"/>
    <x v="5"/>
    <n v="22444"/>
    <n v="17959"/>
  </r>
  <r>
    <s v="ORD00305"/>
    <d v="2025-01-26T00:00:00"/>
    <x v="1"/>
    <x v="7"/>
    <x v="6"/>
    <s v="India"/>
    <x v="27"/>
    <x v="13"/>
    <n v="17733"/>
    <n v="22486"/>
  </r>
  <r>
    <s v="ORD00306"/>
    <d v="2025-09-21T00:00:00"/>
    <x v="3"/>
    <x v="8"/>
    <x v="4"/>
    <s v="Australia"/>
    <x v="4"/>
    <x v="1"/>
    <n v="25882"/>
    <n v="22522"/>
  </r>
  <r>
    <s v="ORD00307"/>
    <d v="2025-05-03T00:00:00"/>
    <x v="8"/>
    <x v="27"/>
    <x v="3"/>
    <s v="Russia"/>
    <x v="42"/>
    <x v="21"/>
    <n v="30445"/>
    <n v="28310"/>
  </r>
  <r>
    <s v="ORD00308"/>
    <d v="2025-01-10T00:00:00"/>
    <x v="1"/>
    <x v="6"/>
    <x v="1"/>
    <s v="China"/>
    <x v="37"/>
    <x v="22"/>
    <n v="26599"/>
    <n v="26185"/>
  </r>
  <r>
    <s v="ORD00309"/>
    <d v="2025-10-08T00:00:00"/>
    <x v="4"/>
    <x v="45"/>
    <x v="5"/>
    <s v="Mexico"/>
    <x v="29"/>
    <x v="23"/>
    <n v="36103"/>
    <n v="27412"/>
  </r>
  <r>
    <s v="ORD00310"/>
    <d v="2025-05-02T00:00:00"/>
    <x v="8"/>
    <x v="27"/>
    <x v="5"/>
    <s v="Brazil"/>
    <x v="10"/>
    <x v="20"/>
    <n v="28840"/>
    <n v="31042"/>
  </r>
  <r>
    <s v="ORD00311"/>
    <d v="2025-01-08T00:00:00"/>
    <x v="1"/>
    <x v="6"/>
    <x v="2"/>
    <s v="China"/>
    <x v="15"/>
    <x v="17"/>
    <n v="21972"/>
    <n v="25374"/>
  </r>
  <r>
    <s v="ORD00312"/>
    <d v="2025-09-06T00:00:00"/>
    <x v="3"/>
    <x v="4"/>
    <x v="2"/>
    <s v="UK"/>
    <x v="32"/>
    <x v="7"/>
    <n v="34418"/>
    <n v="39632"/>
  </r>
  <r>
    <s v="ORD00313"/>
    <d v="2025-07-29T00:00:00"/>
    <x v="0"/>
    <x v="12"/>
    <x v="0"/>
    <s v="Spain"/>
    <x v="30"/>
    <x v="22"/>
    <n v="35613"/>
    <n v="30184"/>
  </r>
  <r>
    <s v="ORD00314"/>
    <d v="2025-01-30T00:00:00"/>
    <x v="1"/>
    <x v="3"/>
    <x v="1"/>
    <s v="Canada"/>
    <x v="44"/>
    <x v="14"/>
    <n v="24048"/>
    <n v="29970"/>
  </r>
  <r>
    <s v="ORD00315"/>
    <d v="2025-02-24T00:00:00"/>
    <x v="6"/>
    <x v="22"/>
    <x v="5"/>
    <s v="China"/>
    <x v="17"/>
    <x v="5"/>
    <n v="32845"/>
    <n v="34499"/>
  </r>
  <r>
    <s v="ORD00316"/>
    <d v="2025-12-21T00:00:00"/>
    <x v="10"/>
    <x v="21"/>
    <x v="5"/>
    <s v="Turkey"/>
    <x v="15"/>
    <x v="0"/>
    <n v="27589"/>
    <n v="33254"/>
  </r>
  <r>
    <s v="ORD00317"/>
    <d v="2025-07-20T00:00:00"/>
    <x v="0"/>
    <x v="14"/>
    <x v="4"/>
    <s v="Malaysia"/>
    <x v="14"/>
    <x v="27"/>
    <n v="35315"/>
    <n v="27861"/>
  </r>
  <r>
    <s v="ORD00318"/>
    <d v="2025-10-08T00:00:00"/>
    <x v="4"/>
    <x v="45"/>
    <x v="3"/>
    <s v="India"/>
    <x v="48"/>
    <x v="21"/>
    <n v="36150"/>
    <n v="42350"/>
  </r>
  <r>
    <s v="ORD00319"/>
    <d v="2025-07-11T00:00:00"/>
    <x v="0"/>
    <x v="47"/>
    <x v="2"/>
    <s v="South Africa"/>
    <x v="17"/>
    <x v="18"/>
    <n v="36187"/>
    <n v="32976"/>
  </r>
  <r>
    <s v="ORD00320"/>
    <d v="2025-08-30T00:00:00"/>
    <x v="11"/>
    <x v="28"/>
    <x v="6"/>
    <s v="Japan"/>
    <x v="2"/>
    <x v="19"/>
    <n v="21967"/>
    <n v="17839"/>
  </r>
  <r>
    <s v="ORD00321"/>
    <d v="2025-04-24T00:00:00"/>
    <x v="7"/>
    <x v="38"/>
    <x v="3"/>
    <s v="Malaysia"/>
    <x v="46"/>
    <x v="1"/>
    <n v="28677"/>
    <n v="26873"/>
  </r>
  <r>
    <s v="ORD00322"/>
    <d v="2025-02-11T00:00:00"/>
    <x v="6"/>
    <x v="29"/>
    <x v="1"/>
    <s v="Australia"/>
    <x v="30"/>
    <x v="0"/>
    <n v="24157"/>
    <n v="26013"/>
  </r>
  <r>
    <s v="ORD00323"/>
    <d v="2025-02-16T00:00:00"/>
    <x v="6"/>
    <x v="29"/>
    <x v="6"/>
    <s v="Germany"/>
    <x v="11"/>
    <x v="1"/>
    <n v="17932"/>
    <n v="17515"/>
  </r>
  <r>
    <s v="ORD00324"/>
    <d v="2025-06-29T00:00:00"/>
    <x v="5"/>
    <x v="36"/>
    <x v="2"/>
    <s v="Mexico"/>
    <x v="46"/>
    <x v="19"/>
    <n v="34032"/>
    <n v="36619"/>
  </r>
  <r>
    <s v="ORD00325"/>
    <d v="2025-10-26T00:00:00"/>
    <x v="4"/>
    <x v="50"/>
    <x v="0"/>
    <s v="Singapore"/>
    <x v="41"/>
    <x v="20"/>
    <n v="32166"/>
    <n v="39761"/>
  </r>
  <r>
    <s v="ORD00326"/>
    <d v="2025-02-17T00:00:00"/>
    <x v="6"/>
    <x v="15"/>
    <x v="5"/>
    <s v="Italy"/>
    <x v="4"/>
    <x v="24"/>
    <n v="29558"/>
    <n v="34576"/>
  </r>
  <r>
    <s v="ORD00327"/>
    <d v="2025-07-04T00:00:00"/>
    <x v="0"/>
    <x v="37"/>
    <x v="3"/>
    <s v="Japan"/>
    <x v="14"/>
    <x v="16"/>
    <n v="36716"/>
    <n v="46156"/>
  </r>
  <r>
    <s v="ORD00328"/>
    <d v="2025-08-31T00:00:00"/>
    <x v="11"/>
    <x v="28"/>
    <x v="6"/>
    <s v="UK"/>
    <x v="11"/>
    <x v="14"/>
    <n v="21836"/>
    <n v="21075"/>
  </r>
  <r>
    <s v="ORD00329"/>
    <d v="2025-09-07T00:00:00"/>
    <x v="3"/>
    <x v="4"/>
    <x v="2"/>
    <s v="Singapore"/>
    <x v="13"/>
    <x v="29"/>
    <n v="25935"/>
    <n v="18958"/>
  </r>
  <r>
    <s v="ORD00330"/>
    <d v="2025-05-23T00:00:00"/>
    <x v="8"/>
    <x v="26"/>
    <x v="5"/>
    <s v="Australia"/>
    <x v="40"/>
    <x v="27"/>
    <n v="22359"/>
    <n v="19289"/>
  </r>
  <r>
    <s v="ORD00331"/>
    <d v="2025-11-17T00:00:00"/>
    <x v="2"/>
    <x v="9"/>
    <x v="3"/>
    <s v="France"/>
    <x v="0"/>
    <x v="28"/>
    <n v="25948"/>
    <n v="24160"/>
  </r>
  <r>
    <s v="ORD00332"/>
    <d v="2025-01-08T00:00:00"/>
    <x v="1"/>
    <x v="6"/>
    <x v="2"/>
    <s v="Mexico"/>
    <x v="34"/>
    <x v="18"/>
    <n v="27295"/>
    <n v="24269"/>
  </r>
  <r>
    <s v="ORD00333"/>
    <d v="2025-03-30T00:00:00"/>
    <x v="9"/>
    <x v="33"/>
    <x v="1"/>
    <s v="Mexico"/>
    <x v="4"/>
    <x v="3"/>
    <n v="19379"/>
    <n v="21178"/>
  </r>
  <r>
    <s v="ORD00334"/>
    <d v="2025-08-29T00:00:00"/>
    <x v="11"/>
    <x v="28"/>
    <x v="5"/>
    <s v="Brazil"/>
    <x v="7"/>
    <x v="21"/>
    <n v="17867"/>
    <n v="13536"/>
  </r>
  <r>
    <s v="ORD00335"/>
    <d v="2025-12-31T00:00:00"/>
    <x v="10"/>
    <x v="5"/>
    <x v="0"/>
    <s v="Mexico"/>
    <x v="13"/>
    <x v="13"/>
    <n v="23420"/>
    <n v="30376"/>
  </r>
  <r>
    <s v="ORD00336"/>
    <d v="2025-12-21T00:00:00"/>
    <x v="10"/>
    <x v="21"/>
    <x v="1"/>
    <s v="USA"/>
    <x v="48"/>
    <x v="5"/>
    <n v="22001"/>
    <n v="20369"/>
  </r>
  <r>
    <s v="ORD00337"/>
    <d v="2025-09-21T00:00:00"/>
    <x v="3"/>
    <x v="8"/>
    <x v="0"/>
    <s v="UK"/>
    <x v="20"/>
    <x v="29"/>
    <n v="19368"/>
    <n v="19098"/>
  </r>
  <r>
    <s v="ORD00338"/>
    <d v="2025-07-29T00:00:00"/>
    <x v="0"/>
    <x v="12"/>
    <x v="2"/>
    <s v="UK"/>
    <x v="20"/>
    <x v="8"/>
    <n v="19470"/>
    <n v="16395"/>
  </r>
  <r>
    <s v="ORD00339"/>
    <d v="2025-10-19T00:00:00"/>
    <x v="4"/>
    <x v="10"/>
    <x v="5"/>
    <s v="Malaysia"/>
    <x v="10"/>
    <x v="24"/>
    <n v="15403"/>
    <n v="13166"/>
  </r>
  <r>
    <s v="ORD00340"/>
    <d v="2025-09-14T00:00:00"/>
    <x v="3"/>
    <x v="31"/>
    <x v="4"/>
    <s v="Brazil"/>
    <x v="35"/>
    <x v="26"/>
    <n v="38073"/>
    <n v="44574"/>
  </r>
  <r>
    <s v="ORD00341"/>
    <d v="2025-08-26T00:00:00"/>
    <x v="11"/>
    <x v="28"/>
    <x v="6"/>
    <s v="Russia"/>
    <x v="0"/>
    <x v="16"/>
    <n v="35347"/>
    <n v="43955"/>
  </r>
  <r>
    <s v="ORD00342"/>
    <d v="2025-07-07T00:00:00"/>
    <x v="0"/>
    <x v="47"/>
    <x v="3"/>
    <s v="Germany"/>
    <x v="5"/>
    <x v="17"/>
    <n v="38909"/>
    <n v="34559"/>
  </r>
  <r>
    <s v="ORD00343"/>
    <d v="2025-11-27T00:00:00"/>
    <x v="2"/>
    <x v="11"/>
    <x v="6"/>
    <s v="USA"/>
    <x v="25"/>
    <x v="26"/>
    <n v="30276"/>
    <n v="33087"/>
  </r>
  <r>
    <s v="ORD00344"/>
    <d v="2025-01-23T00:00:00"/>
    <x v="1"/>
    <x v="7"/>
    <x v="3"/>
    <s v="France"/>
    <x v="11"/>
    <x v="20"/>
    <n v="27651"/>
    <n v="28701"/>
  </r>
  <r>
    <s v="ORD00345"/>
    <d v="2025-03-16T00:00:00"/>
    <x v="9"/>
    <x v="19"/>
    <x v="3"/>
    <s v="India"/>
    <x v="36"/>
    <x v="10"/>
    <n v="20640"/>
    <n v="24599"/>
  </r>
  <r>
    <s v="ORD00346"/>
    <d v="2025-11-17T00:00:00"/>
    <x v="2"/>
    <x v="9"/>
    <x v="0"/>
    <s v="Singapore"/>
    <x v="45"/>
    <x v="11"/>
    <n v="35467"/>
    <n v="39402"/>
  </r>
  <r>
    <s v="ORD00347"/>
    <d v="2025-04-07T00:00:00"/>
    <x v="7"/>
    <x v="16"/>
    <x v="6"/>
    <s v="Russia"/>
    <x v="21"/>
    <x v="5"/>
    <n v="18149"/>
    <n v="14146"/>
  </r>
  <r>
    <s v="ORD00348"/>
    <d v="2025-04-17T00:00:00"/>
    <x v="7"/>
    <x v="20"/>
    <x v="4"/>
    <s v="Mexico"/>
    <x v="37"/>
    <x v="16"/>
    <n v="15279"/>
    <n v="19452"/>
  </r>
  <r>
    <s v="ORD00349"/>
    <d v="2025-11-15T00:00:00"/>
    <x v="2"/>
    <x v="44"/>
    <x v="0"/>
    <s v="UAE"/>
    <x v="30"/>
    <x v="14"/>
    <n v="39970"/>
    <n v="46362"/>
  </r>
  <r>
    <s v="ORD00350"/>
    <d v="2025-04-27T00:00:00"/>
    <x v="7"/>
    <x v="38"/>
    <x v="4"/>
    <s v="Italy"/>
    <x v="43"/>
    <x v="6"/>
    <n v="21014"/>
    <n v="16948"/>
  </r>
  <r>
    <s v="ORD00351"/>
    <d v="2025-07-01T00:00:00"/>
    <x v="0"/>
    <x v="37"/>
    <x v="4"/>
    <s v="Thailand"/>
    <x v="37"/>
    <x v="27"/>
    <n v="37885"/>
    <n v="48501"/>
  </r>
  <r>
    <s v="ORD00352"/>
    <d v="2025-06-23T00:00:00"/>
    <x v="5"/>
    <x v="36"/>
    <x v="4"/>
    <s v="UK"/>
    <x v="2"/>
    <x v="25"/>
    <n v="27707"/>
    <n v="28947"/>
  </r>
  <r>
    <s v="ORD00353"/>
    <d v="2025-01-09T00:00:00"/>
    <x v="1"/>
    <x v="6"/>
    <x v="1"/>
    <s v="Singapore"/>
    <x v="5"/>
    <x v="9"/>
    <n v="16523"/>
    <n v="20922"/>
  </r>
  <r>
    <s v="ORD00354"/>
    <d v="2025-05-02T00:00:00"/>
    <x v="8"/>
    <x v="27"/>
    <x v="2"/>
    <s v="UK"/>
    <x v="15"/>
    <x v="12"/>
    <n v="28709"/>
    <n v="36174"/>
  </r>
  <r>
    <s v="ORD00355"/>
    <d v="2025-03-28T00:00:00"/>
    <x v="9"/>
    <x v="33"/>
    <x v="2"/>
    <s v="Singapore"/>
    <x v="7"/>
    <x v="5"/>
    <n v="29182"/>
    <n v="24004"/>
  </r>
  <r>
    <s v="ORD00356"/>
    <d v="2025-12-04T00:00:00"/>
    <x v="10"/>
    <x v="43"/>
    <x v="1"/>
    <s v="Turkey"/>
    <x v="6"/>
    <x v="0"/>
    <n v="27151"/>
    <n v="25051"/>
  </r>
  <r>
    <s v="ORD00357"/>
    <d v="2025-10-31T00:00:00"/>
    <x v="4"/>
    <x v="2"/>
    <x v="0"/>
    <s v="UAE"/>
    <x v="14"/>
    <x v="23"/>
    <n v="19191"/>
    <n v="22070"/>
  </r>
  <r>
    <s v="ORD00358"/>
    <d v="2025-07-31T00:00:00"/>
    <x v="0"/>
    <x v="12"/>
    <x v="4"/>
    <s v="South Africa"/>
    <x v="46"/>
    <x v="13"/>
    <n v="39025"/>
    <n v="46567"/>
  </r>
  <r>
    <s v="ORD00359"/>
    <d v="2025-03-01T00:00:00"/>
    <x v="9"/>
    <x v="22"/>
    <x v="3"/>
    <s v="UAE"/>
    <x v="34"/>
    <x v="12"/>
    <n v="36661"/>
    <n v="38888"/>
  </r>
  <r>
    <s v="ORD00360"/>
    <d v="2025-09-08T00:00:00"/>
    <x v="3"/>
    <x v="31"/>
    <x v="5"/>
    <s v="Brazil"/>
    <x v="42"/>
    <x v="26"/>
    <n v="37113"/>
    <n v="26148"/>
  </r>
  <r>
    <s v="ORD00361"/>
    <d v="2025-05-26T00:00:00"/>
    <x v="8"/>
    <x v="24"/>
    <x v="2"/>
    <s v="Turkey"/>
    <x v="39"/>
    <x v="22"/>
    <n v="28389"/>
    <n v="31562"/>
  </r>
  <r>
    <s v="ORD00362"/>
    <d v="2025-12-09T00:00:00"/>
    <x v="10"/>
    <x v="32"/>
    <x v="2"/>
    <s v="Thailand"/>
    <x v="16"/>
    <x v="6"/>
    <n v="39442"/>
    <n v="34481"/>
  </r>
  <r>
    <s v="ORD00363"/>
    <d v="2025-02-15T00:00:00"/>
    <x v="6"/>
    <x v="29"/>
    <x v="5"/>
    <s v="Mexico"/>
    <x v="48"/>
    <x v="7"/>
    <n v="23732"/>
    <n v="28278"/>
  </r>
  <r>
    <s v="ORD00364"/>
    <d v="2025-01-21T00:00:00"/>
    <x v="1"/>
    <x v="7"/>
    <x v="1"/>
    <s v="Mexico"/>
    <x v="14"/>
    <x v="17"/>
    <n v="33481"/>
    <n v="24954"/>
  </r>
  <r>
    <s v="ORD00365"/>
    <d v="2025-07-22T00:00:00"/>
    <x v="0"/>
    <x v="0"/>
    <x v="4"/>
    <s v="UK"/>
    <x v="42"/>
    <x v="15"/>
    <n v="20913"/>
    <n v="26523"/>
  </r>
  <r>
    <s v="ORD00366"/>
    <d v="2025-10-25T00:00:00"/>
    <x v="4"/>
    <x v="50"/>
    <x v="4"/>
    <s v="Spain"/>
    <x v="42"/>
    <x v="25"/>
    <n v="39807"/>
    <n v="49509"/>
  </r>
  <r>
    <s v="ORD00367"/>
    <d v="2025-10-30T00:00:00"/>
    <x v="4"/>
    <x v="2"/>
    <x v="3"/>
    <s v="USA"/>
    <x v="24"/>
    <x v="5"/>
    <n v="16053"/>
    <n v="14489"/>
  </r>
  <r>
    <s v="ORD00368"/>
    <d v="2025-11-23T00:00:00"/>
    <x v="2"/>
    <x v="9"/>
    <x v="5"/>
    <s v="Japan"/>
    <x v="44"/>
    <x v="1"/>
    <n v="26328"/>
    <n v="18679"/>
  </r>
  <r>
    <s v="ORD00369"/>
    <d v="2025-05-09T00:00:00"/>
    <x v="8"/>
    <x v="18"/>
    <x v="1"/>
    <s v="China"/>
    <x v="3"/>
    <x v="16"/>
    <n v="32814"/>
    <n v="28784"/>
  </r>
  <r>
    <s v="ORD00370"/>
    <d v="2025-06-24T00:00:00"/>
    <x v="5"/>
    <x v="36"/>
    <x v="2"/>
    <s v="Japan"/>
    <x v="0"/>
    <x v="29"/>
    <n v="30699"/>
    <n v="22844"/>
  </r>
  <r>
    <s v="ORD00371"/>
    <d v="2025-12-14T00:00:00"/>
    <x v="10"/>
    <x v="32"/>
    <x v="1"/>
    <s v="Japan"/>
    <x v="10"/>
    <x v="14"/>
    <n v="33617"/>
    <n v="30090"/>
  </r>
  <r>
    <s v="ORD00372"/>
    <d v="2025-12-16T00:00:00"/>
    <x v="10"/>
    <x v="21"/>
    <x v="2"/>
    <s v="Japan"/>
    <x v="44"/>
    <x v="28"/>
    <n v="31835"/>
    <n v="24504"/>
  </r>
  <r>
    <s v="ORD00373"/>
    <d v="2025-12-31T00:00:00"/>
    <x v="10"/>
    <x v="5"/>
    <x v="0"/>
    <s v="Singapore"/>
    <x v="36"/>
    <x v="9"/>
    <n v="15448"/>
    <n v="19728"/>
  </r>
  <r>
    <s v="ORD00374"/>
    <d v="2025-05-07T00:00:00"/>
    <x v="8"/>
    <x v="18"/>
    <x v="2"/>
    <s v="India"/>
    <x v="4"/>
    <x v="9"/>
    <n v="22976"/>
    <n v="26976"/>
  </r>
  <r>
    <s v="ORD00375"/>
    <d v="2025-04-15T00:00:00"/>
    <x v="7"/>
    <x v="20"/>
    <x v="6"/>
    <s v="China"/>
    <x v="47"/>
    <x v="27"/>
    <n v="18565"/>
    <n v="23603"/>
  </r>
  <r>
    <s v="ORD00376"/>
    <d v="2025-12-27T00:00:00"/>
    <x v="10"/>
    <x v="42"/>
    <x v="2"/>
    <s v="Thailand"/>
    <x v="16"/>
    <x v="0"/>
    <n v="34966"/>
    <n v="40486"/>
  </r>
  <r>
    <s v="ORD00377"/>
    <d v="2025-07-19T00:00:00"/>
    <x v="0"/>
    <x v="14"/>
    <x v="0"/>
    <s v="South Africa"/>
    <x v="40"/>
    <x v="13"/>
    <n v="20150"/>
    <n v="18278"/>
  </r>
  <r>
    <s v="ORD00378"/>
    <d v="2025-01-25T00:00:00"/>
    <x v="1"/>
    <x v="7"/>
    <x v="2"/>
    <s v="Germany"/>
    <x v="38"/>
    <x v="14"/>
    <n v="23727"/>
    <n v="17790"/>
  </r>
  <r>
    <s v="ORD00379"/>
    <d v="2025-07-19T00:00:00"/>
    <x v="0"/>
    <x v="14"/>
    <x v="0"/>
    <s v="China"/>
    <x v="43"/>
    <x v="29"/>
    <n v="15494"/>
    <n v="13973"/>
  </r>
  <r>
    <s v="ORD00380"/>
    <d v="2025-07-28T00:00:00"/>
    <x v="0"/>
    <x v="12"/>
    <x v="4"/>
    <s v="Spain"/>
    <x v="33"/>
    <x v="15"/>
    <n v="25473"/>
    <n v="26447"/>
  </r>
  <r>
    <s v="ORD00381"/>
    <d v="2025-03-06T00:00:00"/>
    <x v="9"/>
    <x v="35"/>
    <x v="1"/>
    <s v="USA"/>
    <x v="14"/>
    <x v="3"/>
    <n v="29864"/>
    <n v="20944"/>
  </r>
  <r>
    <s v="ORD00382"/>
    <d v="2025-04-28T00:00:00"/>
    <x v="7"/>
    <x v="27"/>
    <x v="1"/>
    <s v="Japan"/>
    <x v="27"/>
    <x v="27"/>
    <n v="34515"/>
    <n v="28596"/>
  </r>
  <r>
    <s v="ORD00383"/>
    <d v="2025-09-12T00:00:00"/>
    <x v="3"/>
    <x v="31"/>
    <x v="2"/>
    <s v="Italy"/>
    <x v="45"/>
    <x v="26"/>
    <n v="29816"/>
    <n v="20901"/>
  </r>
  <r>
    <s v="ORD00384"/>
    <d v="2025-12-25T00:00:00"/>
    <x v="10"/>
    <x v="42"/>
    <x v="0"/>
    <s v="France"/>
    <x v="20"/>
    <x v="27"/>
    <n v="30689"/>
    <n v="39810"/>
  </r>
  <r>
    <s v="ORD00385"/>
    <d v="2025-12-12T00:00:00"/>
    <x v="10"/>
    <x v="32"/>
    <x v="4"/>
    <s v="Spain"/>
    <x v="24"/>
    <x v="27"/>
    <n v="37331"/>
    <n v="48156"/>
  </r>
  <r>
    <s v="ORD00386"/>
    <d v="2025-05-05T00:00:00"/>
    <x v="8"/>
    <x v="18"/>
    <x v="2"/>
    <s v="Brazil"/>
    <x v="20"/>
    <x v="25"/>
    <n v="20543"/>
    <n v="23383"/>
  </r>
  <r>
    <s v="ORD00387"/>
    <d v="2025-03-25T00:00:00"/>
    <x v="9"/>
    <x v="33"/>
    <x v="4"/>
    <s v="Italy"/>
    <x v="21"/>
    <x v="13"/>
    <n v="27243"/>
    <n v="29673"/>
  </r>
  <r>
    <s v="ORD00388"/>
    <d v="2025-02-08T00:00:00"/>
    <x v="6"/>
    <x v="48"/>
    <x v="6"/>
    <s v="Turkey"/>
    <x v="37"/>
    <x v="9"/>
    <n v="23552"/>
    <n v="29972"/>
  </r>
  <r>
    <s v="ORD00389"/>
    <d v="2025-09-07T00:00:00"/>
    <x v="3"/>
    <x v="4"/>
    <x v="3"/>
    <s v="Italy"/>
    <x v="11"/>
    <x v="16"/>
    <n v="39935"/>
    <n v="45693"/>
  </r>
  <r>
    <s v="ORD00390"/>
    <d v="2025-07-09T00:00:00"/>
    <x v="0"/>
    <x v="47"/>
    <x v="1"/>
    <s v="UK"/>
    <x v="24"/>
    <x v="26"/>
    <n v="37584"/>
    <n v="28366"/>
  </r>
  <r>
    <s v="ORD00391"/>
    <d v="2025-01-22T00:00:00"/>
    <x v="1"/>
    <x v="7"/>
    <x v="1"/>
    <s v="Brazil"/>
    <x v="4"/>
    <x v="19"/>
    <n v="17530"/>
    <n v="22542"/>
  </r>
  <r>
    <s v="ORD00392"/>
    <d v="2025-05-10T00:00:00"/>
    <x v="8"/>
    <x v="18"/>
    <x v="2"/>
    <s v="UK"/>
    <x v="47"/>
    <x v="12"/>
    <n v="38795"/>
    <n v="29465"/>
  </r>
  <r>
    <s v="ORD00393"/>
    <d v="2025-04-12T00:00:00"/>
    <x v="7"/>
    <x v="16"/>
    <x v="1"/>
    <s v="Singapore"/>
    <x v="30"/>
    <x v="28"/>
    <n v="38093"/>
    <n v="28898"/>
  </r>
  <r>
    <s v="ORD00394"/>
    <d v="2025-11-08T00:00:00"/>
    <x v="2"/>
    <x v="51"/>
    <x v="2"/>
    <s v="Mexico"/>
    <x v="32"/>
    <x v="10"/>
    <n v="18713"/>
    <n v="13946"/>
  </r>
  <r>
    <s v="ORD00395"/>
    <d v="2025-04-15T00:00:00"/>
    <x v="7"/>
    <x v="20"/>
    <x v="0"/>
    <s v="Germany"/>
    <x v="0"/>
    <x v="10"/>
    <n v="38129"/>
    <n v="41875"/>
  </r>
  <r>
    <s v="ORD00396"/>
    <d v="2025-10-15T00:00:00"/>
    <x v="4"/>
    <x v="10"/>
    <x v="5"/>
    <s v="UK"/>
    <x v="24"/>
    <x v="29"/>
    <n v="23482"/>
    <n v="30097"/>
  </r>
  <r>
    <s v="ORD00397"/>
    <d v="2025-04-14T00:00:00"/>
    <x v="7"/>
    <x v="20"/>
    <x v="4"/>
    <s v="UK"/>
    <x v="20"/>
    <x v="22"/>
    <n v="37884"/>
    <n v="32755"/>
  </r>
  <r>
    <s v="ORD00398"/>
    <d v="2025-06-06T00:00:00"/>
    <x v="5"/>
    <x v="41"/>
    <x v="5"/>
    <s v="India"/>
    <x v="23"/>
    <x v="14"/>
    <n v="15692"/>
    <n v="13040"/>
  </r>
  <r>
    <s v="ORD00399"/>
    <d v="2025-12-20T00:00:00"/>
    <x v="10"/>
    <x v="21"/>
    <x v="0"/>
    <s v="South Africa"/>
    <x v="34"/>
    <x v="25"/>
    <n v="39819"/>
    <n v="39188"/>
  </r>
  <r>
    <s v="ORD00400"/>
    <d v="2025-07-10T00:00:00"/>
    <x v="0"/>
    <x v="47"/>
    <x v="1"/>
    <s v="Mexico"/>
    <x v="45"/>
    <x v="17"/>
    <n v="37585"/>
    <n v="44657"/>
  </r>
  <r>
    <s v="ORD00401"/>
    <d v="2025-05-26T00:00:00"/>
    <x v="8"/>
    <x v="24"/>
    <x v="5"/>
    <s v="UK"/>
    <x v="0"/>
    <x v="26"/>
    <n v="39641"/>
    <n v="35319"/>
  </r>
  <r>
    <s v="ORD00402"/>
    <d v="2025-06-16T00:00:00"/>
    <x v="5"/>
    <x v="13"/>
    <x v="5"/>
    <s v="Spain"/>
    <x v="9"/>
    <x v="12"/>
    <n v="35633"/>
    <n v="43181"/>
  </r>
  <r>
    <s v="ORD00403"/>
    <d v="2025-02-08T00:00:00"/>
    <x v="6"/>
    <x v="48"/>
    <x v="1"/>
    <s v="UAE"/>
    <x v="32"/>
    <x v="20"/>
    <n v="35315"/>
    <n v="31886"/>
  </r>
  <r>
    <s v="ORD00404"/>
    <d v="2025-08-12T00:00:00"/>
    <x v="11"/>
    <x v="30"/>
    <x v="0"/>
    <s v="Turkey"/>
    <x v="43"/>
    <x v="28"/>
    <n v="38579"/>
    <n v="36943"/>
  </r>
  <r>
    <s v="ORD00405"/>
    <d v="2025-11-26T00:00:00"/>
    <x v="2"/>
    <x v="11"/>
    <x v="4"/>
    <s v="Brazil"/>
    <x v="1"/>
    <x v="27"/>
    <n v="18428"/>
    <n v="21152"/>
  </r>
  <r>
    <s v="ORD00406"/>
    <d v="2025-04-14T00:00:00"/>
    <x v="7"/>
    <x v="20"/>
    <x v="2"/>
    <s v="Spain"/>
    <x v="45"/>
    <x v="17"/>
    <n v="38665"/>
    <n v="35779"/>
  </r>
  <r>
    <s v="ORD00407"/>
    <d v="2025-08-28T00:00:00"/>
    <x v="11"/>
    <x v="28"/>
    <x v="0"/>
    <s v="UAE"/>
    <x v="35"/>
    <x v="18"/>
    <n v="19330"/>
    <n v="13816"/>
  </r>
  <r>
    <s v="ORD00408"/>
    <d v="2025-07-27T00:00:00"/>
    <x v="0"/>
    <x v="0"/>
    <x v="3"/>
    <s v="Canada"/>
    <x v="18"/>
    <x v="2"/>
    <n v="29122"/>
    <n v="37280"/>
  </r>
  <r>
    <s v="ORD00409"/>
    <d v="2025-04-15T00:00:00"/>
    <x v="7"/>
    <x v="20"/>
    <x v="2"/>
    <s v="Australia"/>
    <x v="37"/>
    <x v="26"/>
    <n v="36045"/>
    <n v="40462"/>
  </r>
  <r>
    <s v="ORD00410"/>
    <d v="2025-03-25T00:00:00"/>
    <x v="9"/>
    <x v="33"/>
    <x v="5"/>
    <s v="Brazil"/>
    <x v="40"/>
    <x v="20"/>
    <n v="36285"/>
    <n v="45084"/>
  </r>
  <r>
    <s v="ORD00411"/>
    <d v="2025-07-04T00:00:00"/>
    <x v="0"/>
    <x v="37"/>
    <x v="1"/>
    <s v="Russia"/>
    <x v="33"/>
    <x v="1"/>
    <n v="30638"/>
    <n v="25513"/>
  </r>
  <r>
    <s v="ORD00412"/>
    <d v="2025-01-20T00:00:00"/>
    <x v="1"/>
    <x v="7"/>
    <x v="1"/>
    <s v="Russia"/>
    <x v="39"/>
    <x v="6"/>
    <n v="31520"/>
    <n v="35990"/>
  </r>
  <r>
    <s v="ORD00413"/>
    <d v="2025-09-25T00:00:00"/>
    <x v="3"/>
    <x v="25"/>
    <x v="6"/>
    <s v="Italy"/>
    <x v="4"/>
    <x v="10"/>
    <n v="25314"/>
    <n v="18732"/>
  </r>
  <r>
    <s v="ORD00414"/>
    <d v="2025-03-22T00:00:00"/>
    <x v="9"/>
    <x v="39"/>
    <x v="0"/>
    <s v="UAE"/>
    <x v="5"/>
    <x v="27"/>
    <n v="21939"/>
    <n v="27309"/>
  </r>
  <r>
    <s v="ORD00415"/>
    <d v="2025-12-04T00:00:00"/>
    <x v="10"/>
    <x v="43"/>
    <x v="1"/>
    <s v="Japan"/>
    <x v="36"/>
    <x v="28"/>
    <n v="23471"/>
    <n v="27164"/>
  </r>
  <r>
    <s v="ORD00416"/>
    <d v="2025-12-06T00:00:00"/>
    <x v="10"/>
    <x v="43"/>
    <x v="3"/>
    <s v="Japan"/>
    <x v="17"/>
    <x v="29"/>
    <n v="37515"/>
    <n v="46111"/>
  </r>
  <r>
    <s v="ORD00417"/>
    <d v="2025-08-22T00:00:00"/>
    <x v="11"/>
    <x v="46"/>
    <x v="6"/>
    <s v="Turkey"/>
    <x v="16"/>
    <x v="27"/>
    <n v="17373"/>
    <n v="14678"/>
  </r>
  <r>
    <s v="ORD00418"/>
    <d v="2025-10-02T00:00:00"/>
    <x v="4"/>
    <x v="49"/>
    <x v="3"/>
    <s v="Germany"/>
    <x v="43"/>
    <x v="7"/>
    <n v="31914"/>
    <n v="25187"/>
  </r>
  <r>
    <s v="ORD00419"/>
    <d v="2025-08-09T00:00:00"/>
    <x v="11"/>
    <x v="23"/>
    <x v="0"/>
    <s v="Thailand"/>
    <x v="18"/>
    <x v="11"/>
    <n v="23715"/>
    <n v="29347"/>
  </r>
  <r>
    <s v="ORD00420"/>
    <d v="2025-04-10T00:00:00"/>
    <x v="7"/>
    <x v="16"/>
    <x v="1"/>
    <s v="China"/>
    <x v="4"/>
    <x v="25"/>
    <n v="27616"/>
    <n v="22294"/>
  </r>
  <r>
    <s v="ORD00421"/>
    <d v="2025-01-07T00:00:00"/>
    <x v="1"/>
    <x v="6"/>
    <x v="0"/>
    <s v="UK"/>
    <x v="25"/>
    <x v="16"/>
    <n v="38674"/>
    <n v="40669"/>
  </r>
  <r>
    <s v="ORD00422"/>
    <d v="2025-07-17T00:00:00"/>
    <x v="0"/>
    <x v="14"/>
    <x v="3"/>
    <s v="France"/>
    <x v="3"/>
    <x v="8"/>
    <n v="36707"/>
    <n v="37547"/>
  </r>
  <r>
    <s v="ORD00423"/>
    <d v="2025-05-13T00:00:00"/>
    <x v="8"/>
    <x v="17"/>
    <x v="1"/>
    <s v="South Africa"/>
    <x v="41"/>
    <x v="23"/>
    <n v="18950"/>
    <n v="19376"/>
  </r>
  <r>
    <s v="ORD00424"/>
    <d v="2025-08-27T00:00:00"/>
    <x v="11"/>
    <x v="28"/>
    <x v="4"/>
    <s v="UAE"/>
    <x v="15"/>
    <x v="26"/>
    <n v="22918"/>
    <n v="28981"/>
  </r>
  <r>
    <s v="ORD00425"/>
    <d v="2025-10-19T00:00:00"/>
    <x v="4"/>
    <x v="10"/>
    <x v="3"/>
    <s v="Thailand"/>
    <x v="29"/>
    <x v="4"/>
    <n v="27715"/>
    <n v="32368"/>
  </r>
  <r>
    <s v="ORD00426"/>
    <d v="2025-01-18T00:00:00"/>
    <x v="1"/>
    <x v="1"/>
    <x v="4"/>
    <s v="UK"/>
    <x v="43"/>
    <x v="28"/>
    <n v="36355"/>
    <n v="35176"/>
  </r>
  <r>
    <s v="ORD00427"/>
    <d v="2025-04-30T00:00:00"/>
    <x v="7"/>
    <x v="27"/>
    <x v="4"/>
    <s v="India"/>
    <x v="15"/>
    <x v="9"/>
    <n v="20582"/>
    <n v="24828"/>
  </r>
  <r>
    <s v="ORD00428"/>
    <d v="2025-05-04T00:00:00"/>
    <x v="8"/>
    <x v="27"/>
    <x v="6"/>
    <s v="Australia"/>
    <x v="44"/>
    <x v="11"/>
    <n v="33528"/>
    <n v="38086"/>
  </r>
  <r>
    <s v="ORD00429"/>
    <d v="2025-01-04T00:00:00"/>
    <x v="1"/>
    <x v="5"/>
    <x v="2"/>
    <s v="Spain"/>
    <x v="9"/>
    <x v="3"/>
    <n v="33560"/>
    <n v="41710"/>
  </r>
  <r>
    <s v="ORD00430"/>
    <d v="2025-08-29T00:00:00"/>
    <x v="11"/>
    <x v="28"/>
    <x v="0"/>
    <s v="Brazil"/>
    <x v="29"/>
    <x v="6"/>
    <n v="27863"/>
    <n v="32792"/>
  </r>
  <r>
    <s v="ORD00431"/>
    <d v="2025-05-12T00:00:00"/>
    <x v="8"/>
    <x v="17"/>
    <x v="1"/>
    <s v="UAE"/>
    <x v="25"/>
    <x v="16"/>
    <n v="15858"/>
    <n v="18474"/>
  </r>
  <r>
    <s v="ORD00432"/>
    <d v="2025-11-29T00:00:00"/>
    <x v="2"/>
    <x v="11"/>
    <x v="4"/>
    <s v="UAE"/>
    <x v="17"/>
    <x v="9"/>
    <n v="36970"/>
    <n v="27990"/>
  </r>
  <r>
    <s v="ORD00433"/>
    <d v="2025-04-25T00:00:00"/>
    <x v="7"/>
    <x v="38"/>
    <x v="2"/>
    <s v="UAE"/>
    <x v="36"/>
    <x v="16"/>
    <n v="22103"/>
    <n v="26191"/>
  </r>
  <r>
    <s v="ORD00434"/>
    <d v="2025-04-28T00:00:00"/>
    <x v="7"/>
    <x v="27"/>
    <x v="2"/>
    <s v="Japan"/>
    <x v="38"/>
    <x v="3"/>
    <n v="15141"/>
    <n v="18255"/>
  </r>
  <r>
    <s v="ORD00435"/>
    <d v="2025-04-12T00:00:00"/>
    <x v="7"/>
    <x v="16"/>
    <x v="4"/>
    <s v="Australia"/>
    <x v="13"/>
    <x v="12"/>
    <n v="31901"/>
    <n v="25613"/>
  </r>
  <r>
    <s v="ORD00436"/>
    <d v="2025-09-05T00:00:00"/>
    <x v="3"/>
    <x v="4"/>
    <x v="4"/>
    <s v="Malaysia"/>
    <x v="34"/>
    <x v="7"/>
    <n v="37050"/>
    <n v="31607"/>
  </r>
  <r>
    <s v="ORD00437"/>
    <d v="2025-06-14T00:00:00"/>
    <x v="5"/>
    <x v="40"/>
    <x v="6"/>
    <s v="South Africa"/>
    <x v="18"/>
    <x v="17"/>
    <n v="35497"/>
    <n v="25368"/>
  </r>
  <r>
    <s v="ORD00438"/>
    <d v="2025-02-21T00:00:00"/>
    <x v="6"/>
    <x v="15"/>
    <x v="5"/>
    <s v="UK"/>
    <x v="21"/>
    <x v="9"/>
    <n v="34456"/>
    <n v="24898"/>
  </r>
  <r>
    <s v="ORD00439"/>
    <d v="2025-09-05T00:00:00"/>
    <x v="3"/>
    <x v="4"/>
    <x v="5"/>
    <s v="Thailand"/>
    <x v="22"/>
    <x v="7"/>
    <n v="29275"/>
    <n v="22080"/>
  </r>
  <r>
    <s v="ORD00440"/>
    <d v="2025-09-22T00:00:00"/>
    <x v="3"/>
    <x v="25"/>
    <x v="0"/>
    <s v="Japan"/>
    <x v="7"/>
    <x v="22"/>
    <n v="20624"/>
    <n v="25853"/>
  </r>
  <r>
    <s v="ORD00441"/>
    <d v="2025-10-02T00:00:00"/>
    <x v="4"/>
    <x v="49"/>
    <x v="4"/>
    <s v="Mexico"/>
    <x v="17"/>
    <x v="24"/>
    <n v="32864"/>
    <n v="24973"/>
  </r>
  <r>
    <s v="ORD00442"/>
    <d v="2025-06-30T00:00:00"/>
    <x v="5"/>
    <x v="37"/>
    <x v="6"/>
    <s v="China"/>
    <x v="35"/>
    <x v="1"/>
    <n v="22453"/>
    <n v="27042"/>
  </r>
  <r>
    <s v="ORD00443"/>
    <d v="2025-05-25T00:00:00"/>
    <x v="8"/>
    <x v="26"/>
    <x v="6"/>
    <s v="Canada"/>
    <x v="23"/>
    <x v="6"/>
    <n v="25587"/>
    <n v="20492"/>
  </r>
  <r>
    <s v="ORD00444"/>
    <d v="2025-09-19T00:00:00"/>
    <x v="3"/>
    <x v="8"/>
    <x v="3"/>
    <s v="China"/>
    <x v="27"/>
    <x v="17"/>
    <n v="32818"/>
    <n v="31319"/>
  </r>
  <r>
    <s v="ORD00445"/>
    <d v="2025-12-08T00:00:00"/>
    <x v="10"/>
    <x v="32"/>
    <x v="3"/>
    <s v="Australia"/>
    <x v="31"/>
    <x v="27"/>
    <n v="16927"/>
    <n v="13821"/>
  </r>
  <r>
    <s v="ORD00446"/>
    <d v="2025-07-13T00:00:00"/>
    <x v="0"/>
    <x v="47"/>
    <x v="1"/>
    <s v="Malaysia"/>
    <x v="32"/>
    <x v="19"/>
    <n v="15281"/>
    <n v="11327"/>
  </r>
  <r>
    <s v="ORD00447"/>
    <d v="2025-08-02T00:00:00"/>
    <x v="11"/>
    <x v="12"/>
    <x v="4"/>
    <s v="Germany"/>
    <x v="28"/>
    <x v="21"/>
    <n v="26506"/>
    <n v="33494"/>
  </r>
  <r>
    <s v="ORD00448"/>
    <d v="2025-05-12T00:00:00"/>
    <x v="8"/>
    <x v="17"/>
    <x v="6"/>
    <s v="UAE"/>
    <x v="15"/>
    <x v="16"/>
    <n v="19348"/>
    <n v="24336"/>
  </r>
  <r>
    <s v="ORD00449"/>
    <d v="2025-12-31T00:00:00"/>
    <x v="10"/>
    <x v="5"/>
    <x v="4"/>
    <s v="Australia"/>
    <x v="6"/>
    <x v="5"/>
    <n v="23408"/>
    <n v="22975"/>
  </r>
  <r>
    <s v="ORD00450"/>
    <d v="2025-12-22T00:00:00"/>
    <x v="10"/>
    <x v="42"/>
    <x v="4"/>
    <s v="France"/>
    <x v="14"/>
    <x v="4"/>
    <n v="30469"/>
    <n v="31302"/>
  </r>
  <r>
    <s v="ORD00451"/>
    <d v="2025-08-25T00:00:00"/>
    <x v="11"/>
    <x v="28"/>
    <x v="0"/>
    <s v="Russia"/>
    <x v="38"/>
    <x v="3"/>
    <n v="27546"/>
    <n v="27700"/>
  </r>
  <r>
    <s v="ORD00452"/>
    <d v="2025-10-11T00:00:00"/>
    <x v="4"/>
    <x v="45"/>
    <x v="2"/>
    <s v="Brazil"/>
    <x v="5"/>
    <x v="12"/>
    <n v="23915"/>
    <n v="27465"/>
  </r>
  <r>
    <s v="ORD00453"/>
    <d v="2025-05-16T00:00:00"/>
    <x v="8"/>
    <x v="17"/>
    <x v="5"/>
    <s v="Spain"/>
    <x v="36"/>
    <x v="20"/>
    <n v="30799"/>
    <n v="29227"/>
  </r>
  <r>
    <s v="ORD00454"/>
    <d v="2025-10-13T00:00:00"/>
    <x v="4"/>
    <x v="10"/>
    <x v="5"/>
    <s v="India"/>
    <x v="37"/>
    <x v="10"/>
    <n v="35988"/>
    <n v="32177"/>
  </r>
  <r>
    <s v="ORD00455"/>
    <d v="2025-08-24T00:00:00"/>
    <x v="11"/>
    <x v="46"/>
    <x v="0"/>
    <s v="Italy"/>
    <x v="36"/>
    <x v="11"/>
    <n v="32173"/>
    <n v="30338"/>
  </r>
  <r>
    <s v="ORD00456"/>
    <d v="2025-09-01T00:00:00"/>
    <x v="3"/>
    <x v="4"/>
    <x v="6"/>
    <s v="India"/>
    <x v="20"/>
    <x v="18"/>
    <n v="36356"/>
    <n v="26299"/>
  </r>
  <r>
    <s v="ORD00457"/>
    <d v="2025-03-29T00:00:00"/>
    <x v="9"/>
    <x v="33"/>
    <x v="1"/>
    <s v="China"/>
    <x v="2"/>
    <x v="15"/>
    <n v="18329"/>
    <n v="20312"/>
  </r>
  <r>
    <s v="ORD00458"/>
    <d v="2025-05-08T00:00:00"/>
    <x v="8"/>
    <x v="18"/>
    <x v="2"/>
    <s v="South Africa"/>
    <x v="30"/>
    <x v="29"/>
    <n v="36605"/>
    <n v="42339"/>
  </r>
  <r>
    <s v="ORD00459"/>
    <d v="2025-09-10T00:00:00"/>
    <x v="3"/>
    <x v="31"/>
    <x v="1"/>
    <s v="USA"/>
    <x v="29"/>
    <x v="6"/>
    <n v="18523"/>
    <n v="15962"/>
  </r>
  <r>
    <s v="ORD00460"/>
    <d v="2025-09-20T00:00:00"/>
    <x v="3"/>
    <x v="8"/>
    <x v="2"/>
    <s v="South Africa"/>
    <x v="43"/>
    <x v="18"/>
    <n v="15937"/>
    <n v="20633"/>
  </r>
  <r>
    <s v="ORD00461"/>
    <d v="2025-09-21T00:00:00"/>
    <x v="3"/>
    <x v="8"/>
    <x v="2"/>
    <s v="Australia"/>
    <x v="2"/>
    <x v="7"/>
    <n v="32689"/>
    <n v="33403"/>
  </r>
  <r>
    <s v="ORD00462"/>
    <d v="2025-07-26T00:00:00"/>
    <x v="0"/>
    <x v="0"/>
    <x v="6"/>
    <s v="Singapore"/>
    <x v="31"/>
    <x v="9"/>
    <n v="26964"/>
    <n v="19770"/>
  </r>
  <r>
    <s v="ORD00463"/>
    <d v="2025-04-07T00:00:00"/>
    <x v="7"/>
    <x v="16"/>
    <x v="5"/>
    <s v="Germany"/>
    <x v="14"/>
    <x v="14"/>
    <n v="27855"/>
    <n v="32100"/>
  </r>
  <r>
    <s v="ORD00464"/>
    <d v="2025-07-27T00:00:00"/>
    <x v="0"/>
    <x v="0"/>
    <x v="1"/>
    <s v="Japan"/>
    <x v="27"/>
    <x v="15"/>
    <n v="29918"/>
    <n v="24433"/>
  </r>
  <r>
    <s v="ORD00465"/>
    <d v="2025-02-13T00:00:00"/>
    <x v="6"/>
    <x v="29"/>
    <x v="6"/>
    <s v="Turkey"/>
    <x v="43"/>
    <x v="18"/>
    <n v="19801"/>
    <n v="25002"/>
  </r>
  <r>
    <s v="ORD00466"/>
    <d v="2025-08-03T00:00:00"/>
    <x v="11"/>
    <x v="12"/>
    <x v="5"/>
    <s v="Australia"/>
    <x v="43"/>
    <x v="13"/>
    <n v="31584"/>
    <n v="22560"/>
  </r>
  <r>
    <s v="ORD00467"/>
    <d v="2025-07-29T00:00:00"/>
    <x v="0"/>
    <x v="12"/>
    <x v="0"/>
    <s v="South Africa"/>
    <x v="1"/>
    <x v="21"/>
    <n v="28459"/>
    <n v="27765"/>
  </r>
  <r>
    <s v="ORD00468"/>
    <d v="2025-10-12T00:00:00"/>
    <x v="4"/>
    <x v="45"/>
    <x v="2"/>
    <s v="China"/>
    <x v="35"/>
    <x v="0"/>
    <n v="35742"/>
    <n v="33672"/>
  </r>
  <r>
    <s v="ORD00469"/>
    <d v="2025-09-17T00:00:00"/>
    <x v="3"/>
    <x v="8"/>
    <x v="2"/>
    <s v="UAE"/>
    <x v="2"/>
    <x v="22"/>
    <n v="17011"/>
    <n v="12029"/>
  </r>
  <r>
    <s v="ORD00470"/>
    <d v="2025-05-30T00:00:00"/>
    <x v="8"/>
    <x v="24"/>
    <x v="6"/>
    <s v="Brazil"/>
    <x v="22"/>
    <x v="12"/>
    <n v="21122"/>
    <n v="24893"/>
  </r>
  <r>
    <s v="ORD00471"/>
    <d v="2025-07-27T00:00:00"/>
    <x v="0"/>
    <x v="0"/>
    <x v="1"/>
    <s v="India"/>
    <x v="30"/>
    <x v="27"/>
    <n v="32125"/>
    <n v="37122"/>
  </r>
  <r>
    <s v="ORD00472"/>
    <d v="2025-07-09T00:00:00"/>
    <x v="0"/>
    <x v="47"/>
    <x v="2"/>
    <s v="South Africa"/>
    <x v="12"/>
    <x v="4"/>
    <n v="35381"/>
    <n v="40035"/>
  </r>
  <r>
    <s v="ORD00473"/>
    <d v="2025-02-19T00:00:00"/>
    <x v="6"/>
    <x v="15"/>
    <x v="3"/>
    <s v="Spain"/>
    <x v="1"/>
    <x v="28"/>
    <n v="39267"/>
    <n v="40118"/>
  </r>
  <r>
    <s v="ORD00474"/>
    <d v="2025-11-15T00:00:00"/>
    <x v="2"/>
    <x v="44"/>
    <x v="3"/>
    <s v="Mexico"/>
    <x v="49"/>
    <x v="28"/>
    <n v="23710"/>
    <n v="27865"/>
  </r>
  <r>
    <s v="ORD00475"/>
    <d v="2025-07-08T00:00:00"/>
    <x v="0"/>
    <x v="47"/>
    <x v="6"/>
    <s v="South Africa"/>
    <x v="1"/>
    <x v="0"/>
    <n v="21003"/>
    <n v="23555"/>
  </r>
  <r>
    <s v="ORD00476"/>
    <d v="2025-08-15T00:00:00"/>
    <x v="11"/>
    <x v="30"/>
    <x v="6"/>
    <s v="France"/>
    <x v="7"/>
    <x v="11"/>
    <n v="31444"/>
    <n v="24655"/>
  </r>
  <r>
    <s v="ORD00477"/>
    <d v="2025-08-31T00:00:00"/>
    <x v="11"/>
    <x v="28"/>
    <x v="6"/>
    <s v="Thailand"/>
    <x v="15"/>
    <x v="9"/>
    <n v="37380"/>
    <n v="39616"/>
  </r>
  <r>
    <s v="ORD00478"/>
    <d v="2025-03-23T00:00:00"/>
    <x v="9"/>
    <x v="39"/>
    <x v="5"/>
    <s v="China"/>
    <x v="7"/>
    <x v="26"/>
    <n v="23182"/>
    <n v="16761"/>
  </r>
  <r>
    <s v="ORD00479"/>
    <d v="2025-04-11T00:00:00"/>
    <x v="7"/>
    <x v="16"/>
    <x v="3"/>
    <s v="USA"/>
    <x v="49"/>
    <x v="5"/>
    <n v="23702"/>
    <n v="20843"/>
  </r>
  <r>
    <s v="ORD00480"/>
    <d v="2025-04-03T00:00:00"/>
    <x v="7"/>
    <x v="34"/>
    <x v="3"/>
    <s v="Thailand"/>
    <x v="30"/>
    <x v="13"/>
    <n v="36781"/>
    <n v="46085"/>
  </r>
  <r>
    <s v="ORD00481"/>
    <d v="2025-05-07T00:00:00"/>
    <x v="8"/>
    <x v="18"/>
    <x v="6"/>
    <s v="China"/>
    <x v="32"/>
    <x v="16"/>
    <n v="20452"/>
    <n v="17099"/>
  </r>
  <r>
    <s v="ORD00482"/>
    <d v="2025-05-10T00:00:00"/>
    <x v="8"/>
    <x v="18"/>
    <x v="2"/>
    <s v="India"/>
    <x v="8"/>
    <x v="20"/>
    <n v="38449"/>
    <n v="29630"/>
  </r>
  <r>
    <s v="ORD00483"/>
    <d v="2025-09-20T00:00:00"/>
    <x v="3"/>
    <x v="8"/>
    <x v="2"/>
    <s v="Germany"/>
    <x v="36"/>
    <x v="11"/>
    <n v="39956"/>
    <n v="31807"/>
  </r>
  <r>
    <s v="ORD00484"/>
    <d v="2025-02-21T00:00:00"/>
    <x v="6"/>
    <x v="15"/>
    <x v="1"/>
    <s v="Canada"/>
    <x v="14"/>
    <x v="1"/>
    <n v="24336"/>
    <n v="24632"/>
  </r>
  <r>
    <s v="ORD00485"/>
    <d v="2025-12-27T00:00:00"/>
    <x v="10"/>
    <x v="42"/>
    <x v="2"/>
    <s v="Malaysia"/>
    <x v="23"/>
    <x v="0"/>
    <n v="39340"/>
    <n v="31738"/>
  </r>
  <r>
    <s v="ORD00486"/>
    <d v="2025-01-11T00:00:00"/>
    <x v="1"/>
    <x v="6"/>
    <x v="0"/>
    <s v="Australia"/>
    <x v="39"/>
    <x v="29"/>
    <n v="34865"/>
    <n v="44822"/>
  </r>
  <r>
    <s v="ORD00487"/>
    <d v="2025-11-23T00:00:00"/>
    <x v="2"/>
    <x v="9"/>
    <x v="3"/>
    <s v="South Africa"/>
    <x v="1"/>
    <x v="26"/>
    <n v="38738"/>
    <n v="36478"/>
  </r>
  <r>
    <s v="ORD00488"/>
    <d v="2025-07-12T00:00:00"/>
    <x v="0"/>
    <x v="47"/>
    <x v="0"/>
    <s v="South Africa"/>
    <x v="2"/>
    <x v="4"/>
    <n v="27818"/>
    <n v="26684"/>
  </r>
  <r>
    <s v="ORD00489"/>
    <d v="2025-12-15T00:00:00"/>
    <x v="10"/>
    <x v="21"/>
    <x v="2"/>
    <s v="South Africa"/>
    <x v="26"/>
    <x v="29"/>
    <n v="38580"/>
    <n v="31641"/>
  </r>
  <r>
    <s v="ORD00490"/>
    <d v="2025-06-24T00:00:00"/>
    <x v="5"/>
    <x v="36"/>
    <x v="6"/>
    <s v="Malaysia"/>
    <x v="48"/>
    <x v="8"/>
    <n v="38422"/>
    <n v="42368"/>
  </r>
  <r>
    <s v="ORD00491"/>
    <d v="2025-08-11T00:00:00"/>
    <x v="11"/>
    <x v="30"/>
    <x v="3"/>
    <s v="Japan"/>
    <x v="40"/>
    <x v="25"/>
    <n v="27918"/>
    <n v="35056"/>
  </r>
  <r>
    <s v="ORD00492"/>
    <d v="2025-11-06T00:00:00"/>
    <x v="2"/>
    <x v="51"/>
    <x v="1"/>
    <s v="China"/>
    <x v="24"/>
    <x v="26"/>
    <n v="34150"/>
    <n v="38683"/>
  </r>
  <r>
    <s v="ORD00493"/>
    <d v="2025-03-19T00:00:00"/>
    <x v="9"/>
    <x v="39"/>
    <x v="5"/>
    <s v="USA"/>
    <x v="20"/>
    <x v="11"/>
    <n v="16726"/>
    <n v="12101"/>
  </r>
  <r>
    <s v="ORD00494"/>
    <d v="2025-04-07T00:00:00"/>
    <x v="7"/>
    <x v="16"/>
    <x v="0"/>
    <s v="UAE"/>
    <x v="48"/>
    <x v="13"/>
    <n v="25961"/>
    <n v="23818"/>
  </r>
  <r>
    <s v="ORD00495"/>
    <d v="2025-11-26T00:00:00"/>
    <x v="2"/>
    <x v="11"/>
    <x v="1"/>
    <s v="USA"/>
    <x v="21"/>
    <x v="26"/>
    <n v="31269"/>
    <n v="37927"/>
  </r>
  <r>
    <s v="ORD00496"/>
    <d v="2025-07-24T00:00:00"/>
    <x v="0"/>
    <x v="0"/>
    <x v="1"/>
    <s v="Mexico"/>
    <x v="42"/>
    <x v="12"/>
    <n v="25683"/>
    <n v="27568"/>
  </r>
  <r>
    <s v="ORD00497"/>
    <d v="2025-12-13T00:00:00"/>
    <x v="10"/>
    <x v="32"/>
    <x v="2"/>
    <s v="Thailand"/>
    <x v="8"/>
    <x v="18"/>
    <n v="23442"/>
    <n v="24217"/>
  </r>
  <r>
    <s v="ORD00498"/>
    <d v="2025-10-22T00:00:00"/>
    <x v="4"/>
    <x v="50"/>
    <x v="4"/>
    <s v="Malaysia"/>
    <x v="19"/>
    <x v="10"/>
    <n v="25803"/>
    <n v="32758"/>
  </r>
  <r>
    <s v="ORD00499"/>
    <d v="2025-06-01T00:00:00"/>
    <x v="5"/>
    <x v="24"/>
    <x v="5"/>
    <s v="Germany"/>
    <x v="1"/>
    <x v="25"/>
    <n v="34421"/>
    <n v="27704"/>
  </r>
  <r>
    <s v="ORD00500"/>
    <d v="2025-04-16T00:00:00"/>
    <x v="7"/>
    <x v="20"/>
    <x v="5"/>
    <s v="USA"/>
    <x v="5"/>
    <x v="23"/>
    <n v="29889"/>
    <n v="30984"/>
  </r>
  <r>
    <s v="ORD00501"/>
    <d v="2025-07-30T00:00:00"/>
    <x v="0"/>
    <x v="12"/>
    <x v="2"/>
    <s v="Singapore"/>
    <x v="39"/>
    <x v="24"/>
    <n v="39415"/>
    <n v="40843"/>
  </r>
  <r>
    <s v="ORD00502"/>
    <d v="2025-08-13T00:00:00"/>
    <x v="11"/>
    <x v="30"/>
    <x v="1"/>
    <s v="Australia"/>
    <x v="9"/>
    <x v="26"/>
    <n v="35199"/>
    <n v="30620"/>
  </r>
  <r>
    <s v="ORD00503"/>
    <d v="2025-02-27T00:00:00"/>
    <x v="6"/>
    <x v="22"/>
    <x v="1"/>
    <s v="Spain"/>
    <x v="16"/>
    <x v="22"/>
    <n v="33559"/>
    <n v="31136"/>
  </r>
  <r>
    <s v="ORD00504"/>
    <d v="2025-06-17T00:00:00"/>
    <x v="5"/>
    <x v="13"/>
    <x v="4"/>
    <s v="Japan"/>
    <x v="40"/>
    <x v="10"/>
    <n v="25561"/>
    <n v="21008"/>
  </r>
  <r>
    <s v="ORD00505"/>
    <d v="2025-09-21T00:00:00"/>
    <x v="3"/>
    <x v="8"/>
    <x v="0"/>
    <s v="Italy"/>
    <x v="11"/>
    <x v="7"/>
    <n v="31620"/>
    <n v="24561"/>
  </r>
  <r>
    <s v="ORD00506"/>
    <d v="2025-07-24T00:00:00"/>
    <x v="0"/>
    <x v="0"/>
    <x v="6"/>
    <s v="Australia"/>
    <x v="37"/>
    <x v="0"/>
    <n v="38495"/>
    <n v="31321"/>
  </r>
  <r>
    <s v="ORD00507"/>
    <d v="2025-07-20T00:00:00"/>
    <x v="0"/>
    <x v="14"/>
    <x v="3"/>
    <s v="Australia"/>
    <x v="39"/>
    <x v="21"/>
    <n v="28585"/>
    <n v="36717"/>
  </r>
  <r>
    <s v="ORD00508"/>
    <d v="2025-01-12T00:00:00"/>
    <x v="1"/>
    <x v="6"/>
    <x v="4"/>
    <s v="Singapore"/>
    <x v="45"/>
    <x v="4"/>
    <n v="30234"/>
    <n v="27915"/>
  </r>
  <r>
    <s v="ORD00509"/>
    <d v="2025-12-23T00:00:00"/>
    <x v="10"/>
    <x v="42"/>
    <x v="5"/>
    <s v="USA"/>
    <x v="9"/>
    <x v="23"/>
    <n v="32638"/>
    <n v="38039"/>
  </r>
  <r>
    <s v="ORD00510"/>
    <d v="2025-12-08T00:00:00"/>
    <x v="10"/>
    <x v="32"/>
    <x v="3"/>
    <s v="France"/>
    <x v="22"/>
    <x v="28"/>
    <n v="34966"/>
    <n v="31569"/>
  </r>
  <r>
    <s v="ORD00511"/>
    <d v="2025-09-28T00:00:00"/>
    <x v="3"/>
    <x v="25"/>
    <x v="0"/>
    <s v="Italy"/>
    <x v="47"/>
    <x v="24"/>
    <n v="36379"/>
    <n v="44487"/>
  </r>
  <r>
    <s v="ORD00512"/>
    <d v="2025-07-12T00:00:00"/>
    <x v="0"/>
    <x v="47"/>
    <x v="1"/>
    <s v="Russia"/>
    <x v="37"/>
    <x v="4"/>
    <n v="30463"/>
    <n v="35407"/>
  </r>
  <r>
    <s v="ORD00513"/>
    <d v="2025-05-21T00:00:00"/>
    <x v="8"/>
    <x v="26"/>
    <x v="3"/>
    <s v="Canada"/>
    <x v="34"/>
    <x v="9"/>
    <n v="15840"/>
    <n v="11212"/>
  </r>
  <r>
    <s v="ORD00514"/>
    <d v="2025-11-01T00:00:00"/>
    <x v="2"/>
    <x v="2"/>
    <x v="5"/>
    <s v="Russia"/>
    <x v="21"/>
    <x v="1"/>
    <n v="35256"/>
    <n v="32837"/>
  </r>
  <r>
    <s v="ORD00515"/>
    <d v="2025-12-27T00:00:00"/>
    <x v="10"/>
    <x v="42"/>
    <x v="1"/>
    <s v="Mexico"/>
    <x v="24"/>
    <x v="16"/>
    <n v="32367"/>
    <n v="25004"/>
  </r>
  <r>
    <s v="ORD00516"/>
    <d v="2025-04-27T00:00:00"/>
    <x v="7"/>
    <x v="38"/>
    <x v="6"/>
    <s v="Turkey"/>
    <x v="35"/>
    <x v="10"/>
    <n v="17584"/>
    <n v="22331"/>
  </r>
  <r>
    <s v="ORD00517"/>
    <d v="2025-12-29T00:00:00"/>
    <x v="10"/>
    <x v="5"/>
    <x v="6"/>
    <s v="Spain"/>
    <x v="10"/>
    <x v="13"/>
    <n v="26809"/>
    <n v="25685"/>
  </r>
  <r>
    <s v="ORD00518"/>
    <d v="2025-08-21T00:00:00"/>
    <x v="11"/>
    <x v="46"/>
    <x v="6"/>
    <s v="Thailand"/>
    <x v="49"/>
    <x v="21"/>
    <n v="31222"/>
    <n v="28499"/>
  </r>
  <r>
    <s v="ORD00519"/>
    <d v="2025-11-14T00:00:00"/>
    <x v="2"/>
    <x v="44"/>
    <x v="6"/>
    <s v="South Africa"/>
    <x v="40"/>
    <x v="20"/>
    <n v="23274"/>
    <n v="28580"/>
  </r>
  <r>
    <s v="ORD00520"/>
    <d v="2025-11-26T00:00:00"/>
    <x v="2"/>
    <x v="11"/>
    <x v="6"/>
    <s v="South Africa"/>
    <x v="36"/>
    <x v="2"/>
    <n v="30657"/>
    <n v="21600"/>
  </r>
  <r>
    <s v="ORD00521"/>
    <d v="2025-12-27T00:00:00"/>
    <x v="10"/>
    <x v="42"/>
    <x v="1"/>
    <s v="India"/>
    <x v="16"/>
    <x v="12"/>
    <n v="20077"/>
    <n v="16534"/>
  </r>
  <r>
    <s v="ORD00522"/>
    <d v="2025-01-19T00:00:00"/>
    <x v="1"/>
    <x v="1"/>
    <x v="6"/>
    <s v="Malaysia"/>
    <x v="18"/>
    <x v="21"/>
    <n v="37349"/>
    <n v="29444"/>
  </r>
  <r>
    <s v="ORD00523"/>
    <d v="2025-03-31T00:00:00"/>
    <x v="9"/>
    <x v="34"/>
    <x v="3"/>
    <s v="UK"/>
    <x v="20"/>
    <x v="27"/>
    <n v="19456"/>
    <n v="15947"/>
  </r>
  <r>
    <s v="ORD00524"/>
    <d v="2025-10-08T00:00:00"/>
    <x v="4"/>
    <x v="45"/>
    <x v="2"/>
    <s v="Mexico"/>
    <x v="48"/>
    <x v="16"/>
    <n v="38686"/>
    <n v="48020"/>
  </r>
  <r>
    <s v="ORD00525"/>
    <d v="2025-04-18T00:00:00"/>
    <x v="7"/>
    <x v="20"/>
    <x v="5"/>
    <s v="Canada"/>
    <x v="22"/>
    <x v="27"/>
    <n v="37068"/>
    <n v="29424"/>
  </r>
  <r>
    <s v="ORD00526"/>
    <d v="2025-04-06T00:00:00"/>
    <x v="7"/>
    <x v="34"/>
    <x v="1"/>
    <s v="Singapore"/>
    <x v="16"/>
    <x v="22"/>
    <n v="32926"/>
    <n v="39904"/>
  </r>
  <r>
    <s v="ORD00527"/>
    <d v="2025-03-18T00:00:00"/>
    <x v="9"/>
    <x v="39"/>
    <x v="4"/>
    <s v="Mexico"/>
    <x v="49"/>
    <x v="20"/>
    <n v="31422"/>
    <n v="29366"/>
  </r>
  <r>
    <s v="ORD00528"/>
    <d v="2025-10-07T00:00:00"/>
    <x v="4"/>
    <x v="45"/>
    <x v="1"/>
    <s v="Italy"/>
    <x v="4"/>
    <x v="20"/>
    <n v="36229"/>
    <n v="26497"/>
  </r>
  <r>
    <s v="ORD00529"/>
    <d v="2025-12-27T00:00:00"/>
    <x v="10"/>
    <x v="42"/>
    <x v="0"/>
    <s v="China"/>
    <x v="40"/>
    <x v="16"/>
    <n v="30977"/>
    <n v="24625"/>
  </r>
  <r>
    <s v="ORD00530"/>
    <d v="2025-09-27T00:00:00"/>
    <x v="3"/>
    <x v="25"/>
    <x v="4"/>
    <s v="Japan"/>
    <x v="24"/>
    <x v="4"/>
    <n v="20951"/>
    <n v="20886"/>
  </r>
  <r>
    <s v="ORD00531"/>
    <d v="2025-03-17T00:00:00"/>
    <x v="9"/>
    <x v="39"/>
    <x v="5"/>
    <s v="Italy"/>
    <x v="44"/>
    <x v="5"/>
    <n v="34711"/>
    <n v="43816"/>
  </r>
  <r>
    <s v="ORD00532"/>
    <d v="2025-11-01T00:00:00"/>
    <x v="2"/>
    <x v="2"/>
    <x v="6"/>
    <s v="India"/>
    <x v="39"/>
    <x v="11"/>
    <n v="29457"/>
    <n v="36505"/>
  </r>
  <r>
    <s v="ORD00533"/>
    <d v="2025-09-13T00:00:00"/>
    <x v="3"/>
    <x v="31"/>
    <x v="4"/>
    <s v="Malaysia"/>
    <x v="10"/>
    <x v="22"/>
    <n v="38952"/>
    <n v="40662"/>
  </r>
  <r>
    <s v="ORD00534"/>
    <d v="2025-02-13T00:00:00"/>
    <x v="6"/>
    <x v="29"/>
    <x v="1"/>
    <s v="Germany"/>
    <x v="35"/>
    <x v="17"/>
    <n v="37506"/>
    <n v="35893"/>
  </r>
  <r>
    <s v="ORD00535"/>
    <d v="2025-08-27T00:00:00"/>
    <x v="11"/>
    <x v="28"/>
    <x v="0"/>
    <s v="India"/>
    <x v="29"/>
    <x v="27"/>
    <n v="16975"/>
    <n v="18934"/>
  </r>
  <r>
    <s v="ORD00536"/>
    <d v="2025-03-05T00:00:00"/>
    <x v="9"/>
    <x v="35"/>
    <x v="0"/>
    <s v="Brazil"/>
    <x v="36"/>
    <x v="25"/>
    <n v="36242"/>
    <n v="32102"/>
  </r>
  <r>
    <s v="ORD00537"/>
    <d v="2025-01-25T00:00:00"/>
    <x v="1"/>
    <x v="7"/>
    <x v="3"/>
    <s v="South Africa"/>
    <x v="5"/>
    <x v="25"/>
    <n v="39554"/>
    <n v="51301"/>
  </r>
  <r>
    <s v="ORD00538"/>
    <d v="2025-11-07T00:00:00"/>
    <x v="2"/>
    <x v="51"/>
    <x v="6"/>
    <s v="Japan"/>
    <x v="21"/>
    <x v="10"/>
    <n v="33251"/>
    <n v="28328"/>
  </r>
  <r>
    <s v="ORD00539"/>
    <d v="2025-12-09T00:00:00"/>
    <x v="10"/>
    <x v="32"/>
    <x v="4"/>
    <s v="China"/>
    <x v="18"/>
    <x v="19"/>
    <n v="30590"/>
    <n v="38673"/>
  </r>
  <r>
    <s v="ORD00540"/>
    <d v="2025-07-30T00:00:00"/>
    <x v="0"/>
    <x v="12"/>
    <x v="5"/>
    <s v="Turkey"/>
    <x v="22"/>
    <x v="20"/>
    <n v="34320"/>
    <n v="40518"/>
  </r>
  <r>
    <s v="ORD00541"/>
    <d v="2025-06-19T00:00:00"/>
    <x v="5"/>
    <x v="13"/>
    <x v="2"/>
    <s v="South Africa"/>
    <x v="34"/>
    <x v="28"/>
    <n v="30072"/>
    <n v="37905"/>
  </r>
  <r>
    <s v="ORD00542"/>
    <d v="2025-10-22T00:00:00"/>
    <x v="4"/>
    <x v="50"/>
    <x v="4"/>
    <s v="China"/>
    <x v="25"/>
    <x v="14"/>
    <n v="24642"/>
    <n v="21756"/>
  </r>
  <r>
    <s v="ORD00543"/>
    <d v="2025-08-21T00:00:00"/>
    <x v="11"/>
    <x v="46"/>
    <x v="0"/>
    <s v="UK"/>
    <x v="29"/>
    <x v="29"/>
    <n v="33080"/>
    <n v="41236"/>
  </r>
  <r>
    <s v="ORD00544"/>
    <d v="2025-10-30T00:00:00"/>
    <x v="4"/>
    <x v="2"/>
    <x v="0"/>
    <s v="South Africa"/>
    <x v="22"/>
    <x v="26"/>
    <n v="19662"/>
    <n v="16674"/>
  </r>
  <r>
    <s v="ORD00545"/>
    <d v="2025-04-27T00:00:00"/>
    <x v="7"/>
    <x v="38"/>
    <x v="2"/>
    <s v="UK"/>
    <x v="0"/>
    <x v="12"/>
    <n v="24342"/>
    <n v="26928"/>
  </r>
  <r>
    <s v="ORD00546"/>
    <d v="2025-12-15T00:00:00"/>
    <x v="10"/>
    <x v="21"/>
    <x v="6"/>
    <s v="Italy"/>
    <x v="14"/>
    <x v="18"/>
    <n v="38901"/>
    <n v="28447"/>
  </r>
  <r>
    <s v="ORD00547"/>
    <d v="2025-12-26T00:00:00"/>
    <x v="10"/>
    <x v="42"/>
    <x v="1"/>
    <s v="UAE"/>
    <x v="11"/>
    <x v="20"/>
    <n v="25075"/>
    <n v="17619"/>
  </r>
  <r>
    <s v="ORD00548"/>
    <d v="2025-08-28T00:00:00"/>
    <x v="11"/>
    <x v="28"/>
    <x v="4"/>
    <s v="UK"/>
    <x v="3"/>
    <x v="24"/>
    <n v="16553"/>
    <n v="20286"/>
  </r>
  <r>
    <s v="ORD00549"/>
    <d v="2025-10-01T00:00:00"/>
    <x v="4"/>
    <x v="49"/>
    <x v="3"/>
    <s v="Japan"/>
    <x v="9"/>
    <x v="14"/>
    <n v="32812"/>
    <n v="33578"/>
  </r>
  <r>
    <s v="ORD00550"/>
    <d v="2025-05-29T00:00:00"/>
    <x v="8"/>
    <x v="24"/>
    <x v="6"/>
    <s v="China"/>
    <x v="19"/>
    <x v="21"/>
    <n v="31158"/>
    <n v="28935"/>
  </r>
  <r>
    <s v="ORD00551"/>
    <d v="2025-08-21T00:00:00"/>
    <x v="11"/>
    <x v="46"/>
    <x v="4"/>
    <s v="Malaysia"/>
    <x v="48"/>
    <x v="9"/>
    <n v="34779"/>
    <n v="41969"/>
  </r>
  <r>
    <s v="ORD00552"/>
    <d v="2025-08-17T00:00:00"/>
    <x v="11"/>
    <x v="30"/>
    <x v="2"/>
    <s v="China"/>
    <x v="4"/>
    <x v="26"/>
    <n v="20905"/>
    <n v="15203"/>
  </r>
  <r>
    <s v="ORD00553"/>
    <d v="2025-01-01T00:00:00"/>
    <x v="1"/>
    <x v="5"/>
    <x v="5"/>
    <s v="China"/>
    <x v="34"/>
    <x v="2"/>
    <n v="23428"/>
    <n v="21820"/>
  </r>
  <r>
    <s v="ORD00554"/>
    <d v="2025-06-03T00:00:00"/>
    <x v="5"/>
    <x v="41"/>
    <x v="3"/>
    <s v="France"/>
    <x v="3"/>
    <x v="27"/>
    <n v="16669"/>
    <n v="12326"/>
  </r>
  <r>
    <s v="ORD00555"/>
    <d v="2025-03-16T00:00:00"/>
    <x v="9"/>
    <x v="19"/>
    <x v="0"/>
    <s v="Singapore"/>
    <x v="5"/>
    <x v="19"/>
    <n v="22626"/>
    <n v="23968"/>
  </r>
  <r>
    <s v="ORD00556"/>
    <d v="2025-03-08T00:00:00"/>
    <x v="9"/>
    <x v="35"/>
    <x v="4"/>
    <s v="Brazil"/>
    <x v="49"/>
    <x v="16"/>
    <n v="21248"/>
    <n v="15691"/>
  </r>
  <r>
    <s v="ORD00557"/>
    <d v="2025-09-02T00:00:00"/>
    <x v="3"/>
    <x v="4"/>
    <x v="0"/>
    <s v="Spain"/>
    <x v="24"/>
    <x v="4"/>
    <n v="28264"/>
    <n v="26257"/>
  </r>
  <r>
    <s v="ORD00558"/>
    <d v="2025-12-21T00:00:00"/>
    <x v="10"/>
    <x v="21"/>
    <x v="2"/>
    <s v="Australia"/>
    <x v="12"/>
    <x v="19"/>
    <n v="22237"/>
    <n v="28330"/>
  </r>
  <r>
    <s v="ORD00559"/>
    <d v="2025-09-13T00:00:00"/>
    <x v="3"/>
    <x v="31"/>
    <x v="2"/>
    <s v="Singapore"/>
    <x v="42"/>
    <x v="25"/>
    <n v="30813"/>
    <n v="29164"/>
  </r>
  <r>
    <s v="ORD00560"/>
    <d v="2025-07-21T00:00:00"/>
    <x v="0"/>
    <x v="0"/>
    <x v="5"/>
    <s v="Thailand"/>
    <x v="47"/>
    <x v="26"/>
    <n v="36302"/>
    <n v="42030"/>
  </r>
  <r>
    <s v="ORD00561"/>
    <d v="2025-02-03T00:00:00"/>
    <x v="6"/>
    <x v="48"/>
    <x v="3"/>
    <s v="UAE"/>
    <x v="6"/>
    <x v="1"/>
    <n v="16048"/>
    <n v="11862"/>
  </r>
  <r>
    <s v="ORD00562"/>
    <d v="2025-06-11T00:00:00"/>
    <x v="5"/>
    <x v="40"/>
    <x v="4"/>
    <s v="France"/>
    <x v="25"/>
    <x v="6"/>
    <n v="39265"/>
    <n v="29892"/>
  </r>
  <r>
    <s v="ORD00563"/>
    <d v="2025-08-03T00:00:00"/>
    <x v="11"/>
    <x v="12"/>
    <x v="1"/>
    <s v="Thailand"/>
    <x v="28"/>
    <x v="1"/>
    <n v="17400"/>
    <n v="22469"/>
  </r>
  <r>
    <s v="ORD00564"/>
    <d v="2025-04-07T00:00:00"/>
    <x v="7"/>
    <x v="16"/>
    <x v="5"/>
    <s v="South Africa"/>
    <x v="31"/>
    <x v="19"/>
    <n v="31155"/>
    <n v="23985"/>
  </r>
  <r>
    <s v="ORD00565"/>
    <d v="2025-11-17T00:00:00"/>
    <x v="2"/>
    <x v="9"/>
    <x v="0"/>
    <s v="Singapore"/>
    <x v="1"/>
    <x v="14"/>
    <n v="31916"/>
    <n v="26880"/>
  </r>
  <r>
    <s v="ORD00566"/>
    <d v="2025-10-18T00:00:00"/>
    <x v="4"/>
    <x v="10"/>
    <x v="2"/>
    <s v="India"/>
    <x v="31"/>
    <x v="23"/>
    <n v="19673"/>
    <n v="21316"/>
  </r>
  <r>
    <s v="ORD00567"/>
    <d v="2025-04-04T00:00:00"/>
    <x v="7"/>
    <x v="34"/>
    <x v="5"/>
    <s v="France"/>
    <x v="16"/>
    <x v="29"/>
    <n v="26908"/>
    <n v="33386"/>
  </r>
  <r>
    <s v="ORD00568"/>
    <d v="2025-04-09T00:00:00"/>
    <x v="7"/>
    <x v="16"/>
    <x v="4"/>
    <s v="Singapore"/>
    <x v="42"/>
    <x v="12"/>
    <n v="30835"/>
    <n v="22290"/>
  </r>
  <r>
    <s v="ORD00569"/>
    <d v="2025-04-17T00:00:00"/>
    <x v="7"/>
    <x v="20"/>
    <x v="3"/>
    <s v="China"/>
    <x v="36"/>
    <x v="14"/>
    <n v="35272"/>
    <n v="31045"/>
  </r>
  <r>
    <s v="ORD00570"/>
    <d v="2025-08-15T00:00:00"/>
    <x v="11"/>
    <x v="30"/>
    <x v="6"/>
    <s v="Germany"/>
    <x v="29"/>
    <x v="25"/>
    <n v="20483"/>
    <n v="19703"/>
  </r>
  <r>
    <s v="ORD00571"/>
    <d v="2025-04-10T00:00:00"/>
    <x v="7"/>
    <x v="16"/>
    <x v="0"/>
    <s v="Russia"/>
    <x v="5"/>
    <x v="16"/>
    <n v="16547"/>
    <n v="18221"/>
  </r>
  <r>
    <s v="ORD00572"/>
    <d v="2025-01-29T00:00:00"/>
    <x v="1"/>
    <x v="3"/>
    <x v="4"/>
    <s v="Italy"/>
    <x v="33"/>
    <x v="29"/>
    <n v="37605"/>
    <n v="29991"/>
  </r>
  <r>
    <s v="ORD00573"/>
    <d v="2025-12-07T00:00:00"/>
    <x v="10"/>
    <x v="43"/>
    <x v="0"/>
    <s v="Russia"/>
    <x v="39"/>
    <x v="16"/>
    <n v="31765"/>
    <n v="34382"/>
  </r>
  <r>
    <s v="ORD00574"/>
    <d v="2025-05-11T00:00:00"/>
    <x v="8"/>
    <x v="18"/>
    <x v="6"/>
    <s v="South Africa"/>
    <x v="30"/>
    <x v="27"/>
    <n v="31938"/>
    <n v="40664"/>
  </r>
  <r>
    <s v="ORD00575"/>
    <d v="2025-09-23T00:00:00"/>
    <x v="3"/>
    <x v="25"/>
    <x v="6"/>
    <s v="USA"/>
    <x v="13"/>
    <x v="18"/>
    <n v="28747"/>
    <n v="28074"/>
  </r>
  <r>
    <s v="ORD00576"/>
    <d v="2025-02-04T00:00:00"/>
    <x v="6"/>
    <x v="48"/>
    <x v="2"/>
    <s v="Japan"/>
    <x v="38"/>
    <x v="25"/>
    <n v="24595"/>
    <n v="18488"/>
  </r>
  <r>
    <s v="ORD00577"/>
    <d v="2025-07-07T00:00:00"/>
    <x v="0"/>
    <x v="47"/>
    <x v="5"/>
    <s v="Turkey"/>
    <x v="16"/>
    <x v="13"/>
    <n v="23751"/>
    <n v="23933"/>
  </r>
  <r>
    <s v="ORD00578"/>
    <d v="2025-06-07T00:00:00"/>
    <x v="5"/>
    <x v="41"/>
    <x v="0"/>
    <s v="UAE"/>
    <x v="21"/>
    <x v="10"/>
    <n v="17388"/>
    <n v="13628"/>
  </r>
  <r>
    <s v="ORD00579"/>
    <d v="2025-07-24T00:00:00"/>
    <x v="0"/>
    <x v="0"/>
    <x v="1"/>
    <s v="Germany"/>
    <x v="13"/>
    <x v="14"/>
    <n v="17877"/>
    <n v="20301"/>
  </r>
  <r>
    <s v="ORD00580"/>
    <d v="2025-02-20T00:00:00"/>
    <x v="6"/>
    <x v="15"/>
    <x v="6"/>
    <s v="USA"/>
    <x v="35"/>
    <x v="25"/>
    <n v="29725"/>
    <n v="25348"/>
  </r>
  <r>
    <s v="ORD00581"/>
    <d v="2025-06-09T00:00:00"/>
    <x v="5"/>
    <x v="40"/>
    <x v="3"/>
    <s v="Spain"/>
    <x v="6"/>
    <x v="20"/>
    <n v="17596"/>
    <n v="18666"/>
  </r>
  <r>
    <s v="ORD00582"/>
    <d v="2025-02-12T00:00:00"/>
    <x v="6"/>
    <x v="29"/>
    <x v="1"/>
    <s v="China"/>
    <x v="19"/>
    <x v="9"/>
    <n v="26700"/>
    <n v="33523"/>
  </r>
  <r>
    <s v="ORD00583"/>
    <d v="2025-09-12T00:00:00"/>
    <x v="3"/>
    <x v="31"/>
    <x v="2"/>
    <s v="Italy"/>
    <x v="42"/>
    <x v="3"/>
    <n v="39815"/>
    <n v="37293"/>
  </r>
  <r>
    <s v="ORD00584"/>
    <d v="2025-02-18T00:00:00"/>
    <x v="6"/>
    <x v="15"/>
    <x v="2"/>
    <s v="Russia"/>
    <x v="47"/>
    <x v="12"/>
    <n v="22552"/>
    <n v="21945"/>
  </r>
  <r>
    <s v="ORD00585"/>
    <d v="2025-08-18T00:00:00"/>
    <x v="11"/>
    <x v="46"/>
    <x v="0"/>
    <s v="Mexico"/>
    <x v="18"/>
    <x v="17"/>
    <n v="16341"/>
    <n v="13988"/>
  </r>
  <r>
    <s v="ORD00586"/>
    <d v="2025-08-07T00:00:00"/>
    <x v="11"/>
    <x v="23"/>
    <x v="6"/>
    <s v="France"/>
    <x v="8"/>
    <x v="21"/>
    <n v="34475"/>
    <n v="32928"/>
  </r>
  <r>
    <s v="ORD00587"/>
    <d v="2025-12-14T00:00:00"/>
    <x v="10"/>
    <x v="32"/>
    <x v="5"/>
    <s v="Canada"/>
    <x v="49"/>
    <x v="13"/>
    <n v="21792"/>
    <n v="24400"/>
  </r>
  <r>
    <s v="ORD00588"/>
    <d v="2025-11-12T00:00:00"/>
    <x v="2"/>
    <x v="44"/>
    <x v="0"/>
    <s v="Mexico"/>
    <x v="46"/>
    <x v="5"/>
    <n v="21518"/>
    <n v="17346"/>
  </r>
  <r>
    <s v="ORD00589"/>
    <d v="2025-04-03T00:00:00"/>
    <x v="7"/>
    <x v="34"/>
    <x v="2"/>
    <s v="UAE"/>
    <x v="24"/>
    <x v="14"/>
    <n v="24820"/>
    <n v="30606"/>
  </r>
  <r>
    <s v="ORD00590"/>
    <d v="2025-05-04T00:00:00"/>
    <x v="8"/>
    <x v="27"/>
    <x v="3"/>
    <s v="UAE"/>
    <x v="35"/>
    <x v="24"/>
    <n v="37021"/>
    <n v="43165"/>
  </r>
  <r>
    <s v="ORD00591"/>
    <d v="2025-11-23T00:00:00"/>
    <x v="2"/>
    <x v="9"/>
    <x v="2"/>
    <s v="Australia"/>
    <x v="43"/>
    <x v="9"/>
    <n v="33125"/>
    <n v="34379"/>
  </r>
  <r>
    <s v="ORD00592"/>
    <d v="2025-05-11T00:00:00"/>
    <x v="8"/>
    <x v="18"/>
    <x v="4"/>
    <s v="UK"/>
    <x v="41"/>
    <x v="10"/>
    <n v="39276"/>
    <n v="50208"/>
  </r>
  <r>
    <s v="ORD00593"/>
    <d v="2025-11-28T00:00:00"/>
    <x v="2"/>
    <x v="11"/>
    <x v="5"/>
    <s v="Turkey"/>
    <x v="35"/>
    <x v="0"/>
    <n v="15334"/>
    <n v="18382"/>
  </r>
  <r>
    <s v="ORD00594"/>
    <d v="2025-12-12T00:00:00"/>
    <x v="10"/>
    <x v="32"/>
    <x v="1"/>
    <s v="Singapore"/>
    <x v="17"/>
    <x v="24"/>
    <n v="22231"/>
    <n v="25503"/>
  </r>
  <r>
    <s v="ORD00595"/>
    <d v="2025-12-11T00:00:00"/>
    <x v="10"/>
    <x v="32"/>
    <x v="6"/>
    <s v="UAE"/>
    <x v="37"/>
    <x v="21"/>
    <n v="27707"/>
    <n v="29714"/>
  </r>
  <r>
    <s v="ORD00596"/>
    <d v="2025-02-07T00:00:00"/>
    <x v="6"/>
    <x v="48"/>
    <x v="4"/>
    <s v="Spain"/>
    <x v="25"/>
    <x v="1"/>
    <n v="26650"/>
    <n v="21118"/>
  </r>
  <r>
    <s v="ORD00597"/>
    <d v="2025-10-10T00:00:00"/>
    <x v="4"/>
    <x v="45"/>
    <x v="4"/>
    <s v="Canada"/>
    <x v="12"/>
    <x v="6"/>
    <n v="23630"/>
    <n v="26678"/>
  </r>
  <r>
    <s v="ORD00598"/>
    <d v="2025-10-06T00:00:00"/>
    <x v="4"/>
    <x v="45"/>
    <x v="5"/>
    <s v="UAE"/>
    <x v="24"/>
    <x v="20"/>
    <n v="33410"/>
    <n v="23394"/>
  </r>
  <r>
    <s v="ORD00599"/>
    <d v="2025-11-29T00:00:00"/>
    <x v="2"/>
    <x v="11"/>
    <x v="4"/>
    <s v="Thailand"/>
    <x v="0"/>
    <x v="16"/>
    <n v="18816"/>
    <n v="16978"/>
  </r>
  <r>
    <s v="ORD00600"/>
    <d v="2025-11-11T00:00:00"/>
    <x v="2"/>
    <x v="44"/>
    <x v="1"/>
    <s v="Canada"/>
    <x v="16"/>
    <x v="8"/>
    <n v="21164"/>
    <n v="25022"/>
  </r>
  <r>
    <s v="ORD00601"/>
    <d v="2025-05-12T00:00:00"/>
    <x v="8"/>
    <x v="17"/>
    <x v="5"/>
    <s v="France"/>
    <x v="11"/>
    <x v="18"/>
    <n v="25402"/>
    <n v="23428"/>
  </r>
  <r>
    <s v="ORD00602"/>
    <d v="2025-11-14T00:00:00"/>
    <x v="2"/>
    <x v="44"/>
    <x v="3"/>
    <s v="Australia"/>
    <x v="14"/>
    <x v="24"/>
    <n v="24416"/>
    <n v="17167"/>
  </r>
  <r>
    <s v="ORD00603"/>
    <d v="2025-09-29T00:00:00"/>
    <x v="3"/>
    <x v="49"/>
    <x v="5"/>
    <s v="Singapore"/>
    <x v="47"/>
    <x v="21"/>
    <n v="37980"/>
    <n v="36149"/>
  </r>
  <r>
    <s v="ORD00604"/>
    <d v="2025-02-20T00:00:00"/>
    <x v="6"/>
    <x v="15"/>
    <x v="0"/>
    <s v="Mexico"/>
    <x v="8"/>
    <x v="25"/>
    <n v="30506"/>
    <n v="32282"/>
  </r>
  <r>
    <s v="ORD00605"/>
    <d v="2025-12-11T00:00:00"/>
    <x v="10"/>
    <x v="32"/>
    <x v="5"/>
    <s v="UK"/>
    <x v="35"/>
    <x v="19"/>
    <n v="35117"/>
    <n v="42771"/>
  </r>
  <r>
    <s v="ORD00606"/>
    <d v="2025-08-01T00:00:00"/>
    <x v="11"/>
    <x v="12"/>
    <x v="6"/>
    <s v="UAE"/>
    <x v="46"/>
    <x v="7"/>
    <n v="31433"/>
    <n v="38965"/>
  </r>
  <r>
    <s v="ORD00607"/>
    <d v="2025-08-27T00:00:00"/>
    <x v="11"/>
    <x v="28"/>
    <x v="2"/>
    <s v="Germany"/>
    <x v="7"/>
    <x v="29"/>
    <n v="39263"/>
    <n v="28136"/>
  </r>
  <r>
    <s v="ORD00608"/>
    <d v="2025-09-14T00:00:00"/>
    <x v="3"/>
    <x v="31"/>
    <x v="5"/>
    <s v="Brazil"/>
    <x v="31"/>
    <x v="2"/>
    <n v="38915"/>
    <n v="47717"/>
  </r>
  <r>
    <s v="ORD00609"/>
    <d v="2025-03-02T00:00:00"/>
    <x v="9"/>
    <x v="22"/>
    <x v="1"/>
    <s v="South Africa"/>
    <x v="11"/>
    <x v="11"/>
    <n v="26184"/>
    <n v="25063"/>
  </r>
  <r>
    <s v="ORD00610"/>
    <d v="2025-03-29T00:00:00"/>
    <x v="9"/>
    <x v="33"/>
    <x v="5"/>
    <s v="India"/>
    <x v="22"/>
    <x v="9"/>
    <n v="17517"/>
    <n v="20186"/>
  </r>
  <r>
    <s v="ORD00611"/>
    <d v="2025-03-22T00:00:00"/>
    <x v="9"/>
    <x v="39"/>
    <x v="2"/>
    <s v="Spain"/>
    <x v="31"/>
    <x v="18"/>
    <n v="16070"/>
    <n v="13234"/>
  </r>
  <r>
    <s v="ORD00612"/>
    <d v="2025-02-05T00:00:00"/>
    <x v="6"/>
    <x v="48"/>
    <x v="0"/>
    <s v="Australia"/>
    <x v="21"/>
    <x v="7"/>
    <n v="22169"/>
    <n v="17541"/>
  </r>
  <r>
    <s v="ORD00613"/>
    <d v="2025-11-05T00:00:00"/>
    <x v="2"/>
    <x v="51"/>
    <x v="5"/>
    <s v="Germany"/>
    <x v="40"/>
    <x v="18"/>
    <n v="17087"/>
    <n v="19196"/>
  </r>
  <r>
    <s v="ORD00614"/>
    <d v="2025-11-04T00:00:00"/>
    <x v="2"/>
    <x v="51"/>
    <x v="0"/>
    <s v="Spain"/>
    <x v="2"/>
    <x v="28"/>
    <n v="17097"/>
    <n v="21600"/>
  </r>
  <r>
    <s v="ORD00615"/>
    <d v="2025-11-16T00:00:00"/>
    <x v="2"/>
    <x v="44"/>
    <x v="6"/>
    <s v="Singapore"/>
    <x v="17"/>
    <x v="14"/>
    <n v="37263"/>
    <n v="36248"/>
  </r>
  <r>
    <s v="ORD00616"/>
    <d v="2025-08-07T00:00:00"/>
    <x v="11"/>
    <x v="23"/>
    <x v="3"/>
    <s v="China"/>
    <x v="29"/>
    <x v="29"/>
    <n v="28658"/>
    <n v="22169"/>
  </r>
  <r>
    <s v="ORD00617"/>
    <d v="2025-08-05T00:00:00"/>
    <x v="11"/>
    <x v="23"/>
    <x v="1"/>
    <s v="Singapore"/>
    <x v="12"/>
    <x v="15"/>
    <n v="39489"/>
    <n v="50004"/>
  </r>
  <r>
    <s v="ORD00618"/>
    <d v="2025-04-27T00:00:00"/>
    <x v="7"/>
    <x v="38"/>
    <x v="5"/>
    <s v="South Africa"/>
    <x v="16"/>
    <x v="7"/>
    <n v="15625"/>
    <n v="18278"/>
  </r>
  <r>
    <s v="ORD00619"/>
    <d v="2025-12-15T00:00:00"/>
    <x v="10"/>
    <x v="21"/>
    <x v="5"/>
    <s v="UK"/>
    <x v="19"/>
    <x v="22"/>
    <n v="15001"/>
    <n v="16542"/>
  </r>
  <r>
    <s v="ORD00620"/>
    <d v="2025-03-11T00:00:00"/>
    <x v="9"/>
    <x v="19"/>
    <x v="1"/>
    <s v="Thailand"/>
    <x v="21"/>
    <x v="9"/>
    <n v="34298"/>
    <n v="26708"/>
  </r>
  <r>
    <s v="ORD00621"/>
    <d v="2025-06-17T00:00:00"/>
    <x v="5"/>
    <x v="13"/>
    <x v="3"/>
    <s v="Italy"/>
    <x v="21"/>
    <x v="27"/>
    <n v="32171"/>
    <n v="38877"/>
  </r>
  <r>
    <s v="ORD00622"/>
    <d v="2025-07-25T00:00:00"/>
    <x v="0"/>
    <x v="0"/>
    <x v="3"/>
    <s v="UAE"/>
    <x v="15"/>
    <x v="2"/>
    <n v="28915"/>
    <n v="32957"/>
  </r>
  <r>
    <s v="ORD00623"/>
    <d v="2025-05-27T00:00:00"/>
    <x v="8"/>
    <x v="24"/>
    <x v="1"/>
    <s v="Germany"/>
    <x v="2"/>
    <x v="13"/>
    <n v="34961"/>
    <n v="28586"/>
  </r>
  <r>
    <s v="ORD00624"/>
    <d v="2025-08-25T00:00:00"/>
    <x v="11"/>
    <x v="28"/>
    <x v="6"/>
    <s v="China"/>
    <x v="38"/>
    <x v="19"/>
    <n v="39518"/>
    <n v="29777"/>
  </r>
  <r>
    <s v="ORD00625"/>
    <d v="2025-08-03T00:00:00"/>
    <x v="11"/>
    <x v="12"/>
    <x v="5"/>
    <s v="Italy"/>
    <x v="3"/>
    <x v="4"/>
    <n v="37589"/>
    <n v="36093"/>
  </r>
  <r>
    <s v="ORD00626"/>
    <d v="2025-05-27T00:00:00"/>
    <x v="8"/>
    <x v="24"/>
    <x v="5"/>
    <s v="Singapore"/>
    <x v="18"/>
    <x v="24"/>
    <n v="28310"/>
    <n v="31301"/>
  </r>
  <r>
    <s v="ORD00627"/>
    <d v="2025-07-11T00:00:00"/>
    <x v="0"/>
    <x v="47"/>
    <x v="4"/>
    <s v="Turkey"/>
    <x v="38"/>
    <x v="22"/>
    <n v="26690"/>
    <n v="25134"/>
  </r>
  <r>
    <s v="ORD00628"/>
    <d v="2025-06-12T00:00:00"/>
    <x v="5"/>
    <x v="40"/>
    <x v="3"/>
    <s v="UK"/>
    <x v="36"/>
    <x v="27"/>
    <n v="18930"/>
    <n v="20271"/>
  </r>
  <r>
    <s v="ORD00629"/>
    <d v="2025-07-13T00:00:00"/>
    <x v="0"/>
    <x v="47"/>
    <x v="5"/>
    <s v="Malaysia"/>
    <x v="19"/>
    <x v="11"/>
    <n v="19373"/>
    <n v="15810"/>
  </r>
  <r>
    <s v="ORD00630"/>
    <d v="2025-07-30T00:00:00"/>
    <x v="0"/>
    <x v="12"/>
    <x v="3"/>
    <s v="Singapore"/>
    <x v="3"/>
    <x v="3"/>
    <n v="30166"/>
    <n v="32595"/>
  </r>
  <r>
    <s v="ORD00631"/>
    <d v="2025-05-16T00:00:00"/>
    <x v="8"/>
    <x v="17"/>
    <x v="1"/>
    <s v="Singapore"/>
    <x v="7"/>
    <x v="5"/>
    <n v="23976"/>
    <n v="21813"/>
  </r>
  <r>
    <s v="ORD00632"/>
    <d v="2025-09-28T00:00:00"/>
    <x v="3"/>
    <x v="25"/>
    <x v="6"/>
    <s v="UK"/>
    <x v="42"/>
    <x v="15"/>
    <n v="20890"/>
    <n v="26201"/>
  </r>
  <r>
    <s v="ORD00633"/>
    <d v="2025-03-21T00:00:00"/>
    <x v="9"/>
    <x v="39"/>
    <x v="2"/>
    <s v="UAE"/>
    <x v="41"/>
    <x v="9"/>
    <n v="39958"/>
    <n v="28169"/>
  </r>
  <r>
    <s v="ORD00634"/>
    <d v="2025-07-10T00:00:00"/>
    <x v="0"/>
    <x v="47"/>
    <x v="1"/>
    <s v="Turkey"/>
    <x v="42"/>
    <x v="11"/>
    <n v="34356"/>
    <n v="39769"/>
  </r>
  <r>
    <s v="ORD00635"/>
    <d v="2025-06-06T00:00:00"/>
    <x v="5"/>
    <x v="41"/>
    <x v="5"/>
    <s v="Malaysia"/>
    <x v="41"/>
    <x v="6"/>
    <n v="31530"/>
    <n v="24187"/>
  </r>
  <r>
    <s v="ORD00636"/>
    <d v="2025-09-16T00:00:00"/>
    <x v="3"/>
    <x v="8"/>
    <x v="5"/>
    <s v="Brazil"/>
    <x v="42"/>
    <x v="15"/>
    <n v="32857"/>
    <n v="37137"/>
  </r>
  <r>
    <s v="ORD00637"/>
    <d v="2025-11-02T00:00:00"/>
    <x v="2"/>
    <x v="2"/>
    <x v="4"/>
    <s v="France"/>
    <x v="10"/>
    <x v="19"/>
    <n v="28561"/>
    <n v="24878"/>
  </r>
  <r>
    <s v="ORD00638"/>
    <d v="2025-05-23T00:00:00"/>
    <x v="8"/>
    <x v="26"/>
    <x v="5"/>
    <s v="Japan"/>
    <x v="26"/>
    <x v="19"/>
    <n v="31599"/>
    <n v="22505"/>
  </r>
  <r>
    <s v="ORD00639"/>
    <d v="2025-11-04T00:00:00"/>
    <x v="2"/>
    <x v="51"/>
    <x v="6"/>
    <s v="Spain"/>
    <x v="32"/>
    <x v="8"/>
    <n v="37331"/>
    <n v="29440"/>
  </r>
  <r>
    <s v="ORD00640"/>
    <d v="2025-03-31T00:00:00"/>
    <x v="9"/>
    <x v="34"/>
    <x v="0"/>
    <s v="South Africa"/>
    <x v="28"/>
    <x v="17"/>
    <n v="18233"/>
    <n v="15070"/>
  </r>
  <r>
    <s v="ORD00641"/>
    <d v="2025-10-21T00:00:00"/>
    <x v="4"/>
    <x v="50"/>
    <x v="1"/>
    <s v="USA"/>
    <x v="7"/>
    <x v="13"/>
    <n v="24678"/>
    <n v="19291"/>
  </r>
  <r>
    <s v="ORD00642"/>
    <d v="2025-11-23T00:00:00"/>
    <x v="2"/>
    <x v="9"/>
    <x v="1"/>
    <s v="Russia"/>
    <x v="24"/>
    <x v="2"/>
    <n v="19229"/>
    <n v="13734"/>
  </r>
  <r>
    <s v="ORD00643"/>
    <d v="2025-12-12T00:00:00"/>
    <x v="10"/>
    <x v="32"/>
    <x v="3"/>
    <s v="USA"/>
    <x v="37"/>
    <x v="0"/>
    <n v="16467"/>
    <n v="18521"/>
  </r>
  <r>
    <s v="ORD00644"/>
    <d v="2025-09-25T00:00:00"/>
    <x v="3"/>
    <x v="25"/>
    <x v="0"/>
    <s v="Mexico"/>
    <x v="47"/>
    <x v="25"/>
    <n v="31978"/>
    <n v="33531"/>
  </r>
  <r>
    <s v="ORD00645"/>
    <d v="2025-08-22T00:00:00"/>
    <x v="11"/>
    <x v="46"/>
    <x v="3"/>
    <s v="Italy"/>
    <x v="39"/>
    <x v="12"/>
    <n v="20996"/>
    <n v="21499"/>
  </r>
  <r>
    <s v="ORD00646"/>
    <d v="2025-05-21T00:00:00"/>
    <x v="8"/>
    <x v="26"/>
    <x v="1"/>
    <s v="UAE"/>
    <x v="29"/>
    <x v="2"/>
    <n v="21311"/>
    <n v="16756"/>
  </r>
  <r>
    <s v="ORD00647"/>
    <d v="2025-11-10T00:00:00"/>
    <x v="2"/>
    <x v="44"/>
    <x v="4"/>
    <s v="Thailand"/>
    <x v="27"/>
    <x v="23"/>
    <n v="17969"/>
    <n v="15913"/>
  </r>
  <r>
    <s v="ORD00648"/>
    <d v="2025-06-21T00:00:00"/>
    <x v="5"/>
    <x v="13"/>
    <x v="3"/>
    <s v="Germany"/>
    <x v="47"/>
    <x v="3"/>
    <n v="19925"/>
    <n v="18100"/>
  </r>
  <r>
    <s v="ORD00649"/>
    <d v="2025-10-31T00:00:00"/>
    <x v="4"/>
    <x v="2"/>
    <x v="0"/>
    <s v="Italy"/>
    <x v="17"/>
    <x v="6"/>
    <n v="21830"/>
    <n v="19811"/>
  </r>
  <r>
    <s v="ORD00650"/>
    <d v="2025-03-19T00:00:00"/>
    <x v="9"/>
    <x v="39"/>
    <x v="5"/>
    <s v="China"/>
    <x v="23"/>
    <x v="12"/>
    <n v="31944"/>
    <n v="32631"/>
  </r>
  <r>
    <s v="ORD00651"/>
    <d v="2025-11-06T00:00:00"/>
    <x v="2"/>
    <x v="51"/>
    <x v="6"/>
    <s v="Japan"/>
    <x v="15"/>
    <x v="27"/>
    <n v="19915"/>
    <n v="24966"/>
  </r>
  <r>
    <s v="ORD00652"/>
    <d v="2025-11-05T00:00:00"/>
    <x v="2"/>
    <x v="51"/>
    <x v="4"/>
    <s v="Italy"/>
    <x v="30"/>
    <x v="9"/>
    <n v="24473"/>
    <n v="26369"/>
  </r>
  <r>
    <s v="ORD00653"/>
    <d v="2025-01-22T00:00:00"/>
    <x v="1"/>
    <x v="7"/>
    <x v="0"/>
    <s v="Malaysia"/>
    <x v="2"/>
    <x v="12"/>
    <n v="20504"/>
    <n v="15914"/>
  </r>
  <r>
    <s v="ORD00654"/>
    <d v="2025-12-29T00:00:00"/>
    <x v="10"/>
    <x v="5"/>
    <x v="2"/>
    <s v="USA"/>
    <x v="14"/>
    <x v="4"/>
    <n v="15022"/>
    <n v="11850"/>
  </r>
  <r>
    <s v="ORD00655"/>
    <d v="2025-11-28T00:00:00"/>
    <x v="2"/>
    <x v="11"/>
    <x v="2"/>
    <s v="Brazil"/>
    <x v="44"/>
    <x v="23"/>
    <n v="38000"/>
    <n v="40960"/>
  </r>
  <r>
    <s v="ORD00656"/>
    <d v="2025-01-17T00:00:00"/>
    <x v="1"/>
    <x v="1"/>
    <x v="6"/>
    <s v="UK"/>
    <x v="27"/>
    <x v="28"/>
    <n v="31874"/>
    <n v="30819"/>
  </r>
  <r>
    <s v="ORD00657"/>
    <d v="2025-12-24T00:00:00"/>
    <x v="10"/>
    <x v="42"/>
    <x v="2"/>
    <s v="Italy"/>
    <x v="22"/>
    <x v="2"/>
    <n v="24949"/>
    <n v="26819"/>
  </r>
  <r>
    <s v="ORD00658"/>
    <d v="2025-01-17T00:00:00"/>
    <x v="1"/>
    <x v="1"/>
    <x v="5"/>
    <s v="Mexico"/>
    <x v="43"/>
    <x v="10"/>
    <n v="24210"/>
    <n v="18279"/>
  </r>
  <r>
    <s v="ORD00659"/>
    <d v="2025-09-25T00:00:00"/>
    <x v="3"/>
    <x v="25"/>
    <x v="2"/>
    <s v="Italy"/>
    <x v="26"/>
    <x v="8"/>
    <n v="36688"/>
    <n v="40590"/>
  </r>
  <r>
    <s v="ORD00660"/>
    <d v="2025-12-11T00:00:00"/>
    <x v="10"/>
    <x v="32"/>
    <x v="1"/>
    <s v="South Africa"/>
    <x v="47"/>
    <x v="28"/>
    <n v="15008"/>
    <n v="16691"/>
  </r>
  <r>
    <s v="ORD00661"/>
    <d v="2025-07-12T00:00:00"/>
    <x v="0"/>
    <x v="47"/>
    <x v="3"/>
    <s v="Mexico"/>
    <x v="7"/>
    <x v="12"/>
    <n v="24277"/>
    <n v="21994"/>
  </r>
  <r>
    <s v="ORD00662"/>
    <d v="2025-01-09T00:00:00"/>
    <x v="1"/>
    <x v="6"/>
    <x v="1"/>
    <s v="Brazil"/>
    <x v="29"/>
    <x v="8"/>
    <n v="16275"/>
    <n v="12334"/>
  </r>
  <r>
    <s v="ORD00663"/>
    <d v="2025-12-23T00:00:00"/>
    <x v="10"/>
    <x v="42"/>
    <x v="2"/>
    <s v="India"/>
    <x v="37"/>
    <x v="4"/>
    <n v="24079"/>
    <n v="23691"/>
  </r>
  <r>
    <s v="ORD00664"/>
    <d v="2025-10-30T00:00:00"/>
    <x v="4"/>
    <x v="2"/>
    <x v="4"/>
    <s v="Brazil"/>
    <x v="40"/>
    <x v="13"/>
    <n v="28428"/>
    <n v="25940"/>
  </r>
  <r>
    <s v="ORD00665"/>
    <d v="2025-05-12T00:00:00"/>
    <x v="8"/>
    <x v="17"/>
    <x v="0"/>
    <s v="Brazil"/>
    <x v="20"/>
    <x v="5"/>
    <n v="22679"/>
    <n v="28807"/>
  </r>
  <r>
    <s v="ORD00666"/>
    <d v="2025-01-06T00:00:00"/>
    <x v="1"/>
    <x v="6"/>
    <x v="1"/>
    <s v="Brazil"/>
    <x v="35"/>
    <x v="18"/>
    <n v="39511"/>
    <n v="44581"/>
  </r>
  <r>
    <s v="ORD00667"/>
    <d v="2025-03-03T00:00:00"/>
    <x v="9"/>
    <x v="35"/>
    <x v="3"/>
    <s v="Brazil"/>
    <x v="39"/>
    <x v="13"/>
    <n v="35319"/>
    <n v="27047"/>
  </r>
  <r>
    <s v="ORD00668"/>
    <d v="2025-05-08T00:00:00"/>
    <x v="8"/>
    <x v="18"/>
    <x v="2"/>
    <s v="Thailand"/>
    <x v="16"/>
    <x v="26"/>
    <n v="36773"/>
    <n v="38503"/>
  </r>
  <r>
    <s v="ORD00669"/>
    <d v="2025-07-25T00:00:00"/>
    <x v="0"/>
    <x v="0"/>
    <x v="0"/>
    <s v="India"/>
    <x v="30"/>
    <x v="22"/>
    <n v="25738"/>
    <n v="28178"/>
  </r>
  <r>
    <s v="ORD00670"/>
    <d v="2025-01-05T00:00:00"/>
    <x v="1"/>
    <x v="5"/>
    <x v="1"/>
    <s v="Turkey"/>
    <x v="6"/>
    <x v="21"/>
    <n v="17998"/>
    <n v="21075"/>
  </r>
  <r>
    <s v="ORD00671"/>
    <d v="2025-01-20T00:00:00"/>
    <x v="1"/>
    <x v="7"/>
    <x v="5"/>
    <s v="USA"/>
    <x v="12"/>
    <x v="5"/>
    <n v="35605"/>
    <n v="33468"/>
  </r>
  <r>
    <s v="ORD00672"/>
    <d v="2025-01-10T00:00:00"/>
    <x v="1"/>
    <x v="6"/>
    <x v="6"/>
    <s v="Italy"/>
    <x v="48"/>
    <x v="26"/>
    <n v="31441"/>
    <n v="33282"/>
  </r>
  <r>
    <s v="ORD00673"/>
    <d v="2025-07-19T00:00:00"/>
    <x v="0"/>
    <x v="14"/>
    <x v="1"/>
    <s v="UAE"/>
    <x v="19"/>
    <x v="6"/>
    <n v="36369"/>
    <n v="35602"/>
  </r>
  <r>
    <s v="ORD00674"/>
    <d v="2025-10-19T00:00:00"/>
    <x v="4"/>
    <x v="10"/>
    <x v="3"/>
    <s v="Mexico"/>
    <x v="45"/>
    <x v="29"/>
    <n v="16497"/>
    <n v="12082"/>
  </r>
  <r>
    <s v="ORD00675"/>
    <d v="2025-10-29T00:00:00"/>
    <x v="4"/>
    <x v="2"/>
    <x v="3"/>
    <s v="Italy"/>
    <x v="10"/>
    <x v="4"/>
    <n v="22426"/>
    <n v="25531"/>
  </r>
  <r>
    <s v="ORD00676"/>
    <d v="2025-12-06T00:00:00"/>
    <x v="10"/>
    <x v="43"/>
    <x v="2"/>
    <s v="China"/>
    <x v="31"/>
    <x v="17"/>
    <n v="17999"/>
    <n v="13633"/>
  </r>
  <r>
    <s v="ORD00677"/>
    <d v="2025-09-02T00:00:00"/>
    <x v="3"/>
    <x v="4"/>
    <x v="4"/>
    <s v="USA"/>
    <x v="21"/>
    <x v="0"/>
    <n v="39946"/>
    <n v="51544"/>
  </r>
  <r>
    <s v="ORD00678"/>
    <d v="2025-03-16T00:00:00"/>
    <x v="9"/>
    <x v="19"/>
    <x v="6"/>
    <s v="USA"/>
    <x v="12"/>
    <x v="20"/>
    <n v="25193"/>
    <n v="30086"/>
  </r>
  <r>
    <s v="ORD00679"/>
    <d v="2025-01-24T00:00:00"/>
    <x v="1"/>
    <x v="7"/>
    <x v="1"/>
    <s v="Canada"/>
    <x v="11"/>
    <x v="6"/>
    <n v="15036"/>
    <n v="17515"/>
  </r>
  <r>
    <s v="ORD00680"/>
    <d v="2025-04-02T00:00:00"/>
    <x v="7"/>
    <x v="34"/>
    <x v="3"/>
    <s v="South Africa"/>
    <x v="48"/>
    <x v="2"/>
    <n v="37921"/>
    <n v="35508"/>
  </r>
  <r>
    <s v="ORD00681"/>
    <d v="2025-03-19T00:00:00"/>
    <x v="9"/>
    <x v="39"/>
    <x v="0"/>
    <s v="Germany"/>
    <x v="34"/>
    <x v="24"/>
    <n v="18162"/>
    <n v="15009"/>
  </r>
  <r>
    <s v="ORD00682"/>
    <d v="2025-12-13T00:00:00"/>
    <x v="10"/>
    <x v="32"/>
    <x v="6"/>
    <s v="Germany"/>
    <x v="31"/>
    <x v="24"/>
    <n v="30252"/>
    <n v="31295"/>
  </r>
  <r>
    <s v="ORD00683"/>
    <d v="2025-03-29T00:00:00"/>
    <x v="9"/>
    <x v="33"/>
    <x v="2"/>
    <s v="Russia"/>
    <x v="2"/>
    <x v="1"/>
    <n v="18033"/>
    <n v="22308"/>
  </r>
  <r>
    <s v="ORD00684"/>
    <d v="2025-12-24T00:00:00"/>
    <x v="10"/>
    <x v="42"/>
    <x v="4"/>
    <s v="Germany"/>
    <x v="42"/>
    <x v="5"/>
    <n v="26911"/>
    <n v="30729"/>
  </r>
  <r>
    <s v="ORD00685"/>
    <d v="2025-05-26T00:00:00"/>
    <x v="8"/>
    <x v="24"/>
    <x v="4"/>
    <s v="Brazil"/>
    <x v="16"/>
    <x v="19"/>
    <n v="35645"/>
    <n v="40960"/>
  </r>
  <r>
    <s v="ORD00686"/>
    <d v="2025-06-22T00:00:00"/>
    <x v="5"/>
    <x v="13"/>
    <x v="2"/>
    <s v="Germany"/>
    <x v="18"/>
    <x v="7"/>
    <n v="38460"/>
    <n v="42221"/>
  </r>
  <r>
    <s v="ORD00687"/>
    <d v="2025-08-01T00:00:00"/>
    <x v="11"/>
    <x v="12"/>
    <x v="6"/>
    <s v="Russia"/>
    <x v="6"/>
    <x v="14"/>
    <n v="16775"/>
    <n v="15678"/>
  </r>
  <r>
    <s v="ORD00688"/>
    <d v="2025-03-03T00:00:00"/>
    <x v="9"/>
    <x v="35"/>
    <x v="2"/>
    <s v="Malaysia"/>
    <x v="25"/>
    <x v="5"/>
    <n v="30702"/>
    <n v="28094"/>
  </r>
  <r>
    <s v="ORD00689"/>
    <d v="2025-12-11T00:00:00"/>
    <x v="10"/>
    <x v="32"/>
    <x v="3"/>
    <s v="South Africa"/>
    <x v="6"/>
    <x v="17"/>
    <n v="34502"/>
    <n v="34548"/>
  </r>
  <r>
    <s v="ORD00690"/>
    <d v="2025-07-02T00:00:00"/>
    <x v="0"/>
    <x v="37"/>
    <x v="1"/>
    <s v="China"/>
    <x v="45"/>
    <x v="17"/>
    <n v="25316"/>
    <n v="27246"/>
  </r>
  <r>
    <s v="ORD00691"/>
    <d v="2025-01-26T00:00:00"/>
    <x v="1"/>
    <x v="7"/>
    <x v="3"/>
    <s v="China"/>
    <x v="25"/>
    <x v="14"/>
    <n v="24280"/>
    <n v="26419"/>
  </r>
  <r>
    <s v="ORD00692"/>
    <d v="2025-08-24T00:00:00"/>
    <x v="11"/>
    <x v="46"/>
    <x v="5"/>
    <s v="Turkey"/>
    <x v="8"/>
    <x v="2"/>
    <n v="23252"/>
    <n v="17515"/>
  </r>
  <r>
    <s v="ORD00693"/>
    <d v="2025-07-23T00:00:00"/>
    <x v="0"/>
    <x v="0"/>
    <x v="1"/>
    <s v="France"/>
    <x v="27"/>
    <x v="25"/>
    <n v="33215"/>
    <n v="36989"/>
  </r>
  <r>
    <s v="ORD00694"/>
    <d v="2025-04-15T00:00:00"/>
    <x v="7"/>
    <x v="20"/>
    <x v="2"/>
    <s v="China"/>
    <x v="7"/>
    <x v="22"/>
    <n v="20506"/>
    <n v="21797"/>
  </r>
  <r>
    <s v="ORD00695"/>
    <d v="2025-08-09T00:00:00"/>
    <x v="11"/>
    <x v="23"/>
    <x v="5"/>
    <s v="Japan"/>
    <x v="36"/>
    <x v="17"/>
    <n v="38239"/>
    <n v="30914"/>
  </r>
  <r>
    <s v="ORD00696"/>
    <d v="2025-10-02T00:00:00"/>
    <x v="4"/>
    <x v="49"/>
    <x v="1"/>
    <s v="Japan"/>
    <x v="6"/>
    <x v="15"/>
    <n v="21456"/>
    <n v="23332"/>
  </r>
  <r>
    <s v="ORD00697"/>
    <d v="2025-11-17T00:00:00"/>
    <x v="2"/>
    <x v="9"/>
    <x v="6"/>
    <s v="South Africa"/>
    <x v="30"/>
    <x v="8"/>
    <n v="33957"/>
    <n v="26713"/>
  </r>
  <r>
    <s v="ORD00698"/>
    <d v="2025-12-14T00:00:00"/>
    <x v="10"/>
    <x v="32"/>
    <x v="6"/>
    <s v="Malaysia"/>
    <x v="49"/>
    <x v="1"/>
    <n v="24388"/>
    <n v="26570"/>
  </r>
  <r>
    <s v="ORD00699"/>
    <d v="2025-02-27T00:00:00"/>
    <x v="6"/>
    <x v="22"/>
    <x v="2"/>
    <s v="Australia"/>
    <x v="23"/>
    <x v="23"/>
    <n v="25495"/>
    <n v="28248"/>
  </r>
  <r>
    <s v="ORD00700"/>
    <d v="2025-04-11T00:00:00"/>
    <x v="7"/>
    <x v="16"/>
    <x v="4"/>
    <s v="China"/>
    <x v="47"/>
    <x v="15"/>
    <n v="27797"/>
    <n v="28451"/>
  </r>
  <r>
    <s v="ORD00701"/>
    <d v="2025-06-29T00:00:00"/>
    <x v="5"/>
    <x v="36"/>
    <x v="3"/>
    <s v="UAE"/>
    <x v="0"/>
    <x v="15"/>
    <n v="32013"/>
    <n v="28753"/>
  </r>
  <r>
    <s v="ORD00702"/>
    <d v="2025-09-28T00:00:00"/>
    <x v="3"/>
    <x v="25"/>
    <x v="0"/>
    <s v="UK"/>
    <x v="19"/>
    <x v="14"/>
    <n v="31791"/>
    <n v="36710"/>
  </r>
  <r>
    <s v="ORD00703"/>
    <d v="2025-07-30T00:00:00"/>
    <x v="0"/>
    <x v="12"/>
    <x v="1"/>
    <s v="South Africa"/>
    <x v="22"/>
    <x v="2"/>
    <n v="25042"/>
    <n v="30777"/>
  </r>
  <r>
    <s v="ORD00704"/>
    <d v="2025-04-15T00:00:00"/>
    <x v="7"/>
    <x v="20"/>
    <x v="5"/>
    <s v="Canada"/>
    <x v="6"/>
    <x v="4"/>
    <n v="31117"/>
    <n v="34331"/>
  </r>
  <r>
    <s v="ORD00705"/>
    <d v="2025-02-05T00:00:00"/>
    <x v="6"/>
    <x v="48"/>
    <x v="1"/>
    <s v="South Africa"/>
    <x v="2"/>
    <x v="18"/>
    <n v="33355"/>
    <n v="23405"/>
  </r>
  <r>
    <s v="ORD00706"/>
    <d v="2025-02-20T00:00:00"/>
    <x v="6"/>
    <x v="15"/>
    <x v="1"/>
    <s v="Italy"/>
    <x v="28"/>
    <x v="24"/>
    <n v="16187"/>
    <n v="14021"/>
  </r>
  <r>
    <s v="ORD00707"/>
    <d v="2025-08-24T00:00:00"/>
    <x v="11"/>
    <x v="46"/>
    <x v="2"/>
    <s v="France"/>
    <x v="18"/>
    <x v="29"/>
    <n v="16609"/>
    <n v="18358"/>
  </r>
  <r>
    <s v="ORD00708"/>
    <d v="2025-03-24T00:00:00"/>
    <x v="9"/>
    <x v="33"/>
    <x v="5"/>
    <s v="Spain"/>
    <x v="3"/>
    <x v="2"/>
    <n v="33439"/>
    <n v="27809"/>
  </r>
  <r>
    <s v="ORD00709"/>
    <d v="2025-04-26T00:00:00"/>
    <x v="7"/>
    <x v="38"/>
    <x v="6"/>
    <s v="Malaysia"/>
    <x v="19"/>
    <x v="5"/>
    <n v="31292"/>
    <n v="30028"/>
  </r>
  <r>
    <s v="ORD00710"/>
    <d v="2025-05-12T00:00:00"/>
    <x v="8"/>
    <x v="17"/>
    <x v="6"/>
    <s v="Canada"/>
    <x v="24"/>
    <x v="29"/>
    <n v="29668"/>
    <n v="31288"/>
  </r>
  <r>
    <s v="ORD00711"/>
    <d v="2025-08-01T00:00:00"/>
    <x v="11"/>
    <x v="12"/>
    <x v="6"/>
    <s v="Australia"/>
    <x v="17"/>
    <x v="19"/>
    <n v="25873"/>
    <n v="22426"/>
  </r>
  <r>
    <s v="ORD00712"/>
    <d v="2025-11-08T00:00:00"/>
    <x v="2"/>
    <x v="51"/>
    <x v="2"/>
    <s v="Australia"/>
    <x v="34"/>
    <x v="24"/>
    <n v="15344"/>
    <n v="12926"/>
  </r>
  <r>
    <s v="ORD00713"/>
    <d v="2025-04-30T00:00:00"/>
    <x v="7"/>
    <x v="27"/>
    <x v="1"/>
    <s v="South Africa"/>
    <x v="17"/>
    <x v="28"/>
    <n v="18856"/>
    <n v="17205"/>
  </r>
  <r>
    <s v="ORD00714"/>
    <d v="2025-06-03T00:00:00"/>
    <x v="5"/>
    <x v="41"/>
    <x v="1"/>
    <s v="Italy"/>
    <x v="40"/>
    <x v="6"/>
    <n v="25295"/>
    <n v="32697"/>
  </r>
  <r>
    <s v="ORD00715"/>
    <d v="2025-02-25T00:00:00"/>
    <x v="6"/>
    <x v="22"/>
    <x v="1"/>
    <s v="India"/>
    <x v="11"/>
    <x v="9"/>
    <n v="31636"/>
    <n v="35467"/>
  </r>
  <r>
    <s v="ORD00716"/>
    <d v="2025-06-24T00:00:00"/>
    <x v="5"/>
    <x v="36"/>
    <x v="1"/>
    <s v="UK"/>
    <x v="18"/>
    <x v="20"/>
    <n v="21509"/>
    <n v="23445"/>
  </r>
  <r>
    <s v="ORD00717"/>
    <d v="2025-08-27T00:00:00"/>
    <x v="11"/>
    <x v="28"/>
    <x v="1"/>
    <s v="Russia"/>
    <x v="4"/>
    <x v="17"/>
    <n v="15063"/>
    <n v="16892"/>
  </r>
  <r>
    <s v="ORD00718"/>
    <d v="2025-02-25T00:00:00"/>
    <x v="6"/>
    <x v="22"/>
    <x v="5"/>
    <s v="Spain"/>
    <x v="34"/>
    <x v="3"/>
    <n v="25006"/>
    <n v="24383"/>
  </r>
  <r>
    <s v="ORD00719"/>
    <d v="2025-04-04T00:00:00"/>
    <x v="7"/>
    <x v="34"/>
    <x v="1"/>
    <s v="Turkey"/>
    <x v="33"/>
    <x v="2"/>
    <n v="19709"/>
    <n v="22491"/>
  </r>
  <r>
    <s v="ORD00720"/>
    <d v="2025-01-07T00:00:00"/>
    <x v="1"/>
    <x v="6"/>
    <x v="2"/>
    <s v="Malaysia"/>
    <x v="6"/>
    <x v="18"/>
    <n v="36525"/>
    <n v="39352"/>
  </r>
  <r>
    <s v="ORD00721"/>
    <d v="2025-07-16T00:00:00"/>
    <x v="0"/>
    <x v="14"/>
    <x v="3"/>
    <s v="Malaysia"/>
    <x v="5"/>
    <x v="0"/>
    <n v="30548"/>
    <n v="22152"/>
  </r>
  <r>
    <s v="ORD00722"/>
    <d v="2025-12-15T00:00:00"/>
    <x v="10"/>
    <x v="21"/>
    <x v="2"/>
    <s v="Italy"/>
    <x v="41"/>
    <x v="6"/>
    <n v="35621"/>
    <n v="25707"/>
  </r>
  <r>
    <s v="ORD00723"/>
    <d v="2025-12-23T00:00:00"/>
    <x v="10"/>
    <x v="42"/>
    <x v="6"/>
    <s v="China"/>
    <x v="14"/>
    <x v="27"/>
    <n v="15856"/>
    <n v="15536"/>
  </r>
  <r>
    <s v="ORD00724"/>
    <d v="2025-10-02T00:00:00"/>
    <x v="4"/>
    <x v="49"/>
    <x v="3"/>
    <s v="Germany"/>
    <x v="49"/>
    <x v="1"/>
    <n v="20672"/>
    <n v="20758"/>
  </r>
  <r>
    <s v="ORD00725"/>
    <d v="2025-01-06T00:00:00"/>
    <x v="1"/>
    <x v="6"/>
    <x v="1"/>
    <s v="South Africa"/>
    <x v="37"/>
    <x v="15"/>
    <n v="30791"/>
    <n v="31061"/>
  </r>
  <r>
    <s v="ORD00726"/>
    <d v="2025-03-01T00:00:00"/>
    <x v="9"/>
    <x v="22"/>
    <x v="4"/>
    <s v="South Africa"/>
    <x v="6"/>
    <x v="25"/>
    <n v="29119"/>
    <n v="28382"/>
  </r>
  <r>
    <s v="ORD00727"/>
    <d v="2025-10-16T00:00:00"/>
    <x v="4"/>
    <x v="10"/>
    <x v="4"/>
    <s v="France"/>
    <x v="14"/>
    <x v="4"/>
    <n v="27363"/>
    <n v="34093"/>
  </r>
  <r>
    <s v="ORD00728"/>
    <d v="2025-11-12T00:00:00"/>
    <x v="2"/>
    <x v="44"/>
    <x v="1"/>
    <s v="Brazil"/>
    <x v="13"/>
    <x v="27"/>
    <n v="15085"/>
    <n v="13329"/>
  </r>
  <r>
    <s v="ORD00729"/>
    <d v="2025-12-10T00:00:00"/>
    <x v="10"/>
    <x v="32"/>
    <x v="4"/>
    <s v="Australia"/>
    <x v="2"/>
    <x v="27"/>
    <n v="34206"/>
    <n v="27333"/>
  </r>
  <r>
    <s v="ORD00730"/>
    <d v="2025-05-22T00:00:00"/>
    <x v="8"/>
    <x v="26"/>
    <x v="6"/>
    <s v="USA"/>
    <x v="22"/>
    <x v="27"/>
    <n v="16112"/>
    <n v="17283"/>
  </r>
  <r>
    <s v="ORD00731"/>
    <d v="2025-01-23T00:00:00"/>
    <x v="1"/>
    <x v="7"/>
    <x v="3"/>
    <s v="Italy"/>
    <x v="3"/>
    <x v="27"/>
    <n v="32931"/>
    <n v="36823"/>
  </r>
  <r>
    <s v="ORD00732"/>
    <d v="2025-09-11T00:00:00"/>
    <x v="3"/>
    <x v="31"/>
    <x v="3"/>
    <s v="UAE"/>
    <x v="8"/>
    <x v="8"/>
    <n v="16715"/>
    <n v="16959"/>
  </r>
  <r>
    <s v="ORD00733"/>
    <d v="2025-01-02T00:00:00"/>
    <x v="1"/>
    <x v="5"/>
    <x v="0"/>
    <s v="Italy"/>
    <x v="48"/>
    <x v="0"/>
    <n v="38776"/>
    <n v="38190"/>
  </r>
  <r>
    <s v="ORD00734"/>
    <d v="2025-11-01T00:00:00"/>
    <x v="2"/>
    <x v="2"/>
    <x v="5"/>
    <s v="UAE"/>
    <x v="32"/>
    <x v="14"/>
    <n v="23654"/>
    <n v="17053"/>
  </r>
  <r>
    <s v="ORD00735"/>
    <d v="2025-02-08T00:00:00"/>
    <x v="6"/>
    <x v="48"/>
    <x v="0"/>
    <s v="Thailand"/>
    <x v="5"/>
    <x v="6"/>
    <n v="37377"/>
    <n v="40561"/>
  </r>
  <r>
    <s v="ORD00736"/>
    <d v="2025-08-11T00:00:00"/>
    <x v="11"/>
    <x v="30"/>
    <x v="5"/>
    <s v="Canada"/>
    <x v="32"/>
    <x v="5"/>
    <n v="16693"/>
    <n v="15910"/>
  </r>
  <r>
    <s v="ORD00737"/>
    <d v="2025-01-21T00:00:00"/>
    <x v="1"/>
    <x v="7"/>
    <x v="5"/>
    <s v="Malaysia"/>
    <x v="29"/>
    <x v="2"/>
    <n v="34121"/>
    <n v="33270"/>
  </r>
  <r>
    <s v="ORD00738"/>
    <d v="2025-04-05T00:00:00"/>
    <x v="7"/>
    <x v="34"/>
    <x v="0"/>
    <s v="Mexico"/>
    <x v="22"/>
    <x v="8"/>
    <n v="27691"/>
    <n v="31903"/>
  </r>
  <r>
    <s v="ORD00739"/>
    <d v="2025-05-11T00:00:00"/>
    <x v="8"/>
    <x v="18"/>
    <x v="3"/>
    <s v="Australia"/>
    <x v="34"/>
    <x v="16"/>
    <n v="39390"/>
    <n v="42444"/>
  </r>
  <r>
    <s v="ORD00740"/>
    <d v="2025-06-14T00:00:00"/>
    <x v="5"/>
    <x v="40"/>
    <x v="5"/>
    <s v="China"/>
    <x v="24"/>
    <x v="26"/>
    <n v="19722"/>
    <n v="24514"/>
  </r>
  <r>
    <s v="ORD00741"/>
    <d v="2025-05-09T00:00:00"/>
    <x v="8"/>
    <x v="18"/>
    <x v="2"/>
    <s v="Singapore"/>
    <x v="39"/>
    <x v="12"/>
    <n v="17316"/>
    <n v="19570"/>
  </r>
  <r>
    <s v="ORD00742"/>
    <d v="2025-09-27T00:00:00"/>
    <x v="3"/>
    <x v="25"/>
    <x v="3"/>
    <s v="China"/>
    <x v="43"/>
    <x v="5"/>
    <n v="32937"/>
    <n v="24912"/>
  </r>
  <r>
    <s v="ORD00743"/>
    <d v="2025-09-28T00:00:00"/>
    <x v="3"/>
    <x v="25"/>
    <x v="2"/>
    <s v="Brazil"/>
    <x v="46"/>
    <x v="5"/>
    <n v="21981"/>
    <n v="17631"/>
  </r>
  <r>
    <s v="ORD00744"/>
    <d v="2025-05-27T00:00:00"/>
    <x v="8"/>
    <x v="24"/>
    <x v="3"/>
    <s v="South Africa"/>
    <x v="49"/>
    <x v="8"/>
    <n v="23294"/>
    <n v="20097"/>
  </r>
  <r>
    <s v="ORD00745"/>
    <d v="2025-11-14T00:00:00"/>
    <x v="2"/>
    <x v="44"/>
    <x v="5"/>
    <s v="Russia"/>
    <x v="30"/>
    <x v="3"/>
    <n v="37472"/>
    <n v="29262"/>
  </r>
  <r>
    <s v="ORD00746"/>
    <d v="2025-02-11T00:00:00"/>
    <x v="6"/>
    <x v="29"/>
    <x v="6"/>
    <s v="Brazil"/>
    <x v="20"/>
    <x v="3"/>
    <n v="32770"/>
    <n v="29149"/>
  </r>
  <r>
    <s v="ORD00747"/>
    <d v="2025-04-29T00:00:00"/>
    <x v="7"/>
    <x v="27"/>
    <x v="1"/>
    <s v="Australia"/>
    <x v="2"/>
    <x v="23"/>
    <n v="16966"/>
    <n v="18328"/>
  </r>
  <r>
    <s v="ORD00748"/>
    <d v="2025-12-29T00:00:00"/>
    <x v="10"/>
    <x v="5"/>
    <x v="2"/>
    <s v="South Africa"/>
    <x v="34"/>
    <x v="27"/>
    <n v="26848"/>
    <n v="30843"/>
  </r>
  <r>
    <s v="ORD00749"/>
    <d v="2025-03-26T00:00:00"/>
    <x v="9"/>
    <x v="33"/>
    <x v="5"/>
    <s v="Spain"/>
    <x v="9"/>
    <x v="21"/>
    <n v="26919"/>
    <n v="29157"/>
  </r>
  <r>
    <s v="ORD00750"/>
    <d v="2025-03-06T00:00:00"/>
    <x v="9"/>
    <x v="35"/>
    <x v="2"/>
    <s v="India"/>
    <x v="20"/>
    <x v="11"/>
    <n v="27585"/>
    <n v="20216"/>
  </r>
  <r>
    <s v="ORD00751"/>
    <d v="2025-08-06T00:00:00"/>
    <x v="11"/>
    <x v="23"/>
    <x v="3"/>
    <s v="Italy"/>
    <x v="40"/>
    <x v="25"/>
    <n v="30415"/>
    <n v="31447"/>
  </r>
  <r>
    <s v="ORD00752"/>
    <d v="2025-06-15T00:00:00"/>
    <x v="5"/>
    <x v="40"/>
    <x v="1"/>
    <s v="USA"/>
    <x v="39"/>
    <x v="4"/>
    <n v="39601"/>
    <n v="48928"/>
  </r>
  <r>
    <s v="ORD00753"/>
    <d v="2025-08-21T00:00:00"/>
    <x v="11"/>
    <x v="46"/>
    <x v="5"/>
    <s v="Brazil"/>
    <x v="0"/>
    <x v="25"/>
    <n v="31345"/>
    <n v="33463"/>
  </r>
  <r>
    <s v="ORD00754"/>
    <d v="2025-03-05T00:00:00"/>
    <x v="9"/>
    <x v="35"/>
    <x v="5"/>
    <s v="China"/>
    <x v="10"/>
    <x v="16"/>
    <n v="30386"/>
    <n v="31179"/>
  </r>
  <r>
    <s v="ORD00755"/>
    <d v="2025-12-24T00:00:00"/>
    <x v="10"/>
    <x v="42"/>
    <x v="5"/>
    <s v="Mexico"/>
    <x v="14"/>
    <x v="4"/>
    <n v="27848"/>
    <n v="34335"/>
  </r>
  <r>
    <s v="ORD00756"/>
    <d v="2025-04-08T00:00:00"/>
    <x v="7"/>
    <x v="16"/>
    <x v="2"/>
    <s v="Russia"/>
    <x v="44"/>
    <x v="28"/>
    <n v="32604"/>
    <n v="34469"/>
  </r>
  <r>
    <s v="ORD00757"/>
    <d v="2025-11-16T00:00:00"/>
    <x v="2"/>
    <x v="44"/>
    <x v="5"/>
    <s v="Japan"/>
    <x v="24"/>
    <x v="10"/>
    <n v="17110"/>
    <n v="14055"/>
  </r>
  <r>
    <s v="ORD00758"/>
    <d v="2025-11-28T00:00:00"/>
    <x v="2"/>
    <x v="11"/>
    <x v="2"/>
    <s v="Germany"/>
    <x v="7"/>
    <x v="2"/>
    <n v="25230"/>
    <n v="25857"/>
  </r>
  <r>
    <s v="ORD00759"/>
    <d v="2025-09-01T00:00:00"/>
    <x v="3"/>
    <x v="4"/>
    <x v="0"/>
    <s v="UAE"/>
    <x v="36"/>
    <x v="4"/>
    <n v="34082"/>
    <n v="33313"/>
  </r>
  <r>
    <s v="ORD00760"/>
    <d v="2025-08-24T00:00:00"/>
    <x v="11"/>
    <x v="46"/>
    <x v="0"/>
    <s v="Russia"/>
    <x v="25"/>
    <x v="23"/>
    <n v="24817"/>
    <n v="30365"/>
  </r>
  <r>
    <s v="ORD00761"/>
    <d v="2025-12-22T00:00:00"/>
    <x v="10"/>
    <x v="42"/>
    <x v="4"/>
    <s v="Canada"/>
    <x v="3"/>
    <x v="4"/>
    <n v="36359"/>
    <n v="41159"/>
  </r>
  <r>
    <s v="ORD00762"/>
    <d v="2025-12-03T00:00:00"/>
    <x v="10"/>
    <x v="43"/>
    <x v="1"/>
    <s v="USA"/>
    <x v="14"/>
    <x v="4"/>
    <n v="27864"/>
    <n v="32618"/>
  </r>
  <r>
    <s v="ORD00763"/>
    <d v="2025-03-28T00:00:00"/>
    <x v="9"/>
    <x v="33"/>
    <x v="2"/>
    <s v="Spain"/>
    <x v="40"/>
    <x v="3"/>
    <n v="39274"/>
    <n v="45450"/>
  </r>
  <r>
    <s v="ORD00764"/>
    <d v="2025-08-22T00:00:00"/>
    <x v="11"/>
    <x v="46"/>
    <x v="6"/>
    <s v="Malaysia"/>
    <x v="22"/>
    <x v="24"/>
    <n v="39054"/>
    <n v="48153"/>
  </r>
  <r>
    <s v="ORD00765"/>
    <d v="2025-08-31T00:00:00"/>
    <x v="11"/>
    <x v="28"/>
    <x v="5"/>
    <s v="South Africa"/>
    <x v="47"/>
    <x v="21"/>
    <n v="15041"/>
    <n v="18246"/>
  </r>
  <r>
    <s v="ORD00766"/>
    <d v="2025-12-29T00:00:00"/>
    <x v="10"/>
    <x v="5"/>
    <x v="2"/>
    <s v="Singapore"/>
    <x v="20"/>
    <x v="4"/>
    <n v="29179"/>
    <n v="24264"/>
  </r>
  <r>
    <s v="ORD00767"/>
    <d v="2025-01-12T00:00:00"/>
    <x v="1"/>
    <x v="6"/>
    <x v="6"/>
    <s v="Canada"/>
    <x v="17"/>
    <x v="12"/>
    <n v="18627"/>
    <n v="22772"/>
  </r>
  <r>
    <s v="ORD00768"/>
    <d v="2025-11-03T00:00:00"/>
    <x v="2"/>
    <x v="51"/>
    <x v="0"/>
    <s v="Thailand"/>
    <x v="31"/>
    <x v="17"/>
    <n v="19072"/>
    <n v="20749"/>
  </r>
  <r>
    <s v="ORD00769"/>
    <d v="2025-10-24T00:00:00"/>
    <x v="4"/>
    <x v="50"/>
    <x v="3"/>
    <s v="Germany"/>
    <x v="37"/>
    <x v="16"/>
    <n v="33864"/>
    <n v="42299"/>
  </r>
  <r>
    <s v="ORD00770"/>
    <d v="2025-07-07T00:00:00"/>
    <x v="0"/>
    <x v="47"/>
    <x v="5"/>
    <s v="France"/>
    <x v="48"/>
    <x v="0"/>
    <n v="17265"/>
    <n v="13628"/>
  </r>
  <r>
    <s v="ORD00771"/>
    <d v="2025-01-05T00:00:00"/>
    <x v="1"/>
    <x v="5"/>
    <x v="6"/>
    <s v="Russia"/>
    <x v="42"/>
    <x v="18"/>
    <n v="23628"/>
    <n v="17336"/>
  </r>
  <r>
    <s v="ORD00772"/>
    <d v="2025-10-19T00:00:00"/>
    <x v="4"/>
    <x v="10"/>
    <x v="0"/>
    <s v="Australia"/>
    <x v="9"/>
    <x v="11"/>
    <n v="26205"/>
    <n v="28047"/>
  </r>
  <r>
    <s v="ORD00773"/>
    <d v="2025-07-18T00:00:00"/>
    <x v="0"/>
    <x v="14"/>
    <x v="6"/>
    <s v="Thailand"/>
    <x v="11"/>
    <x v="16"/>
    <n v="18512"/>
    <n v="15336"/>
  </r>
  <r>
    <s v="ORD00774"/>
    <d v="2025-12-23T00:00:00"/>
    <x v="10"/>
    <x v="42"/>
    <x v="5"/>
    <s v="India"/>
    <x v="8"/>
    <x v="10"/>
    <n v="28481"/>
    <n v="30528"/>
  </r>
  <r>
    <s v="ORD00775"/>
    <d v="2025-05-20T00:00:00"/>
    <x v="8"/>
    <x v="26"/>
    <x v="3"/>
    <s v="Thailand"/>
    <x v="11"/>
    <x v="8"/>
    <n v="34368"/>
    <n v="28596"/>
  </r>
  <r>
    <s v="ORD00776"/>
    <d v="2025-05-11T00:00:00"/>
    <x v="8"/>
    <x v="18"/>
    <x v="3"/>
    <s v="France"/>
    <x v="7"/>
    <x v="10"/>
    <n v="32905"/>
    <n v="24363"/>
  </r>
  <r>
    <s v="ORD00777"/>
    <d v="2025-08-03T00:00:00"/>
    <x v="11"/>
    <x v="12"/>
    <x v="3"/>
    <s v="China"/>
    <x v="48"/>
    <x v="21"/>
    <n v="32046"/>
    <n v="25790"/>
  </r>
  <r>
    <s v="ORD00778"/>
    <d v="2025-06-09T00:00:00"/>
    <x v="5"/>
    <x v="40"/>
    <x v="6"/>
    <s v="UK"/>
    <x v="42"/>
    <x v="4"/>
    <n v="16795"/>
    <n v="13771"/>
  </r>
  <r>
    <s v="ORD00779"/>
    <d v="2025-12-23T00:00:00"/>
    <x v="10"/>
    <x v="42"/>
    <x v="6"/>
    <s v="UK"/>
    <x v="21"/>
    <x v="17"/>
    <n v="39796"/>
    <n v="33428"/>
  </r>
  <r>
    <s v="ORD00780"/>
    <d v="2025-07-08T00:00:00"/>
    <x v="0"/>
    <x v="47"/>
    <x v="2"/>
    <s v="Australia"/>
    <x v="47"/>
    <x v="23"/>
    <n v="16662"/>
    <n v="14960"/>
  </r>
  <r>
    <s v="ORD00781"/>
    <d v="2025-09-22T00:00:00"/>
    <x v="3"/>
    <x v="25"/>
    <x v="3"/>
    <s v="South Africa"/>
    <x v="42"/>
    <x v="11"/>
    <n v="37179"/>
    <n v="39148"/>
  </r>
  <r>
    <s v="ORD00782"/>
    <d v="2025-10-15T00:00:00"/>
    <x v="4"/>
    <x v="10"/>
    <x v="4"/>
    <s v="Italy"/>
    <x v="6"/>
    <x v="19"/>
    <n v="25091"/>
    <n v="20776"/>
  </r>
  <r>
    <s v="ORD00783"/>
    <d v="2025-06-24T00:00:00"/>
    <x v="5"/>
    <x v="36"/>
    <x v="0"/>
    <s v="Brazil"/>
    <x v="7"/>
    <x v="6"/>
    <n v="26540"/>
    <n v="23981"/>
  </r>
  <r>
    <s v="ORD00784"/>
    <d v="2025-01-17T00:00:00"/>
    <x v="1"/>
    <x v="1"/>
    <x v="1"/>
    <s v="Italy"/>
    <x v="35"/>
    <x v="10"/>
    <n v="19352"/>
    <n v="16836"/>
  </r>
  <r>
    <s v="ORD00785"/>
    <d v="2025-01-24T00:00:00"/>
    <x v="1"/>
    <x v="7"/>
    <x v="4"/>
    <s v="India"/>
    <x v="38"/>
    <x v="24"/>
    <n v="32071"/>
    <n v="41496"/>
  </r>
  <r>
    <s v="ORD00786"/>
    <d v="2025-09-09T00:00:00"/>
    <x v="3"/>
    <x v="31"/>
    <x v="3"/>
    <s v="Brazil"/>
    <x v="34"/>
    <x v="6"/>
    <n v="34791"/>
    <n v="33095"/>
  </r>
  <r>
    <s v="ORD00787"/>
    <d v="2025-03-11T00:00:00"/>
    <x v="9"/>
    <x v="19"/>
    <x v="2"/>
    <s v="Malaysia"/>
    <x v="22"/>
    <x v="15"/>
    <n v="29442"/>
    <n v="22367"/>
  </r>
  <r>
    <s v="ORD00788"/>
    <d v="2025-01-14T00:00:00"/>
    <x v="1"/>
    <x v="1"/>
    <x v="6"/>
    <s v="Malaysia"/>
    <x v="49"/>
    <x v="18"/>
    <n v="26956"/>
    <n v="28660"/>
  </r>
  <r>
    <s v="ORD00789"/>
    <d v="2025-07-18T00:00:00"/>
    <x v="0"/>
    <x v="14"/>
    <x v="3"/>
    <s v="Japan"/>
    <x v="15"/>
    <x v="26"/>
    <n v="25274"/>
    <n v="23415"/>
  </r>
  <r>
    <s v="ORD00790"/>
    <d v="2025-07-22T00:00:00"/>
    <x v="0"/>
    <x v="0"/>
    <x v="1"/>
    <s v="Canada"/>
    <x v="1"/>
    <x v="8"/>
    <n v="36131"/>
    <n v="38377"/>
  </r>
  <r>
    <s v="ORD00791"/>
    <d v="2025-12-02T00:00:00"/>
    <x v="10"/>
    <x v="43"/>
    <x v="4"/>
    <s v="Thailand"/>
    <x v="0"/>
    <x v="4"/>
    <n v="19862"/>
    <n v="16572"/>
  </r>
  <r>
    <s v="ORD00792"/>
    <d v="2025-08-08T00:00:00"/>
    <x v="11"/>
    <x v="23"/>
    <x v="5"/>
    <s v="UK"/>
    <x v="32"/>
    <x v="20"/>
    <n v="22130"/>
    <n v="26819"/>
  </r>
  <r>
    <s v="ORD00793"/>
    <d v="2025-10-10T00:00:00"/>
    <x v="4"/>
    <x v="45"/>
    <x v="0"/>
    <s v="Mexico"/>
    <x v="48"/>
    <x v="20"/>
    <n v="28823"/>
    <n v="30800"/>
  </r>
  <r>
    <s v="ORD00794"/>
    <d v="2025-01-07T00:00:00"/>
    <x v="1"/>
    <x v="6"/>
    <x v="4"/>
    <s v="Russia"/>
    <x v="1"/>
    <x v="26"/>
    <n v="19128"/>
    <n v="13534"/>
  </r>
  <r>
    <s v="ORD00795"/>
    <d v="2025-07-16T00:00:00"/>
    <x v="0"/>
    <x v="14"/>
    <x v="5"/>
    <s v="Spain"/>
    <x v="16"/>
    <x v="2"/>
    <n v="24607"/>
    <n v="17233"/>
  </r>
  <r>
    <s v="ORD00796"/>
    <d v="2025-12-03T00:00:00"/>
    <x v="10"/>
    <x v="43"/>
    <x v="5"/>
    <s v="South Africa"/>
    <x v="36"/>
    <x v="0"/>
    <n v="22182"/>
    <n v="28556"/>
  </r>
  <r>
    <s v="ORD00797"/>
    <d v="2025-12-01T00:00:00"/>
    <x v="10"/>
    <x v="43"/>
    <x v="0"/>
    <s v="Canada"/>
    <x v="8"/>
    <x v="19"/>
    <n v="18094"/>
    <n v="20927"/>
  </r>
  <r>
    <s v="ORD00798"/>
    <d v="2025-08-04T00:00:00"/>
    <x v="11"/>
    <x v="23"/>
    <x v="2"/>
    <s v="Singapore"/>
    <x v="45"/>
    <x v="0"/>
    <n v="22675"/>
    <n v="25149"/>
  </r>
  <r>
    <s v="ORD00799"/>
    <d v="2025-08-02T00:00:00"/>
    <x v="11"/>
    <x v="12"/>
    <x v="1"/>
    <s v="Thailand"/>
    <x v="21"/>
    <x v="18"/>
    <n v="38534"/>
    <n v="36337"/>
  </r>
  <r>
    <s v="ORD00800"/>
    <d v="2025-03-13T00:00:00"/>
    <x v="9"/>
    <x v="19"/>
    <x v="3"/>
    <s v="Germany"/>
    <x v="5"/>
    <x v="24"/>
    <n v="23644"/>
    <n v="27090"/>
  </r>
  <r>
    <s v="ORD00801"/>
    <d v="2025-06-26T00:00:00"/>
    <x v="5"/>
    <x v="36"/>
    <x v="2"/>
    <s v="Germany"/>
    <x v="31"/>
    <x v="1"/>
    <n v="16750"/>
    <n v="14228"/>
  </r>
  <r>
    <s v="ORD00802"/>
    <d v="2025-09-15T00:00:00"/>
    <x v="3"/>
    <x v="8"/>
    <x v="1"/>
    <s v="Japan"/>
    <x v="43"/>
    <x v="4"/>
    <n v="39008"/>
    <n v="37224"/>
  </r>
  <r>
    <s v="ORD00803"/>
    <d v="2025-01-22T00:00:00"/>
    <x v="1"/>
    <x v="7"/>
    <x v="2"/>
    <s v="France"/>
    <x v="12"/>
    <x v="5"/>
    <n v="18606"/>
    <n v="13548"/>
  </r>
  <r>
    <s v="ORD00804"/>
    <d v="2025-06-01T00:00:00"/>
    <x v="5"/>
    <x v="24"/>
    <x v="0"/>
    <s v="France"/>
    <x v="33"/>
    <x v="13"/>
    <n v="21998"/>
    <n v="28489"/>
  </r>
  <r>
    <s v="ORD00805"/>
    <d v="2025-09-13T00:00:00"/>
    <x v="3"/>
    <x v="31"/>
    <x v="4"/>
    <s v="Japan"/>
    <x v="21"/>
    <x v="28"/>
    <n v="29219"/>
    <n v="21282"/>
  </r>
  <r>
    <s v="ORD00806"/>
    <d v="2025-03-24T00:00:00"/>
    <x v="9"/>
    <x v="33"/>
    <x v="6"/>
    <s v="Turkey"/>
    <x v="19"/>
    <x v="21"/>
    <n v="18350"/>
    <n v="16998"/>
  </r>
  <r>
    <s v="ORD00807"/>
    <d v="2025-04-19T00:00:00"/>
    <x v="7"/>
    <x v="20"/>
    <x v="5"/>
    <s v="Australia"/>
    <x v="17"/>
    <x v="0"/>
    <n v="15376"/>
    <n v="14149"/>
  </r>
  <r>
    <s v="ORD00808"/>
    <d v="2025-07-25T00:00:00"/>
    <x v="0"/>
    <x v="0"/>
    <x v="0"/>
    <s v="USA"/>
    <x v="49"/>
    <x v="20"/>
    <n v="23811"/>
    <n v="22583"/>
  </r>
  <r>
    <s v="ORD00809"/>
    <d v="2025-07-24T00:00:00"/>
    <x v="0"/>
    <x v="0"/>
    <x v="2"/>
    <s v="Canada"/>
    <x v="18"/>
    <x v="4"/>
    <n v="25305"/>
    <n v="19925"/>
  </r>
  <r>
    <s v="ORD00810"/>
    <d v="2025-01-11T00:00:00"/>
    <x v="1"/>
    <x v="6"/>
    <x v="2"/>
    <s v="UAE"/>
    <x v="46"/>
    <x v="7"/>
    <n v="31710"/>
    <n v="30204"/>
  </r>
  <r>
    <s v="ORD00811"/>
    <d v="2025-03-03T00:00:00"/>
    <x v="9"/>
    <x v="35"/>
    <x v="1"/>
    <s v="Thailand"/>
    <x v="11"/>
    <x v="15"/>
    <n v="17300"/>
    <n v="18813"/>
  </r>
  <r>
    <s v="ORD00812"/>
    <d v="2025-01-09T00:00:00"/>
    <x v="1"/>
    <x v="6"/>
    <x v="4"/>
    <s v="Spain"/>
    <x v="47"/>
    <x v="5"/>
    <n v="37254"/>
    <n v="34466"/>
  </r>
  <r>
    <s v="ORD00813"/>
    <d v="2025-05-08T00:00:00"/>
    <x v="8"/>
    <x v="18"/>
    <x v="3"/>
    <s v="Spain"/>
    <x v="48"/>
    <x v="29"/>
    <n v="37357"/>
    <n v="30065"/>
  </r>
  <r>
    <s v="ORD00814"/>
    <d v="2025-04-17T00:00:00"/>
    <x v="7"/>
    <x v="20"/>
    <x v="3"/>
    <s v="UAE"/>
    <x v="11"/>
    <x v="11"/>
    <n v="36753"/>
    <n v="25922"/>
  </r>
  <r>
    <s v="ORD00815"/>
    <d v="2025-05-26T00:00:00"/>
    <x v="8"/>
    <x v="24"/>
    <x v="5"/>
    <s v="Spain"/>
    <x v="18"/>
    <x v="27"/>
    <n v="29293"/>
    <n v="30712"/>
  </r>
  <r>
    <s v="ORD00816"/>
    <d v="2025-03-21T00:00:00"/>
    <x v="9"/>
    <x v="39"/>
    <x v="0"/>
    <s v="France"/>
    <x v="34"/>
    <x v="16"/>
    <n v="27777"/>
    <n v="34593"/>
  </r>
  <r>
    <s v="ORD00817"/>
    <d v="2025-12-03T00:00:00"/>
    <x v="10"/>
    <x v="43"/>
    <x v="2"/>
    <s v="China"/>
    <x v="4"/>
    <x v="0"/>
    <n v="26363"/>
    <n v="21484"/>
  </r>
  <r>
    <s v="ORD00818"/>
    <d v="2025-03-15T00:00:00"/>
    <x v="9"/>
    <x v="19"/>
    <x v="5"/>
    <s v="Australia"/>
    <x v="39"/>
    <x v="26"/>
    <n v="24155"/>
    <n v="22906"/>
  </r>
  <r>
    <s v="ORD00819"/>
    <d v="2025-04-20T00:00:00"/>
    <x v="7"/>
    <x v="20"/>
    <x v="6"/>
    <s v="China"/>
    <x v="44"/>
    <x v="15"/>
    <n v="20136"/>
    <n v="15148"/>
  </r>
  <r>
    <s v="ORD00820"/>
    <d v="2025-06-16T00:00:00"/>
    <x v="5"/>
    <x v="13"/>
    <x v="6"/>
    <s v="South Africa"/>
    <x v="14"/>
    <x v="13"/>
    <n v="20915"/>
    <n v="21265"/>
  </r>
  <r>
    <s v="ORD00821"/>
    <d v="2025-06-07T00:00:00"/>
    <x v="5"/>
    <x v="41"/>
    <x v="1"/>
    <s v="India"/>
    <x v="37"/>
    <x v="3"/>
    <n v="20523"/>
    <n v="15741"/>
  </r>
  <r>
    <s v="ORD00822"/>
    <d v="2025-03-16T00:00:00"/>
    <x v="9"/>
    <x v="19"/>
    <x v="6"/>
    <s v="Australia"/>
    <x v="48"/>
    <x v="25"/>
    <n v="21239"/>
    <n v="17566"/>
  </r>
  <r>
    <s v="ORD00823"/>
    <d v="2025-12-14T00:00:00"/>
    <x v="10"/>
    <x v="32"/>
    <x v="0"/>
    <s v="Thailand"/>
    <x v="15"/>
    <x v="13"/>
    <n v="35802"/>
    <n v="27065"/>
  </r>
  <r>
    <s v="ORD00824"/>
    <d v="2025-02-28T00:00:00"/>
    <x v="6"/>
    <x v="22"/>
    <x v="2"/>
    <s v="UK"/>
    <x v="17"/>
    <x v="20"/>
    <n v="38422"/>
    <n v="40698"/>
  </r>
  <r>
    <s v="ORD00825"/>
    <d v="2025-01-18T00:00:00"/>
    <x v="1"/>
    <x v="1"/>
    <x v="1"/>
    <s v="Spain"/>
    <x v="38"/>
    <x v="26"/>
    <n v="24972"/>
    <n v="20344"/>
  </r>
  <r>
    <s v="ORD00826"/>
    <d v="2025-08-02T00:00:00"/>
    <x v="11"/>
    <x v="12"/>
    <x v="5"/>
    <s v="UAE"/>
    <x v="13"/>
    <x v="29"/>
    <n v="38232"/>
    <n v="33537"/>
  </r>
  <r>
    <s v="ORD00827"/>
    <d v="2025-04-04T00:00:00"/>
    <x v="7"/>
    <x v="34"/>
    <x v="2"/>
    <s v="Canada"/>
    <x v="34"/>
    <x v="28"/>
    <n v="19694"/>
    <n v="22169"/>
  </r>
  <r>
    <s v="ORD00828"/>
    <d v="2025-04-23T00:00:00"/>
    <x v="7"/>
    <x v="38"/>
    <x v="2"/>
    <s v="Thailand"/>
    <x v="47"/>
    <x v="22"/>
    <n v="36849"/>
    <n v="45136"/>
  </r>
  <r>
    <s v="ORD00829"/>
    <d v="2025-10-18T00:00:00"/>
    <x v="4"/>
    <x v="10"/>
    <x v="4"/>
    <s v="Italy"/>
    <x v="36"/>
    <x v="1"/>
    <n v="33608"/>
    <n v="32596"/>
  </r>
  <r>
    <s v="ORD00830"/>
    <d v="2025-05-07T00:00:00"/>
    <x v="8"/>
    <x v="18"/>
    <x v="4"/>
    <s v="USA"/>
    <x v="5"/>
    <x v="24"/>
    <n v="22568"/>
    <n v="19154"/>
  </r>
  <r>
    <s v="ORD00831"/>
    <d v="2025-11-09T00:00:00"/>
    <x v="2"/>
    <x v="51"/>
    <x v="4"/>
    <s v="Turkey"/>
    <x v="42"/>
    <x v="0"/>
    <n v="34242"/>
    <n v="36089"/>
  </r>
  <r>
    <s v="ORD00832"/>
    <d v="2025-07-30T00:00:00"/>
    <x v="0"/>
    <x v="12"/>
    <x v="4"/>
    <s v="Thailand"/>
    <x v="3"/>
    <x v="15"/>
    <n v="36950"/>
    <n v="31437"/>
  </r>
  <r>
    <s v="ORD00833"/>
    <d v="2025-08-03T00:00:00"/>
    <x v="11"/>
    <x v="12"/>
    <x v="0"/>
    <s v="Australia"/>
    <x v="11"/>
    <x v="4"/>
    <n v="22943"/>
    <n v="16581"/>
  </r>
  <r>
    <s v="ORD00834"/>
    <d v="2025-10-26T00:00:00"/>
    <x v="4"/>
    <x v="50"/>
    <x v="3"/>
    <s v="South Africa"/>
    <x v="32"/>
    <x v="14"/>
    <n v="33563"/>
    <n v="36385"/>
  </r>
  <r>
    <s v="ORD00835"/>
    <d v="2025-08-09T00:00:00"/>
    <x v="11"/>
    <x v="23"/>
    <x v="0"/>
    <s v="Mexico"/>
    <x v="1"/>
    <x v="14"/>
    <n v="30704"/>
    <n v="21658"/>
  </r>
  <r>
    <s v="ORD00836"/>
    <d v="2025-11-15T00:00:00"/>
    <x v="2"/>
    <x v="44"/>
    <x v="1"/>
    <s v="Singapore"/>
    <x v="32"/>
    <x v="27"/>
    <n v="24829"/>
    <n v="18286"/>
  </r>
  <r>
    <s v="ORD00837"/>
    <d v="2025-07-15T00:00:00"/>
    <x v="0"/>
    <x v="14"/>
    <x v="0"/>
    <s v="Canada"/>
    <x v="34"/>
    <x v="15"/>
    <n v="29108"/>
    <n v="29903"/>
  </r>
  <r>
    <s v="ORD00838"/>
    <d v="2025-12-20T00:00:00"/>
    <x v="10"/>
    <x v="21"/>
    <x v="6"/>
    <s v="China"/>
    <x v="40"/>
    <x v="16"/>
    <n v="33053"/>
    <n v="41847"/>
  </r>
  <r>
    <s v="ORD00839"/>
    <d v="2025-12-10T00:00:00"/>
    <x v="10"/>
    <x v="32"/>
    <x v="6"/>
    <s v="Thailand"/>
    <x v="37"/>
    <x v="23"/>
    <n v="34671"/>
    <n v="37527"/>
  </r>
  <r>
    <s v="ORD00840"/>
    <d v="2025-02-24T00:00:00"/>
    <x v="6"/>
    <x v="22"/>
    <x v="6"/>
    <s v="Brazil"/>
    <x v="27"/>
    <x v="29"/>
    <n v="38169"/>
    <n v="32057"/>
  </r>
  <r>
    <s v="ORD00841"/>
    <d v="2025-06-22T00:00:00"/>
    <x v="5"/>
    <x v="13"/>
    <x v="4"/>
    <s v="South Africa"/>
    <x v="21"/>
    <x v="19"/>
    <n v="23655"/>
    <n v="27148"/>
  </r>
  <r>
    <s v="ORD00842"/>
    <d v="2025-02-23T00:00:00"/>
    <x v="6"/>
    <x v="15"/>
    <x v="6"/>
    <s v="USA"/>
    <x v="42"/>
    <x v="4"/>
    <n v="28669"/>
    <n v="36672"/>
  </r>
  <r>
    <s v="ORD00843"/>
    <d v="2025-04-09T00:00:00"/>
    <x v="7"/>
    <x v="16"/>
    <x v="1"/>
    <s v="Thailand"/>
    <x v="13"/>
    <x v="8"/>
    <n v="27810"/>
    <n v="27720"/>
  </r>
  <r>
    <s v="ORD00844"/>
    <d v="2025-01-16T00:00:00"/>
    <x v="1"/>
    <x v="1"/>
    <x v="4"/>
    <s v="UAE"/>
    <x v="12"/>
    <x v="28"/>
    <n v="39596"/>
    <n v="48527"/>
  </r>
  <r>
    <s v="ORD00845"/>
    <d v="2025-04-30T00:00:00"/>
    <x v="7"/>
    <x v="27"/>
    <x v="5"/>
    <s v="Singapore"/>
    <x v="11"/>
    <x v="18"/>
    <n v="32395"/>
    <n v="41613"/>
  </r>
  <r>
    <s v="ORD00846"/>
    <d v="2025-12-30T00:00:00"/>
    <x v="10"/>
    <x v="5"/>
    <x v="6"/>
    <s v="Brazil"/>
    <x v="14"/>
    <x v="18"/>
    <n v="37787"/>
    <n v="29011"/>
  </r>
  <r>
    <s v="ORD00847"/>
    <d v="2025-03-26T00:00:00"/>
    <x v="9"/>
    <x v="33"/>
    <x v="3"/>
    <s v="Malaysia"/>
    <x v="27"/>
    <x v="23"/>
    <n v="30682"/>
    <n v="24258"/>
  </r>
  <r>
    <s v="ORD00848"/>
    <d v="2025-02-25T00:00:00"/>
    <x v="6"/>
    <x v="22"/>
    <x v="6"/>
    <s v="USA"/>
    <x v="49"/>
    <x v="15"/>
    <n v="16095"/>
    <n v="20822"/>
  </r>
  <r>
    <s v="ORD00849"/>
    <d v="2025-11-26T00:00:00"/>
    <x v="2"/>
    <x v="11"/>
    <x v="4"/>
    <s v="Brazil"/>
    <x v="48"/>
    <x v="24"/>
    <n v="26932"/>
    <n v="27542"/>
  </r>
  <r>
    <s v="ORD00850"/>
    <d v="2025-09-08T00:00:00"/>
    <x v="3"/>
    <x v="31"/>
    <x v="2"/>
    <s v="Malaysia"/>
    <x v="0"/>
    <x v="7"/>
    <n v="30399"/>
    <n v="27931"/>
  </r>
  <r>
    <s v="ORD00851"/>
    <d v="2025-11-18T00:00:00"/>
    <x v="2"/>
    <x v="9"/>
    <x v="6"/>
    <s v="Canada"/>
    <x v="46"/>
    <x v="19"/>
    <n v="15325"/>
    <n v="19470"/>
  </r>
  <r>
    <s v="ORD00852"/>
    <d v="2025-03-11T00:00:00"/>
    <x v="9"/>
    <x v="19"/>
    <x v="5"/>
    <s v="France"/>
    <x v="22"/>
    <x v="12"/>
    <n v="33334"/>
    <n v="26006"/>
  </r>
  <r>
    <s v="ORD00853"/>
    <d v="2025-12-03T00:00:00"/>
    <x v="10"/>
    <x v="43"/>
    <x v="1"/>
    <s v="South Africa"/>
    <x v="42"/>
    <x v="9"/>
    <n v="18369"/>
    <n v="15550"/>
  </r>
  <r>
    <s v="ORD00854"/>
    <d v="2025-08-13T00:00:00"/>
    <x v="11"/>
    <x v="30"/>
    <x v="1"/>
    <s v="Mexico"/>
    <x v="24"/>
    <x v="15"/>
    <n v="22587"/>
    <n v="19082"/>
  </r>
  <r>
    <s v="ORD00855"/>
    <d v="2025-01-10T00:00:00"/>
    <x v="1"/>
    <x v="6"/>
    <x v="2"/>
    <s v="Mexico"/>
    <x v="25"/>
    <x v="11"/>
    <n v="18045"/>
    <n v="22711"/>
  </r>
  <r>
    <s v="ORD00856"/>
    <d v="2025-08-03T00:00:00"/>
    <x v="11"/>
    <x v="12"/>
    <x v="4"/>
    <s v="USA"/>
    <x v="18"/>
    <x v="19"/>
    <n v="17583"/>
    <n v="19827"/>
  </r>
  <r>
    <s v="ORD00857"/>
    <d v="2025-11-16T00:00:00"/>
    <x v="2"/>
    <x v="44"/>
    <x v="0"/>
    <s v="China"/>
    <x v="7"/>
    <x v="18"/>
    <n v="23647"/>
    <n v="28236"/>
  </r>
  <r>
    <s v="ORD00858"/>
    <d v="2025-03-14T00:00:00"/>
    <x v="9"/>
    <x v="19"/>
    <x v="2"/>
    <s v="China"/>
    <x v="35"/>
    <x v="4"/>
    <n v="24830"/>
    <n v="31926"/>
  </r>
  <r>
    <s v="ORD00859"/>
    <d v="2025-01-13T00:00:00"/>
    <x v="1"/>
    <x v="1"/>
    <x v="5"/>
    <s v="Malaysia"/>
    <x v="23"/>
    <x v="28"/>
    <n v="23809"/>
    <n v="28542"/>
  </r>
  <r>
    <s v="ORD00860"/>
    <d v="2025-06-18T00:00:00"/>
    <x v="5"/>
    <x v="13"/>
    <x v="4"/>
    <s v="Japan"/>
    <x v="35"/>
    <x v="14"/>
    <n v="17643"/>
    <n v="17078"/>
  </r>
  <r>
    <s v="ORD00861"/>
    <d v="2025-01-04T00:00:00"/>
    <x v="1"/>
    <x v="5"/>
    <x v="1"/>
    <s v="Mexico"/>
    <x v="17"/>
    <x v="13"/>
    <n v="38090"/>
    <n v="29087"/>
  </r>
  <r>
    <s v="ORD00862"/>
    <d v="2025-01-12T00:00:00"/>
    <x v="1"/>
    <x v="6"/>
    <x v="1"/>
    <s v="Australia"/>
    <x v="23"/>
    <x v="8"/>
    <n v="17746"/>
    <n v="20733"/>
  </r>
  <r>
    <s v="ORD00863"/>
    <d v="2025-02-23T00:00:00"/>
    <x v="6"/>
    <x v="15"/>
    <x v="2"/>
    <s v="India"/>
    <x v="18"/>
    <x v="4"/>
    <n v="25045"/>
    <n v="30905"/>
  </r>
  <r>
    <s v="ORD00864"/>
    <d v="2025-05-20T00:00:00"/>
    <x v="8"/>
    <x v="26"/>
    <x v="0"/>
    <s v="Italy"/>
    <x v="16"/>
    <x v="23"/>
    <n v="23926"/>
    <n v="21121"/>
  </r>
  <r>
    <s v="ORD00865"/>
    <d v="2025-08-31T00:00:00"/>
    <x v="11"/>
    <x v="28"/>
    <x v="3"/>
    <s v="Germany"/>
    <x v="30"/>
    <x v="7"/>
    <n v="32604"/>
    <n v="26605"/>
  </r>
  <r>
    <s v="ORD00866"/>
    <d v="2025-08-08T00:00:00"/>
    <x v="11"/>
    <x v="23"/>
    <x v="2"/>
    <s v="Australia"/>
    <x v="46"/>
    <x v="15"/>
    <n v="38331"/>
    <n v="48320"/>
  </r>
  <r>
    <s v="ORD00867"/>
    <d v="2025-05-24T00:00:00"/>
    <x v="8"/>
    <x v="26"/>
    <x v="5"/>
    <s v="UAE"/>
    <x v="37"/>
    <x v="16"/>
    <n v="30861"/>
    <n v="28825"/>
  </r>
  <r>
    <s v="ORD00868"/>
    <d v="2025-09-29T00:00:00"/>
    <x v="3"/>
    <x v="49"/>
    <x v="3"/>
    <s v="Malaysia"/>
    <x v="18"/>
    <x v="5"/>
    <n v="31156"/>
    <n v="35292"/>
  </r>
  <r>
    <s v="ORD00869"/>
    <d v="2025-04-24T00:00:00"/>
    <x v="7"/>
    <x v="38"/>
    <x v="3"/>
    <s v="Turkey"/>
    <x v="47"/>
    <x v="9"/>
    <n v="26910"/>
    <n v="33369"/>
  </r>
  <r>
    <s v="ORD00870"/>
    <d v="2025-01-02T00:00:00"/>
    <x v="1"/>
    <x v="5"/>
    <x v="0"/>
    <s v="China"/>
    <x v="43"/>
    <x v="14"/>
    <n v="29855"/>
    <n v="26133"/>
  </r>
  <r>
    <s v="ORD00871"/>
    <d v="2025-01-30T00:00:00"/>
    <x v="1"/>
    <x v="3"/>
    <x v="6"/>
    <s v="UAE"/>
    <x v="41"/>
    <x v="2"/>
    <n v="32021"/>
    <n v="25320"/>
  </r>
  <r>
    <s v="ORD00872"/>
    <d v="2025-09-03T00:00:00"/>
    <x v="3"/>
    <x v="4"/>
    <x v="5"/>
    <s v="Malaysia"/>
    <x v="36"/>
    <x v="14"/>
    <n v="21912"/>
    <n v="22550"/>
  </r>
  <r>
    <s v="ORD00873"/>
    <d v="2025-07-30T00:00:00"/>
    <x v="0"/>
    <x v="12"/>
    <x v="5"/>
    <s v="Mexico"/>
    <x v="40"/>
    <x v="17"/>
    <n v="30680"/>
    <n v="23026"/>
  </r>
  <r>
    <s v="ORD00874"/>
    <d v="2025-12-16T00:00:00"/>
    <x v="10"/>
    <x v="21"/>
    <x v="3"/>
    <s v="Russia"/>
    <x v="5"/>
    <x v="13"/>
    <n v="35283"/>
    <n v="41179"/>
  </r>
  <r>
    <s v="ORD00875"/>
    <d v="2025-12-16T00:00:00"/>
    <x v="10"/>
    <x v="21"/>
    <x v="0"/>
    <s v="India"/>
    <x v="4"/>
    <x v="16"/>
    <n v="32316"/>
    <n v="36911"/>
  </r>
  <r>
    <s v="ORD00876"/>
    <d v="2025-02-21T00:00:00"/>
    <x v="6"/>
    <x v="15"/>
    <x v="5"/>
    <s v="Brazil"/>
    <x v="6"/>
    <x v="25"/>
    <n v="22658"/>
    <n v="24654"/>
  </r>
  <r>
    <s v="ORD00877"/>
    <d v="2025-08-20T00:00:00"/>
    <x v="11"/>
    <x v="46"/>
    <x v="5"/>
    <s v="Germany"/>
    <x v="18"/>
    <x v="27"/>
    <n v="31155"/>
    <n v="38874"/>
  </r>
  <r>
    <s v="ORD00878"/>
    <d v="2025-03-17T00:00:00"/>
    <x v="9"/>
    <x v="39"/>
    <x v="0"/>
    <s v="Thailand"/>
    <x v="39"/>
    <x v="5"/>
    <n v="34448"/>
    <n v="34561"/>
  </r>
  <r>
    <s v="ORD00879"/>
    <d v="2025-04-09T00:00:00"/>
    <x v="7"/>
    <x v="16"/>
    <x v="5"/>
    <s v="Turkey"/>
    <x v="44"/>
    <x v="13"/>
    <n v="21883"/>
    <n v="26867"/>
  </r>
  <r>
    <s v="ORD00880"/>
    <d v="2025-12-27T00:00:00"/>
    <x v="10"/>
    <x v="42"/>
    <x v="5"/>
    <s v="Italy"/>
    <x v="17"/>
    <x v="25"/>
    <n v="38107"/>
    <n v="31151"/>
  </r>
  <r>
    <s v="ORD00881"/>
    <d v="2025-08-15T00:00:00"/>
    <x v="11"/>
    <x v="30"/>
    <x v="6"/>
    <s v="Singapore"/>
    <x v="9"/>
    <x v="7"/>
    <n v="32440"/>
    <n v="39098"/>
  </r>
  <r>
    <s v="ORD00882"/>
    <d v="2025-05-26T00:00:00"/>
    <x v="8"/>
    <x v="24"/>
    <x v="6"/>
    <s v="Australia"/>
    <x v="42"/>
    <x v="14"/>
    <n v="38495"/>
    <n v="41547"/>
  </r>
  <r>
    <s v="ORD00883"/>
    <d v="2025-08-30T00:00:00"/>
    <x v="11"/>
    <x v="28"/>
    <x v="0"/>
    <s v="Germany"/>
    <x v="44"/>
    <x v="8"/>
    <n v="15539"/>
    <n v="18659"/>
  </r>
  <r>
    <s v="ORD00884"/>
    <d v="2025-09-20T00:00:00"/>
    <x v="3"/>
    <x v="8"/>
    <x v="2"/>
    <s v="Singapore"/>
    <x v="43"/>
    <x v="11"/>
    <n v="16807"/>
    <n v="16743"/>
  </r>
  <r>
    <s v="ORD00885"/>
    <d v="2025-10-28T00:00:00"/>
    <x v="4"/>
    <x v="2"/>
    <x v="6"/>
    <s v="Singapore"/>
    <x v="6"/>
    <x v="3"/>
    <n v="19778"/>
    <n v="21988"/>
  </r>
  <r>
    <s v="ORD00886"/>
    <d v="2025-02-13T00:00:00"/>
    <x v="6"/>
    <x v="29"/>
    <x v="3"/>
    <s v="Spain"/>
    <x v="30"/>
    <x v="2"/>
    <n v="32892"/>
    <n v="38707"/>
  </r>
  <r>
    <s v="ORD00887"/>
    <d v="2025-10-22T00:00:00"/>
    <x v="4"/>
    <x v="50"/>
    <x v="5"/>
    <s v="Singapore"/>
    <x v="29"/>
    <x v="27"/>
    <n v="19187"/>
    <n v="22646"/>
  </r>
  <r>
    <s v="ORD00888"/>
    <d v="2025-04-27T00:00:00"/>
    <x v="7"/>
    <x v="38"/>
    <x v="3"/>
    <s v="Spain"/>
    <x v="37"/>
    <x v="7"/>
    <n v="39360"/>
    <n v="44262"/>
  </r>
  <r>
    <s v="ORD00889"/>
    <d v="2025-07-27T00:00:00"/>
    <x v="0"/>
    <x v="0"/>
    <x v="1"/>
    <s v="Malaysia"/>
    <x v="21"/>
    <x v="9"/>
    <n v="23645"/>
    <n v="25468"/>
  </r>
  <r>
    <s v="ORD00890"/>
    <d v="2025-10-30T00:00:00"/>
    <x v="4"/>
    <x v="2"/>
    <x v="2"/>
    <s v="UAE"/>
    <x v="16"/>
    <x v="2"/>
    <n v="37888"/>
    <n v="42895"/>
  </r>
  <r>
    <s v="ORD00891"/>
    <d v="2025-02-21T00:00:00"/>
    <x v="6"/>
    <x v="15"/>
    <x v="4"/>
    <s v="Russia"/>
    <x v="1"/>
    <x v="27"/>
    <n v="23326"/>
    <n v="26574"/>
  </r>
  <r>
    <s v="ORD00892"/>
    <d v="2025-01-12T00:00:00"/>
    <x v="1"/>
    <x v="6"/>
    <x v="4"/>
    <s v="Australia"/>
    <x v="1"/>
    <x v="7"/>
    <n v="38372"/>
    <n v="44217"/>
  </r>
  <r>
    <s v="ORD00893"/>
    <d v="2025-04-08T00:00:00"/>
    <x v="7"/>
    <x v="16"/>
    <x v="6"/>
    <s v="India"/>
    <x v="36"/>
    <x v="22"/>
    <n v="32832"/>
    <n v="36082"/>
  </r>
  <r>
    <s v="ORD00894"/>
    <d v="2025-01-27T00:00:00"/>
    <x v="1"/>
    <x v="3"/>
    <x v="5"/>
    <s v="UAE"/>
    <x v="5"/>
    <x v="21"/>
    <n v="24301"/>
    <n v="28029"/>
  </r>
  <r>
    <s v="ORD00895"/>
    <d v="2025-07-15T00:00:00"/>
    <x v="0"/>
    <x v="14"/>
    <x v="5"/>
    <s v="Brazil"/>
    <x v="11"/>
    <x v="17"/>
    <n v="22988"/>
    <n v="18558"/>
  </r>
  <r>
    <s v="ORD00896"/>
    <d v="2025-02-12T00:00:00"/>
    <x v="6"/>
    <x v="29"/>
    <x v="3"/>
    <s v="Malaysia"/>
    <x v="26"/>
    <x v="20"/>
    <n v="25887"/>
    <n v="26471"/>
  </r>
  <r>
    <s v="ORD00897"/>
    <d v="2025-03-28T00:00:00"/>
    <x v="9"/>
    <x v="33"/>
    <x v="0"/>
    <s v="Australia"/>
    <x v="29"/>
    <x v="29"/>
    <n v="26045"/>
    <n v="20412"/>
  </r>
  <r>
    <s v="ORD00898"/>
    <d v="2025-03-04T00:00:00"/>
    <x v="9"/>
    <x v="35"/>
    <x v="0"/>
    <s v="Russia"/>
    <x v="32"/>
    <x v="18"/>
    <n v="32481"/>
    <n v="24505"/>
  </r>
  <r>
    <s v="ORD00899"/>
    <d v="2025-07-01T00:00:00"/>
    <x v="0"/>
    <x v="37"/>
    <x v="5"/>
    <s v="Turkey"/>
    <x v="5"/>
    <x v="13"/>
    <n v="29145"/>
    <n v="28560"/>
  </r>
  <r>
    <s v="ORD00900"/>
    <d v="2025-08-05T00:00:00"/>
    <x v="11"/>
    <x v="23"/>
    <x v="2"/>
    <s v="UK"/>
    <x v="0"/>
    <x v="4"/>
    <n v="36005"/>
    <n v="37071"/>
  </r>
  <r>
    <s v="ORD00901"/>
    <d v="2025-10-16T00:00:00"/>
    <x v="4"/>
    <x v="10"/>
    <x v="6"/>
    <s v="USA"/>
    <x v="36"/>
    <x v="23"/>
    <n v="16114"/>
    <n v="13373"/>
  </r>
  <r>
    <s v="ORD00902"/>
    <d v="2025-06-19T00:00:00"/>
    <x v="5"/>
    <x v="13"/>
    <x v="3"/>
    <s v="UAE"/>
    <x v="40"/>
    <x v="27"/>
    <n v="17189"/>
    <n v="13029"/>
  </r>
  <r>
    <s v="ORD00903"/>
    <d v="2025-08-21T00:00:00"/>
    <x v="11"/>
    <x v="46"/>
    <x v="6"/>
    <s v="South Africa"/>
    <x v="33"/>
    <x v="7"/>
    <n v="20985"/>
    <n v="22597"/>
  </r>
  <r>
    <s v="ORD00904"/>
    <d v="2025-12-31T00:00:00"/>
    <x v="10"/>
    <x v="5"/>
    <x v="0"/>
    <s v="China"/>
    <x v="6"/>
    <x v="27"/>
    <n v="17549"/>
    <n v="21510"/>
  </r>
  <r>
    <s v="ORD00905"/>
    <d v="2025-10-17T00:00:00"/>
    <x v="4"/>
    <x v="10"/>
    <x v="0"/>
    <s v="Brazil"/>
    <x v="14"/>
    <x v="5"/>
    <n v="33846"/>
    <n v="43497"/>
  </r>
  <r>
    <s v="ORD00906"/>
    <d v="2025-06-14T00:00:00"/>
    <x v="5"/>
    <x v="40"/>
    <x v="4"/>
    <s v="Germany"/>
    <x v="20"/>
    <x v="29"/>
    <n v="27651"/>
    <n v="33944"/>
  </r>
  <r>
    <s v="ORD00907"/>
    <d v="2025-04-02T00:00:00"/>
    <x v="7"/>
    <x v="34"/>
    <x v="5"/>
    <s v="Japan"/>
    <x v="4"/>
    <x v="13"/>
    <n v="23925"/>
    <n v="30047"/>
  </r>
  <r>
    <s v="ORD00908"/>
    <d v="2025-10-29T00:00:00"/>
    <x v="4"/>
    <x v="2"/>
    <x v="5"/>
    <s v="Canada"/>
    <x v="28"/>
    <x v="16"/>
    <n v="37411"/>
    <n v="32534"/>
  </r>
  <r>
    <s v="ORD00909"/>
    <d v="2025-01-31T00:00:00"/>
    <x v="1"/>
    <x v="3"/>
    <x v="3"/>
    <s v="South Africa"/>
    <x v="13"/>
    <x v="18"/>
    <n v="16290"/>
    <n v="15427"/>
  </r>
  <r>
    <s v="ORD00910"/>
    <d v="2025-02-03T00:00:00"/>
    <x v="6"/>
    <x v="48"/>
    <x v="1"/>
    <s v="Australia"/>
    <x v="26"/>
    <x v="26"/>
    <n v="35314"/>
    <n v="25818"/>
  </r>
  <r>
    <s v="ORD00911"/>
    <d v="2025-08-15T00:00:00"/>
    <x v="11"/>
    <x v="30"/>
    <x v="1"/>
    <s v="Malaysia"/>
    <x v="5"/>
    <x v="12"/>
    <n v="27376"/>
    <n v="25600"/>
  </r>
  <r>
    <s v="ORD00912"/>
    <d v="2025-12-24T00:00:00"/>
    <x v="10"/>
    <x v="42"/>
    <x v="2"/>
    <s v="France"/>
    <x v="35"/>
    <x v="29"/>
    <n v="36502"/>
    <n v="27612"/>
  </r>
  <r>
    <s v="ORD00913"/>
    <d v="2025-08-05T00:00:00"/>
    <x v="11"/>
    <x v="23"/>
    <x v="1"/>
    <s v="Mexico"/>
    <x v="24"/>
    <x v="6"/>
    <n v="28894"/>
    <n v="28968"/>
  </r>
  <r>
    <s v="ORD00914"/>
    <d v="2025-02-14T00:00:00"/>
    <x v="6"/>
    <x v="29"/>
    <x v="2"/>
    <s v="UAE"/>
    <x v="46"/>
    <x v="11"/>
    <n v="17524"/>
    <n v="17072"/>
  </r>
  <r>
    <s v="ORD00915"/>
    <d v="2025-10-23T00:00:00"/>
    <x v="4"/>
    <x v="50"/>
    <x v="5"/>
    <s v="USA"/>
    <x v="37"/>
    <x v="13"/>
    <n v="33572"/>
    <n v="37669"/>
  </r>
  <r>
    <s v="ORD00916"/>
    <d v="2025-02-10T00:00:00"/>
    <x v="6"/>
    <x v="29"/>
    <x v="3"/>
    <s v="Turkey"/>
    <x v="32"/>
    <x v="12"/>
    <n v="23170"/>
    <n v="25597"/>
  </r>
  <r>
    <s v="ORD00917"/>
    <d v="2025-07-17T00:00:00"/>
    <x v="0"/>
    <x v="14"/>
    <x v="4"/>
    <s v="UK"/>
    <x v="27"/>
    <x v="21"/>
    <n v="23188"/>
    <n v="20909"/>
  </r>
  <r>
    <s v="ORD00918"/>
    <d v="2025-06-15T00:00:00"/>
    <x v="5"/>
    <x v="40"/>
    <x v="6"/>
    <s v="Malaysia"/>
    <x v="36"/>
    <x v="29"/>
    <n v="37012"/>
    <n v="30715"/>
  </r>
  <r>
    <s v="ORD00919"/>
    <d v="2025-04-16T00:00:00"/>
    <x v="7"/>
    <x v="20"/>
    <x v="2"/>
    <s v="South Africa"/>
    <x v="35"/>
    <x v="7"/>
    <n v="32143"/>
    <n v="36669"/>
  </r>
  <r>
    <s v="ORD00920"/>
    <d v="2025-08-28T00:00:00"/>
    <x v="11"/>
    <x v="28"/>
    <x v="2"/>
    <s v="Australia"/>
    <x v="39"/>
    <x v="9"/>
    <n v="22875"/>
    <n v="16258"/>
  </r>
  <r>
    <s v="ORD00921"/>
    <d v="2025-07-13T00:00:00"/>
    <x v="0"/>
    <x v="47"/>
    <x v="2"/>
    <s v="China"/>
    <x v="29"/>
    <x v="18"/>
    <n v="23284"/>
    <n v="19374"/>
  </r>
  <r>
    <s v="ORD00922"/>
    <d v="2025-06-23T00:00:00"/>
    <x v="5"/>
    <x v="36"/>
    <x v="5"/>
    <s v="China"/>
    <x v="0"/>
    <x v="12"/>
    <n v="39960"/>
    <n v="49019"/>
  </r>
  <r>
    <s v="ORD00923"/>
    <d v="2025-10-26T00:00:00"/>
    <x v="4"/>
    <x v="50"/>
    <x v="1"/>
    <s v="Australia"/>
    <x v="16"/>
    <x v="19"/>
    <n v="20939"/>
    <n v="26543"/>
  </r>
  <r>
    <s v="ORD00924"/>
    <d v="2025-06-05T00:00:00"/>
    <x v="5"/>
    <x v="41"/>
    <x v="3"/>
    <s v="Canada"/>
    <x v="33"/>
    <x v="8"/>
    <n v="15124"/>
    <n v="13607"/>
  </r>
  <r>
    <s v="ORD00925"/>
    <d v="2025-03-12T00:00:00"/>
    <x v="9"/>
    <x v="19"/>
    <x v="1"/>
    <s v="Turkey"/>
    <x v="9"/>
    <x v="23"/>
    <n v="23579"/>
    <n v="30413"/>
  </r>
  <r>
    <s v="ORD00926"/>
    <d v="2025-06-28T00:00:00"/>
    <x v="5"/>
    <x v="36"/>
    <x v="5"/>
    <s v="Russia"/>
    <x v="25"/>
    <x v="26"/>
    <n v="36285"/>
    <n v="36778"/>
  </r>
  <r>
    <s v="ORD00927"/>
    <d v="2025-09-25T00:00:00"/>
    <x v="3"/>
    <x v="25"/>
    <x v="6"/>
    <s v="Singapore"/>
    <x v="13"/>
    <x v="25"/>
    <n v="19020"/>
    <n v="13323"/>
  </r>
  <r>
    <s v="ORD00928"/>
    <d v="2025-02-16T00:00:00"/>
    <x v="6"/>
    <x v="29"/>
    <x v="5"/>
    <s v="Brazil"/>
    <x v="8"/>
    <x v="26"/>
    <n v="16404"/>
    <n v="18381"/>
  </r>
  <r>
    <s v="ORD00929"/>
    <d v="2025-01-14T00:00:00"/>
    <x v="1"/>
    <x v="1"/>
    <x v="3"/>
    <s v="Brazil"/>
    <x v="41"/>
    <x v="12"/>
    <n v="29931"/>
    <n v="22285"/>
  </r>
  <r>
    <s v="ORD00930"/>
    <d v="2025-02-23T00:00:00"/>
    <x v="6"/>
    <x v="15"/>
    <x v="5"/>
    <s v="France"/>
    <x v="15"/>
    <x v="25"/>
    <n v="25217"/>
    <n v="20391"/>
  </r>
  <r>
    <s v="ORD00931"/>
    <d v="2025-07-04T00:00:00"/>
    <x v="0"/>
    <x v="37"/>
    <x v="4"/>
    <s v="China"/>
    <x v="18"/>
    <x v="22"/>
    <n v="23410"/>
    <n v="29850"/>
  </r>
  <r>
    <s v="ORD00932"/>
    <d v="2025-01-17T00:00:00"/>
    <x v="1"/>
    <x v="1"/>
    <x v="1"/>
    <s v="Turkey"/>
    <x v="12"/>
    <x v="17"/>
    <n v="20648"/>
    <n v="26815"/>
  </r>
  <r>
    <s v="ORD00933"/>
    <d v="2025-12-15T00:00:00"/>
    <x v="10"/>
    <x v="21"/>
    <x v="0"/>
    <s v="Mexico"/>
    <x v="14"/>
    <x v="21"/>
    <n v="30095"/>
    <n v="22124"/>
  </r>
  <r>
    <s v="ORD00934"/>
    <d v="2025-09-13T00:00:00"/>
    <x v="3"/>
    <x v="31"/>
    <x v="3"/>
    <s v="Thailand"/>
    <x v="5"/>
    <x v="18"/>
    <n v="26875"/>
    <n v="23342"/>
  </r>
  <r>
    <s v="ORD00935"/>
    <d v="2025-08-27T00:00:00"/>
    <x v="11"/>
    <x v="28"/>
    <x v="2"/>
    <s v="China"/>
    <x v="32"/>
    <x v="23"/>
    <n v="34682"/>
    <n v="36804"/>
  </r>
  <r>
    <s v="ORD00936"/>
    <d v="2025-01-07T00:00:00"/>
    <x v="1"/>
    <x v="6"/>
    <x v="0"/>
    <s v="France"/>
    <x v="27"/>
    <x v="24"/>
    <n v="29747"/>
    <n v="36725"/>
  </r>
  <r>
    <s v="ORD00937"/>
    <d v="2025-08-26T00:00:00"/>
    <x v="11"/>
    <x v="28"/>
    <x v="5"/>
    <s v="Australia"/>
    <x v="10"/>
    <x v="25"/>
    <n v="39415"/>
    <n v="29193"/>
  </r>
  <r>
    <s v="ORD00938"/>
    <d v="2025-10-08T00:00:00"/>
    <x v="4"/>
    <x v="45"/>
    <x v="1"/>
    <s v="UK"/>
    <x v="38"/>
    <x v="19"/>
    <n v="22398"/>
    <n v="15772"/>
  </r>
  <r>
    <s v="ORD00939"/>
    <d v="2025-07-20T00:00:00"/>
    <x v="0"/>
    <x v="14"/>
    <x v="2"/>
    <s v="India"/>
    <x v="4"/>
    <x v="4"/>
    <n v="22946"/>
    <n v="21583"/>
  </r>
  <r>
    <s v="ORD00940"/>
    <d v="2025-11-20T00:00:00"/>
    <x v="2"/>
    <x v="9"/>
    <x v="1"/>
    <s v="South Africa"/>
    <x v="31"/>
    <x v="27"/>
    <n v="33059"/>
    <n v="23493"/>
  </r>
  <r>
    <s v="ORD00941"/>
    <d v="2025-06-05T00:00:00"/>
    <x v="5"/>
    <x v="41"/>
    <x v="3"/>
    <s v="Mexico"/>
    <x v="11"/>
    <x v="4"/>
    <n v="32562"/>
    <n v="28670"/>
  </r>
  <r>
    <s v="ORD00942"/>
    <d v="2025-07-05T00:00:00"/>
    <x v="0"/>
    <x v="37"/>
    <x v="5"/>
    <s v="Spain"/>
    <x v="27"/>
    <x v="22"/>
    <n v="15316"/>
    <n v="19199"/>
  </r>
  <r>
    <s v="ORD00943"/>
    <d v="2025-02-28T00:00:00"/>
    <x v="6"/>
    <x v="22"/>
    <x v="0"/>
    <s v="Singapore"/>
    <x v="36"/>
    <x v="28"/>
    <n v="30283"/>
    <n v="36019"/>
  </r>
  <r>
    <s v="ORD00944"/>
    <d v="2025-08-04T00:00:00"/>
    <x v="11"/>
    <x v="23"/>
    <x v="4"/>
    <s v="UAE"/>
    <x v="20"/>
    <x v="8"/>
    <n v="19896"/>
    <n v="17814"/>
  </r>
  <r>
    <s v="ORD00945"/>
    <d v="2025-11-05T00:00:00"/>
    <x v="2"/>
    <x v="51"/>
    <x v="4"/>
    <s v="Thailand"/>
    <x v="12"/>
    <x v="9"/>
    <n v="19162"/>
    <n v="18542"/>
  </r>
  <r>
    <s v="ORD00946"/>
    <d v="2025-11-06T00:00:00"/>
    <x v="2"/>
    <x v="51"/>
    <x v="2"/>
    <s v="Russia"/>
    <x v="40"/>
    <x v="14"/>
    <n v="37931"/>
    <n v="43487"/>
  </r>
  <r>
    <s v="ORD00947"/>
    <d v="2025-06-20T00:00:00"/>
    <x v="5"/>
    <x v="13"/>
    <x v="5"/>
    <s v="France"/>
    <x v="44"/>
    <x v="29"/>
    <n v="16193"/>
    <n v="16966"/>
  </r>
  <r>
    <s v="ORD00948"/>
    <d v="2025-12-21T00:00:00"/>
    <x v="10"/>
    <x v="21"/>
    <x v="1"/>
    <s v="Italy"/>
    <x v="11"/>
    <x v="10"/>
    <n v="38869"/>
    <n v="49185"/>
  </r>
  <r>
    <s v="ORD00949"/>
    <d v="2025-08-07T00:00:00"/>
    <x v="11"/>
    <x v="23"/>
    <x v="0"/>
    <s v="Japan"/>
    <x v="29"/>
    <x v="7"/>
    <n v="28170"/>
    <n v="28056"/>
  </r>
  <r>
    <s v="ORD00950"/>
    <d v="2025-10-14T00:00:00"/>
    <x v="4"/>
    <x v="10"/>
    <x v="2"/>
    <s v="Canada"/>
    <x v="27"/>
    <x v="19"/>
    <n v="28996"/>
    <n v="30681"/>
  </r>
  <r>
    <s v="ORD00951"/>
    <d v="2025-12-03T00:00:00"/>
    <x v="10"/>
    <x v="43"/>
    <x v="0"/>
    <s v="Singapore"/>
    <x v="6"/>
    <x v="23"/>
    <n v="18833"/>
    <n v="18782"/>
  </r>
  <r>
    <s v="ORD00952"/>
    <d v="2025-08-07T00:00:00"/>
    <x v="11"/>
    <x v="23"/>
    <x v="2"/>
    <s v="Mexico"/>
    <x v="22"/>
    <x v="26"/>
    <n v="15279"/>
    <n v="16352"/>
  </r>
  <r>
    <s v="ORD00953"/>
    <d v="2025-12-21T00:00:00"/>
    <x v="10"/>
    <x v="21"/>
    <x v="4"/>
    <s v="Spain"/>
    <x v="29"/>
    <x v="4"/>
    <n v="34331"/>
    <n v="37519"/>
  </r>
  <r>
    <s v="ORD00954"/>
    <d v="2025-03-06T00:00:00"/>
    <x v="9"/>
    <x v="35"/>
    <x v="6"/>
    <s v="Italy"/>
    <x v="29"/>
    <x v="22"/>
    <n v="30856"/>
    <n v="31265"/>
  </r>
  <r>
    <s v="ORD00955"/>
    <d v="2025-01-26T00:00:00"/>
    <x v="1"/>
    <x v="7"/>
    <x v="0"/>
    <s v="France"/>
    <x v="17"/>
    <x v="0"/>
    <n v="29178"/>
    <n v="20578"/>
  </r>
  <r>
    <s v="ORD00956"/>
    <d v="2025-04-07T00:00:00"/>
    <x v="7"/>
    <x v="16"/>
    <x v="3"/>
    <s v="Australia"/>
    <x v="28"/>
    <x v="0"/>
    <n v="16266"/>
    <n v="14883"/>
  </r>
  <r>
    <s v="ORD00957"/>
    <d v="2025-03-17T00:00:00"/>
    <x v="9"/>
    <x v="39"/>
    <x v="4"/>
    <s v="Turkey"/>
    <x v="30"/>
    <x v="18"/>
    <n v="38447"/>
    <n v="38043"/>
  </r>
  <r>
    <s v="ORD00958"/>
    <d v="2025-09-22T00:00:00"/>
    <x v="3"/>
    <x v="25"/>
    <x v="5"/>
    <s v="Germany"/>
    <x v="32"/>
    <x v="29"/>
    <n v="38034"/>
    <n v="41120"/>
  </r>
  <r>
    <s v="ORD00959"/>
    <d v="2025-01-11T00:00:00"/>
    <x v="1"/>
    <x v="6"/>
    <x v="2"/>
    <s v="Thailand"/>
    <x v="37"/>
    <x v="10"/>
    <n v="20263"/>
    <n v="18307"/>
  </r>
  <r>
    <s v="ORD00960"/>
    <d v="2025-03-11T00:00:00"/>
    <x v="9"/>
    <x v="19"/>
    <x v="5"/>
    <s v="Japan"/>
    <x v="17"/>
    <x v="23"/>
    <n v="29612"/>
    <n v="35079"/>
  </r>
  <r>
    <s v="ORD00961"/>
    <d v="2025-03-16T00:00:00"/>
    <x v="9"/>
    <x v="19"/>
    <x v="1"/>
    <s v="Mexico"/>
    <x v="24"/>
    <x v="0"/>
    <n v="22743"/>
    <n v="22918"/>
  </r>
  <r>
    <s v="ORD00962"/>
    <d v="2025-06-20T00:00:00"/>
    <x v="5"/>
    <x v="13"/>
    <x v="1"/>
    <s v="Brazil"/>
    <x v="33"/>
    <x v="6"/>
    <n v="21139"/>
    <n v="17378"/>
  </r>
  <r>
    <s v="ORD00963"/>
    <d v="2025-06-02T00:00:00"/>
    <x v="5"/>
    <x v="41"/>
    <x v="5"/>
    <s v="UAE"/>
    <x v="16"/>
    <x v="7"/>
    <n v="26454"/>
    <n v="21161"/>
  </r>
  <r>
    <s v="ORD00964"/>
    <d v="2025-08-25T00:00:00"/>
    <x v="11"/>
    <x v="28"/>
    <x v="0"/>
    <s v="UK"/>
    <x v="44"/>
    <x v="21"/>
    <n v="33033"/>
    <n v="33540"/>
  </r>
  <r>
    <s v="ORD00965"/>
    <d v="2025-09-25T00:00:00"/>
    <x v="3"/>
    <x v="25"/>
    <x v="3"/>
    <s v="Thailand"/>
    <x v="0"/>
    <x v="28"/>
    <n v="33287"/>
    <n v="30565"/>
  </r>
  <r>
    <s v="ORD00966"/>
    <d v="2025-10-04T00:00:00"/>
    <x v="4"/>
    <x v="49"/>
    <x v="5"/>
    <s v="Germany"/>
    <x v="38"/>
    <x v="27"/>
    <n v="37590"/>
    <n v="47890"/>
  </r>
  <r>
    <s v="ORD00967"/>
    <d v="2025-08-15T00:00:00"/>
    <x v="11"/>
    <x v="30"/>
    <x v="6"/>
    <s v="Japan"/>
    <x v="6"/>
    <x v="23"/>
    <n v="35978"/>
    <n v="38519"/>
  </r>
  <r>
    <s v="ORD00968"/>
    <d v="2025-02-17T00:00:00"/>
    <x v="6"/>
    <x v="15"/>
    <x v="3"/>
    <s v="Canada"/>
    <x v="42"/>
    <x v="6"/>
    <n v="27111"/>
    <n v="25667"/>
  </r>
  <r>
    <s v="ORD00969"/>
    <d v="2025-07-28T00:00:00"/>
    <x v="0"/>
    <x v="12"/>
    <x v="5"/>
    <s v="UAE"/>
    <x v="42"/>
    <x v="11"/>
    <n v="16515"/>
    <n v="15952"/>
  </r>
  <r>
    <s v="ORD00970"/>
    <d v="2025-01-17T00:00:00"/>
    <x v="1"/>
    <x v="1"/>
    <x v="1"/>
    <s v="UK"/>
    <x v="27"/>
    <x v="29"/>
    <n v="33541"/>
    <n v="29797"/>
  </r>
  <r>
    <s v="ORD00971"/>
    <d v="2025-10-22T00:00:00"/>
    <x v="4"/>
    <x v="50"/>
    <x v="6"/>
    <s v="Singapore"/>
    <x v="26"/>
    <x v="13"/>
    <n v="19136"/>
    <n v="16199"/>
  </r>
  <r>
    <s v="ORD00972"/>
    <d v="2025-02-02T00:00:00"/>
    <x v="6"/>
    <x v="3"/>
    <x v="1"/>
    <s v="Russia"/>
    <x v="17"/>
    <x v="13"/>
    <n v="31121"/>
    <n v="23935"/>
  </r>
  <r>
    <s v="ORD00973"/>
    <d v="2025-11-23T00:00:00"/>
    <x v="2"/>
    <x v="9"/>
    <x v="4"/>
    <s v="USA"/>
    <x v="46"/>
    <x v="2"/>
    <n v="34498"/>
    <n v="36703"/>
  </r>
  <r>
    <s v="ORD00974"/>
    <d v="2025-09-10T00:00:00"/>
    <x v="3"/>
    <x v="31"/>
    <x v="2"/>
    <s v="Russia"/>
    <x v="49"/>
    <x v="16"/>
    <n v="26470"/>
    <n v="29345"/>
  </r>
  <r>
    <s v="ORD00975"/>
    <d v="2025-09-05T00:00:00"/>
    <x v="3"/>
    <x v="4"/>
    <x v="6"/>
    <s v="Australia"/>
    <x v="7"/>
    <x v="28"/>
    <n v="36425"/>
    <n v="43925"/>
  </r>
  <r>
    <s v="ORD00976"/>
    <d v="2025-05-28T00:00:00"/>
    <x v="8"/>
    <x v="24"/>
    <x v="5"/>
    <s v="Singapore"/>
    <x v="43"/>
    <x v="11"/>
    <n v="16061"/>
    <n v="11447"/>
  </r>
  <r>
    <s v="ORD00977"/>
    <d v="2025-09-29T00:00:00"/>
    <x v="3"/>
    <x v="49"/>
    <x v="5"/>
    <s v="France"/>
    <x v="20"/>
    <x v="27"/>
    <n v="36809"/>
    <n v="34547"/>
  </r>
  <r>
    <s v="ORD00978"/>
    <d v="2025-09-21T00:00:00"/>
    <x v="3"/>
    <x v="8"/>
    <x v="0"/>
    <s v="Mexico"/>
    <x v="21"/>
    <x v="16"/>
    <n v="34355"/>
    <n v="27519"/>
  </r>
  <r>
    <s v="ORD00979"/>
    <d v="2025-07-26T00:00:00"/>
    <x v="0"/>
    <x v="0"/>
    <x v="1"/>
    <s v="Australia"/>
    <x v="40"/>
    <x v="25"/>
    <n v="25889"/>
    <n v="30989"/>
  </r>
  <r>
    <s v="ORD00980"/>
    <d v="2025-10-02T00:00:00"/>
    <x v="4"/>
    <x v="49"/>
    <x v="5"/>
    <s v="Canada"/>
    <x v="37"/>
    <x v="13"/>
    <n v="19276"/>
    <n v="18903"/>
  </r>
  <r>
    <s v="ORD00981"/>
    <d v="2025-09-20T00:00:00"/>
    <x v="3"/>
    <x v="8"/>
    <x v="0"/>
    <s v="Japan"/>
    <x v="6"/>
    <x v="1"/>
    <n v="27343"/>
    <n v="34311"/>
  </r>
  <r>
    <s v="ORD00982"/>
    <d v="2025-05-22T00:00:00"/>
    <x v="8"/>
    <x v="26"/>
    <x v="3"/>
    <s v="UK"/>
    <x v="6"/>
    <x v="11"/>
    <n v="39678"/>
    <n v="32357"/>
  </r>
  <r>
    <s v="ORD00983"/>
    <d v="2025-02-28T00:00:00"/>
    <x v="6"/>
    <x v="22"/>
    <x v="3"/>
    <s v="UK"/>
    <x v="47"/>
    <x v="17"/>
    <n v="25577"/>
    <n v="31923"/>
  </r>
  <r>
    <s v="ORD00984"/>
    <d v="2025-03-04T00:00:00"/>
    <x v="9"/>
    <x v="35"/>
    <x v="5"/>
    <s v="USA"/>
    <x v="38"/>
    <x v="21"/>
    <n v="37198"/>
    <n v="29811"/>
  </r>
  <r>
    <s v="ORD00985"/>
    <d v="2025-11-28T00:00:00"/>
    <x v="2"/>
    <x v="11"/>
    <x v="3"/>
    <s v="Canada"/>
    <x v="46"/>
    <x v="18"/>
    <n v="15350"/>
    <n v="18465"/>
  </r>
  <r>
    <s v="ORD00986"/>
    <d v="2025-11-24T00:00:00"/>
    <x v="2"/>
    <x v="11"/>
    <x v="0"/>
    <s v="UAE"/>
    <x v="39"/>
    <x v="1"/>
    <n v="39154"/>
    <n v="42379"/>
  </r>
  <r>
    <s v="ORD00987"/>
    <d v="2025-03-19T00:00:00"/>
    <x v="9"/>
    <x v="39"/>
    <x v="3"/>
    <s v="Germany"/>
    <x v="47"/>
    <x v="9"/>
    <n v="33006"/>
    <n v="30738"/>
  </r>
  <r>
    <s v="ORD00988"/>
    <d v="2025-05-17T00:00:00"/>
    <x v="8"/>
    <x v="17"/>
    <x v="4"/>
    <s v="France"/>
    <x v="5"/>
    <x v="13"/>
    <n v="25785"/>
    <n v="28728"/>
  </r>
  <r>
    <s v="ORD00989"/>
    <d v="2025-11-05T00:00:00"/>
    <x v="2"/>
    <x v="51"/>
    <x v="4"/>
    <s v="USA"/>
    <x v="47"/>
    <x v="26"/>
    <n v="16674"/>
    <n v="14148"/>
  </r>
  <r>
    <s v="ORD00990"/>
    <d v="2025-08-23T00:00:00"/>
    <x v="11"/>
    <x v="46"/>
    <x v="4"/>
    <s v="India"/>
    <x v="16"/>
    <x v="25"/>
    <n v="23114"/>
    <n v="19401"/>
  </r>
  <r>
    <s v="ORD00991"/>
    <d v="2025-01-12T00:00:00"/>
    <x v="1"/>
    <x v="6"/>
    <x v="1"/>
    <s v="China"/>
    <x v="49"/>
    <x v="29"/>
    <n v="34013"/>
    <n v="39978"/>
  </r>
  <r>
    <s v="ORD00992"/>
    <d v="2025-09-20T00:00:00"/>
    <x v="3"/>
    <x v="8"/>
    <x v="0"/>
    <s v="Turkey"/>
    <x v="5"/>
    <x v="15"/>
    <n v="30812"/>
    <n v="28321"/>
  </r>
  <r>
    <s v="ORD00993"/>
    <d v="2025-08-03T00:00:00"/>
    <x v="11"/>
    <x v="12"/>
    <x v="0"/>
    <s v="Singapore"/>
    <x v="20"/>
    <x v="5"/>
    <n v="18878"/>
    <n v="14540"/>
  </r>
  <r>
    <s v="ORD00994"/>
    <d v="2025-02-26T00:00:00"/>
    <x v="6"/>
    <x v="22"/>
    <x v="6"/>
    <s v="UK"/>
    <x v="45"/>
    <x v="29"/>
    <n v="22963"/>
    <n v="23073"/>
  </r>
  <r>
    <s v="ORD00995"/>
    <d v="2025-09-22T00:00:00"/>
    <x v="3"/>
    <x v="25"/>
    <x v="4"/>
    <s v="USA"/>
    <x v="3"/>
    <x v="29"/>
    <n v="26325"/>
    <n v="30885"/>
  </r>
  <r>
    <s v="ORD00996"/>
    <d v="2025-01-12T00:00:00"/>
    <x v="1"/>
    <x v="6"/>
    <x v="5"/>
    <s v="Australia"/>
    <x v="2"/>
    <x v="5"/>
    <n v="24818"/>
    <n v="27864"/>
  </r>
  <r>
    <s v="ORD00997"/>
    <d v="2025-12-15T00:00:00"/>
    <x v="10"/>
    <x v="21"/>
    <x v="5"/>
    <s v="Mexico"/>
    <x v="42"/>
    <x v="28"/>
    <n v="15005"/>
    <n v="14429"/>
  </r>
  <r>
    <s v="ORD00998"/>
    <d v="2025-03-10T00:00:00"/>
    <x v="9"/>
    <x v="19"/>
    <x v="0"/>
    <s v="Singapore"/>
    <x v="28"/>
    <x v="26"/>
    <n v="33480"/>
    <n v="29147"/>
  </r>
  <r>
    <s v="ORD00999"/>
    <d v="2025-08-12T00:00:00"/>
    <x v="11"/>
    <x v="30"/>
    <x v="5"/>
    <s v="Thailand"/>
    <x v="3"/>
    <x v="16"/>
    <n v="33763"/>
    <n v="41961"/>
  </r>
  <r>
    <s v="ORD01000"/>
    <d v="2025-10-02T00:00:00"/>
    <x v="4"/>
    <x v="49"/>
    <x v="3"/>
    <s v="Germany"/>
    <x v="20"/>
    <x v="16"/>
    <n v="19010"/>
    <n v="21007"/>
  </r>
  <r>
    <s v="ORD01001"/>
    <d v="2025-06-17T00:00:00"/>
    <x v="5"/>
    <x v="13"/>
    <x v="3"/>
    <s v="UAE"/>
    <x v="37"/>
    <x v="2"/>
    <n v="34968"/>
    <n v="28692"/>
  </r>
  <r>
    <s v="ORD01002"/>
    <d v="2025-12-01T00:00:00"/>
    <x v="10"/>
    <x v="43"/>
    <x v="4"/>
    <s v="Thailand"/>
    <x v="25"/>
    <x v="6"/>
    <n v="35032"/>
    <n v="29501"/>
  </r>
  <r>
    <s v="ORD01003"/>
    <d v="2025-04-09T00:00:00"/>
    <x v="7"/>
    <x v="16"/>
    <x v="4"/>
    <s v="Turkey"/>
    <x v="24"/>
    <x v="15"/>
    <n v="15942"/>
    <n v="12052"/>
  </r>
  <r>
    <s v="ORD01004"/>
    <d v="2025-11-24T00:00:00"/>
    <x v="2"/>
    <x v="11"/>
    <x v="0"/>
    <s v="Canada"/>
    <x v="6"/>
    <x v="20"/>
    <n v="38115"/>
    <n v="45156"/>
  </r>
  <r>
    <s v="ORD01005"/>
    <d v="2025-12-05T00:00:00"/>
    <x v="10"/>
    <x v="43"/>
    <x v="2"/>
    <s v="UAE"/>
    <x v="16"/>
    <x v="24"/>
    <n v="19109"/>
    <n v="18275"/>
  </r>
  <r>
    <s v="ORD01006"/>
    <d v="2025-06-14T00:00:00"/>
    <x v="5"/>
    <x v="40"/>
    <x v="5"/>
    <s v="Brazil"/>
    <x v="45"/>
    <x v="4"/>
    <n v="39834"/>
    <n v="29912"/>
  </r>
  <r>
    <s v="ORD01007"/>
    <d v="2025-12-26T00:00:00"/>
    <x v="10"/>
    <x v="42"/>
    <x v="4"/>
    <s v="Spain"/>
    <x v="49"/>
    <x v="9"/>
    <n v="38260"/>
    <n v="48896"/>
  </r>
  <r>
    <s v="ORD01008"/>
    <d v="2025-01-15T00:00:00"/>
    <x v="1"/>
    <x v="1"/>
    <x v="4"/>
    <s v="Russia"/>
    <x v="4"/>
    <x v="15"/>
    <n v="36933"/>
    <n v="28659"/>
  </r>
  <r>
    <s v="ORD01009"/>
    <d v="2025-09-25T00:00:00"/>
    <x v="3"/>
    <x v="25"/>
    <x v="5"/>
    <s v="Japan"/>
    <x v="49"/>
    <x v="15"/>
    <n v="24104"/>
    <n v="30000"/>
  </r>
  <r>
    <s v="ORD01010"/>
    <d v="2025-06-18T00:00:00"/>
    <x v="5"/>
    <x v="13"/>
    <x v="4"/>
    <s v="Thailand"/>
    <x v="10"/>
    <x v="15"/>
    <n v="21017"/>
    <n v="22212"/>
  </r>
  <r>
    <s v="ORD01011"/>
    <d v="2025-04-24T00:00:00"/>
    <x v="7"/>
    <x v="38"/>
    <x v="6"/>
    <s v="Malaysia"/>
    <x v="20"/>
    <x v="10"/>
    <n v="16063"/>
    <n v="15539"/>
  </r>
  <r>
    <s v="ORD01012"/>
    <d v="2025-05-04T00:00:00"/>
    <x v="8"/>
    <x v="27"/>
    <x v="0"/>
    <s v="Thailand"/>
    <x v="10"/>
    <x v="6"/>
    <n v="30340"/>
    <n v="23652"/>
  </r>
  <r>
    <s v="ORD01013"/>
    <d v="2025-08-16T00:00:00"/>
    <x v="11"/>
    <x v="30"/>
    <x v="6"/>
    <s v="Germany"/>
    <x v="4"/>
    <x v="13"/>
    <n v="21464"/>
    <n v="26378"/>
  </r>
  <r>
    <s v="ORD01014"/>
    <d v="2025-07-15T00:00:00"/>
    <x v="0"/>
    <x v="14"/>
    <x v="2"/>
    <s v="Brazil"/>
    <x v="31"/>
    <x v="3"/>
    <n v="24613"/>
    <n v="19276"/>
  </r>
  <r>
    <s v="ORD01015"/>
    <d v="2025-01-25T00:00:00"/>
    <x v="1"/>
    <x v="7"/>
    <x v="0"/>
    <s v="India"/>
    <x v="18"/>
    <x v="25"/>
    <n v="21829"/>
    <n v="23400"/>
  </r>
  <r>
    <s v="ORD01016"/>
    <d v="2025-08-12T00:00:00"/>
    <x v="11"/>
    <x v="30"/>
    <x v="1"/>
    <s v="India"/>
    <x v="22"/>
    <x v="13"/>
    <n v="21173"/>
    <n v="22460"/>
  </r>
  <r>
    <s v="ORD01017"/>
    <d v="2025-03-30T00:00:00"/>
    <x v="9"/>
    <x v="33"/>
    <x v="3"/>
    <s v="UK"/>
    <x v="35"/>
    <x v="21"/>
    <n v="39737"/>
    <n v="34652"/>
  </r>
  <r>
    <s v="ORD01018"/>
    <d v="2025-05-25T00:00:00"/>
    <x v="8"/>
    <x v="26"/>
    <x v="2"/>
    <s v="Germany"/>
    <x v="37"/>
    <x v="29"/>
    <n v="33199"/>
    <n v="39819"/>
  </r>
  <r>
    <s v="ORD01019"/>
    <d v="2025-01-13T00:00:00"/>
    <x v="1"/>
    <x v="1"/>
    <x v="6"/>
    <s v="Singapore"/>
    <x v="19"/>
    <x v="22"/>
    <n v="36642"/>
    <n v="31795"/>
  </r>
  <r>
    <s v="ORD01020"/>
    <d v="2025-12-26T00:00:00"/>
    <x v="10"/>
    <x v="42"/>
    <x v="0"/>
    <s v="Spain"/>
    <x v="30"/>
    <x v="8"/>
    <n v="26466"/>
    <n v="19424"/>
  </r>
  <r>
    <s v="ORD01021"/>
    <d v="2025-09-20T00:00:00"/>
    <x v="3"/>
    <x v="8"/>
    <x v="4"/>
    <s v="Singapore"/>
    <x v="30"/>
    <x v="9"/>
    <n v="29462"/>
    <n v="23011"/>
  </r>
  <r>
    <s v="ORD01022"/>
    <d v="2025-04-02T00:00:00"/>
    <x v="7"/>
    <x v="34"/>
    <x v="5"/>
    <s v="China"/>
    <x v="47"/>
    <x v="2"/>
    <n v="20974"/>
    <n v="24749"/>
  </r>
  <r>
    <s v="ORD01023"/>
    <d v="2025-11-03T00:00:00"/>
    <x v="2"/>
    <x v="51"/>
    <x v="0"/>
    <s v="France"/>
    <x v="17"/>
    <x v="11"/>
    <n v="34562"/>
    <n v="34985"/>
  </r>
  <r>
    <s v="ORD01024"/>
    <d v="2025-06-08T00:00:00"/>
    <x v="5"/>
    <x v="41"/>
    <x v="4"/>
    <s v="Italy"/>
    <x v="3"/>
    <x v="16"/>
    <n v="25114"/>
    <n v="19262"/>
  </r>
  <r>
    <s v="ORD01025"/>
    <d v="2025-08-16T00:00:00"/>
    <x v="11"/>
    <x v="30"/>
    <x v="5"/>
    <s v="Germany"/>
    <x v="18"/>
    <x v="5"/>
    <n v="18135"/>
    <n v="19131"/>
  </r>
  <r>
    <s v="ORD01026"/>
    <d v="2025-11-13T00:00:00"/>
    <x v="2"/>
    <x v="44"/>
    <x v="2"/>
    <s v="Russia"/>
    <x v="17"/>
    <x v="15"/>
    <n v="23156"/>
    <n v="26883"/>
  </r>
  <r>
    <s v="ORD01027"/>
    <d v="2025-03-31T00:00:00"/>
    <x v="9"/>
    <x v="34"/>
    <x v="0"/>
    <s v="USA"/>
    <x v="36"/>
    <x v="9"/>
    <n v="34963"/>
    <n v="42458"/>
  </r>
  <r>
    <s v="ORD01028"/>
    <d v="2025-03-02T00:00:00"/>
    <x v="9"/>
    <x v="22"/>
    <x v="2"/>
    <s v="UAE"/>
    <x v="31"/>
    <x v="9"/>
    <n v="15958"/>
    <n v="19510"/>
  </r>
  <r>
    <s v="ORD01029"/>
    <d v="2025-03-12T00:00:00"/>
    <x v="9"/>
    <x v="19"/>
    <x v="1"/>
    <s v="Singapore"/>
    <x v="33"/>
    <x v="6"/>
    <n v="36406"/>
    <n v="33534"/>
  </r>
  <r>
    <s v="ORD01030"/>
    <d v="2025-05-18T00:00:00"/>
    <x v="8"/>
    <x v="17"/>
    <x v="6"/>
    <s v="Singapore"/>
    <x v="37"/>
    <x v="3"/>
    <n v="23755"/>
    <n v="23176"/>
  </r>
  <r>
    <s v="ORD01031"/>
    <d v="2025-07-29T00:00:00"/>
    <x v="0"/>
    <x v="12"/>
    <x v="1"/>
    <s v="Mexico"/>
    <x v="39"/>
    <x v="15"/>
    <n v="23901"/>
    <n v="24138"/>
  </r>
  <r>
    <s v="ORD01032"/>
    <d v="2025-07-26T00:00:00"/>
    <x v="0"/>
    <x v="0"/>
    <x v="2"/>
    <s v="India"/>
    <x v="47"/>
    <x v="18"/>
    <n v="34184"/>
    <n v="30940"/>
  </r>
  <r>
    <s v="ORD01033"/>
    <d v="2025-03-23T00:00:00"/>
    <x v="9"/>
    <x v="39"/>
    <x v="2"/>
    <s v="France"/>
    <x v="40"/>
    <x v="17"/>
    <n v="31464"/>
    <n v="39929"/>
  </r>
  <r>
    <s v="ORD01034"/>
    <d v="2025-05-30T00:00:00"/>
    <x v="8"/>
    <x v="24"/>
    <x v="2"/>
    <s v="Japan"/>
    <x v="12"/>
    <x v="8"/>
    <n v="33446"/>
    <n v="24028"/>
  </r>
  <r>
    <s v="ORD01035"/>
    <d v="2025-11-10T00:00:00"/>
    <x v="2"/>
    <x v="44"/>
    <x v="4"/>
    <s v="Turkey"/>
    <x v="16"/>
    <x v="6"/>
    <n v="34929"/>
    <n v="40547"/>
  </r>
  <r>
    <s v="ORD01036"/>
    <d v="2025-02-20T00:00:00"/>
    <x v="6"/>
    <x v="15"/>
    <x v="3"/>
    <s v="China"/>
    <x v="49"/>
    <x v="3"/>
    <n v="37275"/>
    <n v="44857"/>
  </r>
  <r>
    <s v="ORD01037"/>
    <d v="2025-04-02T00:00:00"/>
    <x v="7"/>
    <x v="34"/>
    <x v="2"/>
    <s v="Canada"/>
    <x v="4"/>
    <x v="14"/>
    <n v="22144"/>
    <n v="26981"/>
  </r>
  <r>
    <s v="ORD01038"/>
    <d v="2025-06-26T00:00:00"/>
    <x v="5"/>
    <x v="36"/>
    <x v="2"/>
    <s v="Brazil"/>
    <x v="11"/>
    <x v="16"/>
    <n v="17422"/>
    <n v="17539"/>
  </r>
  <r>
    <s v="ORD01039"/>
    <d v="2025-12-23T00:00:00"/>
    <x v="10"/>
    <x v="42"/>
    <x v="2"/>
    <s v="Singapore"/>
    <x v="22"/>
    <x v="21"/>
    <n v="15143"/>
    <n v="11825"/>
  </r>
  <r>
    <s v="ORD01040"/>
    <d v="2025-01-10T00:00:00"/>
    <x v="1"/>
    <x v="6"/>
    <x v="3"/>
    <s v="USA"/>
    <x v="13"/>
    <x v="14"/>
    <n v="23559"/>
    <n v="20418"/>
  </r>
  <r>
    <s v="ORD01041"/>
    <d v="2025-08-10T00:00:00"/>
    <x v="11"/>
    <x v="23"/>
    <x v="2"/>
    <s v="Spain"/>
    <x v="45"/>
    <x v="14"/>
    <n v="18739"/>
    <n v="13625"/>
  </r>
  <r>
    <s v="ORD01042"/>
    <d v="2025-07-28T00:00:00"/>
    <x v="0"/>
    <x v="12"/>
    <x v="3"/>
    <s v="UAE"/>
    <x v="13"/>
    <x v="26"/>
    <n v="30387"/>
    <n v="30568"/>
  </r>
  <r>
    <s v="ORD01043"/>
    <d v="2025-01-21T00:00:00"/>
    <x v="1"/>
    <x v="7"/>
    <x v="4"/>
    <s v="Japan"/>
    <x v="42"/>
    <x v="29"/>
    <n v="37210"/>
    <n v="40383"/>
  </r>
  <r>
    <s v="ORD01044"/>
    <d v="2025-08-19T00:00:00"/>
    <x v="11"/>
    <x v="46"/>
    <x v="4"/>
    <s v="India"/>
    <x v="37"/>
    <x v="12"/>
    <n v="24565"/>
    <n v="17515"/>
  </r>
  <r>
    <s v="ORD01045"/>
    <d v="2025-02-27T00:00:00"/>
    <x v="6"/>
    <x v="22"/>
    <x v="6"/>
    <s v="Germany"/>
    <x v="24"/>
    <x v="21"/>
    <n v="19518"/>
    <n v="22716"/>
  </r>
  <r>
    <s v="ORD01046"/>
    <d v="2025-05-31T00:00:00"/>
    <x v="8"/>
    <x v="24"/>
    <x v="6"/>
    <s v="South Africa"/>
    <x v="29"/>
    <x v="2"/>
    <n v="30050"/>
    <n v="35794"/>
  </r>
  <r>
    <s v="ORD01047"/>
    <d v="2025-09-27T00:00:00"/>
    <x v="3"/>
    <x v="25"/>
    <x v="6"/>
    <s v="Mexico"/>
    <x v="39"/>
    <x v="19"/>
    <n v="27153"/>
    <n v="34213"/>
  </r>
  <r>
    <s v="ORD01048"/>
    <d v="2025-06-03T00:00:00"/>
    <x v="5"/>
    <x v="41"/>
    <x v="2"/>
    <s v="China"/>
    <x v="8"/>
    <x v="1"/>
    <n v="16973"/>
    <n v="14351"/>
  </r>
  <r>
    <s v="ORD01049"/>
    <d v="2025-08-20T00:00:00"/>
    <x v="11"/>
    <x v="46"/>
    <x v="0"/>
    <s v="Australia"/>
    <x v="2"/>
    <x v="0"/>
    <n v="28083"/>
    <n v="31257"/>
  </r>
  <r>
    <s v="ORD01050"/>
    <d v="2025-10-28T00:00:00"/>
    <x v="4"/>
    <x v="2"/>
    <x v="4"/>
    <s v="Russia"/>
    <x v="45"/>
    <x v="7"/>
    <n v="39377"/>
    <n v="43098"/>
  </r>
  <r>
    <s v="ORD01051"/>
    <d v="2025-06-06T00:00:00"/>
    <x v="5"/>
    <x v="41"/>
    <x v="3"/>
    <s v="UK"/>
    <x v="9"/>
    <x v="21"/>
    <n v="26226"/>
    <n v="24176"/>
  </r>
  <r>
    <s v="ORD01052"/>
    <d v="2025-06-03T00:00:00"/>
    <x v="5"/>
    <x v="41"/>
    <x v="4"/>
    <s v="Mexico"/>
    <x v="32"/>
    <x v="28"/>
    <n v="23935"/>
    <n v="29937"/>
  </r>
  <r>
    <s v="ORD01053"/>
    <d v="2025-01-06T00:00:00"/>
    <x v="1"/>
    <x v="6"/>
    <x v="2"/>
    <s v="UK"/>
    <x v="23"/>
    <x v="18"/>
    <n v="27564"/>
    <n v="33394"/>
  </r>
  <r>
    <s v="ORD01054"/>
    <d v="2025-02-09T00:00:00"/>
    <x v="6"/>
    <x v="48"/>
    <x v="0"/>
    <s v="China"/>
    <x v="28"/>
    <x v="11"/>
    <n v="39114"/>
    <n v="46582"/>
  </r>
  <r>
    <s v="ORD01055"/>
    <d v="2025-07-25T00:00:00"/>
    <x v="0"/>
    <x v="0"/>
    <x v="3"/>
    <s v="Malaysia"/>
    <x v="42"/>
    <x v="0"/>
    <n v="37545"/>
    <n v="34094"/>
  </r>
  <r>
    <s v="ORD01056"/>
    <d v="2025-01-23T00:00:00"/>
    <x v="1"/>
    <x v="7"/>
    <x v="6"/>
    <s v="Turkey"/>
    <x v="48"/>
    <x v="15"/>
    <n v="28286"/>
    <n v="36254"/>
  </r>
  <r>
    <s v="ORD01057"/>
    <d v="2025-03-29T00:00:00"/>
    <x v="9"/>
    <x v="33"/>
    <x v="5"/>
    <s v="Spain"/>
    <x v="16"/>
    <x v="21"/>
    <n v="33292"/>
    <n v="24322"/>
  </r>
  <r>
    <s v="ORD01058"/>
    <d v="2025-08-20T00:00:00"/>
    <x v="11"/>
    <x v="46"/>
    <x v="3"/>
    <s v="Thailand"/>
    <x v="41"/>
    <x v="21"/>
    <n v="19279"/>
    <n v="20925"/>
  </r>
  <r>
    <s v="ORD01059"/>
    <d v="2025-02-01T00:00:00"/>
    <x v="6"/>
    <x v="3"/>
    <x v="4"/>
    <s v="France"/>
    <x v="29"/>
    <x v="20"/>
    <n v="38591"/>
    <n v="47628"/>
  </r>
  <r>
    <s v="ORD01060"/>
    <d v="2025-04-20T00:00:00"/>
    <x v="7"/>
    <x v="20"/>
    <x v="1"/>
    <s v="Italy"/>
    <x v="13"/>
    <x v="22"/>
    <n v="20763"/>
    <n v="15478"/>
  </r>
  <r>
    <s v="ORD01061"/>
    <d v="2025-01-09T00:00:00"/>
    <x v="1"/>
    <x v="6"/>
    <x v="6"/>
    <s v="Russia"/>
    <x v="18"/>
    <x v="27"/>
    <n v="37842"/>
    <n v="28125"/>
  </r>
  <r>
    <s v="ORD01062"/>
    <d v="2025-03-13T00:00:00"/>
    <x v="9"/>
    <x v="19"/>
    <x v="6"/>
    <s v="Malaysia"/>
    <x v="16"/>
    <x v="14"/>
    <n v="38774"/>
    <n v="49740"/>
  </r>
  <r>
    <s v="ORD01063"/>
    <d v="2025-08-12T00:00:00"/>
    <x v="11"/>
    <x v="30"/>
    <x v="3"/>
    <s v="Thailand"/>
    <x v="34"/>
    <x v="25"/>
    <n v="19215"/>
    <n v="20493"/>
  </r>
  <r>
    <s v="ORD01064"/>
    <d v="2025-08-29T00:00:00"/>
    <x v="11"/>
    <x v="28"/>
    <x v="6"/>
    <s v="Japan"/>
    <x v="47"/>
    <x v="21"/>
    <n v="36528"/>
    <n v="37480"/>
  </r>
  <r>
    <s v="ORD01065"/>
    <d v="2025-10-28T00:00:00"/>
    <x v="4"/>
    <x v="2"/>
    <x v="6"/>
    <s v="Spain"/>
    <x v="0"/>
    <x v="17"/>
    <n v="21665"/>
    <n v="15881"/>
  </r>
  <r>
    <s v="ORD01066"/>
    <d v="2025-10-27T00:00:00"/>
    <x v="4"/>
    <x v="2"/>
    <x v="3"/>
    <s v="Spain"/>
    <x v="33"/>
    <x v="19"/>
    <n v="37776"/>
    <n v="38696"/>
  </r>
  <r>
    <s v="ORD01067"/>
    <d v="2025-02-20T00:00:00"/>
    <x v="6"/>
    <x v="15"/>
    <x v="5"/>
    <s v="Spain"/>
    <x v="43"/>
    <x v="15"/>
    <n v="27524"/>
    <n v="29726"/>
  </r>
  <r>
    <s v="ORD01068"/>
    <d v="2025-02-13T00:00:00"/>
    <x v="6"/>
    <x v="29"/>
    <x v="0"/>
    <s v="Russia"/>
    <x v="3"/>
    <x v="8"/>
    <n v="23143"/>
    <n v="18367"/>
  </r>
  <r>
    <s v="ORD01069"/>
    <d v="2025-12-03T00:00:00"/>
    <x v="10"/>
    <x v="43"/>
    <x v="5"/>
    <s v="Germany"/>
    <x v="43"/>
    <x v="17"/>
    <n v="23117"/>
    <n v="30005"/>
  </r>
  <r>
    <s v="ORD01070"/>
    <d v="2025-12-13T00:00:00"/>
    <x v="10"/>
    <x v="32"/>
    <x v="2"/>
    <s v="Italy"/>
    <x v="31"/>
    <x v="5"/>
    <n v="24903"/>
    <n v="20414"/>
  </r>
  <r>
    <s v="ORD01071"/>
    <d v="2025-09-10T00:00:00"/>
    <x v="3"/>
    <x v="31"/>
    <x v="4"/>
    <s v="Turkey"/>
    <x v="6"/>
    <x v="15"/>
    <n v="35524"/>
    <n v="27316"/>
  </r>
  <r>
    <s v="ORD01072"/>
    <d v="2025-10-04T00:00:00"/>
    <x v="4"/>
    <x v="49"/>
    <x v="5"/>
    <s v="Italy"/>
    <x v="18"/>
    <x v="1"/>
    <n v="38710"/>
    <n v="30433"/>
  </r>
  <r>
    <s v="ORD01073"/>
    <d v="2025-01-17T00:00:00"/>
    <x v="1"/>
    <x v="1"/>
    <x v="0"/>
    <s v="UK"/>
    <x v="44"/>
    <x v="19"/>
    <n v="37917"/>
    <n v="30861"/>
  </r>
  <r>
    <s v="ORD01074"/>
    <d v="2025-10-30T00:00:00"/>
    <x v="4"/>
    <x v="2"/>
    <x v="0"/>
    <s v="Canada"/>
    <x v="23"/>
    <x v="24"/>
    <n v="30848"/>
    <n v="29477"/>
  </r>
  <r>
    <s v="ORD01075"/>
    <d v="2025-09-16T00:00:00"/>
    <x v="3"/>
    <x v="8"/>
    <x v="0"/>
    <s v="Thailand"/>
    <x v="4"/>
    <x v="21"/>
    <n v="24468"/>
    <n v="23420"/>
  </r>
  <r>
    <s v="ORD01076"/>
    <d v="2025-12-12T00:00:00"/>
    <x v="10"/>
    <x v="32"/>
    <x v="2"/>
    <s v="Mexico"/>
    <x v="12"/>
    <x v="21"/>
    <n v="18431"/>
    <n v="18582"/>
  </r>
  <r>
    <s v="ORD01077"/>
    <d v="2025-06-14T00:00:00"/>
    <x v="5"/>
    <x v="40"/>
    <x v="4"/>
    <s v="Japan"/>
    <x v="30"/>
    <x v="22"/>
    <n v="33000"/>
    <n v="26719"/>
  </r>
  <r>
    <s v="ORD01078"/>
    <d v="2025-08-25T00:00:00"/>
    <x v="11"/>
    <x v="28"/>
    <x v="1"/>
    <s v="Canada"/>
    <x v="2"/>
    <x v="28"/>
    <n v="36030"/>
    <n v="32096"/>
  </r>
  <r>
    <s v="ORD01079"/>
    <d v="2025-03-17T00:00:00"/>
    <x v="9"/>
    <x v="39"/>
    <x v="0"/>
    <s v="Mexico"/>
    <x v="41"/>
    <x v="4"/>
    <n v="25397"/>
    <n v="30023"/>
  </r>
  <r>
    <s v="ORD01080"/>
    <d v="2025-11-05T00:00:00"/>
    <x v="2"/>
    <x v="51"/>
    <x v="2"/>
    <s v="UK"/>
    <x v="27"/>
    <x v="26"/>
    <n v="32582"/>
    <n v="31033"/>
  </r>
  <r>
    <s v="ORD01081"/>
    <d v="2025-10-01T00:00:00"/>
    <x v="4"/>
    <x v="49"/>
    <x v="2"/>
    <s v="Japan"/>
    <x v="10"/>
    <x v="22"/>
    <n v="29960"/>
    <n v="23807"/>
  </r>
  <r>
    <s v="ORD01082"/>
    <d v="2025-04-04T00:00:00"/>
    <x v="7"/>
    <x v="34"/>
    <x v="6"/>
    <s v="Australia"/>
    <x v="30"/>
    <x v="16"/>
    <n v="38082"/>
    <n v="46875"/>
  </r>
  <r>
    <s v="ORD01083"/>
    <d v="2025-09-01T00:00:00"/>
    <x v="3"/>
    <x v="4"/>
    <x v="4"/>
    <s v="Turkey"/>
    <x v="2"/>
    <x v="2"/>
    <n v="26862"/>
    <n v="30514"/>
  </r>
  <r>
    <s v="ORD01084"/>
    <d v="2025-06-30T00:00:00"/>
    <x v="5"/>
    <x v="37"/>
    <x v="3"/>
    <s v="India"/>
    <x v="12"/>
    <x v="0"/>
    <n v="22245"/>
    <n v="17173"/>
  </r>
  <r>
    <s v="ORD01085"/>
    <d v="2025-09-10T00:00:00"/>
    <x v="3"/>
    <x v="31"/>
    <x v="2"/>
    <s v="UK"/>
    <x v="22"/>
    <x v="19"/>
    <n v="33000"/>
    <n v="36808"/>
  </r>
  <r>
    <s v="ORD01086"/>
    <d v="2025-12-13T00:00:00"/>
    <x v="10"/>
    <x v="32"/>
    <x v="3"/>
    <s v="UK"/>
    <x v="48"/>
    <x v="20"/>
    <n v="24642"/>
    <n v="25464"/>
  </r>
  <r>
    <s v="ORD01087"/>
    <d v="2025-05-29T00:00:00"/>
    <x v="8"/>
    <x v="24"/>
    <x v="2"/>
    <s v="Japan"/>
    <x v="43"/>
    <x v="6"/>
    <n v="24453"/>
    <n v="28242"/>
  </r>
  <r>
    <s v="ORD01088"/>
    <d v="2025-08-11T00:00:00"/>
    <x v="11"/>
    <x v="30"/>
    <x v="4"/>
    <s v="Malaysia"/>
    <x v="2"/>
    <x v="3"/>
    <n v="16200"/>
    <n v="15704"/>
  </r>
  <r>
    <s v="ORD01089"/>
    <d v="2025-01-08T00:00:00"/>
    <x v="1"/>
    <x v="6"/>
    <x v="2"/>
    <s v="Canada"/>
    <x v="16"/>
    <x v="7"/>
    <n v="28536"/>
    <n v="29256"/>
  </r>
  <r>
    <s v="ORD01090"/>
    <d v="2025-03-17T00:00:00"/>
    <x v="9"/>
    <x v="39"/>
    <x v="5"/>
    <s v="Japan"/>
    <x v="7"/>
    <x v="16"/>
    <n v="15117"/>
    <n v="17444"/>
  </r>
  <r>
    <s v="ORD01091"/>
    <d v="2025-08-31T00:00:00"/>
    <x v="11"/>
    <x v="28"/>
    <x v="1"/>
    <s v="UAE"/>
    <x v="6"/>
    <x v="13"/>
    <n v="33842"/>
    <n v="33838"/>
  </r>
  <r>
    <s v="ORD01092"/>
    <d v="2025-09-08T00:00:00"/>
    <x v="3"/>
    <x v="31"/>
    <x v="2"/>
    <s v="Russia"/>
    <x v="3"/>
    <x v="14"/>
    <n v="17924"/>
    <n v="13142"/>
  </r>
  <r>
    <s v="ORD01093"/>
    <d v="2025-03-15T00:00:00"/>
    <x v="9"/>
    <x v="19"/>
    <x v="2"/>
    <s v="UAE"/>
    <x v="47"/>
    <x v="17"/>
    <n v="39071"/>
    <n v="29023"/>
  </r>
  <r>
    <s v="ORD01094"/>
    <d v="2025-07-19T00:00:00"/>
    <x v="0"/>
    <x v="14"/>
    <x v="5"/>
    <s v="Turkey"/>
    <x v="36"/>
    <x v="17"/>
    <n v="21271"/>
    <n v="15855"/>
  </r>
  <r>
    <s v="ORD01095"/>
    <d v="2025-09-27T00:00:00"/>
    <x v="3"/>
    <x v="25"/>
    <x v="0"/>
    <s v="Singapore"/>
    <x v="44"/>
    <x v="18"/>
    <n v="28695"/>
    <n v="30710"/>
  </r>
  <r>
    <s v="ORD01096"/>
    <d v="2025-11-03T00:00:00"/>
    <x v="2"/>
    <x v="51"/>
    <x v="2"/>
    <s v="Singapore"/>
    <x v="2"/>
    <x v="22"/>
    <n v="34444"/>
    <n v="26927"/>
  </r>
  <r>
    <s v="ORD01097"/>
    <d v="2025-07-24T00:00:00"/>
    <x v="0"/>
    <x v="0"/>
    <x v="1"/>
    <s v="South Africa"/>
    <x v="46"/>
    <x v="15"/>
    <n v="30918"/>
    <n v="33019"/>
  </r>
  <r>
    <s v="ORD01098"/>
    <d v="2025-01-28T00:00:00"/>
    <x v="1"/>
    <x v="3"/>
    <x v="4"/>
    <s v="Mexico"/>
    <x v="45"/>
    <x v="12"/>
    <n v="28563"/>
    <n v="33327"/>
  </r>
  <r>
    <s v="ORD01099"/>
    <d v="2025-11-09T00:00:00"/>
    <x v="2"/>
    <x v="51"/>
    <x v="2"/>
    <s v="China"/>
    <x v="22"/>
    <x v="29"/>
    <n v="24732"/>
    <n v="22583"/>
  </r>
  <r>
    <s v="ORD01100"/>
    <d v="2025-08-22T00:00:00"/>
    <x v="11"/>
    <x v="46"/>
    <x v="2"/>
    <s v="Malaysia"/>
    <x v="44"/>
    <x v="21"/>
    <n v="32262"/>
    <n v="41265"/>
  </r>
  <r>
    <s v="ORD01101"/>
    <d v="2025-07-21T00:00:00"/>
    <x v="0"/>
    <x v="0"/>
    <x v="6"/>
    <s v="USA"/>
    <x v="15"/>
    <x v="17"/>
    <n v="25709"/>
    <n v="26862"/>
  </r>
  <r>
    <s v="ORD01102"/>
    <d v="2025-01-26T00:00:00"/>
    <x v="1"/>
    <x v="7"/>
    <x v="4"/>
    <s v="India"/>
    <x v="3"/>
    <x v="13"/>
    <n v="25541"/>
    <n v="19730"/>
  </r>
  <r>
    <s v="ORD01103"/>
    <d v="2025-12-07T00:00:00"/>
    <x v="10"/>
    <x v="43"/>
    <x v="5"/>
    <s v="Singapore"/>
    <x v="14"/>
    <x v="16"/>
    <n v="15867"/>
    <n v="18122"/>
  </r>
  <r>
    <s v="ORD01104"/>
    <d v="2025-07-22T00:00:00"/>
    <x v="0"/>
    <x v="0"/>
    <x v="5"/>
    <s v="Italy"/>
    <x v="28"/>
    <x v="16"/>
    <n v="32671"/>
    <n v="26086"/>
  </r>
  <r>
    <s v="ORD01105"/>
    <d v="2025-09-17T00:00:00"/>
    <x v="3"/>
    <x v="8"/>
    <x v="6"/>
    <s v="Russia"/>
    <x v="1"/>
    <x v="14"/>
    <n v="29446"/>
    <n v="22877"/>
  </r>
  <r>
    <s v="ORD01106"/>
    <d v="2025-07-28T00:00:00"/>
    <x v="0"/>
    <x v="12"/>
    <x v="1"/>
    <s v="Singapore"/>
    <x v="36"/>
    <x v="6"/>
    <n v="15339"/>
    <n v="16820"/>
  </r>
  <r>
    <s v="ORD01107"/>
    <d v="2025-12-02T00:00:00"/>
    <x v="10"/>
    <x v="43"/>
    <x v="6"/>
    <s v="Thailand"/>
    <x v="18"/>
    <x v="3"/>
    <n v="32708"/>
    <n v="27604"/>
  </r>
  <r>
    <s v="ORD01108"/>
    <d v="2025-09-28T00:00:00"/>
    <x v="3"/>
    <x v="25"/>
    <x v="1"/>
    <s v="UAE"/>
    <x v="28"/>
    <x v="4"/>
    <n v="15004"/>
    <n v="17977"/>
  </r>
  <r>
    <s v="ORD01109"/>
    <d v="2025-04-23T00:00:00"/>
    <x v="7"/>
    <x v="38"/>
    <x v="5"/>
    <s v="UK"/>
    <x v="0"/>
    <x v="22"/>
    <n v="16695"/>
    <n v="20590"/>
  </r>
  <r>
    <s v="ORD01110"/>
    <d v="2025-05-02T00:00:00"/>
    <x v="8"/>
    <x v="27"/>
    <x v="6"/>
    <s v="India"/>
    <x v="27"/>
    <x v="28"/>
    <n v="33422"/>
    <n v="36688"/>
  </r>
  <r>
    <s v="ORD01111"/>
    <d v="2025-07-20T00:00:00"/>
    <x v="0"/>
    <x v="14"/>
    <x v="2"/>
    <s v="UAE"/>
    <x v="20"/>
    <x v="3"/>
    <n v="22932"/>
    <n v="19472"/>
  </r>
  <r>
    <s v="ORD01112"/>
    <d v="2025-01-19T00:00:00"/>
    <x v="1"/>
    <x v="1"/>
    <x v="2"/>
    <s v="Russia"/>
    <x v="33"/>
    <x v="11"/>
    <n v="39200"/>
    <n v="39829"/>
  </r>
  <r>
    <s v="ORD01113"/>
    <d v="2025-07-06T00:00:00"/>
    <x v="0"/>
    <x v="37"/>
    <x v="3"/>
    <s v="Germany"/>
    <x v="7"/>
    <x v="23"/>
    <n v="24870"/>
    <n v="21432"/>
  </r>
  <r>
    <s v="ORD01114"/>
    <d v="2025-11-20T00:00:00"/>
    <x v="2"/>
    <x v="9"/>
    <x v="2"/>
    <s v="Germany"/>
    <x v="49"/>
    <x v="25"/>
    <n v="37470"/>
    <n v="32352"/>
  </r>
  <r>
    <s v="ORD01115"/>
    <d v="2025-05-22T00:00:00"/>
    <x v="8"/>
    <x v="26"/>
    <x v="1"/>
    <s v="Brazil"/>
    <x v="21"/>
    <x v="16"/>
    <n v="35871"/>
    <n v="38574"/>
  </r>
  <r>
    <s v="ORD01116"/>
    <d v="2025-08-30T00:00:00"/>
    <x v="11"/>
    <x v="28"/>
    <x v="6"/>
    <s v="South Africa"/>
    <x v="32"/>
    <x v="6"/>
    <n v="17234"/>
    <n v="21190"/>
  </r>
  <r>
    <s v="ORD01117"/>
    <d v="2025-07-23T00:00:00"/>
    <x v="0"/>
    <x v="0"/>
    <x v="2"/>
    <s v="Canada"/>
    <x v="1"/>
    <x v="0"/>
    <n v="35841"/>
    <n v="34274"/>
  </r>
  <r>
    <s v="ORD01118"/>
    <d v="2025-01-14T00:00:00"/>
    <x v="1"/>
    <x v="1"/>
    <x v="3"/>
    <s v="Turkey"/>
    <x v="27"/>
    <x v="16"/>
    <n v="39674"/>
    <n v="42268"/>
  </r>
  <r>
    <s v="ORD01119"/>
    <d v="2025-11-18T00:00:00"/>
    <x v="2"/>
    <x v="9"/>
    <x v="5"/>
    <s v="Germany"/>
    <x v="23"/>
    <x v="25"/>
    <n v="37467"/>
    <n v="41429"/>
  </r>
  <r>
    <s v="ORD01120"/>
    <d v="2025-09-21T00:00:00"/>
    <x v="3"/>
    <x v="8"/>
    <x v="1"/>
    <s v="China"/>
    <x v="4"/>
    <x v="4"/>
    <n v="38528"/>
    <n v="49538"/>
  </r>
  <r>
    <s v="ORD01121"/>
    <d v="2025-09-10T00:00:00"/>
    <x v="3"/>
    <x v="31"/>
    <x v="5"/>
    <s v="Thailand"/>
    <x v="13"/>
    <x v="9"/>
    <n v="27208"/>
    <n v="27594"/>
  </r>
  <r>
    <s v="ORD01122"/>
    <d v="2025-12-30T00:00:00"/>
    <x v="10"/>
    <x v="5"/>
    <x v="2"/>
    <s v="Russia"/>
    <x v="18"/>
    <x v="19"/>
    <n v="33344"/>
    <n v="38874"/>
  </r>
  <r>
    <s v="ORD01123"/>
    <d v="2025-07-26T00:00:00"/>
    <x v="0"/>
    <x v="0"/>
    <x v="3"/>
    <s v="UK"/>
    <x v="39"/>
    <x v="6"/>
    <n v="37043"/>
    <n v="27150"/>
  </r>
  <r>
    <s v="ORD01124"/>
    <d v="2025-05-20T00:00:00"/>
    <x v="8"/>
    <x v="26"/>
    <x v="1"/>
    <s v="France"/>
    <x v="19"/>
    <x v="23"/>
    <n v="27659"/>
    <n v="34336"/>
  </r>
  <r>
    <s v="ORD01125"/>
    <d v="2025-08-14T00:00:00"/>
    <x v="11"/>
    <x v="30"/>
    <x v="5"/>
    <s v="Australia"/>
    <x v="17"/>
    <x v="12"/>
    <n v="30783"/>
    <n v="27651"/>
  </r>
  <r>
    <s v="ORD01126"/>
    <d v="2025-08-18T00:00:00"/>
    <x v="11"/>
    <x v="46"/>
    <x v="3"/>
    <s v="UK"/>
    <x v="27"/>
    <x v="24"/>
    <n v="32469"/>
    <n v="40002"/>
  </r>
  <r>
    <s v="ORD01127"/>
    <d v="2025-07-12T00:00:00"/>
    <x v="0"/>
    <x v="47"/>
    <x v="2"/>
    <s v="Japan"/>
    <x v="28"/>
    <x v="15"/>
    <n v="38046"/>
    <n v="46138"/>
  </r>
  <r>
    <s v="ORD01128"/>
    <d v="2025-12-02T00:00:00"/>
    <x v="10"/>
    <x v="43"/>
    <x v="4"/>
    <s v="USA"/>
    <x v="11"/>
    <x v="3"/>
    <n v="20752"/>
    <n v="16943"/>
  </r>
  <r>
    <s v="ORD01129"/>
    <d v="2025-07-14T00:00:00"/>
    <x v="0"/>
    <x v="14"/>
    <x v="0"/>
    <s v="Italy"/>
    <x v="43"/>
    <x v="21"/>
    <n v="38564"/>
    <n v="47752"/>
  </r>
  <r>
    <s v="ORD01130"/>
    <d v="2025-11-18T00:00:00"/>
    <x v="2"/>
    <x v="9"/>
    <x v="2"/>
    <s v="Mexico"/>
    <x v="1"/>
    <x v="23"/>
    <n v="19287"/>
    <n v="17187"/>
  </r>
  <r>
    <s v="ORD01131"/>
    <d v="2025-12-27T00:00:00"/>
    <x v="10"/>
    <x v="42"/>
    <x v="4"/>
    <s v="South Africa"/>
    <x v="33"/>
    <x v="20"/>
    <n v="21794"/>
    <n v="18223"/>
  </r>
  <r>
    <s v="ORD01132"/>
    <d v="2025-09-23T00:00:00"/>
    <x v="3"/>
    <x v="25"/>
    <x v="6"/>
    <s v="Mexico"/>
    <x v="22"/>
    <x v="29"/>
    <n v="16178"/>
    <n v="14492"/>
  </r>
  <r>
    <s v="ORD01133"/>
    <d v="2025-11-15T00:00:00"/>
    <x v="2"/>
    <x v="44"/>
    <x v="5"/>
    <s v="UK"/>
    <x v="36"/>
    <x v="7"/>
    <n v="23127"/>
    <n v="23519"/>
  </r>
  <r>
    <s v="ORD01134"/>
    <d v="2025-07-28T00:00:00"/>
    <x v="0"/>
    <x v="12"/>
    <x v="2"/>
    <s v="China"/>
    <x v="39"/>
    <x v="22"/>
    <n v="27673"/>
    <n v="20037"/>
  </r>
  <r>
    <s v="ORD01135"/>
    <d v="2025-10-04T00:00:00"/>
    <x v="4"/>
    <x v="49"/>
    <x v="1"/>
    <s v="Singapore"/>
    <x v="48"/>
    <x v="5"/>
    <n v="38122"/>
    <n v="35567"/>
  </r>
  <r>
    <s v="ORD01136"/>
    <d v="2025-07-17T00:00:00"/>
    <x v="0"/>
    <x v="14"/>
    <x v="0"/>
    <s v="Russia"/>
    <x v="9"/>
    <x v="3"/>
    <n v="16463"/>
    <n v="14575"/>
  </r>
  <r>
    <s v="ORD01137"/>
    <d v="2025-03-25T00:00:00"/>
    <x v="9"/>
    <x v="33"/>
    <x v="5"/>
    <s v="India"/>
    <x v="26"/>
    <x v="29"/>
    <n v="20537"/>
    <n v="18436"/>
  </r>
  <r>
    <s v="ORD01138"/>
    <d v="2025-10-10T00:00:00"/>
    <x v="4"/>
    <x v="45"/>
    <x v="6"/>
    <s v="Turkey"/>
    <x v="45"/>
    <x v="21"/>
    <n v="23950"/>
    <n v="27586"/>
  </r>
  <r>
    <s v="ORD01139"/>
    <d v="2025-01-07T00:00:00"/>
    <x v="1"/>
    <x v="6"/>
    <x v="3"/>
    <s v="USA"/>
    <x v="31"/>
    <x v="0"/>
    <n v="37940"/>
    <n v="33922"/>
  </r>
  <r>
    <s v="ORD01140"/>
    <d v="2025-04-20T00:00:00"/>
    <x v="7"/>
    <x v="20"/>
    <x v="1"/>
    <s v="Thailand"/>
    <x v="32"/>
    <x v="8"/>
    <n v="21403"/>
    <n v="25138"/>
  </r>
  <r>
    <s v="ORD01141"/>
    <d v="2025-07-20T00:00:00"/>
    <x v="0"/>
    <x v="14"/>
    <x v="4"/>
    <s v="Japan"/>
    <x v="46"/>
    <x v="22"/>
    <n v="30815"/>
    <n v="33927"/>
  </r>
  <r>
    <s v="ORD01142"/>
    <d v="2025-03-28T00:00:00"/>
    <x v="9"/>
    <x v="33"/>
    <x v="6"/>
    <s v="Germany"/>
    <x v="33"/>
    <x v="3"/>
    <n v="27782"/>
    <n v="30824"/>
  </r>
  <r>
    <s v="ORD01143"/>
    <d v="2025-12-08T00:00:00"/>
    <x v="10"/>
    <x v="32"/>
    <x v="1"/>
    <s v="France"/>
    <x v="0"/>
    <x v="18"/>
    <n v="33392"/>
    <n v="28592"/>
  </r>
  <r>
    <s v="ORD01144"/>
    <d v="2025-05-27T00:00:00"/>
    <x v="8"/>
    <x v="24"/>
    <x v="5"/>
    <s v="Canada"/>
    <x v="24"/>
    <x v="0"/>
    <n v="26999"/>
    <n v="21568"/>
  </r>
  <r>
    <s v="ORD01145"/>
    <d v="2025-07-29T00:00:00"/>
    <x v="0"/>
    <x v="12"/>
    <x v="0"/>
    <s v="South Africa"/>
    <x v="8"/>
    <x v="11"/>
    <n v="30288"/>
    <n v="24569"/>
  </r>
  <r>
    <s v="ORD01146"/>
    <d v="2025-11-04T00:00:00"/>
    <x v="2"/>
    <x v="51"/>
    <x v="4"/>
    <s v="Russia"/>
    <x v="13"/>
    <x v="11"/>
    <n v="29381"/>
    <n v="29275"/>
  </r>
  <r>
    <s v="ORD01147"/>
    <d v="2025-04-25T00:00:00"/>
    <x v="7"/>
    <x v="38"/>
    <x v="4"/>
    <s v="Italy"/>
    <x v="13"/>
    <x v="27"/>
    <n v="36277"/>
    <n v="45203"/>
  </r>
  <r>
    <s v="ORD01148"/>
    <d v="2025-03-14T00:00:00"/>
    <x v="9"/>
    <x v="19"/>
    <x v="1"/>
    <s v="Australia"/>
    <x v="9"/>
    <x v="11"/>
    <n v="19386"/>
    <n v="22680"/>
  </r>
  <r>
    <s v="ORD01149"/>
    <d v="2025-02-10T00:00:00"/>
    <x v="6"/>
    <x v="29"/>
    <x v="1"/>
    <s v="Brazil"/>
    <x v="47"/>
    <x v="18"/>
    <n v="39358"/>
    <n v="42695"/>
  </r>
  <r>
    <s v="ORD01150"/>
    <d v="2025-02-06T00:00:00"/>
    <x v="6"/>
    <x v="48"/>
    <x v="6"/>
    <s v="Brazil"/>
    <x v="42"/>
    <x v="1"/>
    <n v="20909"/>
    <n v="26246"/>
  </r>
  <r>
    <s v="ORD01151"/>
    <d v="2025-07-24T00:00:00"/>
    <x v="0"/>
    <x v="0"/>
    <x v="3"/>
    <s v="Brazil"/>
    <x v="17"/>
    <x v="20"/>
    <n v="38962"/>
    <n v="47351"/>
  </r>
  <r>
    <s v="ORD01152"/>
    <d v="2025-11-28T00:00:00"/>
    <x v="2"/>
    <x v="11"/>
    <x v="3"/>
    <s v="Thailand"/>
    <x v="35"/>
    <x v="8"/>
    <n v="36915"/>
    <n v="29572"/>
  </r>
  <r>
    <s v="ORD01153"/>
    <d v="2025-11-28T00:00:00"/>
    <x v="2"/>
    <x v="11"/>
    <x v="6"/>
    <s v="Turkey"/>
    <x v="29"/>
    <x v="13"/>
    <n v="32415"/>
    <n v="24677"/>
  </r>
  <r>
    <s v="ORD01154"/>
    <d v="2025-02-17T00:00:00"/>
    <x v="6"/>
    <x v="15"/>
    <x v="2"/>
    <s v="Turkey"/>
    <x v="49"/>
    <x v="17"/>
    <n v="26190"/>
    <n v="27133"/>
  </r>
  <r>
    <s v="ORD01155"/>
    <d v="2025-09-28T00:00:00"/>
    <x v="3"/>
    <x v="25"/>
    <x v="1"/>
    <s v="Japan"/>
    <x v="11"/>
    <x v="12"/>
    <n v="18529"/>
    <n v="16406"/>
  </r>
  <r>
    <s v="ORD01156"/>
    <d v="2025-02-17T00:00:00"/>
    <x v="6"/>
    <x v="15"/>
    <x v="4"/>
    <s v="Canada"/>
    <x v="25"/>
    <x v="27"/>
    <n v="26816"/>
    <n v="30854"/>
  </r>
  <r>
    <s v="ORD01157"/>
    <d v="2025-11-06T00:00:00"/>
    <x v="2"/>
    <x v="51"/>
    <x v="0"/>
    <s v="Japan"/>
    <x v="39"/>
    <x v="10"/>
    <n v="18917"/>
    <n v="14359"/>
  </r>
  <r>
    <s v="ORD01158"/>
    <d v="2025-08-01T00:00:00"/>
    <x v="11"/>
    <x v="12"/>
    <x v="1"/>
    <s v="Germany"/>
    <x v="8"/>
    <x v="22"/>
    <n v="30158"/>
    <n v="33925"/>
  </r>
  <r>
    <s v="ORD01159"/>
    <d v="2025-06-17T00:00:00"/>
    <x v="5"/>
    <x v="13"/>
    <x v="4"/>
    <s v="Brazil"/>
    <x v="36"/>
    <x v="13"/>
    <n v="29816"/>
    <n v="23566"/>
  </r>
  <r>
    <s v="ORD01160"/>
    <d v="2025-08-02T00:00:00"/>
    <x v="11"/>
    <x v="12"/>
    <x v="0"/>
    <s v="Thailand"/>
    <x v="39"/>
    <x v="2"/>
    <n v="27453"/>
    <n v="26333"/>
  </r>
  <r>
    <s v="ORD01161"/>
    <d v="2025-04-10T00:00:00"/>
    <x v="7"/>
    <x v="16"/>
    <x v="0"/>
    <s v="Brazil"/>
    <x v="16"/>
    <x v="22"/>
    <n v="25788"/>
    <n v="20947"/>
  </r>
  <r>
    <s v="ORD01162"/>
    <d v="2025-11-03T00:00:00"/>
    <x v="2"/>
    <x v="51"/>
    <x v="5"/>
    <s v="South Africa"/>
    <x v="26"/>
    <x v="4"/>
    <n v="35900"/>
    <n v="45098"/>
  </r>
  <r>
    <s v="ORD01163"/>
    <d v="2025-04-27T00:00:00"/>
    <x v="7"/>
    <x v="38"/>
    <x v="4"/>
    <s v="Spain"/>
    <x v="40"/>
    <x v="29"/>
    <n v="19501"/>
    <n v="16361"/>
  </r>
  <r>
    <s v="ORD01164"/>
    <d v="2025-04-30T00:00:00"/>
    <x v="7"/>
    <x v="27"/>
    <x v="5"/>
    <s v="Canada"/>
    <x v="15"/>
    <x v="10"/>
    <n v="17454"/>
    <n v="20960"/>
  </r>
  <r>
    <s v="ORD01165"/>
    <d v="2025-09-18T00:00:00"/>
    <x v="3"/>
    <x v="8"/>
    <x v="3"/>
    <s v="France"/>
    <x v="38"/>
    <x v="16"/>
    <n v="19243"/>
    <n v="18061"/>
  </r>
  <r>
    <s v="ORD01166"/>
    <d v="2025-01-03T00:00:00"/>
    <x v="1"/>
    <x v="5"/>
    <x v="4"/>
    <s v="Australia"/>
    <x v="36"/>
    <x v="17"/>
    <n v="35124"/>
    <n v="38216"/>
  </r>
  <r>
    <s v="ORD01167"/>
    <d v="2025-09-27T00:00:00"/>
    <x v="3"/>
    <x v="25"/>
    <x v="1"/>
    <s v="Mexico"/>
    <x v="19"/>
    <x v="12"/>
    <n v="15557"/>
    <n v="19250"/>
  </r>
  <r>
    <s v="ORD01168"/>
    <d v="2025-10-25T00:00:00"/>
    <x v="4"/>
    <x v="50"/>
    <x v="4"/>
    <s v="China"/>
    <x v="27"/>
    <x v="7"/>
    <n v="29723"/>
    <n v="21927"/>
  </r>
  <r>
    <s v="ORD01169"/>
    <d v="2025-12-05T00:00:00"/>
    <x v="10"/>
    <x v="43"/>
    <x v="5"/>
    <s v="Thailand"/>
    <x v="18"/>
    <x v="28"/>
    <n v="29984"/>
    <n v="25852"/>
  </r>
  <r>
    <s v="ORD01170"/>
    <d v="2025-06-18T00:00:00"/>
    <x v="5"/>
    <x v="13"/>
    <x v="4"/>
    <s v="Spain"/>
    <x v="8"/>
    <x v="3"/>
    <n v="39520"/>
    <n v="34366"/>
  </r>
  <r>
    <s v="ORD01171"/>
    <d v="2025-12-25T00:00:00"/>
    <x v="10"/>
    <x v="42"/>
    <x v="2"/>
    <s v="Malaysia"/>
    <x v="20"/>
    <x v="13"/>
    <n v="30470"/>
    <n v="26391"/>
  </r>
  <r>
    <s v="ORD01172"/>
    <d v="2025-07-06T00:00:00"/>
    <x v="0"/>
    <x v="37"/>
    <x v="5"/>
    <s v="India"/>
    <x v="7"/>
    <x v="17"/>
    <n v="25294"/>
    <n v="25585"/>
  </r>
  <r>
    <s v="ORD01173"/>
    <d v="2025-05-30T00:00:00"/>
    <x v="8"/>
    <x v="24"/>
    <x v="3"/>
    <s v="Turkey"/>
    <x v="46"/>
    <x v="29"/>
    <n v="22399"/>
    <n v="25058"/>
  </r>
  <r>
    <s v="ORD01174"/>
    <d v="2025-05-28T00:00:00"/>
    <x v="8"/>
    <x v="24"/>
    <x v="5"/>
    <s v="Thailand"/>
    <x v="5"/>
    <x v="7"/>
    <n v="34575"/>
    <n v="39919"/>
  </r>
  <r>
    <s v="ORD01175"/>
    <d v="2025-10-20T00:00:00"/>
    <x v="4"/>
    <x v="50"/>
    <x v="6"/>
    <s v="Brazil"/>
    <x v="1"/>
    <x v="7"/>
    <n v="30104"/>
    <n v="33724"/>
  </r>
  <r>
    <s v="ORD01176"/>
    <d v="2025-09-01T00:00:00"/>
    <x v="3"/>
    <x v="4"/>
    <x v="1"/>
    <s v="Mexico"/>
    <x v="11"/>
    <x v="25"/>
    <n v="19214"/>
    <n v="15783"/>
  </r>
  <r>
    <s v="ORD01177"/>
    <d v="2025-08-31T00:00:00"/>
    <x v="11"/>
    <x v="28"/>
    <x v="0"/>
    <s v="Malaysia"/>
    <x v="38"/>
    <x v="7"/>
    <n v="30823"/>
    <n v="31692"/>
  </r>
  <r>
    <s v="ORD01178"/>
    <d v="2025-06-22T00:00:00"/>
    <x v="5"/>
    <x v="13"/>
    <x v="4"/>
    <s v="Spain"/>
    <x v="25"/>
    <x v="10"/>
    <n v="17631"/>
    <n v="19761"/>
  </r>
  <r>
    <s v="ORD01179"/>
    <d v="2025-02-12T00:00:00"/>
    <x v="6"/>
    <x v="29"/>
    <x v="4"/>
    <s v="Mexico"/>
    <x v="30"/>
    <x v="24"/>
    <n v="21877"/>
    <n v="20357"/>
  </r>
  <r>
    <s v="ORD01180"/>
    <d v="2025-03-09T00:00:00"/>
    <x v="9"/>
    <x v="35"/>
    <x v="0"/>
    <s v="Russia"/>
    <x v="23"/>
    <x v="1"/>
    <n v="28871"/>
    <n v="33818"/>
  </r>
  <r>
    <s v="ORD01181"/>
    <d v="2025-05-21T00:00:00"/>
    <x v="8"/>
    <x v="26"/>
    <x v="6"/>
    <s v="Thailand"/>
    <x v="33"/>
    <x v="9"/>
    <n v="24427"/>
    <n v="17716"/>
  </r>
  <r>
    <s v="ORD01182"/>
    <d v="2025-04-06T00:00:00"/>
    <x v="7"/>
    <x v="34"/>
    <x v="3"/>
    <s v="Canada"/>
    <x v="17"/>
    <x v="8"/>
    <n v="32721"/>
    <n v="32357"/>
  </r>
  <r>
    <s v="ORD01183"/>
    <d v="2025-10-28T00:00:00"/>
    <x v="4"/>
    <x v="2"/>
    <x v="2"/>
    <s v="Mexico"/>
    <x v="3"/>
    <x v="28"/>
    <n v="20928"/>
    <n v="19070"/>
  </r>
  <r>
    <s v="ORD01184"/>
    <d v="2025-05-01T00:00:00"/>
    <x v="8"/>
    <x v="27"/>
    <x v="3"/>
    <s v="Canada"/>
    <x v="29"/>
    <x v="7"/>
    <n v="15192"/>
    <n v="14472"/>
  </r>
  <r>
    <s v="ORD01185"/>
    <d v="2025-11-24T00:00:00"/>
    <x v="2"/>
    <x v="11"/>
    <x v="0"/>
    <s v="Italy"/>
    <x v="31"/>
    <x v="14"/>
    <n v="18421"/>
    <n v="18968"/>
  </r>
  <r>
    <s v="ORD01186"/>
    <d v="2025-02-02T00:00:00"/>
    <x v="6"/>
    <x v="3"/>
    <x v="3"/>
    <s v="Russia"/>
    <x v="18"/>
    <x v="23"/>
    <n v="38885"/>
    <n v="48399"/>
  </r>
  <r>
    <s v="ORD01187"/>
    <d v="2025-07-03T00:00:00"/>
    <x v="0"/>
    <x v="37"/>
    <x v="4"/>
    <s v="Canada"/>
    <x v="38"/>
    <x v="13"/>
    <n v="38339"/>
    <n v="38111"/>
  </r>
  <r>
    <s v="ORD01188"/>
    <d v="2025-09-19T00:00:00"/>
    <x v="3"/>
    <x v="8"/>
    <x v="1"/>
    <s v="Germany"/>
    <x v="46"/>
    <x v="1"/>
    <n v="28026"/>
    <n v="31442"/>
  </r>
  <r>
    <s v="ORD01189"/>
    <d v="2025-08-10T00:00:00"/>
    <x v="11"/>
    <x v="23"/>
    <x v="5"/>
    <s v="China"/>
    <x v="24"/>
    <x v="20"/>
    <n v="34038"/>
    <n v="33678"/>
  </r>
  <r>
    <s v="ORD01190"/>
    <d v="2025-08-04T00:00:00"/>
    <x v="11"/>
    <x v="23"/>
    <x v="6"/>
    <s v="Spain"/>
    <x v="20"/>
    <x v="25"/>
    <n v="33198"/>
    <n v="25199"/>
  </r>
  <r>
    <s v="ORD01191"/>
    <d v="2025-07-21T00:00:00"/>
    <x v="0"/>
    <x v="0"/>
    <x v="5"/>
    <s v="Thailand"/>
    <x v="48"/>
    <x v="18"/>
    <n v="35595"/>
    <n v="29549"/>
  </r>
  <r>
    <s v="ORD01192"/>
    <d v="2025-03-26T00:00:00"/>
    <x v="9"/>
    <x v="33"/>
    <x v="6"/>
    <s v="UAE"/>
    <x v="46"/>
    <x v="20"/>
    <n v="34063"/>
    <n v="31001"/>
  </r>
  <r>
    <s v="ORD01193"/>
    <d v="2025-04-29T00:00:00"/>
    <x v="7"/>
    <x v="27"/>
    <x v="0"/>
    <s v="France"/>
    <x v="33"/>
    <x v="12"/>
    <n v="24632"/>
    <n v="18304"/>
  </r>
  <r>
    <s v="ORD01194"/>
    <d v="2025-01-22T00:00:00"/>
    <x v="1"/>
    <x v="7"/>
    <x v="1"/>
    <s v="Canada"/>
    <x v="26"/>
    <x v="7"/>
    <n v="33972"/>
    <n v="41674"/>
  </r>
  <r>
    <s v="ORD01195"/>
    <d v="2025-12-03T00:00:00"/>
    <x v="10"/>
    <x v="43"/>
    <x v="3"/>
    <s v="Mexico"/>
    <x v="24"/>
    <x v="9"/>
    <n v="23963"/>
    <n v="30099"/>
  </r>
  <r>
    <s v="ORD01196"/>
    <d v="2025-04-16T00:00:00"/>
    <x v="7"/>
    <x v="20"/>
    <x v="4"/>
    <s v="UK"/>
    <x v="9"/>
    <x v="11"/>
    <n v="29802"/>
    <n v="27278"/>
  </r>
  <r>
    <s v="ORD01197"/>
    <d v="2025-06-25T00:00:00"/>
    <x v="5"/>
    <x v="36"/>
    <x v="4"/>
    <s v="South Africa"/>
    <x v="16"/>
    <x v="22"/>
    <n v="15956"/>
    <n v="11278"/>
  </r>
  <r>
    <s v="ORD01198"/>
    <d v="2025-01-09T00:00:00"/>
    <x v="1"/>
    <x v="6"/>
    <x v="0"/>
    <s v="Russia"/>
    <x v="37"/>
    <x v="20"/>
    <n v="24655"/>
    <n v="20736"/>
  </r>
  <r>
    <s v="ORD01199"/>
    <d v="2025-02-06T00:00:00"/>
    <x v="6"/>
    <x v="48"/>
    <x v="0"/>
    <s v="Japan"/>
    <x v="6"/>
    <x v="27"/>
    <n v="26965"/>
    <n v="30191"/>
  </r>
  <r>
    <s v="ORD01200"/>
    <d v="2025-10-17T00:00:00"/>
    <x v="4"/>
    <x v="10"/>
    <x v="6"/>
    <s v="Mexico"/>
    <x v="23"/>
    <x v="8"/>
    <n v="35250"/>
    <n v="40143"/>
  </r>
  <r>
    <s v="ORD01201"/>
    <d v="2025-10-11T00:00:00"/>
    <x v="4"/>
    <x v="45"/>
    <x v="6"/>
    <s v="Spain"/>
    <x v="12"/>
    <x v="19"/>
    <n v="27731"/>
    <n v="21970"/>
  </r>
  <r>
    <s v="ORD01202"/>
    <d v="2025-10-05T00:00:00"/>
    <x v="4"/>
    <x v="49"/>
    <x v="5"/>
    <s v="France"/>
    <x v="18"/>
    <x v="16"/>
    <n v="25141"/>
    <n v="25973"/>
  </r>
  <r>
    <s v="ORD01203"/>
    <d v="2025-09-16T00:00:00"/>
    <x v="3"/>
    <x v="8"/>
    <x v="4"/>
    <s v="Thailand"/>
    <x v="9"/>
    <x v="20"/>
    <n v="34911"/>
    <n v="27859"/>
  </r>
  <r>
    <s v="ORD01204"/>
    <d v="2025-01-11T00:00:00"/>
    <x v="1"/>
    <x v="6"/>
    <x v="1"/>
    <s v="Japan"/>
    <x v="31"/>
    <x v="20"/>
    <n v="18512"/>
    <n v="23703"/>
  </r>
  <r>
    <s v="ORD01205"/>
    <d v="2025-08-16T00:00:00"/>
    <x v="11"/>
    <x v="30"/>
    <x v="6"/>
    <s v="Russia"/>
    <x v="12"/>
    <x v="29"/>
    <n v="36923"/>
    <n v="34429"/>
  </r>
  <r>
    <s v="ORD01206"/>
    <d v="2025-10-01T00:00:00"/>
    <x v="4"/>
    <x v="49"/>
    <x v="1"/>
    <s v="Turkey"/>
    <x v="41"/>
    <x v="24"/>
    <n v="15858"/>
    <n v="16256"/>
  </r>
  <r>
    <s v="ORD01207"/>
    <d v="2025-05-11T00:00:00"/>
    <x v="8"/>
    <x v="18"/>
    <x v="6"/>
    <s v="Russia"/>
    <x v="6"/>
    <x v="9"/>
    <n v="38201"/>
    <n v="45382"/>
  </r>
  <r>
    <s v="ORD01208"/>
    <d v="2025-03-29T00:00:00"/>
    <x v="9"/>
    <x v="33"/>
    <x v="6"/>
    <s v="UAE"/>
    <x v="48"/>
    <x v="11"/>
    <n v="24236"/>
    <n v="19222"/>
  </r>
  <r>
    <s v="ORD01209"/>
    <d v="2025-03-27T00:00:00"/>
    <x v="9"/>
    <x v="33"/>
    <x v="6"/>
    <s v="Singapore"/>
    <x v="40"/>
    <x v="20"/>
    <n v="22342"/>
    <n v="26540"/>
  </r>
  <r>
    <s v="ORD01210"/>
    <d v="2025-04-18T00:00:00"/>
    <x v="7"/>
    <x v="20"/>
    <x v="4"/>
    <s v="Thailand"/>
    <x v="14"/>
    <x v="12"/>
    <n v="25239"/>
    <n v="19161"/>
  </r>
  <r>
    <s v="ORD01211"/>
    <d v="2025-12-28T00:00:00"/>
    <x v="10"/>
    <x v="42"/>
    <x v="5"/>
    <s v="France"/>
    <x v="46"/>
    <x v="4"/>
    <n v="28752"/>
    <n v="28000"/>
  </r>
  <r>
    <s v="ORD01212"/>
    <d v="2025-08-13T00:00:00"/>
    <x v="11"/>
    <x v="30"/>
    <x v="2"/>
    <s v="Malaysia"/>
    <x v="48"/>
    <x v="4"/>
    <n v="34111"/>
    <n v="36806"/>
  </r>
  <r>
    <s v="ORD01213"/>
    <d v="2025-01-27T00:00:00"/>
    <x v="1"/>
    <x v="3"/>
    <x v="4"/>
    <s v="India"/>
    <x v="5"/>
    <x v="9"/>
    <n v="28353"/>
    <n v="33766"/>
  </r>
  <r>
    <s v="ORD01214"/>
    <d v="2025-06-20T00:00:00"/>
    <x v="5"/>
    <x v="13"/>
    <x v="5"/>
    <s v="Mexico"/>
    <x v="35"/>
    <x v="18"/>
    <n v="31746"/>
    <n v="26307"/>
  </r>
  <r>
    <s v="ORD01215"/>
    <d v="2025-07-08T00:00:00"/>
    <x v="0"/>
    <x v="47"/>
    <x v="2"/>
    <s v="France"/>
    <x v="49"/>
    <x v="3"/>
    <n v="17495"/>
    <n v="20923"/>
  </r>
  <r>
    <s v="ORD01216"/>
    <d v="2025-03-10T00:00:00"/>
    <x v="9"/>
    <x v="19"/>
    <x v="0"/>
    <s v="Japan"/>
    <x v="35"/>
    <x v="21"/>
    <n v="22378"/>
    <n v="25002"/>
  </r>
  <r>
    <s v="ORD01217"/>
    <d v="2025-11-13T00:00:00"/>
    <x v="2"/>
    <x v="44"/>
    <x v="4"/>
    <s v="Malaysia"/>
    <x v="48"/>
    <x v="27"/>
    <n v="30717"/>
    <n v="23497"/>
  </r>
  <r>
    <s v="ORD01218"/>
    <d v="2025-05-19T00:00:00"/>
    <x v="8"/>
    <x v="26"/>
    <x v="0"/>
    <s v="UAE"/>
    <x v="33"/>
    <x v="28"/>
    <n v="29503"/>
    <n v="23980"/>
  </r>
  <r>
    <s v="ORD01219"/>
    <d v="2025-01-28T00:00:00"/>
    <x v="1"/>
    <x v="3"/>
    <x v="0"/>
    <s v="Australia"/>
    <x v="0"/>
    <x v="10"/>
    <n v="35701"/>
    <n v="37384"/>
  </r>
  <r>
    <s v="ORD01220"/>
    <d v="2025-03-08T00:00:00"/>
    <x v="9"/>
    <x v="35"/>
    <x v="6"/>
    <s v="Turkey"/>
    <x v="24"/>
    <x v="0"/>
    <n v="28187"/>
    <n v="35788"/>
  </r>
  <r>
    <s v="ORD01221"/>
    <d v="2025-08-04T00:00:00"/>
    <x v="11"/>
    <x v="23"/>
    <x v="6"/>
    <s v="Mexico"/>
    <x v="32"/>
    <x v="13"/>
    <n v="21854"/>
    <n v="28398"/>
  </r>
  <r>
    <s v="ORD01222"/>
    <d v="2025-06-15T00:00:00"/>
    <x v="5"/>
    <x v="40"/>
    <x v="2"/>
    <s v="India"/>
    <x v="34"/>
    <x v="8"/>
    <n v="22351"/>
    <n v="23323"/>
  </r>
  <r>
    <s v="ORD01223"/>
    <d v="2025-09-16T00:00:00"/>
    <x v="3"/>
    <x v="8"/>
    <x v="2"/>
    <s v="Italy"/>
    <x v="25"/>
    <x v="22"/>
    <n v="24413"/>
    <n v="26220"/>
  </r>
  <r>
    <s v="ORD01224"/>
    <d v="2025-09-16T00:00:00"/>
    <x v="3"/>
    <x v="8"/>
    <x v="1"/>
    <s v="Germany"/>
    <x v="48"/>
    <x v="12"/>
    <n v="25342"/>
    <n v="31666"/>
  </r>
  <r>
    <s v="ORD01225"/>
    <d v="2025-06-23T00:00:00"/>
    <x v="5"/>
    <x v="36"/>
    <x v="1"/>
    <s v="Thailand"/>
    <x v="3"/>
    <x v="29"/>
    <n v="21076"/>
    <n v="24576"/>
  </r>
  <r>
    <s v="ORD01226"/>
    <d v="2025-05-24T00:00:00"/>
    <x v="8"/>
    <x v="26"/>
    <x v="0"/>
    <s v="Turkey"/>
    <x v="44"/>
    <x v="8"/>
    <n v="19055"/>
    <n v="14658"/>
  </r>
  <r>
    <s v="ORD01227"/>
    <d v="2025-05-02T00:00:00"/>
    <x v="8"/>
    <x v="27"/>
    <x v="4"/>
    <s v="USA"/>
    <x v="14"/>
    <x v="5"/>
    <n v="35929"/>
    <n v="41116"/>
  </r>
  <r>
    <s v="ORD01228"/>
    <d v="2025-01-16T00:00:00"/>
    <x v="1"/>
    <x v="1"/>
    <x v="6"/>
    <s v="Malaysia"/>
    <x v="39"/>
    <x v="20"/>
    <n v="25830"/>
    <n v="27347"/>
  </r>
  <r>
    <s v="ORD01229"/>
    <d v="2025-10-21T00:00:00"/>
    <x v="4"/>
    <x v="50"/>
    <x v="5"/>
    <s v="UK"/>
    <x v="43"/>
    <x v="14"/>
    <n v="35335"/>
    <n v="44945"/>
  </r>
  <r>
    <s v="ORD01230"/>
    <d v="2025-05-28T00:00:00"/>
    <x v="8"/>
    <x v="24"/>
    <x v="0"/>
    <s v="Singapore"/>
    <x v="39"/>
    <x v="8"/>
    <n v="25184"/>
    <n v="23529"/>
  </r>
  <r>
    <s v="ORD01231"/>
    <d v="2025-10-20T00:00:00"/>
    <x v="4"/>
    <x v="50"/>
    <x v="4"/>
    <s v="USA"/>
    <x v="18"/>
    <x v="14"/>
    <n v="24555"/>
    <n v="30515"/>
  </r>
  <r>
    <s v="ORD01232"/>
    <d v="2025-02-27T00:00:00"/>
    <x v="6"/>
    <x v="22"/>
    <x v="6"/>
    <s v="Brazil"/>
    <x v="35"/>
    <x v="0"/>
    <n v="27294"/>
    <n v="21134"/>
  </r>
  <r>
    <s v="ORD01233"/>
    <d v="2025-06-13T00:00:00"/>
    <x v="5"/>
    <x v="40"/>
    <x v="0"/>
    <s v="Russia"/>
    <x v="38"/>
    <x v="20"/>
    <n v="16531"/>
    <n v="14318"/>
  </r>
  <r>
    <s v="ORD01234"/>
    <d v="2025-03-20T00:00:00"/>
    <x v="9"/>
    <x v="39"/>
    <x v="0"/>
    <s v="Brazil"/>
    <x v="46"/>
    <x v="14"/>
    <n v="35461"/>
    <n v="42040"/>
  </r>
  <r>
    <s v="ORD01235"/>
    <d v="2025-03-24T00:00:00"/>
    <x v="9"/>
    <x v="33"/>
    <x v="5"/>
    <s v="Canada"/>
    <x v="23"/>
    <x v="22"/>
    <n v="36771"/>
    <n v="27264"/>
  </r>
  <r>
    <s v="ORD01236"/>
    <d v="2025-01-26T00:00:00"/>
    <x v="1"/>
    <x v="7"/>
    <x v="3"/>
    <s v="UK"/>
    <x v="25"/>
    <x v="19"/>
    <n v="15621"/>
    <n v="19487"/>
  </r>
  <r>
    <s v="ORD01237"/>
    <d v="2025-05-10T00:00:00"/>
    <x v="8"/>
    <x v="18"/>
    <x v="6"/>
    <s v="UK"/>
    <x v="17"/>
    <x v="2"/>
    <n v="17875"/>
    <n v="16962"/>
  </r>
  <r>
    <s v="ORD01238"/>
    <d v="2025-06-25T00:00:00"/>
    <x v="5"/>
    <x v="36"/>
    <x v="2"/>
    <s v="Malaysia"/>
    <x v="49"/>
    <x v="1"/>
    <n v="30349"/>
    <n v="27199"/>
  </r>
  <r>
    <s v="ORD01239"/>
    <d v="2025-02-20T00:00:00"/>
    <x v="6"/>
    <x v="15"/>
    <x v="3"/>
    <s v="Spain"/>
    <x v="1"/>
    <x v="15"/>
    <n v="35832"/>
    <n v="44488"/>
  </r>
  <r>
    <s v="ORD01240"/>
    <d v="2025-09-23T00:00:00"/>
    <x v="3"/>
    <x v="25"/>
    <x v="1"/>
    <s v="France"/>
    <x v="32"/>
    <x v="16"/>
    <n v="27280"/>
    <n v="32181"/>
  </r>
  <r>
    <s v="ORD01241"/>
    <d v="2025-05-06T00:00:00"/>
    <x v="8"/>
    <x v="18"/>
    <x v="3"/>
    <s v="Canada"/>
    <x v="23"/>
    <x v="11"/>
    <n v="15799"/>
    <n v="19143"/>
  </r>
  <r>
    <s v="ORD01242"/>
    <d v="2025-04-02T00:00:00"/>
    <x v="7"/>
    <x v="34"/>
    <x v="2"/>
    <s v="India"/>
    <x v="14"/>
    <x v="10"/>
    <n v="25597"/>
    <n v="32700"/>
  </r>
  <r>
    <s v="ORD01243"/>
    <d v="2025-04-29T00:00:00"/>
    <x v="7"/>
    <x v="27"/>
    <x v="6"/>
    <s v="Germany"/>
    <x v="21"/>
    <x v="22"/>
    <n v="27406"/>
    <n v="31488"/>
  </r>
  <r>
    <s v="ORD01244"/>
    <d v="2025-08-01T00:00:00"/>
    <x v="11"/>
    <x v="12"/>
    <x v="1"/>
    <s v="Malaysia"/>
    <x v="12"/>
    <x v="5"/>
    <n v="23523"/>
    <n v="17960"/>
  </r>
  <r>
    <s v="ORD01245"/>
    <d v="2025-09-07T00:00:00"/>
    <x v="3"/>
    <x v="4"/>
    <x v="6"/>
    <s v="Russia"/>
    <x v="32"/>
    <x v="28"/>
    <n v="24444"/>
    <n v="25965"/>
  </r>
  <r>
    <s v="ORD01246"/>
    <d v="2025-01-01T00:00:00"/>
    <x v="1"/>
    <x v="5"/>
    <x v="0"/>
    <s v="France"/>
    <x v="48"/>
    <x v="12"/>
    <n v="30516"/>
    <n v="25161"/>
  </r>
  <r>
    <s v="ORD01247"/>
    <d v="2025-05-02T00:00:00"/>
    <x v="8"/>
    <x v="27"/>
    <x v="2"/>
    <s v="Italy"/>
    <x v="38"/>
    <x v="0"/>
    <n v="20999"/>
    <n v="22599"/>
  </r>
  <r>
    <s v="ORD01248"/>
    <d v="2025-01-11T00:00:00"/>
    <x v="1"/>
    <x v="6"/>
    <x v="1"/>
    <s v="South Africa"/>
    <x v="11"/>
    <x v="7"/>
    <n v="32110"/>
    <n v="33031"/>
  </r>
  <r>
    <s v="ORD01249"/>
    <d v="2025-01-07T00:00:00"/>
    <x v="1"/>
    <x v="6"/>
    <x v="3"/>
    <s v="Brazil"/>
    <x v="28"/>
    <x v="4"/>
    <n v="28693"/>
    <n v="27045"/>
  </r>
  <r>
    <s v="ORD01250"/>
    <d v="2025-08-07T00:00:00"/>
    <x v="11"/>
    <x v="23"/>
    <x v="4"/>
    <s v="China"/>
    <x v="27"/>
    <x v="9"/>
    <n v="35111"/>
    <n v="28897"/>
  </r>
  <r>
    <s v="ORD01251"/>
    <d v="2025-02-01T00:00:00"/>
    <x v="6"/>
    <x v="3"/>
    <x v="3"/>
    <s v="Italy"/>
    <x v="5"/>
    <x v="6"/>
    <n v="25439"/>
    <n v="25113"/>
  </r>
  <r>
    <s v="ORD01252"/>
    <d v="2025-09-13T00:00:00"/>
    <x v="3"/>
    <x v="31"/>
    <x v="5"/>
    <s v="Germany"/>
    <x v="23"/>
    <x v="18"/>
    <n v="18361"/>
    <n v="17488"/>
  </r>
  <r>
    <s v="ORD01253"/>
    <d v="2025-06-08T00:00:00"/>
    <x v="5"/>
    <x v="41"/>
    <x v="1"/>
    <s v="Singapore"/>
    <x v="32"/>
    <x v="27"/>
    <n v="33518"/>
    <n v="28046"/>
  </r>
  <r>
    <s v="ORD01254"/>
    <d v="2025-07-07T00:00:00"/>
    <x v="0"/>
    <x v="47"/>
    <x v="2"/>
    <s v="South Africa"/>
    <x v="38"/>
    <x v="16"/>
    <n v="21997"/>
    <n v="19185"/>
  </r>
  <r>
    <s v="ORD01255"/>
    <d v="2025-10-03T00:00:00"/>
    <x v="4"/>
    <x v="49"/>
    <x v="1"/>
    <s v="Italy"/>
    <x v="38"/>
    <x v="25"/>
    <n v="26500"/>
    <n v="18939"/>
  </r>
  <r>
    <s v="ORD01256"/>
    <d v="2025-12-18T00:00:00"/>
    <x v="10"/>
    <x v="21"/>
    <x v="4"/>
    <s v="Turkey"/>
    <x v="22"/>
    <x v="22"/>
    <n v="33468"/>
    <n v="41179"/>
  </r>
  <r>
    <s v="ORD01257"/>
    <d v="2025-02-09T00:00:00"/>
    <x v="6"/>
    <x v="48"/>
    <x v="2"/>
    <s v="Germany"/>
    <x v="7"/>
    <x v="28"/>
    <n v="35625"/>
    <n v="40517"/>
  </r>
  <r>
    <s v="ORD01258"/>
    <d v="2025-03-26T00:00:00"/>
    <x v="9"/>
    <x v="33"/>
    <x v="4"/>
    <s v="Italy"/>
    <x v="7"/>
    <x v="13"/>
    <n v="21466"/>
    <n v="26361"/>
  </r>
  <r>
    <s v="ORD01259"/>
    <d v="2025-09-04T00:00:00"/>
    <x v="3"/>
    <x v="4"/>
    <x v="0"/>
    <s v="Singapore"/>
    <x v="37"/>
    <x v="3"/>
    <n v="29613"/>
    <n v="24246"/>
  </r>
  <r>
    <s v="ORD01260"/>
    <d v="2025-12-21T00:00:00"/>
    <x v="10"/>
    <x v="21"/>
    <x v="6"/>
    <s v="Turkey"/>
    <x v="18"/>
    <x v="14"/>
    <n v="27438"/>
    <n v="21550"/>
  </r>
  <r>
    <s v="ORD01261"/>
    <d v="2025-05-25T00:00:00"/>
    <x v="8"/>
    <x v="26"/>
    <x v="0"/>
    <s v="Italy"/>
    <x v="2"/>
    <x v="3"/>
    <n v="18642"/>
    <n v="16291"/>
  </r>
  <r>
    <s v="ORD01262"/>
    <d v="2025-10-15T00:00:00"/>
    <x v="4"/>
    <x v="10"/>
    <x v="0"/>
    <s v="Mexico"/>
    <x v="0"/>
    <x v="13"/>
    <n v="19522"/>
    <n v="19161"/>
  </r>
  <r>
    <s v="ORD01263"/>
    <d v="2025-11-22T00:00:00"/>
    <x v="2"/>
    <x v="9"/>
    <x v="4"/>
    <s v="India"/>
    <x v="32"/>
    <x v="7"/>
    <n v="24033"/>
    <n v="27592"/>
  </r>
  <r>
    <s v="ORD01264"/>
    <d v="2025-02-05T00:00:00"/>
    <x v="6"/>
    <x v="48"/>
    <x v="3"/>
    <s v="Germany"/>
    <x v="8"/>
    <x v="22"/>
    <n v="30838"/>
    <n v="30566"/>
  </r>
  <r>
    <s v="ORD01265"/>
    <d v="2025-09-01T00:00:00"/>
    <x v="3"/>
    <x v="4"/>
    <x v="0"/>
    <s v="UK"/>
    <x v="16"/>
    <x v="29"/>
    <n v="27129"/>
    <n v="20489"/>
  </r>
  <r>
    <s v="ORD01266"/>
    <d v="2025-01-25T00:00:00"/>
    <x v="1"/>
    <x v="7"/>
    <x v="4"/>
    <s v="Singapore"/>
    <x v="22"/>
    <x v="11"/>
    <n v="35896"/>
    <n v="44130"/>
  </r>
  <r>
    <s v="ORD01267"/>
    <d v="2025-05-17T00:00:00"/>
    <x v="8"/>
    <x v="17"/>
    <x v="1"/>
    <s v="Australia"/>
    <x v="48"/>
    <x v="7"/>
    <n v="24658"/>
    <n v="19037"/>
  </r>
  <r>
    <s v="ORD01268"/>
    <d v="2025-01-03T00:00:00"/>
    <x v="1"/>
    <x v="5"/>
    <x v="5"/>
    <s v="Italy"/>
    <x v="47"/>
    <x v="1"/>
    <n v="37769"/>
    <n v="40543"/>
  </r>
  <r>
    <s v="ORD01269"/>
    <d v="2025-09-09T00:00:00"/>
    <x v="3"/>
    <x v="31"/>
    <x v="2"/>
    <s v="South Africa"/>
    <x v="1"/>
    <x v="24"/>
    <n v="36837"/>
    <n v="28653"/>
  </r>
  <r>
    <s v="ORD01270"/>
    <d v="2025-08-12T00:00:00"/>
    <x v="11"/>
    <x v="30"/>
    <x v="1"/>
    <s v="Turkey"/>
    <x v="21"/>
    <x v="16"/>
    <n v="37847"/>
    <n v="37259"/>
  </r>
  <r>
    <s v="ORD01271"/>
    <d v="2025-09-25T00:00:00"/>
    <x v="3"/>
    <x v="25"/>
    <x v="1"/>
    <s v="Japan"/>
    <x v="14"/>
    <x v="2"/>
    <n v="35997"/>
    <n v="34871"/>
  </r>
  <r>
    <s v="ORD01272"/>
    <d v="2025-08-21T00:00:00"/>
    <x v="11"/>
    <x v="46"/>
    <x v="3"/>
    <s v="Mexico"/>
    <x v="39"/>
    <x v="22"/>
    <n v="21194"/>
    <n v="17128"/>
  </r>
  <r>
    <s v="ORD01273"/>
    <d v="2025-10-18T00:00:00"/>
    <x v="4"/>
    <x v="10"/>
    <x v="4"/>
    <s v="South Africa"/>
    <x v="2"/>
    <x v="6"/>
    <n v="32316"/>
    <n v="35683"/>
  </r>
  <r>
    <s v="ORD01274"/>
    <d v="2025-04-30T00:00:00"/>
    <x v="7"/>
    <x v="27"/>
    <x v="1"/>
    <s v="Italy"/>
    <x v="18"/>
    <x v="20"/>
    <n v="35160"/>
    <n v="40266"/>
  </r>
  <r>
    <s v="ORD01275"/>
    <d v="2025-04-05T00:00:00"/>
    <x v="7"/>
    <x v="34"/>
    <x v="3"/>
    <s v="UK"/>
    <x v="22"/>
    <x v="28"/>
    <n v="33074"/>
    <n v="39241"/>
  </r>
  <r>
    <s v="ORD01276"/>
    <d v="2025-07-20T00:00:00"/>
    <x v="0"/>
    <x v="14"/>
    <x v="1"/>
    <s v="Thailand"/>
    <x v="18"/>
    <x v="27"/>
    <n v="23475"/>
    <n v="26558"/>
  </r>
  <r>
    <s v="ORD01277"/>
    <d v="2025-07-17T00:00:00"/>
    <x v="0"/>
    <x v="14"/>
    <x v="1"/>
    <s v="Australia"/>
    <x v="13"/>
    <x v="16"/>
    <n v="36884"/>
    <n v="27713"/>
  </r>
  <r>
    <s v="ORD01278"/>
    <d v="2025-04-05T00:00:00"/>
    <x v="7"/>
    <x v="34"/>
    <x v="6"/>
    <s v="South Africa"/>
    <x v="28"/>
    <x v="20"/>
    <n v="27983"/>
    <n v="31474"/>
  </r>
  <r>
    <s v="ORD01279"/>
    <d v="2025-05-13T00:00:00"/>
    <x v="8"/>
    <x v="17"/>
    <x v="5"/>
    <s v="Turkey"/>
    <x v="46"/>
    <x v="18"/>
    <n v="27773"/>
    <n v="28303"/>
  </r>
  <r>
    <s v="ORD01280"/>
    <d v="2025-10-13T00:00:00"/>
    <x v="4"/>
    <x v="10"/>
    <x v="0"/>
    <s v="Italy"/>
    <x v="26"/>
    <x v="19"/>
    <n v="17455"/>
    <n v="16151"/>
  </r>
  <r>
    <s v="ORD01281"/>
    <d v="2025-08-28T00:00:00"/>
    <x v="11"/>
    <x v="28"/>
    <x v="6"/>
    <s v="Russia"/>
    <x v="44"/>
    <x v="22"/>
    <n v="30121"/>
    <n v="21159"/>
  </r>
  <r>
    <s v="ORD01282"/>
    <d v="2025-03-29T00:00:00"/>
    <x v="9"/>
    <x v="33"/>
    <x v="1"/>
    <s v="India"/>
    <x v="26"/>
    <x v="28"/>
    <n v="37060"/>
    <n v="43070"/>
  </r>
  <r>
    <s v="ORD01283"/>
    <d v="2025-01-08T00:00:00"/>
    <x v="1"/>
    <x v="6"/>
    <x v="0"/>
    <s v="Japan"/>
    <x v="30"/>
    <x v="23"/>
    <n v="17911"/>
    <n v="19703"/>
  </r>
  <r>
    <s v="ORD01284"/>
    <d v="2025-12-11T00:00:00"/>
    <x v="10"/>
    <x v="32"/>
    <x v="3"/>
    <s v="India"/>
    <x v="17"/>
    <x v="12"/>
    <n v="18621"/>
    <n v="14667"/>
  </r>
  <r>
    <s v="ORD01285"/>
    <d v="2025-10-15T00:00:00"/>
    <x v="4"/>
    <x v="10"/>
    <x v="0"/>
    <s v="South Africa"/>
    <x v="12"/>
    <x v="13"/>
    <n v="25522"/>
    <n v="30937"/>
  </r>
  <r>
    <s v="ORD01286"/>
    <d v="2025-03-31T00:00:00"/>
    <x v="9"/>
    <x v="34"/>
    <x v="1"/>
    <s v="Japan"/>
    <x v="31"/>
    <x v="19"/>
    <n v="25659"/>
    <n v="28601"/>
  </r>
  <r>
    <s v="ORD01287"/>
    <d v="2025-07-30T00:00:00"/>
    <x v="0"/>
    <x v="12"/>
    <x v="6"/>
    <s v="Malaysia"/>
    <x v="2"/>
    <x v="6"/>
    <n v="17423"/>
    <n v="17345"/>
  </r>
  <r>
    <s v="ORD01288"/>
    <d v="2025-11-16T00:00:00"/>
    <x v="2"/>
    <x v="44"/>
    <x v="6"/>
    <s v="Germany"/>
    <x v="29"/>
    <x v="22"/>
    <n v="21586"/>
    <n v="20018"/>
  </r>
  <r>
    <s v="ORD01289"/>
    <d v="2025-11-24T00:00:00"/>
    <x v="2"/>
    <x v="11"/>
    <x v="5"/>
    <s v="France"/>
    <x v="12"/>
    <x v="15"/>
    <n v="30170"/>
    <n v="35717"/>
  </r>
  <r>
    <s v="ORD01290"/>
    <d v="2025-11-21T00:00:00"/>
    <x v="2"/>
    <x v="9"/>
    <x v="5"/>
    <s v="Germany"/>
    <x v="42"/>
    <x v="2"/>
    <n v="38122"/>
    <n v="34526"/>
  </r>
  <r>
    <s v="ORD01291"/>
    <d v="2025-03-05T00:00:00"/>
    <x v="9"/>
    <x v="35"/>
    <x v="0"/>
    <s v="USA"/>
    <x v="24"/>
    <x v="4"/>
    <n v="21864"/>
    <n v="21646"/>
  </r>
  <r>
    <s v="ORD01292"/>
    <d v="2025-08-08T00:00:00"/>
    <x v="11"/>
    <x v="23"/>
    <x v="5"/>
    <s v="France"/>
    <x v="35"/>
    <x v="1"/>
    <n v="30584"/>
    <n v="31271"/>
  </r>
  <r>
    <s v="ORD01293"/>
    <d v="2025-04-09T00:00:00"/>
    <x v="7"/>
    <x v="16"/>
    <x v="1"/>
    <s v="Thailand"/>
    <x v="3"/>
    <x v="19"/>
    <n v="36341"/>
    <n v="39794"/>
  </r>
  <r>
    <s v="ORD01294"/>
    <d v="2025-06-10T00:00:00"/>
    <x v="5"/>
    <x v="40"/>
    <x v="6"/>
    <s v="France"/>
    <x v="5"/>
    <x v="17"/>
    <n v="34894"/>
    <n v="37797"/>
  </r>
  <r>
    <s v="ORD01295"/>
    <d v="2025-03-06T00:00:00"/>
    <x v="9"/>
    <x v="35"/>
    <x v="4"/>
    <s v="Brazil"/>
    <x v="20"/>
    <x v="12"/>
    <n v="18509"/>
    <n v="18937"/>
  </r>
  <r>
    <s v="ORD01296"/>
    <d v="2025-04-06T00:00:00"/>
    <x v="7"/>
    <x v="34"/>
    <x v="2"/>
    <s v="Russia"/>
    <x v="7"/>
    <x v="10"/>
    <n v="34268"/>
    <n v="27253"/>
  </r>
  <r>
    <s v="ORD01297"/>
    <d v="2025-09-23T00:00:00"/>
    <x v="3"/>
    <x v="25"/>
    <x v="5"/>
    <s v="Italy"/>
    <x v="48"/>
    <x v="4"/>
    <n v="22411"/>
    <n v="28123"/>
  </r>
  <r>
    <s v="ORD01298"/>
    <d v="2025-03-10T00:00:00"/>
    <x v="9"/>
    <x v="19"/>
    <x v="4"/>
    <s v="UAE"/>
    <x v="10"/>
    <x v="29"/>
    <n v="19131"/>
    <n v="21493"/>
  </r>
  <r>
    <s v="ORD01299"/>
    <d v="2025-01-06T00:00:00"/>
    <x v="1"/>
    <x v="6"/>
    <x v="0"/>
    <s v="Spain"/>
    <x v="6"/>
    <x v="2"/>
    <n v="16543"/>
    <n v="21242"/>
  </r>
  <r>
    <s v="ORD01300"/>
    <d v="2025-12-27T00:00:00"/>
    <x v="10"/>
    <x v="42"/>
    <x v="5"/>
    <s v="Canada"/>
    <x v="47"/>
    <x v="9"/>
    <n v="16707"/>
    <n v="15982"/>
  </r>
  <r>
    <s v="ORD01301"/>
    <d v="2025-08-21T00:00:00"/>
    <x v="11"/>
    <x v="46"/>
    <x v="5"/>
    <s v="UAE"/>
    <x v="25"/>
    <x v="15"/>
    <n v="38380"/>
    <n v="45908"/>
  </r>
  <r>
    <s v="ORD01302"/>
    <d v="2025-11-25T00:00:00"/>
    <x v="2"/>
    <x v="11"/>
    <x v="3"/>
    <s v="Singapore"/>
    <x v="12"/>
    <x v="24"/>
    <n v="37871"/>
    <n v="45428"/>
  </r>
  <r>
    <s v="ORD01303"/>
    <d v="2025-04-03T00:00:00"/>
    <x v="7"/>
    <x v="34"/>
    <x v="0"/>
    <s v="France"/>
    <x v="0"/>
    <x v="8"/>
    <n v="16867"/>
    <n v="21182"/>
  </r>
  <r>
    <s v="ORD01304"/>
    <d v="2025-03-13T00:00:00"/>
    <x v="9"/>
    <x v="19"/>
    <x v="1"/>
    <s v="Russia"/>
    <x v="7"/>
    <x v="8"/>
    <n v="18386"/>
    <n v="20430"/>
  </r>
  <r>
    <s v="ORD01305"/>
    <d v="2025-02-04T00:00:00"/>
    <x v="6"/>
    <x v="48"/>
    <x v="1"/>
    <s v="Thailand"/>
    <x v="2"/>
    <x v="28"/>
    <n v="19750"/>
    <n v="16747"/>
  </r>
  <r>
    <s v="ORD01306"/>
    <d v="2025-09-05T00:00:00"/>
    <x v="3"/>
    <x v="4"/>
    <x v="2"/>
    <s v="France"/>
    <x v="11"/>
    <x v="14"/>
    <n v="16635"/>
    <n v="18909"/>
  </r>
  <r>
    <s v="ORD01307"/>
    <d v="2025-03-04T00:00:00"/>
    <x v="9"/>
    <x v="35"/>
    <x v="0"/>
    <s v="Singapore"/>
    <x v="41"/>
    <x v="28"/>
    <n v="21067"/>
    <n v="17547"/>
  </r>
  <r>
    <s v="ORD01308"/>
    <d v="2025-05-04T00:00:00"/>
    <x v="8"/>
    <x v="27"/>
    <x v="5"/>
    <s v="Turkey"/>
    <x v="20"/>
    <x v="23"/>
    <n v="35369"/>
    <n v="32017"/>
  </r>
  <r>
    <s v="ORD01309"/>
    <d v="2025-10-29T00:00:00"/>
    <x v="4"/>
    <x v="2"/>
    <x v="6"/>
    <s v="Spain"/>
    <x v="18"/>
    <x v="27"/>
    <n v="17644"/>
    <n v="16606"/>
  </r>
  <r>
    <s v="ORD01310"/>
    <d v="2025-01-05T00:00:00"/>
    <x v="1"/>
    <x v="5"/>
    <x v="1"/>
    <s v="Malaysia"/>
    <x v="20"/>
    <x v="24"/>
    <n v="27902"/>
    <n v="35855"/>
  </r>
  <r>
    <s v="ORD01311"/>
    <d v="2025-07-16T00:00:00"/>
    <x v="0"/>
    <x v="14"/>
    <x v="4"/>
    <s v="UK"/>
    <x v="45"/>
    <x v="1"/>
    <n v="21692"/>
    <n v="25963"/>
  </r>
  <r>
    <s v="ORD01312"/>
    <d v="2025-04-13T00:00:00"/>
    <x v="7"/>
    <x v="16"/>
    <x v="6"/>
    <s v="Spain"/>
    <x v="0"/>
    <x v="11"/>
    <n v="19175"/>
    <n v="18567"/>
  </r>
  <r>
    <s v="ORD01313"/>
    <d v="2025-07-31T00:00:00"/>
    <x v="0"/>
    <x v="12"/>
    <x v="0"/>
    <s v="Singapore"/>
    <x v="4"/>
    <x v="3"/>
    <n v="19992"/>
    <n v="21003"/>
  </r>
  <r>
    <s v="ORD01314"/>
    <d v="2025-05-30T00:00:00"/>
    <x v="8"/>
    <x v="24"/>
    <x v="1"/>
    <s v="Canada"/>
    <x v="4"/>
    <x v="21"/>
    <n v="26237"/>
    <n v="22856"/>
  </r>
  <r>
    <s v="ORD01315"/>
    <d v="2025-12-19T00:00:00"/>
    <x v="10"/>
    <x v="21"/>
    <x v="2"/>
    <s v="UK"/>
    <x v="11"/>
    <x v="11"/>
    <n v="19261"/>
    <n v="20069"/>
  </r>
  <r>
    <s v="ORD01316"/>
    <d v="2025-10-26T00:00:00"/>
    <x v="4"/>
    <x v="50"/>
    <x v="0"/>
    <s v="USA"/>
    <x v="11"/>
    <x v="3"/>
    <n v="19387"/>
    <n v="13890"/>
  </r>
  <r>
    <s v="ORD01317"/>
    <d v="2025-11-28T00:00:00"/>
    <x v="2"/>
    <x v="11"/>
    <x v="0"/>
    <s v="Spain"/>
    <x v="18"/>
    <x v="15"/>
    <n v="22473"/>
    <n v="28889"/>
  </r>
  <r>
    <s v="ORD01318"/>
    <d v="2025-06-01T00:00:00"/>
    <x v="5"/>
    <x v="24"/>
    <x v="4"/>
    <s v="South Africa"/>
    <x v="48"/>
    <x v="1"/>
    <n v="38053"/>
    <n v="31923"/>
  </r>
  <r>
    <s v="ORD01319"/>
    <d v="2025-06-03T00:00:00"/>
    <x v="5"/>
    <x v="41"/>
    <x v="2"/>
    <s v="France"/>
    <x v="40"/>
    <x v="5"/>
    <n v="33961"/>
    <n v="36456"/>
  </r>
  <r>
    <s v="ORD01320"/>
    <d v="2025-08-26T00:00:00"/>
    <x v="11"/>
    <x v="28"/>
    <x v="6"/>
    <s v="Mexico"/>
    <x v="18"/>
    <x v="20"/>
    <n v="31240"/>
    <n v="21967"/>
  </r>
  <r>
    <s v="ORD01321"/>
    <d v="2025-04-24T00:00:00"/>
    <x v="7"/>
    <x v="38"/>
    <x v="6"/>
    <s v="Germany"/>
    <x v="18"/>
    <x v="19"/>
    <n v="34555"/>
    <n v="30951"/>
  </r>
  <r>
    <s v="ORD01322"/>
    <d v="2025-01-05T00:00:00"/>
    <x v="1"/>
    <x v="5"/>
    <x v="5"/>
    <s v="USA"/>
    <x v="31"/>
    <x v="28"/>
    <n v="29240"/>
    <n v="25470"/>
  </r>
  <r>
    <s v="ORD01323"/>
    <d v="2025-06-10T00:00:00"/>
    <x v="5"/>
    <x v="40"/>
    <x v="6"/>
    <s v="UAE"/>
    <x v="34"/>
    <x v="29"/>
    <n v="35057"/>
    <n v="30062"/>
  </r>
  <r>
    <s v="ORD01324"/>
    <d v="2025-09-18T00:00:00"/>
    <x v="3"/>
    <x v="8"/>
    <x v="2"/>
    <s v="Russia"/>
    <x v="27"/>
    <x v="24"/>
    <n v="28010"/>
    <n v="33163"/>
  </r>
  <r>
    <s v="ORD01325"/>
    <d v="2025-02-15T00:00:00"/>
    <x v="6"/>
    <x v="29"/>
    <x v="2"/>
    <s v="Germany"/>
    <x v="39"/>
    <x v="22"/>
    <n v="17794"/>
    <n v="20713"/>
  </r>
  <r>
    <s v="ORD01326"/>
    <d v="2025-09-17T00:00:00"/>
    <x v="3"/>
    <x v="8"/>
    <x v="6"/>
    <s v="Malaysia"/>
    <x v="45"/>
    <x v="7"/>
    <n v="37396"/>
    <n v="39595"/>
  </r>
  <r>
    <s v="ORD01327"/>
    <d v="2025-07-13T00:00:00"/>
    <x v="0"/>
    <x v="47"/>
    <x v="0"/>
    <s v="UK"/>
    <x v="38"/>
    <x v="28"/>
    <n v="25812"/>
    <n v="29187"/>
  </r>
  <r>
    <s v="ORD01328"/>
    <d v="2025-07-10T00:00:00"/>
    <x v="0"/>
    <x v="47"/>
    <x v="4"/>
    <s v="Singapore"/>
    <x v="15"/>
    <x v="17"/>
    <n v="39813"/>
    <n v="45868"/>
  </r>
  <r>
    <s v="ORD01329"/>
    <d v="2025-06-25T00:00:00"/>
    <x v="5"/>
    <x v="36"/>
    <x v="4"/>
    <s v="UK"/>
    <x v="13"/>
    <x v="1"/>
    <n v="19536"/>
    <n v="20206"/>
  </r>
  <r>
    <s v="ORD01330"/>
    <d v="2025-07-01T00:00:00"/>
    <x v="0"/>
    <x v="37"/>
    <x v="0"/>
    <s v="UAE"/>
    <x v="16"/>
    <x v="6"/>
    <n v="25342"/>
    <n v="27648"/>
  </r>
  <r>
    <s v="ORD01331"/>
    <d v="2025-04-21T00:00:00"/>
    <x v="7"/>
    <x v="38"/>
    <x v="1"/>
    <s v="Germany"/>
    <x v="34"/>
    <x v="7"/>
    <n v="37371"/>
    <n v="30798"/>
  </r>
  <r>
    <s v="ORD01332"/>
    <d v="2025-04-06T00:00:00"/>
    <x v="7"/>
    <x v="34"/>
    <x v="4"/>
    <s v="Italy"/>
    <x v="10"/>
    <x v="13"/>
    <n v="36419"/>
    <n v="36867"/>
  </r>
  <r>
    <s v="ORD01333"/>
    <d v="2025-11-05T00:00:00"/>
    <x v="2"/>
    <x v="51"/>
    <x v="1"/>
    <s v="Malaysia"/>
    <x v="12"/>
    <x v="11"/>
    <n v="18516"/>
    <n v="20531"/>
  </r>
  <r>
    <s v="ORD01334"/>
    <d v="2025-05-17T00:00:00"/>
    <x v="8"/>
    <x v="17"/>
    <x v="3"/>
    <s v="France"/>
    <x v="1"/>
    <x v="0"/>
    <n v="29994"/>
    <n v="36785"/>
  </r>
  <r>
    <s v="ORD01335"/>
    <d v="2025-07-20T00:00:00"/>
    <x v="0"/>
    <x v="14"/>
    <x v="0"/>
    <s v="Malaysia"/>
    <x v="6"/>
    <x v="13"/>
    <n v="37180"/>
    <n v="33849"/>
  </r>
  <r>
    <s v="ORD01336"/>
    <d v="2025-07-08T00:00:00"/>
    <x v="0"/>
    <x v="47"/>
    <x v="3"/>
    <s v="India"/>
    <x v="27"/>
    <x v="8"/>
    <n v="16001"/>
    <n v="20692"/>
  </r>
  <r>
    <s v="ORD01337"/>
    <d v="2025-10-23T00:00:00"/>
    <x v="4"/>
    <x v="50"/>
    <x v="1"/>
    <s v="Thailand"/>
    <x v="28"/>
    <x v="22"/>
    <n v="17280"/>
    <n v="14139"/>
  </r>
  <r>
    <s v="ORD01338"/>
    <d v="2025-02-19T00:00:00"/>
    <x v="6"/>
    <x v="15"/>
    <x v="2"/>
    <s v="Mexico"/>
    <x v="27"/>
    <x v="26"/>
    <n v="29817"/>
    <n v="30098"/>
  </r>
  <r>
    <s v="ORD01339"/>
    <d v="2025-04-13T00:00:00"/>
    <x v="7"/>
    <x v="16"/>
    <x v="2"/>
    <s v="Germany"/>
    <x v="28"/>
    <x v="17"/>
    <n v="16973"/>
    <n v="19759"/>
  </r>
  <r>
    <s v="ORD01340"/>
    <d v="2025-07-14T00:00:00"/>
    <x v="0"/>
    <x v="14"/>
    <x v="4"/>
    <s v="UK"/>
    <x v="41"/>
    <x v="1"/>
    <n v="31969"/>
    <n v="37766"/>
  </r>
  <r>
    <s v="ORD01341"/>
    <d v="2025-02-21T00:00:00"/>
    <x v="6"/>
    <x v="15"/>
    <x v="1"/>
    <s v="Singapore"/>
    <x v="0"/>
    <x v="14"/>
    <n v="33148"/>
    <n v="31209"/>
  </r>
  <r>
    <s v="ORD01342"/>
    <d v="2025-01-05T00:00:00"/>
    <x v="1"/>
    <x v="5"/>
    <x v="1"/>
    <s v="Turkey"/>
    <x v="28"/>
    <x v="13"/>
    <n v="24313"/>
    <n v="24808"/>
  </r>
  <r>
    <s v="ORD01343"/>
    <d v="2025-10-19T00:00:00"/>
    <x v="4"/>
    <x v="10"/>
    <x v="6"/>
    <s v="Japan"/>
    <x v="47"/>
    <x v="11"/>
    <n v="17963"/>
    <n v="20228"/>
  </r>
  <r>
    <s v="ORD01344"/>
    <d v="2025-04-01T00:00:00"/>
    <x v="7"/>
    <x v="34"/>
    <x v="6"/>
    <s v="Brazil"/>
    <x v="3"/>
    <x v="8"/>
    <n v="19404"/>
    <n v="14699"/>
  </r>
  <r>
    <s v="ORD01345"/>
    <d v="2025-06-11T00:00:00"/>
    <x v="5"/>
    <x v="40"/>
    <x v="5"/>
    <s v="USA"/>
    <x v="38"/>
    <x v="16"/>
    <n v="19793"/>
    <n v="23323"/>
  </r>
  <r>
    <s v="ORD01346"/>
    <d v="2025-03-26T00:00:00"/>
    <x v="9"/>
    <x v="33"/>
    <x v="3"/>
    <s v="USA"/>
    <x v="6"/>
    <x v="23"/>
    <n v="30926"/>
    <n v="38226"/>
  </r>
  <r>
    <s v="ORD01347"/>
    <d v="2025-04-11T00:00:00"/>
    <x v="7"/>
    <x v="16"/>
    <x v="2"/>
    <s v="China"/>
    <x v="30"/>
    <x v="13"/>
    <n v="17919"/>
    <n v="13083"/>
  </r>
  <r>
    <s v="ORD01348"/>
    <d v="2025-01-30T00:00:00"/>
    <x v="1"/>
    <x v="3"/>
    <x v="0"/>
    <s v="Italy"/>
    <x v="5"/>
    <x v="17"/>
    <n v="39461"/>
    <n v="45260"/>
  </r>
  <r>
    <s v="ORD01349"/>
    <d v="2025-03-16T00:00:00"/>
    <x v="9"/>
    <x v="19"/>
    <x v="4"/>
    <s v="China"/>
    <x v="42"/>
    <x v="9"/>
    <n v="24743"/>
    <n v="18318"/>
  </r>
  <r>
    <s v="ORD01350"/>
    <d v="2025-02-18T00:00:00"/>
    <x v="6"/>
    <x v="15"/>
    <x v="2"/>
    <s v="USA"/>
    <x v="6"/>
    <x v="21"/>
    <n v="20721"/>
    <n v="15206"/>
  </r>
  <r>
    <s v="ORD01351"/>
    <d v="2025-08-12T00:00:00"/>
    <x v="11"/>
    <x v="30"/>
    <x v="1"/>
    <s v="South Africa"/>
    <x v="20"/>
    <x v="19"/>
    <n v="30817"/>
    <n v="21923"/>
  </r>
  <r>
    <s v="ORD01352"/>
    <d v="2025-02-16T00:00:00"/>
    <x v="6"/>
    <x v="29"/>
    <x v="1"/>
    <s v="UAE"/>
    <x v="31"/>
    <x v="7"/>
    <n v="16271"/>
    <n v="12328"/>
  </r>
  <r>
    <s v="ORD01353"/>
    <d v="2025-12-12T00:00:00"/>
    <x v="10"/>
    <x v="32"/>
    <x v="5"/>
    <s v="India"/>
    <x v="30"/>
    <x v="18"/>
    <n v="25368"/>
    <n v="31926"/>
  </r>
  <r>
    <s v="ORD01354"/>
    <d v="2025-10-08T00:00:00"/>
    <x v="4"/>
    <x v="45"/>
    <x v="1"/>
    <s v="South Africa"/>
    <x v="9"/>
    <x v="3"/>
    <n v="25075"/>
    <n v="29630"/>
  </r>
  <r>
    <s v="ORD01355"/>
    <d v="2025-01-15T00:00:00"/>
    <x v="1"/>
    <x v="1"/>
    <x v="1"/>
    <s v="Italy"/>
    <x v="32"/>
    <x v="8"/>
    <n v="24600"/>
    <n v="22154"/>
  </r>
  <r>
    <s v="ORD01356"/>
    <d v="2025-10-14T00:00:00"/>
    <x v="4"/>
    <x v="10"/>
    <x v="2"/>
    <s v="UK"/>
    <x v="45"/>
    <x v="28"/>
    <n v="30779"/>
    <n v="31730"/>
  </r>
  <r>
    <s v="ORD01357"/>
    <d v="2025-10-13T00:00:00"/>
    <x v="4"/>
    <x v="10"/>
    <x v="2"/>
    <s v="South Africa"/>
    <x v="23"/>
    <x v="27"/>
    <n v="22501"/>
    <n v="21153"/>
  </r>
  <r>
    <s v="ORD01358"/>
    <d v="2025-06-30T00:00:00"/>
    <x v="5"/>
    <x v="37"/>
    <x v="5"/>
    <s v="UK"/>
    <x v="28"/>
    <x v="26"/>
    <n v="16640"/>
    <n v="12330"/>
  </r>
  <r>
    <s v="ORD01359"/>
    <d v="2025-02-15T00:00:00"/>
    <x v="6"/>
    <x v="29"/>
    <x v="1"/>
    <s v="India"/>
    <x v="26"/>
    <x v="18"/>
    <n v="27368"/>
    <n v="28824"/>
  </r>
  <r>
    <s v="ORD01360"/>
    <d v="2025-12-17T00:00:00"/>
    <x v="10"/>
    <x v="21"/>
    <x v="5"/>
    <s v="Italy"/>
    <x v="15"/>
    <x v="2"/>
    <n v="28891"/>
    <n v="21951"/>
  </r>
  <r>
    <s v="ORD01361"/>
    <d v="2025-12-29T00:00:00"/>
    <x v="10"/>
    <x v="5"/>
    <x v="6"/>
    <s v="Malaysia"/>
    <x v="4"/>
    <x v="21"/>
    <n v="35288"/>
    <n v="29265"/>
  </r>
  <r>
    <s v="ORD01362"/>
    <d v="2025-03-15T00:00:00"/>
    <x v="9"/>
    <x v="19"/>
    <x v="1"/>
    <s v="South Africa"/>
    <x v="15"/>
    <x v="27"/>
    <n v="37004"/>
    <n v="42525"/>
  </r>
  <r>
    <s v="ORD01363"/>
    <d v="2025-05-29T00:00:00"/>
    <x v="8"/>
    <x v="24"/>
    <x v="3"/>
    <s v="France"/>
    <x v="25"/>
    <x v="13"/>
    <n v="16603"/>
    <n v="16995"/>
  </r>
  <r>
    <s v="ORD01364"/>
    <d v="2025-05-20T00:00:00"/>
    <x v="8"/>
    <x v="26"/>
    <x v="3"/>
    <s v="Germany"/>
    <x v="36"/>
    <x v="27"/>
    <n v="28832"/>
    <n v="20872"/>
  </r>
  <r>
    <s v="ORD01365"/>
    <d v="2025-09-30T00:00:00"/>
    <x v="3"/>
    <x v="49"/>
    <x v="2"/>
    <s v="Australia"/>
    <x v="1"/>
    <x v="27"/>
    <n v="20586"/>
    <n v="22628"/>
  </r>
  <r>
    <s v="ORD01366"/>
    <d v="2025-09-20T00:00:00"/>
    <x v="3"/>
    <x v="8"/>
    <x v="3"/>
    <s v="China"/>
    <x v="20"/>
    <x v="9"/>
    <n v="19551"/>
    <n v="16837"/>
  </r>
  <r>
    <s v="ORD01367"/>
    <d v="2025-09-02T00:00:00"/>
    <x v="3"/>
    <x v="4"/>
    <x v="6"/>
    <s v="UK"/>
    <x v="33"/>
    <x v="29"/>
    <n v="21102"/>
    <n v="15705"/>
  </r>
  <r>
    <s v="ORD01368"/>
    <d v="2025-03-15T00:00:00"/>
    <x v="9"/>
    <x v="19"/>
    <x v="6"/>
    <s v="Thailand"/>
    <x v="41"/>
    <x v="23"/>
    <n v="35919"/>
    <n v="37840"/>
  </r>
  <r>
    <s v="ORD01369"/>
    <d v="2025-11-26T00:00:00"/>
    <x v="2"/>
    <x v="11"/>
    <x v="1"/>
    <s v="Germany"/>
    <x v="17"/>
    <x v="3"/>
    <n v="17469"/>
    <n v="14256"/>
  </r>
  <r>
    <s v="ORD01370"/>
    <d v="2025-06-19T00:00:00"/>
    <x v="5"/>
    <x v="13"/>
    <x v="0"/>
    <s v="Australia"/>
    <x v="28"/>
    <x v="11"/>
    <n v="39943"/>
    <n v="47411"/>
  </r>
  <r>
    <s v="ORD01371"/>
    <d v="2025-02-01T00:00:00"/>
    <x v="6"/>
    <x v="3"/>
    <x v="1"/>
    <s v="UAE"/>
    <x v="33"/>
    <x v="4"/>
    <n v="21042"/>
    <n v="16791"/>
  </r>
  <r>
    <s v="ORD01372"/>
    <d v="2025-02-26T00:00:00"/>
    <x v="6"/>
    <x v="22"/>
    <x v="2"/>
    <s v="Australia"/>
    <x v="38"/>
    <x v="4"/>
    <n v="25762"/>
    <n v="29983"/>
  </r>
  <r>
    <s v="ORD01373"/>
    <d v="2025-02-01T00:00:00"/>
    <x v="6"/>
    <x v="3"/>
    <x v="0"/>
    <s v="UAE"/>
    <x v="42"/>
    <x v="18"/>
    <n v="27167"/>
    <n v="21543"/>
  </r>
  <r>
    <s v="ORD01374"/>
    <d v="2025-11-06T00:00:00"/>
    <x v="2"/>
    <x v="51"/>
    <x v="6"/>
    <s v="UK"/>
    <x v="48"/>
    <x v="27"/>
    <n v="20964"/>
    <n v="16085"/>
  </r>
  <r>
    <s v="ORD01375"/>
    <d v="2025-03-28T00:00:00"/>
    <x v="9"/>
    <x v="33"/>
    <x v="6"/>
    <s v="Italy"/>
    <x v="11"/>
    <x v="21"/>
    <n v="30133"/>
    <n v="37652"/>
  </r>
  <r>
    <s v="ORD01376"/>
    <d v="2025-07-16T00:00:00"/>
    <x v="0"/>
    <x v="14"/>
    <x v="1"/>
    <s v="Malaysia"/>
    <x v="32"/>
    <x v="5"/>
    <n v="29618"/>
    <n v="22800"/>
  </r>
  <r>
    <s v="ORD01377"/>
    <d v="2025-10-01T00:00:00"/>
    <x v="4"/>
    <x v="49"/>
    <x v="5"/>
    <s v="Singapore"/>
    <x v="47"/>
    <x v="18"/>
    <n v="17089"/>
    <n v="15288"/>
  </r>
  <r>
    <s v="ORD01378"/>
    <d v="2025-07-22T00:00:00"/>
    <x v="0"/>
    <x v="0"/>
    <x v="0"/>
    <s v="Brazil"/>
    <x v="21"/>
    <x v="28"/>
    <n v="15934"/>
    <n v="15757"/>
  </r>
  <r>
    <s v="ORD01379"/>
    <d v="2025-12-15T00:00:00"/>
    <x v="10"/>
    <x v="21"/>
    <x v="0"/>
    <s v="India"/>
    <x v="6"/>
    <x v="2"/>
    <n v="25820"/>
    <n v="33539"/>
  </r>
  <r>
    <s v="ORD01380"/>
    <d v="2025-11-23T00:00:00"/>
    <x v="2"/>
    <x v="9"/>
    <x v="0"/>
    <s v="France"/>
    <x v="0"/>
    <x v="27"/>
    <n v="35193"/>
    <n v="27364"/>
  </r>
  <r>
    <s v="ORD01381"/>
    <d v="2025-03-31T00:00:00"/>
    <x v="9"/>
    <x v="34"/>
    <x v="5"/>
    <s v="Russia"/>
    <x v="5"/>
    <x v="23"/>
    <n v="23809"/>
    <n v="24632"/>
  </r>
  <r>
    <s v="ORD01382"/>
    <d v="2025-11-07T00:00:00"/>
    <x v="2"/>
    <x v="51"/>
    <x v="4"/>
    <s v="Thailand"/>
    <x v="23"/>
    <x v="10"/>
    <n v="38791"/>
    <n v="37372"/>
  </r>
  <r>
    <s v="ORD01383"/>
    <d v="2025-08-26T00:00:00"/>
    <x v="11"/>
    <x v="28"/>
    <x v="0"/>
    <s v="Singapore"/>
    <x v="10"/>
    <x v="27"/>
    <n v="27795"/>
    <n v="35588"/>
  </r>
  <r>
    <s v="ORD01384"/>
    <d v="2025-06-29T00:00:00"/>
    <x v="5"/>
    <x v="36"/>
    <x v="6"/>
    <s v="Malaysia"/>
    <x v="17"/>
    <x v="9"/>
    <n v="20835"/>
    <n v="23972"/>
  </r>
  <r>
    <s v="ORD01385"/>
    <d v="2025-03-03T00:00:00"/>
    <x v="9"/>
    <x v="35"/>
    <x v="2"/>
    <s v="Japan"/>
    <x v="9"/>
    <x v="7"/>
    <n v="38468"/>
    <n v="36675"/>
  </r>
  <r>
    <s v="ORD01386"/>
    <d v="2025-07-18T00:00:00"/>
    <x v="0"/>
    <x v="14"/>
    <x v="4"/>
    <s v="India"/>
    <x v="21"/>
    <x v="4"/>
    <n v="18958"/>
    <n v="14674"/>
  </r>
  <r>
    <s v="ORD01387"/>
    <d v="2025-12-03T00:00:00"/>
    <x v="10"/>
    <x v="43"/>
    <x v="6"/>
    <s v="South Africa"/>
    <x v="16"/>
    <x v="18"/>
    <n v="33447"/>
    <n v="43331"/>
  </r>
  <r>
    <s v="ORD01388"/>
    <d v="2025-01-23T00:00:00"/>
    <x v="1"/>
    <x v="7"/>
    <x v="4"/>
    <s v="USA"/>
    <x v="2"/>
    <x v="26"/>
    <n v="30701"/>
    <n v="32922"/>
  </r>
  <r>
    <s v="ORD01389"/>
    <d v="2025-12-25T00:00:00"/>
    <x v="10"/>
    <x v="42"/>
    <x v="1"/>
    <s v="Russia"/>
    <x v="35"/>
    <x v="0"/>
    <n v="19112"/>
    <n v="14382"/>
  </r>
  <r>
    <s v="ORD01390"/>
    <d v="2025-01-31T00:00:00"/>
    <x v="1"/>
    <x v="3"/>
    <x v="5"/>
    <s v="Germany"/>
    <x v="9"/>
    <x v="25"/>
    <n v="39231"/>
    <n v="30222"/>
  </r>
  <r>
    <s v="ORD01391"/>
    <d v="2025-10-27T00:00:00"/>
    <x v="4"/>
    <x v="2"/>
    <x v="4"/>
    <s v="Malaysia"/>
    <x v="11"/>
    <x v="24"/>
    <n v="20804"/>
    <n v="25525"/>
  </r>
  <r>
    <s v="ORD01392"/>
    <d v="2025-02-18T00:00:00"/>
    <x v="6"/>
    <x v="15"/>
    <x v="2"/>
    <s v="Thailand"/>
    <x v="30"/>
    <x v="23"/>
    <n v="18858"/>
    <n v="15056"/>
  </r>
  <r>
    <s v="ORD01393"/>
    <d v="2025-10-29T00:00:00"/>
    <x v="4"/>
    <x v="2"/>
    <x v="0"/>
    <s v="Turkey"/>
    <x v="4"/>
    <x v="0"/>
    <n v="29447"/>
    <n v="35381"/>
  </r>
  <r>
    <s v="ORD01394"/>
    <d v="2025-07-14T00:00:00"/>
    <x v="0"/>
    <x v="14"/>
    <x v="5"/>
    <s v="Japan"/>
    <x v="36"/>
    <x v="1"/>
    <n v="35772"/>
    <n v="29539"/>
  </r>
  <r>
    <s v="ORD01395"/>
    <d v="2025-07-15T00:00:00"/>
    <x v="0"/>
    <x v="14"/>
    <x v="3"/>
    <s v="Russia"/>
    <x v="40"/>
    <x v="13"/>
    <n v="35727"/>
    <n v="41563"/>
  </r>
  <r>
    <s v="ORD01396"/>
    <d v="2025-12-04T00:00:00"/>
    <x v="10"/>
    <x v="43"/>
    <x v="0"/>
    <s v="Spain"/>
    <x v="1"/>
    <x v="1"/>
    <n v="30772"/>
    <n v="39025"/>
  </r>
  <r>
    <s v="ORD01397"/>
    <d v="2025-10-20T00:00:00"/>
    <x v="4"/>
    <x v="50"/>
    <x v="6"/>
    <s v="Japan"/>
    <x v="43"/>
    <x v="3"/>
    <n v="20791"/>
    <n v="19446"/>
  </r>
  <r>
    <s v="ORD01398"/>
    <d v="2025-01-05T00:00:00"/>
    <x v="1"/>
    <x v="5"/>
    <x v="5"/>
    <s v="Australia"/>
    <x v="4"/>
    <x v="19"/>
    <n v="37412"/>
    <n v="43042"/>
  </r>
  <r>
    <s v="ORD01399"/>
    <d v="2025-12-02T00:00:00"/>
    <x v="10"/>
    <x v="43"/>
    <x v="4"/>
    <s v="South Africa"/>
    <x v="43"/>
    <x v="2"/>
    <n v="36526"/>
    <n v="45060"/>
  </r>
  <r>
    <s v="ORD01400"/>
    <d v="2025-01-28T00:00:00"/>
    <x v="1"/>
    <x v="3"/>
    <x v="0"/>
    <s v="India"/>
    <x v="40"/>
    <x v="20"/>
    <n v="22418"/>
    <n v="28283"/>
  </r>
  <r>
    <s v="ORD01401"/>
    <d v="2025-10-09T00:00:00"/>
    <x v="4"/>
    <x v="45"/>
    <x v="5"/>
    <s v="Australia"/>
    <x v="8"/>
    <x v="18"/>
    <n v="24847"/>
    <n v="19347"/>
  </r>
  <r>
    <s v="ORD01402"/>
    <d v="2025-11-15T00:00:00"/>
    <x v="2"/>
    <x v="44"/>
    <x v="3"/>
    <s v="Canada"/>
    <x v="23"/>
    <x v="14"/>
    <n v="18949"/>
    <n v="16910"/>
  </r>
  <r>
    <s v="ORD01403"/>
    <d v="2025-01-26T00:00:00"/>
    <x v="1"/>
    <x v="7"/>
    <x v="0"/>
    <s v="India"/>
    <x v="39"/>
    <x v="19"/>
    <n v="16430"/>
    <n v="18050"/>
  </r>
  <r>
    <s v="ORD01404"/>
    <d v="2025-04-16T00:00:00"/>
    <x v="7"/>
    <x v="20"/>
    <x v="3"/>
    <s v="USA"/>
    <x v="8"/>
    <x v="24"/>
    <n v="28844"/>
    <n v="30460"/>
  </r>
  <r>
    <s v="ORD01405"/>
    <d v="2025-09-05T00:00:00"/>
    <x v="3"/>
    <x v="4"/>
    <x v="1"/>
    <s v="Turkey"/>
    <x v="5"/>
    <x v="29"/>
    <n v="21935"/>
    <n v="15548"/>
  </r>
  <r>
    <s v="ORD01406"/>
    <d v="2025-04-15T00:00:00"/>
    <x v="7"/>
    <x v="20"/>
    <x v="2"/>
    <s v="Japan"/>
    <x v="27"/>
    <x v="14"/>
    <n v="32346"/>
    <n v="35582"/>
  </r>
  <r>
    <s v="ORD01407"/>
    <d v="2025-09-08T00:00:00"/>
    <x v="3"/>
    <x v="31"/>
    <x v="3"/>
    <s v="USA"/>
    <x v="37"/>
    <x v="11"/>
    <n v="37201"/>
    <n v="34093"/>
  </r>
  <r>
    <s v="ORD01408"/>
    <d v="2025-05-25T00:00:00"/>
    <x v="8"/>
    <x v="26"/>
    <x v="4"/>
    <s v="Malaysia"/>
    <x v="48"/>
    <x v="7"/>
    <n v="21636"/>
    <n v="18444"/>
  </r>
  <r>
    <s v="ORD01409"/>
    <d v="2025-07-19T00:00:00"/>
    <x v="0"/>
    <x v="14"/>
    <x v="1"/>
    <s v="France"/>
    <x v="14"/>
    <x v="19"/>
    <n v="39899"/>
    <n v="34117"/>
  </r>
  <r>
    <s v="ORD01410"/>
    <d v="2025-12-05T00:00:00"/>
    <x v="10"/>
    <x v="43"/>
    <x v="5"/>
    <s v="UAE"/>
    <x v="9"/>
    <x v="20"/>
    <n v="15840"/>
    <n v="16837"/>
  </r>
  <r>
    <s v="ORD01411"/>
    <d v="2025-01-31T00:00:00"/>
    <x v="1"/>
    <x v="3"/>
    <x v="1"/>
    <s v="Spain"/>
    <x v="21"/>
    <x v="18"/>
    <n v="27845"/>
    <n v="25085"/>
  </r>
  <r>
    <s v="ORD01412"/>
    <d v="2025-12-01T00:00:00"/>
    <x v="10"/>
    <x v="43"/>
    <x v="2"/>
    <s v="Canada"/>
    <x v="31"/>
    <x v="16"/>
    <n v="32683"/>
    <n v="35343"/>
  </r>
  <r>
    <s v="ORD01413"/>
    <d v="2025-04-06T00:00:00"/>
    <x v="7"/>
    <x v="34"/>
    <x v="3"/>
    <s v="Canada"/>
    <x v="36"/>
    <x v="5"/>
    <n v="17604"/>
    <n v="17814"/>
  </r>
  <r>
    <s v="ORD01414"/>
    <d v="2025-05-04T00:00:00"/>
    <x v="8"/>
    <x v="27"/>
    <x v="4"/>
    <s v="UK"/>
    <x v="22"/>
    <x v="23"/>
    <n v="26889"/>
    <n v="19988"/>
  </r>
  <r>
    <s v="ORD01415"/>
    <d v="2025-01-21T00:00:00"/>
    <x v="1"/>
    <x v="7"/>
    <x v="2"/>
    <s v="Malaysia"/>
    <x v="28"/>
    <x v="1"/>
    <n v="18032"/>
    <n v="15023"/>
  </r>
  <r>
    <s v="ORD01416"/>
    <d v="2025-09-25T00:00:00"/>
    <x v="3"/>
    <x v="25"/>
    <x v="6"/>
    <s v="UAE"/>
    <x v="16"/>
    <x v="24"/>
    <n v="20237"/>
    <n v="22470"/>
  </r>
  <r>
    <s v="ORD01417"/>
    <d v="2025-08-24T00:00:00"/>
    <x v="11"/>
    <x v="46"/>
    <x v="2"/>
    <s v="Thailand"/>
    <x v="12"/>
    <x v="4"/>
    <n v="25892"/>
    <n v="29918"/>
  </r>
  <r>
    <s v="ORD01418"/>
    <d v="2025-08-05T00:00:00"/>
    <x v="11"/>
    <x v="23"/>
    <x v="0"/>
    <s v="Japan"/>
    <x v="34"/>
    <x v="11"/>
    <n v="24171"/>
    <n v="19073"/>
  </r>
  <r>
    <s v="ORD01419"/>
    <d v="2025-10-12T00:00:00"/>
    <x v="4"/>
    <x v="45"/>
    <x v="2"/>
    <s v="Turkey"/>
    <x v="4"/>
    <x v="2"/>
    <n v="18393"/>
    <n v="18041"/>
  </r>
  <r>
    <s v="ORD01420"/>
    <d v="2025-10-20T00:00:00"/>
    <x v="4"/>
    <x v="50"/>
    <x v="0"/>
    <s v="Canada"/>
    <x v="47"/>
    <x v="10"/>
    <n v="28754"/>
    <n v="35389"/>
  </r>
  <r>
    <s v="ORD01421"/>
    <d v="2025-07-24T00:00:00"/>
    <x v="0"/>
    <x v="0"/>
    <x v="1"/>
    <s v="Japan"/>
    <x v="30"/>
    <x v="29"/>
    <n v="22745"/>
    <n v="24912"/>
  </r>
  <r>
    <s v="ORD01422"/>
    <d v="2025-02-01T00:00:00"/>
    <x v="6"/>
    <x v="3"/>
    <x v="6"/>
    <s v="Germany"/>
    <x v="14"/>
    <x v="5"/>
    <n v="23047"/>
    <n v="25502"/>
  </r>
  <r>
    <s v="ORD01423"/>
    <d v="2025-04-15T00:00:00"/>
    <x v="7"/>
    <x v="20"/>
    <x v="4"/>
    <s v="Germany"/>
    <x v="38"/>
    <x v="4"/>
    <n v="16442"/>
    <n v="18101"/>
  </r>
  <r>
    <s v="ORD01424"/>
    <d v="2025-02-28T00:00:00"/>
    <x v="6"/>
    <x v="22"/>
    <x v="4"/>
    <s v="Singapore"/>
    <x v="47"/>
    <x v="26"/>
    <n v="37907"/>
    <n v="44807"/>
  </r>
  <r>
    <s v="ORD01425"/>
    <d v="2025-10-04T00:00:00"/>
    <x v="4"/>
    <x v="49"/>
    <x v="1"/>
    <s v="India"/>
    <x v="46"/>
    <x v="2"/>
    <n v="39711"/>
    <n v="47052"/>
  </r>
  <r>
    <s v="ORD01426"/>
    <d v="2025-06-04T00:00:00"/>
    <x v="5"/>
    <x v="41"/>
    <x v="1"/>
    <s v="Spain"/>
    <x v="27"/>
    <x v="16"/>
    <n v="24372"/>
    <n v="19709"/>
  </r>
  <r>
    <s v="ORD01427"/>
    <d v="2025-08-08T00:00:00"/>
    <x v="11"/>
    <x v="23"/>
    <x v="2"/>
    <s v="Spain"/>
    <x v="12"/>
    <x v="29"/>
    <n v="25274"/>
    <n v="24928"/>
  </r>
  <r>
    <s v="ORD01428"/>
    <d v="2025-08-05T00:00:00"/>
    <x v="11"/>
    <x v="23"/>
    <x v="5"/>
    <s v="South Africa"/>
    <x v="43"/>
    <x v="0"/>
    <n v="37770"/>
    <n v="35875"/>
  </r>
  <r>
    <s v="ORD01429"/>
    <d v="2025-01-13T00:00:00"/>
    <x v="1"/>
    <x v="1"/>
    <x v="0"/>
    <s v="Italy"/>
    <x v="24"/>
    <x v="12"/>
    <n v="28160"/>
    <n v="28161"/>
  </r>
  <r>
    <s v="ORD01430"/>
    <d v="2025-01-20T00:00:00"/>
    <x v="1"/>
    <x v="7"/>
    <x v="2"/>
    <s v="South Africa"/>
    <x v="15"/>
    <x v="14"/>
    <n v="20079"/>
    <n v="16492"/>
  </r>
  <r>
    <s v="ORD01431"/>
    <d v="2025-04-28T00:00:00"/>
    <x v="7"/>
    <x v="27"/>
    <x v="6"/>
    <s v="Germany"/>
    <x v="31"/>
    <x v="2"/>
    <n v="27979"/>
    <n v="19683"/>
  </r>
  <r>
    <s v="ORD01432"/>
    <d v="2025-09-29T00:00:00"/>
    <x v="3"/>
    <x v="49"/>
    <x v="3"/>
    <s v="Japan"/>
    <x v="22"/>
    <x v="5"/>
    <n v="24240"/>
    <n v="30136"/>
  </r>
  <r>
    <s v="ORD01433"/>
    <d v="2025-10-21T00:00:00"/>
    <x v="4"/>
    <x v="50"/>
    <x v="4"/>
    <s v="France"/>
    <x v="36"/>
    <x v="15"/>
    <n v="17257"/>
    <n v="13966"/>
  </r>
  <r>
    <s v="ORD01434"/>
    <d v="2025-11-10T00:00:00"/>
    <x v="2"/>
    <x v="44"/>
    <x v="2"/>
    <s v="South Africa"/>
    <x v="48"/>
    <x v="5"/>
    <n v="16287"/>
    <n v="13811"/>
  </r>
  <r>
    <s v="ORD01435"/>
    <d v="2025-01-14T00:00:00"/>
    <x v="1"/>
    <x v="1"/>
    <x v="3"/>
    <s v="India"/>
    <x v="32"/>
    <x v="10"/>
    <n v="26708"/>
    <n v="22239"/>
  </r>
  <r>
    <s v="ORD01436"/>
    <d v="2025-01-13T00:00:00"/>
    <x v="1"/>
    <x v="1"/>
    <x v="2"/>
    <s v="Canada"/>
    <x v="30"/>
    <x v="19"/>
    <n v="18518"/>
    <n v="21687"/>
  </r>
  <r>
    <s v="ORD01437"/>
    <d v="2025-07-29T00:00:00"/>
    <x v="0"/>
    <x v="12"/>
    <x v="2"/>
    <s v="Turkey"/>
    <x v="26"/>
    <x v="5"/>
    <n v="39621"/>
    <n v="35664"/>
  </r>
  <r>
    <s v="ORD01438"/>
    <d v="2025-09-07T00:00:00"/>
    <x v="3"/>
    <x v="4"/>
    <x v="3"/>
    <s v="Turkey"/>
    <x v="33"/>
    <x v="19"/>
    <n v="23000"/>
    <n v="16387"/>
  </r>
  <r>
    <s v="ORD01439"/>
    <d v="2025-06-18T00:00:00"/>
    <x v="5"/>
    <x v="13"/>
    <x v="1"/>
    <s v="South Africa"/>
    <x v="16"/>
    <x v="15"/>
    <n v="25197"/>
    <n v="29922"/>
  </r>
  <r>
    <s v="ORD01440"/>
    <d v="2025-06-12T00:00:00"/>
    <x v="5"/>
    <x v="40"/>
    <x v="2"/>
    <s v="UK"/>
    <x v="36"/>
    <x v="28"/>
    <n v="17476"/>
    <n v="19757"/>
  </r>
  <r>
    <s v="ORD01441"/>
    <d v="2025-01-27T00:00:00"/>
    <x v="1"/>
    <x v="3"/>
    <x v="0"/>
    <s v="Brazil"/>
    <x v="38"/>
    <x v="8"/>
    <n v="28511"/>
    <n v="29701"/>
  </r>
  <r>
    <s v="ORD01442"/>
    <d v="2025-09-10T00:00:00"/>
    <x v="3"/>
    <x v="31"/>
    <x v="3"/>
    <s v="France"/>
    <x v="37"/>
    <x v="9"/>
    <n v="23072"/>
    <n v="22193"/>
  </r>
  <r>
    <s v="ORD01443"/>
    <d v="2025-04-02T00:00:00"/>
    <x v="7"/>
    <x v="34"/>
    <x v="0"/>
    <s v="Germany"/>
    <x v="21"/>
    <x v="14"/>
    <n v="20726"/>
    <n v="18366"/>
  </r>
  <r>
    <s v="ORD01444"/>
    <d v="2025-10-27T00:00:00"/>
    <x v="4"/>
    <x v="2"/>
    <x v="0"/>
    <s v="Italy"/>
    <x v="18"/>
    <x v="27"/>
    <n v="22304"/>
    <n v="27411"/>
  </r>
  <r>
    <s v="ORD01445"/>
    <d v="2025-04-19T00:00:00"/>
    <x v="7"/>
    <x v="20"/>
    <x v="2"/>
    <s v="UAE"/>
    <x v="21"/>
    <x v="4"/>
    <n v="15397"/>
    <n v="18637"/>
  </r>
  <r>
    <s v="ORD01446"/>
    <d v="2025-08-28T00:00:00"/>
    <x v="11"/>
    <x v="28"/>
    <x v="4"/>
    <s v="Italy"/>
    <x v="43"/>
    <x v="10"/>
    <n v="34136"/>
    <n v="37391"/>
  </r>
  <r>
    <s v="ORD01447"/>
    <d v="2025-07-05T00:00:00"/>
    <x v="0"/>
    <x v="37"/>
    <x v="1"/>
    <s v="Japan"/>
    <x v="19"/>
    <x v="2"/>
    <n v="27789"/>
    <n v="25178"/>
  </r>
  <r>
    <s v="ORD01448"/>
    <d v="2025-11-21T00:00:00"/>
    <x v="2"/>
    <x v="9"/>
    <x v="0"/>
    <s v="Canada"/>
    <x v="27"/>
    <x v="9"/>
    <n v="22662"/>
    <n v="17552"/>
  </r>
  <r>
    <s v="ORD01449"/>
    <d v="2025-07-21T00:00:00"/>
    <x v="0"/>
    <x v="0"/>
    <x v="0"/>
    <s v="Malaysia"/>
    <x v="15"/>
    <x v="19"/>
    <n v="28023"/>
    <n v="29756"/>
  </r>
  <r>
    <s v="ORD01450"/>
    <d v="2025-02-20T00:00:00"/>
    <x v="6"/>
    <x v="15"/>
    <x v="2"/>
    <s v="Japan"/>
    <x v="3"/>
    <x v="5"/>
    <n v="19464"/>
    <n v="15294"/>
  </r>
  <r>
    <s v="ORD01451"/>
    <d v="2025-05-17T00:00:00"/>
    <x v="8"/>
    <x v="17"/>
    <x v="4"/>
    <s v="South Africa"/>
    <x v="26"/>
    <x v="25"/>
    <n v="21341"/>
    <n v="20673"/>
  </r>
  <r>
    <s v="ORD01452"/>
    <d v="2025-07-26T00:00:00"/>
    <x v="0"/>
    <x v="0"/>
    <x v="2"/>
    <s v="Singapore"/>
    <x v="43"/>
    <x v="2"/>
    <n v="28484"/>
    <n v="29759"/>
  </r>
  <r>
    <s v="ORD01453"/>
    <d v="2025-11-04T00:00:00"/>
    <x v="2"/>
    <x v="51"/>
    <x v="5"/>
    <s v="UAE"/>
    <x v="46"/>
    <x v="15"/>
    <n v="23957"/>
    <n v="23809"/>
  </r>
  <r>
    <s v="ORD01454"/>
    <d v="2025-11-23T00:00:00"/>
    <x v="2"/>
    <x v="9"/>
    <x v="0"/>
    <s v="Turkey"/>
    <x v="24"/>
    <x v="24"/>
    <n v="36410"/>
    <n v="35033"/>
  </r>
  <r>
    <s v="ORD01455"/>
    <d v="2025-07-07T00:00:00"/>
    <x v="0"/>
    <x v="47"/>
    <x v="3"/>
    <s v="Mexico"/>
    <x v="44"/>
    <x v="5"/>
    <n v="25885"/>
    <n v="27743"/>
  </r>
  <r>
    <s v="ORD01456"/>
    <d v="2025-06-19T00:00:00"/>
    <x v="5"/>
    <x v="13"/>
    <x v="4"/>
    <s v="UAE"/>
    <x v="28"/>
    <x v="13"/>
    <n v="16435"/>
    <n v="12226"/>
  </r>
  <r>
    <s v="ORD01457"/>
    <d v="2025-10-07T00:00:00"/>
    <x v="4"/>
    <x v="45"/>
    <x v="2"/>
    <s v="India"/>
    <x v="24"/>
    <x v="27"/>
    <n v="35622"/>
    <n v="28847"/>
  </r>
  <r>
    <s v="ORD01458"/>
    <d v="2025-08-31T00:00:00"/>
    <x v="11"/>
    <x v="28"/>
    <x v="4"/>
    <s v="Turkey"/>
    <x v="38"/>
    <x v="12"/>
    <n v="22244"/>
    <n v="16008"/>
  </r>
  <r>
    <s v="ORD01459"/>
    <d v="2025-10-08T00:00:00"/>
    <x v="4"/>
    <x v="45"/>
    <x v="6"/>
    <s v="Singapore"/>
    <x v="8"/>
    <x v="25"/>
    <n v="31976"/>
    <n v="23618"/>
  </r>
  <r>
    <s v="ORD01460"/>
    <d v="2025-11-02T00:00:00"/>
    <x v="2"/>
    <x v="2"/>
    <x v="4"/>
    <s v="UAE"/>
    <x v="10"/>
    <x v="4"/>
    <n v="15081"/>
    <n v="13268"/>
  </r>
  <r>
    <s v="ORD01461"/>
    <d v="2025-01-10T00:00:00"/>
    <x v="1"/>
    <x v="6"/>
    <x v="3"/>
    <s v="Brazil"/>
    <x v="11"/>
    <x v="6"/>
    <n v="27917"/>
    <n v="29746"/>
  </r>
  <r>
    <s v="ORD01462"/>
    <d v="2025-02-09T00:00:00"/>
    <x v="6"/>
    <x v="48"/>
    <x v="6"/>
    <s v="Canada"/>
    <x v="38"/>
    <x v="14"/>
    <n v="25319"/>
    <n v="18742"/>
  </r>
  <r>
    <s v="ORD01463"/>
    <d v="2025-07-29T00:00:00"/>
    <x v="0"/>
    <x v="12"/>
    <x v="5"/>
    <s v="Australia"/>
    <x v="29"/>
    <x v="3"/>
    <n v="15908"/>
    <n v="17048"/>
  </r>
  <r>
    <s v="ORD01464"/>
    <d v="2025-11-13T00:00:00"/>
    <x v="2"/>
    <x v="44"/>
    <x v="3"/>
    <s v="UAE"/>
    <x v="13"/>
    <x v="23"/>
    <n v="22205"/>
    <n v="28018"/>
  </r>
  <r>
    <s v="ORD01465"/>
    <d v="2025-06-11T00:00:00"/>
    <x v="5"/>
    <x v="40"/>
    <x v="5"/>
    <s v="UAE"/>
    <x v="47"/>
    <x v="1"/>
    <n v="27804"/>
    <n v="21900"/>
  </r>
  <r>
    <s v="ORD01466"/>
    <d v="2025-05-02T00:00:00"/>
    <x v="8"/>
    <x v="27"/>
    <x v="2"/>
    <s v="Japan"/>
    <x v="11"/>
    <x v="12"/>
    <n v="34303"/>
    <n v="26168"/>
  </r>
  <r>
    <s v="ORD01467"/>
    <d v="2025-01-26T00:00:00"/>
    <x v="1"/>
    <x v="7"/>
    <x v="0"/>
    <s v="Australia"/>
    <x v="29"/>
    <x v="7"/>
    <n v="38270"/>
    <n v="35721"/>
  </r>
  <r>
    <s v="ORD01468"/>
    <d v="2025-01-25T00:00:00"/>
    <x v="1"/>
    <x v="7"/>
    <x v="5"/>
    <s v="Singapore"/>
    <x v="1"/>
    <x v="25"/>
    <n v="15483"/>
    <n v="17134"/>
  </r>
  <r>
    <s v="ORD01469"/>
    <d v="2025-09-10T00:00:00"/>
    <x v="3"/>
    <x v="31"/>
    <x v="1"/>
    <s v="South Africa"/>
    <x v="28"/>
    <x v="18"/>
    <n v="27700"/>
    <n v="24695"/>
  </r>
  <r>
    <s v="ORD01470"/>
    <d v="2025-11-13T00:00:00"/>
    <x v="2"/>
    <x v="44"/>
    <x v="3"/>
    <s v="Germany"/>
    <x v="31"/>
    <x v="5"/>
    <n v="15922"/>
    <n v="17889"/>
  </r>
  <r>
    <s v="ORD01471"/>
    <d v="2025-02-16T00:00:00"/>
    <x v="6"/>
    <x v="29"/>
    <x v="2"/>
    <s v="France"/>
    <x v="48"/>
    <x v="5"/>
    <n v="19380"/>
    <n v="15814"/>
  </r>
  <r>
    <s v="ORD01472"/>
    <d v="2025-07-24T00:00:00"/>
    <x v="0"/>
    <x v="0"/>
    <x v="4"/>
    <s v="Japan"/>
    <x v="32"/>
    <x v="17"/>
    <n v="25246"/>
    <n v="19191"/>
  </r>
  <r>
    <s v="ORD01473"/>
    <d v="2025-05-15T00:00:00"/>
    <x v="8"/>
    <x v="17"/>
    <x v="3"/>
    <s v="Thailand"/>
    <x v="30"/>
    <x v="26"/>
    <n v="26358"/>
    <n v="25327"/>
  </r>
  <r>
    <s v="ORD01474"/>
    <d v="2025-02-15T00:00:00"/>
    <x v="6"/>
    <x v="29"/>
    <x v="1"/>
    <s v="USA"/>
    <x v="17"/>
    <x v="25"/>
    <n v="19773"/>
    <n v="20865"/>
  </r>
  <r>
    <s v="ORD01475"/>
    <d v="2025-03-05T00:00:00"/>
    <x v="9"/>
    <x v="35"/>
    <x v="2"/>
    <s v="Germany"/>
    <x v="23"/>
    <x v="12"/>
    <n v="34825"/>
    <n v="24735"/>
  </r>
  <r>
    <s v="ORD01476"/>
    <d v="2025-07-05T00:00:00"/>
    <x v="0"/>
    <x v="37"/>
    <x v="3"/>
    <s v="France"/>
    <x v="1"/>
    <x v="13"/>
    <n v="19179"/>
    <n v="24448"/>
  </r>
  <r>
    <s v="ORD01477"/>
    <d v="2025-08-15T00:00:00"/>
    <x v="11"/>
    <x v="30"/>
    <x v="2"/>
    <s v="India"/>
    <x v="2"/>
    <x v="6"/>
    <n v="22276"/>
    <n v="16676"/>
  </r>
  <r>
    <s v="ORD01478"/>
    <d v="2025-04-01T00:00:00"/>
    <x v="7"/>
    <x v="34"/>
    <x v="3"/>
    <s v="France"/>
    <x v="23"/>
    <x v="27"/>
    <n v="20446"/>
    <n v="16050"/>
  </r>
  <r>
    <s v="ORD01479"/>
    <d v="2025-05-22T00:00:00"/>
    <x v="8"/>
    <x v="26"/>
    <x v="3"/>
    <s v="Italy"/>
    <x v="9"/>
    <x v="5"/>
    <n v="19524"/>
    <n v="14378"/>
  </r>
  <r>
    <s v="ORD01480"/>
    <d v="2025-02-09T00:00:00"/>
    <x v="6"/>
    <x v="48"/>
    <x v="1"/>
    <s v="Brazil"/>
    <x v="36"/>
    <x v="17"/>
    <n v="17823"/>
    <n v="15755"/>
  </r>
  <r>
    <s v="ORD01481"/>
    <d v="2025-09-13T00:00:00"/>
    <x v="3"/>
    <x v="31"/>
    <x v="6"/>
    <s v="France"/>
    <x v="35"/>
    <x v="24"/>
    <n v="22322"/>
    <n v="24076"/>
  </r>
  <r>
    <s v="ORD01482"/>
    <d v="2025-01-18T00:00:00"/>
    <x v="1"/>
    <x v="1"/>
    <x v="5"/>
    <s v="Mexico"/>
    <x v="44"/>
    <x v="12"/>
    <n v="30621"/>
    <n v="24598"/>
  </r>
  <r>
    <s v="ORD01483"/>
    <d v="2025-09-19T00:00:00"/>
    <x v="3"/>
    <x v="8"/>
    <x v="1"/>
    <s v="USA"/>
    <x v="10"/>
    <x v="7"/>
    <n v="34418"/>
    <n v="32130"/>
  </r>
  <r>
    <s v="ORD01484"/>
    <d v="2025-04-02T00:00:00"/>
    <x v="7"/>
    <x v="34"/>
    <x v="6"/>
    <s v="Russia"/>
    <x v="43"/>
    <x v="18"/>
    <n v="23668"/>
    <n v="27826"/>
  </r>
  <r>
    <s v="ORD01485"/>
    <d v="2025-04-17T00:00:00"/>
    <x v="7"/>
    <x v="20"/>
    <x v="6"/>
    <s v="Germany"/>
    <x v="8"/>
    <x v="4"/>
    <n v="18217"/>
    <n v="12827"/>
  </r>
  <r>
    <s v="ORD01486"/>
    <d v="2025-01-01T00:00:00"/>
    <x v="1"/>
    <x v="5"/>
    <x v="1"/>
    <s v="UK"/>
    <x v="3"/>
    <x v="19"/>
    <n v="36759"/>
    <n v="36531"/>
  </r>
  <r>
    <s v="ORD01487"/>
    <d v="2025-05-04T00:00:00"/>
    <x v="8"/>
    <x v="27"/>
    <x v="5"/>
    <s v="Italy"/>
    <x v="10"/>
    <x v="17"/>
    <n v="25982"/>
    <n v="28611"/>
  </r>
  <r>
    <s v="ORD01488"/>
    <d v="2025-03-23T00:00:00"/>
    <x v="9"/>
    <x v="39"/>
    <x v="3"/>
    <s v="Turkey"/>
    <x v="39"/>
    <x v="16"/>
    <n v="39909"/>
    <n v="28950"/>
  </r>
  <r>
    <s v="ORD01489"/>
    <d v="2025-03-29T00:00:00"/>
    <x v="9"/>
    <x v="33"/>
    <x v="5"/>
    <s v="Brazil"/>
    <x v="14"/>
    <x v="29"/>
    <n v="27212"/>
    <n v="34873"/>
  </r>
  <r>
    <s v="ORD01490"/>
    <d v="2025-12-09T00:00:00"/>
    <x v="10"/>
    <x v="32"/>
    <x v="3"/>
    <s v="Mexico"/>
    <x v="35"/>
    <x v="11"/>
    <n v="16053"/>
    <n v="16763"/>
  </r>
  <r>
    <s v="ORD01491"/>
    <d v="2025-02-17T00:00:00"/>
    <x v="6"/>
    <x v="15"/>
    <x v="2"/>
    <s v="Turkey"/>
    <x v="47"/>
    <x v="13"/>
    <n v="26312"/>
    <n v="29298"/>
  </r>
  <r>
    <s v="ORD01492"/>
    <d v="2025-08-18T00:00:00"/>
    <x v="11"/>
    <x v="46"/>
    <x v="5"/>
    <s v="Germany"/>
    <x v="35"/>
    <x v="8"/>
    <n v="25443"/>
    <n v="18666"/>
  </r>
  <r>
    <s v="ORD01493"/>
    <d v="2025-08-20T00:00:00"/>
    <x v="11"/>
    <x v="46"/>
    <x v="0"/>
    <s v="Brazil"/>
    <x v="31"/>
    <x v="20"/>
    <n v="18181"/>
    <n v="23458"/>
  </r>
  <r>
    <s v="ORD01494"/>
    <d v="2025-07-24T00:00:00"/>
    <x v="0"/>
    <x v="0"/>
    <x v="6"/>
    <s v="Singapore"/>
    <x v="44"/>
    <x v="13"/>
    <n v="35628"/>
    <n v="37836"/>
  </r>
  <r>
    <s v="ORD01495"/>
    <d v="2025-03-28T00:00:00"/>
    <x v="9"/>
    <x v="33"/>
    <x v="3"/>
    <s v="USA"/>
    <x v="45"/>
    <x v="17"/>
    <n v="20774"/>
    <n v="18274"/>
  </r>
  <r>
    <s v="ORD01496"/>
    <d v="2025-06-07T00:00:00"/>
    <x v="5"/>
    <x v="41"/>
    <x v="6"/>
    <s v="South Africa"/>
    <x v="22"/>
    <x v="4"/>
    <n v="20884"/>
    <n v="15987"/>
  </r>
  <r>
    <s v="ORD01497"/>
    <d v="2025-01-22T00:00:00"/>
    <x v="1"/>
    <x v="7"/>
    <x v="4"/>
    <s v="South Africa"/>
    <x v="40"/>
    <x v="3"/>
    <n v="35740"/>
    <n v="33913"/>
  </r>
  <r>
    <s v="ORD01498"/>
    <d v="2025-10-03T00:00:00"/>
    <x v="4"/>
    <x v="49"/>
    <x v="0"/>
    <s v="China"/>
    <x v="41"/>
    <x v="10"/>
    <n v="36466"/>
    <n v="43778"/>
  </r>
  <r>
    <s v="ORD01499"/>
    <d v="2025-04-28T00:00:00"/>
    <x v="7"/>
    <x v="27"/>
    <x v="6"/>
    <s v="Italy"/>
    <x v="17"/>
    <x v="27"/>
    <n v="34437"/>
    <n v="37553"/>
  </r>
  <r>
    <s v="ORD01500"/>
    <d v="2025-03-27T00:00:00"/>
    <x v="9"/>
    <x v="33"/>
    <x v="2"/>
    <s v="China"/>
    <x v="49"/>
    <x v="7"/>
    <n v="22697"/>
    <n v="28694"/>
  </r>
  <r>
    <s v="ORD01501"/>
    <d v="2025-01-22T00:00:00"/>
    <x v="1"/>
    <x v="7"/>
    <x v="5"/>
    <s v="UAE"/>
    <x v="34"/>
    <x v="7"/>
    <n v="36647"/>
    <n v="31710"/>
  </r>
  <r>
    <s v="ORD01502"/>
    <d v="2025-08-29T00:00:00"/>
    <x v="11"/>
    <x v="28"/>
    <x v="0"/>
    <s v="China"/>
    <x v="36"/>
    <x v="4"/>
    <n v="19690"/>
    <n v="23760"/>
  </r>
  <r>
    <s v="ORD01503"/>
    <d v="2025-05-04T00:00:00"/>
    <x v="8"/>
    <x v="27"/>
    <x v="2"/>
    <s v="China"/>
    <x v="9"/>
    <x v="23"/>
    <n v="27515"/>
    <n v="34133"/>
  </r>
  <r>
    <s v="ORD01504"/>
    <d v="2025-03-26T00:00:00"/>
    <x v="9"/>
    <x v="33"/>
    <x v="1"/>
    <s v="Thailand"/>
    <x v="35"/>
    <x v="28"/>
    <n v="39212"/>
    <n v="42944"/>
  </r>
  <r>
    <s v="ORD01505"/>
    <d v="2025-01-31T00:00:00"/>
    <x v="1"/>
    <x v="3"/>
    <x v="4"/>
    <s v="Russia"/>
    <x v="45"/>
    <x v="21"/>
    <n v="37726"/>
    <n v="26507"/>
  </r>
  <r>
    <s v="ORD01506"/>
    <d v="2025-02-22T00:00:00"/>
    <x v="6"/>
    <x v="15"/>
    <x v="5"/>
    <s v="UAE"/>
    <x v="44"/>
    <x v="9"/>
    <n v="37401"/>
    <n v="45261"/>
  </r>
  <r>
    <s v="ORD01507"/>
    <d v="2025-11-26T00:00:00"/>
    <x v="2"/>
    <x v="11"/>
    <x v="2"/>
    <s v="Japan"/>
    <x v="24"/>
    <x v="11"/>
    <n v="24568"/>
    <n v="25884"/>
  </r>
  <r>
    <s v="ORD01508"/>
    <d v="2025-11-08T00:00:00"/>
    <x v="2"/>
    <x v="51"/>
    <x v="3"/>
    <s v="India"/>
    <x v="9"/>
    <x v="6"/>
    <n v="19822"/>
    <n v="21093"/>
  </r>
  <r>
    <s v="ORD01509"/>
    <d v="2025-11-25T00:00:00"/>
    <x v="2"/>
    <x v="11"/>
    <x v="6"/>
    <s v="Russia"/>
    <x v="39"/>
    <x v="5"/>
    <n v="33852"/>
    <n v="35672"/>
  </r>
  <r>
    <s v="ORD01510"/>
    <d v="2025-09-21T00:00:00"/>
    <x v="3"/>
    <x v="8"/>
    <x v="1"/>
    <s v="Italy"/>
    <x v="18"/>
    <x v="13"/>
    <n v="27465"/>
    <n v="28937"/>
  </r>
  <r>
    <s v="ORD01511"/>
    <d v="2025-08-21T00:00:00"/>
    <x v="11"/>
    <x v="46"/>
    <x v="2"/>
    <s v="France"/>
    <x v="10"/>
    <x v="0"/>
    <n v="33509"/>
    <n v="27973"/>
  </r>
  <r>
    <s v="ORD01512"/>
    <d v="2025-06-16T00:00:00"/>
    <x v="5"/>
    <x v="13"/>
    <x v="3"/>
    <s v="South Africa"/>
    <x v="49"/>
    <x v="27"/>
    <n v="21695"/>
    <n v="22612"/>
  </r>
  <r>
    <s v="ORD01513"/>
    <d v="2025-03-05T00:00:00"/>
    <x v="9"/>
    <x v="35"/>
    <x v="4"/>
    <s v="Turkey"/>
    <x v="37"/>
    <x v="4"/>
    <n v="33829"/>
    <n v="31390"/>
  </r>
  <r>
    <s v="ORD01514"/>
    <d v="2025-12-17T00:00:00"/>
    <x v="10"/>
    <x v="21"/>
    <x v="2"/>
    <s v="South Africa"/>
    <x v="20"/>
    <x v="1"/>
    <n v="25141"/>
    <n v="20702"/>
  </r>
  <r>
    <s v="ORD01515"/>
    <d v="2025-06-13T00:00:00"/>
    <x v="5"/>
    <x v="40"/>
    <x v="5"/>
    <s v="Spain"/>
    <x v="41"/>
    <x v="22"/>
    <n v="39185"/>
    <n v="43014"/>
  </r>
  <r>
    <s v="ORD01516"/>
    <d v="2025-02-24T00:00:00"/>
    <x v="6"/>
    <x v="22"/>
    <x v="3"/>
    <s v="Australia"/>
    <x v="15"/>
    <x v="5"/>
    <n v="32018"/>
    <n v="30456"/>
  </r>
  <r>
    <s v="ORD01517"/>
    <d v="2025-02-03T00:00:00"/>
    <x v="6"/>
    <x v="48"/>
    <x v="6"/>
    <s v="China"/>
    <x v="3"/>
    <x v="7"/>
    <n v="26792"/>
    <n v="23241"/>
  </r>
  <r>
    <s v="ORD01518"/>
    <d v="2025-11-17T00:00:00"/>
    <x v="2"/>
    <x v="9"/>
    <x v="0"/>
    <s v="South Africa"/>
    <x v="34"/>
    <x v="2"/>
    <n v="21408"/>
    <n v="24721"/>
  </r>
  <r>
    <s v="ORD01519"/>
    <d v="2025-03-24T00:00:00"/>
    <x v="9"/>
    <x v="33"/>
    <x v="1"/>
    <s v="Russia"/>
    <x v="11"/>
    <x v="0"/>
    <n v="19150"/>
    <n v="22028"/>
  </r>
  <r>
    <s v="ORD01520"/>
    <d v="2025-08-29T00:00:00"/>
    <x v="11"/>
    <x v="28"/>
    <x v="1"/>
    <s v="Singapore"/>
    <x v="20"/>
    <x v="13"/>
    <n v="15253"/>
    <n v="19682"/>
  </r>
  <r>
    <s v="ORD01521"/>
    <d v="2025-04-04T00:00:00"/>
    <x v="7"/>
    <x v="34"/>
    <x v="2"/>
    <s v="UK"/>
    <x v="31"/>
    <x v="13"/>
    <n v="19471"/>
    <n v="22509"/>
  </r>
  <r>
    <s v="ORD01522"/>
    <d v="2025-06-05T00:00:00"/>
    <x v="5"/>
    <x v="41"/>
    <x v="2"/>
    <s v="Thailand"/>
    <x v="33"/>
    <x v="24"/>
    <n v="23533"/>
    <n v="18602"/>
  </r>
  <r>
    <s v="ORD01523"/>
    <d v="2025-10-12T00:00:00"/>
    <x v="4"/>
    <x v="45"/>
    <x v="3"/>
    <s v="Russia"/>
    <x v="14"/>
    <x v="17"/>
    <n v="37861"/>
    <n v="39522"/>
  </r>
  <r>
    <s v="ORD01524"/>
    <d v="2025-12-17T00:00:00"/>
    <x v="10"/>
    <x v="21"/>
    <x v="0"/>
    <s v="Australia"/>
    <x v="17"/>
    <x v="25"/>
    <n v="25916"/>
    <n v="24097"/>
  </r>
  <r>
    <s v="ORD01525"/>
    <d v="2025-03-28T00:00:00"/>
    <x v="9"/>
    <x v="33"/>
    <x v="6"/>
    <s v="South Africa"/>
    <x v="49"/>
    <x v="21"/>
    <n v="20795"/>
    <n v="16753"/>
  </r>
  <r>
    <s v="ORD01526"/>
    <d v="2025-04-04T00:00:00"/>
    <x v="7"/>
    <x v="34"/>
    <x v="2"/>
    <s v="UK"/>
    <x v="41"/>
    <x v="8"/>
    <n v="23622"/>
    <n v="20226"/>
  </r>
  <r>
    <s v="ORD01527"/>
    <d v="2025-05-02T00:00:00"/>
    <x v="8"/>
    <x v="27"/>
    <x v="4"/>
    <s v="Malaysia"/>
    <x v="41"/>
    <x v="26"/>
    <n v="35410"/>
    <n v="42346"/>
  </r>
  <r>
    <s v="ORD01528"/>
    <d v="2025-01-31T00:00:00"/>
    <x v="1"/>
    <x v="3"/>
    <x v="4"/>
    <s v="UAE"/>
    <x v="31"/>
    <x v="15"/>
    <n v="25096"/>
    <n v="26118"/>
  </r>
  <r>
    <s v="ORD01529"/>
    <d v="2025-01-09T00:00:00"/>
    <x v="1"/>
    <x v="6"/>
    <x v="4"/>
    <s v="Singapore"/>
    <x v="23"/>
    <x v="20"/>
    <n v="36749"/>
    <n v="44024"/>
  </r>
  <r>
    <s v="ORD01530"/>
    <d v="2025-11-12T00:00:00"/>
    <x v="2"/>
    <x v="44"/>
    <x v="6"/>
    <s v="UAE"/>
    <x v="48"/>
    <x v="22"/>
    <n v="29779"/>
    <n v="23661"/>
  </r>
  <r>
    <s v="ORD01531"/>
    <d v="2025-01-10T00:00:00"/>
    <x v="1"/>
    <x v="6"/>
    <x v="3"/>
    <s v="UK"/>
    <x v="20"/>
    <x v="1"/>
    <n v="28743"/>
    <n v="33562"/>
  </r>
  <r>
    <s v="ORD01532"/>
    <d v="2025-08-04T00:00:00"/>
    <x v="11"/>
    <x v="23"/>
    <x v="1"/>
    <s v="UK"/>
    <x v="16"/>
    <x v="1"/>
    <n v="28855"/>
    <n v="21190"/>
  </r>
  <r>
    <s v="ORD01533"/>
    <d v="2025-04-01T00:00:00"/>
    <x v="7"/>
    <x v="34"/>
    <x v="5"/>
    <s v="Italy"/>
    <x v="15"/>
    <x v="15"/>
    <n v="36454"/>
    <n v="26178"/>
  </r>
  <r>
    <s v="ORD01534"/>
    <d v="2025-11-26T00:00:00"/>
    <x v="2"/>
    <x v="11"/>
    <x v="5"/>
    <s v="UAE"/>
    <x v="41"/>
    <x v="27"/>
    <n v="35396"/>
    <n v="33635"/>
  </r>
  <r>
    <s v="ORD01535"/>
    <d v="2025-01-03T00:00:00"/>
    <x v="1"/>
    <x v="5"/>
    <x v="1"/>
    <s v="France"/>
    <x v="37"/>
    <x v="28"/>
    <n v="28838"/>
    <n v="37367"/>
  </r>
  <r>
    <s v="ORD01536"/>
    <d v="2025-04-21T00:00:00"/>
    <x v="7"/>
    <x v="38"/>
    <x v="4"/>
    <s v="Malaysia"/>
    <x v="38"/>
    <x v="19"/>
    <n v="26094"/>
    <n v="27157"/>
  </r>
  <r>
    <s v="ORD01537"/>
    <d v="2025-03-20T00:00:00"/>
    <x v="9"/>
    <x v="39"/>
    <x v="0"/>
    <s v="USA"/>
    <x v="43"/>
    <x v="9"/>
    <n v="16760"/>
    <n v="13275"/>
  </r>
  <r>
    <s v="ORD01538"/>
    <d v="2025-04-10T00:00:00"/>
    <x v="7"/>
    <x v="16"/>
    <x v="2"/>
    <s v="Malaysia"/>
    <x v="1"/>
    <x v="23"/>
    <n v="29438"/>
    <n v="28040"/>
  </r>
  <r>
    <s v="ORD01539"/>
    <d v="2025-03-18T00:00:00"/>
    <x v="9"/>
    <x v="39"/>
    <x v="1"/>
    <s v="Russia"/>
    <x v="0"/>
    <x v="2"/>
    <n v="33557"/>
    <n v="23920"/>
  </r>
  <r>
    <s v="ORD01540"/>
    <d v="2025-12-15T00:00:00"/>
    <x v="10"/>
    <x v="21"/>
    <x v="2"/>
    <s v="Australia"/>
    <x v="43"/>
    <x v="10"/>
    <n v="21573"/>
    <n v="19031"/>
  </r>
  <r>
    <s v="ORD01541"/>
    <d v="2025-11-24T00:00:00"/>
    <x v="2"/>
    <x v="11"/>
    <x v="5"/>
    <s v="France"/>
    <x v="48"/>
    <x v="29"/>
    <n v="27374"/>
    <n v="29858"/>
  </r>
  <r>
    <s v="ORD01542"/>
    <d v="2025-07-03T00:00:00"/>
    <x v="0"/>
    <x v="37"/>
    <x v="2"/>
    <s v="South Africa"/>
    <x v="24"/>
    <x v="1"/>
    <n v="20964"/>
    <n v="24544"/>
  </r>
  <r>
    <s v="ORD01543"/>
    <d v="2025-11-26T00:00:00"/>
    <x v="2"/>
    <x v="11"/>
    <x v="1"/>
    <s v="Malaysia"/>
    <x v="7"/>
    <x v="23"/>
    <n v="22001"/>
    <n v="18031"/>
  </r>
  <r>
    <s v="ORD01544"/>
    <d v="2025-12-22T00:00:00"/>
    <x v="10"/>
    <x v="42"/>
    <x v="4"/>
    <s v="Italy"/>
    <x v="31"/>
    <x v="3"/>
    <n v="24751"/>
    <n v="26186"/>
  </r>
  <r>
    <s v="ORD01545"/>
    <d v="2025-08-31T00:00:00"/>
    <x v="11"/>
    <x v="28"/>
    <x v="6"/>
    <s v="South Africa"/>
    <x v="11"/>
    <x v="20"/>
    <n v="16254"/>
    <n v="19257"/>
  </r>
  <r>
    <s v="ORD01546"/>
    <d v="2025-07-25T00:00:00"/>
    <x v="0"/>
    <x v="0"/>
    <x v="0"/>
    <s v="UAE"/>
    <x v="30"/>
    <x v="23"/>
    <n v="16915"/>
    <n v="13399"/>
  </r>
  <r>
    <s v="ORD01547"/>
    <d v="2025-11-07T00:00:00"/>
    <x v="2"/>
    <x v="51"/>
    <x v="0"/>
    <s v="Singapore"/>
    <x v="13"/>
    <x v="25"/>
    <n v="18393"/>
    <n v="17110"/>
  </r>
  <r>
    <s v="ORD01548"/>
    <d v="2025-02-02T00:00:00"/>
    <x v="6"/>
    <x v="3"/>
    <x v="6"/>
    <s v="Brazil"/>
    <x v="33"/>
    <x v="9"/>
    <n v="39157"/>
    <n v="35880"/>
  </r>
  <r>
    <s v="ORD01549"/>
    <d v="2025-05-05T00:00:00"/>
    <x v="8"/>
    <x v="18"/>
    <x v="3"/>
    <s v="Thailand"/>
    <x v="40"/>
    <x v="15"/>
    <n v="29151"/>
    <n v="24231"/>
  </r>
  <r>
    <s v="ORD01550"/>
    <d v="2025-05-19T00:00:00"/>
    <x v="8"/>
    <x v="26"/>
    <x v="5"/>
    <s v="Italy"/>
    <x v="32"/>
    <x v="27"/>
    <n v="30564"/>
    <n v="38384"/>
  </r>
  <r>
    <s v="ORD01551"/>
    <d v="2025-05-19T00:00:00"/>
    <x v="8"/>
    <x v="26"/>
    <x v="0"/>
    <s v="Singapore"/>
    <x v="9"/>
    <x v="5"/>
    <n v="17383"/>
    <n v="13422"/>
  </r>
  <r>
    <s v="ORD01552"/>
    <d v="2025-10-11T00:00:00"/>
    <x v="4"/>
    <x v="45"/>
    <x v="4"/>
    <s v="Spain"/>
    <x v="18"/>
    <x v="11"/>
    <n v="25038"/>
    <n v="19536"/>
  </r>
  <r>
    <s v="ORD01553"/>
    <d v="2025-09-06T00:00:00"/>
    <x v="3"/>
    <x v="4"/>
    <x v="1"/>
    <s v="Japan"/>
    <x v="35"/>
    <x v="8"/>
    <n v="29254"/>
    <n v="28876"/>
  </r>
  <r>
    <s v="ORD01554"/>
    <d v="2025-09-26T00:00:00"/>
    <x v="3"/>
    <x v="25"/>
    <x v="6"/>
    <s v="Russia"/>
    <x v="25"/>
    <x v="15"/>
    <n v="33948"/>
    <n v="37152"/>
  </r>
  <r>
    <s v="ORD01555"/>
    <d v="2025-03-13T00:00:00"/>
    <x v="9"/>
    <x v="19"/>
    <x v="6"/>
    <s v="Malaysia"/>
    <x v="40"/>
    <x v="17"/>
    <n v="38161"/>
    <n v="34737"/>
  </r>
  <r>
    <s v="ORD01556"/>
    <d v="2025-08-11T00:00:00"/>
    <x v="11"/>
    <x v="30"/>
    <x v="6"/>
    <s v="USA"/>
    <x v="20"/>
    <x v="28"/>
    <n v="21672"/>
    <n v="23952"/>
  </r>
  <r>
    <s v="ORD01557"/>
    <d v="2025-12-02T00:00:00"/>
    <x v="10"/>
    <x v="43"/>
    <x v="1"/>
    <s v="China"/>
    <x v="2"/>
    <x v="13"/>
    <n v="30123"/>
    <n v="36206"/>
  </r>
  <r>
    <s v="ORD01558"/>
    <d v="2025-05-10T00:00:00"/>
    <x v="8"/>
    <x v="18"/>
    <x v="1"/>
    <s v="Malaysia"/>
    <x v="24"/>
    <x v="2"/>
    <n v="28217"/>
    <n v="35763"/>
  </r>
  <r>
    <s v="ORD01559"/>
    <d v="2025-01-21T00:00:00"/>
    <x v="1"/>
    <x v="7"/>
    <x v="5"/>
    <s v="Singapore"/>
    <x v="33"/>
    <x v="6"/>
    <n v="19700"/>
    <n v="25183"/>
  </r>
  <r>
    <s v="ORD01560"/>
    <d v="2025-10-23T00:00:00"/>
    <x v="4"/>
    <x v="50"/>
    <x v="0"/>
    <s v="Russia"/>
    <x v="23"/>
    <x v="2"/>
    <n v="37003"/>
    <n v="33382"/>
  </r>
  <r>
    <s v="ORD01561"/>
    <d v="2025-02-11T00:00:00"/>
    <x v="6"/>
    <x v="29"/>
    <x v="3"/>
    <s v="China"/>
    <x v="25"/>
    <x v="21"/>
    <n v="30587"/>
    <n v="31953"/>
  </r>
  <r>
    <s v="ORD01562"/>
    <d v="2025-07-04T00:00:00"/>
    <x v="0"/>
    <x v="37"/>
    <x v="4"/>
    <s v="Canada"/>
    <x v="27"/>
    <x v="25"/>
    <n v="27460"/>
    <n v="26027"/>
  </r>
  <r>
    <s v="ORD01563"/>
    <d v="2025-03-04T00:00:00"/>
    <x v="9"/>
    <x v="35"/>
    <x v="1"/>
    <s v="Italy"/>
    <x v="36"/>
    <x v="18"/>
    <n v="39079"/>
    <n v="43664"/>
  </r>
  <r>
    <s v="ORD01564"/>
    <d v="2025-08-04T00:00:00"/>
    <x v="11"/>
    <x v="23"/>
    <x v="2"/>
    <s v="Spain"/>
    <x v="47"/>
    <x v="21"/>
    <n v="26203"/>
    <n v="22879"/>
  </r>
  <r>
    <s v="ORD01565"/>
    <d v="2025-04-04T00:00:00"/>
    <x v="7"/>
    <x v="34"/>
    <x v="0"/>
    <s v="UAE"/>
    <x v="34"/>
    <x v="11"/>
    <n v="26038"/>
    <n v="27389"/>
  </r>
  <r>
    <s v="ORD01566"/>
    <d v="2025-10-04T00:00:00"/>
    <x v="4"/>
    <x v="49"/>
    <x v="3"/>
    <s v="Japan"/>
    <x v="31"/>
    <x v="7"/>
    <n v="20193"/>
    <n v="20810"/>
  </r>
  <r>
    <s v="ORD01567"/>
    <d v="2025-01-12T00:00:00"/>
    <x v="1"/>
    <x v="6"/>
    <x v="6"/>
    <s v="UAE"/>
    <x v="35"/>
    <x v="23"/>
    <n v="24867"/>
    <n v="28072"/>
  </r>
  <r>
    <s v="ORD01568"/>
    <d v="2025-12-29T00:00:00"/>
    <x v="10"/>
    <x v="5"/>
    <x v="2"/>
    <s v="USA"/>
    <x v="30"/>
    <x v="10"/>
    <n v="39060"/>
    <n v="48260"/>
  </r>
  <r>
    <s v="ORD01569"/>
    <d v="2025-09-09T00:00:00"/>
    <x v="3"/>
    <x v="31"/>
    <x v="5"/>
    <s v="Canada"/>
    <x v="44"/>
    <x v="1"/>
    <n v="34978"/>
    <n v="33701"/>
  </r>
  <r>
    <s v="ORD01570"/>
    <d v="2025-07-01T00:00:00"/>
    <x v="0"/>
    <x v="37"/>
    <x v="6"/>
    <s v="Italy"/>
    <x v="16"/>
    <x v="7"/>
    <n v="19357"/>
    <n v="22881"/>
  </r>
  <r>
    <s v="ORD01571"/>
    <d v="2025-09-05T00:00:00"/>
    <x v="3"/>
    <x v="4"/>
    <x v="2"/>
    <s v="Singapore"/>
    <x v="11"/>
    <x v="15"/>
    <n v="18839"/>
    <n v="15865"/>
  </r>
  <r>
    <s v="ORD01572"/>
    <d v="2025-11-11T00:00:00"/>
    <x v="2"/>
    <x v="44"/>
    <x v="6"/>
    <s v="Singapore"/>
    <x v="3"/>
    <x v="7"/>
    <n v="39393"/>
    <n v="29888"/>
  </r>
  <r>
    <s v="ORD01573"/>
    <d v="2025-06-29T00:00:00"/>
    <x v="5"/>
    <x v="36"/>
    <x v="1"/>
    <s v="Japan"/>
    <x v="7"/>
    <x v="25"/>
    <n v="35846"/>
    <n v="35467"/>
  </r>
  <r>
    <s v="ORD01574"/>
    <d v="2025-03-05T00:00:00"/>
    <x v="9"/>
    <x v="35"/>
    <x v="6"/>
    <s v="Brazil"/>
    <x v="3"/>
    <x v="14"/>
    <n v="15692"/>
    <n v="16492"/>
  </r>
  <r>
    <s v="ORD01575"/>
    <d v="2025-07-20T00:00:00"/>
    <x v="0"/>
    <x v="14"/>
    <x v="5"/>
    <s v="Turkey"/>
    <x v="41"/>
    <x v="10"/>
    <n v="32821"/>
    <n v="40839"/>
  </r>
  <r>
    <s v="ORD01576"/>
    <d v="2025-08-21T00:00:00"/>
    <x v="11"/>
    <x v="46"/>
    <x v="3"/>
    <s v="France"/>
    <x v="49"/>
    <x v="15"/>
    <n v="23890"/>
    <n v="21049"/>
  </r>
  <r>
    <s v="ORD01577"/>
    <d v="2025-05-25T00:00:00"/>
    <x v="8"/>
    <x v="26"/>
    <x v="4"/>
    <s v="India"/>
    <x v="21"/>
    <x v="23"/>
    <n v="23064"/>
    <n v="23006"/>
  </r>
  <r>
    <s v="ORD01578"/>
    <d v="2025-03-28T00:00:00"/>
    <x v="9"/>
    <x v="33"/>
    <x v="3"/>
    <s v="France"/>
    <x v="2"/>
    <x v="10"/>
    <n v="37350"/>
    <n v="26232"/>
  </r>
  <r>
    <s v="ORD01579"/>
    <d v="2025-10-28T00:00:00"/>
    <x v="4"/>
    <x v="2"/>
    <x v="4"/>
    <s v="Australia"/>
    <x v="48"/>
    <x v="9"/>
    <n v="35317"/>
    <n v="40406"/>
  </r>
  <r>
    <s v="ORD01580"/>
    <d v="2025-07-25T00:00:00"/>
    <x v="0"/>
    <x v="0"/>
    <x v="3"/>
    <s v="China"/>
    <x v="48"/>
    <x v="8"/>
    <n v="31252"/>
    <n v="25095"/>
  </r>
  <r>
    <s v="ORD01581"/>
    <d v="2025-07-04T00:00:00"/>
    <x v="0"/>
    <x v="37"/>
    <x v="4"/>
    <s v="Spain"/>
    <x v="3"/>
    <x v="5"/>
    <n v="21851"/>
    <n v="27189"/>
  </r>
  <r>
    <s v="ORD01582"/>
    <d v="2025-04-11T00:00:00"/>
    <x v="7"/>
    <x v="16"/>
    <x v="3"/>
    <s v="China"/>
    <x v="35"/>
    <x v="4"/>
    <n v="33536"/>
    <n v="39410"/>
  </r>
  <r>
    <s v="ORD01583"/>
    <d v="2025-12-15T00:00:00"/>
    <x v="10"/>
    <x v="21"/>
    <x v="5"/>
    <s v="USA"/>
    <x v="49"/>
    <x v="4"/>
    <n v="37465"/>
    <n v="35311"/>
  </r>
  <r>
    <s v="ORD01584"/>
    <d v="2025-07-21T00:00:00"/>
    <x v="0"/>
    <x v="0"/>
    <x v="4"/>
    <s v="Brazil"/>
    <x v="36"/>
    <x v="7"/>
    <n v="17728"/>
    <n v="14380"/>
  </r>
  <r>
    <s v="ORD01585"/>
    <d v="2025-04-29T00:00:00"/>
    <x v="7"/>
    <x v="27"/>
    <x v="2"/>
    <s v="Turkey"/>
    <x v="0"/>
    <x v="3"/>
    <n v="15504"/>
    <n v="18629"/>
  </r>
  <r>
    <s v="ORD01586"/>
    <d v="2025-12-16T00:00:00"/>
    <x v="10"/>
    <x v="21"/>
    <x v="1"/>
    <s v="Japan"/>
    <x v="25"/>
    <x v="11"/>
    <n v="23873"/>
    <n v="30298"/>
  </r>
  <r>
    <s v="ORD01587"/>
    <d v="2025-10-16T00:00:00"/>
    <x v="4"/>
    <x v="10"/>
    <x v="6"/>
    <s v="South Africa"/>
    <x v="3"/>
    <x v="4"/>
    <n v="24588"/>
    <n v="31549"/>
  </r>
  <r>
    <s v="ORD01588"/>
    <d v="2025-07-17T00:00:00"/>
    <x v="0"/>
    <x v="14"/>
    <x v="2"/>
    <s v="Australia"/>
    <x v="17"/>
    <x v="23"/>
    <n v="18576"/>
    <n v="13935"/>
  </r>
  <r>
    <s v="ORD01589"/>
    <d v="2025-01-25T00:00:00"/>
    <x v="1"/>
    <x v="7"/>
    <x v="5"/>
    <s v="Russia"/>
    <x v="20"/>
    <x v="29"/>
    <n v="27292"/>
    <n v="33138"/>
  </r>
  <r>
    <s v="ORD01590"/>
    <d v="2025-02-27T00:00:00"/>
    <x v="6"/>
    <x v="22"/>
    <x v="1"/>
    <s v="UK"/>
    <x v="28"/>
    <x v="4"/>
    <n v="17114"/>
    <n v="17241"/>
  </r>
  <r>
    <s v="ORD01591"/>
    <d v="2025-02-13T00:00:00"/>
    <x v="6"/>
    <x v="29"/>
    <x v="0"/>
    <s v="Germany"/>
    <x v="1"/>
    <x v="15"/>
    <n v="33263"/>
    <n v="25989"/>
  </r>
  <r>
    <s v="ORD01592"/>
    <d v="2025-01-29T00:00:00"/>
    <x v="1"/>
    <x v="3"/>
    <x v="0"/>
    <s v="Japan"/>
    <x v="38"/>
    <x v="2"/>
    <n v="20981"/>
    <n v="20721"/>
  </r>
  <r>
    <s v="ORD01593"/>
    <d v="2025-11-10T00:00:00"/>
    <x v="2"/>
    <x v="44"/>
    <x v="4"/>
    <s v="UK"/>
    <x v="16"/>
    <x v="24"/>
    <n v="35682"/>
    <n v="29204"/>
  </r>
  <r>
    <s v="ORD01594"/>
    <d v="2025-10-04T00:00:00"/>
    <x v="4"/>
    <x v="49"/>
    <x v="1"/>
    <s v="France"/>
    <x v="6"/>
    <x v="2"/>
    <n v="38531"/>
    <n v="47703"/>
  </r>
  <r>
    <s v="ORD01595"/>
    <d v="2025-09-25T00:00:00"/>
    <x v="3"/>
    <x v="25"/>
    <x v="5"/>
    <s v="USA"/>
    <x v="39"/>
    <x v="15"/>
    <n v="18886"/>
    <n v="16009"/>
  </r>
  <r>
    <s v="ORD01596"/>
    <d v="2025-04-18T00:00:00"/>
    <x v="7"/>
    <x v="20"/>
    <x v="2"/>
    <s v="South Africa"/>
    <x v="17"/>
    <x v="3"/>
    <n v="23022"/>
    <n v="29513"/>
  </r>
  <r>
    <s v="ORD01597"/>
    <d v="2025-09-06T00:00:00"/>
    <x v="3"/>
    <x v="4"/>
    <x v="4"/>
    <s v="Canada"/>
    <x v="13"/>
    <x v="20"/>
    <n v="23089"/>
    <n v="17678"/>
  </r>
  <r>
    <s v="ORD01598"/>
    <d v="2025-10-20T00:00:00"/>
    <x v="4"/>
    <x v="50"/>
    <x v="3"/>
    <s v="Canada"/>
    <x v="35"/>
    <x v="15"/>
    <n v="31095"/>
    <n v="38637"/>
  </r>
  <r>
    <s v="ORD01599"/>
    <d v="2025-05-18T00:00:00"/>
    <x v="8"/>
    <x v="17"/>
    <x v="6"/>
    <s v="South Africa"/>
    <x v="43"/>
    <x v="1"/>
    <n v="39895"/>
    <n v="35087"/>
  </r>
  <r>
    <s v="ORD01600"/>
    <d v="2025-04-18T00:00:00"/>
    <x v="7"/>
    <x v="20"/>
    <x v="6"/>
    <s v="Russia"/>
    <x v="24"/>
    <x v="5"/>
    <n v="21211"/>
    <n v="21296"/>
  </r>
  <r>
    <s v="ORD01601"/>
    <d v="2025-05-03T00:00:00"/>
    <x v="8"/>
    <x v="27"/>
    <x v="1"/>
    <s v="UAE"/>
    <x v="22"/>
    <x v="25"/>
    <n v="37746"/>
    <n v="35004"/>
  </r>
  <r>
    <s v="ORD01602"/>
    <d v="2025-09-18T00:00:00"/>
    <x v="3"/>
    <x v="8"/>
    <x v="6"/>
    <s v="Germany"/>
    <x v="41"/>
    <x v="28"/>
    <n v="25405"/>
    <n v="23248"/>
  </r>
  <r>
    <s v="ORD01603"/>
    <d v="2025-08-02T00:00:00"/>
    <x v="11"/>
    <x v="12"/>
    <x v="3"/>
    <s v="Spain"/>
    <x v="34"/>
    <x v="3"/>
    <n v="16342"/>
    <n v="12799"/>
  </r>
  <r>
    <s v="ORD01604"/>
    <d v="2025-09-09T00:00:00"/>
    <x v="3"/>
    <x v="31"/>
    <x v="6"/>
    <s v="Australia"/>
    <x v="49"/>
    <x v="25"/>
    <n v="30767"/>
    <n v="25343"/>
  </r>
  <r>
    <s v="ORD01605"/>
    <d v="2025-04-20T00:00:00"/>
    <x v="7"/>
    <x v="20"/>
    <x v="0"/>
    <s v="Singapore"/>
    <x v="31"/>
    <x v="0"/>
    <n v="29720"/>
    <n v="23488"/>
  </r>
  <r>
    <s v="ORD01606"/>
    <d v="2025-10-17T00:00:00"/>
    <x v="4"/>
    <x v="10"/>
    <x v="4"/>
    <s v="Australia"/>
    <x v="13"/>
    <x v="2"/>
    <n v="19833"/>
    <n v="22285"/>
  </r>
  <r>
    <s v="ORD01607"/>
    <d v="2025-12-13T00:00:00"/>
    <x v="10"/>
    <x v="32"/>
    <x v="5"/>
    <s v="Japan"/>
    <x v="15"/>
    <x v="18"/>
    <n v="30964"/>
    <n v="26060"/>
  </r>
  <r>
    <s v="ORD01608"/>
    <d v="2025-05-09T00:00:00"/>
    <x v="8"/>
    <x v="18"/>
    <x v="4"/>
    <s v="India"/>
    <x v="21"/>
    <x v="24"/>
    <n v="29520"/>
    <n v="36177"/>
  </r>
  <r>
    <s v="ORD01609"/>
    <d v="2025-08-18T00:00:00"/>
    <x v="11"/>
    <x v="46"/>
    <x v="0"/>
    <s v="Spain"/>
    <x v="28"/>
    <x v="19"/>
    <n v="33791"/>
    <n v="37657"/>
  </r>
  <r>
    <s v="ORD01610"/>
    <d v="2025-10-04T00:00:00"/>
    <x v="4"/>
    <x v="49"/>
    <x v="0"/>
    <s v="Singapore"/>
    <x v="40"/>
    <x v="1"/>
    <n v="31462"/>
    <n v="25229"/>
  </r>
  <r>
    <s v="ORD01611"/>
    <d v="2025-01-27T00:00:00"/>
    <x v="1"/>
    <x v="3"/>
    <x v="4"/>
    <s v="Turkey"/>
    <x v="0"/>
    <x v="22"/>
    <n v="32465"/>
    <n v="38738"/>
  </r>
  <r>
    <s v="ORD01612"/>
    <d v="2025-07-13T00:00:00"/>
    <x v="0"/>
    <x v="47"/>
    <x v="3"/>
    <s v="France"/>
    <x v="17"/>
    <x v="27"/>
    <n v="33208"/>
    <n v="36777"/>
  </r>
  <r>
    <s v="ORD01613"/>
    <d v="2025-10-10T00:00:00"/>
    <x v="4"/>
    <x v="45"/>
    <x v="1"/>
    <s v="France"/>
    <x v="24"/>
    <x v="2"/>
    <n v="32030"/>
    <n v="34973"/>
  </r>
  <r>
    <s v="ORD01614"/>
    <d v="2025-03-19T00:00:00"/>
    <x v="9"/>
    <x v="39"/>
    <x v="5"/>
    <s v="Italy"/>
    <x v="3"/>
    <x v="20"/>
    <n v="35547"/>
    <n v="34206"/>
  </r>
  <r>
    <s v="ORD01615"/>
    <d v="2025-11-12T00:00:00"/>
    <x v="2"/>
    <x v="44"/>
    <x v="0"/>
    <s v="South Africa"/>
    <x v="49"/>
    <x v="26"/>
    <n v="37301"/>
    <n v="45568"/>
  </r>
  <r>
    <s v="ORD01616"/>
    <d v="2025-02-16T00:00:00"/>
    <x v="6"/>
    <x v="29"/>
    <x v="6"/>
    <s v="Thailand"/>
    <x v="6"/>
    <x v="1"/>
    <n v="35799"/>
    <n v="37430"/>
  </r>
  <r>
    <s v="ORD01617"/>
    <d v="2025-12-24T00:00:00"/>
    <x v="10"/>
    <x v="42"/>
    <x v="0"/>
    <s v="Mexico"/>
    <x v="32"/>
    <x v="3"/>
    <n v="19911"/>
    <n v="23035"/>
  </r>
  <r>
    <s v="ORD01618"/>
    <d v="2025-03-30T00:00:00"/>
    <x v="9"/>
    <x v="33"/>
    <x v="3"/>
    <s v="Mexico"/>
    <x v="0"/>
    <x v="8"/>
    <n v="30632"/>
    <n v="38307"/>
  </r>
  <r>
    <s v="ORD01619"/>
    <d v="2025-03-09T00:00:00"/>
    <x v="9"/>
    <x v="35"/>
    <x v="1"/>
    <s v="Thailand"/>
    <x v="2"/>
    <x v="12"/>
    <n v="26028"/>
    <n v="20859"/>
  </r>
  <r>
    <s v="ORD01620"/>
    <d v="2025-04-21T00:00:00"/>
    <x v="7"/>
    <x v="38"/>
    <x v="1"/>
    <s v="Brazil"/>
    <x v="5"/>
    <x v="18"/>
    <n v="31737"/>
    <n v="36659"/>
  </r>
  <r>
    <s v="ORD01621"/>
    <d v="2025-01-15T00:00:00"/>
    <x v="1"/>
    <x v="1"/>
    <x v="5"/>
    <s v="Russia"/>
    <x v="20"/>
    <x v="17"/>
    <n v="17722"/>
    <n v="16227"/>
  </r>
  <r>
    <s v="ORD01622"/>
    <d v="2025-09-20T00:00:00"/>
    <x v="3"/>
    <x v="8"/>
    <x v="3"/>
    <s v="Malaysia"/>
    <x v="27"/>
    <x v="28"/>
    <n v="36141"/>
    <n v="31922"/>
  </r>
  <r>
    <s v="ORD01623"/>
    <d v="2025-09-05T00:00:00"/>
    <x v="3"/>
    <x v="4"/>
    <x v="3"/>
    <s v="Canada"/>
    <x v="11"/>
    <x v="2"/>
    <n v="15073"/>
    <n v="12955"/>
  </r>
  <r>
    <s v="ORD01624"/>
    <d v="2025-02-10T00:00:00"/>
    <x v="6"/>
    <x v="29"/>
    <x v="0"/>
    <s v="Singapore"/>
    <x v="11"/>
    <x v="13"/>
    <n v="17784"/>
    <n v="17406"/>
  </r>
  <r>
    <s v="ORD01625"/>
    <d v="2025-07-25T00:00:00"/>
    <x v="0"/>
    <x v="0"/>
    <x v="1"/>
    <s v="India"/>
    <x v="17"/>
    <x v="26"/>
    <n v="21631"/>
    <n v="18509"/>
  </r>
  <r>
    <s v="ORD01626"/>
    <d v="2025-08-02T00:00:00"/>
    <x v="11"/>
    <x v="12"/>
    <x v="1"/>
    <s v="Malaysia"/>
    <x v="6"/>
    <x v="21"/>
    <n v="24414"/>
    <n v="25419"/>
  </r>
  <r>
    <s v="ORD01627"/>
    <d v="2025-11-23T00:00:00"/>
    <x v="2"/>
    <x v="9"/>
    <x v="2"/>
    <s v="Turkey"/>
    <x v="7"/>
    <x v="13"/>
    <n v="36335"/>
    <n v="32250"/>
  </r>
  <r>
    <s v="ORD01628"/>
    <d v="2025-03-31T00:00:00"/>
    <x v="9"/>
    <x v="34"/>
    <x v="2"/>
    <s v="Mexico"/>
    <x v="37"/>
    <x v="0"/>
    <n v="38043"/>
    <n v="42741"/>
  </r>
  <r>
    <s v="ORD01629"/>
    <d v="2025-11-11T00:00:00"/>
    <x v="2"/>
    <x v="44"/>
    <x v="4"/>
    <s v="France"/>
    <x v="27"/>
    <x v="22"/>
    <n v="21775"/>
    <n v="26443"/>
  </r>
  <r>
    <s v="ORD01630"/>
    <d v="2025-07-21T00:00:00"/>
    <x v="0"/>
    <x v="0"/>
    <x v="6"/>
    <s v="Turkey"/>
    <x v="10"/>
    <x v="7"/>
    <n v="39290"/>
    <n v="37576"/>
  </r>
  <r>
    <s v="ORD01631"/>
    <d v="2025-04-06T00:00:00"/>
    <x v="7"/>
    <x v="34"/>
    <x v="6"/>
    <s v="Japan"/>
    <x v="38"/>
    <x v="15"/>
    <n v="29227"/>
    <n v="21187"/>
  </r>
  <r>
    <s v="ORD01632"/>
    <d v="2025-03-10T00:00:00"/>
    <x v="9"/>
    <x v="19"/>
    <x v="1"/>
    <s v="UAE"/>
    <x v="43"/>
    <x v="14"/>
    <n v="33545"/>
    <n v="36196"/>
  </r>
  <r>
    <s v="ORD01633"/>
    <d v="2025-08-10T00:00:00"/>
    <x v="11"/>
    <x v="23"/>
    <x v="3"/>
    <s v="Russia"/>
    <x v="35"/>
    <x v="20"/>
    <n v="31842"/>
    <n v="26470"/>
  </r>
  <r>
    <s v="ORD01634"/>
    <d v="2025-01-21T00:00:00"/>
    <x v="1"/>
    <x v="7"/>
    <x v="5"/>
    <s v="Australia"/>
    <x v="30"/>
    <x v="6"/>
    <n v="28291"/>
    <n v="35828"/>
  </r>
  <r>
    <s v="ORD01635"/>
    <d v="2025-10-11T00:00:00"/>
    <x v="4"/>
    <x v="45"/>
    <x v="2"/>
    <s v="Mexico"/>
    <x v="10"/>
    <x v="14"/>
    <n v="26888"/>
    <n v="25648"/>
  </r>
  <r>
    <s v="ORD01636"/>
    <d v="2025-12-09T00:00:00"/>
    <x v="10"/>
    <x v="32"/>
    <x v="5"/>
    <s v="Canada"/>
    <x v="42"/>
    <x v="29"/>
    <n v="20297"/>
    <n v="14286"/>
  </r>
  <r>
    <s v="ORD01637"/>
    <d v="2025-02-13T00:00:00"/>
    <x v="6"/>
    <x v="29"/>
    <x v="1"/>
    <s v="China"/>
    <x v="35"/>
    <x v="2"/>
    <n v="30130"/>
    <n v="27025"/>
  </r>
  <r>
    <s v="ORD01638"/>
    <d v="2025-11-22T00:00:00"/>
    <x v="2"/>
    <x v="9"/>
    <x v="3"/>
    <s v="India"/>
    <x v="49"/>
    <x v="27"/>
    <n v="38573"/>
    <n v="43699"/>
  </r>
  <r>
    <s v="ORD01639"/>
    <d v="2025-06-03T00:00:00"/>
    <x v="5"/>
    <x v="41"/>
    <x v="3"/>
    <s v="UAE"/>
    <x v="38"/>
    <x v="9"/>
    <n v="31796"/>
    <n v="38280"/>
  </r>
  <r>
    <s v="ORD01640"/>
    <d v="2025-09-08T00:00:00"/>
    <x v="3"/>
    <x v="31"/>
    <x v="1"/>
    <s v="Russia"/>
    <x v="45"/>
    <x v="6"/>
    <n v="36162"/>
    <n v="38987"/>
  </r>
  <r>
    <s v="ORD01641"/>
    <d v="2025-02-04T00:00:00"/>
    <x v="6"/>
    <x v="48"/>
    <x v="3"/>
    <s v="Turkey"/>
    <x v="38"/>
    <x v="29"/>
    <n v="33880"/>
    <n v="28428"/>
  </r>
  <r>
    <s v="ORD01642"/>
    <d v="2025-11-09T00:00:00"/>
    <x v="2"/>
    <x v="51"/>
    <x v="3"/>
    <s v="Mexico"/>
    <x v="30"/>
    <x v="3"/>
    <n v="27135"/>
    <n v="19755"/>
  </r>
  <r>
    <s v="ORD01643"/>
    <d v="2025-06-02T00:00:00"/>
    <x v="5"/>
    <x v="41"/>
    <x v="0"/>
    <s v="Japan"/>
    <x v="6"/>
    <x v="26"/>
    <n v="22240"/>
    <n v="24137"/>
  </r>
  <r>
    <s v="ORD01644"/>
    <d v="2025-07-27T00:00:00"/>
    <x v="0"/>
    <x v="0"/>
    <x v="1"/>
    <s v="Germany"/>
    <x v="3"/>
    <x v="14"/>
    <n v="16122"/>
    <n v="16763"/>
  </r>
  <r>
    <s v="ORD01645"/>
    <d v="2025-11-28T00:00:00"/>
    <x v="2"/>
    <x v="11"/>
    <x v="0"/>
    <s v="France"/>
    <x v="18"/>
    <x v="19"/>
    <n v="21794"/>
    <n v="23420"/>
  </r>
  <r>
    <s v="ORD01646"/>
    <d v="2025-01-13T00:00:00"/>
    <x v="1"/>
    <x v="1"/>
    <x v="4"/>
    <s v="Germany"/>
    <x v="33"/>
    <x v="3"/>
    <n v="22593"/>
    <n v="22819"/>
  </r>
  <r>
    <s v="ORD01647"/>
    <d v="2025-03-30T00:00:00"/>
    <x v="9"/>
    <x v="33"/>
    <x v="3"/>
    <s v="UK"/>
    <x v="40"/>
    <x v="10"/>
    <n v="35166"/>
    <n v="28064"/>
  </r>
  <r>
    <s v="ORD01648"/>
    <d v="2025-06-21T00:00:00"/>
    <x v="5"/>
    <x v="13"/>
    <x v="0"/>
    <s v="Australia"/>
    <x v="13"/>
    <x v="15"/>
    <n v="32777"/>
    <n v="26383"/>
  </r>
  <r>
    <s v="ORD01649"/>
    <d v="2025-11-03T00:00:00"/>
    <x v="2"/>
    <x v="51"/>
    <x v="3"/>
    <s v="Japan"/>
    <x v="21"/>
    <x v="29"/>
    <n v="24458"/>
    <n v="19250"/>
  </r>
  <r>
    <s v="ORD01650"/>
    <d v="2025-03-18T00:00:00"/>
    <x v="9"/>
    <x v="39"/>
    <x v="6"/>
    <s v="South Africa"/>
    <x v="36"/>
    <x v="16"/>
    <n v="25909"/>
    <n v="29406"/>
  </r>
  <r>
    <s v="ORD01651"/>
    <d v="2025-01-24T00:00:00"/>
    <x v="1"/>
    <x v="7"/>
    <x v="1"/>
    <s v="UK"/>
    <x v="22"/>
    <x v="15"/>
    <n v="17419"/>
    <n v="21909"/>
  </r>
  <r>
    <s v="ORD01652"/>
    <d v="2025-07-31T00:00:00"/>
    <x v="0"/>
    <x v="12"/>
    <x v="3"/>
    <s v="Japan"/>
    <x v="2"/>
    <x v="26"/>
    <n v="32613"/>
    <n v="35676"/>
  </r>
  <r>
    <s v="ORD01653"/>
    <d v="2025-05-18T00:00:00"/>
    <x v="8"/>
    <x v="17"/>
    <x v="1"/>
    <s v="Malaysia"/>
    <x v="11"/>
    <x v="9"/>
    <n v="23908"/>
    <n v="20603"/>
  </r>
  <r>
    <s v="ORD01654"/>
    <d v="2025-09-22T00:00:00"/>
    <x v="3"/>
    <x v="25"/>
    <x v="2"/>
    <s v="Australia"/>
    <x v="16"/>
    <x v="0"/>
    <n v="24548"/>
    <n v="22733"/>
  </r>
  <r>
    <s v="ORD01655"/>
    <d v="2025-01-01T00:00:00"/>
    <x v="1"/>
    <x v="5"/>
    <x v="3"/>
    <s v="Malaysia"/>
    <x v="41"/>
    <x v="0"/>
    <n v="20353"/>
    <n v="24486"/>
  </r>
  <r>
    <s v="ORD01656"/>
    <d v="2025-12-16T00:00:00"/>
    <x v="10"/>
    <x v="21"/>
    <x v="2"/>
    <s v="Japan"/>
    <x v="20"/>
    <x v="25"/>
    <n v="26928"/>
    <n v="23436"/>
  </r>
  <r>
    <s v="ORD01657"/>
    <d v="2025-02-02T00:00:00"/>
    <x v="6"/>
    <x v="3"/>
    <x v="3"/>
    <s v="South Africa"/>
    <x v="10"/>
    <x v="15"/>
    <n v="27931"/>
    <n v="29764"/>
  </r>
  <r>
    <s v="ORD01658"/>
    <d v="2025-05-28T00:00:00"/>
    <x v="8"/>
    <x v="24"/>
    <x v="4"/>
    <s v="UK"/>
    <x v="7"/>
    <x v="7"/>
    <n v="29334"/>
    <n v="36316"/>
  </r>
  <r>
    <s v="ORD01659"/>
    <d v="2025-02-16T00:00:00"/>
    <x v="6"/>
    <x v="29"/>
    <x v="5"/>
    <s v="South Africa"/>
    <x v="30"/>
    <x v="3"/>
    <n v="34728"/>
    <n v="38473"/>
  </r>
  <r>
    <s v="ORD01660"/>
    <d v="2025-11-26T00:00:00"/>
    <x v="2"/>
    <x v="11"/>
    <x v="1"/>
    <s v="Spain"/>
    <x v="4"/>
    <x v="13"/>
    <n v="31279"/>
    <n v="32103"/>
  </r>
  <r>
    <s v="ORD01661"/>
    <d v="2025-01-09T00:00:00"/>
    <x v="1"/>
    <x v="6"/>
    <x v="5"/>
    <s v="Brazil"/>
    <x v="39"/>
    <x v="24"/>
    <n v="38703"/>
    <n v="36459"/>
  </r>
  <r>
    <s v="ORD01662"/>
    <d v="2025-12-12T00:00:00"/>
    <x v="10"/>
    <x v="32"/>
    <x v="5"/>
    <s v="Germany"/>
    <x v="34"/>
    <x v="26"/>
    <n v="25737"/>
    <n v="29642"/>
  </r>
  <r>
    <s v="ORD01663"/>
    <d v="2025-03-27T00:00:00"/>
    <x v="9"/>
    <x v="33"/>
    <x v="0"/>
    <s v="USA"/>
    <x v="4"/>
    <x v="29"/>
    <n v="19383"/>
    <n v="18003"/>
  </r>
  <r>
    <s v="ORD01664"/>
    <d v="2025-04-12T00:00:00"/>
    <x v="7"/>
    <x v="16"/>
    <x v="3"/>
    <s v="Singapore"/>
    <x v="26"/>
    <x v="22"/>
    <n v="33770"/>
    <n v="40011"/>
  </r>
  <r>
    <s v="ORD01665"/>
    <d v="2025-04-09T00:00:00"/>
    <x v="7"/>
    <x v="16"/>
    <x v="1"/>
    <s v="UK"/>
    <x v="17"/>
    <x v="15"/>
    <n v="38025"/>
    <n v="36656"/>
  </r>
  <r>
    <s v="ORD01666"/>
    <d v="2025-09-03T00:00:00"/>
    <x v="3"/>
    <x v="4"/>
    <x v="1"/>
    <s v="Malaysia"/>
    <x v="9"/>
    <x v="20"/>
    <n v="24811"/>
    <n v="28285"/>
  </r>
  <r>
    <s v="ORD01667"/>
    <d v="2025-03-25T00:00:00"/>
    <x v="9"/>
    <x v="33"/>
    <x v="2"/>
    <s v="Spain"/>
    <x v="47"/>
    <x v="0"/>
    <n v="30657"/>
    <n v="38100"/>
  </r>
  <r>
    <s v="ORD01668"/>
    <d v="2025-12-17T00:00:00"/>
    <x v="10"/>
    <x v="21"/>
    <x v="0"/>
    <s v="Russia"/>
    <x v="35"/>
    <x v="19"/>
    <n v="23870"/>
    <n v="18177"/>
  </r>
  <r>
    <s v="ORD01669"/>
    <d v="2025-01-02T00:00:00"/>
    <x v="1"/>
    <x v="5"/>
    <x v="2"/>
    <s v="South Africa"/>
    <x v="14"/>
    <x v="17"/>
    <n v="20240"/>
    <n v="14653"/>
  </r>
  <r>
    <s v="ORD01670"/>
    <d v="2025-04-14T00:00:00"/>
    <x v="7"/>
    <x v="20"/>
    <x v="5"/>
    <s v="Turkey"/>
    <x v="29"/>
    <x v="2"/>
    <n v="20874"/>
    <n v="26837"/>
  </r>
  <r>
    <s v="ORD01671"/>
    <d v="2025-08-18T00:00:00"/>
    <x v="11"/>
    <x v="46"/>
    <x v="4"/>
    <s v="Mexico"/>
    <x v="1"/>
    <x v="20"/>
    <n v="29941"/>
    <n v="34753"/>
  </r>
  <r>
    <s v="ORD01672"/>
    <d v="2025-10-15T00:00:00"/>
    <x v="4"/>
    <x v="10"/>
    <x v="4"/>
    <s v="Mexico"/>
    <x v="28"/>
    <x v="14"/>
    <n v="39706"/>
    <n v="42479"/>
  </r>
  <r>
    <s v="ORD01673"/>
    <d v="2025-09-25T00:00:00"/>
    <x v="3"/>
    <x v="25"/>
    <x v="4"/>
    <s v="Italy"/>
    <x v="9"/>
    <x v="18"/>
    <n v="33369"/>
    <n v="31899"/>
  </r>
  <r>
    <s v="ORD01674"/>
    <d v="2025-08-16T00:00:00"/>
    <x v="11"/>
    <x v="30"/>
    <x v="3"/>
    <s v="Canada"/>
    <x v="1"/>
    <x v="12"/>
    <n v="23246"/>
    <n v="21255"/>
  </r>
  <r>
    <s v="ORD01675"/>
    <d v="2025-07-05T00:00:00"/>
    <x v="0"/>
    <x v="37"/>
    <x v="5"/>
    <s v="Germany"/>
    <x v="41"/>
    <x v="6"/>
    <n v="37900"/>
    <n v="32376"/>
  </r>
  <r>
    <s v="ORD01676"/>
    <d v="2025-07-14T00:00:00"/>
    <x v="0"/>
    <x v="14"/>
    <x v="0"/>
    <s v="Russia"/>
    <x v="14"/>
    <x v="14"/>
    <n v="18047"/>
    <n v="17781"/>
  </r>
  <r>
    <s v="ORD01677"/>
    <d v="2025-09-09T00:00:00"/>
    <x v="3"/>
    <x v="31"/>
    <x v="0"/>
    <s v="Singapore"/>
    <x v="19"/>
    <x v="19"/>
    <n v="20752"/>
    <n v="15270"/>
  </r>
  <r>
    <s v="ORD01678"/>
    <d v="2025-01-09T00:00:00"/>
    <x v="1"/>
    <x v="6"/>
    <x v="0"/>
    <s v="Japan"/>
    <x v="43"/>
    <x v="26"/>
    <n v="27395"/>
    <n v="19394"/>
  </r>
  <r>
    <s v="ORD01679"/>
    <d v="2025-07-13T00:00:00"/>
    <x v="0"/>
    <x v="47"/>
    <x v="0"/>
    <s v="South Africa"/>
    <x v="26"/>
    <x v="0"/>
    <n v="31874"/>
    <n v="28379"/>
  </r>
  <r>
    <s v="ORD01680"/>
    <d v="2025-12-10T00:00:00"/>
    <x v="10"/>
    <x v="32"/>
    <x v="2"/>
    <s v="Turkey"/>
    <x v="28"/>
    <x v="19"/>
    <n v="21459"/>
    <n v="23279"/>
  </r>
  <r>
    <s v="ORD01681"/>
    <d v="2025-06-11T00:00:00"/>
    <x v="5"/>
    <x v="40"/>
    <x v="2"/>
    <s v="Turkey"/>
    <x v="19"/>
    <x v="17"/>
    <n v="32323"/>
    <n v="41681"/>
  </r>
  <r>
    <s v="ORD01682"/>
    <d v="2025-07-27T00:00:00"/>
    <x v="0"/>
    <x v="0"/>
    <x v="0"/>
    <s v="Germany"/>
    <x v="34"/>
    <x v="29"/>
    <n v="30498"/>
    <n v="27863"/>
  </r>
  <r>
    <s v="ORD01683"/>
    <d v="2025-01-19T00:00:00"/>
    <x v="1"/>
    <x v="1"/>
    <x v="6"/>
    <s v="Malaysia"/>
    <x v="5"/>
    <x v="21"/>
    <n v="31421"/>
    <n v="27732"/>
  </r>
  <r>
    <s v="ORD01684"/>
    <d v="2025-06-07T00:00:00"/>
    <x v="5"/>
    <x v="41"/>
    <x v="2"/>
    <s v="South Africa"/>
    <x v="14"/>
    <x v="2"/>
    <n v="28246"/>
    <n v="23209"/>
  </r>
  <r>
    <s v="ORD01685"/>
    <d v="2025-10-06T00:00:00"/>
    <x v="4"/>
    <x v="45"/>
    <x v="5"/>
    <s v="South Africa"/>
    <x v="32"/>
    <x v="9"/>
    <n v="32461"/>
    <n v="27938"/>
  </r>
  <r>
    <s v="ORD01686"/>
    <d v="2025-01-15T00:00:00"/>
    <x v="1"/>
    <x v="1"/>
    <x v="1"/>
    <s v="Australia"/>
    <x v="41"/>
    <x v="13"/>
    <n v="24470"/>
    <n v="31586"/>
  </r>
  <r>
    <s v="ORD01687"/>
    <d v="2025-02-04T00:00:00"/>
    <x v="6"/>
    <x v="48"/>
    <x v="4"/>
    <s v="UK"/>
    <x v="46"/>
    <x v="10"/>
    <n v="35304"/>
    <n v="36927"/>
  </r>
  <r>
    <s v="ORD01688"/>
    <d v="2025-01-08T00:00:00"/>
    <x v="1"/>
    <x v="6"/>
    <x v="0"/>
    <s v="Singapore"/>
    <x v="48"/>
    <x v="24"/>
    <n v="28777"/>
    <n v="21047"/>
  </r>
  <r>
    <s v="ORD01689"/>
    <d v="2025-10-14T00:00:00"/>
    <x v="4"/>
    <x v="10"/>
    <x v="6"/>
    <s v="South Africa"/>
    <x v="2"/>
    <x v="22"/>
    <n v="17959"/>
    <n v="17250"/>
  </r>
  <r>
    <s v="ORD01690"/>
    <d v="2025-08-05T00:00:00"/>
    <x v="11"/>
    <x v="23"/>
    <x v="4"/>
    <s v="Spain"/>
    <x v="17"/>
    <x v="16"/>
    <n v="28842"/>
    <n v="36058"/>
  </r>
  <r>
    <s v="ORD01691"/>
    <d v="2025-01-11T00:00:00"/>
    <x v="1"/>
    <x v="6"/>
    <x v="6"/>
    <s v="Malaysia"/>
    <x v="45"/>
    <x v="10"/>
    <n v="24649"/>
    <n v="28382"/>
  </r>
  <r>
    <s v="ORD01692"/>
    <d v="2025-04-24T00:00:00"/>
    <x v="7"/>
    <x v="38"/>
    <x v="4"/>
    <s v="India"/>
    <x v="32"/>
    <x v="0"/>
    <n v="34300"/>
    <n v="29277"/>
  </r>
  <r>
    <s v="ORD01693"/>
    <d v="2025-10-22T00:00:00"/>
    <x v="4"/>
    <x v="50"/>
    <x v="1"/>
    <s v="USA"/>
    <x v="37"/>
    <x v="23"/>
    <n v="39440"/>
    <n v="30192"/>
  </r>
  <r>
    <s v="ORD01694"/>
    <d v="2025-07-05T00:00:00"/>
    <x v="0"/>
    <x v="37"/>
    <x v="3"/>
    <s v="South Africa"/>
    <x v="16"/>
    <x v="0"/>
    <n v="30784"/>
    <n v="26273"/>
  </r>
  <r>
    <s v="ORD01695"/>
    <d v="2025-09-12T00:00:00"/>
    <x v="3"/>
    <x v="31"/>
    <x v="6"/>
    <s v="China"/>
    <x v="10"/>
    <x v="19"/>
    <n v="21922"/>
    <n v="19977"/>
  </r>
  <r>
    <s v="ORD01696"/>
    <d v="2025-07-31T00:00:00"/>
    <x v="0"/>
    <x v="12"/>
    <x v="1"/>
    <s v="Russia"/>
    <x v="4"/>
    <x v="11"/>
    <n v="29402"/>
    <n v="24710"/>
  </r>
  <r>
    <s v="ORD01697"/>
    <d v="2025-04-22T00:00:00"/>
    <x v="7"/>
    <x v="38"/>
    <x v="2"/>
    <s v="Mexico"/>
    <x v="34"/>
    <x v="6"/>
    <n v="21665"/>
    <n v="16325"/>
  </r>
  <r>
    <s v="ORD01698"/>
    <d v="2025-02-09T00:00:00"/>
    <x v="6"/>
    <x v="48"/>
    <x v="3"/>
    <s v="Brazil"/>
    <x v="7"/>
    <x v="0"/>
    <n v="26839"/>
    <n v="20247"/>
  </r>
  <r>
    <s v="ORD01699"/>
    <d v="2025-03-24T00:00:00"/>
    <x v="9"/>
    <x v="33"/>
    <x v="4"/>
    <s v="China"/>
    <x v="44"/>
    <x v="3"/>
    <n v="26803"/>
    <n v="26112"/>
  </r>
  <r>
    <s v="ORD01700"/>
    <d v="2025-01-19T00:00:00"/>
    <x v="1"/>
    <x v="1"/>
    <x v="0"/>
    <s v="Turkey"/>
    <x v="22"/>
    <x v="10"/>
    <n v="16766"/>
    <n v="14691"/>
  </r>
  <r>
    <s v="ORD01701"/>
    <d v="2025-06-15T00:00:00"/>
    <x v="5"/>
    <x v="40"/>
    <x v="1"/>
    <s v="Italy"/>
    <x v="38"/>
    <x v="17"/>
    <n v="29038"/>
    <n v="23766"/>
  </r>
  <r>
    <s v="ORD01702"/>
    <d v="2025-11-15T00:00:00"/>
    <x v="2"/>
    <x v="44"/>
    <x v="6"/>
    <s v="France"/>
    <x v="6"/>
    <x v="25"/>
    <n v="34342"/>
    <n v="40650"/>
  </r>
  <r>
    <s v="ORD01703"/>
    <d v="2025-10-25T00:00:00"/>
    <x v="4"/>
    <x v="50"/>
    <x v="3"/>
    <s v="South Africa"/>
    <x v="14"/>
    <x v="11"/>
    <n v="18505"/>
    <n v="23946"/>
  </r>
  <r>
    <s v="ORD01704"/>
    <d v="2025-09-29T00:00:00"/>
    <x v="3"/>
    <x v="49"/>
    <x v="4"/>
    <s v="Australia"/>
    <x v="6"/>
    <x v="10"/>
    <n v="31419"/>
    <n v="27369"/>
  </r>
  <r>
    <s v="ORD01705"/>
    <d v="2025-09-18T00:00:00"/>
    <x v="3"/>
    <x v="8"/>
    <x v="0"/>
    <s v="South Africa"/>
    <x v="18"/>
    <x v="18"/>
    <n v="20979"/>
    <n v="23178"/>
  </r>
  <r>
    <s v="ORD01706"/>
    <d v="2025-09-08T00:00:00"/>
    <x v="3"/>
    <x v="31"/>
    <x v="5"/>
    <s v="Brazil"/>
    <x v="10"/>
    <x v="19"/>
    <n v="21927"/>
    <n v="25608"/>
  </r>
  <r>
    <s v="ORD01707"/>
    <d v="2025-02-06T00:00:00"/>
    <x v="6"/>
    <x v="48"/>
    <x v="2"/>
    <s v="USA"/>
    <x v="2"/>
    <x v="22"/>
    <n v="35516"/>
    <n v="38920"/>
  </r>
  <r>
    <s v="ORD01708"/>
    <d v="2025-12-06T00:00:00"/>
    <x v="10"/>
    <x v="43"/>
    <x v="5"/>
    <s v="Mexico"/>
    <x v="21"/>
    <x v="21"/>
    <n v="35135"/>
    <n v="41558"/>
  </r>
  <r>
    <s v="ORD01709"/>
    <d v="2025-10-19T00:00:00"/>
    <x v="4"/>
    <x v="10"/>
    <x v="6"/>
    <s v="Singapore"/>
    <x v="45"/>
    <x v="23"/>
    <n v="21146"/>
    <n v="22446"/>
  </r>
  <r>
    <s v="ORD01710"/>
    <d v="2025-08-28T00:00:00"/>
    <x v="11"/>
    <x v="28"/>
    <x v="3"/>
    <s v="UAE"/>
    <x v="13"/>
    <x v="24"/>
    <n v="33060"/>
    <n v="28161"/>
  </r>
  <r>
    <s v="ORD01711"/>
    <d v="2025-12-18T00:00:00"/>
    <x v="10"/>
    <x v="21"/>
    <x v="6"/>
    <s v="Singapore"/>
    <x v="2"/>
    <x v="1"/>
    <n v="17239"/>
    <n v="22100"/>
  </r>
  <r>
    <s v="ORD01712"/>
    <d v="2025-03-09T00:00:00"/>
    <x v="9"/>
    <x v="35"/>
    <x v="2"/>
    <s v="Brazil"/>
    <x v="32"/>
    <x v="29"/>
    <n v="16325"/>
    <n v="15627"/>
  </r>
  <r>
    <s v="ORD01713"/>
    <d v="2025-12-21T00:00:00"/>
    <x v="10"/>
    <x v="21"/>
    <x v="1"/>
    <s v="Mexico"/>
    <x v="7"/>
    <x v="29"/>
    <n v="37934"/>
    <n v="45941"/>
  </r>
  <r>
    <s v="ORD01714"/>
    <d v="2025-03-21T00:00:00"/>
    <x v="9"/>
    <x v="39"/>
    <x v="1"/>
    <s v="Malaysia"/>
    <x v="36"/>
    <x v="1"/>
    <n v="39875"/>
    <n v="30366"/>
  </r>
  <r>
    <s v="ORD01715"/>
    <d v="2025-03-09T00:00:00"/>
    <x v="9"/>
    <x v="35"/>
    <x v="0"/>
    <s v="Spain"/>
    <x v="29"/>
    <x v="20"/>
    <n v="17769"/>
    <n v="17789"/>
  </r>
  <r>
    <s v="ORD01716"/>
    <d v="2025-02-06T00:00:00"/>
    <x v="6"/>
    <x v="48"/>
    <x v="4"/>
    <s v="UK"/>
    <x v="11"/>
    <x v="22"/>
    <n v="18247"/>
    <n v="13216"/>
  </r>
  <r>
    <s v="ORD01717"/>
    <d v="2025-07-26T00:00:00"/>
    <x v="0"/>
    <x v="0"/>
    <x v="4"/>
    <s v="France"/>
    <x v="42"/>
    <x v="11"/>
    <n v="34753"/>
    <n v="42532"/>
  </r>
  <r>
    <s v="ORD01718"/>
    <d v="2025-01-02T00:00:00"/>
    <x v="1"/>
    <x v="5"/>
    <x v="1"/>
    <s v="Thailand"/>
    <x v="34"/>
    <x v="21"/>
    <n v="28360"/>
    <n v="32639"/>
  </r>
  <r>
    <s v="ORD01719"/>
    <d v="2025-05-22T00:00:00"/>
    <x v="8"/>
    <x v="26"/>
    <x v="4"/>
    <s v="Canada"/>
    <x v="21"/>
    <x v="1"/>
    <n v="16165"/>
    <n v="13420"/>
  </r>
  <r>
    <s v="ORD01720"/>
    <d v="2025-05-08T00:00:00"/>
    <x v="8"/>
    <x v="18"/>
    <x v="4"/>
    <s v="Mexico"/>
    <x v="29"/>
    <x v="23"/>
    <n v="34317"/>
    <n v="36007"/>
  </r>
  <r>
    <s v="ORD01721"/>
    <d v="2025-11-01T00:00:00"/>
    <x v="2"/>
    <x v="2"/>
    <x v="3"/>
    <s v="UAE"/>
    <x v="8"/>
    <x v="27"/>
    <n v="38030"/>
    <n v="44150"/>
  </r>
  <r>
    <s v="ORD01722"/>
    <d v="2025-02-08T00:00:00"/>
    <x v="6"/>
    <x v="48"/>
    <x v="3"/>
    <s v="Italy"/>
    <x v="46"/>
    <x v="12"/>
    <n v="30074"/>
    <n v="34154"/>
  </r>
  <r>
    <s v="ORD01723"/>
    <d v="2025-07-04T00:00:00"/>
    <x v="0"/>
    <x v="37"/>
    <x v="0"/>
    <s v="Russia"/>
    <x v="38"/>
    <x v="24"/>
    <n v="35276"/>
    <n v="29215"/>
  </r>
  <r>
    <s v="ORD01724"/>
    <d v="2025-05-03T00:00:00"/>
    <x v="8"/>
    <x v="27"/>
    <x v="6"/>
    <s v="UAE"/>
    <x v="6"/>
    <x v="14"/>
    <n v="19327"/>
    <n v="22491"/>
  </r>
  <r>
    <s v="ORD01725"/>
    <d v="2025-07-31T00:00:00"/>
    <x v="0"/>
    <x v="12"/>
    <x v="6"/>
    <s v="South Africa"/>
    <x v="1"/>
    <x v="8"/>
    <n v="22886"/>
    <n v="27764"/>
  </r>
  <r>
    <s v="ORD01726"/>
    <d v="2025-12-31T00:00:00"/>
    <x v="10"/>
    <x v="5"/>
    <x v="3"/>
    <s v="UK"/>
    <x v="2"/>
    <x v="25"/>
    <n v="21013"/>
    <n v="16006"/>
  </r>
  <r>
    <s v="ORD01727"/>
    <d v="2025-06-30T00:00:00"/>
    <x v="5"/>
    <x v="37"/>
    <x v="6"/>
    <s v="Thailand"/>
    <x v="13"/>
    <x v="3"/>
    <n v="29602"/>
    <n v="25739"/>
  </r>
  <r>
    <s v="ORD01728"/>
    <d v="2025-05-21T00:00:00"/>
    <x v="8"/>
    <x v="26"/>
    <x v="0"/>
    <s v="Turkey"/>
    <x v="6"/>
    <x v="0"/>
    <n v="15923"/>
    <n v="12394"/>
  </r>
  <r>
    <s v="ORD01729"/>
    <d v="2025-06-02T00:00:00"/>
    <x v="5"/>
    <x v="41"/>
    <x v="2"/>
    <s v="Mexico"/>
    <x v="23"/>
    <x v="5"/>
    <n v="36619"/>
    <n v="46065"/>
  </r>
  <r>
    <s v="ORD01730"/>
    <d v="2025-05-28T00:00:00"/>
    <x v="8"/>
    <x v="24"/>
    <x v="5"/>
    <s v="Mexico"/>
    <x v="17"/>
    <x v="27"/>
    <n v="32396"/>
    <n v="25157"/>
  </r>
  <r>
    <s v="ORD01731"/>
    <d v="2025-11-15T00:00:00"/>
    <x v="2"/>
    <x v="44"/>
    <x v="0"/>
    <s v="Turkey"/>
    <x v="2"/>
    <x v="27"/>
    <n v="27268"/>
    <n v="20132"/>
  </r>
  <r>
    <s v="ORD01732"/>
    <d v="2025-02-14T00:00:00"/>
    <x v="6"/>
    <x v="29"/>
    <x v="0"/>
    <s v="Italy"/>
    <x v="29"/>
    <x v="4"/>
    <n v="31988"/>
    <n v="28563"/>
  </r>
  <r>
    <s v="ORD01733"/>
    <d v="2025-04-11T00:00:00"/>
    <x v="7"/>
    <x v="16"/>
    <x v="6"/>
    <s v="Russia"/>
    <x v="49"/>
    <x v="20"/>
    <n v="35268"/>
    <n v="35427"/>
  </r>
  <r>
    <s v="ORD01734"/>
    <d v="2025-04-30T00:00:00"/>
    <x v="7"/>
    <x v="27"/>
    <x v="6"/>
    <s v="Germany"/>
    <x v="1"/>
    <x v="22"/>
    <n v="25567"/>
    <n v="23210"/>
  </r>
  <r>
    <s v="ORD01735"/>
    <d v="2025-08-04T00:00:00"/>
    <x v="11"/>
    <x v="23"/>
    <x v="2"/>
    <s v="UK"/>
    <x v="43"/>
    <x v="0"/>
    <n v="26908"/>
    <n v="20981"/>
  </r>
  <r>
    <s v="ORD01736"/>
    <d v="2025-10-05T00:00:00"/>
    <x v="4"/>
    <x v="49"/>
    <x v="4"/>
    <s v="Malaysia"/>
    <x v="1"/>
    <x v="16"/>
    <n v="34682"/>
    <n v="26425"/>
  </r>
  <r>
    <s v="ORD01737"/>
    <d v="2025-09-18T00:00:00"/>
    <x v="3"/>
    <x v="8"/>
    <x v="1"/>
    <s v="Italy"/>
    <x v="10"/>
    <x v="15"/>
    <n v="36993"/>
    <n v="30160"/>
  </r>
  <r>
    <s v="ORD01738"/>
    <d v="2025-02-20T00:00:00"/>
    <x v="6"/>
    <x v="15"/>
    <x v="1"/>
    <s v="France"/>
    <x v="12"/>
    <x v="24"/>
    <n v="16454"/>
    <n v="15584"/>
  </r>
  <r>
    <s v="ORD01739"/>
    <d v="2025-06-14T00:00:00"/>
    <x v="5"/>
    <x v="40"/>
    <x v="6"/>
    <s v="UK"/>
    <x v="3"/>
    <x v="27"/>
    <n v="21660"/>
    <n v="15683"/>
  </r>
  <r>
    <s v="ORD01740"/>
    <d v="2025-09-03T00:00:00"/>
    <x v="3"/>
    <x v="4"/>
    <x v="0"/>
    <s v="Italy"/>
    <x v="0"/>
    <x v="2"/>
    <n v="39276"/>
    <n v="49135"/>
  </r>
  <r>
    <s v="ORD01741"/>
    <d v="2025-12-05T00:00:00"/>
    <x v="10"/>
    <x v="43"/>
    <x v="6"/>
    <s v="UK"/>
    <x v="13"/>
    <x v="1"/>
    <n v="39494"/>
    <n v="48709"/>
  </r>
  <r>
    <s v="ORD01742"/>
    <d v="2025-01-24T00:00:00"/>
    <x v="1"/>
    <x v="7"/>
    <x v="0"/>
    <s v="Brazil"/>
    <x v="41"/>
    <x v="15"/>
    <n v="31052"/>
    <n v="40013"/>
  </r>
  <r>
    <s v="ORD01743"/>
    <d v="2025-10-15T00:00:00"/>
    <x v="4"/>
    <x v="10"/>
    <x v="0"/>
    <s v="Germany"/>
    <x v="18"/>
    <x v="16"/>
    <n v="23361"/>
    <n v="22978"/>
  </r>
  <r>
    <s v="ORD01744"/>
    <d v="2025-02-11T00:00:00"/>
    <x v="6"/>
    <x v="29"/>
    <x v="3"/>
    <s v="Australia"/>
    <x v="15"/>
    <x v="7"/>
    <n v="22387"/>
    <n v="20013"/>
  </r>
  <r>
    <s v="ORD01745"/>
    <d v="2025-03-24T00:00:00"/>
    <x v="9"/>
    <x v="33"/>
    <x v="4"/>
    <s v="Brazil"/>
    <x v="38"/>
    <x v="27"/>
    <n v="16363"/>
    <n v="16395"/>
  </r>
  <r>
    <s v="ORD01746"/>
    <d v="2025-06-12T00:00:00"/>
    <x v="5"/>
    <x v="40"/>
    <x v="6"/>
    <s v="Spain"/>
    <x v="49"/>
    <x v="12"/>
    <n v="18966"/>
    <n v="21445"/>
  </r>
  <r>
    <s v="ORD01747"/>
    <d v="2025-12-24T00:00:00"/>
    <x v="10"/>
    <x v="42"/>
    <x v="2"/>
    <s v="Singapore"/>
    <x v="13"/>
    <x v="10"/>
    <n v="25714"/>
    <n v="21814"/>
  </r>
  <r>
    <s v="ORD01748"/>
    <d v="2025-05-17T00:00:00"/>
    <x v="8"/>
    <x v="17"/>
    <x v="2"/>
    <s v="Germany"/>
    <x v="23"/>
    <x v="29"/>
    <n v="15876"/>
    <n v="18014"/>
  </r>
  <r>
    <s v="ORD01749"/>
    <d v="2025-04-06T00:00:00"/>
    <x v="7"/>
    <x v="34"/>
    <x v="2"/>
    <s v="Turkey"/>
    <x v="47"/>
    <x v="23"/>
    <n v="20891"/>
    <n v="17870"/>
  </r>
  <r>
    <s v="ORD01750"/>
    <d v="2025-09-08T00:00:00"/>
    <x v="3"/>
    <x v="31"/>
    <x v="4"/>
    <s v="Malaysia"/>
    <x v="20"/>
    <x v="9"/>
    <n v="23509"/>
    <n v="23844"/>
  </r>
  <r>
    <s v="ORD01751"/>
    <d v="2025-02-27T00:00:00"/>
    <x v="6"/>
    <x v="22"/>
    <x v="4"/>
    <s v="South Africa"/>
    <x v="1"/>
    <x v="13"/>
    <n v="27980"/>
    <n v="29177"/>
  </r>
  <r>
    <s v="ORD01752"/>
    <d v="2025-06-30T00:00:00"/>
    <x v="5"/>
    <x v="37"/>
    <x v="2"/>
    <s v="Italy"/>
    <x v="20"/>
    <x v="8"/>
    <n v="23183"/>
    <n v="22607"/>
  </r>
  <r>
    <s v="ORD01753"/>
    <d v="2025-10-23T00:00:00"/>
    <x v="4"/>
    <x v="50"/>
    <x v="2"/>
    <s v="India"/>
    <x v="21"/>
    <x v="11"/>
    <n v="17561"/>
    <n v="18763"/>
  </r>
  <r>
    <s v="ORD01754"/>
    <d v="2025-09-10T00:00:00"/>
    <x v="3"/>
    <x v="31"/>
    <x v="4"/>
    <s v="USA"/>
    <x v="14"/>
    <x v="14"/>
    <n v="20069"/>
    <n v="16427"/>
  </r>
  <r>
    <s v="ORD01755"/>
    <d v="2025-09-09T00:00:00"/>
    <x v="3"/>
    <x v="31"/>
    <x v="1"/>
    <s v="India"/>
    <x v="11"/>
    <x v="7"/>
    <n v="15294"/>
    <n v="13572"/>
  </r>
  <r>
    <s v="ORD01756"/>
    <d v="2025-08-18T00:00:00"/>
    <x v="11"/>
    <x v="46"/>
    <x v="5"/>
    <s v="Germany"/>
    <x v="49"/>
    <x v="3"/>
    <n v="39623"/>
    <n v="45118"/>
  </r>
  <r>
    <s v="ORD01757"/>
    <d v="2025-02-03T00:00:00"/>
    <x v="6"/>
    <x v="48"/>
    <x v="5"/>
    <s v="India"/>
    <x v="14"/>
    <x v="4"/>
    <n v="18307"/>
    <n v="19393"/>
  </r>
  <r>
    <s v="ORD01758"/>
    <d v="2025-03-10T00:00:00"/>
    <x v="9"/>
    <x v="19"/>
    <x v="0"/>
    <s v="Spain"/>
    <x v="26"/>
    <x v="23"/>
    <n v="18086"/>
    <n v="18163"/>
  </r>
  <r>
    <s v="ORD01759"/>
    <d v="2025-12-28T00:00:00"/>
    <x v="10"/>
    <x v="42"/>
    <x v="5"/>
    <s v="Japan"/>
    <x v="40"/>
    <x v="22"/>
    <n v="25341"/>
    <n v="27218"/>
  </r>
  <r>
    <s v="ORD01760"/>
    <d v="2025-02-18T00:00:00"/>
    <x v="6"/>
    <x v="15"/>
    <x v="1"/>
    <s v="Germany"/>
    <x v="33"/>
    <x v="8"/>
    <n v="18942"/>
    <n v="14247"/>
  </r>
  <r>
    <s v="ORD01761"/>
    <d v="2025-02-05T00:00:00"/>
    <x v="6"/>
    <x v="48"/>
    <x v="0"/>
    <s v="China"/>
    <x v="44"/>
    <x v="0"/>
    <n v="39923"/>
    <n v="45908"/>
  </r>
  <r>
    <s v="ORD01762"/>
    <d v="2025-12-27T00:00:00"/>
    <x v="10"/>
    <x v="42"/>
    <x v="4"/>
    <s v="Singapore"/>
    <x v="9"/>
    <x v="15"/>
    <n v="38025"/>
    <n v="32033"/>
  </r>
  <r>
    <s v="ORD01763"/>
    <d v="2025-01-26T00:00:00"/>
    <x v="1"/>
    <x v="7"/>
    <x v="3"/>
    <s v="Australia"/>
    <x v="23"/>
    <x v="7"/>
    <n v="18397"/>
    <n v="13575"/>
  </r>
  <r>
    <s v="ORD01764"/>
    <d v="2025-03-16T00:00:00"/>
    <x v="9"/>
    <x v="19"/>
    <x v="0"/>
    <s v="Canada"/>
    <x v="35"/>
    <x v="18"/>
    <n v="33121"/>
    <n v="28211"/>
  </r>
  <r>
    <s v="ORD01765"/>
    <d v="2025-09-26T00:00:00"/>
    <x v="3"/>
    <x v="25"/>
    <x v="6"/>
    <s v="Mexico"/>
    <x v="3"/>
    <x v="29"/>
    <n v="23600"/>
    <n v="17495"/>
  </r>
  <r>
    <s v="ORD01766"/>
    <d v="2025-03-22T00:00:00"/>
    <x v="9"/>
    <x v="39"/>
    <x v="2"/>
    <s v="Malaysia"/>
    <x v="8"/>
    <x v="12"/>
    <n v="38371"/>
    <n v="30154"/>
  </r>
  <r>
    <s v="ORD01767"/>
    <d v="2025-02-11T00:00:00"/>
    <x v="6"/>
    <x v="29"/>
    <x v="2"/>
    <s v="Russia"/>
    <x v="46"/>
    <x v="13"/>
    <n v="27670"/>
    <n v="20709"/>
  </r>
  <r>
    <s v="ORD01768"/>
    <d v="2025-07-31T00:00:00"/>
    <x v="0"/>
    <x v="12"/>
    <x v="0"/>
    <s v="UAE"/>
    <x v="46"/>
    <x v="20"/>
    <n v="36104"/>
    <n v="31989"/>
  </r>
  <r>
    <s v="ORD01769"/>
    <d v="2025-12-10T00:00:00"/>
    <x v="10"/>
    <x v="32"/>
    <x v="6"/>
    <s v="Turkey"/>
    <x v="12"/>
    <x v="14"/>
    <n v="17914"/>
    <n v="15495"/>
  </r>
  <r>
    <s v="ORD01770"/>
    <d v="2025-07-23T00:00:00"/>
    <x v="0"/>
    <x v="0"/>
    <x v="0"/>
    <s v="Mexico"/>
    <x v="14"/>
    <x v="25"/>
    <n v="29981"/>
    <n v="36042"/>
  </r>
  <r>
    <s v="ORD01771"/>
    <d v="2025-03-07T00:00:00"/>
    <x v="9"/>
    <x v="35"/>
    <x v="5"/>
    <s v="UAE"/>
    <x v="21"/>
    <x v="22"/>
    <n v="16727"/>
    <n v="14211"/>
  </r>
  <r>
    <s v="ORD01772"/>
    <d v="2025-06-04T00:00:00"/>
    <x v="5"/>
    <x v="41"/>
    <x v="3"/>
    <s v="USA"/>
    <x v="40"/>
    <x v="11"/>
    <n v="26780"/>
    <n v="30860"/>
  </r>
  <r>
    <s v="ORD01773"/>
    <d v="2025-12-04T00:00:00"/>
    <x v="10"/>
    <x v="43"/>
    <x v="5"/>
    <s v="USA"/>
    <x v="32"/>
    <x v="7"/>
    <n v="18346"/>
    <n v="21092"/>
  </r>
  <r>
    <s v="ORD01774"/>
    <d v="2025-09-27T00:00:00"/>
    <x v="3"/>
    <x v="25"/>
    <x v="0"/>
    <s v="USA"/>
    <x v="7"/>
    <x v="19"/>
    <n v="27950"/>
    <n v="20848"/>
  </r>
  <r>
    <s v="ORD01775"/>
    <d v="2025-03-12T00:00:00"/>
    <x v="9"/>
    <x v="19"/>
    <x v="6"/>
    <s v="Malaysia"/>
    <x v="5"/>
    <x v="16"/>
    <n v="15938"/>
    <n v="18846"/>
  </r>
  <r>
    <s v="ORD01776"/>
    <d v="2025-03-18T00:00:00"/>
    <x v="9"/>
    <x v="39"/>
    <x v="5"/>
    <s v="Singapore"/>
    <x v="29"/>
    <x v="13"/>
    <n v="27767"/>
    <n v="30883"/>
  </r>
  <r>
    <s v="ORD01777"/>
    <d v="2025-01-09T00:00:00"/>
    <x v="1"/>
    <x v="6"/>
    <x v="6"/>
    <s v="Thailand"/>
    <x v="43"/>
    <x v="19"/>
    <n v="23008"/>
    <n v="20925"/>
  </r>
  <r>
    <s v="ORD01778"/>
    <d v="2025-10-08T00:00:00"/>
    <x v="4"/>
    <x v="45"/>
    <x v="3"/>
    <s v="Russia"/>
    <x v="5"/>
    <x v="5"/>
    <n v="31902"/>
    <n v="28266"/>
  </r>
  <r>
    <s v="ORD01779"/>
    <d v="2025-09-01T00:00:00"/>
    <x v="3"/>
    <x v="4"/>
    <x v="1"/>
    <s v="Turkey"/>
    <x v="32"/>
    <x v="0"/>
    <n v="15152"/>
    <n v="13703"/>
  </r>
  <r>
    <s v="ORD01780"/>
    <d v="2025-05-21T00:00:00"/>
    <x v="8"/>
    <x v="26"/>
    <x v="4"/>
    <s v="Japan"/>
    <x v="36"/>
    <x v="26"/>
    <n v="23558"/>
    <n v="18044"/>
  </r>
  <r>
    <s v="ORD01781"/>
    <d v="2025-03-29T00:00:00"/>
    <x v="9"/>
    <x v="33"/>
    <x v="5"/>
    <s v="Brazil"/>
    <x v="17"/>
    <x v="16"/>
    <n v="25541"/>
    <n v="21282"/>
  </r>
  <r>
    <s v="ORD01782"/>
    <d v="2025-01-23T00:00:00"/>
    <x v="1"/>
    <x v="7"/>
    <x v="0"/>
    <s v="Mexico"/>
    <x v="6"/>
    <x v="10"/>
    <n v="38003"/>
    <n v="32940"/>
  </r>
  <r>
    <s v="ORD01783"/>
    <d v="2025-05-31T00:00:00"/>
    <x v="8"/>
    <x v="24"/>
    <x v="5"/>
    <s v="France"/>
    <x v="9"/>
    <x v="17"/>
    <n v="16301"/>
    <n v="15660"/>
  </r>
  <r>
    <s v="ORD01784"/>
    <d v="2025-05-06T00:00:00"/>
    <x v="8"/>
    <x v="18"/>
    <x v="4"/>
    <s v="Russia"/>
    <x v="12"/>
    <x v="23"/>
    <n v="16783"/>
    <n v="15728"/>
  </r>
  <r>
    <s v="ORD01785"/>
    <d v="2025-05-02T00:00:00"/>
    <x v="8"/>
    <x v="27"/>
    <x v="3"/>
    <s v="Thailand"/>
    <x v="33"/>
    <x v="14"/>
    <n v="16915"/>
    <n v="21139"/>
  </r>
  <r>
    <s v="ORD01786"/>
    <d v="2025-01-28T00:00:00"/>
    <x v="1"/>
    <x v="3"/>
    <x v="6"/>
    <s v="France"/>
    <x v="0"/>
    <x v="28"/>
    <n v="30139"/>
    <n v="29100"/>
  </r>
  <r>
    <s v="ORD01787"/>
    <d v="2025-12-15T00:00:00"/>
    <x v="10"/>
    <x v="21"/>
    <x v="3"/>
    <s v="UAE"/>
    <x v="28"/>
    <x v="20"/>
    <n v="38831"/>
    <n v="28508"/>
  </r>
  <r>
    <s v="ORD01788"/>
    <d v="2025-09-17T00:00:00"/>
    <x v="3"/>
    <x v="8"/>
    <x v="6"/>
    <s v="UAE"/>
    <x v="15"/>
    <x v="15"/>
    <n v="24215"/>
    <n v="24031"/>
  </r>
  <r>
    <s v="ORD01789"/>
    <d v="2025-04-14T00:00:00"/>
    <x v="7"/>
    <x v="20"/>
    <x v="4"/>
    <s v="USA"/>
    <x v="30"/>
    <x v="13"/>
    <n v="35540"/>
    <n v="40193"/>
  </r>
  <r>
    <s v="ORD01790"/>
    <d v="2025-10-11T00:00:00"/>
    <x v="4"/>
    <x v="45"/>
    <x v="3"/>
    <s v="Brazil"/>
    <x v="28"/>
    <x v="0"/>
    <n v="35528"/>
    <n v="29748"/>
  </r>
  <r>
    <s v="ORD01791"/>
    <d v="2025-07-26T00:00:00"/>
    <x v="0"/>
    <x v="0"/>
    <x v="3"/>
    <s v="Singapore"/>
    <x v="17"/>
    <x v="4"/>
    <n v="34750"/>
    <n v="36987"/>
  </r>
  <r>
    <s v="ORD01792"/>
    <d v="2025-06-09T00:00:00"/>
    <x v="5"/>
    <x v="40"/>
    <x v="0"/>
    <s v="Russia"/>
    <x v="37"/>
    <x v="18"/>
    <n v="19793"/>
    <n v="23947"/>
  </r>
  <r>
    <s v="ORD01793"/>
    <d v="2025-01-04T00:00:00"/>
    <x v="1"/>
    <x v="5"/>
    <x v="4"/>
    <s v="Japan"/>
    <x v="40"/>
    <x v="22"/>
    <n v="17986"/>
    <n v="21778"/>
  </r>
  <r>
    <s v="ORD01794"/>
    <d v="2025-09-25T00:00:00"/>
    <x v="3"/>
    <x v="25"/>
    <x v="6"/>
    <s v="Thailand"/>
    <x v="13"/>
    <x v="6"/>
    <n v="20062"/>
    <n v="16670"/>
  </r>
  <r>
    <s v="ORD01795"/>
    <d v="2025-05-30T00:00:00"/>
    <x v="8"/>
    <x v="24"/>
    <x v="0"/>
    <s v="Germany"/>
    <x v="34"/>
    <x v="16"/>
    <n v="34029"/>
    <n v="24106"/>
  </r>
  <r>
    <s v="ORD01796"/>
    <d v="2025-05-09T00:00:00"/>
    <x v="8"/>
    <x v="18"/>
    <x v="6"/>
    <s v="Malaysia"/>
    <x v="47"/>
    <x v="12"/>
    <n v="17018"/>
    <n v="21217"/>
  </r>
  <r>
    <s v="ORD01797"/>
    <d v="2025-07-23T00:00:00"/>
    <x v="0"/>
    <x v="0"/>
    <x v="4"/>
    <s v="UK"/>
    <x v="46"/>
    <x v="8"/>
    <n v="34384"/>
    <n v="30497"/>
  </r>
  <r>
    <s v="ORD01798"/>
    <d v="2025-06-26T00:00:00"/>
    <x v="5"/>
    <x v="36"/>
    <x v="0"/>
    <s v="Australia"/>
    <x v="33"/>
    <x v="14"/>
    <n v="37238"/>
    <n v="35767"/>
  </r>
  <r>
    <s v="ORD01799"/>
    <d v="2025-02-09T00:00:00"/>
    <x v="6"/>
    <x v="48"/>
    <x v="2"/>
    <s v="China"/>
    <x v="37"/>
    <x v="15"/>
    <n v="16726"/>
    <n v="20982"/>
  </r>
  <r>
    <s v="ORD01800"/>
    <d v="2025-12-19T00:00:00"/>
    <x v="10"/>
    <x v="21"/>
    <x v="0"/>
    <s v="Russia"/>
    <x v="38"/>
    <x v="23"/>
    <n v="15132"/>
    <n v="18482"/>
  </r>
  <r>
    <s v="ORD01801"/>
    <d v="2025-01-02T00:00:00"/>
    <x v="1"/>
    <x v="5"/>
    <x v="1"/>
    <s v="Australia"/>
    <x v="15"/>
    <x v="15"/>
    <n v="31461"/>
    <n v="32733"/>
  </r>
  <r>
    <s v="ORD01802"/>
    <d v="2025-04-22T00:00:00"/>
    <x v="7"/>
    <x v="38"/>
    <x v="3"/>
    <s v="Italy"/>
    <x v="20"/>
    <x v="2"/>
    <n v="31521"/>
    <n v="38082"/>
  </r>
  <r>
    <s v="ORD01803"/>
    <d v="2025-10-21T00:00:00"/>
    <x v="4"/>
    <x v="50"/>
    <x v="5"/>
    <s v="Brazil"/>
    <x v="40"/>
    <x v="27"/>
    <n v="27375"/>
    <n v="21142"/>
  </r>
  <r>
    <s v="ORD01804"/>
    <d v="2025-04-03T00:00:00"/>
    <x v="7"/>
    <x v="34"/>
    <x v="0"/>
    <s v="UAE"/>
    <x v="22"/>
    <x v="5"/>
    <n v="35452"/>
    <n v="28737"/>
  </r>
  <r>
    <s v="ORD01805"/>
    <d v="2025-06-27T00:00:00"/>
    <x v="5"/>
    <x v="36"/>
    <x v="6"/>
    <s v="UAE"/>
    <x v="48"/>
    <x v="2"/>
    <n v="38975"/>
    <n v="46061"/>
  </r>
  <r>
    <s v="ORD01806"/>
    <d v="2025-11-20T00:00:00"/>
    <x v="2"/>
    <x v="9"/>
    <x v="5"/>
    <s v="Singapore"/>
    <x v="11"/>
    <x v="15"/>
    <n v="22141"/>
    <n v="27918"/>
  </r>
  <r>
    <s v="ORD01807"/>
    <d v="2025-12-19T00:00:00"/>
    <x v="10"/>
    <x v="21"/>
    <x v="5"/>
    <s v="China"/>
    <x v="14"/>
    <x v="6"/>
    <n v="39110"/>
    <n v="36022"/>
  </r>
  <r>
    <s v="ORD01808"/>
    <d v="2025-11-17T00:00:00"/>
    <x v="2"/>
    <x v="9"/>
    <x v="0"/>
    <s v="Thailand"/>
    <x v="8"/>
    <x v="19"/>
    <n v="23956"/>
    <n v="21464"/>
  </r>
  <r>
    <s v="ORD01809"/>
    <d v="2025-10-08T00:00:00"/>
    <x v="4"/>
    <x v="45"/>
    <x v="0"/>
    <s v="UK"/>
    <x v="0"/>
    <x v="14"/>
    <n v="38770"/>
    <n v="33894"/>
  </r>
  <r>
    <s v="ORD01810"/>
    <d v="2025-01-12T00:00:00"/>
    <x v="1"/>
    <x v="6"/>
    <x v="5"/>
    <s v="Turkey"/>
    <x v="21"/>
    <x v="22"/>
    <n v="21904"/>
    <n v="28331"/>
  </r>
  <r>
    <s v="ORD01811"/>
    <d v="2025-05-09T00:00:00"/>
    <x v="8"/>
    <x v="18"/>
    <x v="0"/>
    <s v="Singapore"/>
    <x v="6"/>
    <x v="4"/>
    <n v="18529"/>
    <n v="19324"/>
  </r>
  <r>
    <s v="ORD01812"/>
    <d v="2025-07-16T00:00:00"/>
    <x v="0"/>
    <x v="14"/>
    <x v="4"/>
    <s v="Thailand"/>
    <x v="18"/>
    <x v="18"/>
    <n v="31023"/>
    <n v="32134"/>
  </r>
  <r>
    <s v="ORD01813"/>
    <d v="2025-09-21T00:00:00"/>
    <x v="3"/>
    <x v="8"/>
    <x v="6"/>
    <s v="Russia"/>
    <x v="42"/>
    <x v="2"/>
    <n v="37801"/>
    <n v="47196"/>
  </r>
  <r>
    <s v="ORD01814"/>
    <d v="2025-07-29T00:00:00"/>
    <x v="0"/>
    <x v="12"/>
    <x v="3"/>
    <s v="Russia"/>
    <x v="24"/>
    <x v="2"/>
    <n v="15819"/>
    <n v="16686"/>
  </r>
  <r>
    <s v="ORD01815"/>
    <d v="2025-03-30T00:00:00"/>
    <x v="9"/>
    <x v="33"/>
    <x v="3"/>
    <s v="Thailand"/>
    <x v="2"/>
    <x v="26"/>
    <n v="18953"/>
    <n v="16405"/>
  </r>
  <r>
    <s v="ORD01816"/>
    <d v="2025-10-12T00:00:00"/>
    <x v="4"/>
    <x v="45"/>
    <x v="6"/>
    <s v="South Africa"/>
    <x v="28"/>
    <x v="7"/>
    <n v="38670"/>
    <n v="28600"/>
  </r>
  <r>
    <s v="ORD01817"/>
    <d v="2025-02-25T00:00:00"/>
    <x v="6"/>
    <x v="22"/>
    <x v="2"/>
    <s v="UAE"/>
    <x v="47"/>
    <x v="24"/>
    <n v="24694"/>
    <n v="22825"/>
  </r>
  <r>
    <s v="ORD01818"/>
    <d v="2025-07-10T00:00:00"/>
    <x v="0"/>
    <x v="47"/>
    <x v="1"/>
    <s v="Singapore"/>
    <x v="32"/>
    <x v="4"/>
    <n v="20199"/>
    <n v="24962"/>
  </r>
  <r>
    <s v="ORD01819"/>
    <d v="2025-09-05T00:00:00"/>
    <x v="3"/>
    <x v="4"/>
    <x v="2"/>
    <s v="Germany"/>
    <x v="47"/>
    <x v="4"/>
    <n v="31741"/>
    <n v="22441"/>
  </r>
  <r>
    <s v="ORD01820"/>
    <d v="2025-01-31T00:00:00"/>
    <x v="1"/>
    <x v="3"/>
    <x v="2"/>
    <s v="Japan"/>
    <x v="48"/>
    <x v="18"/>
    <n v="36659"/>
    <n v="33740"/>
  </r>
  <r>
    <s v="ORD01821"/>
    <d v="2025-10-15T00:00:00"/>
    <x v="4"/>
    <x v="10"/>
    <x v="3"/>
    <s v="Mexico"/>
    <x v="10"/>
    <x v="28"/>
    <n v="22316"/>
    <n v="19245"/>
  </r>
  <r>
    <s v="ORD01822"/>
    <d v="2025-05-11T00:00:00"/>
    <x v="8"/>
    <x v="18"/>
    <x v="5"/>
    <s v="Japan"/>
    <x v="18"/>
    <x v="13"/>
    <n v="17207"/>
    <n v="22260"/>
  </r>
  <r>
    <s v="ORD01823"/>
    <d v="2025-10-25T00:00:00"/>
    <x v="4"/>
    <x v="50"/>
    <x v="0"/>
    <s v="Spain"/>
    <x v="10"/>
    <x v="1"/>
    <n v="39009"/>
    <n v="35753"/>
  </r>
  <r>
    <s v="ORD01824"/>
    <d v="2025-11-16T00:00:00"/>
    <x v="2"/>
    <x v="44"/>
    <x v="4"/>
    <s v="Australia"/>
    <x v="19"/>
    <x v="5"/>
    <n v="32411"/>
    <n v="34377"/>
  </r>
  <r>
    <s v="ORD01825"/>
    <d v="2025-03-01T00:00:00"/>
    <x v="9"/>
    <x v="22"/>
    <x v="2"/>
    <s v="Australia"/>
    <x v="30"/>
    <x v="24"/>
    <n v="35164"/>
    <n v="36032"/>
  </r>
  <r>
    <s v="ORD01826"/>
    <d v="2025-07-12T00:00:00"/>
    <x v="0"/>
    <x v="47"/>
    <x v="1"/>
    <s v="Germany"/>
    <x v="42"/>
    <x v="28"/>
    <n v="25177"/>
    <n v="30005"/>
  </r>
  <r>
    <s v="ORD01827"/>
    <d v="2025-03-11T00:00:00"/>
    <x v="9"/>
    <x v="19"/>
    <x v="2"/>
    <s v="USA"/>
    <x v="48"/>
    <x v="11"/>
    <n v="33598"/>
    <n v="38848"/>
  </r>
  <r>
    <s v="ORD01828"/>
    <d v="2025-05-29T00:00:00"/>
    <x v="8"/>
    <x v="24"/>
    <x v="1"/>
    <s v="Italy"/>
    <x v="44"/>
    <x v="20"/>
    <n v="33473"/>
    <n v="24036"/>
  </r>
  <r>
    <s v="ORD01829"/>
    <d v="2025-10-17T00:00:00"/>
    <x v="4"/>
    <x v="10"/>
    <x v="0"/>
    <s v="Brazil"/>
    <x v="42"/>
    <x v="13"/>
    <n v="32850"/>
    <n v="26961"/>
  </r>
  <r>
    <s v="ORD01830"/>
    <d v="2025-10-12T00:00:00"/>
    <x v="4"/>
    <x v="45"/>
    <x v="5"/>
    <s v="Brazil"/>
    <x v="43"/>
    <x v="11"/>
    <n v="23083"/>
    <n v="21099"/>
  </r>
  <r>
    <s v="ORD01831"/>
    <d v="2025-11-19T00:00:00"/>
    <x v="2"/>
    <x v="9"/>
    <x v="5"/>
    <s v="India"/>
    <x v="35"/>
    <x v="10"/>
    <n v="17153"/>
    <n v="18453"/>
  </r>
  <r>
    <s v="ORD01832"/>
    <d v="2025-08-07T00:00:00"/>
    <x v="11"/>
    <x v="23"/>
    <x v="5"/>
    <s v="Malaysia"/>
    <x v="0"/>
    <x v="18"/>
    <n v="29548"/>
    <n v="24761"/>
  </r>
  <r>
    <s v="ORD01833"/>
    <d v="2025-03-10T00:00:00"/>
    <x v="9"/>
    <x v="19"/>
    <x v="2"/>
    <s v="Brazil"/>
    <x v="5"/>
    <x v="9"/>
    <n v="32212"/>
    <n v="34259"/>
  </r>
  <r>
    <s v="ORD01834"/>
    <d v="2025-04-12T00:00:00"/>
    <x v="7"/>
    <x v="16"/>
    <x v="2"/>
    <s v="France"/>
    <x v="41"/>
    <x v="4"/>
    <n v="25964"/>
    <n v="29764"/>
  </r>
  <r>
    <s v="ORD01835"/>
    <d v="2025-10-05T00:00:00"/>
    <x v="4"/>
    <x v="49"/>
    <x v="0"/>
    <s v="Spain"/>
    <x v="42"/>
    <x v="9"/>
    <n v="32973"/>
    <n v="37699"/>
  </r>
  <r>
    <s v="ORD01836"/>
    <d v="2025-10-26T00:00:00"/>
    <x v="4"/>
    <x v="50"/>
    <x v="2"/>
    <s v="Germany"/>
    <x v="24"/>
    <x v="3"/>
    <n v="28498"/>
    <n v="29768"/>
  </r>
  <r>
    <s v="ORD01837"/>
    <d v="2025-10-26T00:00:00"/>
    <x v="4"/>
    <x v="50"/>
    <x v="4"/>
    <s v="Italy"/>
    <x v="5"/>
    <x v="20"/>
    <n v="37233"/>
    <n v="27626"/>
  </r>
  <r>
    <s v="ORD01838"/>
    <d v="2025-03-17T00:00:00"/>
    <x v="9"/>
    <x v="39"/>
    <x v="5"/>
    <s v="Spain"/>
    <x v="18"/>
    <x v="18"/>
    <n v="27602"/>
    <n v="28651"/>
  </r>
  <r>
    <s v="ORD01839"/>
    <d v="2025-08-01T00:00:00"/>
    <x v="11"/>
    <x v="12"/>
    <x v="6"/>
    <s v="Brazil"/>
    <x v="32"/>
    <x v="26"/>
    <n v="24280"/>
    <n v="30226"/>
  </r>
  <r>
    <s v="ORD01840"/>
    <d v="2025-06-13T00:00:00"/>
    <x v="5"/>
    <x v="40"/>
    <x v="1"/>
    <s v="France"/>
    <x v="13"/>
    <x v="13"/>
    <n v="25190"/>
    <n v="28837"/>
  </r>
  <r>
    <s v="ORD01841"/>
    <d v="2025-10-14T00:00:00"/>
    <x v="4"/>
    <x v="10"/>
    <x v="4"/>
    <s v="Thailand"/>
    <x v="43"/>
    <x v="1"/>
    <n v="34246"/>
    <n v="27445"/>
  </r>
  <r>
    <s v="ORD01842"/>
    <d v="2025-07-11T00:00:00"/>
    <x v="0"/>
    <x v="47"/>
    <x v="6"/>
    <s v="Australia"/>
    <x v="34"/>
    <x v="23"/>
    <n v="26079"/>
    <n v="26105"/>
  </r>
  <r>
    <s v="ORD01843"/>
    <d v="2025-10-25T00:00:00"/>
    <x v="4"/>
    <x v="50"/>
    <x v="0"/>
    <s v="Turkey"/>
    <x v="22"/>
    <x v="11"/>
    <n v="34975"/>
    <n v="32954"/>
  </r>
  <r>
    <s v="ORD01844"/>
    <d v="2025-02-06T00:00:00"/>
    <x v="6"/>
    <x v="48"/>
    <x v="0"/>
    <s v="USA"/>
    <x v="41"/>
    <x v="5"/>
    <n v="16706"/>
    <n v="19374"/>
  </r>
  <r>
    <s v="ORD01845"/>
    <d v="2025-09-06T00:00:00"/>
    <x v="3"/>
    <x v="4"/>
    <x v="0"/>
    <s v="Italy"/>
    <x v="17"/>
    <x v="13"/>
    <n v="15991"/>
    <n v="11752"/>
  </r>
  <r>
    <s v="ORD01846"/>
    <d v="2025-12-10T00:00:00"/>
    <x v="10"/>
    <x v="32"/>
    <x v="2"/>
    <s v="Brazil"/>
    <x v="7"/>
    <x v="22"/>
    <n v="23495"/>
    <n v="25980"/>
  </r>
  <r>
    <s v="ORD01847"/>
    <d v="2025-02-21T00:00:00"/>
    <x v="6"/>
    <x v="15"/>
    <x v="1"/>
    <s v="Singapore"/>
    <x v="4"/>
    <x v="21"/>
    <n v="27828"/>
    <n v="25424"/>
  </r>
  <r>
    <s v="ORD01848"/>
    <d v="2025-02-06T00:00:00"/>
    <x v="6"/>
    <x v="48"/>
    <x v="1"/>
    <s v="UAE"/>
    <x v="39"/>
    <x v="18"/>
    <n v="32633"/>
    <n v="29571"/>
  </r>
  <r>
    <s v="ORD01849"/>
    <d v="2025-11-05T00:00:00"/>
    <x v="2"/>
    <x v="51"/>
    <x v="2"/>
    <s v="UK"/>
    <x v="20"/>
    <x v="10"/>
    <n v="23885"/>
    <n v="29314"/>
  </r>
  <r>
    <s v="ORD01850"/>
    <d v="2025-12-01T00:00:00"/>
    <x v="10"/>
    <x v="43"/>
    <x v="4"/>
    <s v="Turkey"/>
    <x v="24"/>
    <x v="18"/>
    <n v="29085"/>
    <n v="20388"/>
  </r>
  <r>
    <s v="ORD01851"/>
    <d v="2025-10-14T00:00:00"/>
    <x v="4"/>
    <x v="10"/>
    <x v="6"/>
    <s v="Malaysia"/>
    <x v="2"/>
    <x v="10"/>
    <n v="23732"/>
    <n v="19605"/>
  </r>
  <r>
    <s v="ORD01852"/>
    <d v="2025-11-08T00:00:00"/>
    <x v="2"/>
    <x v="51"/>
    <x v="4"/>
    <s v="UK"/>
    <x v="26"/>
    <x v="29"/>
    <n v="39770"/>
    <n v="45678"/>
  </r>
  <r>
    <s v="ORD01853"/>
    <d v="2025-10-18T00:00:00"/>
    <x v="4"/>
    <x v="10"/>
    <x v="4"/>
    <s v="South Africa"/>
    <x v="23"/>
    <x v="25"/>
    <n v="25316"/>
    <n v="19387"/>
  </r>
  <r>
    <s v="ORD01854"/>
    <d v="2025-01-27T00:00:00"/>
    <x v="1"/>
    <x v="3"/>
    <x v="1"/>
    <s v="Brazil"/>
    <x v="13"/>
    <x v="24"/>
    <n v="29214"/>
    <n v="35360"/>
  </r>
  <r>
    <s v="ORD01855"/>
    <d v="2025-08-07T00:00:00"/>
    <x v="11"/>
    <x v="23"/>
    <x v="1"/>
    <s v="Mexico"/>
    <x v="5"/>
    <x v="15"/>
    <n v="16616"/>
    <n v="19926"/>
  </r>
  <r>
    <s v="ORD01856"/>
    <d v="2025-04-03T00:00:00"/>
    <x v="7"/>
    <x v="34"/>
    <x v="3"/>
    <s v="South Africa"/>
    <x v="25"/>
    <x v="7"/>
    <n v="37822"/>
    <n v="41486"/>
  </r>
  <r>
    <s v="ORD01857"/>
    <d v="2025-12-19T00:00:00"/>
    <x v="10"/>
    <x v="21"/>
    <x v="1"/>
    <s v="Australia"/>
    <x v="34"/>
    <x v="28"/>
    <n v="25341"/>
    <n v="28824"/>
  </r>
  <r>
    <s v="ORD01858"/>
    <d v="2025-01-29T00:00:00"/>
    <x v="1"/>
    <x v="3"/>
    <x v="1"/>
    <s v="Malaysia"/>
    <x v="16"/>
    <x v="5"/>
    <n v="35624"/>
    <n v="28900"/>
  </r>
  <r>
    <s v="ORD01859"/>
    <d v="2025-05-31T00:00:00"/>
    <x v="8"/>
    <x v="24"/>
    <x v="2"/>
    <s v="South Africa"/>
    <x v="24"/>
    <x v="7"/>
    <n v="23757"/>
    <n v="28462"/>
  </r>
  <r>
    <s v="ORD01860"/>
    <d v="2025-09-13T00:00:00"/>
    <x v="3"/>
    <x v="31"/>
    <x v="4"/>
    <s v="Malaysia"/>
    <x v="2"/>
    <x v="15"/>
    <n v="15612"/>
    <n v="12243"/>
  </r>
  <r>
    <s v="ORD01861"/>
    <d v="2025-11-08T00:00:00"/>
    <x v="2"/>
    <x v="51"/>
    <x v="0"/>
    <s v="China"/>
    <x v="37"/>
    <x v="0"/>
    <n v="32256"/>
    <n v="37950"/>
  </r>
  <r>
    <s v="ORD01862"/>
    <d v="2025-04-06T00:00:00"/>
    <x v="7"/>
    <x v="34"/>
    <x v="5"/>
    <s v="Canada"/>
    <x v="17"/>
    <x v="7"/>
    <n v="33226"/>
    <n v="38517"/>
  </r>
  <r>
    <s v="ORD01863"/>
    <d v="2025-09-03T00:00:00"/>
    <x v="3"/>
    <x v="4"/>
    <x v="0"/>
    <s v="Malaysia"/>
    <x v="15"/>
    <x v="19"/>
    <n v="20215"/>
    <n v="17370"/>
  </r>
  <r>
    <s v="ORD01864"/>
    <d v="2025-09-13T00:00:00"/>
    <x v="3"/>
    <x v="31"/>
    <x v="0"/>
    <s v="Japan"/>
    <x v="33"/>
    <x v="19"/>
    <n v="33313"/>
    <n v="41762"/>
  </r>
  <r>
    <s v="ORD01865"/>
    <d v="2025-11-22T00:00:00"/>
    <x v="2"/>
    <x v="9"/>
    <x v="3"/>
    <s v="South Africa"/>
    <x v="5"/>
    <x v="15"/>
    <n v="37827"/>
    <n v="47212"/>
  </r>
  <r>
    <s v="ORD01866"/>
    <d v="2025-11-02T00:00:00"/>
    <x v="2"/>
    <x v="2"/>
    <x v="2"/>
    <s v="Brazil"/>
    <x v="30"/>
    <x v="18"/>
    <n v="15613"/>
    <n v="12933"/>
  </r>
  <r>
    <s v="ORD01867"/>
    <d v="2025-09-24T00:00:00"/>
    <x v="3"/>
    <x v="25"/>
    <x v="3"/>
    <s v="Australia"/>
    <x v="27"/>
    <x v="0"/>
    <n v="18299"/>
    <n v="17520"/>
  </r>
  <r>
    <s v="ORD01868"/>
    <d v="2025-03-26T00:00:00"/>
    <x v="9"/>
    <x v="33"/>
    <x v="4"/>
    <s v="India"/>
    <x v="32"/>
    <x v="0"/>
    <n v="17939"/>
    <n v="16026"/>
  </r>
  <r>
    <s v="ORD01869"/>
    <d v="2025-08-27T00:00:00"/>
    <x v="11"/>
    <x v="28"/>
    <x v="3"/>
    <s v="Canada"/>
    <x v="16"/>
    <x v="12"/>
    <n v="28829"/>
    <n v="24409"/>
  </r>
  <r>
    <s v="ORD01870"/>
    <d v="2025-12-08T00:00:00"/>
    <x v="10"/>
    <x v="32"/>
    <x v="5"/>
    <s v="Mexico"/>
    <x v="39"/>
    <x v="20"/>
    <n v="20933"/>
    <n v="15291"/>
  </r>
  <r>
    <s v="ORD01871"/>
    <d v="2025-04-11T00:00:00"/>
    <x v="7"/>
    <x v="16"/>
    <x v="1"/>
    <s v="Japan"/>
    <x v="7"/>
    <x v="10"/>
    <n v="19025"/>
    <n v="13639"/>
  </r>
  <r>
    <s v="ORD01872"/>
    <d v="2025-03-17T00:00:00"/>
    <x v="9"/>
    <x v="39"/>
    <x v="4"/>
    <s v="Canada"/>
    <x v="42"/>
    <x v="14"/>
    <n v="22377"/>
    <n v="25581"/>
  </r>
  <r>
    <s v="ORD01873"/>
    <d v="2025-05-26T00:00:00"/>
    <x v="8"/>
    <x v="24"/>
    <x v="6"/>
    <s v="China"/>
    <x v="21"/>
    <x v="3"/>
    <n v="38332"/>
    <n v="30905"/>
  </r>
  <r>
    <s v="ORD01874"/>
    <d v="2025-05-01T00:00:00"/>
    <x v="8"/>
    <x v="27"/>
    <x v="6"/>
    <s v="Mexico"/>
    <x v="27"/>
    <x v="28"/>
    <n v="30726"/>
    <n v="33300"/>
  </r>
  <r>
    <s v="ORD01875"/>
    <d v="2025-12-30T00:00:00"/>
    <x v="10"/>
    <x v="5"/>
    <x v="3"/>
    <s v="Spain"/>
    <x v="3"/>
    <x v="6"/>
    <n v="17553"/>
    <n v="15587"/>
  </r>
  <r>
    <s v="ORD01876"/>
    <d v="2025-03-26T00:00:00"/>
    <x v="9"/>
    <x v="33"/>
    <x v="5"/>
    <s v="Canada"/>
    <x v="46"/>
    <x v="22"/>
    <n v="21612"/>
    <n v="23290"/>
  </r>
  <r>
    <s v="ORD01877"/>
    <d v="2025-11-16T00:00:00"/>
    <x v="2"/>
    <x v="44"/>
    <x v="3"/>
    <s v="USA"/>
    <x v="28"/>
    <x v="15"/>
    <n v="36513"/>
    <n v="44357"/>
  </r>
  <r>
    <s v="ORD01878"/>
    <d v="2025-03-30T00:00:00"/>
    <x v="9"/>
    <x v="33"/>
    <x v="5"/>
    <s v="Japan"/>
    <x v="22"/>
    <x v="12"/>
    <n v="38040"/>
    <n v="38284"/>
  </r>
  <r>
    <s v="ORD01879"/>
    <d v="2025-02-24T00:00:00"/>
    <x v="6"/>
    <x v="22"/>
    <x v="6"/>
    <s v="UAE"/>
    <x v="36"/>
    <x v="2"/>
    <n v="15275"/>
    <n v="12329"/>
  </r>
  <r>
    <s v="ORD01880"/>
    <d v="2025-02-25T00:00:00"/>
    <x v="6"/>
    <x v="22"/>
    <x v="3"/>
    <s v="China"/>
    <x v="2"/>
    <x v="24"/>
    <n v="31540"/>
    <n v="35054"/>
  </r>
  <r>
    <s v="ORD01881"/>
    <d v="2025-12-06T00:00:00"/>
    <x v="10"/>
    <x v="43"/>
    <x v="3"/>
    <s v="Turkey"/>
    <x v="35"/>
    <x v="8"/>
    <n v="26199"/>
    <n v="25856"/>
  </r>
  <r>
    <s v="ORD01882"/>
    <d v="2025-11-29T00:00:00"/>
    <x v="2"/>
    <x v="11"/>
    <x v="6"/>
    <s v="Thailand"/>
    <x v="10"/>
    <x v="10"/>
    <n v="37815"/>
    <n v="39944"/>
  </r>
  <r>
    <s v="ORD01883"/>
    <d v="2025-07-21T00:00:00"/>
    <x v="0"/>
    <x v="0"/>
    <x v="4"/>
    <s v="South Africa"/>
    <x v="21"/>
    <x v="8"/>
    <n v="28998"/>
    <n v="34326"/>
  </r>
  <r>
    <s v="ORD01884"/>
    <d v="2025-06-07T00:00:00"/>
    <x v="5"/>
    <x v="41"/>
    <x v="1"/>
    <s v="Germany"/>
    <x v="18"/>
    <x v="5"/>
    <n v="26638"/>
    <n v="23005"/>
  </r>
  <r>
    <s v="ORD01885"/>
    <d v="2025-12-18T00:00:00"/>
    <x v="10"/>
    <x v="21"/>
    <x v="3"/>
    <s v="USA"/>
    <x v="29"/>
    <x v="9"/>
    <n v="31001"/>
    <n v="25370"/>
  </r>
  <r>
    <s v="ORD01886"/>
    <d v="2025-08-28T00:00:00"/>
    <x v="11"/>
    <x v="28"/>
    <x v="6"/>
    <s v="Germany"/>
    <x v="20"/>
    <x v="14"/>
    <n v="39107"/>
    <n v="39774"/>
  </r>
  <r>
    <s v="ORD01887"/>
    <d v="2025-05-21T00:00:00"/>
    <x v="8"/>
    <x v="26"/>
    <x v="4"/>
    <s v="China"/>
    <x v="18"/>
    <x v="18"/>
    <n v="22168"/>
    <n v="17026"/>
  </r>
  <r>
    <s v="ORD01888"/>
    <d v="2025-12-21T00:00:00"/>
    <x v="10"/>
    <x v="21"/>
    <x v="2"/>
    <s v="UK"/>
    <x v="42"/>
    <x v="8"/>
    <n v="21635"/>
    <n v="21975"/>
  </r>
  <r>
    <s v="ORD01889"/>
    <d v="2025-12-27T00:00:00"/>
    <x v="10"/>
    <x v="42"/>
    <x v="3"/>
    <s v="Australia"/>
    <x v="14"/>
    <x v="18"/>
    <n v="28558"/>
    <n v="21957"/>
  </r>
  <r>
    <s v="ORD01890"/>
    <d v="2025-01-16T00:00:00"/>
    <x v="1"/>
    <x v="1"/>
    <x v="6"/>
    <s v="Mexico"/>
    <x v="47"/>
    <x v="8"/>
    <n v="32048"/>
    <n v="35403"/>
  </r>
  <r>
    <s v="ORD01891"/>
    <d v="2025-08-31T00:00:00"/>
    <x v="11"/>
    <x v="28"/>
    <x v="0"/>
    <s v="USA"/>
    <x v="28"/>
    <x v="2"/>
    <n v="18848"/>
    <n v="13672"/>
  </r>
  <r>
    <s v="ORD01892"/>
    <d v="2025-10-01T00:00:00"/>
    <x v="4"/>
    <x v="49"/>
    <x v="2"/>
    <s v="France"/>
    <x v="14"/>
    <x v="16"/>
    <n v="36946"/>
    <n v="47329"/>
  </r>
  <r>
    <s v="ORD01893"/>
    <d v="2025-11-27T00:00:00"/>
    <x v="2"/>
    <x v="11"/>
    <x v="1"/>
    <s v="Canada"/>
    <x v="36"/>
    <x v="19"/>
    <n v="26314"/>
    <n v="21117"/>
  </r>
  <r>
    <s v="ORD01894"/>
    <d v="2025-09-24T00:00:00"/>
    <x v="3"/>
    <x v="25"/>
    <x v="1"/>
    <s v="USA"/>
    <x v="41"/>
    <x v="18"/>
    <n v="25405"/>
    <n v="25590"/>
  </r>
  <r>
    <s v="ORD01895"/>
    <d v="2025-03-25T00:00:00"/>
    <x v="9"/>
    <x v="33"/>
    <x v="1"/>
    <s v="India"/>
    <x v="26"/>
    <x v="24"/>
    <n v="22093"/>
    <n v="23487"/>
  </r>
  <r>
    <s v="ORD01896"/>
    <d v="2025-02-20T00:00:00"/>
    <x v="6"/>
    <x v="15"/>
    <x v="6"/>
    <s v="Singapore"/>
    <x v="37"/>
    <x v="3"/>
    <n v="22987"/>
    <n v="18283"/>
  </r>
  <r>
    <s v="ORD01897"/>
    <d v="2025-09-01T00:00:00"/>
    <x v="3"/>
    <x v="4"/>
    <x v="0"/>
    <s v="Australia"/>
    <x v="0"/>
    <x v="2"/>
    <n v="20913"/>
    <n v="22101"/>
  </r>
  <r>
    <s v="ORD01898"/>
    <d v="2025-01-27T00:00:00"/>
    <x v="1"/>
    <x v="3"/>
    <x v="2"/>
    <s v="Canada"/>
    <x v="38"/>
    <x v="8"/>
    <n v="30226"/>
    <n v="33282"/>
  </r>
  <r>
    <s v="ORD01899"/>
    <d v="2025-01-15T00:00:00"/>
    <x v="1"/>
    <x v="1"/>
    <x v="2"/>
    <s v="UAE"/>
    <x v="0"/>
    <x v="14"/>
    <n v="17484"/>
    <n v="12868"/>
  </r>
  <r>
    <s v="ORD01900"/>
    <d v="2025-01-01T00:00:00"/>
    <x v="1"/>
    <x v="5"/>
    <x v="0"/>
    <s v="India"/>
    <x v="28"/>
    <x v="8"/>
    <n v="35569"/>
    <n v="36410"/>
  </r>
  <r>
    <s v="ORD01901"/>
    <d v="2025-12-12T00:00:00"/>
    <x v="10"/>
    <x v="32"/>
    <x v="6"/>
    <s v="Russia"/>
    <x v="30"/>
    <x v="20"/>
    <n v="16333"/>
    <n v="13782"/>
  </r>
  <r>
    <s v="ORD01902"/>
    <d v="2025-03-13T00:00:00"/>
    <x v="9"/>
    <x v="19"/>
    <x v="5"/>
    <s v="Thailand"/>
    <x v="24"/>
    <x v="22"/>
    <n v="36688"/>
    <n v="40826"/>
  </r>
  <r>
    <s v="ORD01903"/>
    <d v="2025-07-26T00:00:00"/>
    <x v="0"/>
    <x v="0"/>
    <x v="3"/>
    <s v="Turkey"/>
    <x v="16"/>
    <x v="24"/>
    <n v="28814"/>
    <n v="34286"/>
  </r>
  <r>
    <s v="ORD01904"/>
    <d v="2025-05-18T00:00:00"/>
    <x v="8"/>
    <x v="17"/>
    <x v="1"/>
    <s v="South Africa"/>
    <x v="25"/>
    <x v="8"/>
    <n v="21986"/>
    <n v="16637"/>
  </r>
  <r>
    <s v="ORD01905"/>
    <d v="2025-10-02T00:00:00"/>
    <x v="4"/>
    <x v="49"/>
    <x v="3"/>
    <s v="Malaysia"/>
    <x v="14"/>
    <x v="2"/>
    <n v="28171"/>
    <n v="27497"/>
  </r>
  <r>
    <s v="ORD01906"/>
    <d v="2025-08-12T00:00:00"/>
    <x v="11"/>
    <x v="30"/>
    <x v="5"/>
    <s v="Canada"/>
    <x v="47"/>
    <x v="22"/>
    <n v="22705"/>
    <n v="25460"/>
  </r>
  <r>
    <s v="ORD01907"/>
    <d v="2025-07-27T00:00:00"/>
    <x v="0"/>
    <x v="0"/>
    <x v="5"/>
    <s v="Australia"/>
    <x v="3"/>
    <x v="17"/>
    <n v="17286"/>
    <n v="21686"/>
  </r>
  <r>
    <s v="ORD01908"/>
    <d v="2025-01-02T00:00:00"/>
    <x v="1"/>
    <x v="5"/>
    <x v="3"/>
    <s v="Canada"/>
    <x v="41"/>
    <x v="26"/>
    <n v="20108"/>
    <n v="21161"/>
  </r>
  <r>
    <s v="ORD01909"/>
    <d v="2025-01-09T00:00:00"/>
    <x v="1"/>
    <x v="6"/>
    <x v="2"/>
    <s v="UAE"/>
    <x v="30"/>
    <x v="23"/>
    <n v="20908"/>
    <n v="19416"/>
  </r>
  <r>
    <s v="ORD01910"/>
    <d v="2025-07-08T00:00:00"/>
    <x v="0"/>
    <x v="47"/>
    <x v="0"/>
    <s v="UAE"/>
    <x v="31"/>
    <x v="21"/>
    <n v="39110"/>
    <n v="33175"/>
  </r>
  <r>
    <s v="ORD01911"/>
    <d v="2025-03-29T00:00:00"/>
    <x v="9"/>
    <x v="33"/>
    <x v="5"/>
    <s v="China"/>
    <x v="12"/>
    <x v="24"/>
    <n v="35141"/>
    <n v="33131"/>
  </r>
  <r>
    <s v="ORD01912"/>
    <d v="2025-05-09T00:00:00"/>
    <x v="8"/>
    <x v="18"/>
    <x v="6"/>
    <s v="India"/>
    <x v="3"/>
    <x v="22"/>
    <n v="23481"/>
    <n v="17668"/>
  </r>
  <r>
    <s v="ORD01913"/>
    <d v="2025-12-26T00:00:00"/>
    <x v="10"/>
    <x v="42"/>
    <x v="4"/>
    <s v="Italy"/>
    <x v="43"/>
    <x v="27"/>
    <n v="24670"/>
    <n v="24497"/>
  </r>
  <r>
    <s v="ORD01914"/>
    <d v="2025-05-14T00:00:00"/>
    <x v="8"/>
    <x v="17"/>
    <x v="0"/>
    <s v="China"/>
    <x v="23"/>
    <x v="17"/>
    <n v="28564"/>
    <n v="27714"/>
  </r>
  <r>
    <s v="ORD01915"/>
    <d v="2025-08-15T00:00:00"/>
    <x v="11"/>
    <x v="30"/>
    <x v="6"/>
    <s v="South Africa"/>
    <x v="30"/>
    <x v="7"/>
    <n v="32974"/>
    <n v="35192"/>
  </r>
  <r>
    <s v="ORD01916"/>
    <d v="2025-12-28T00:00:00"/>
    <x v="10"/>
    <x v="42"/>
    <x v="0"/>
    <s v="Thailand"/>
    <x v="1"/>
    <x v="17"/>
    <n v="20838"/>
    <n v="23685"/>
  </r>
  <r>
    <s v="ORD01917"/>
    <d v="2025-02-19T00:00:00"/>
    <x v="6"/>
    <x v="15"/>
    <x v="4"/>
    <s v="Japan"/>
    <x v="33"/>
    <x v="6"/>
    <n v="19111"/>
    <n v="21823"/>
  </r>
  <r>
    <s v="ORD01918"/>
    <d v="2025-06-11T00:00:00"/>
    <x v="5"/>
    <x v="40"/>
    <x v="2"/>
    <s v="Brazil"/>
    <x v="34"/>
    <x v="9"/>
    <n v="28251"/>
    <n v="27337"/>
  </r>
  <r>
    <s v="ORD01919"/>
    <d v="2025-11-19T00:00:00"/>
    <x v="2"/>
    <x v="9"/>
    <x v="3"/>
    <s v="Russia"/>
    <x v="49"/>
    <x v="26"/>
    <n v="36541"/>
    <n v="32551"/>
  </r>
  <r>
    <s v="ORD01920"/>
    <d v="2025-12-21T00:00:00"/>
    <x v="10"/>
    <x v="21"/>
    <x v="2"/>
    <s v="USA"/>
    <x v="3"/>
    <x v="9"/>
    <n v="35046"/>
    <n v="28243"/>
  </r>
  <r>
    <s v="ORD01921"/>
    <d v="2025-01-21T00:00:00"/>
    <x v="1"/>
    <x v="7"/>
    <x v="0"/>
    <s v="South Africa"/>
    <x v="5"/>
    <x v="27"/>
    <n v="24946"/>
    <n v="29173"/>
  </r>
  <r>
    <s v="ORD01922"/>
    <d v="2025-03-29T00:00:00"/>
    <x v="9"/>
    <x v="33"/>
    <x v="2"/>
    <s v="France"/>
    <x v="49"/>
    <x v="24"/>
    <n v="31856"/>
    <n v="28392"/>
  </r>
  <r>
    <s v="ORD01923"/>
    <d v="2025-08-03T00:00:00"/>
    <x v="11"/>
    <x v="12"/>
    <x v="0"/>
    <s v="Japan"/>
    <x v="24"/>
    <x v="14"/>
    <n v="21926"/>
    <n v="23230"/>
  </r>
  <r>
    <s v="ORD01924"/>
    <d v="2025-10-28T00:00:00"/>
    <x v="4"/>
    <x v="2"/>
    <x v="3"/>
    <s v="Italy"/>
    <x v="39"/>
    <x v="18"/>
    <n v="23909"/>
    <n v="30682"/>
  </r>
  <r>
    <s v="ORD01925"/>
    <d v="2025-01-11T00:00:00"/>
    <x v="1"/>
    <x v="6"/>
    <x v="2"/>
    <s v="Thailand"/>
    <x v="1"/>
    <x v="20"/>
    <n v="18936"/>
    <n v="23009"/>
  </r>
  <r>
    <s v="ORD01926"/>
    <d v="2025-11-29T00:00:00"/>
    <x v="2"/>
    <x v="11"/>
    <x v="6"/>
    <s v="USA"/>
    <x v="5"/>
    <x v="15"/>
    <n v="21601"/>
    <n v="23665"/>
  </r>
  <r>
    <s v="ORD01927"/>
    <d v="2025-12-21T00:00:00"/>
    <x v="10"/>
    <x v="21"/>
    <x v="5"/>
    <s v="Italy"/>
    <x v="43"/>
    <x v="23"/>
    <n v="31295"/>
    <n v="30461"/>
  </r>
  <r>
    <s v="ORD01928"/>
    <d v="2025-06-03T00:00:00"/>
    <x v="5"/>
    <x v="41"/>
    <x v="1"/>
    <s v="Turkey"/>
    <x v="35"/>
    <x v="3"/>
    <n v="38491"/>
    <n v="37600"/>
  </r>
  <r>
    <s v="ORD01929"/>
    <d v="2025-09-29T00:00:00"/>
    <x v="3"/>
    <x v="49"/>
    <x v="3"/>
    <s v="UAE"/>
    <x v="47"/>
    <x v="22"/>
    <n v="27087"/>
    <n v="23341"/>
  </r>
  <r>
    <s v="ORD01930"/>
    <d v="2025-10-16T00:00:00"/>
    <x v="4"/>
    <x v="10"/>
    <x v="2"/>
    <s v="South Africa"/>
    <x v="30"/>
    <x v="18"/>
    <n v="16431"/>
    <n v="19864"/>
  </r>
  <r>
    <s v="ORD01931"/>
    <d v="2025-12-13T00:00:00"/>
    <x v="10"/>
    <x v="32"/>
    <x v="0"/>
    <s v="UK"/>
    <x v="7"/>
    <x v="0"/>
    <n v="32209"/>
    <n v="29974"/>
  </r>
  <r>
    <s v="ORD01932"/>
    <d v="2025-11-01T00:00:00"/>
    <x v="2"/>
    <x v="2"/>
    <x v="3"/>
    <s v="China"/>
    <x v="33"/>
    <x v="29"/>
    <n v="39841"/>
    <n v="42052"/>
  </r>
  <r>
    <s v="ORD01933"/>
    <d v="2025-12-27T00:00:00"/>
    <x v="10"/>
    <x v="42"/>
    <x v="0"/>
    <s v="Brazil"/>
    <x v="25"/>
    <x v="1"/>
    <n v="22785"/>
    <n v="25447"/>
  </r>
  <r>
    <s v="ORD01934"/>
    <d v="2025-03-19T00:00:00"/>
    <x v="9"/>
    <x v="39"/>
    <x v="1"/>
    <s v="Russia"/>
    <x v="32"/>
    <x v="22"/>
    <n v="28007"/>
    <n v="21900"/>
  </r>
  <r>
    <s v="ORD01935"/>
    <d v="2025-01-25T00:00:00"/>
    <x v="1"/>
    <x v="7"/>
    <x v="1"/>
    <s v="Thailand"/>
    <x v="8"/>
    <x v="7"/>
    <n v="28444"/>
    <n v="28337"/>
  </r>
  <r>
    <s v="ORD01936"/>
    <d v="2025-04-01T00:00:00"/>
    <x v="7"/>
    <x v="34"/>
    <x v="0"/>
    <s v="Spain"/>
    <x v="30"/>
    <x v="9"/>
    <n v="34697"/>
    <n v="24828"/>
  </r>
  <r>
    <s v="ORD01937"/>
    <d v="2025-03-02T00:00:00"/>
    <x v="9"/>
    <x v="22"/>
    <x v="2"/>
    <s v="France"/>
    <x v="13"/>
    <x v="26"/>
    <n v="18188"/>
    <n v="19581"/>
  </r>
  <r>
    <s v="ORD01938"/>
    <d v="2025-05-03T00:00:00"/>
    <x v="8"/>
    <x v="27"/>
    <x v="4"/>
    <s v="Mexico"/>
    <x v="32"/>
    <x v="11"/>
    <n v="28558"/>
    <n v="27761"/>
  </r>
  <r>
    <s v="ORD01939"/>
    <d v="2025-11-25T00:00:00"/>
    <x v="2"/>
    <x v="11"/>
    <x v="5"/>
    <s v="Malaysia"/>
    <x v="21"/>
    <x v="27"/>
    <n v="16666"/>
    <n v="21541"/>
  </r>
  <r>
    <s v="ORD01940"/>
    <d v="2025-12-28T00:00:00"/>
    <x v="10"/>
    <x v="42"/>
    <x v="1"/>
    <s v="Australia"/>
    <x v="11"/>
    <x v="3"/>
    <n v="32453"/>
    <n v="38584"/>
  </r>
  <r>
    <s v="ORD01941"/>
    <d v="2025-10-09T00:00:00"/>
    <x v="4"/>
    <x v="45"/>
    <x v="0"/>
    <s v="UK"/>
    <x v="17"/>
    <x v="25"/>
    <n v="39449"/>
    <n v="34880"/>
  </r>
  <r>
    <s v="ORD01942"/>
    <d v="2025-08-23T00:00:00"/>
    <x v="11"/>
    <x v="46"/>
    <x v="4"/>
    <s v="Spain"/>
    <x v="28"/>
    <x v="28"/>
    <n v="24516"/>
    <n v="23809"/>
  </r>
  <r>
    <s v="ORD01943"/>
    <d v="2025-12-21T00:00:00"/>
    <x v="10"/>
    <x v="21"/>
    <x v="3"/>
    <s v="China"/>
    <x v="3"/>
    <x v="20"/>
    <n v="26067"/>
    <n v="30211"/>
  </r>
  <r>
    <s v="ORD01944"/>
    <d v="2025-04-06T00:00:00"/>
    <x v="7"/>
    <x v="34"/>
    <x v="5"/>
    <s v="Canada"/>
    <x v="33"/>
    <x v="1"/>
    <n v="22224"/>
    <n v="27758"/>
  </r>
  <r>
    <s v="ORD01945"/>
    <d v="2025-04-18T00:00:00"/>
    <x v="7"/>
    <x v="20"/>
    <x v="5"/>
    <s v="Brazil"/>
    <x v="38"/>
    <x v="4"/>
    <n v="21690"/>
    <n v="23661"/>
  </r>
  <r>
    <s v="ORD01946"/>
    <d v="2025-02-05T00:00:00"/>
    <x v="6"/>
    <x v="48"/>
    <x v="6"/>
    <s v="Germany"/>
    <x v="10"/>
    <x v="22"/>
    <n v="22965"/>
    <n v="27860"/>
  </r>
  <r>
    <s v="ORD01947"/>
    <d v="2025-09-26T00:00:00"/>
    <x v="3"/>
    <x v="25"/>
    <x v="2"/>
    <s v="China"/>
    <x v="1"/>
    <x v="17"/>
    <n v="24187"/>
    <n v="27708"/>
  </r>
  <r>
    <s v="ORD01948"/>
    <d v="2025-07-02T00:00:00"/>
    <x v="0"/>
    <x v="37"/>
    <x v="0"/>
    <s v="Singapore"/>
    <x v="32"/>
    <x v="8"/>
    <n v="29489"/>
    <n v="23278"/>
  </r>
  <r>
    <s v="ORD01949"/>
    <d v="2025-10-28T00:00:00"/>
    <x v="4"/>
    <x v="2"/>
    <x v="2"/>
    <s v="South Africa"/>
    <x v="48"/>
    <x v="19"/>
    <n v="28467"/>
    <n v="20710"/>
  </r>
  <r>
    <s v="ORD01950"/>
    <d v="2025-06-29T00:00:00"/>
    <x v="5"/>
    <x v="36"/>
    <x v="6"/>
    <s v="Spain"/>
    <x v="11"/>
    <x v="24"/>
    <n v="24170"/>
    <n v="18887"/>
  </r>
  <r>
    <s v="ORD01951"/>
    <d v="2025-03-20T00:00:00"/>
    <x v="9"/>
    <x v="39"/>
    <x v="6"/>
    <s v="Australia"/>
    <x v="40"/>
    <x v="22"/>
    <n v="21443"/>
    <n v="16485"/>
  </r>
  <r>
    <s v="ORD01952"/>
    <d v="2025-01-11T00:00:00"/>
    <x v="1"/>
    <x v="6"/>
    <x v="3"/>
    <s v="UK"/>
    <x v="11"/>
    <x v="9"/>
    <n v="21323"/>
    <n v="15815"/>
  </r>
  <r>
    <s v="ORD01953"/>
    <d v="2025-10-22T00:00:00"/>
    <x v="4"/>
    <x v="50"/>
    <x v="3"/>
    <s v="Japan"/>
    <x v="37"/>
    <x v="16"/>
    <n v="25352"/>
    <n v="17842"/>
  </r>
  <r>
    <s v="ORD01954"/>
    <d v="2025-04-26T00:00:00"/>
    <x v="7"/>
    <x v="38"/>
    <x v="2"/>
    <s v="Mexico"/>
    <x v="9"/>
    <x v="4"/>
    <n v="31273"/>
    <n v="31390"/>
  </r>
  <r>
    <s v="ORD01955"/>
    <d v="2025-04-07T00:00:00"/>
    <x v="7"/>
    <x v="16"/>
    <x v="6"/>
    <s v="Germany"/>
    <x v="27"/>
    <x v="5"/>
    <n v="39319"/>
    <n v="50464"/>
  </r>
  <r>
    <s v="ORD01956"/>
    <d v="2025-07-01T00:00:00"/>
    <x v="0"/>
    <x v="37"/>
    <x v="6"/>
    <s v="India"/>
    <x v="36"/>
    <x v="17"/>
    <n v="18832"/>
    <n v="22184"/>
  </r>
  <r>
    <s v="ORD01957"/>
    <d v="2025-09-11T00:00:00"/>
    <x v="3"/>
    <x v="31"/>
    <x v="5"/>
    <s v="Thailand"/>
    <x v="42"/>
    <x v="13"/>
    <n v="33717"/>
    <n v="36771"/>
  </r>
  <r>
    <s v="ORD01958"/>
    <d v="2025-05-06T00:00:00"/>
    <x v="8"/>
    <x v="18"/>
    <x v="4"/>
    <s v="Singapore"/>
    <x v="39"/>
    <x v="4"/>
    <n v="26794"/>
    <n v="20327"/>
  </r>
  <r>
    <s v="ORD01959"/>
    <d v="2025-08-12T00:00:00"/>
    <x v="11"/>
    <x v="30"/>
    <x v="1"/>
    <s v="Australia"/>
    <x v="7"/>
    <x v="9"/>
    <n v="15270"/>
    <n v="11649"/>
  </r>
  <r>
    <s v="ORD01960"/>
    <d v="2025-07-07T00:00:00"/>
    <x v="0"/>
    <x v="47"/>
    <x v="2"/>
    <s v="Singapore"/>
    <x v="34"/>
    <x v="19"/>
    <n v="25432"/>
    <n v="27290"/>
  </r>
  <r>
    <s v="ORD01961"/>
    <d v="2025-07-15T00:00:00"/>
    <x v="0"/>
    <x v="14"/>
    <x v="4"/>
    <s v="UK"/>
    <x v="17"/>
    <x v="19"/>
    <n v="30803"/>
    <n v="38667"/>
  </r>
  <r>
    <s v="ORD01962"/>
    <d v="2025-09-18T00:00:00"/>
    <x v="3"/>
    <x v="8"/>
    <x v="6"/>
    <s v="Mexico"/>
    <x v="24"/>
    <x v="23"/>
    <n v="20732"/>
    <n v="23579"/>
  </r>
  <r>
    <s v="ORD01963"/>
    <d v="2025-07-31T00:00:00"/>
    <x v="0"/>
    <x v="12"/>
    <x v="6"/>
    <s v="Germany"/>
    <x v="29"/>
    <x v="13"/>
    <n v="24159"/>
    <n v="21149"/>
  </r>
  <r>
    <s v="ORD01964"/>
    <d v="2025-07-25T00:00:00"/>
    <x v="0"/>
    <x v="0"/>
    <x v="1"/>
    <s v="UK"/>
    <x v="22"/>
    <x v="9"/>
    <n v="15183"/>
    <n v="14432"/>
  </r>
  <r>
    <s v="ORD01965"/>
    <d v="2025-07-12T00:00:00"/>
    <x v="0"/>
    <x v="47"/>
    <x v="3"/>
    <s v="India"/>
    <x v="7"/>
    <x v="28"/>
    <n v="31098"/>
    <n v="27809"/>
  </r>
  <r>
    <s v="ORD01966"/>
    <d v="2025-05-07T00:00:00"/>
    <x v="8"/>
    <x v="18"/>
    <x v="4"/>
    <s v="South Africa"/>
    <x v="11"/>
    <x v="9"/>
    <n v="38293"/>
    <n v="38165"/>
  </r>
  <r>
    <s v="ORD01967"/>
    <d v="2025-04-11T00:00:00"/>
    <x v="7"/>
    <x v="16"/>
    <x v="1"/>
    <s v="UAE"/>
    <x v="15"/>
    <x v="5"/>
    <n v="35984"/>
    <n v="30443"/>
  </r>
  <r>
    <s v="ORD01968"/>
    <d v="2025-12-24T00:00:00"/>
    <x v="10"/>
    <x v="42"/>
    <x v="3"/>
    <s v="China"/>
    <x v="22"/>
    <x v="13"/>
    <n v="32145"/>
    <n v="31191"/>
  </r>
  <r>
    <s v="ORD01969"/>
    <d v="2025-08-02T00:00:00"/>
    <x v="11"/>
    <x v="12"/>
    <x v="0"/>
    <s v="South Africa"/>
    <x v="23"/>
    <x v="20"/>
    <n v="35027"/>
    <n v="27490"/>
  </r>
  <r>
    <s v="ORD01970"/>
    <d v="2025-09-01T00:00:00"/>
    <x v="3"/>
    <x v="4"/>
    <x v="1"/>
    <s v="Germany"/>
    <x v="2"/>
    <x v="5"/>
    <n v="17804"/>
    <n v="19586"/>
  </r>
  <r>
    <s v="ORD01971"/>
    <d v="2025-07-31T00:00:00"/>
    <x v="0"/>
    <x v="12"/>
    <x v="3"/>
    <s v="Canada"/>
    <x v="9"/>
    <x v="16"/>
    <n v="33137"/>
    <n v="27256"/>
  </r>
  <r>
    <s v="ORD01972"/>
    <d v="2025-02-26T00:00:00"/>
    <x v="6"/>
    <x v="22"/>
    <x v="2"/>
    <s v="UAE"/>
    <x v="33"/>
    <x v="27"/>
    <n v="38578"/>
    <n v="28817"/>
  </r>
  <r>
    <s v="ORD01973"/>
    <d v="2025-01-22T00:00:00"/>
    <x v="1"/>
    <x v="7"/>
    <x v="4"/>
    <s v="USA"/>
    <x v="35"/>
    <x v="3"/>
    <n v="18878"/>
    <n v="21103"/>
  </r>
  <r>
    <s v="ORD01974"/>
    <d v="2025-09-15T00:00:00"/>
    <x v="3"/>
    <x v="8"/>
    <x v="6"/>
    <s v="UAE"/>
    <x v="17"/>
    <x v="17"/>
    <n v="30353"/>
    <n v="36698"/>
  </r>
  <r>
    <s v="ORD01975"/>
    <d v="2025-08-27T00:00:00"/>
    <x v="11"/>
    <x v="28"/>
    <x v="0"/>
    <s v="Mexico"/>
    <x v="38"/>
    <x v="18"/>
    <n v="25638"/>
    <n v="29841"/>
  </r>
  <r>
    <s v="ORD01976"/>
    <d v="2025-03-31T00:00:00"/>
    <x v="9"/>
    <x v="34"/>
    <x v="0"/>
    <s v="UK"/>
    <x v="23"/>
    <x v="26"/>
    <n v="37535"/>
    <n v="39214"/>
  </r>
  <r>
    <s v="ORD01977"/>
    <d v="2025-04-22T00:00:00"/>
    <x v="7"/>
    <x v="38"/>
    <x v="5"/>
    <s v="Italy"/>
    <x v="7"/>
    <x v="4"/>
    <n v="31089"/>
    <n v="31429"/>
  </r>
  <r>
    <s v="ORD01978"/>
    <d v="2025-02-24T00:00:00"/>
    <x v="6"/>
    <x v="22"/>
    <x v="3"/>
    <s v="Brazil"/>
    <x v="20"/>
    <x v="14"/>
    <n v="38253"/>
    <n v="34049"/>
  </r>
  <r>
    <s v="ORD01979"/>
    <d v="2025-09-23T00:00:00"/>
    <x v="3"/>
    <x v="25"/>
    <x v="1"/>
    <s v="Italy"/>
    <x v="47"/>
    <x v="28"/>
    <n v="39444"/>
    <n v="30397"/>
  </r>
  <r>
    <s v="ORD01980"/>
    <d v="2025-02-26T00:00:00"/>
    <x v="6"/>
    <x v="22"/>
    <x v="5"/>
    <s v="South Africa"/>
    <x v="31"/>
    <x v="7"/>
    <n v="36297"/>
    <n v="30290"/>
  </r>
  <r>
    <s v="ORD01981"/>
    <d v="2025-12-18T00:00:00"/>
    <x v="10"/>
    <x v="21"/>
    <x v="0"/>
    <s v="Spain"/>
    <x v="29"/>
    <x v="2"/>
    <n v="20179"/>
    <n v="26089"/>
  </r>
  <r>
    <s v="ORD01982"/>
    <d v="2025-11-15T00:00:00"/>
    <x v="2"/>
    <x v="44"/>
    <x v="5"/>
    <s v="South Africa"/>
    <x v="2"/>
    <x v="6"/>
    <n v="36133"/>
    <n v="38023"/>
  </r>
  <r>
    <s v="ORD01983"/>
    <d v="2025-04-30T00:00:00"/>
    <x v="7"/>
    <x v="27"/>
    <x v="2"/>
    <s v="South Africa"/>
    <x v="18"/>
    <x v="23"/>
    <n v="28603"/>
    <n v="34185"/>
  </r>
  <r>
    <s v="ORD01984"/>
    <d v="2025-06-23T00:00:00"/>
    <x v="5"/>
    <x v="36"/>
    <x v="0"/>
    <s v="India"/>
    <x v="3"/>
    <x v="9"/>
    <n v="17155"/>
    <n v="21243"/>
  </r>
  <r>
    <s v="ORD01985"/>
    <d v="2025-07-24T00:00:00"/>
    <x v="0"/>
    <x v="0"/>
    <x v="0"/>
    <s v="Australia"/>
    <x v="40"/>
    <x v="8"/>
    <n v="30638"/>
    <n v="22150"/>
  </r>
  <r>
    <s v="ORD01986"/>
    <d v="2025-12-28T00:00:00"/>
    <x v="10"/>
    <x v="42"/>
    <x v="2"/>
    <s v="Russia"/>
    <x v="24"/>
    <x v="26"/>
    <n v="25186"/>
    <n v="31284"/>
  </r>
  <r>
    <s v="ORD01987"/>
    <d v="2025-05-05T00:00:00"/>
    <x v="8"/>
    <x v="18"/>
    <x v="2"/>
    <s v="USA"/>
    <x v="17"/>
    <x v="9"/>
    <n v="17143"/>
    <n v="15693"/>
  </r>
  <r>
    <s v="ORD01988"/>
    <d v="2025-11-11T00:00:00"/>
    <x v="2"/>
    <x v="44"/>
    <x v="6"/>
    <s v="Italy"/>
    <x v="5"/>
    <x v="14"/>
    <n v="28900"/>
    <n v="30527"/>
  </r>
  <r>
    <s v="ORD01989"/>
    <d v="2025-03-02T00:00:00"/>
    <x v="9"/>
    <x v="22"/>
    <x v="6"/>
    <s v="Germany"/>
    <x v="41"/>
    <x v="2"/>
    <n v="19551"/>
    <n v="18648"/>
  </r>
  <r>
    <s v="ORD01990"/>
    <d v="2025-02-23T00:00:00"/>
    <x v="6"/>
    <x v="15"/>
    <x v="2"/>
    <s v="France"/>
    <x v="8"/>
    <x v="3"/>
    <n v="28236"/>
    <n v="20471"/>
  </r>
  <r>
    <s v="ORD01991"/>
    <d v="2025-03-06T00:00:00"/>
    <x v="9"/>
    <x v="35"/>
    <x v="6"/>
    <s v="Turkey"/>
    <x v="32"/>
    <x v="29"/>
    <n v="28104"/>
    <n v="32256"/>
  </r>
  <r>
    <s v="ORD01992"/>
    <d v="2025-08-31T00:00:00"/>
    <x v="11"/>
    <x v="28"/>
    <x v="0"/>
    <s v="Mexico"/>
    <x v="21"/>
    <x v="1"/>
    <n v="38879"/>
    <n v="37697"/>
  </r>
  <r>
    <s v="ORD01993"/>
    <d v="2025-07-26T00:00:00"/>
    <x v="0"/>
    <x v="0"/>
    <x v="2"/>
    <s v="India"/>
    <x v="19"/>
    <x v="11"/>
    <n v="23655"/>
    <n v="28044"/>
  </r>
  <r>
    <s v="ORD01994"/>
    <d v="2025-12-18T00:00:00"/>
    <x v="10"/>
    <x v="21"/>
    <x v="1"/>
    <s v="Singapore"/>
    <x v="24"/>
    <x v="29"/>
    <n v="37019"/>
    <n v="42154"/>
  </r>
  <r>
    <s v="ORD01995"/>
    <d v="2025-01-24T00:00:00"/>
    <x v="1"/>
    <x v="7"/>
    <x v="0"/>
    <s v="Germany"/>
    <x v="35"/>
    <x v="26"/>
    <n v="29465"/>
    <n v="32140"/>
  </r>
  <r>
    <s v="ORD01996"/>
    <d v="2025-12-10T00:00:00"/>
    <x v="10"/>
    <x v="32"/>
    <x v="1"/>
    <s v="China"/>
    <x v="35"/>
    <x v="11"/>
    <n v="36101"/>
    <n v="40491"/>
  </r>
  <r>
    <s v="ORD01997"/>
    <d v="2025-07-18T00:00:00"/>
    <x v="0"/>
    <x v="14"/>
    <x v="6"/>
    <s v="Thailand"/>
    <x v="0"/>
    <x v="6"/>
    <n v="36526"/>
    <n v="32047"/>
  </r>
  <r>
    <s v="ORD01998"/>
    <d v="2025-10-26T00:00:00"/>
    <x v="4"/>
    <x v="50"/>
    <x v="2"/>
    <s v="Singapore"/>
    <x v="39"/>
    <x v="20"/>
    <n v="29554"/>
    <n v="37850"/>
  </r>
  <r>
    <s v="ORD01999"/>
    <d v="2025-07-27T00:00:00"/>
    <x v="0"/>
    <x v="0"/>
    <x v="6"/>
    <s v="South Africa"/>
    <x v="26"/>
    <x v="0"/>
    <n v="29592"/>
    <n v="36209"/>
  </r>
  <r>
    <s v="ORD02000"/>
    <d v="2025-04-15T00:00:00"/>
    <x v="7"/>
    <x v="20"/>
    <x v="1"/>
    <s v="Singapore"/>
    <x v="33"/>
    <x v="25"/>
    <n v="16751"/>
    <n v="20071"/>
  </r>
  <r>
    <s v="ORD02001"/>
    <d v="2025-05-27T00:00:00"/>
    <x v="8"/>
    <x v="24"/>
    <x v="6"/>
    <s v="Germany"/>
    <x v="44"/>
    <x v="20"/>
    <n v="21616"/>
    <n v="16090"/>
  </r>
  <r>
    <s v="ORD02002"/>
    <d v="2025-11-30T00:00:00"/>
    <x v="2"/>
    <x v="11"/>
    <x v="5"/>
    <s v="Singapore"/>
    <x v="49"/>
    <x v="2"/>
    <n v="35341"/>
    <n v="33380"/>
  </r>
  <r>
    <s v="ORD02003"/>
    <d v="2025-03-15T00:00:00"/>
    <x v="9"/>
    <x v="19"/>
    <x v="6"/>
    <s v="Japan"/>
    <x v="33"/>
    <x v="26"/>
    <n v="37465"/>
    <n v="32423"/>
  </r>
  <r>
    <s v="ORD02004"/>
    <d v="2025-12-11T00:00:00"/>
    <x v="10"/>
    <x v="32"/>
    <x v="4"/>
    <s v="Russia"/>
    <x v="42"/>
    <x v="18"/>
    <n v="28008"/>
    <n v="35246"/>
  </r>
  <r>
    <s v="ORD02005"/>
    <d v="2025-10-14T00:00:00"/>
    <x v="4"/>
    <x v="10"/>
    <x v="0"/>
    <s v="UK"/>
    <x v="49"/>
    <x v="14"/>
    <n v="37936"/>
    <n v="40260"/>
  </r>
  <r>
    <s v="ORD02006"/>
    <d v="2025-12-11T00:00:00"/>
    <x v="10"/>
    <x v="32"/>
    <x v="2"/>
    <s v="France"/>
    <x v="40"/>
    <x v="15"/>
    <n v="35608"/>
    <n v="25498"/>
  </r>
  <r>
    <s v="ORD02007"/>
    <d v="2025-06-13T00:00:00"/>
    <x v="5"/>
    <x v="40"/>
    <x v="4"/>
    <s v="Russia"/>
    <x v="26"/>
    <x v="5"/>
    <n v="31192"/>
    <n v="29192"/>
  </r>
  <r>
    <s v="ORD02008"/>
    <d v="2025-10-30T00:00:00"/>
    <x v="4"/>
    <x v="2"/>
    <x v="6"/>
    <s v="Turkey"/>
    <x v="45"/>
    <x v="0"/>
    <n v="34192"/>
    <n v="44355"/>
  </r>
  <r>
    <s v="ORD02009"/>
    <d v="2025-12-16T00:00:00"/>
    <x v="10"/>
    <x v="21"/>
    <x v="4"/>
    <s v="Japan"/>
    <x v="34"/>
    <x v="4"/>
    <n v="20522"/>
    <n v="16037"/>
  </r>
  <r>
    <s v="ORD02010"/>
    <d v="2025-02-21T00:00:00"/>
    <x v="6"/>
    <x v="15"/>
    <x v="2"/>
    <s v="Turkey"/>
    <x v="37"/>
    <x v="27"/>
    <n v="37912"/>
    <n v="44765"/>
  </r>
  <r>
    <s v="ORD02011"/>
    <d v="2025-07-27T00:00:00"/>
    <x v="0"/>
    <x v="0"/>
    <x v="1"/>
    <s v="Italy"/>
    <x v="25"/>
    <x v="13"/>
    <n v="33214"/>
    <n v="30678"/>
  </r>
  <r>
    <s v="ORD02012"/>
    <d v="2025-02-08T00:00:00"/>
    <x v="6"/>
    <x v="48"/>
    <x v="0"/>
    <s v="USA"/>
    <x v="20"/>
    <x v="19"/>
    <n v="38125"/>
    <n v="36284"/>
  </r>
  <r>
    <s v="ORD02013"/>
    <d v="2025-09-18T00:00:00"/>
    <x v="3"/>
    <x v="8"/>
    <x v="4"/>
    <s v="Italy"/>
    <x v="39"/>
    <x v="7"/>
    <n v="23755"/>
    <n v="19168"/>
  </r>
  <r>
    <s v="ORD02014"/>
    <d v="2025-06-12T00:00:00"/>
    <x v="5"/>
    <x v="40"/>
    <x v="4"/>
    <s v="Russia"/>
    <x v="32"/>
    <x v="4"/>
    <n v="19836"/>
    <n v="18985"/>
  </r>
  <r>
    <s v="ORD02015"/>
    <d v="2025-04-28T00:00:00"/>
    <x v="7"/>
    <x v="27"/>
    <x v="3"/>
    <s v="Thailand"/>
    <x v="26"/>
    <x v="16"/>
    <n v="26421"/>
    <n v="26355"/>
  </r>
  <r>
    <s v="ORD02016"/>
    <d v="2025-02-10T00:00:00"/>
    <x v="6"/>
    <x v="29"/>
    <x v="2"/>
    <s v="USA"/>
    <x v="0"/>
    <x v="7"/>
    <n v="37276"/>
    <n v="34175"/>
  </r>
  <r>
    <s v="ORD02017"/>
    <d v="2025-12-12T00:00:00"/>
    <x v="10"/>
    <x v="32"/>
    <x v="5"/>
    <s v="China"/>
    <x v="27"/>
    <x v="0"/>
    <n v="17667"/>
    <n v="22346"/>
  </r>
  <r>
    <s v="ORD02018"/>
    <d v="2025-06-14T00:00:00"/>
    <x v="5"/>
    <x v="40"/>
    <x v="2"/>
    <s v="Mexico"/>
    <x v="39"/>
    <x v="27"/>
    <n v="32226"/>
    <n v="28500"/>
  </r>
  <r>
    <s v="ORD02019"/>
    <d v="2025-08-20T00:00:00"/>
    <x v="11"/>
    <x v="46"/>
    <x v="0"/>
    <s v="Canada"/>
    <x v="41"/>
    <x v="20"/>
    <n v="31507"/>
    <n v="23251"/>
  </r>
  <r>
    <s v="ORD02020"/>
    <d v="2025-08-25T00:00:00"/>
    <x v="11"/>
    <x v="28"/>
    <x v="4"/>
    <s v="Turkey"/>
    <x v="20"/>
    <x v="16"/>
    <n v="24300"/>
    <n v="29080"/>
  </r>
  <r>
    <s v="ORD02021"/>
    <d v="2025-12-06T00:00:00"/>
    <x v="10"/>
    <x v="43"/>
    <x v="2"/>
    <s v="South Africa"/>
    <x v="0"/>
    <x v="19"/>
    <n v="22918"/>
    <n v="20945"/>
  </r>
  <r>
    <s v="ORD02022"/>
    <d v="2025-12-12T00:00:00"/>
    <x v="10"/>
    <x v="32"/>
    <x v="1"/>
    <s v="Russia"/>
    <x v="13"/>
    <x v="6"/>
    <n v="38679"/>
    <n v="30241"/>
  </r>
  <r>
    <s v="ORD02023"/>
    <d v="2025-07-12T00:00:00"/>
    <x v="0"/>
    <x v="47"/>
    <x v="0"/>
    <s v="UK"/>
    <x v="2"/>
    <x v="10"/>
    <n v="31431"/>
    <n v="26148"/>
  </r>
  <r>
    <s v="ORD02024"/>
    <d v="2025-11-27T00:00:00"/>
    <x v="2"/>
    <x v="11"/>
    <x v="1"/>
    <s v="Russia"/>
    <x v="44"/>
    <x v="24"/>
    <n v="37699"/>
    <n v="34835"/>
  </r>
  <r>
    <s v="ORD02025"/>
    <d v="2025-04-16T00:00:00"/>
    <x v="7"/>
    <x v="20"/>
    <x v="4"/>
    <s v="Canada"/>
    <x v="12"/>
    <x v="14"/>
    <n v="17431"/>
    <n v="13024"/>
  </r>
  <r>
    <s v="ORD02026"/>
    <d v="2025-04-29T00:00:00"/>
    <x v="7"/>
    <x v="27"/>
    <x v="6"/>
    <s v="Thailand"/>
    <x v="13"/>
    <x v="4"/>
    <n v="24629"/>
    <n v="28999"/>
  </r>
  <r>
    <s v="ORD02027"/>
    <d v="2025-02-06T00:00:00"/>
    <x v="6"/>
    <x v="48"/>
    <x v="5"/>
    <s v="Brazil"/>
    <x v="27"/>
    <x v="19"/>
    <n v="18421"/>
    <n v="23526"/>
  </r>
  <r>
    <s v="ORD02028"/>
    <d v="2025-08-13T00:00:00"/>
    <x v="11"/>
    <x v="30"/>
    <x v="2"/>
    <s v="Russia"/>
    <x v="7"/>
    <x v="14"/>
    <n v="36455"/>
    <n v="25947"/>
  </r>
  <r>
    <s v="ORD02029"/>
    <d v="2025-08-29T00:00:00"/>
    <x v="11"/>
    <x v="28"/>
    <x v="4"/>
    <s v="Turkey"/>
    <x v="40"/>
    <x v="0"/>
    <n v="35395"/>
    <n v="32435"/>
  </r>
  <r>
    <s v="ORD02030"/>
    <d v="2025-12-21T00:00:00"/>
    <x v="10"/>
    <x v="21"/>
    <x v="5"/>
    <s v="Brazil"/>
    <x v="36"/>
    <x v="20"/>
    <n v="38362"/>
    <n v="28802"/>
  </r>
  <r>
    <s v="ORD02031"/>
    <d v="2025-09-15T00:00:00"/>
    <x v="3"/>
    <x v="8"/>
    <x v="0"/>
    <s v="France"/>
    <x v="48"/>
    <x v="29"/>
    <n v="32274"/>
    <n v="39565"/>
  </r>
  <r>
    <s v="ORD02032"/>
    <d v="2025-05-18T00:00:00"/>
    <x v="8"/>
    <x v="17"/>
    <x v="2"/>
    <s v="Canada"/>
    <x v="46"/>
    <x v="5"/>
    <n v="39970"/>
    <n v="33790"/>
  </r>
  <r>
    <s v="ORD02033"/>
    <d v="2025-08-12T00:00:00"/>
    <x v="11"/>
    <x v="30"/>
    <x v="2"/>
    <s v="Australia"/>
    <x v="39"/>
    <x v="25"/>
    <n v="22696"/>
    <n v="18608"/>
  </r>
  <r>
    <s v="ORD02034"/>
    <d v="2025-12-13T00:00:00"/>
    <x v="10"/>
    <x v="32"/>
    <x v="2"/>
    <s v="Turkey"/>
    <x v="14"/>
    <x v="18"/>
    <n v="36501"/>
    <n v="34914"/>
  </r>
  <r>
    <s v="ORD02035"/>
    <d v="2025-11-27T00:00:00"/>
    <x v="2"/>
    <x v="11"/>
    <x v="1"/>
    <s v="USA"/>
    <x v="31"/>
    <x v="1"/>
    <n v="19870"/>
    <n v="17443"/>
  </r>
  <r>
    <s v="ORD02036"/>
    <d v="2025-03-03T00:00:00"/>
    <x v="9"/>
    <x v="35"/>
    <x v="3"/>
    <s v="China"/>
    <x v="16"/>
    <x v="19"/>
    <n v="16737"/>
    <n v="14530"/>
  </r>
  <r>
    <s v="ORD02037"/>
    <d v="2025-05-26T00:00:00"/>
    <x v="8"/>
    <x v="24"/>
    <x v="6"/>
    <s v="UK"/>
    <x v="40"/>
    <x v="21"/>
    <n v="31514"/>
    <n v="38444"/>
  </r>
  <r>
    <s v="ORD02038"/>
    <d v="2025-06-14T00:00:00"/>
    <x v="5"/>
    <x v="40"/>
    <x v="2"/>
    <s v="Spain"/>
    <x v="36"/>
    <x v="26"/>
    <n v="28726"/>
    <n v="28898"/>
  </r>
  <r>
    <s v="ORD02039"/>
    <d v="2025-07-12T00:00:00"/>
    <x v="0"/>
    <x v="47"/>
    <x v="1"/>
    <s v="Turkey"/>
    <x v="38"/>
    <x v="28"/>
    <n v="22086"/>
    <n v="25435"/>
  </r>
  <r>
    <s v="ORD02040"/>
    <d v="2025-09-22T00:00:00"/>
    <x v="3"/>
    <x v="25"/>
    <x v="5"/>
    <s v="China"/>
    <x v="35"/>
    <x v="5"/>
    <n v="25274"/>
    <n v="30129"/>
  </r>
  <r>
    <s v="ORD02041"/>
    <d v="2025-07-24T00:00:00"/>
    <x v="0"/>
    <x v="0"/>
    <x v="1"/>
    <s v="Singapore"/>
    <x v="14"/>
    <x v="3"/>
    <n v="38447"/>
    <n v="38025"/>
  </r>
  <r>
    <s v="ORD02042"/>
    <d v="2025-11-21T00:00:00"/>
    <x v="2"/>
    <x v="9"/>
    <x v="4"/>
    <s v="Italy"/>
    <x v="46"/>
    <x v="25"/>
    <n v="35328"/>
    <n v="36754"/>
  </r>
  <r>
    <s v="ORD02043"/>
    <d v="2025-10-08T00:00:00"/>
    <x v="4"/>
    <x v="45"/>
    <x v="0"/>
    <s v="Japan"/>
    <x v="13"/>
    <x v="5"/>
    <n v="22656"/>
    <n v="20865"/>
  </r>
  <r>
    <s v="ORD02044"/>
    <d v="2025-03-02T00:00:00"/>
    <x v="9"/>
    <x v="22"/>
    <x v="1"/>
    <s v="Canada"/>
    <x v="4"/>
    <x v="17"/>
    <n v="18680"/>
    <n v="13279"/>
  </r>
  <r>
    <s v="ORD02045"/>
    <d v="2025-02-16T00:00:00"/>
    <x v="6"/>
    <x v="29"/>
    <x v="3"/>
    <s v="Germany"/>
    <x v="41"/>
    <x v="20"/>
    <n v="16990"/>
    <n v="20521"/>
  </r>
  <r>
    <s v="ORD02046"/>
    <d v="2025-04-26T00:00:00"/>
    <x v="7"/>
    <x v="38"/>
    <x v="0"/>
    <s v="Malaysia"/>
    <x v="48"/>
    <x v="2"/>
    <n v="30349"/>
    <n v="34116"/>
  </r>
  <r>
    <s v="ORD02047"/>
    <d v="2025-06-11T00:00:00"/>
    <x v="5"/>
    <x v="40"/>
    <x v="3"/>
    <s v="Spain"/>
    <x v="43"/>
    <x v="0"/>
    <n v="36522"/>
    <n v="31727"/>
  </r>
  <r>
    <s v="ORD02048"/>
    <d v="2025-05-21T00:00:00"/>
    <x v="8"/>
    <x v="26"/>
    <x v="1"/>
    <s v="Italy"/>
    <x v="12"/>
    <x v="22"/>
    <n v="25784"/>
    <n v="28476"/>
  </r>
  <r>
    <s v="ORD02049"/>
    <d v="2025-06-13T00:00:00"/>
    <x v="5"/>
    <x v="40"/>
    <x v="3"/>
    <s v="Mexico"/>
    <x v="18"/>
    <x v="9"/>
    <n v="16607"/>
    <n v="15634"/>
  </r>
  <r>
    <s v="ORD02050"/>
    <d v="2025-10-25T00:00:00"/>
    <x v="4"/>
    <x v="50"/>
    <x v="1"/>
    <s v="Singapore"/>
    <x v="35"/>
    <x v="2"/>
    <n v="22922"/>
    <n v="28386"/>
  </r>
  <r>
    <s v="ORD02051"/>
    <d v="2025-05-28T00:00:00"/>
    <x v="8"/>
    <x v="24"/>
    <x v="3"/>
    <s v="USA"/>
    <x v="33"/>
    <x v="2"/>
    <n v="18925"/>
    <n v="24323"/>
  </r>
  <r>
    <s v="ORD02052"/>
    <d v="2025-02-22T00:00:00"/>
    <x v="6"/>
    <x v="15"/>
    <x v="3"/>
    <s v="Canada"/>
    <x v="26"/>
    <x v="0"/>
    <n v="29569"/>
    <n v="30452"/>
  </r>
  <r>
    <s v="ORD02053"/>
    <d v="2025-09-22T00:00:00"/>
    <x v="3"/>
    <x v="25"/>
    <x v="6"/>
    <s v="Malaysia"/>
    <x v="16"/>
    <x v="4"/>
    <n v="32366"/>
    <n v="31368"/>
  </r>
  <r>
    <s v="ORD02054"/>
    <d v="2025-04-12T00:00:00"/>
    <x v="7"/>
    <x v="16"/>
    <x v="6"/>
    <s v="UK"/>
    <x v="28"/>
    <x v="10"/>
    <n v="18421"/>
    <n v="19200"/>
  </r>
  <r>
    <s v="ORD02055"/>
    <d v="2025-06-01T00:00:00"/>
    <x v="5"/>
    <x v="24"/>
    <x v="6"/>
    <s v="Brazil"/>
    <x v="35"/>
    <x v="29"/>
    <n v="32348"/>
    <n v="26380"/>
  </r>
  <r>
    <s v="ORD02056"/>
    <d v="2025-10-11T00:00:00"/>
    <x v="4"/>
    <x v="45"/>
    <x v="4"/>
    <s v="USA"/>
    <x v="35"/>
    <x v="24"/>
    <n v="26535"/>
    <n v="21295"/>
  </r>
  <r>
    <s v="ORD02057"/>
    <d v="2025-07-07T00:00:00"/>
    <x v="0"/>
    <x v="47"/>
    <x v="4"/>
    <s v="India"/>
    <x v="36"/>
    <x v="14"/>
    <n v="30379"/>
    <n v="32245"/>
  </r>
  <r>
    <s v="ORD02058"/>
    <d v="2025-09-13T00:00:00"/>
    <x v="3"/>
    <x v="31"/>
    <x v="0"/>
    <s v="Japan"/>
    <x v="17"/>
    <x v="21"/>
    <n v="29391"/>
    <n v="35024"/>
  </r>
  <r>
    <s v="ORD02059"/>
    <d v="2025-10-18T00:00:00"/>
    <x v="4"/>
    <x v="10"/>
    <x v="2"/>
    <s v="Germany"/>
    <x v="28"/>
    <x v="11"/>
    <n v="21131"/>
    <n v="25145"/>
  </r>
  <r>
    <s v="ORD02060"/>
    <d v="2025-09-07T00:00:00"/>
    <x v="3"/>
    <x v="4"/>
    <x v="5"/>
    <s v="UAE"/>
    <x v="38"/>
    <x v="15"/>
    <n v="32263"/>
    <n v="27288"/>
  </r>
  <r>
    <s v="ORD02061"/>
    <d v="2025-09-26T00:00:00"/>
    <x v="3"/>
    <x v="25"/>
    <x v="0"/>
    <s v="Mexico"/>
    <x v="26"/>
    <x v="22"/>
    <n v="26621"/>
    <n v="29734"/>
  </r>
  <r>
    <s v="ORD02062"/>
    <d v="2025-08-16T00:00:00"/>
    <x v="11"/>
    <x v="30"/>
    <x v="0"/>
    <s v="South Africa"/>
    <x v="23"/>
    <x v="20"/>
    <n v="23407"/>
    <n v="18615"/>
  </r>
  <r>
    <s v="ORD02063"/>
    <d v="2025-02-22T00:00:00"/>
    <x v="6"/>
    <x v="15"/>
    <x v="2"/>
    <s v="Canada"/>
    <x v="41"/>
    <x v="17"/>
    <n v="27817"/>
    <n v="29121"/>
  </r>
  <r>
    <s v="ORD02064"/>
    <d v="2025-08-11T00:00:00"/>
    <x v="11"/>
    <x v="30"/>
    <x v="1"/>
    <s v="India"/>
    <x v="2"/>
    <x v="4"/>
    <n v="33712"/>
    <n v="43356"/>
  </r>
  <r>
    <s v="ORD02065"/>
    <d v="2025-08-29T00:00:00"/>
    <x v="11"/>
    <x v="28"/>
    <x v="4"/>
    <s v="China"/>
    <x v="28"/>
    <x v="17"/>
    <n v="18649"/>
    <n v="20295"/>
  </r>
  <r>
    <s v="ORD02066"/>
    <d v="2025-10-30T00:00:00"/>
    <x v="4"/>
    <x v="2"/>
    <x v="0"/>
    <s v="Thailand"/>
    <x v="39"/>
    <x v="9"/>
    <n v="15534"/>
    <n v="14810"/>
  </r>
  <r>
    <s v="ORD02067"/>
    <d v="2025-10-16T00:00:00"/>
    <x v="4"/>
    <x v="10"/>
    <x v="1"/>
    <s v="Brazil"/>
    <x v="48"/>
    <x v="11"/>
    <n v="30237"/>
    <n v="25258"/>
  </r>
  <r>
    <s v="ORD02068"/>
    <d v="2025-11-20T00:00:00"/>
    <x v="2"/>
    <x v="9"/>
    <x v="4"/>
    <s v="Thailand"/>
    <x v="2"/>
    <x v="6"/>
    <n v="35903"/>
    <n v="31805"/>
  </r>
  <r>
    <s v="ORD02069"/>
    <d v="2025-01-27T00:00:00"/>
    <x v="1"/>
    <x v="3"/>
    <x v="1"/>
    <s v="UK"/>
    <x v="37"/>
    <x v="0"/>
    <n v="20576"/>
    <n v="26479"/>
  </r>
  <r>
    <s v="ORD02070"/>
    <d v="2025-04-03T00:00:00"/>
    <x v="7"/>
    <x v="34"/>
    <x v="2"/>
    <s v="Russia"/>
    <x v="5"/>
    <x v="28"/>
    <n v="33247"/>
    <n v="24459"/>
  </r>
  <r>
    <s v="ORD02071"/>
    <d v="2025-06-18T00:00:00"/>
    <x v="5"/>
    <x v="13"/>
    <x v="1"/>
    <s v="Turkey"/>
    <x v="40"/>
    <x v="18"/>
    <n v="32885"/>
    <n v="39538"/>
  </r>
  <r>
    <s v="ORD02072"/>
    <d v="2025-09-14T00:00:00"/>
    <x v="3"/>
    <x v="31"/>
    <x v="2"/>
    <s v="Mexico"/>
    <x v="14"/>
    <x v="11"/>
    <n v="15920"/>
    <n v="15013"/>
  </r>
  <r>
    <s v="ORD02073"/>
    <d v="2025-01-28T00:00:00"/>
    <x v="1"/>
    <x v="3"/>
    <x v="2"/>
    <s v="Russia"/>
    <x v="2"/>
    <x v="29"/>
    <n v="39275"/>
    <n v="42347"/>
  </r>
  <r>
    <s v="ORD02074"/>
    <d v="2025-08-25T00:00:00"/>
    <x v="11"/>
    <x v="28"/>
    <x v="4"/>
    <s v="Malaysia"/>
    <x v="49"/>
    <x v="11"/>
    <n v="27594"/>
    <n v="19924"/>
  </r>
  <r>
    <s v="ORD02075"/>
    <d v="2025-08-29T00:00:00"/>
    <x v="11"/>
    <x v="28"/>
    <x v="3"/>
    <s v="Germany"/>
    <x v="10"/>
    <x v="9"/>
    <n v="37603"/>
    <n v="34183"/>
  </r>
  <r>
    <s v="ORD02076"/>
    <d v="2025-06-18T00:00:00"/>
    <x v="5"/>
    <x v="13"/>
    <x v="3"/>
    <s v="India"/>
    <x v="38"/>
    <x v="5"/>
    <n v="26072"/>
    <n v="22587"/>
  </r>
  <r>
    <s v="ORD02077"/>
    <d v="2025-10-08T00:00:00"/>
    <x v="4"/>
    <x v="45"/>
    <x v="2"/>
    <s v="UK"/>
    <x v="28"/>
    <x v="18"/>
    <n v="26042"/>
    <n v="28912"/>
  </r>
  <r>
    <s v="ORD02078"/>
    <d v="2025-03-19T00:00:00"/>
    <x v="9"/>
    <x v="39"/>
    <x v="4"/>
    <s v="South Africa"/>
    <x v="2"/>
    <x v="19"/>
    <n v="27807"/>
    <n v="28453"/>
  </r>
  <r>
    <s v="ORD02079"/>
    <d v="2025-09-16T00:00:00"/>
    <x v="3"/>
    <x v="8"/>
    <x v="6"/>
    <s v="Singapore"/>
    <x v="43"/>
    <x v="2"/>
    <n v="32684"/>
    <n v="26568"/>
  </r>
  <r>
    <s v="ORD02080"/>
    <d v="2025-06-06T00:00:00"/>
    <x v="5"/>
    <x v="41"/>
    <x v="5"/>
    <s v="Spain"/>
    <x v="0"/>
    <x v="27"/>
    <n v="31880"/>
    <n v="34401"/>
  </r>
  <r>
    <s v="ORD02081"/>
    <d v="2025-11-14T00:00:00"/>
    <x v="2"/>
    <x v="44"/>
    <x v="1"/>
    <s v="India"/>
    <x v="47"/>
    <x v="20"/>
    <n v="27106"/>
    <n v="28235"/>
  </r>
  <r>
    <s v="ORD02082"/>
    <d v="2025-01-29T00:00:00"/>
    <x v="1"/>
    <x v="3"/>
    <x v="1"/>
    <s v="Japan"/>
    <x v="4"/>
    <x v="3"/>
    <n v="37834"/>
    <n v="48934"/>
  </r>
  <r>
    <s v="ORD02083"/>
    <d v="2025-01-23T00:00:00"/>
    <x v="1"/>
    <x v="7"/>
    <x v="5"/>
    <s v="USA"/>
    <x v="9"/>
    <x v="16"/>
    <n v="17794"/>
    <n v="16912"/>
  </r>
  <r>
    <s v="ORD02084"/>
    <d v="2025-10-29T00:00:00"/>
    <x v="4"/>
    <x v="2"/>
    <x v="0"/>
    <s v="Italy"/>
    <x v="27"/>
    <x v="16"/>
    <n v="27652"/>
    <n v="22787"/>
  </r>
  <r>
    <s v="ORD02085"/>
    <d v="2025-12-19T00:00:00"/>
    <x v="10"/>
    <x v="21"/>
    <x v="5"/>
    <s v="Brazil"/>
    <x v="13"/>
    <x v="0"/>
    <n v="30933"/>
    <n v="33436"/>
  </r>
  <r>
    <s v="ORD02086"/>
    <d v="2025-07-20T00:00:00"/>
    <x v="0"/>
    <x v="14"/>
    <x v="3"/>
    <s v="Russia"/>
    <x v="34"/>
    <x v="17"/>
    <n v="31122"/>
    <n v="38134"/>
  </r>
  <r>
    <s v="ORD02087"/>
    <d v="2025-09-09T00:00:00"/>
    <x v="3"/>
    <x v="31"/>
    <x v="1"/>
    <s v="Malaysia"/>
    <x v="22"/>
    <x v="2"/>
    <n v="17239"/>
    <n v="19838"/>
  </r>
  <r>
    <s v="ORD02088"/>
    <d v="2025-10-02T00:00:00"/>
    <x v="4"/>
    <x v="49"/>
    <x v="3"/>
    <s v="Singapore"/>
    <x v="16"/>
    <x v="20"/>
    <n v="19426"/>
    <n v="16501"/>
  </r>
  <r>
    <s v="ORD02089"/>
    <d v="2025-02-15T00:00:00"/>
    <x v="6"/>
    <x v="29"/>
    <x v="5"/>
    <s v="India"/>
    <x v="10"/>
    <x v="21"/>
    <n v="15541"/>
    <n v="13494"/>
  </r>
  <r>
    <s v="ORD02090"/>
    <d v="2025-07-29T00:00:00"/>
    <x v="0"/>
    <x v="12"/>
    <x v="1"/>
    <s v="Canada"/>
    <x v="18"/>
    <x v="3"/>
    <n v="15470"/>
    <n v="19343"/>
  </r>
  <r>
    <s v="ORD02091"/>
    <d v="2025-06-24T00:00:00"/>
    <x v="5"/>
    <x v="36"/>
    <x v="2"/>
    <s v="Canada"/>
    <x v="4"/>
    <x v="19"/>
    <n v="18227"/>
    <n v="20552"/>
  </r>
  <r>
    <s v="ORD02092"/>
    <d v="2025-06-08T00:00:00"/>
    <x v="5"/>
    <x v="41"/>
    <x v="0"/>
    <s v="France"/>
    <x v="22"/>
    <x v="15"/>
    <n v="33561"/>
    <n v="38124"/>
  </r>
  <r>
    <s v="ORD02093"/>
    <d v="2025-09-08T00:00:00"/>
    <x v="3"/>
    <x v="31"/>
    <x v="4"/>
    <s v="Thailand"/>
    <x v="24"/>
    <x v="27"/>
    <n v="25688"/>
    <n v="30386"/>
  </r>
  <r>
    <s v="ORD02094"/>
    <d v="2025-03-04T00:00:00"/>
    <x v="9"/>
    <x v="35"/>
    <x v="4"/>
    <s v="Germany"/>
    <x v="31"/>
    <x v="1"/>
    <n v="28870"/>
    <n v="23984"/>
  </r>
  <r>
    <s v="ORD02095"/>
    <d v="2025-05-18T00:00:00"/>
    <x v="8"/>
    <x v="17"/>
    <x v="1"/>
    <s v="Mexico"/>
    <x v="25"/>
    <x v="8"/>
    <n v="20369"/>
    <n v="25694"/>
  </r>
  <r>
    <s v="ORD02096"/>
    <d v="2025-08-26T00:00:00"/>
    <x v="11"/>
    <x v="28"/>
    <x v="4"/>
    <s v="South Africa"/>
    <x v="32"/>
    <x v="21"/>
    <n v="23756"/>
    <n v="21272"/>
  </r>
  <r>
    <s v="ORD02097"/>
    <d v="2025-09-08T00:00:00"/>
    <x v="3"/>
    <x v="31"/>
    <x v="1"/>
    <s v="Italy"/>
    <x v="0"/>
    <x v="1"/>
    <n v="29346"/>
    <n v="28978"/>
  </r>
  <r>
    <s v="ORD02098"/>
    <d v="2025-11-18T00:00:00"/>
    <x v="2"/>
    <x v="9"/>
    <x v="3"/>
    <s v="Italy"/>
    <x v="7"/>
    <x v="20"/>
    <n v="33484"/>
    <n v="35458"/>
  </r>
  <r>
    <s v="ORD02099"/>
    <d v="2025-10-25T00:00:00"/>
    <x v="4"/>
    <x v="50"/>
    <x v="2"/>
    <s v="South Africa"/>
    <x v="30"/>
    <x v="13"/>
    <n v="30674"/>
    <n v="29475"/>
  </r>
  <r>
    <s v="ORD02100"/>
    <d v="2025-10-13T00:00:00"/>
    <x v="4"/>
    <x v="10"/>
    <x v="1"/>
    <s v="Brazil"/>
    <x v="37"/>
    <x v="12"/>
    <n v="31917"/>
    <n v="34788"/>
  </r>
  <r>
    <s v="ORD02101"/>
    <d v="2025-10-30T00:00:00"/>
    <x v="4"/>
    <x v="2"/>
    <x v="5"/>
    <s v="UAE"/>
    <x v="4"/>
    <x v="7"/>
    <n v="15527"/>
    <n v="11411"/>
  </r>
  <r>
    <s v="ORD02102"/>
    <d v="2025-09-25T00:00:00"/>
    <x v="3"/>
    <x v="25"/>
    <x v="5"/>
    <s v="Turkey"/>
    <x v="30"/>
    <x v="0"/>
    <n v="29515"/>
    <n v="28701"/>
  </r>
  <r>
    <s v="ORD02103"/>
    <d v="2025-10-21T00:00:00"/>
    <x v="4"/>
    <x v="50"/>
    <x v="1"/>
    <s v="UK"/>
    <x v="47"/>
    <x v="6"/>
    <n v="16179"/>
    <n v="17892"/>
  </r>
  <r>
    <s v="ORD02104"/>
    <d v="2025-09-29T00:00:00"/>
    <x v="3"/>
    <x v="49"/>
    <x v="2"/>
    <s v="Thailand"/>
    <x v="30"/>
    <x v="15"/>
    <n v="33769"/>
    <n v="29141"/>
  </r>
  <r>
    <s v="ORD02105"/>
    <d v="2025-11-05T00:00:00"/>
    <x v="2"/>
    <x v="51"/>
    <x v="1"/>
    <s v="Spain"/>
    <x v="11"/>
    <x v="10"/>
    <n v="38060"/>
    <n v="38533"/>
  </r>
  <r>
    <s v="ORD02106"/>
    <d v="2025-06-19T00:00:00"/>
    <x v="5"/>
    <x v="13"/>
    <x v="0"/>
    <s v="Spain"/>
    <x v="22"/>
    <x v="17"/>
    <n v="37540"/>
    <n v="40923"/>
  </r>
  <r>
    <s v="ORD02107"/>
    <d v="2025-01-02T00:00:00"/>
    <x v="1"/>
    <x v="5"/>
    <x v="5"/>
    <s v="Russia"/>
    <x v="48"/>
    <x v="22"/>
    <n v="18022"/>
    <n v="13625"/>
  </r>
  <r>
    <s v="ORD02108"/>
    <d v="2025-08-06T00:00:00"/>
    <x v="11"/>
    <x v="23"/>
    <x v="4"/>
    <s v="Singapore"/>
    <x v="44"/>
    <x v="22"/>
    <n v="18913"/>
    <n v="18977"/>
  </r>
  <r>
    <s v="ORD02109"/>
    <d v="2025-06-09T00:00:00"/>
    <x v="5"/>
    <x v="40"/>
    <x v="4"/>
    <s v="Singapore"/>
    <x v="44"/>
    <x v="16"/>
    <n v="15261"/>
    <n v="17683"/>
  </r>
  <r>
    <s v="ORD02110"/>
    <d v="2025-12-25T00:00:00"/>
    <x v="10"/>
    <x v="42"/>
    <x v="1"/>
    <s v="China"/>
    <x v="30"/>
    <x v="8"/>
    <n v="33438"/>
    <n v="36072"/>
  </r>
  <r>
    <s v="ORD02111"/>
    <d v="2025-11-08T00:00:00"/>
    <x v="2"/>
    <x v="51"/>
    <x v="3"/>
    <s v="Germany"/>
    <x v="10"/>
    <x v="22"/>
    <n v="28056"/>
    <n v="27973"/>
  </r>
  <r>
    <s v="ORD02112"/>
    <d v="2025-11-20T00:00:00"/>
    <x v="2"/>
    <x v="9"/>
    <x v="0"/>
    <s v="Canada"/>
    <x v="41"/>
    <x v="20"/>
    <n v="31999"/>
    <n v="31148"/>
  </r>
  <r>
    <s v="ORD02113"/>
    <d v="2025-01-24T00:00:00"/>
    <x v="1"/>
    <x v="7"/>
    <x v="6"/>
    <s v="Russia"/>
    <x v="29"/>
    <x v="27"/>
    <n v="32044"/>
    <n v="36624"/>
  </r>
  <r>
    <s v="ORD02114"/>
    <d v="2025-08-14T00:00:00"/>
    <x v="11"/>
    <x v="30"/>
    <x v="4"/>
    <s v="UAE"/>
    <x v="24"/>
    <x v="4"/>
    <n v="31641"/>
    <n v="28032"/>
  </r>
  <r>
    <s v="ORD02115"/>
    <d v="2025-08-07T00:00:00"/>
    <x v="11"/>
    <x v="23"/>
    <x v="5"/>
    <s v="Canada"/>
    <x v="12"/>
    <x v="3"/>
    <n v="25041"/>
    <n v="30324"/>
  </r>
  <r>
    <s v="ORD02116"/>
    <d v="2025-10-17T00:00:00"/>
    <x v="4"/>
    <x v="10"/>
    <x v="5"/>
    <s v="Thailand"/>
    <x v="4"/>
    <x v="1"/>
    <n v="39486"/>
    <n v="44347"/>
  </r>
  <r>
    <s v="ORD02117"/>
    <d v="2025-02-28T00:00:00"/>
    <x v="6"/>
    <x v="22"/>
    <x v="4"/>
    <s v="China"/>
    <x v="17"/>
    <x v="25"/>
    <n v="35362"/>
    <n v="34402"/>
  </r>
  <r>
    <s v="ORD02118"/>
    <d v="2025-05-13T00:00:00"/>
    <x v="8"/>
    <x v="17"/>
    <x v="1"/>
    <s v="Japan"/>
    <x v="35"/>
    <x v="29"/>
    <n v="39768"/>
    <n v="41777"/>
  </r>
  <r>
    <s v="ORD02119"/>
    <d v="2025-06-10T00:00:00"/>
    <x v="5"/>
    <x v="40"/>
    <x v="1"/>
    <s v="UK"/>
    <x v="1"/>
    <x v="17"/>
    <n v="23851"/>
    <n v="17171"/>
  </r>
  <r>
    <s v="ORD02120"/>
    <d v="2025-08-12T00:00:00"/>
    <x v="11"/>
    <x v="30"/>
    <x v="0"/>
    <s v="China"/>
    <x v="23"/>
    <x v="25"/>
    <n v="33503"/>
    <n v="39289"/>
  </r>
  <r>
    <s v="ORD02121"/>
    <d v="2025-06-14T00:00:00"/>
    <x v="5"/>
    <x v="40"/>
    <x v="2"/>
    <s v="UAE"/>
    <x v="12"/>
    <x v="19"/>
    <n v="25028"/>
    <n v="29177"/>
  </r>
  <r>
    <s v="ORD02122"/>
    <d v="2025-06-02T00:00:00"/>
    <x v="5"/>
    <x v="41"/>
    <x v="0"/>
    <s v="Brazil"/>
    <x v="39"/>
    <x v="7"/>
    <n v="19553"/>
    <n v="17465"/>
  </r>
  <r>
    <s v="ORD02123"/>
    <d v="2025-01-25T00:00:00"/>
    <x v="1"/>
    <x v="7"/>
    <x v="2"/>
    <s v="Australia"/>
    <x v="47"/>
    <x v="2"/>
    <n v="29526"/>
    <n v="29422"/>
  </r>
  <r>
    <s v="ORD02124"/>
    <d v="2025-02-04T00:00:00"/>
    <x v="6"/>
    <x v="48"/>
    <x v="3"/>
    <s v="USA"/>
    <x v="21"/>
    <x v="10"/>
    <n v="22843"/>
    <n v="17219"/>
  </r>
  <r>
    <s v="ORD02125"/>
    <d v="2025-03-25T00:00:00"/>
    <x v="9"/>
    <x v="33"/>
    <x v="6"/>
    <s v="Singapore"/>
    <x v="30"/>
    <x v="15"/>
    <n v="28271"/>
    <n v="32484"/>
  </r>
  <r>
    <s v="ORD02126"/>
    <d v="2025-09-07T00:00:00"/>
    <x v="3"/>
    <x v="4"/>
    <x v="3"/>
    <s v="Spain"/>
    <x v="0"/>
    <x v="10"/>
    <n v="19227"/>
    <n v="18408"/>
  </r>
  <r>
    <s v="ORD02127"/>
    <d v="2025-07-19T00:00:00"/>
    <x v="0"/>
    <x v="14"/>
    <x v="2"/>
    <s v="Singapore"/>
    <x v="1"/>
    <x v="8"/>
    <n v="39635"/>
    <n v="39175"/>
  </r>
  <r>
    <s v="ORD02128"/>
    <d v="2025-09-13T00:00:00"/>
    <x v="3"/>
    <x v="31"/>
    <x v="3"/>
    <s v="Malaysia"/>
    <x v="8"/>
    <x v="16"/>
    <n v="30511"/>
    <n v="33745"/>
  </r>
  <r>
    <s v="ORD02129"/>
    <d v="2025-07-24T00:00:00"/>
    <x v="0"/>
    <x v="0"/>
    <x v="2"/>
    <s v="Russia"/>
    <x v="32"/>
    <x v="20"/>
    <n v="32986"/>
    <n v="33216"/>
  </r>
  <r>
    <s v="ORD02130"/>
    <d v="2025-06-25T00:00:00"/>
    <x v="5"/>
    <x v="36"/>
    <x v="3"/>
    <s v="Spain"/>
    <x v="3"/>
    <x v="9"/>
    <n v="26854"/>
    <n v="33420"/>
  </r>
  <r>
    <s v="ORD02131"/>
    <d v="2025-09-14T00:00:00"/>
    <x v="3"/>
    <x v="31"/>
    <x v="6"/>
    <s v="Italy"/>
    <x v="43"/>
    <x v="21"/>
    <n v="30057"/>
    <n v="21892"/>
  </r>
  <r>
    <s v="ORD02132"/>
    <d v="2025-05-02T00:00:00"/>
    <x v="8"/>
    <x v="27"/>
    <x v="4"/>
    <s v="Japan"/>
    <x v="30"/>
    <x v="2"/>
    <n v="24572"/>
    <n v="24269"/>
  </r>
  <r>
    <s v="ORD02133"/>
    <d v="2025-05-22T00:00:00"/>
    <x v="8"/>
    <x v="26"/>
    <x v="5"/>
    <s v="South Africa"/>
    <x v="8"/>
    <x v="23"/>
    <n v="17482"/>
    <n v="18568"/>
  </r>
  <r>
    <s v="ORD02134"/>
    <d v="2025-09-15T00:00:00"/>
    <x v="3"/>
    <x v="8"/>
    <x v="4"/>
    <s v="Thailand"/>
    <x v="14"/>
    <x v="22"/>
    <n v="22166"/>
    <n v="24709"/>
  </r>
  <r>
    <s v="ORD02135"/>
    <d v="2025-06-03T00:00:00"/>
    <x v="5"/>
    <x v="41"/>
    <x v="3"/>
    <s v="Canada"/>
    <x v="6"/>
    <x v="29"/>
    <n v="32275"/>
    <n v="29420"/>
  </r>
  <r>
    <s v="ORD02136"/>
    <d v="2025-10-21T00:00:00"/>
    <x v="4"/>
    <x v="50"/>
    <x v="1"/>
    <s v="Mexico"/>
    <x v="4"/>
    <x v="24"/>
    <n v="32234"/>
    <n v="34210"/>
  </r>
  <r>
    <s v="ORD02137"/>
    <d v="2025-12-12T00:00:00"/>
    <x v="10"/>
    <x v="32"/>
    <x v="0"/>
    <s v="Turkey"/>
    <x v="34"/>
    <x v="8"/>
    <n v="24528"/>
    <n v="28171"/>
  </r>
  <r>
    <s v="ORD02138"/>
    <d v="2025-04-10T00:00:00"/>
    <x v="7"/>
    <x v="16"/>
    <x v="1"/>
    <s v="Brazil"/>
    <x v="13"/>
    <x v="4"/>
    <n v="37471"/>
    <n v="39694"/>
  </r>
  <r>
    <s v="ORD02139"/>
    <d v="2025-08-27T00:00:00"/>
    <x v="11"/>
    <x v="28"/>
    <x v="6"/>
    <s v="India"/>
    <x v="16"/>
    <x v="27"/>
    <n v="15437"/>
    <n v="13707"/>
  </r>
  <r>
    <s v="ORD02140"/>
    <d v="2025-05-27T00:00:00"/>
    <x v="8"/>
    <x v="24"/>
    <x v="0"/>
    <s v="Turkey"/>
    <x v="30"/>
    <x v="25"/>
    <n v="35569"/>
    <n v="34015"/>
  </r>
  <r>
    <s v="ORD02141"/>
    <d v="2025-10-23T00:00:00"/>
    <x v="4"/>
    <x v="50"/>
    <x v="2"/>
    <s v="UK"/>
    <x v="17"/>
    <x v="24"/>
    <n v="33163"/>
    <n v="34776"/>
  </r>
  <r>
    <s v="ORD02142"/>
    <d v="2025-03-25T00:00:00"/>
    <x v="9"/>
    <x v="33"/>
    <x v="0"/>
    <s v="Singapore"/>
    <x v="27"/>
    <x v="14"/>
    <n v="22617"/>
    <n v="25217"/>
  </r>
  <r>
    <s v="ORD02143"/>
    <d v="2025-03-15T00:00:00"/>
    <x v="9"/>
    <x v="19"/>
    <x v="2"/>
    <s v="Australia"/>
    <x v="49"/>
    <x v="20"/>
    <n v="25835"/>
    <n v="28987"/>
  </r>
  <r>
    <s v="ORD02144"/>
    <d v="2025-12-01T00:00:00"/>
    <x v="10"/>
    <x v="43"/>
    <x v="2"/>
    <s v="Thailand"/>
    <x v="40"/>
    <x v="3"/>
    <n v="20400"/>
    <n v="21217"/>
  </r>
  <r>
    <s v="ORD02145"/>
    <d v="2025-05-23T00:00:00"/>
    <x v="8"/>
    <x v="26"/>
    <x v="0"/>
    <s v="Singapore"/>
    <x v="4"/>
    <x v="0"/>
    <n v="25351"/>
    <n v="29268"/>
  </r>
  <r>
    <s v="ORD02146"/>
    <d v="2025-10-29T00:00:00"/>
    <x v="4"/>
    <x v="2"/>
    <x v="3"/>
    <s v="South Africa"/>
    <x v="14"/>
    <x v="28"/>
    <n v="24345"/>
    <n v="21760"/>
  </r>
  <r>
    <s v="ORD02147"/>
    <d v="2025-01-19T00:00:00"/>
    <x v="1"/>
    <x v="1"/>
    <x v="5"/>
    <s v="Australia"/>
    <x v="4"/>
    <x v="0"/>
    <n v="30008"/>
    <n v="28654"/>
  </r>
  <r>
    <s v="ORD02148"/>
    <d v="2025-01-02T00:00:00"/>
    <x v="1"/>
    <x v="5"/>
    <x v="3"/>
    <s v="Thailand"/>
    <x v="20"/>
    <x v="6"/>
    <n v="32063"/>
    <n v="29668"/>
  </r>
  <r>
    <s v="ORD02149"/>
    <d v="2025-11-06T00:00:00"/>
    <x v="2"/>
    <x v="51"/>
    <x v="6"/>
    <s v="Thailand"/>
    <x v="38"/>
    <x v="16"/>
    <n v="34454"/>
    <n v="29323"/>
  </r>
  <r>
    <s v="ORD02150"/>
    <d v="2025-11-25T00:00:00"/>
    <x v="2"/>
    <x v="11"/>
    <x v="5"/>
    <s v="Russia"/>
    <x v="21"/>
    <x v="12"/>
    <n v="23443"/>
    <n v="19347"/>
  </r>
  <r>
    <s v="ORD02151"/>
    <d v="2025-09-24T00:00:00"/>
    <x v="3"/>
    <x v="25"/>
    <x v="3"/>
    <s v="Brazil"/>
    <x v="37"/>
    <x v="8"/>
    <n v="16626"/>
    <n v="17068"/>
  </r>
  <r>
    <s v="ORD02152"/>
    <d v="2025-09-28T00:00:00"/>
    <x v="3"/>
    <x v="25"/>
    <x v="4"/>
    <s v="Germany"/>
    <x v="24"/>
    <x v="9"/>
    <n v="25848"/>
    <n v="24422"/>
  </r>
  <r>
    <s v="ORD02153"/>
    <d v="2025-12-19T00:00:00"/>
    <x v="10"/>
    <x v="21"/>
    <x v="4"/>
    <s v="Mexico"/>
    <x v="33"/>
    <x v="0"/>
    <n v="16032"/>
    <n v="11448"/>
  </r>
  <r>
    <s v="ORD02154"/>
    <d v="2025-12-29T00:00:00"/>
    <x v="10"/>
    <x v="5"/>
    <x v="2"/>
    <s v="Malaysia"/>
    <x v="28"/>
    <x v="16"/>
    <n v="20922"/>
    <n v="16008"/>
  </r>
  <r>
    <s v="ORD02155"/>
    <d v="2025-09-28T00:00:00"/>
    <x v="3"/>
    <x v="25"/>
    <x v="6"/>
    <s v="China"/>
    <x v="13"/>
    <x v="3"/>
    <n v="15153"/>
    <n v="18173"/>
  </r>
  <r>
    <s v="ORD02156"/>
    <d v="2025-09-15T00:00:00"/>
    <x v="3"/>
    <x v="8"/>
    <x v="3"/>
    <s v="Turkey"/>
    <x v="12"/>
    <x v="7"/>
    <n v="21952"/>
    <n v="15598"/>
  </r>
  <r>
    <s v="ORD02157"/>
    <d v="2025-07-20T00:00:00"/>
    <x v="0"/>
    <x v="14"/>
    <x v="6"/>
    <s v="Canada"/>
    <x v="41"/>
    <x v="14"/>
    <n v="16877"/>
    <n v="20919"/>
  </r>
  <r>
    <s v="ORD02158"/>
    <d v="2025-10-13T00:00:00"/>
    <x v="4"/>
    <x v="10"/>
    <x v="1"/>
    <s v="UK"/>
    <x v="8"/>
    <x v="25"/>
    <n v="20289"/>
    <n v="16714"/>
  </r>
  <r>
    <s v="ORD02159"/>
    <d v="2025-04-23T00:00:00"/>
    <x v="7"/>
    <x v="38"/>
    <x v="0"/>
    <s v="Germany"/>
    <x v="14"/>
    <x v="26"/>
    <n v="22005"/>
    <n v="23503"/>
  </r>
  <r>
    <s v="ORD02160"/>
    <d v="2025-07-29T00:00:00"/>
    <x v="0"/>
    <x v="12"/>
    <x v="0"/>
    <s v="USA"/>
    <x v="6"/>
    <x v="28"/>
    <n v="35461"/>
    <n v="33728"/>
  </r>
  <r>
    <s v="ORD02161"/>
    <d v="2025-03-20T00:00:00"/>
    <x v="9"/>
    <x v="39"/>
    <x v="1"/>
    <s v="India"/>
    <x v="1"/>
    <x v="19"/>
    <n v="37646"/>
    <n v="38655"/>
  </r>
  <r>
    <s v="ORD02162"/>
    <d v="2025-09-09T00:00:00"/>
    <x v="3"/>
    <x v="31"/>
    <x v="3"/>
    <s v="Russia"/>
    <x v="20"/>
    <x v="28"/>
    <n v="22602"/>
    <n v="24050"/>
  </r>
  <r>
    <s v="ORD02163"/>
    <d v="2025-12-29T00:00:00"/>
    <x v="10"/>
    <x v="5"/>
    <x v="2"/>
    <s v="Brazil"/>
    <x v="14"/>
    <x v="5"/>
    <n v="19619"/>
    <n v="22963"/>
  </r>
  <r>
    <s v="ORD02164"/>
    <d v="2025-09-24T00:00:00"/>
    <x v="3"/>
    <x v="25"/>
    <x v="6"/>
    <s v="Turkey"/>
    <x v="4"/>
    <x v="2"/>
    <n v="30057"/>
    <n v="25613"/>
  </r>
  <r>
    <s v="ORD02165"/>
    <d v="2025-08-04T00:00:00"/>
    <x v="11"/>
    <x v="23"/>
    <x v="2"/>
    <s v="India"/>
    <x v="41"/>
    <x v="20"/>
    <n v="38694"/>
    <n v="37688"/>
  </r>
  <r>
    <s v="ORD02166"/>
    <d v="2025-02-13T00:00:00"/>
    <x v="6"/>
    <x v="29"/>
    <x v="5"/>
    <s v="Mexico"/>
    <x v="33"/>
    <x v="16"/>
    <n v="25138"/>
    <n v="27597"/>
  </r>
  <r>
    <s v="ORD02167"/>
    <d v="2025-10-11T00:00:00"/>
    <x v="4"/>
    <x v="45"/>
    <x v="6"/>
    <s v="Australia"/>
    <x v="9"/>
    <x v="16"/>
    <n v="26231"/>
    <n v="22957"/>
  </r>
  <r>
    <s v="ORD02168"/>
    <d v="2025-06-25T00:00:00"/>
    <x v="5"/>
    <x v="36"/>
    <x v="2"/>
    <s v="Singapore"/>
    <x v="44"/>
    <x v="20"/>
    <n v="18073"/>
    <n v="21115"/>
  </r>
  <r>
    <s v="ORD02169"/>
    <d v="2025-09-25T00:00:00"/>
    <x v="3"/>
    <x v="25"/>
    <x v="4"/>
    <s v="Italy"/>
    <x v="23"/>
    <x v="7"/>
    <n v="35854"/>
    <n v="29896"/>
  </r>
  <r>
    <s v="ORD02170"/>
    <d v="2025-08-15T00:00:00"/>
    <x v="11"/>
    <x v="30"/>
    <x v="1"/>
    <s v="Thailand"/>
    <x v="27"/>
    <x v="7"/>
    <n v="26861"/>
    <n v="26876"/>
  </r>
  <r>
    <s v="ORD02171"/>
    <d v="2025-05-15T00:00:00"/>
    <x v="8"/>
    <x v="17"/>
    <x v="3"/>
    <s v="South Africa"/>
    <x v="21"/>
    <x v="12"/>
    <n v="23795"/>
    <n v="24480"/>
  </r>
  <r>
    <s v="ORD02172"/>
    <d v="2025-03-18T00:00:00"/>
    <x v="9"/>
    <x v="39"/>
    <x v="6"/>
    <s v="USA"/>
    <x v="29"/>
    <x v="22"/>
    <n v="31179"/>
    <n v="37876"/>
  </r>
  <r>
    <s v="ORD02173"/>
    <d v="2025-05-09T00:00:00"/>
    <x v="8"/>
    <x v="18"/>
    <x v="3"/>
    <s v="Canada"/>
    <x v="39"/>
    <x v="25"/>
    <n v="24470"/>
    <n v="17799"/>
  </r>
  <r>
    <s v="ORD02174"/>
    <d v="2025-06-30T00:00:00"/>
    <x v="5"/>
    <x v="37"/>
    <x v="1"/>
    <s v="Italy"/>
    <x v="22"/>
    <x v="2"/>
    <n v="31849"/>
    <n v="38207"/>
  </r>
  <r>
    <s v="ORD02175"/>
    <d v="2025-08-08T00:00:00"/>
    <x v="11"/>
    <x v="23"/>
    <x v="0"/>
    <s v="Mexico"/>
    <x v="45"/>
    <x v="24"/>
    <n v="38699"/>
    <n v="40423"/>
  </r>
  <r>
    <s v="ORD02176"/>
    <d v="2025-04-05T00:00:00"/>
    <x v="7"/>
    <x v="34"/>
    <x v="6"/>
    <s v="Spain"/>
    <x v="24"/>
    <x v="8"/>
    <n v="18309"/>
    <n v="20427"/>
  </r>
  <r>
    <s v="ORD02177"/>
    <d v="2025-07-26T00:00:00"/>
    <x v="0"/>
    <x v="0"/>
    <x v="4"/>
    <s v="Turkey"/>
    <x v="28"/>
    <x v="26"/>
    <n v="36958"/>
    <n v="37764"/>
  </r>
  <r>
    <s v="ORD02178"/>
    <d v="2025-11-02T00:00:00"/>
    <x v="2"/>
    <x v="2"/>
    <x v="0"/>
    <s v="Russia"/>
    <x v="35"/>
    <x v="19"/>
    <n v="16989"/>
    <n v="15318"/>
  </r>
  <r>
    <s v="ORD02179"/>
    <d v="2025-12-18T00:00:00"/>
    <x v="10"/>
    <x v="21"/>
    <x v="6"/>
    <s v="France"/>
    <x v="46"/>
    <x v="21"/>
    <n v="24377"/>
    <n v="18176"/>
  </r>
  <r>
    <s v="ORD02180"/>
    <d v="2025-12-24T00:00:00"/>
    <x v="10"/>
    <x v="42"/>
    <x v="3"/>
    <s v="South Africa"/>
    <x v="36"/>
    <x v="24"/>
    <n v="29637"/>
    <n v="36062"/>
  </r>
  <r>
    <s v="ORD02181"/>
    <d v="2025-08-12T00:00:00"/>
    <x v="11"/>
    <x v="30"/>
    <x v="0"/>
    <s v="Mexico"/>
    <x v="27"/>
    <x v="15"/>
    <n v="35850"/>
    <n v="36397"/>
  </r>
  <r>
    <s v="ORD02182"/>
    <d v="2025-06-26T00:00:00"/>
    <x v="5"/>
    <x v="36"/>
    <x v="2"/>
    <s v="Italy"/>
    <x v="1"/>
    <x v="1"/>
    <n v="20765"/>
    <n v="19276"/>
  </r>
  <r>
    <s v="ORD02183"/>
    <d v="2025-01-01T00:00:00"/>
    <x v="1"/>
    <x v="5"/>
    <x v="1"/>
    <s v="Turkey"/>
    <x v="26"/>
    <x v="26"/>
    <n v="20553"/>
    <n v="26007"/>
  </r>
  <r>
    <s v="ORD02184"/>
    <d v="2025-11-26T00:00:00"/>
    <x v="2"/>
    <x v="11"/>
    <x v="2"/>
    <s v="Mexico"/>
    <x v="46"/>
    <x v="17"/>
    <n v="32644"/>
    <n v="39920"/>
  </r>
  <r>
    <s v="ORD02185"/>
    <d v="2025-08-06T00:00:00"/>
    <x v="11"/>
    <x v="23"/>
    <x v="4"/>
    <s v="Japan"/>
    <x v="1"/>
    <x v="5"/>
    <n v="37972"/>
    <n v="41684"/>
  </r>
  <r>
    <s v="ORD02186"/>
    <d v="2025-12-30T00:00:00"/>
    <x v="10"/>
    <x v="5"/>
    <x v="0"/>
    <s v="Malaysia"/>
    <x v="25"/>
    <x v="4"/>
    <n v="20455"/>
    <n v="21935"/>
  </r>
  <r>
    <s v="ORD02187"/>
    <d v="2025-05-29T00:00:00"/>
    <x v="8"/>
    <x v="24"/>
    <x v="2"/>
    <s v="South Africa"/>
    <x v="14"/>
    <x v="16"/>
    <n v="24423"/>
    <n v="31004"/>
  </r>
  <r>
    <s v="ORD02188"/>
    <d v="2025-01-19T00:00:00"/>
    <x v="1"/>
    <x v="1"/>
    <x v="0"/>
    <s v="Russia"/>
    <x v="24"/>
    <x v="24"/>
    <n v="20769"/>
    <n v="26391"/>
  </r>
  <r>
    <s v="ORD02189"/>
    <d v="2025-03-30T00:00:00"/>
    <x v="9"/>
    <x v="33"/>
    <x v="6"/>
    <s v="USA"/>
    <x v="35"/>
    <x v="11"/>
    <n v="20065"/>
    <n v="18250"/>
  </r>
  <r>
    <s v="ORD02190"/>
    <d v="2025-11-08T00:00:00"/>
    <x v="2"/>
    <x v="51"/>
    <x v="0"/>
    <s v="Canada"/>
    <x v="32"/>
    <x v="21"/>
    <n v="29072"/>
    <n v="34977"/>
  </r>
  <r>
    <s v="ORD02191"/>
    <d v="2025-09-12T00:00:00"/>
    <x v="3"/>
    <x v="31"/>
    <x v="6"/>
    <s v="Malaysia"/>
    <x v="30"/>
    <x v="10"/>
    <n v="18715"/>
    <n v="19689"/>
  </r>
  <r>
    <s v="ORD02192"/>
    <d v="2025-08-23T00:00:00"/>
    <x v="11"/>
    <x v="46"/>
    <x v="6"/>
    <s v="Malaysia"/>
    <x v="36"/>
    <x v="8"/>
    <n v="15257"/>
    <n v="10805"/>
  </r>
  <r>
    <s v="ORD02193"/>
    <d v="2025-05-04T00:00:00"/>
    <x v="8"/>
    <x v="27"/>
    <x v="6"/>
    <s v="Turkey"/>
    <x v="41"/>
    <x v="0"/>
    <n v="39270"/>
    <n v="43469"/>
  </r>
  <r>
    <s v="ORD02194"/>
    <d v="2025-05-06T00:00:00"/>
    <x v="8"/>
    <x v="18"/>
    <x v="1"/>
    <s v="Italy"/>
    <x v="37"/>
    <x v="21"/>
    <n v="21974"/>
    <n v="22822"/>
  </r>
  <r>
    <s v="ORD02195"/>
    <d v="2025-09-05T00:00:00"/>
    <x v="3"/>
    <x v="4"/>
    <x v="3"/>
    <s v="USA"/>
    <x v="17"/>
    <x v="23"/>
    <n v="36320"/>
    <n v="32562"/>
  </r>
  <r>
    <s v="ORD02196"/>
    <d v="2025-05-25T00:00:00"/>
    <x v="8"/>
    <x v="26"/>
    <x v="0"/>
    <s v="Turkey"/>
    <x v="38"/>
    <x v="24"/>
    <n v="35312"/>
    <n v="40060"/>
  </r>
  <r>
    <s v="ORD02197"/>
    <d v="2025-05-02T00:00:00"/>
    <x v="8"/>
    <x v="27"/>
    <x v="4"/>
    <s v="Singapore"/>
    <x v="14"/>
    <x v="25"/>
    <n v="26250"/>
    <n v="30389"/>
  </r>
  <r>
    <s v="ORD02198"/>
    <d v="2025-10-05T00:00:00"/>
    <x v="4"/>
    <x v="49"/>
    <x v="6"/>
    <s v="China"/>
    <x v="38"/>
    <x v="12"/>
    <n v="38841"/>
    <n v="33017"/>
  </r>
  <r>
    <s v="ORD02199"/>
    <d v="2025-05-13T00:00:00"/>
    <x v="8"/>
    <x v="17"/>
    <x v="5"/>
    <s v="Turkey"/>
    <x v="0"/>
    <x v="9"/>
    <n v="39889"/>
    <n v="50464"/>
  </r>
  <r>
    <s v="ORD02200"/>
    <d v="2025-07-23T00:00:00"/>
    <x v="0"/>
    <x v="0"/>
    <x v="1"/>
    <s v="Mexico"/>
    <x v="32"/>
    <x v="17"/>
    <n v="15955"/>
    <n v="11705"/>
  </r>
  <r>
    <s v="ORD02201"/>
    <d v="2025-07-29T00:00:00"/>
    <x v="0"/>
    <x v="12"/>
    <x v="3"/>
    <s v="USA"/>
    <x v="38"/>
    <x v="21"/>
    <n v="28189"/>
    <n v="20775"/>
  </r>
  <r>
    <s v="ORD02202"/>
    <d v="2025-12-14T00:00:00"/>
    <x v="10"/>
    <x v="32"/>
    <x v="4"/>
    <s v="Thailand"/>
    <x v="36"/>
    <x v="16"/>
    <n v="37661"/>
    <n v="48660"/>
  </r>
  <r>
    <s v="ORD02203"/>
    <d v="2025-05-05T00:00:00"/>
    <x v="8"/>
    <x v="18"/>
    <x v="6"/>
    <s v="Russia"/>
    <x v="48"/>
    <x v="9"/>
    <n v="33666"/>
    <n v="31600"/>
  </r>
  <r>
    <s v="ORD02204"/>
    <d v="2025-05-07T00:00:00"/>
    <x v="8"/>
    <x v="18"/>
    <x v="6"/>
    <s v="Brazil"/>
    <x v="30"/>
    <x v="23"/>
    <n v="37670"/>
    <n v="30760"/>
  </r>
  <r>
    <s v="ORD02205"/>
    <d v="2025-04-29T00:00:00"/>
    <x v="7"/>
    <x v="27"/>
    <x v="3"/>
    <s v="Italy"/>
    <x v="20"/>
    <x v="16"/>
    <n v="29175"/>
    <n v="29411"/>
  </r>
  <r>
    <s v="ORD02206"/>
    <d v="2025-01-14T00:00:00"/>
    <x v="1"/>
    <x v="1"/>
    <x v="3"/>
    <s v="China"/>
    <x v="38"/>
    <x v="8"/>
    <n v="20746"/>
    <n v="25899"/>
  </r>
  <r>
    <s v="ORD02207"/>
    <d v="2025-07-25T00:00:00"/>
    <x v="0"/>
    <x v="0"/>
    <x v="3"/>
    <s v="UK"/>
    <x v="23"/>
    <x v="23"/>
    <n v="39039"/>
    <n v="31620"/>
  </r>
  <r>
    <s v="ORD02208"/>
    <d v="2025-07-10T00:00:00"/>
    <x v="0"/>
    <x v="47"/>
    <x v="5"/>
    <s v="UAE"/>
    <x v="0"/>
    <x v="2"/>
    <n v="18299"/>
    <n v="23367"/>
  </r>
  <r>
    <s v="ORD02209"/>
    <d v="2025-10-03T00:00:00"/>
    <x v="4"/>
    <x v="49"/>
    <x v="1"/>
    <s v="Mexico"/>
    <x v="36"/>
    <x v="13"/>
    <n v="39240"/>
    <n v="41947"/>
  </r>
  <r>
    <s v="ORD02210"/>
    <d v="2025-05-19T00:00:00"/>
    <x v="8"/>
    <x v="26"/>
    <x v="6"/>
    <s v="Spain"/>
    <x v="45"/>
    <x v="6"/>
    <n v="27320"/>
    <n v="33588"/>
  </r>
  <r>
    <s v="ORD02211"/>
    <d v="2025-08-01T00:00:00"/>
    <x v="11"/>
    <x v="12"/>
    <x v="1"/>
    <s v="Malaysia"/>
    <x v="5"/>
    <x v="27"/>
    <n v="38782"/>
    <n v="33631"/>
  </r>
  <r>
    <s v="ORD02212"/>
    <d v="2025-02-02T00:00:00"/>
    <x v="6"/>
    <x v="3"/>
    <x v="6"/>
    <s v="Thailand"/>
    <x v="12"/>
    <x v="3"/>
    <n v="39474"/>
    <n v="36719"/>
  </r>
  <r>
    <s v="ORD02213"/>
    <d v="2025-04-07T00:00:00"/>
    <x v="7"/>
    <x v="16"/>
    <x v="2"/>
    <s v="Canada"/>
    <x v="22"/>
    <x v="25"/>
    <n v="33150"/>
    <n v="25986"/>
  </r>
  <r>
    <s v="ORD02214"/>
    <d v="2025-10-28T00:00:00"/>
    <x v="4"/>
    <x v="2"/>
    <x v="6"/>
    <s v="Canada"/>
    <x v="46"/>
    <x v="6"/>
    <n v="20725"/>
    <n v="26020"/>
  </r>
  <r>
    <s v="ORD02215"/>
    <d v="2025-11-27T00:00:00"/>
    <x v="2"/>
    <x v="11"/>
    <x v="5"/>
    <s v="Brazil"/>
    <x v="37"/>
    <x v="17"/>
    <n v="17792"/>
    <n v="22862"/>
  </r>
  <r>
    <s v="ORD02216"/>
    <d v="2025-06-16T00:00:00"/>
    <x v="5"/>
    <x v="13"/>
    <x v="1"/>
    <s v="Malaysia"/>
    <x v="16"/>
    <x v="28"/>
    <n v="17037"/>
    <n v="11993"/>
  </r>
  <r>
    <s v="ORD02217"/>
    <d v="2025-02-18T00:00:00"/>
    <x v="6"/>
    <x v="15"/>
    <x v="5"/>
    <s v="South Africa"/>
    <x v="5"/>
    <x v="15"/>
    <n v="27646"/>
    <n v="35359"/>
  </r>
  <r>
    <s v="ORD02218"/>
    <d v="2025-01-23T00:00:00"/>
    <x v="1"/>
    <x v="7"/>
    <x v="3"/>
    <s v="Brazil"/>
    <x v="11"/>
    <x v="15"/>
    <n v="33569"/>
    <n v="31034"/>
  </r>
  <r>
    <s v="ORD02219"/>
    <d v="2025-06-28T00:00:00"/>
    <x v="5"/>
    <x v="36"/>
    <x v="2"/>
    <s v="Japan"/>
    <x v="27"/>
    <x v="2"/>
    <n v="22411"/>
    <n v="16006"/>
  </r>
  <r>
    <s v="ORD02220"/>
    <d v="2025-06-18T00:00:00"/>
    <x v="5"/>
    <x v="13"/>
    <x v="3"/>
    <s v="Spain"/>
    <x v="21"/>
    <x v="7"/>
    <n v="36537"/>
    <n v="40448"/>
  </r>
  <r>
    <s v="ORD02221"/>
    <d v="2025-04-09T00:00:00"/>
    <x v="7"/>
    <x v="16"/>
    <x v="4"/>
    <s v="Russia"/>
    <x v="39"/>
    <x v="9"/>
    <n v="32579"/>
    <n v="33153"/>
  </r>
  <r>
    <s v="ORD02222"/>
    <d v="2025-10-24T00:00:00"/>
    <x v="4"/>
    <x v="50"/>
    <x v="2"/>
    <s v="Russia"/>
    <x v="37"/>
    <x v="24"/>
    <n v="34001"/>
    <n v="37545"/>
  </r>
  <r>
    <s v="ORD02223"/>
    <d v="2025-05-08T00:00:00"/>
    <x v="8"/>
    <x v="18"/>
    <x v="5"/>
    <s v="Japan"/>
    <x v="21"/>
    <x v="25"/>
    <n v="22825"/>
    <n v="20582"/>
  </r>
  <r>
    <s v="ORD02224"/>
    <d v="2025-09-10T00:00:00"/>
    <x v="3"/>
    <x v="31"/>
    <x v="1"/>
    <s v="USA"/>
    <x v="4"/>
    <x v="0"/>
    <n v="20732"/>
    <n v="24454"/>
  </r>
  <r>
    <s v="ORD02225"/>
    <d v="2025-08-28T00:00:00"/>
    <x v="11"/>
    <x v="28"/>
    <x v="2"/>
    <s v="India"/>
    <x v="23"/>
    <x v="11"/>
    <n v="34830"/>
    <n v="37219"/>
  </r>
  <r>
    <s v="ORD02226"/>
    <d v="2025-06-10T00:00:00"/>
    <x v="5"/>
    <x v="40"/>
    <x v="2"/>
    <s v="Thailand"/>
    <x v="28"/>
    <x v="21"/>
    <n v="26423"/>
    <n v="25450"/>
  </r>
  <r>
    <s v="ORD02227"/>
    <d v="2025-05-01T00:00:00"/>
    <x v="8"/>
    <x v="27"/>
    <x v="0"/>
    <s v="Canada"/>
    <x v="1"/>
    <x v="1"/>
    <n v="31201"/>
    <n v="36369"/>
  </r>
  <r>
    <s v="ORD02228"/>
    <d v="2025-01-30T00:00:00"/>
    <x v="1"/>
    <x v="3"/>
    <x v="1"/>
    <s v="Italy"/>
    <x v="3"/>
    <x v="7"/>
    <n v="32934"/>
    <n v="41473"/>
  </r>
  <r>
    <s v="ORD02229"/>
    <d v="2025-05-16T00:00:00"/>
    <x v="8"/>
    <x v="17"/>
    <x v="6"/>
    <s v="Singapore"/>
    <x v="49"/>
    <x v="26"/>
    <n v="16035"/>
    <n v="11625"/>
  </r>
  <r>
    <s v="ORD02230"/>
    <d v="2025-11-06T00:00:00"/>
    <x v="2"/>
    <x v="51"/>
    <x v="3"/>
    <s v="Mexico"/>
    <x v="44"/>
    <x v="18"/>
    <n v="24539"/>
    <n v="22639"/>
  </r>
  <r>
    <s v="ORD02231"/>
    <d v="2025-09-04T00:00:00"/>
    <x v="3"/>
    <x v="4"/>
    <x v="4"/>
    <s v="Mexico"/>
    <x v="19"/>
    <x v="13"/>
    <n v="17691"/>
    <n v="19280"/>
  </r>
  <r>
    <s v="ORD02232"/>
    <d v="2025-06-11T00:00:00"/>
    <x v="5"/>
    <x v="40"/>
    <x v="5"/>
    <s v="Australia"/>
    <x v="27"/>
    <x v="23"/>
    <n v="16600"/>
    <n v="19309"/>
  </r>
  <r>
    <s v="ORD02233"/>
    <d v="2025-09-30T00:00:00"/>
    <x v="3"/>
    <x v="49"/>
    <x v="4"/>
    <s v="Australia"/>
    <x v="43"/>
    <x v="19"/>
    <n v="26059"/>
    <n v="32209"/>
  </r>
  <r>
    <s v="ORD02234"/>
    <d v="2025-05-24T00:00:00"/>
    <x v="8"/>
    <x v="26"/>
    <x v="1"/>
    <s v="USA"/>
    <x v="48"/>
    <x v="4"/>
    <n v="29227"/>
    <n v="30230"/>
  </r>
  <r>
    <s v="ORD02235"/>
    <d v="2025-09-18T00:00:00"/>
    <x v="3"/>
    <x v="8"/>
    <x v="0"/>
    <s v="UK"/>
    <x v="2"/>
    <x v="20"/>
    <n v="17545"/>
    <n v="18975"/>
  </r>
  <r>
    <s v="ORD02236"/>
    <d v="2025-11-05T00:00:00"/>
    <x v="2"/>
    <x v="51"/>
    <x v="0"/>
    <s v="Canada"/>
    <x v="36"/>
    <x v="7"/>
    <n v="36651"/>
    <n v="30912"/>
  </r>
  <r>
    <s v="ORD02237"/>
    <d v="2025-08-09T00:00:00"/>
    <x v="11"/>
    <x v="23"/>
    <x v="0"/>
    <s v="Japan"/>
    <x v="45"/>
    <x v="17"/>
    <n v="15974"/>
    <n v="11359"/>
  </r>
  <r>
    <s v="ORD02238"/>
    <d v="2025-01-08T00:00:00"/>
    <x v="1"/>
    <x v="6"/>
    <x v="2"/>
    <s v="Japan"/>
    <x v="1"/>
    <x v="8"/>
    <n v="39040"/>
    <n v="35929"/>
  </r>
  <r>
    <s v="ORD02239"/>
    <d v="2025-03-26T00:00:00"/>
    <x v="9"/>
    <x v="33"/>
    <x v="3"/>
    <s v="Japan"/>
    <x v="31"/>
    <x v="7"/>
    <n v="23813"/>
    <n v="26575"/>
  </r>
  <r>
    <s v="ORD02240"/>
    <d v="2025-08-19T00:00:00"/>
    <x v="11"/>
    <x v="46"/>
    <x v="6"/>
    <s v="Australia"/>
    <x v="5"/>
    <x v="20"/>
    <n v="25849"/>
    <n v="31581"/>
  </r>
  <r>
    <s v="ORD02241"/>
    <d v="2025-05-17T00:00:00"/>
    <x v="8"/>
    <x v="17"/>
    <x v="5"/>
    <s v="Thailand"/>
    <x v="33"/>
    <x v="25"/>
    <n v="28428"/>
    <n v="35610"/>
  </r>
  <r>
    <s v="ORD02242"/>
    <d v="2025-08-23T00:00:00"/>
    <x v="11"/>
    <x v="46"/>
    <x v="2"/>
    <s v="UAE"/>
    <x v="17"/>
    <x v="28"/>
    <n v="32617"/>
    <n v="39589"/>
  </r>
  <r>
    <s v="ORD02243"/>
    <d v="2025-09-01T00:00:00"/>
    <x v="3"/>
    <x v="4"/>
    <x v="2"/>
    <s v="Thailand"/>
    <x v="38"/>
    <x v="28"/>
    <n v="17647"/>
    <n v="22571"/>
  </r>
  <r>
    <s v="ORD02244"/>
    <d v="2025-03-13T00:00:00"/>
    <x v="9"/>
    <x v="19"/>
    <x v="3"/>
    <s v="South Africa"/>
    <x v="43"/>
    <x v="10"/>
    <n v="24912"/>
    <n v="21671"/>
  </r>
  <r>
    <s v="ORD02245"/>
    <d v="2025-03-22T00:00:00"/>
    <x v="9"/>
    <x v="39"/>
    <x v="4"/>
    <s v="UK"/>
    <x v="30"/>
    <x v="10"/>
    <n v="19249"/>
    <n v="14148"/>
  </r>
  <r>
    <s v="ORD02246"/>
    <d v="2025-03-02T00:00:00"/>
    <x v="9"/>
    <x v="22"/>
    <x v="0"/>
    <s v="Russia"/>
    <x v="12"/>
    <x v="11"/>
    <n v="24933"/>
    <n v="23237"/>
  </r>
  <r>
    <s v="ORD02247"/>
    <d v="2025-01-05T00:00:00"/>
    <x v="1"/>
    <x v="5"/>
    <x v="0"/>
    <s v="Malaysia"/>
    <x v="27"/>
    <x v="20"/>
    <n v="33341"/>
    <n v="29213"/>
  </r>
  <r>
    <s v="ORD02248"/>
    <d v="2025-09-25T00:00:00"/>
    <x v="3"/>
    <x v="25"/>
    <x v="2"/>
    <s v="Spain"/>
    <x v="46"/>
    <x v="17"/>
    <n v="38050"/>
    <n v="40705"/>
  </r>
  <r>
    <s v="ORD02249"/>
    <d v="2025-03-11T00:00:00"/>
    <x v="9"/>
    <x v="19"/>
    <x v="5"/>
    <s v="Malaysia"/>
    <x v="22"/>
    <x v="9"/>
    <n v="29215"/>
    <n v="28211"/>
  </r>
  <r>
    <s v="ORD02250"/>
    <d v="2025-06-25T00:00:00"/>
    <x v="5"/>
    <x v="36"/>
    <x v="3"/>
    <s v="Singapore"/>
    <x v="7"/>
    <x v="17"/>
    <n v="22633"/>
    <n v="21749"/>
  </r>
  <r>
    <s v="ORD02251"/>
    <d v="2025-01-04T00:00:00"/>
    <x v="1"/>
    <x v="5"/>
    <x v="1"/>
    <s v="South Africa"/>
    <x v="19"/>
    <x v="23"/>
    <n v="29195"/>
    <n v="32396"/>
  </r>
  <r>
    <s v="ORD02252"/>
    <d v="2025-04-16T00:00:00"/>
    <x v="7"/>
    <x v="20"/>
    <x v="5"/>
    <s v="USA"/>
    <x v="2"/>
    <x v="18"/>
    <n v="33410"/>
    <n v="34481"/>
  </r>
  <r>
    <s v="ORD02253"/>
    <d v="2025-08-04T00:00:00"/>
    <x v="11"/>
    <x v="23"/>
    <x v="5"/>
    <s v="Australia"/>
    <x v="17"/>
    <x v="4"/>
    <n v="37197"/>
    <n v="42312"/>
  </r>
  <r>
    <s v="ORD02254"/>
    <d v="2025-08-24T00:00:00"/>
    <x v="11"/>
    <x v="46"/>
    <x v="4"/>
    <s v="Malaysia"/>
    <x v="28"/>
    <x v="22"/>
    <n v="20211"/>
    <n v="21852"/>
  </r>
  <r>
    <s v="ORD02255"/>
    <d v="2025-08-11T00:00:00"/>
    <x v="11"/>
    <x v="30"/>
    <x v="6"/>
    <s v="Spain"/>
    <x v="49"/>
    <x v="4"/>
    <n v="27085"/>
    <n v="29888"/>
  </r>
  <r>
    <s v="ORD02256"/>
    <d v="2025-04-06T00:00:00"/>
    <x v="7"/>
    <x v="34"/>
    <x v="0"/>
    <s v="Italy"/>
    <x v="12"/>
    <x v="22"/>
    <n v="29499"/>
    <n v="23248"/>
  </r>
  <r>
    <s v="ORD02257"/>
    <d v="2025-06-27T00:00:00"/>
    <x v="5"/>
    <x v="36"/>
    <x v="5"/>
    <s v="India"/>
    <x v="6"/>
    <x v="12"/>
    <n v="38887"/>
    <n v="31874"/>
  </r>
  <r>
    <s v="ORD02258"/>
    <d v="2025-06-13T00:00:00"/>
    <x v="5"/>
    <x v="40"/>
    <x v="5"/>
    <s v="USA"/>
    <x v="44"/>
    <x v="24"/>
    <n v="38601"/>
    <n v="45018"/>
  </r>
  <r>
    <s v="ORD02259"/>
    <d v="2025-11-29T00:00:00"/>
    <x v="2"/>
    <x v="11"/>
    <x v="4"/>
    <s v="Thailand"/>
    <x v="47"/>
    <x v="17"/>
    <n v="37584"/>
    <n v="44346"/>
  </r>
  <r>
    <s v="ORD02260"/>
    <d v="2025-07-12T00:00:00"/>
    <x v="0"/>
    <x v="47"/>
    <x v="6"/>
    <s v="Australia"/>
    <x v="32"/>
    <x v="14"/>
    <n v="35239"/>
    <n v="37766"/>
  </r>
  <r>
    <s v="ORD02261"/>
    <d v="2025-03-16T00:00:00"/>
    <x v="9"/>
    <x v="19"/>
    <x v="6"/>
    <s v="South Africa"/>
    <x v="40"/>
    <x v="27"/>
    <n v="36353"/>
    <n v="39439"/>
  </r>
  <r>
    <s v="ORD02262"/>
    <d v="2025-02-14T00:00:00"/>
    <x v="6"/>
    <x v="29"/>
    <x v="5"/>
    <s v="Turkey"/>
    <x v="23"/>
    <x v="0"/>
    <n v="16799"/>
    <n v="15829"/>
  </r>
  <r>
    <s v="ORD02263"/>
    <d v="2025-03-26T00:00:00"/>
    <x v="9"/>
    <x v="33"/>
    <x v="5"/>
    <s v="Turkey"/>
    <x v="21"/>
    <x v="28"/>
    <n v="27915"/>
    <n v="31549"/>
  </r>
  <r>
    <s v="ORD02264"/>
    <d v="2025-07-01T00:00:00"/>
    <x v="0"/>
    <x v="37"/>
    <x v="3"/>
    <s v="Canada"/>
    <x v="21"/>
    <x v="23"/>
    <n v="27471"/>
    <n v="20298"/>
  </r>
  <r>
    <s v="ORD02265"/>
    <d v="2025-08-27T00:00:00"/>
    <x v="11"/>
    <x v="28"/>
    <x v="4"/>
    <s v="South Africa"/>
    <x v="43"/>
    <x v="7"/>
    <n v="22565"/>
    <n v="20001"/>
  </r>
  <r>
    <s v="ORD02266"/>
    <d v="2025-03-09T00:00:00"/>
    <x v="9"/>
    <x v="35"/>
    <x v="0"/>
    <s v="Italy"/>
    <x v="46"/>
    <x v="26"/>
    <n v="30748"/>
    <n v="21553"/>
  </r>
  <r>
    <s v="ORD02267"/>
    <d v="2025-11-12T00:00:00"/>
    <x v="2"/>
    <x v="44"/>
    <x v="0"/>
    <s v="UAE"/>
    <x v="43"/>
    <x v="8"/>
    <n v="27009"/>
    <n v="22520"/>
  </r>
  <r>
    <s v="ORD02268"/>
    <d v="2025-07-21T00:00:00"/>
    <x v="0"/>
    <x v="0"/>
    <x v="0"/>
    <s v="South Africa"/>
    <x v="34"/>
    <x v="27"/>
    <n v="33869"/>
    <n v="42245"/>
  </r>
  <r>
    <s v="ORD02269"/>
    <d v="2025-03-22T00:00:00"/>
    <x v="9"/>
    <x v="39"/>
    <x v="6"/>
    <s v="Mexico"/>
    <x v="14"/>
    <x v="9"/>
    <n v="30725"/>
    <n v="24652"/>
  </r>
  <r>
    <s v="ORD02270"/>
    <d v="2025-06-04T00:00:00"/>
    <x v="5"/>
    <x v="41"/>
    <x v="1"/>
    <s v="Spain"/>
    <x v="45"/>
    <x v="1"/>
    <n v="20174"/>
    <n v="20351"/>
  </r>
  <r>
    <s v="ORD02271"/>
    <d v="2025-10-21T00:00:00"/>
    <x v="4"/>
    <x v="50"/>
    <x v="2"/>
    <s v="Canada"/>
    <x v="4"/>
    <x v="9"/>
    <n v="21614"/>
    <n v="21603"/>
  </r>
  <r>
    <s v="ORD02272"/>
    <d v="2025-11-19T00:00:00"/>
    <x v="2"/>
    <x v="9"/>
    <x v="3"/>
    <s v="Australia"/>
    <x v="2"/>
    <x v="21"/>
    <n v="21490"/>
    <n v="17481"/>
  </r>
  <r>
    <s v="ORD02273"/>
    <d v="2025-06-26T00:00:00"/>
    <x v="5"/>
    <x v="36"/>
    <x v="4"/>
    <s v="Russia"/>
    <x v="7"/>
    <x v="3"/>
    <n v="27206"/>
    <n v="19598"/>
  </r>
  <r>
    <s v="ORD02274"/>
    <d v="2025-03-05T00:00:00"/>
    <x v="9"/>
    <x v="35"/>
    <x v="4"/>
    <s v="UAE"/>
    <x v="5"/>
    <x v="21"/>
    <n v="18669"/>
    <n v="24067"/>
  </r>
  <r>
    <s v="ORD02275"/>
    <d v="2025-03-10T00:00:00"/>
    <x v="9"/>
    <x v="19"/>
    <x v="0"/>
    <s v="India"/>
    <x v="39"/>
    <x v="28"/>
    <n v="19820"/>
    <n v="23701"/>
  </r>
  <r>
    <s v="ORD02276"/>
    <d v="2025-03-09T00:00:00"/>
    <x v="9"/>
    <x v="35"/>
    <x v="4"/>
    <s v="Canada"/>
    <x v="17"/>
    <x v="17"/>
    <n v="15449"/>
    <n v="12696"/>
  </r>
  <r>
    <s v="ORD02277"/>
    <d v="2025-05-03T00:00:00"/>
    <x v="8"/>
    <x v="27"/>
    <x v="1"/>
    <s v="USA"/>
    <x v="42"/>
    <x v="1"/>
    <n v="38767"/>
    <n v="46592"/>
  </r>
  <r>
    <s v="ORD02278"/>
    <d v="2025-02-22T00:00:00"/>
    <x v="6"/>
    <x v="15"/>
    <x v="4"/>
    <s v="Turkey"/>
    <x v="36"/>
    <x v="21"/>
    <n v="39926"/>
    <n v="31255"/>
  </r>
  <r>
    <s v="ORD02279"/>
    <d v="2025-01-22T00:00:00"/>
    <x v="1"/>
    <x v="7"/>
    <x v="1"/>
    <s v="Russia"/>
    <x v="27"/>
    <x v="0"/>
    <n v="18336"/>
    <n v="22842"/>
  </r>
  <r>
    <s v="ORD02280"/>
    <d v="2025-07-23T00:00:00"/>
    <x v="0"/>
    <x v="0"/>
    <x v="1"/>
    <s v="Russia"/>
    <x v="17"/>
    <x v="26"/>
    <n v="31651"/>
    <n v="29449"/>
  </r>
  <r>
    <s v="ORD02281"/>
    <d v="2025-01-20T00:00:00"/>
    <x v="1"/>
    <x v="7"/>
    <x v="3"/>
    <s v="UK"/>
    <x v="7"/>
    <x v="14"/>
    <n v="27519"/>
    <n v="31837"/>
  </r>
  <r>
    <s v="ORD02282"/>
    <d v="2025-07-21T00:00:00"/>
    <x v="0"/>
    <x v="0"/>
    <x v="4"/>
    <s v="USA"/>
    <x v="18"/>
    <x v="25"/>
    <n v="19474"/>
    <n v="16831"/>
  </r>
  <r>
    <s v="ORD02283"/>
    <d v="2025-03-13T00:00:00"/>
    <x v="9"/>
    <x v="19"/>
    <x v="2"/>
    <s v="South Africa"/>
    <x v="8"/>
    <x v="10"/>
    <n v="39372"/>
    <n v="47281"/>
  </r>
  <r>
    <s v="ORD02284"/>
    <d v="2025-08-28T00:00:00"/>
    <x v="11"/>
    <x v="28"/>
    <x v="2"/>
    <s v="Brazil"/>
    <x v="22"/>
    <x v="21"/>
    <n v="28272"/>
    <n v="31184"/>
  </r>
  <r>
    <s v="ORD02285"/>
    <d v="2025-07-03T00:00:00"/>
    <x v="0"/>
    <x v="37"/>
    <x v="1"/>
    <s v="Malaysia"/>
    <x v="7"/>
    <x v="13"/>
    <n v="19105"/>
    <n v="18236"/>
  </r>
  <r>
    <s v="ORD02286"/>
    <d v="2025-10-06T00:00:00"/>
    <x v="4"/>
    <x v="45"/>
    <x v="3"/>
    <s v="South Africa"/>
    <x v="15"/>
    <x v="27"/>
    <n v="20478"/>
    <n v="18564"/>
  </r>
  <r>
    <s v="ORD02287"/>
    <d v="2025-01-19T00:00:00"/>
    <x v="1"/>
    <x v="1"/>
    <x v="5"/>
    <s v="Germany"/>
    <x v="31"/>
    <x v="16"/>
    <n v="38529"/>
    <n v="32136"/>
  </r>
  <r>
    <s v="ORD02288"/>
    <d v="2025-12-05T00:00:00"/>
    <x v="10"/>
    <x v="43"/>
    <x v="2"/>
    <s v="India"/>
    <x v="4"/>
    <x v="7"/>
    <n v="24062"/>
    <n v="28510"/>
  </r>
  <r>
    <s v="ORD02289"/>
    <d v="2025-08-13T00:00:00"/>
    <x v="11"/>
    <x v="30"/>
    <x v="1"/>
    <s v="Mexico"/>
    <x v="15"/>
    <x v="27"/>
    <n v="17819"/>
    <n v="15181"/>
  </r>
  <r>
    <s v="ORD02290"/>
    <d v="2025-05-11T00:00:00"/>
    <x v="8"/>
    <x v="18"/>
    <x v="2"/>
    <s v="Malaysia"/>
    <x v="34"/>
    <x v="29"/>
    <n v="34158"/>
    <n v="41307"/>
  </r>
  <r>
    <s v="ORD02291"/>
    <d v="2025-01-10T00:00:00"/>
    <x v="1"/>
    <x v="6"/>
    <x v="1"/>
    <s v="China"/>
    <x v="38"/>
    <x v="12"/>
    <n v="21560"/>
    <n v="27715"/>
  </r>
  <r>
    <s v="ORD02292"/>
    <d v="2025-09-07T00:00:00"/>
    <x v="3"/>
    <x v="4"/>
    <x v="1"/>
    <s v="Canada"/>
    <x v="2"/>
    <x v="25"/>
    <n v="38217"/>
    <n v="35950"/>
  </r>
  <r>
    <s v="ORD02293"/>
    <d v="2025-01-13T00:00:00"/>
    <x v="1"/>
    <x v="1"/>
    <x v="2"/>
    <s v="China"/>
    <x v="17"/>
    <x v="23"/>
    <n v="33048"/>
    <n v="35544"/>
  </r>
  <r>
    <s v="ORD02294"/>
    <d v="2025-05-30T00:00:00"/>
    <x v="8"/>
    <x v="24"/>
    <x v="0"/>
    <s v="Malaysia"/>
    <x v="15"/>
    <x v="12"/>
    <n v="22480"/>
    <n v="20442"/>
  </r>
  <r>
    <s v="ORD02295"/>
    <d v="2025-12-23T00:00:00"/>
    <x v="10"/>
    <x v="42"/>
    <x v="6"/>
    <s v="South Africa"/>
    <x v="2"/>
    <x v="0"/>
    <n v="35454"/>
    <n v="41443"/>
  </r>
  <r>
    <s v="ORD02296"/>
    <d v="2025-06-20T00:00:00"/>
    <x v="5"/>
    <x v="13"/>
    <x v="3"/>
    <s v="Malaysia"/>
    <x v="32"/>
    <x v="6"/>
    <n v="35460"/>
    <n v="43688"/>
  </r>
  <r>
    <s v="ORD02297"/>
    <d v="2025-10-14T00:00:00"/>
    <x v="4"/>
    <x v="10"/>
    <x v="4"/>
    <s v="UAE"/>
    <x v="20"/>
    <x v="15"/>
    <n v="28369"/>
    <n v="33308"/>
  </r>
  <r>
    <s v="ORD02298"/>
    <d v="2025-03-01T00:00:00"/>
    <x v="9"/>
    <x v="22"/>
    <x v="2"/>
    <s v="Thailand"/>
    <x v="0"/>
    <x v="18"/>
    <n v="38864"/>
    <n v="45626"/>
  </r>
  <r>
    <s v="ORD02299"/>
    <d v="2025-10-28T00:00:00"/>
    <x v="4"/>
    <x v="2"/>
    <x v="4"/>
    <s v="Turkey"/>
    <x v="32"/>
    <x v="11"/>
    <n v="29104"/>
    <n v="32659"/>
  </r>
  <r>
    <s v="ORD02300"/>
    <d v="2025-12-06T00:00:00"/>
    <x v="10"/>
    <x v="43"/>
    <x v="5"/>
    <s v="Japan"/>
    <x v="14"/>
    <x v="4"/>
    <n v="33860"/>
    <n v="29615"/>
  </r>
  <r>
    <s v="ORD02301"/>
    <d v="2025-09-03T00:00:00"/>
    <x v="3"/>
    <x v="4"/>
    <x v="2"/>
    <s v="South Africa"/>
    <x v="40"/>
    <x v="2"/>
    <n v="34309"/>
    <n v="26370"/>
  </r>
  <r>
    <s v="ORD02302"/>
    <d v="2025-12-31T00:00:00"/>
    <x v="10"/>
    <x v="5"/>
    <x v="4"/>
    <s v="UK"/>
    <x v="30"/>
    <x v="28"/>
    <n v="34958"/>
    <n v="25124"/>
  </r>
  <r>
    <s v="ORD02303"/>
    <d v="2025-05-01T00:00:00"/>
    <x v="8"/>
    <x v="27"/>
    <x v="2"/>
    <s v="USA"/>
    <x v="25"/>
    <x v="14"/>
    <n v="33787"/>
    <n v="40950"/>
  </r>
  <r>
    <s v="ORD02304"/>
    <d v="2025-07-30T00:00:00"/>
    <x v="0"/>
    <x v="12"/>
    <x v="4"/>
    <s v="Singapore"/>
    <x v="13"/>
    <x v="7"/>
    <n v="35138"/>
    <n v="36095"/>
  </r>
  <r>
    <s v="ORD02305"/>
    <d v="2025-02-10T00:00:00"/>
    <x v="6"/>
    <x v="29"/>
    <x v="1"/>
    <s v="UAE"/>
    <x v="13"/>
    <x v="9"/>
    <n v="19717"/>
    <n v="16338"/>
  </r>
  <r>
    <s v="ORD02306"/>
    <d v="2025-12-27T00:00:00"/>
    <x v="10"/>
    <x v="42"/>
    <x v="0"/>
    <s v="Japan"/>
    <x v="13"/>
    <x v="13"/>
    <n v="32053"/>
    <n v="23581"/>
  </r>
  <r>
    <s v="ORD02307"/>
    <d v="2025-10-08T00:00:00"/>
    <x v="4"/>
    <x v="45"/>
    <x v="2"/>
    <s v="Germany"/>
    <x v="22"/>
    <x v="1"/>
    <n v="32649"/>
    <n v="29653"/>
  </r>
  <r>
    <s v="ORD02308"/>
    <d v="2025-06-11T00:00:00"/>
    <x v="5"/>
    <x v="40"/>
    <x v="6"/>
    <s v="South Africa"/>
    <x v="40"/>
    <x v="12"/>
    <n v="20887"/>
    <n v="16747"/>
  </r>
  <r>
    <s v="ORD02309"/>
    <d v="2025-08-26T00:00:00"/>
    <x v="11"/>
    <x v="28"/>
    <x v="0"/>
    <s v="Russia"/>
    <x v="46"/>
    <x v="1"/>
    <n v="35843"/>
    <n v="41640"/>
  </r>
  <r>
    <s v="ORD02310"/>
    <d v="2025-12-06T00:00:00"/>
    <x v="10"/>
    <x v="43"/>
    <x v="1"/>
    <s v="Italy"/>
    <x v="45"/>
    <x v="4"/>
    <n v="34850"/>
    <n v="32988"/>
  </r>
  <r>
    <s v="ORD02311"/>
    <d v="2025-03-28T00:00:00"/>
    <x v="9"/>
    <x v="33"/>
    <x v="0"/>
    <s v="UK"/>
    <x v="10"/>
    <x v="11"/>
    <n v="29046"/>
    <n v="25727"/>
  </r>
  <r>
    <s v="ORD02312"/>
    <d v="2025-05-15T00:00:00"/>
    <x v="8"/>
    <x v="17"/>
    <x v="5"/>
    <s v="Brazil"/>
    <x v="26"/>
    <x v="2"/>
    <n v="38659"/>
    <n v="40623"/>
  </r>
  <r>
    <s v="ORD02313"/>
    <d v="2025-04-16T00:00:00"/>
    <x v="7"/>
    <x v="20"/>
    <x v="3"/>
    <s v="South Africa"/>
    <x v="47"/>
    <x v="25"/>
    <n v="33329"/>
    <n v="38282"/>
  </r>
  <r>
    <s v="ORD02314"/>
    <d v="2025-02-11T00:00:00"/>
    <x v="6"/>
    <x v="29"/>
    <x v="2"/>
    <s v="UK"/>
    <x v="24"/>
    <x v="22"/>
    <n v="16240"/>
    <n v="15124"/>
  </r>
  <r>
    <s v="ORD02315"/>
    <d v="2025-11-30T00:00:00"/>
    <x v="2"/>
    <x v="11"/>
    <x v="1"/>
    <s v="Malaysia"/>
    <x v="21"/>
    <x v="2"/>
    <n v="23517"/>
    <n v="28961"/>
  </r>
  <r>
    <s v="ORD02316"/>
    <d v="2025-05-13T00:00:00"/>
    <x v="8"/>
    <x v="17"/>
    <x v="4"/>
    <s v="Singapore"/>
    <x v="30"/>
    <x v="19"/>
    <n v="27706"/>
    <n v="21545"/>
  </r>
  <r>
    <s v="ORD02317"/>
    <d v="2025-03-03T00:00:00"/>
    <x v="9"/>
    <x v="35"/>
    <x v="6"/>
    <s v="UAE"/>
    <x v="33"/>
    <x v="16"/>
    <n v="36252"/>
    <n v="31306"/>
  </r>
  <r>
    <s v="ORD02318"/>
    <d v="2025-08-14T00:00:00"/>
    <x v="11"/>
    <x v="30"/>
    <x v="0"/>
    <s v="Mexico"/>
    <x v="37"/>
    <x v="28"/>
    <n v="39794"/>
    <n v="43793"/>
  </r>
  <r>
    <s v="ORD02319"/>
    <d v="2025-06-17T00:00:00"/>
    <x v="5"/>
    <x v="13"/>
    <x v="1"/>
    <s v="Singapore"/>
    <x v="39"/>
    <x v="24"/>
    <n v="28318"/>
    <n v="26346"/>
  </r>
  <r>
    <s v="ORD02320"/>
    <d v="2025-12-08T00:00:00"/>
    <x v="10"/>
    <x v="32"/>
    <x v="6"/>
    <s v="Malaysia"/>
    <x v="14"/>
    <x v="0"/>
    <n v="25810"/>
    <n v="32390"/>
  </r>
  <r>
    <s v="ORD02321"/>
    <d v="2025-03-03T00:00:00"/>
    <x v="9"/>
    <x v="35"/>
    <x v="4"/>
    <s v="Canada"/>
    <x v="47"/>
    <x v="18"/>
    <n v="39947"/>
    <n v="32837"/>
  </r>
  <r>
    <s v="ORD02322"/>
    <d v="2025-07-23T00:00:00"/>
    <x v="0"/>
    <x v="0"/>
    <x v="0"/>
    <s v="Brazil"/>
    <x v="40"/>
    <x v="22"/>
    <n v="29387"/>
    <n v="26430"/>
  </r>
  <r>
    <s v="ORD02323"/>
    <d v="2025-01-02T00:00:00"/>
    <x v="1"/>
    <x v="5"/>
    <x v="0"/>
    <s v="Spain"/>
    <x v="43"/>
    <x v="17"/>
    <n v="16641"/>
    <n v="19953"/>
  </r>
  <r>
    <s v="ORD02324"/>
    <d v="2025-11-24T00:00:00"/>
    <x v="2"/>
    <x v="11"/>
    <x v="0"/>
    <s v="Brazil"/>
    <x v="42"/>
    <x v="8"/>
    <n v="28631"/>
    <n v="31340"/>
  </r>
  <r>
    <s v="ORD02325"/>
    <d v="2025-01-06T00:00:00"/>
    <x v="1"/>
    <x v="6"/>
    <x v="6"/>
    <s v="Turkey"/>
    <x v="33"/>
    <x v="20"/>
    <n v="26600"/>
    <n v="31692"/>
  </r>
  <r>
    <s v="ORD02326"/>
    <d v="2025-06-25T00:00:00"/>
    <x v="5"/>
    <x v="36"/>
    <x v="6"/>
    <s v="UAE"/>
    <x v="7"/>
    <x v="24"/>
    <n v="31743"/>
    <n v="35099"/>
  </r>
  <r>
    <s v="ORD02327"/>
    <d v="2025-09-02T00:00:00"/>
    <x v="3"/>
    <x v="4"/>
    <x v="0"/>
    <s v="Italy"/>
    <x v="24"/>
    <x v="27"/>
    <n v="31945"/>
    <n v="30640"/>
  </r>
  <r>
    <s v="ORD02328"/>
    <d v="2025-08-23T00:00:00"/>
    <x v="11"/>
    <x v="46"/>
    <x v="3"/>
    <s v="Thailand"/>
    <x v="33"/>
    <x v="25"/>
    <n v="19922"/>
    <n v="17196"/>
  </r>
  <r>
    <s v="ORD02329"/>
    <d v="2025-09-22T00:00:00"/>
    <x v="3"/>
    <x v="25"/>
    <x v="4"/>
    <s v="India"/>
    <x v="26"/>
    <x v="24"/>
    <n v="39185"/>
    <n v="32427"/>
  </r>
  <r>
    <s v="ORD02330"/>
    <d v="2025-08-05T00:00:00"/>
    <x v="11"/>
    <x v="23"/>
    <x v="6"/>
    <s v="France"/>
    <x v="9"/>
    <x v="14"/>
    <n v="34432"/>
    <n v="39141"/>
  </r>
  <r>
    <s v="ORD02331"/>
    <d v="2025-12-14T00:00:00"/>
    <x v="10"/>
    <x v="32"/>
    <x v="5"/>
    <s v="Turkey"/>
    <x v="32"/>
    <x v="8"/>
    <n v="17940"/>
    <n v="21687"/>
  </r>
  <r>
    <s v="ORD02332"/>
    <d v="2025-11-25T00:00:00"/>
    <x v="2"/>
    <x v="11"/>
    <x v="6"/>
    <s v="USA"/>
    <x v="46"/>
    <x v="0"/>
    <n v="25388"/>
    <n v="25844"/>
  </r>
  <r>
    <s v="ORD02333"/>
    <d v="2025-12-12T00:00:00"/>
    <x v="10"/>
    <x v="32"/>
    <x v="6"/>
    <s v="Turkey"/>
    <x v="22"/>
    <x v="21"/>
    <n v="34405"/>
    <n v="39223"/>
  </r>
  <r>
    <s v="ORD02334"/>
    <d v="2025-11-16T00:00:00"/>
    <x v="2"/>
    <x v="44"/>
    <x v="6"/>
    <s v="Thailand"/>
    <x v="35"/>
    <x v="20"/>
    <n v="38117"/>
    <n v="27264"/>
  </r>
  <r>
    <s v="ORD02335"/>
    <d v="2025-09-24T00:00:00"/>
    <x v="3"/>
    <x v="25"/>
    <x v="6"/>
    <s v="USA"/>
    <x v="45"/>
    <x v="22"/>
    <n v="15209"/>
    <n v="10869"/>
  </r>
  <r>
    <s v="ORD02336"/>
    <d v="2025-02-10T00:00:00"/>
    <x v="6"/>
    <x v="29"/>
    <x v="6"/>
    <s v="Spain"/>
    <x v="12"/>
    <x v="10"/>
    <n v="36041"/>
    <n v="38036"/>
  </r>
  <r>
    <s v="ORD02337"/>
    <d v="2025-08-13T00:00:00"/>
    <x v="11"/>
    <x v="30"/>
    <x v="0"/>
    <s v="China"/>
    <x v="38"/>
    <x v="4"/>
    <n v="25954"/>
    <n v="24817"/>
  </r>
  <r>
    <s v="ORD02338"/>
    <d v="2025-06-25T00:00:00"/>
    <x v="5"/>
    <x v="36"/>
    <x v="6"/>
    <s v="India"/>
    <x v="47"/>
    <x v="0"/>
    <n v="35416"/>
    <n v="28910"/>
  </r>
  <r>
    <s v="ORD02339"/>
    <d v="2025-01-07T00:00:00"/>
    <x v="1"/>
    <x v="6"/>
    <x v="3"/>
    <s v="Spain"/>
    <x v="32"/>
    <x v="21"/>
    <n v="15908"/>
    <n v="13192"/>
  </r>
  <r>
    <s v="ORD02340"/>
    <d v="2025-03-13T00:00:00"/>
    <x v="9"/>
    <x v="19"/>
    <x v="4"/>
    <s v="Malaysia"/>
    <x v="27"/>
    <x v="11"/>
    <n v="26332"/>
    <n v="22748"/>
  </r>
  <r>
    <s v="ORD02341"/>
    <d v="2025-06-25T00:00:00"/>
    <x v="5"/>
    <x v="36"/>
    <x v="1"/>
    <s v="Spain"/>
    <x v="9"/>
    <x v="8"/>
    <n v="22354"/>
    <n v="27727"/>
  </r>
  <r>
    <s v="ORD02342"/>
    <d v="2025-10-13T00:00:00"/>
    <x v="4"/>
    <x v="10"/>
    <x v="4"/>
    <s v="Turkey"/>
    <x v="28"/>
    <x v="4"/>
    <n v="28716"/>
    <n v="34720"/>
  </r>
  <r>
    <s v="ORD02343"/>
    <d v="2025-12-23T00:00:00"/>
    <x v="10"/>
    <x v="42"/>
    <x v="5"/>
    <s v="Japan"/>
    <x v="9"/>
    <x v="0"/>
    <n v="33057"/>
    <n v="36692"/>
  </r>
  <r>
    <s v="ORD02344"/>
    <d v="2025-07-26T00:00:00"/>
    <x v="0"/>
    <x v="0"/>
    <x v="4"/>
    <s v="China"/>
    <x v="34"/>
    <x v="29"/>
    <n v="37713"/>
    <n v="28452"/>
  </r>
  <r>
    <s v="ORD02345"/>
    <d v="2025-07-31T00:00:00"/>
    <x v="0"/>
    <x v="12"/>
    <x v="3"/>
    <s v="Turkey"/>
    <x v="8"/>
    <x v="25"/>
    <n v="26005"/>
    <n v="20913"/>
  </r>
  <r>
    <s v="ORD02346"/>
    <d v="2025-05-16T00:00:00"/>
    <x v="8"/>
    <x v="17"/>
    <x v="4"/>
    <s v="Spain"/>
    <x v="47"/>
    <x v="24"/>
    <n v="27250"/>
    <n v="19303"/>
  </r>
  <r>
    <s v="ORD02347"/>
    <d v="2025-09-11T00:00:00"/>
    <x v="3"/>
    <x v="31"/>
    <x v="5"/>
    <s v="UAE"/>
    <x v="20"/>
    <x v="3"/>
    <n v="22034"/>
    <n v="25831"/>
  </r>
  <r>
    <s v="ORD02348"/>
    <d v="2025-01-05T00:00:00"/>
    <x v="1"/>
    <x v="5"/>
    <x v="5"/>
    <s v="Germany"/>
    <x v="38"/>
    <x v="2"/>
    <n v="35006"/>
    <n v="32348"/>
  </r>
  <r>
    <s v="ORD02349"/>
    <d v="2025-09-08T00:00:00"/>
    <x v="3"/>
    <x v="31"/>
    <x v="2"/>
    <s v="France"/>
    <x v="19"/>
    <x v="0"/>
    <n v="32013"/>
    <n v="32196"/>
  </r>
  <r>
    <s v="ORD02350"/>
    <d v="2025-10-09T00:00:00"/>
    <x v="4"/>
    <x v="45"/>
    <x v="4"/>
    <s v="France"/>
    <x v="17"/>
    <x v="19"/>
    <n v="28017"/>
    <n v="28606"/>
  </r>
  <r>
    <s v="ORD02351"/>
    <d v="2025-04-17T00:00:00"/>
    <x v="7"/>
    <x v="20"/>
    <x v="4"/>
    <s v="UK"/>
    <x v="4"/>
    <x v="18"/>
    <n v="28932"/>
    <n v="31171"/>
  </r>
  <r>
    <s v="ORD02352"/>
    <d v="2025-10-08T00:00:00"/>
    <x v="4"/>
    <x v="45"/>
    <x v="2"/>
    <s v="China"/>
    <x v="43"/>
    <x v="5"/>
    <n v="20417"/>
    <n v="21681"/>
  </r>
  <r>
    <s v="ORD02353"/>
    <d v="2025-02-07T00:00:00"/>
    <x v="6"/>
    <x v="48"/>
    <x v="1"/>
    <s v="Thailand"/>
    <x v="34"/>
    <x v="17"/>
    <n v="36673"/>
    <n v="27966"/>
  </r>
  <r>
    <s v="ORD02354"/>
    <d v="2025-03-22T00:00:00"/>
    <x v="9"/>
    <x v="39"/>
    <x v="2"/>
    <s v="USA"/>
    <x v="47"/>
    <x v="23"/>
    <n v="25985"/>
    <n v="27330"/>
  </r>
  <r>
    <s v="ORD02355"/>
    <d v="2025-06-03T00:00:00"/>
    <x v="5"/>
    <x v="41"/>
    <x v="2"/>
    <s v="Mexico"/>
    <x v="22"/>
    <x v="29"/>
    <n v="17640"/>
    <n v="17992"/>
  </r>
  <r>
    <s v="ORD02356"/>
    <d v="2025-02-18T00:00:00"/>
    <x v="6"/>
    <x v="15"/>
    <x v="5"/>
    <s v="Malaysia"/>
    <x v="44"/>
    <x v="20"/>
    <n v="26374"/>
    <n v="29887"/>
  </r>
  <r>
    <s v="ORD02357"/>
    <d v="2025-12-24T00:00:00"/>
    <x v="10"/>
    <x v="42"/>
    <x v="0"/>
    <s v="Mexico"/>
    <x v="9"/>
    <x v="8"/>
    <n v="28766"/>
    <n v="36668"/>
  </r>
  <r>
    <s v="ORD02358"/>
    <d v="2025-09-09T00:00:00"/>
    <x v="3"/>
    <x v="31"/>
    <x v="0"/>
    <s v="UK"/>
    <x v="2"/>
    <x v="16"/>
    <n v="29119"/>
    <n v="37043"/>
  </r>
  <r>
    <s v="ORD02359"/>
    <d v="2025-08-17T00:00:00"/>
    <x v="11"/>
    <x v="30"/>
    <x v="0"/>
    <s v="USA"/>
    <x v="13"/>
    <x v="1"/>
    <n v="33688"/>
    <n v="30152"/>
  </r>
  <r>
    <s v="ORD02360"/>
    <d v="2025-02-17T00:00:00"/>
    <x v="6"/>
    <x v="15"/>
    <x v="2"/>
    <s v="South Africa"/>
    <x v="6"/>
    <x v="8"/>
    <n v="23150"/>
    <n v="24996"/>
  </r>
  <r>
    <s v="ORD02361"/>
    <d v="2025-06-28T00:00:00"/>
    <x v="5"/>
    <x v="36"/>
    <x v="2"/>
    <s v="Germany"/>
    <x v="7"/>
    <x v="18"/>
    <n v="24334"/>
    <n v="23555"/>
  </r>
  <r>
    <s v="ORD02362"/>
    <d v="2025-04-20T00:00:00"/>
    <x v="7"/>
    <x v="20"/>
    <x v="4"/>
    <s v="Brazil"/>
    <x v="46"/>
    <x v="14"/>
    <n v="19865"/>
    <n v="20122"/>
  </r>
  <r>
    <s v="ORD02363"/>
    <d v="2025-11-29T00:00:00"/>
    <x v="2"/>
    <x v="11"/>
    <x v="3"/>
    <s v="South Africa"/>
    <x v="47"/>
    <x v="25"/>
    <n v="23859"/>
    <n v="17903"/>
  </r>
  <r>
    <s v="ORD02364"/>
    <d v="2025-05-07T00:00:00"/>
    <x v="8"/>
    <x v="18"/>
    <x v="2"/>
    <s v="Russia"/>
    <x v="10"/>
    <x v="19"/>
    <n v="21372"/>
    <n v="24186"/>
  </r>
  <r>
    <s v="ORD02365"/>
    <d v="2025-07-21T00:00:00"/>
    <x v="0"/>
    <x v="0"/>
    <x v="2"/>
    <s v="Australia"/>
    <x v="23"/>
    <x v="3"/>
    <n v="26452"/>
    <n v="29062"/>
  </r>
  <r>
    <s v="ORD02366"/>
    <d v="2025-02-07T00:00:00"/>
    <x v="6"/>
    <x v="48"/>
    <x v="4"/>
    <s v="Japan"/>
    <x v="22"/>
    <x v="11"/>
    <n v="37573"/>
    <n v="27528"/>
  </r>
  <r>
    <s v="ORD02367"/>
    <d v="2025-07-01T00:00:00"/>
    <x v="0"/>
    <x v="37"/>
    <x v="3"/>
    <s v="Japan"/>
    <x v="9"/>
    <x v="6"/>
    <n v="28234"/>
    <n v="32638"/>
  </r>
  <r>
    <s v="ORD02368"/>
    <d v="2025-09-12T00:00:00"/>
    <x v="3"/>
    <x v="31"/>
    <x v="1"/>
    <s v="Australia"/>
    <x v="33"/>
    <x v="28"/>
    <n v="21674"/>
    <n v="19493"/>
  </r>
  <r>
    <s v="ORD02369"/>
    <d v="2025-05-18T00:00:00"/>
    <x v="8"/>
    <x v="17"/>
    <x v="4"/>
    <s v="Malaysia"/>
    <x v="48"/>
    <x v="11"/>
    <n v="24291"/>
    <n v="22458"/>
  </r>
  <r>
    <s v="ORD02370"/>
    <d v="2025-08-14T00:00:00"/>
    <x v="11"/>
    <x v="30"/>
    <x v="4"/>
    <s v="UK"/>
    <x v="29"/>
    <x v="14"/>
    <n v="19270"/>
    <n v="20004"/>
  </r>
  <r>
    <s v="ORD02371"/>
    <d v="2025-11-06T00:00:00"/>
    <x v="2"/>
    <x v="51"/>
    <x v="4"/>
    <s v="USA"/>
    <x v="30"/>
    <x v="23"/>
    <n v="20070"/>
    <n v="17636"/>
  </r>
  <r>
    <s v="ORD02372"/>
    <d v="2025-09-27T00:00:00"/>
    <x v="3"/>
    <x v="25"/>
    <x v="3"/>
    <s v="USA"/>
    <x v="38"/>
    <x v="13"/>
    <n v="17387"/>
    <n v="19785"/>
  </r>
  <r>
    <s v="ORD02373"/>
    <d v="2025-08-10T00:00:00"/>
    <x v="11"/>
    <x v="23"/>
    <x v="5"/>
    <s v="Singapore"/>
    <x v="30"/>
    <x v="5"/>
    <n v="29766"/>
    <n v="26264"/>
  </r>
  <r>
    <s v="ORD02374"/>
    <d v="2025-01-02T00:00:00"/>
    <x v="1"/>
    <x v="5"/>
    <x v="4"/>
    <s v="France"/>
    <x v="19"/>
    <x v="28"/>
    <n v="30214"/>
    <n v="32747"/>
  </r>
  <r>
    <s v="ORD02375"/>
    <d v="2025-01-27T00:00:00"/>
    <x v="1"/>
    <x v="3"/>
    <x v="1"/>
    <s v="UK"/>
    <x v="45"/>
    <x v="19"/>
    <n v="30619"/>
    <n v="22313"/>
  </r>
  <r>
    <s v="ORD02376"/>
    <d v="2025-04-24T00:00:00"/>
    <x v="7"/>
    <x v="38"/>
    <x v="3"/>
    <s v="Turkey"/>
    <x v="40"/>
    <x v="5"/>
    <n v="34823"/>
    <n v="38081"/>
  </r>
  <r>
    <s v="ORD02377"/>
    <d v="2025-07-08T00:00:00"/>
    <x v="0"/>
    <x v="47"/>
    <x v="0"/>
    <s v="Russia"/>
    <x v="30"/>
    <x v="24"/>
    <n v="23543"/>
    <n v="24776"/>
  </r>
  <r>
    <s v="ORD02378"/>
    <d v="2025-10-13T00:00:00"/>
    <x v="4"/>
    <x v="10"/>
    <x v="2"/>
    <s v="Italy"/>
    <x v="27"/>
    <x v="24"/>
    <n v="35341"/>
    <n v="37202"/>
  </r>
  <r>
    <s v="ORD02379"/>
    <d v="2025-07-16T00:00:00"/>
    <x v="0"/>
    <x v="14"/>
    <x v="2"/>
    <s v="UK"/>
    <x v="35"/>
    <x v="1"/>
    <n v="39527"/>
    <n v="29365"/>
  </r>
  <r>
    <s v="ORD02380"/>
    <d v="2025-06-09T00:00:00"/>
    <x v="5"/>
    <x v="40"/>
    <x v="0"/>
    <s v="South Africa"/>
    <x v="10"/>
    <x v="11"/>
    <n v="15382"/>
    <n v="19244"/>
  </r>
  <r>
    <s v="ORD02381"/>
    <d v="2025-09-13T00:00:00"/>
    <x v="3"/>
    <x v="31"/>
    <x v="6"/>
    <s v="Malaysia"/>
    <x v="25"/>
    <x v="24"/>
    <n v="29571"/>
    <n v="28964"/>
  </r>
  <r>
    <s v="ORD02382"/>
    <d v="2025-11-30T00:00:00"/>
    <x v="2"/>
    <x v="11"/>
    <x v="4"/>
    <s v="Australia"/>
    <x v="7"/>
    <x v="16"/>
    <n v="37543"/>
    <n v="43027"/>
  </r>
  <r>
    <s v="ORD02383"/>
    <d v="2025-12-21T00:00:00"/>
    <x v="10"/>
    <x v="21"/>
    <x v="4"/>
    <s v="Spain"/>
    <x v="0"/>
    <x v="1"/>
    <n v="29725"/>
    <n v="26060"/>
  </r>
  <r>
    <s v="ORD02384"/>
    <d v="2025-11-08T00:00:00"/>
    <x v="2"/>
    <x v="51"/>
    <x v="0"/>
    <s v="Russia"/>
    <x v="14"/>
    <x v="13"/>
    <n v="22623"/>
    <n v="22559"/>
  </r>
  <r>
    <s v="ORD02385"/>
    <d v="2025-04-27T00:00:00"/>
    <x v="7"/>
    <x v="38"/>
    <x v="5"/>
    <s v="Italy"/>
    <x v="44"/>
    <x v="19"/>
    <n v="20784"/>
    <n v="18583"/>
  </r>
  <r>
    <s v="ORD02386"/>
    <d v="2025-05-26T00:00:00"/>
    <x v="8"/>
    <x v="24"/>
    <x v="2"/>
    <s v="UAE"/>
    <x v="43"/>
    <x v="15"/>
    <n v="15519"/>
    <n v="15546"/>
  </r>
  <r>
    <s v="ORD02387"/>
    <d v="2025-01-06T00:00:00"/>
    <x v="1"/>
    <x v="6"/>
    <x v="5"/>
    <s v="Germany"/>
    <x v="31"/>
    <x v="2"/>
    <n v="32367"/>
    <n v="40881"/>
  </r>
  <r>
    <s v="ORD02388"/>
    <d v="2025-04-27T00:00:00"/>
    <x v="7"/>
    <x v="38"/>
    <x v="3"/>
    <s v="Mexico"/>
    <x v="38"/>
    <x v="23"/>
    <n v="17002"/>
    <n v="17955"/>
  </r>
  <r>
    <s v="ORD02389"/>
    <d v="2025-02-01T00:00:00"/>
    <x v="6"/>
    <x v="3"/>
    <x v="6"/>
    <s v="Spain"/>
    <x v="37"/>
    <x v="0"/>
    <n v="32882"/>
    <n v="24682"/>
  </r>
  <r>
    <s v="ORD02390"/>
    <d v="2025-05-20T00:00:00"/>
    <x v="8"/>
    <x v="26"/>
    <x v="3"/>
    <s v="Spain"/>
    <x v="9"/>
    <x v="20"/>
    <n v="30762"/>
    <n v="34180"/>
  </r>
  <r>
    <s v="ORD02391"/>
    <d v="2025-07-07T00:00:00"/>
    <x v="0"/>
    <x v="47"/>
    <x v="1"/>
    <s v="Japan"/>
    <x v="20"/>
    <x v="9"/>
    <n v="24540"/>
    <n v="25663"/>
  </r>
  <r>
    <s v="ORD02392"/>
    <d v="2025-07-03T00:00:00"/>
    <x v="0"/>
    <x v="37"/>
    <x v="5"/>
    <s v="Australia"/>
    <x v="18"/>
    <x v="22"/>
    <n v="20716"/>
    <n v="26270"/>
  </r>
  <r>
    <s v="ORD02393"/>
    <d v="2025-07-01T00:00:00"/>
    <x v="0"/>
    <x v="37"/>
    <x v="0"/>
    <s v="UAE"/>
    <x v="12"/>
    <x v="9"/>
    <n v="32910"/>
    <n v="40661"/>
  </r>
  <r>
    <s v="ORD02394"/>
    <d v="2025-10-07T00:00:00"/>
    <x v="4"/>
    <x v="45"/>
    <x v="6"/>
    <s v="South Africa"/>
    <x v="32"/>
    <x v="25"/>
    <n v="29855"/>
    <n v="21519"/>
  </r>
  <r>
    <s v="ORD02395"/>
    <d v="2025-07-12T00:00:00"/>
    <x v="0"/>
    <x v="47"/>
    <x v="3"/>
    <s v="Singapore"/>
    <x v="40"/>
    <x v="6"/>
    <n v="27138"/>
    <n v="22583"/>
  </r>
  <r>
    <s v="ORD02396"/>
    <d v="2025-12-09T00:00:00"/>
    <x v="10"/>
    <x v="32"/>
    <x v="5"/>
    <s v="Italy"/>
    <x v="38"/>
    <x v="21"/>
    <n v="36783"/>
    <n v="27098"/>
  </r>
  <r>
    <s v="ORD02397"/>
    <d v="2025-10-17T00:00:00"/>
    <x v="4"/>
    <x v="10"/>
    <x v="4"/>
    <s v="Italy"/>
    <x v="32"/>
    <x v="24"/>
    <n v="22956"/>
    <n v="23289"/>
  </r>
  <r>
    <s v="ORD02398"/>
    <d v="2025-08-31T00:00:00"/>
    <x v="11"/>
    <x v="28"/>
    <x v="5"/>
    <s v="South Africa"/>
    <x v="1"/>
    <x v="12"/>
    <n v="32203"/>
    <n v="39645"/>
  </r>
  <r>
    <s v="ORD02399"/>
    <d v="2025-09-08T00:00:00"/>
    <x v="3"/>
    <x v="31"/>
    <x v="3"/>
    <s v="Australia"/>
    <x v="30"/>
    <x v="2"/>
    <n v="22772"/>
    <n v="26672"/>
  </r>
  <r>
    <s v="ORD02400"/>
    <d v="2025-12-20T00:00:00"/>
    <x v="10"/>
    <x v="21"/>
    <x v="2"/>
    <s v="Italy"/>
    <x v="45"/>
    <x v="9"/>
    <n v="34794"/>
    <n v="36993"/>
  </r>
  <r>
    <s v="ORD02401"/>
    <d v="2025-05-19T00:00:00"/>
    <x v="8"/>
    <x v="26"/>
    <x v="2"/>
    <s v="Canada"/>
    <x v="19"/>
    <x v="1"/>
    <n v="26641"/>
    <n v="19390"/>
  </r>
  <r>
    <s v="ORD02402"/>
    <d v="2025-10-18T00:00:00"/>
    <x v="4"/>
    <x v="10"/>
    <x v="5"/>
    <s v="Thailand"/>
    <x v="14"/>
    <x v="9"/>
    <n v="30998"/>
    <n v="32738"/>
  </r>
  <r>
    <s v="ORD02403"/>
    <d v="2025-04-20T00:00:00"/>
    <x v="7"/>
    <x v="20"/>
    <x v="6"/>
    <s v="South Africa"/>
    <x v="19"/>
    <x v="8"/>
    <n v="39193"/>
    <n v="44437"/>
  </r>
  <r>
    <s v="ORD02404"/>
    <d v="2025-09-13T00:00:00"/>
    <x v="3"/>
    <x v="31"/>
    <x v="1"/>
    <s v="India"/>
    <x v="30"/>
    <x v="15"/>
    <n v="26337"/>
    <n v="20909"/>
  </r>
  <r>
    <s v="ORD02405"/>
    <d v="2025-12-25T00:00:00"/>
    <x v="10"/>
    <x v="42"/>
    <x v="4"/>
    <s v="Mexico"/>
    <x v="36"/>
    <x v="8"/>
    <n v="17571"/>
    <n v="14280"/>
  </r>
  <r>
    <s v="ORD02406"/>
    <d v="2025-06-06T00:00:00"/>
    <x v="5"/>
    <x v="41"/>
    <x v="2"/>
    <s v="South Africa"/>
    <x v="31"/>
    <x v="1"/>
    <n v="37832"/>
    <n v="30682"/>
  </r>
  <r>
    <s v="ORD02407"/>
    <d v="2025-01-18T00:00:00"/>
    <x v="1"/>
    <x v="1"/>
    <x v="1"/>
    <s v="South Africa"/>
    <x v="14"/>
    <x v="5"/>
    <n v="21581"/>
    <n v="16911"/>
  </r>
  <r>
    <s v="ORD02408"/>
    <d v="2025-03-19T00:00:00"/>
    <x v="9"/>
    <x v="39"/>
    <x v="1"/>
    <s v="Singapore"/>
    <x v="27"/>
    <x v="3"/>
    <n v="31367"/>
    <n v="26734"/>
  </r>
  <r>
    <s v="ORD02409"/>
    <d v="2025-07-12T00:00:00"/>
    <x v="0"/>
    <x v="47"/>
    <x v="2"/>
    <s v="UAE"/>
    <x v="36"/>
    <x v="3"/>
    <n v="28257"/>
    <n v="26792"/>
  </r>
  <r>
    <s v="ORD02410"/>
    <d v="2025-10-24T00:00:00"/>
    <x v="4"/>
    <x v="50"/>
    <x v="0"/>
    <s v="Turkey"/>
    <x v="25"/>
    <x v="7"/>
    <n v="39246"/>
    <n v="31134"/>
  </r>
  <r>
    <s v="ORD02411"/>
    <d v="2025-06-09T00:00:00"/>
    <x v="5"/>
    <x v="40"/>
    <x v="6"/>
    <s v="USA"/>
    <x v="14"/>
    <x v="28"/>
    <n v="35828"/>
    <n v="33588"/>
  </r>
  <r>
    <s v="ORD02412"/>
    <d v="2025-02-16T00:00:00"/>
    <x v="6"/>
    <x v="29"/>
    <x v="3"/>
    <s v="France"/>
    <x v="25"/>
    <x v="28"/>
    <n v="23720"/>
    <n v="23121"/>
  </r>
  <r>
    <s v="ORD02413"/>
    <d v="2025-04-16T00:00:00"/>
    <x v="7"/>
    <x v="20"/>
    <x v="1"/>
    <s v="Spain"/>
    <x v="48"/>
    <x v="23"/>
    <n v="29500"/>
    <n v="34015"/>
  </r>
  <r>
    <s v="ORD02414"/>
    <d v="2025-07-05T00:00:00"/>
    <x v="0"/>
    <x v="37"/>
    <x v="2"/>
    <s v="Russia"/>
    <x v="24"/>
    <x v="6"/>
    <n v="24535"/>
    <n v="21201"/>
  </r>
  <r>
    <s v="ORD02415"/>
    <d v="2025-03-05T00:00:00"/>
    <x v="9"/>
    <x v="35"/>
    <x v="0"/>
    <s v="China"/>
    <x v="15"/>
    <x v="18"/>
    <n v="26099"/>
    <n v="20278"/>
  </r>
  <r>
    <s v="ORD02416"/>
    <d v="2025-06-22T00:00:00"/>
    <x v="5"/>
    <x v="13"/>
    <x v="1"/>
    <s v="UK"/>
    <x v="5"/>
    <x v="1"/>
    <n v="35654"/>
    <n v="28252"/>
  </r>
  <r>
    <s v="ORD02417"/>
    <d v="2025-03-30T00:00:00"/>
    <x v="9"/>
    <x v="33"/>
    <x v="2"/>
    <s v="Turkey"/>
    <x v="27"/>
    <x v="0"/>
    <n v="25933"/>
    <n v="18752"/>
  </r>
  <r>
    <s v="ORD02418"/>
    <d v="2025-07-31T00:00:00"/>
    <x v="0"/>
    <x v="12"/>
    <x v="5"/>
    <s v="UAE"/>
    <x v="13"/>
    <x v="19"/>
    <n v="26641"/>
    <n v="30087"/>
  </r>
  <r>
    <s v="ORD02419"/>
    <d v="2025-03-13T00:00:00"/>
    <x v="9"/>
    <x v="19"/>
    <x v="1"/>
    <s v="Turkey"/>
    <x v="39"/>
    <x v="12"/>
    <n v="32317"/>
    <n v="22761"/>
  </r>
  <r>
    <s v="ORD02420"/>
    <d v="2025-07-27T00:00:00"/>
    <x v="0"/>
    <x v="0"/>
    <x v="3"/>
    <s v="China"/>
    <x v="16"/>
    <x v="25"/>
    <n v="23832"/>
    <n v="30204"/>
  </r>
  <r>
    <s v="ORD02421"/>
    <d v="2025-03-07T00:00:00"/>
    <x v="9"/>
    <x v="35"/>
    <x v="0"/>
    <s v="USA"/>
    <x v="45"/>
    <x v="1"/>
    <n v="35117"/>
    <n v="26413"/>
  </r>
  <r>
    <s v="ORD02422"/>
    <d v="2025-06-21T00:00:00"/>
    <x v="5"/>
    <x v="13"/>
    <x v="1"/>
    <s v="France"/>
    <x v="3"/>
    <x v="4"/>
    <n v="39451"/>
    <n v="40426"/>
  </r>
  <r>
    <s v="ORD02423"/>
    <d v="2025-09-20T00:00:00"/>
    <x v="3"/>
    <x v="8"/>
    <x v="1"/>
    <s v="Thailand"/>
    <x v="40"/>
    <x v="6"/>
    <n v="21526"/>
    <n v="27357"/>
  </r>
  <r>
    <s v="ORD02424"/>
    <d v="2025-10-03T00:00:00"/>
    <x v="4"/>
    <x v="49"/>
    <x v="4"/>
    <s v="Germany"/>
    <x v="0"/>
    <x v="10"/>
    <n v="17120"/>
    <n v="22223"/>
  </r>
  <r>
    <s v="ORD02425"/>
    <d v="2025-02-19T00:00:00"/>
    <x v="6"/>
    <x v="15"/>
    <x v="1"/>
    <s v="South Africa"/>
    <x v="0"/>
    <x v="3"/>
    <n v="39781"/>
    <n v="46826"/>
  </r>
  <r>
    <s v="ORD02426"/>
    <d v="2025-09-18T00:00:00"/>
    <x v="3"/>
    <x v="8"/>
    <x v="1"/>
    <s v="Spain"/>
    <x v="20"/>
    <x v="2"/>
    <n v="31850"/>
    <n v="37914"/>
  </r>
  <r>
    <s v="ORD02427"/>
    <d v="2025-03-19T00:00:00"/>
    <x v="9"/>
    <x v="39"/>
    <x v="0"/>
    <s v="Mexico"/>
    <x v="13"/>
    <x v="24"/>
    <n v="39381"/>
    <n v="39405"/>
  </r>
  <r>
    <s v="ORD02428"/>
    <d v="2025-06-08T00:00:00"/>
    <x v="5"/>
    <x v="41"/>
    <x v="2"/>
    <s v="South Africa"/>
    <x v="47"/>
    <x v="28"/>
    <n v="19040"/>
    <n v="14971"/>
  </r>
  <r>
    <s v="ORD02429"/>
    <d v="2025-08-14T00:00:00"/>
    <x v="11"/>
    <x v="30"/>
    <x v="5"/>
    <s v="Germany"/>
    <x v="36"/>
    <x v="7"/>
    <n v="16739"/>
    <n v="16675"/>
  </r>
  <r>
    <s v="ORD02430"/>
    <d v="2025-02-15T00:00:00"/>
    <x v="6"/>
    <x v="29"/>
    <x v="2"/>
    <s v="Mexico"/>
    <x v="46"/>
    <x v="3"/>
    <n v="15692"/>
    <n v="14432"/>
  </r>
  <r>
    <s v="ORD02431"/>
    <d v="2025-09-19T00:00:00"/>
    <x v="3"/>
    <x v="8"/>
    <x v="1"/>
    <s v="China"/>
    <x v="39"/>
    <x v="24"/>
    <n v="29435"/>
    <n v="24854"/>
  </r>
  <r>
    <s v="ORD02432"/>
    <d v="2025-11-08T00:00:00"/>
    <x v="2"/>
    <x v="51"/>
    <x v="0"/>
    <s v="USA"/>
    <x v="9"/>
    <x v="17"/>
    <n v="18567"/>
    <n v="15293"/>
  </r>
  <r>
    <s v="ORD02433"/>
    <d v="2025-12-09T00:00:00"/>
    <x v="10"/>
    <x v="32"/>
    <x v="2"/>
    <s v="India"/>
    <x v="10"/>
    <x v="23"/>
    <n v="15464"/>
    <n v="14961"/>
  </r>
  <r>
    <s v="ORD02434"/>
    <d v="2025-05-24T00:00:00"/>
    <x v="8"/>
    <x v="26"/>
    <x v="3"/>
    <s v="Malaysia"/>
    <x v="30"/>
    <x v="22"/>
    <n v="35164"/>
    <n v="41616"/>
  </r>
  <r>
    <s v="ORD02435"/>
    <d v="2025-11-25T00:00:00"/>
    <x v="2"/>
    <x v="11"/>
    <x v="2"/>
    <s v="Malaysia"/>
    <x v="45"/>
    <x v="24"/>
    <n v="24617"/>
    <n v="24694"/>
  </r>
  <r>
    <s v="ORD02436"/>
    <d v="2025-11-25T00:00:00"/>
    <x v="2"/>
    <x v="11"/>
    <x v="5"/>
    <s v="USA"/>
    <x v="30"/>
    <x v="21"/>
    <n v="30388"/>
    <n v="38778"/>
  </r>
  <r>
    <s v="ORD02437"/>
    <d v="2025-06-20T00:00:00"/>
    <x v="5"/>
    <x v="13"/>
    <x v="5"/>
    <s v="Australia"/>
    <x v="12"/>
    <x v="29"/>
    <n v="29673"/>
    <n v="36893"/>
  </r>
  <r>
    <s v="ORD02438"/>
    <d v="2025-09-28T00:00:00"/>
    <x v="3"/>
    <x v="25"/>
    <x v="3"/>
    <s v="Turkey"/>
    <x v="43"/>
    <x v="5"/>
    <n v="39732"/>
    <n v="33568"/>
  </r>
  <r>
    <s v="ORD02439"/>
    <d v="2025-08-01T00:00:00"/>
    <x v="11"/>
    <x v="12"/>
    <x v="5"/>
    <s v="Singapore"/>
    <x v="20"/>
    <x v="5"/>
    <n v="19046"/>
    <n v="22664"/>
  </r>
  <r>
    <s v="ORD02440"/>
    <d v="2025-07-10T00:00:00"/>
    <x v="0"/>
    <x v="47"/>
    <x v="6"/>
    <s v="China"/>
    <x v="31"/>
    <x v="11"/>
    <n v="21115"/>
    <n v="25243"/>
  </r>
  <r>
    <s v="ORD02441"/>
    <d v="2025-06-05T00:00:00"/>
    <x v="5"/>
    <x v="41"/>
    <x v="1"/>
    <s v="France"/>
    <x v="23"/>
    <x v="22"/>
    <n v="28137"/>
    <n v="25752"/>
  </r>
  <r>
    <s v="ORD02442"/>
    <d v="2025-12-29T00:00:00"/>
    <x v="10"/>
    <x v="5"/>
    <x v="6"/>
    <s v="Turkey"/>
    <x v="14"/>
    <x v="11"/>
    <n v="15242"/>
    <n v="13707"/>
  </r>
  <r>
    <s v="ORD02443"/>
    <d v="2025-03-10T00:00:00"/>
    <x v="9"/>
    <x v="19"/>
    <x v="5"/>
    <s v="UAE"/>
    <x v="18"/>
    <x v="6"/>
    <n v="24443"/>
    <n v="30780"/>
  </r>
  <r>
    <s v="ORD02444"/>
    <d v="2025-05-02T00:00:00"/>
    <x v="8"/>
    <x v="27"/>
    <x v="4"/>
    <s v="Spain"/>
    <x v="9"/>
    <x v="17"/>
    <n v="23490"/>
    <n v="17310"/>
  </r>
  <r>
    <s v="ORD02445"/>
    <d v="2025-08-02T00:00:00"/>
    <x v="11"/>
    <x v="12"/>
    <x v="5"/>
    <s v="India"/>
    <x v="37"/>
    <x v="15"/>
    <n v="15545"/>
    <n v="19990"/>
  </r>
  <r>
    <s v="ORD02446"/>
    <d v="2025-09-17T00:00:00"/>
    <x v="3"/>
    <x v="8"/>
    <x v="5"/>
    <s v="Japan"/>
    <x v="35"/>
    <x v="21"/>
    <n v="27872"/>
    <n v="34834"/>
  </r>
  <r>
    <s v="ORD02447"/>
    <d v="2025-04-25T00:00:00"/>
    <x v="7"/>
    <x v="38"/>
    <x v="4"/>
    <s v="Malaysia"/>
    <x v="29"/>
    <x v="25"/>
    <n v="20655"/>
    <n v="17300"/>
  </r>
  <r>
    <s v="ORD02448"/>
    <d v="2025-02-18T00:00:00"/>
    <x v="6"/>
    <x v="15"/>
    <x v="2"/>
    <s v="France"/>
    <x v="1"/>
    <x v="25"/>
    <n v="25727"/>
    <n v="26598"/>
  </r>
  <r>
    <s v="ORD02449"/>
    <d v="2025-10-10T00:00:00"/>
    <x v="4"/>
    <x v="45"/>
    <x v="0"/>
    <s v="Russia"/>
    <x v="48"/>
    <x v="14"/>
    <n v="25267"/>
    <n v="20323"/>
  </r>
  <r>
    <s v="ORD02450"/>
    <d v="2025-08-31T00:00:00"/>
    <x v="11"/>
    <x v="28"/>
    <x v="5"/>
    <s v="India"/>
    <x v="33"/>
    <x v="18"/>
    <n v="16930"/>
    <n v="12810"/>
  </r>
  <r>
    <s v="ORD02451"/>
    <d v="2025-06-07T00:00:00"/>
    <x v="5"/>
    <x v="41"/>
    <x v="3"/>
    <s v="Singapore"/>
    <x v="1"/>
    <x v="4"/>
    <n v="36544"/>
    <n v="26950"/>
  </r>
  <r>
    <s v="ORD02452"/>
    <d v="2025-07-27T00:00:00"/>
    <x v="0"/>
    <x v="0"/>
    <x v="4"/>
    <s v="Spain"/>
    <x v="6"/>
    <x v="20"/>
    <n v="21306"/>
    <n v="25057"/>
  </r>
  <r>
    <s v="ORD02453"/>
    <d v="2025-03-14T00:00:00"/>
    <x v="9"/>
    <x v="19"/>
    <x v="5"/>
    <s v="Australia"/>
    <x v="18"/>
    <x v="11"/>
    <n v="15462"/>
    <n v="11031"/>
  </r>
  <r>
    <s v="ORD02454"/>
    <d v="2025-01-08T00:00:00"/>
    <x v="1"/>
    <x v="6"/>
    <x v="6"/>
    <s v="Singapore"/>
    <x v="16"/>
    <x v="10"/>
    <n v="30981"/>
    <n v="34903"/>
  </r>
  <r>
    <s v="ORD02455"/>
    <d v="2025-03-06T00:00:00"/>
    <x v="9"/>
    <x v="35"/>
    <x v="4"/>
    <s v="Australia"/>
    <x v="12"/>
    <x v="0"/>
    <n v="37860"/>
    <n v="41464"/>
  </r>
  <r>
    <s v="ORD02456"/>
    <d v="2025-08-16T00:00:00"/>
    <x v="11"/>
    <x v="30"/>
    <x v="6"/>
    <s v="Turkey"/>
    <x v="9"/>
    <x v="9"/>
    <n v="27707"/>
    <n v="22945"/>
  </r>
  <r>
    <s v="ORD02457"/>
    <d v="2025-05-02T00:00:00"/>
    <x v="8"/>
    <x v="27"/>
    <x v="3"/>
    <s v="Brazil"/>
    <x v="40"/>
    <x v="5"/>
    <n v="26803"/>
    <n v="25605"/>
  </r>
  <r>
    <s v="ORD02458"/>
    <d v="2025-11-13T00:00:00"/>
    <x v="2"/>
    <x v="44"/>
    <x v="3"/>
    <s v="Malaysia"/>
    <x v="12"/>
    <x v="0"/>
    <n v="36329"/>
    <n v="40407"/>
  </r>
  <r>
    <s v="ORD02459"/>
    <d v="2025-12-31T00:00:00"/>
    <x v="10"/>
    <x v="5"/>
    <x v="2"/>
    <s v="Canada"/>
    <x v="45"/>
    <x v="18"/>
    <n v="29846"/>
    <n v="26163"/>
  </r>
  <r>
    <s v="ORD02460"/>
    <d v="2025-06-11T00:00:00"/>
    <x v="5"/>
    <x v="40"/>
    <x v="1"/>
    <s v="Russia"/>
    <x v="18"/>
    <x v="4"/>
    <n v="16382"/>
    <n v="16190"/>
  </r>
  <r>
    <s v="ORD02461"/>
    <d v="2025-12-25T00:00:00"/>
    <x v="10"/>
    <x v="42"/>
    <x v="5"/>
    <s v="South Africa"/>
    <x v="9"/>
    <x v="22"/>
    <n v="27346"/>
    <n v="29938"/>
  </r>
  <r>
    <s v="ORD02462"/>
    <d v="2025-06-18T00:00:00"/>
    <x v="5"/>
    <x v="13"/>
    <x v="2"/>
    <s v="USA"/>
    <x v="8"/>
    <x v="19"/>
    <n v="22066"/>
    <n v="19867"/>
  </r>
  <r>
    <s v="ORD02463"/>
    <d v="2025-01-25T00:00:00"/>
    <x v="1"/>
    <x v="7"/>
    <x v="6"/>
    <s v="South Africa"/>
    <x v="19"/>
    <x v="4"/>
    <n v="32454"/>
    <n v="33898"/>
  </r>
  <r>
    <s v="ORD02464"/>
    <d v="2025-12-04T00:00:00"/>
    <x v="10"/>
    <x v="43"/>
    <x v="0"/>
    <s v="Mexico"/>
    <x v="26"/>
    <x v="20"/>
    <n v="35275"/>
    <n v="39255"/>
  </r>
  <r>
    <s v="ORD02465"/>
    <d v="2025-01-04T00:00:00"/>
    <x v="1"/>
    <x v="5"/>
    <x v="3"/>
    <s v="Canada"/>
    <x v="49"/>
    <x v="8"/>
    <n v="30744"/>
    <n v="36930"/>
  </r>
  <r>
    <s v="ORD02466"/>
    <d v="2025-06-16T00:00:00"/>
    <x v="5"/>
    <x v="13"/>
    <x v="6"/>
    <s v="Malaysia"/>
    <x v="19"/>
    <x v="29"/>
    <n v="31385"/>
    <n v="26915"/>
  </r>
  <r>
    <s v="ORD02467"/>
    <d v="2025-03-16T00:00:00"/>
    <x v="9"/>
    <x v="19"/>
    <x v="4"/>
    <s v="India"/>
    <x v="14"/>
    <x v="26"/>
    <n v="24155"/>
    <n v="22336"/>
  </r>
  <r>
    <s v="ORD02468"/>
    <d v="2025-06-13T00:00:00"/>
    <x v="5"/>
    <x v="40"/>
    <x v="0"/>
    <s v="Turkey"/>
    <x v="34"/>
    <x v="1"/>
    <n v="27193"/>
    <n v="22198"/>
  </r>
  <r>
    <s v="ORD02469"/>
    <d v="2025-04-18T00:00:00"/>
    <x v="7"/>
    <x v="20"/>
    <x v="0"/>
    <s v="UK"/>
    <x v="47"/>
    <x v="14"/>
    <n v="36340"/>
    <n v="27103"/>
  </r>
  <r>
    <s v="ORD02470"/>
    <d v="2025-04-07T00:00:00"/>
    <x v="7"/>
    <x v="16"/>
    <x v="3"/>
    <s v="Germany"/>
    <x v="21"/>
    <x v="8"/>
    <n v="26715"/>
    <n v="25120"/>
  </r>
  <r>
    <s v="ORD02471"/>
    <d v="2025-02-23T00:00:00"/>
    <x v="6"/>
    <x v="15"/>
    <x v="4"/>
    <s v="Italy"/>
    <x v="27"/>
    <x v="7"/>
    <n v="36548"/>
    <n v="31759"/>
  </r>
  <r>
    <s v="ORD02472"/>
    <d v="2025-10-02T00:00:00"/>
    <x v="4"/>
    <x v="49"/>
    <x v="6"/>
    <s v="Turkey"/>
    <x v="41"/>
    <x v="2"/>
    <n v="36980"/>
    <n v="31158"/>
  </r>
  <r>
    <s v="ORD02473"/>
    <d v="2025-04-11T00:00:00"/>
    <x v="7"/>
    <x v="16"/>
    <x v="2"/>
    <s v="Thailand"/>
    <x v="40"/>
    <x v="2"/>
    <n v="26595"/>
    <n v="21510"/>
  </r>
  <r>
    <s v="ORD02474"/>
    <d v="2025-12-01T00:00:00"/>
    <x v="10"/>
    <x v="43"/>
    <x v="1"/>
    <s v="Malaysia"/>
    <x v="32"/>
    <x v="7"/>
    <n v="21839"/>
    <n v="18231"/>
  </r>
  <r>
    <s v="ORD02475"/>
    <d v="2025-12-11T00:00:00"/>
    <x v="10"/>
    <x v="32"/>
    <x v="4"/>
    <s v="Spain"/>
    <x v="36"/>
    <x v="17"/>
    <n v="15839"/>
    <n v="16567"/>
  </r>
  <r>
    <s v="ORD02476"/>
    <d v="2025-11-08T00:00:00"/>
    <x v="2"/>
    <x v="51"/>
    <x v="3"/>
    <s v="Japan"/>
    <x v="28"/>
    <x v="26"/>
    <n v="32008"/>
    <n v="39683"/>
  </r>
  <r>
    <s v="ORD02477"/>
    <d v="2025-07-17T00:00:00"/>
    <x v="0"/>
    <x v="14"/>
    <x v="3"/>
    <s v="France"/>
    <x v="23"/>
    <x v="16"/>
    <n v="20803"/>
    <n v="23048"/>
  </r>
  <r>
    <s v="ORD02478"/>
    <d v="2025-05-14T00:00:00"/>
    <x v="8"/>
    <x v="17"/>
    <x v="4"/>
    <s v="UAE"/>
    <x v="30"/>
    <x v="1"/>
    <n v="31190"/>
    <n v="35402"/>
  </r>
  <r>
    <s v="ORD02479"/>
    <d v="2025-02-19T00:00:00"/>
    <x v="6"/>
    <x v="15"/>
    <x v="4"/>
    <s v="UAE"/>
    <x v="48"/>
    <x v="20"/>
    <n v="31562"/>
    <n v="39444"/>
  </r>
  <r>
    <s v="ORD02480"/>
    <d v="2025-07-11T00:00:00"/>
    <x v="0"/>
    <x v="47"/>
    <x v="1"/>
    <s v="France"/>
    <x v="35"/>
    <x v="11"/>
    <n v="39775"/>
    <n v="28561"/>
  </r>
  <r>
    <s v="ORD02481"/>
    <d v="2025-08-25T00:00:00"/>
    <x v="11"/>
    <x v="28"/>
    <x v="4"/>
    <s v="UAE"/>
    <x v="1"/>
    <x v="6"/>
    <n v="15760"/>
    <n v="14262"/>
  </r>
  <r>
    <s v="ORD02482"/>
    <d v="2025-11-25T00:00:00"/>
    <x v="2"/>
    <x v="11"/>
    <x v="6"/>
    <s v="China"/>
    <x v="31"/>
    <x v="27"/>
    <n v="32543"/>
    <n v="25265"/>
  </r>
  <r>
    <s v="ORD02483"/>
    <d v="2025-08-22T00:00:00"/>
    <x v="11"/>
    <x v="46"/>
    <x v="6"/>
    <s v="Mexico"/>
    <x v="26"/>
    <x v="23"/>
    <n v="18269"/>
    <n v="17048"/>
  </r>
  <r>
    <s v="ORD02484"/>
    <d v="2025-12-22T00:00:00"/>
    <x v="10"/>
    <x v="42"/>
    <x v="5"/>
    <s v="South Africa"/>
    <x v="13"/>
    <x v="7"/>
    <n v="22908"/>
    <n v="26013"/>
  </r>
  <r>
    <s v="ORD02485"/>
    <d v="2025-04-25T00:00:00"/>
    <x v="7"/>
    <x v="38"/>
    <x v="6"/>
    <s v="Russia"/>
    <x v="38"/>
    <x v="10"/>
    <n v="21346"/>
    <n v="21765"/>
  </r>
  <r>
    <s v="ORD02486"/>
    <d v="2025-01-09T00:00:00"/>
    <x v="1"/>
    <x v="6"/>
    <x v="2"/>
    <s v="Thailand"/>
    <x v="46"/>
    <x v="9"/>
    <n v="38083"/>
    <n v="32333"/>
  </r>
  <r>
    <s v="ORD02487"/>
    <d v="2025-02-19T00:00:00"/>
    <x v="6"/>
    <x v="15"/>
    <x v="6"/>
    <s v="Russia"/>
    <x v="9"/>
    <x v="24"/>
    <n v="22311"/>
    <n v="18945"/>
  </r>
  <r>
    <s v="ORD02488"/>
    <d v="2025-08-16T00:00:00"/>
    <x v="11"/>
    <x v="30"/>
    <x v="3"/>
    <s v="USA"/>
    <x v="17"/>
    <x v="10"/>
    <n v="16912"/>
    <n v="13132"/>
  </r>
  <r>
    <s v="ORD02489"/>
    <d v="2025-02-19T00:00:00"/>
    <x v="6"/>
    <x v="15"/>
    <x v="4"/>
    <s v="Russia"/>
    <x v="35"/>
    <x v="27"/>
    <n v="19830"/>
    <n v="24888"/>
  </r>
  <r>
    <s v="ORD02490"/>
    <d v="2025-09-15T00:00:00"/>
    <x v="3"/>
    <x v="8"/>
    <x v="3"/>
    <s v="Mexico"/>
    <x v="10"/>
    <x v="25"/>
    <n v="21656"/>
    <n v="23620"/>
  </r>
  <r>
    <s v="ORD02491"/>
    <d v="2025-08-06T00:00:00"/>
    <x v="11"/>
    <x v="23"/>
    <x v="1"/>
    <s v="Russia"/>
    <x v="25"/>
    <x v="23"/>
    <n v="31837"/>
    <n v="27623"/>
  </r>
  <r>
    <s v="ORD02492"/>
    <d v="2025-05-14T00:00:00"/>
    <x v="8"/>
    <x v="17"/>
    <x v="3"/>
    <s v="Singapore"/>
    <x v="3"/>
    <x v="15"/>
    <n v="25141"/>
    <n v="32541"/>
  </r>
  <r>
    <s v="ORD02493"/>
    <d v="2025-01-15T00:00:00"/>
    <x v="1"/>
    <x v="1"/>
    <x v="0"/>
    <s v="USA"/>
    <x v="31"/>
    <x v="10"/>
    <n v="26733"/>
    <n v="20094"/>
  </r>
  <r>
    <s v="ORD02494"/>
    <d v="2025-05-08T00:00:00"/>
    <x v="8"/>
    <x v="18"/>
    <x v="6"/>
    <s v="Japan"/>
    <x v="29"/>
    <x v="0"/>
    <n v="20208"/>
    <n v="23299"/>
  </r>
  <r>
    <s v="ORD02495"/>
    <d v="2025-12-23T00:00:00"/>
    <x v="10"/>
    <x v="42"/>
    <x v="5"/>
    <s v="Russia"/>
    <x v="19"/>
    <x v="7"/>
    <n v="22892"/>
    <n v="27959"/>
  </r>
  <r>
    <s v="ORD02496"/>
    <d v="2025-03-21T00:00:00"/>
    <x v="9"/>
    <x v="39"/>
    <x v="5"/>
    <s v="UK"/>
    <x v="25"/>
    <x v="1"/>
    <n v="25497"/>
    <n v="31026"/>
  </r>
  <r>
    <s v="ORD02497"/>
    <d v="2025-08-03T00:00:00"/>
    <x v="11"/>
    <x v="12"/>
    <x v="4"/>
    <s v="France"/>
    <x v="47"/>
    <x v="9"/>
    <n v="30310"/>
    <n v="27941"/>
  </r>
  <r>
    <s v="ORD02498"/>
    <d v="2025-11-24T00:00:00"/>
    <x v="2"/>
    <x v="11"/>
    <x v="3"/>
    <s v="Germany"/>
    <x v="5"/>
    <x v="8"/>
    <n v="30707"/>
    <n v="26163"/>
  </r>
  <r>
    <s v="ORD02499"/>
    <d v="2025-04-14T00:00:00"/>
    <x v="7"/>
    <x v="20"/>
    <x v="4"/>
    <s v="China"/>
    <x v="18"/>
    <x v="13"/>
    <n v="19063"/>
    <n v="16229"/>
  </r>
  <r>
    <s v="ORD02500"/>
    <d v="2025-11-11T00:00:00"/>
    <x v="2"/>
    <x v="44"/>
    <x v="1"/>
    <s v="India"/>
    <x v="27"/>
    <x v="27"/>
    <n v="34988"/>
    <n v="33447"/>
  </r>
  <r>
    <s v="ORD02501"/>
    <d v="2025-10-07T00:00:00"/>
    <x v="4"/>
    <x v="45"/>
    <x v="4"/>
    <s v="UAE"/>
    <x v="20"/>
    <x v="14"/>
    <n v="17978"/>
    <n v="15769"/>
  </r>
  <r>
    <s v="ORD02502"/>
    <d v="2025-07-31T00:00:00"/>
    <x v="0"/>
    <x v="12"/>
    <x v="4"/>
    <s v="UAE"/>
    <x v="45"/>
    <x v="28"/>
    <n v="21577"/>
    <n v="21854"/>
  </r>
  <r>
    <s v="ORD02503"/>
    <d v="2025-07-23T00:00:00"/>
    <x v="0"/>
    <x v="0"/>
    <x v="2"/>
    <s v="Mexico"/>
    <x v="36"/>
    <x v="17"/>
    <n v="39621"/>
    <n v="36825"/>
  </r>
  <r>
    <s v="ORD02504"/>
    <d v="2025-10-31T00:00:00"/>
    <x v="4"/>
    <x v="2"/>
    <x v="4"/>
    <s v="Japan"/>
    <x v="12"/>
    <x v="22"/>
    <n v="30167"/>
    <n v="34003"/>
  </r>
  <r>
    <s v="ORD02505"/>
    <d v="2025-07-29T00:00:00"/>
    <x v="0"/>
    <x v="12"/>
    <x v="4"/>
    <s v="USA"/>
    <x v="19"/>
    <x v="18"/>
    <n v="39130"/>
    <n v="48310"/>
  </r>
  <r>
    <s v="ORD02506"/>
    <d v="2025-09-28T00:00:00"/>
    <x v="3"/>
    <x v="25"/>
    <x v="2"/>
    <s v="UK"/>
    <x v="6"/>
    <x v="25"/>
    <n v="29504"/>
    <n v="23997"/>
  </r>
  <r>
    <s v="ORD02507"/>
    <d v="2025-09-27T00:00:00"/>
    <x v="3"/>
    <x v="25"/>
    <x v="2"/>
    <s v="Brazil"/>
    <x v="41"/>
    <x v="18"/>
    <n v="28049"/>
    <n v="32286"/>
  </r>
  <r>
    <s v="ORD02508"/>
    <d v="2025-09-19T00:00:00"/>
    <x v="3"/>
    <x v="8"/>
    <x v="4"/>
    <s v="Mexico"/>
    <x v="15"/>
    <x v="13"/>
    <n v="35754"/>
    <n v="38198"/>
  </r>
  <r>
    <s v="ORD02509"/>
    <d v="2025-09-21T00:00:00"/>
    <x v="3"/>
    <x v="8"/>
    <x v="2"/>
    <s v="Russia"/>
    <x v="45"/>
    <x v="25"/>
    <n v="28133"/>
    <n v="34537"/>
  </r>
  <r>
    <s v="ORD02510"/>
    <d v="2025-07-13T00:00:00"/>
    <x v="0"/>
    <x v="47"/>
    <x v="1"/>
    <s v="Japan"/>
    <x v="35"/>
    <x v="22"/>
    <n v="35991"/>
    <n v="37176"/>
  </r>
  <r>
    <s v="ORD02511"/>
    <d v="2025-10-17T00:00:00"/>
    <x v="4"/>
    <x v="10"/>
    <x v="4"/>
    <s v="Singapore"/>
    <x v="19"/>
    <x v="22"/>
    <n v="39714"/>
    <n v="46742"/>
  </r>
  <r>
    <s v="ORD02512"/>
    <d v="2025-07-05T00:00:00"/>
    <x v="0"/>
    <x v="37"/>
    <x v="5"/>
    <s v="Italy"/>
    <x v="13"/>
    <x v="20"/>
    <n v="33523"/>
    <n v="41369"/>
  </r>
  <r>
    <s v="ORD02513"/>
    <d v="2025-02-22T00:00:00"/>
    <x v="6"/>
    <x v="15"/>
    <x v="1"/>
    <s v="Italy"/>
    <x v="36"/>
    <x v="14"/>
    <n v="22357"/>
    <n v="23291"/>
  </r>
  <r>
    <s v="ORD02514"/>
    <d v="2025-12-30T00:00:00"/>
    <x v="10"/>
    <x v="5"/>
    <x v="6"/>
    <s v="Italy"/>
    <x v="7"/>
    <x v="13"/>
    <n v="36987"/>
    <n v="38668"/>
  </r>
  <r>
    <s v="ORD02515"/>
    <d v="2025-07-20T00:00:00"/>
    <x v="0"/>
    <x v="14"/>
    <x v="5"/>
    <s v="Spain"/>
    <x v="5"/>
    <x v="8"/>
    <n v="33560"/>
    <n v="27852"/>
  </r>
  <r>
    <s v="ORD02516"/>
    <d v="2025-10-12T00:00:00"/>
    <x v="4"/>
    <x v="45"/>
    <x v="2"/>
    <s v="Australia"/>
    <x v="48"/>
    <x v="16"/>
    <n v="29147"/>
    <n v="31516"/>
  </r>
  <r>
    <s v="ORD02517"/>
    <d v="2025-09-30T00:00:00"/>
    <x v="3"/>
    <x v="49"/>
    <x v="3"/>
    <s v="Turkey"/>
    <x v="48"/>
    <x v="19"/>
    <n v="37888"/>
    <n v="28052"/>
  </r>
  <r>
    <s v="ORD02518"/>
    <d v="2025-01-06T00:00:00"/>
    <x v="1"/>
    <x v="6"/>
    <x v="5"/>
    <s v="South Africa"/>
    <x v="32"/>
    <x v="17"/>
    <n v="37740"/>
    <n v="45260"/>
  </r>
  <r>
    <s v="ORD02519"/>
    <d v="2025-10-12T00:00:00"/>
    <x v="4"/>
    <x v="45"/>
    <x v="2"/>
    <s v="China"/>
    <x v="31"/>
    <x v="6"/>
    <n v="15293"/>
    <n v="18627"/>
  </r>
  <r>
    <s v="ORD02520"/>
    <d v="2025-12-11T00:00:00"/>
    <x v="10"/>
    <x v="32"/>
    <x v="1"/>
    <s v="South Africa"/>
    <x v="38"/>
    <x v="12"/>
    <n v="22915"/>
    <n v="21561"/>
  </r>
  <r>
    <s v="ORD02521"/>
    <d v="2025-01-29T00:00:00"/>
    <x v="1"/>
    <x v="3"/>
    <x v="4"/>
    <s v="Singapore"/>
    <x v="24"/>
    <x v="0"/>
    <n v="25496"/>
    <n v="31021"/>
  </r>
  <r>
    <s v="ORD02522"/>
    <d v="2025-12-05T00:00:00"/>
    <x v="10"/>
    <x v="43"/>
    <x v="3"/>
    <s v="UK"/>
    <x v="16"/>
    <x v="8"/>
    <n v="39727"/>
    <n v="37182"/>
  </r>
  <r>
    <s v="ORD02523"/>
    <d v="2025-11-02T00:00:00"/>
    <x v="2"/>
    <x v="2"/>
    <x v="4"/>
    <s v="Australia"/>
    <x v="43"/>
    <x v="24"/>
    <n v="34923"/>
    <n v="38839"/>
  </r>
  <r>
    <s v="ORD02524"/>
    <d v="2025-04-09T00:00:00"/>
    <x v="7"/>
    <x v="16"/>
    <x v="2"/>
    <s v="France"/>
    <x v="14"/>
    <x v="25"/>
    <n v="30041"/>
    <n v="36513"/>
  </r>
  <r>
    <s v="ORD02525"/>
    <d v="2025-08-23T00:00:00"/>
    <x v="11"/>
    <x v="46"/>
    <x v="5"/>
    <s v="Canada"/>
    <x v="38"/>
    <x v="24"/>
    <n v="32824"/>
    <n v="28843"/>
  </r>
  <r>
    <s v="ORD02526"/>
    <d v="2025-06-18T00:00:00"/>
    <x v="5"/>
    <x v="13"/>
    <x v="2"/>
    <s v="Malaysia"/>
    <x v="49"/>
    <x v="6"/>
    <n v="17634"/>
    <n v="20327"/>
  </r>
  <r>
    <s v="ORD02527"/>
    <d v="2025-12-24T00:00:00"/>
    <x v="10"/>
    <x v="42"/>
    <x v="6"/>
    <s v="Spain"/>
    <x v="5"/>
    <x v="19"/>
    <n v="23325"/>
    <n v="29815"/>
  </r>
  <r>
    <s v="ORD02528"/>
    <d v="2025-08-15T00:00:00"/>
    <x v="11"/>
    <x v="30"/>
    <x v="0"/>
    <s v="Thailand"/>
    <x v="37"/>
    <x v="24"/>
    <n v="23996"/>
    <n v="21357"/>
  </r>
  <r>
    <s v="ORD02529"/>
    <d v="2025-07-20T00:00:00"/>
    <x v="0"/>
    <x v="14"/>
    <x v="4"/>
    <s v="Australia"/>
    <x v="20"/>
    <x v="18"/>
    <n v="23553"/>
    <n v="27270"/>
  </r>
  <r>
    <s v="ORD02530"/>
    <d v="2025-09-16T00:00:00"/>
    <x v="3"/>
    <x v="8"/>
    <x v="2"/>
    <s v="Thailand"/>
    <x v="15"/>
    <x v="8"/>
    <n v="24796"/>
    <n v="24174"/>
  </r>
  <r>
    <s v="ORD02531"/>
    <d v="2025-06-22T00:00:00"/>
    <x v="5"/>
    <x v="13"/>
    <x v="2"/>
    <s v="Spain"/>
    <x v="25"/>
    <x v="14"/>
    <n v="35715"/>
    <n v="34413"/>
  </r>
  <r>
    <s v="ORD02532"/>
    <d v="2025-05-20T00:00:00"/>
    <x v="8"/>
    <x v="26"/>
    <x v="2"/>
    <s v="UK"/>
    <x v="32"/>
    <x v="27"/>
    <n v="18899"/>
    <n v="14975"/>
  </r>
  <r>
    <s v="ORD02533"/>
    <d v="2025-02-01T00:00:00"/>
    <x v="6"/>
    <x v="3"/>
    <x v="5"/>
    <s v="UK"/>
    <x v="36"/>
    <x v="29"/>
    <n v="21558"/>
    <n v="27193"/>
  </r>
  <r>
    <s v="ORD02534"/>
    <d v="2025-08-11T00:00:00"/>
    <x v="11"/>
    <x v="30"/>
    <x v="4"/>
    <s v="India"/>
    <x v="13"/>
    <x v="23"/>
    <n v="30037"/>
    <n v="22136"/>
  </r>
  <r>
    <s v="ORD02535"/>
    <d v="2025-12-19T00:00:00"/>
    <x v="10"/>
    <x v="21"/>
    <x v="6"/>
    <s v="Germany"/>
    <x v="3"/>
    <x v="19"/>
    <n v="27288"/>
    <n v="31035"/>
  </r>
  <r>
    <s v="ORD02536"/>
    <d v="2025-05-14T00:00:00"/>
    <x v="8"/>
    <x v="17"/>
    <x v="1"/>
    <s v="UAE"/>
    <x v="9"/>
    <x v="1"/>
    <n v="38145"/>
    <n v="41322"/>
  </r>
  <r>
    <s v="ORD02537"/>
    <d v="2025-05-30T00:00:00"/>
    <x v="8"/>
    <x v="24"/>
    <x v="6"/>
    <s v="China"/>
    <x v="8"/>
    <x v="15"/>
    <n v="16437"/>
    <n v="18971"/>
  </r>
  <r>
    <s v="ORD02538"/>
    <d v="2025-08-12T00:00:00"/>
    <x v="11"/>
    <x v="30"/>
    <x v="6"/>
    <s v="Japan"/>
    <x v="0"/>
    <x v="12"/>
    <n v="19577"/>
    <n v="19735"/>
  </r>
  <r>
    <s v="ORD02539"/>
    <d v="2025-07-17T00:00:00"/>
    <x v="0"/>
    <x v="14"/>
    <x v="3"/>
    <s v="Mexico"/>
    <x v="2"/>
    <x v="10"/>
    <n v="38905"/>
    <n v="49445"/>
  </r>
  <r>
    <s v="ORD02540"/>
    <d v="2025-10-27T00:00:00"/>
    <x v="4"/>
    <x v="2"/>
    <x v="2"/>
    <s v="Thailand"/>
    <x v="31"/>
    <x v="3"/>
    <n v="21705"/>
    <n v="23361"/>
  </r>
  <r>
    <s v="ORD02541"/>
    <d v="2025-07-14T00:00:00"/>
    <x v="0"/>
    <x v="14"/>
    <x v="3"/>
    <s v="South Africa"/>
    <x v="1"/>
    <x v="27"/>
    <n v="32527"/>
    <n v="24522"/>
  </r>
  <r>
    <s v="ORD02542"/>
    <d v="2025-11-04T00:00:00"/>
    <x v="2"/>
    <x v="51"/>
    <x v="2"/>
    <s v="USA"/>
    <x v="6"/>
    <x v="26"/>
    <n v="36417"/>
    <n v="30851"/>
  </r>
  <r>
    <s v="ORD02543"/>
    <d v="2025-12-04T00:00:00"/>
    <x v="10"/>
    <x v="43"/>
    <x v="0"/>
    <s v="Brazil"/>
    <x v="28"/>
    <x v="12"/>
    <n v="30771"/>
    <n v="36411"/>
  </r>
  <r>
    <s v="ORD02544"/>
    <d v="2025-05-10T00:00:00"/>
    <x v="8"/>
    <x v="18"/>
    <x v="5"/>
    <s v="Russia"/>
    <x v="23"/>
    <x v="16"/>
    <n v="25985"/>
    <n v="29615"/>
  </r>
  <r>
    <s v="ORD02545"/>
    <d v="2025-08-24T00:00:00"/>
    <x v="11"/>
    <x v="46"/>
    <x v="4"/>
    <s v="Brazil"/>
    <x v="34"/>
    <x v="20"/>
    <n v="39437"/>
    <n v="33081"/>
  </r>
  <r>
    <s v="ORD02546"/>
    <d v="2025-08-02T00:00:00"/>
    <x v="11"/>
    <x v="12"/>
    <x v="1"/>
    <s v="Germany"/>
    <x v="27"/>
    <x v="17"/>
    <n v="28019"/>
    <n v="31008"/>
  </r>
  <r>
    <s v="ORD02547"/>
    <d v="2025-11-07T00:00:00"/>
    <x v="2"/>
    <x v="51"/>
    <x v="6"/>
    <s v="Brazil"/>
    <x v="24"/>
    <x v="17"/>
    <n v="18071"/>
    <n v="21144"/>
  </r>
  <r>
    <s v="ORD02548"/>
    <d v="2025-11-16T00:00:00"/>
    <x v="2"/>
    <x v="44"/>
    <x v="1"/>
    <s v="Russia"/>
    <x v="13"/>
    <x v="19"/>
    <n v="26033"/>
    <n v="33621"/>
  </r>
  <r>
    <s v="ORD02549"/>
    <d v="2025-04-20T00:00:00"/>
    <x v="7"/>
    <x v="20"/>
    <x v="4"/>
    <s v="UK"/>
    <x v="18"/>
    <x v="8"/>
    <n v="36509"/>
    <n v="46985"/>
  </r>
  <r>
    <s v="ORD02550"/>
    <d v="2025-07-28T00:00:00"/>
    <x v="0"/>
    <x v="12"/>
    <x v="1"/>
    <s v="Canada"/>
    <x v="23"/>
    <x v="1"/>
    <n v="30386"/>
    <n v="38978"/>
  </r>
  <r>
    <s v="ORD02551"/>
    <d v="2025-04-11T00:00:00"/>
    <x v="7"/>
    <x v="16"/>
    <x v="5"/>
    <s v="Turkey"/>
    <x v="41"/>
    <x v="15"/>
    <n v="23005"/>
    <n v="17871"/>
  </r>
  <r>
    <s v="ORD02552"/>
    <d v="2025-11-30T00:00:00"/>
    <x v="2"/>
    <x v="11"/>
    <x v="4"/>
    <s v="Turkey"/>
    <x v="44"/>
    <x v="6"/>
    <n v="39123"/>
    <n v="34815"/>
  </r>
  <r>
    <s v="ORD02553"/>
    <d v="2025-01-12T00:00:00"/>
    <x v="1"/>
    <x v="6"/>
    <x v="4"/>
    <s v="Turkey"/>
    <x v="15"/>
    <x v="23"/>
    <n v="15658"/>
    <n v="15603"/>
  </r>
  <r>
    <s v="ORD02554"/>
    <d v="2025-01-17T00:00:00"/>
    <x v="1"/>
    <x v="1"/>
    <x v="4"/>
    <s v="Brazil"/>
    <x v="15"/>
    <x v="15"/>
    <n v="31061"/>
    <n v="24316"/>
  </r>
  <r>
    <s v="ORD02555"/>
    <d v="2025-01-15T00:00:00"/>
    <x v="1"/>
    <x v="1"/>
    <x v="3"/>
    <s v="Australia"/>
    <x v="40"/>
    <x v="24"/>
    <n v="36261"/>
    <n v="26650"/>
  </r>
  <r>
    <s v="ORD02556"/>
    <d v="2025-01-19T00:00:00"/>
    <x v="1"/>
    <x v="1"/>
    <x v="2"/>
    <s v="Russia"/>
    <x v="40"/>
    <x v="2"/>
    <n v="36749"/>
    <n v="42761"/>
  </r>
  <r>
    <s v="ORD02557"/>
    <d v="2025-10-06T00:00:00"/>
    <x v="4"/>
    <x v="45"/>
    <x v="3"/>
    <s v="Italy"/>
    <x v="12"/>
    <x v="26"/>
    <n v="34568"/>
    <n v="42044"/>
  </r>
  <r>
    <s v="ORD02558"/>
    <d v="2025-06-04T00:00:00"/>
    <x v="5"/>
    <x v="41"/>
    <x v="1"/>
    <s v="Mexico"/>
    <x v="37"/>
    <x v="10"/>
    <n v="20260"/>
    <n v="23383"/>
  </r>
  <r>
    <s v="ORD02559"/>
    <d v="2025-07-13T00:00:00"/>
    <x v="0"/>
    <x v="47"/>
    <x v="4"/>
    <s v="Brazil"/>
    <x v="28"/>
    <x v="4"/>
    <n v="29147"/>
    <n v="31650"/>
  </r>
  <r>
    <s v="ORD02560"/>
    <d v="2025-06-01T00:00:00"/>
    <x v="5"/>
    <x v="24"/>
    <x v="0"/>
    <s v="Singapore"/>
    <x v="10"/>
    <x v="3"/>
    <n v="23006"/>
    <n v="23980"/>
  </r>
  <r>
    <s v="ORD02561"/>
    <d v="2025-02-24T00:00:00"/>
    <x v="6"/>
    <x v="22"/>
    <x v="4"/>
    <s v="Australia"/>
    <x v="39"/>
    <x v="14"/>
    <n v="21401"/>
    <n v="21028"/>
  </r>
  <r>
    <s v="ORD02562"/>
    <d v="2025-02-15T00:00:00"/>
    <x v="6"/>
    <x v="29"/>
    <x v="3"/>
    <s v="Canada"/>
    <x v="40"/>
    <x v="26"/>
    <n v="38304"/>
    <n v="29639"/>
  </r>
  <r>
    <s v="ORD02563"/>
    <d v="2025-07-18T00:00:00"/>
    <x v="0"/>
    <x v="14"/>
    <x v="2"/>
    <s v="Singapore"/>
    <x v="14"/>
    <x v="8"/>
    <n v="24921"/>
    <n v="28903"/>
  </r>
  <r>
    <s v="ORD02564"/>
    <d v="2025-04-12T00:00:00"/>
    <x v="7"/>
    <x v="16"/>
    <x v="1"/>
    <s v="France"/>
    <x v="12"/>
    <x v="18"/>
    <n v="18108"/>
    <n v="21413"/>
  </r>
  <r>
    <s v="ORD02565"/>
    <d v="2025-12-09T00:00:00"/>
    <x v="10"/>
    <x v="32"/>
    <x v="4"/>
    <s v="Brazil"/>
    <x v="2"/>
    <x v="22"/>
    <n v="39127"/>
    <n v="44210"/>
  </r>
  <r>
    <s v="ORD02566"/>
    <d v="2025-02-05T00:00:00"/>
    <x v="6"/>
    <x v="48"/>
    <x v="3"/>
    <s v="UAE"/>
    <x v="4"/>
    <x v="0"/>
    <n v="22488"/>
    <n v="21839"/>
  </r>
  <r>
    <s v="ORD02567"/>
    <d v="2025-10-09T00:00:00"/>
    <x v="4"/>
    <x v="45"/>
    <x v="6"/>
    <s v="China"/>
    <x v="33"/>
    <x v="12"/>
    <n v="20409"/>
    <n v="16674"/>
  </r>
  <r>
    <s v="ORD02568"/>
    <d v="2025-05-06T00:00:00"/>
    <x v="8"/>
    <x v="18"/>
    <x v="5"/>
    <s v="France"/>
    <x v="46"/>
    <x v="21"/>
    <n v="20833"/>
    <n v="27004"/>
  </r>
  <r>
    <s v="ORD02569"/>
    <d v="2025-02-07T00:00:00"/>
    <x v="6"/>
    <x v="48"/>
    <x v="5"/>
    <s v="Russia"/>
    <x v="25"/>
    <x v="22"/>
    <n v="34575"/>
    <n v="42379"/>
  </r>
  <r>
    <s v="ORD02570"/>
    <d v="2025-07-08T00:00:00"/>
    <x v="0"/>
    <x v="47"/>
    <x v="4"/>
    <s v="Mexico"/>
    <x v="27"/>
    <x v="4"/>
    <n v="26937"/>
    <n v="27968"/>
  </r>
  <r>
    <s v="ORD02571"/>
    <d v="2025-02-28T00:00:00"/>
    <x v="6"/>
    <x v="22"/>
    <x v="1"/>
    <s v="Malaysia"/>
    <x v="8"/>
    <x v="21"/>
    <n v="19748"/>
    <n v="18767"/>
  </r>
  <r>
    <s v="ORD02572"/>
    <d v="2025-02-24T00:00:00"/>
    <x v="6"/>
    <x v="22"/>
    <x v="0"/>
    <s v="Canada"/>
    <x v="4"/>
    <x v="6"/>
    <n v="24056"/>
    <n v="17860"/>
  </r>
  <r>
    <s v="ORD02573"/>
    <d v="2025-04-01T00:00:00"/>
    <x v="7"/>
    <x v="34"/>
    <x v="4"/>
    <s v="USA"/>
    <x v="17"/>
    <x v="0"/>
    <n v="31836"/>
    <n v="22329"/>
  </r>
  <r>
    <s v="ORD02574"/>
    <d v="2025-03-13T00:00:00"/>
    <x v="9"/>
    <x v="19"/>
    <x v="0"/>
    <s v="France"/>
    <x v="8"/>
    <x v="13"/>
    <n v="20279"/>
    <n v="19537"/>
  </r>
  <r>
    <s v="ORD02575"/>
    <d v="2025-07-25T00:00:00"/>
    <x v="0"/>
    <x v="0"/>
    <x v="4"/>
    <s v="Singapore"/>
    <x v="1"/>
    <x v="7"/>
    <n v="16107"/>
    <n v="17003"/>
  </r>
  <r>
    <s v="ORD02576"/>
    <d v="2025-03-30T00:00:00"/>
    <x v="9"/>
    <x v="33"/>
    <x v="3"/>
    <s v="South Africa"/>
    <x v="29"/>
    <x v="10"/>
    <n v="22132"/>
    <n v="17038"/>
  </r>
  <r>
    <s v="ORD02577"/>
    <d v="2025-07-14T00:00:00"/>
    <x v="0"/>
    <x v="14"/>
    <x v="3"/>
    <s v="Turkey"/>
    <x v="28"/>
    <x v="4"/>
    <n v="23068"/>
    <n v="22148"/>
  </r>
  <r>
    <s v="ORD02578"/>
    <d v="2025-04-12T00:00:00"/>
    <x v="7"/>
    <x v="16"/>
    <x v="0"/>
    <s v="Germany"/>
    <x v="44"/>
    <x v="0"/>
    <n v="34454"/>
    <n v="28021"/>
  </r>
  <r>
    <s v="ORD02579"/>
    <d v="2025-01-02T00:00:00"/>
    <x v="1"/>
    <x v="5"/>
    <x v="1"/>
    <s v="South Africa"/>
    <x v="46"/>
    <x v="7"/>
    <n v="24149"/>
    <n v="27331"/>
  </r>
  <r>
    <s v="ORD02580"/>
    <d v="2025-05-05T00:00:00"/>
    <x v="8"/>
    <x v="18"/>
    <x v="1"/>
    <s v="France"/>
    <x v="18"/>
    <x v="26"/>
    <n v="27662"/>
    <n v="23910"/>
  </r>
  <r>
    <s v="ORD02581"/>
    <d v="2025-12-21T00:00:00"/>
    <x v="10"/>
    <x v="21"/>
    <x v="0"/>
    <s v="Mexico"/>
    <x v="21"/>
    <x v="3"/>
    <n v="38760"/>
    <n v="28468"/>
  </r>
  <r>
    <s v="ORD02582"/>
    <d v="2025-05-11T00:00:00"/>
    <x v="8"/>
    <x v="18"/>
    <x v="6"/>
    <s v="South Africa"/>
    <x v="42"/>
    <x v="28"/>
    <n v="29761"/>
    <n v="22576"/>
  </r>
  <r>
    <s v="ORD02583"/>
    <d v="2025-07-18T00:00:00"/>
    <x v="0"/>
    <x v="14"/>
    <x v="6"/>
    <s v="China"/>
    <x v="30"/>
    <x v="11"/>
    <n v="19639"/>
    <n v="20968"/>
  </r>
  <r>
    <s v="ORD02584"/>
    <d v="2025-05-12T00:00:00"/>
    <x v="8"/>
    <x v="17"/>
    <x v="1"/>
    <s v="Canada"/>
    <x v="2"/>
    <x v="19"/>
    <n v="17208"/>
    <n v="22008"/>
  </r>
  <r>
    <s v="ORD02585"/>
    <d v="2025-07-26T00:00:00"/>
    <x v="0"/>
    <x v="0"/>
    <x v="5"/>
    <s v="Singapore"/>
    <x v="43"/>
    <x v="12"/>
    <n v="16899"/>
    <n v="21308"/>
  </r>
  <r>
    <s v="ORD02586"/>
    <d v="2025-03-01T00:00:00"/>
    <x v="9"/>
    <x v="22"/>
    <x v="3"/>
    <s v="UAE"/>
    <x v="6"/>
    <x v="27"/>
    <n v="37145"/>
    <n v="29534"/>
  </r>
  <r>
    <s v="ORD02587"/>
    <d v="2025-09-29T00:00:00"/>
    <x v="3"/>
    <x v="49"/>
    <x v="0"/>
    <s v="Germany"/>
    <x v="8"/>
    <x v="14"/>
    <n v="18750"/>
    <n v="20003"/>
  </r>
  <r>
    <s v="ORD02588"/>
    <d v="2025-10-15T00:00:00"/>
    <x v="4"/>
    <x v="10"/>
    <x v="0"/>
    <s v="China"/>
    <x v="29"/>
    <x v="1"/>
    <n v="25894"/>
    <n v="23183"/>
  </r>
  <r>
    <s v="ORD02589"/>
    <d v="2025-08-21T00:00:00"/>
    <x v="11"/>
    <x v="46"/>
    <x v="3"/>
    <s v="UAE"/>
    <x v="49"/>
    <x v="26"/>
    <n v="37809"/>
    <n v="45931"/>
  </r>
  <r>
    <s v="ORD02590"/>
    <d v="2025-12-11T00:00:00"/>
    <x v="10"/>
    <x v="32"/>
    <x v="3"/>
    <s v="Malaysia"/>
    <x v="15"/>
    <x v="11"/>
    <n v="27641"/>
    <n v="29678"/>
  </r>
  <r>
    <s v="ORD02591"/>
    <d v="2025-12-27T00:00:00"/>
    <x v="10"/>
    <x v="42"/>
    <x v="4"/>
    <s v="Canada"/>
    <x v="18"/>
    <x v="21"/>
    <n v="26177"/>
    <n v="18980"/>
  </r>
  <r>
    <s v="ORD02592"/>
    <d v="2025-04-05T00:00:00"/>
    <x v="7"/>
    <x v="34"/>
    <x v="5"/>
    <s v="South Africa"/>
    <x v="15"/>
    <x v="11"/>
    <n v="20561"/>
    <n v="23506"/>
  </r>
  <r>
    <s v="ORD02593"/>
    <d v="2025-01-28T00:00:00"/>
    <x v="1"/>
    <x v="3"/>
    <x v="2"/>
    <s v="China"/>
    <x v="10"/>
    <x v="15"/>
    <n v="32362"/>
    <n v="27319"/>
  </r>
  <r>
    <s v="ORD02594"/>
    <d v="2025-05-01T00:00:00"/>
    <x v="8"/>
    <x v="27"/>
    <x v="3"/>
    <s v="Australia"/>
    <x v="36"/>
    <x v="3"/>
    <n v="31747"/>
    <n v="38501"/>
  </r>
  <r>
    <s v="ORD02595"/>
    <d v="2025-01-22T00:00:00"/>
    <x v="1"/>
    <x v="7"/>
    <x v="6"/>
    <s v="UK"/>
    <x v="39"/>
    <x v="5"/>
    <n v="16799"/>
    <n v="16699"/>
  </r>
  <r>
    <s v="ORD02596"/>
    <d v="2025-10-22T00:00:00"/>
    <x v="4"/>
    <x v="50"/>
    <x v="3"/>
    <s v="Malaysia"/>
    <x v="48"/>
    <x v="29"/>
    <n v="32510"/>
    <n v="32096"/>
  </r>
  <r>
    <s v="ORD02597"/>
    <d v="2025-12-02T00:00:00"/>
    <x v="10"/>
    <x v="43"/>
    <x v="0"/>
    <s v="France"/>
    <x v="24"/>
    <x v="24"/>
    <n v="22310"/>
    <n v="19123"/>
  </r>
  <r>
    <s v="ORD02598"/>
    <d v="2025-06-30T00:00:00"/>
    <x v="5"/>
    <x v="37"/>
    <x v="6"/>
    <s v="China"/>
    <x v="40"/>
    <x v="16"/>
    <n v="28923"/>
    <n v="25454"/>
  </r>
  <r>
    <s v="ORD02599"/>
    <d v="2025-06-04T00:00:00"/>
    <x v="5"/>
    <x v="41"/>
    <x v="5"/>
    <s v="UK"/>
    <x v="47"/>
    <x v="15"/>
    <n v="33428"/>
    <n v="24401"/>
  </r>
  <r>
    <s v="ORD02600"/>
    <d v="2025-08-08T00:00:00"/>
    <x v="11"/>
    <x v="23"/>
    <x v="5"/>
    <s v="India"/>
    <x v="28"/>
    <x v="1"/>
    <n v="22193"/>
    <n v="17133"/>
  </r>
  <r>
    <s v="ORD02601"/>
    <d v="2025-11-01T00:00:00"/>
    <x v="2"/>
    <x v="2"/>
    <x v="1"/>
    <s v="India"/>
    <x v="21"/>
    <x v="22"/>
    <n v="32821"/>
    <n v="30227"/>
  </r>
  <r>
    <s v="ORD02602"/>
    <d v="2025-04-15T00:00:00"/>
    <x v="7"/>
    <x v="20"/>
    <x v="4"/>
    <s v="Germany"/>
    <x v="11"/>
    <x v="13"/>
    <n v="22677"/>
    <n v="26741"/>
  </r>
  <r>
    <s v="ORD02603"/>
    <d v="2025-06-21T00:00:00"/>
    <x v="5"/>
    <x v="13"/>
    <x v="0"/>
    <s v="USA"/>
    <x v="45"/>
    <x v="14"/>
    <n v="18850"/>
    <n v="16236"/>
  </r>
  <r>
    <s v="ORD02604"/>
    <d v="2025-12-24T00:00:00"/>
    <x v="10"/>
    <x v="42"/>
    <x v="2"/>
    <s v="Japan"/>
    <x v="15"/>
    <x v="14"/>
    <n v="20569"/>
    <n v="25187"/>
  </r>
  <r>
    <s v="ORD02605"/>
    <d v="2025-11-17T00:00:00"/>
    <x v="2"/>
    <x v="9"/>
    <x v="4"/>
    <s v="Germany"/>
    <x v="29"/>
    <x v="7"/>
    <n v="36804"/>
    <n v="40321"/>
  </r>
  <r>
    <s v="ORD02606"/>
    <d v="2025-10-10T00:00:00"/>
    <x v="4"/>
    <x v="45"/>
    <x v="3"/>
    <s v="India"/>
    <x v="26"/>
    <x v="26"/>
    <n v="15414"/>
    <n v="19478"/>
  </r>
  <r>
    <s v="ORD02607"/>
    <d v="2025-04-12T00:00:00"/>
    <x v="7"/>
    <x v="16"/>
    <x v="6"/>
    <s v="UK"/>
    <x v="9"/>
    <x v="27"/>
    <n v="18690"/>
    <n v="20173"/>
  </r>
  <r>
    <s v="ORD02608"/>
    <d v="2025-12-06T00:00:00"/>
    <x v="10"/>
    <x v="43"/>
    <x v="3"/>
    <s v="Brazil"/>
    <x v="7"/>
    <x v="28"/>
    <n v="19833"/>
    <n v="23922"/>
  </r>
  <r>
    <s v="ORD02609"/>
    <d v="2025-05-07T00:00:00"/>
    <x v="8"/>
    <x v="18"/>
    <x v="4"/>
    <s v="Thailand"/>
    <x v="40"/>
    <x v="15"/>
    <n v="35716"/>
    <n v="45663"/>
  </r>
  <r>
    <s v="ORD02610"/>
    <d v="2025-02-10T00:00:00"/>
    <x v="6"/>
    <x v="29"/>
    <x v="5"/>
    <s v="Australia"/>
    <x v="48"/>
    <x v="5"/>
    <n v="38051"/>
    <n v="31064"/>
  </r>
  <r>
    <s v="ORD02611"/>
    <d v="2025-10-17T00:00:00"/>
    <x v="4"/>
    <x v="10"/>
    <x v="2"/>
    <s v="UAE"/>
    <x v="44"/>
    <x v="4"/>
    <n v="18021"/>
    <n v="14541"/>
  </r>
  <r>
    <s v="ORD02612"/>
    <d v="2025-07-31T00:00:00"/>
    <x v="0"/>
    <x v="12"/>
    <x v="0"/>
    <s v="Turkey"/>
    <x v="43"/>
    <x v="19"/>
    <n v="19428"/>
    <n v="15379"/>
  </r>
  <r>
    <s v="ORD02613"/>
    <d v="2025-12-13T00:00:00"/>
    <x v="10"/>
    <x v="32"/>
    <x v="5"/>
    <s v="France"/>
    <x v="19"/>
    <x v="4"/>
    <n v="24643"/>
    <n v="31087"/>
  </r>
  <r>
    <s v="ORD02614"/>
    <d v="2025-10-16T00:00:00"/>
    <x v="4"/>
    <x v="10"/>
    <x v="4"/>
    <s v="Russia"/>
    <x v="2"/>
    <x v="6"/>
    <n v="28770"/>
    <n v="29068"/>
  </r>
  <r>
    <s v="ORD02615"/>
    <d v="2025-09-08T00:00:00"/>
    <x v="3"/>
    <x v="31"/>
    <x v="0"/>
    <s v="Singapore"/>
    <x v="4"/>
    <x v="23"/>
    <n v="18299"/>
    <n v="17964"/>
  </r>
  <r>
    <s v="ORD02616"/>
    <d v="2025-07-01T00:00:00"/>
    <x v="0"/>
    <x v="37"/>
    <x v="4"/>
    <s v="Italy"/>
    <x v="2"/>
    <x v="16"/>
    <n v="22144"/>
    <n v="15626"/>
  </r>
  <r>
    <s v="ORD02617"/>
    <d v="2025-01-10T00:00:00"/>
    <x v="1"/>
    <x v="6"/>
    <x v="1"/>
    <s v="Turkey"/>
    <x v="19"/>
    <x v="23"/>
    <n v="34841"/>
    <n v="31847"/>
  </r>
  <r>
    <s v="ORD02618"/>
    <d v="2025-07-08T00:00:00"/>
    <x v="0"/>
    <x v="47"/>
    <x v="6"/>
    <s v="Germany"/>
    <x v="38"/>
    <x v="19"/>
    <n v="32892"/>
    <n v="41339"/>
  </r>
  <r>
    <s v="ORD02619"/>
    <d v="2025-10-10T00:00:00"/>
    <x v="4"/>
    <x v="45"/>
    <x v="3"/>
    <s v="Turkey"/>
    <x v="34"/>
    <x v="15"/>
    <n v="22011"/>
    <n v="24132"/>
  </r>
  <r>
    <s v="ORD02620"/>
    <d v="2025-10-01T00:00:00"/>
    <x v="4"/>
    <x v="49"/>
    <x v="6"/>
    <s v="USA"/>
    <x v="39"/>
    <x v="12"/>
    <n v="38562"/>
    <n v="29244"/>
  </r>
  <r>
    <s v="ORD02621"/>
    <d v="2025-10-07T00:00:00"/>
    <x v="4"/>
    <x v="45"/>
    <x v="3"/>
    <s v="UAE"/>
    <x v="32"/>
    <x v="4"/>
    <n v="19412"/>
    <n v="17133"/>
  </r>
  <r>
    <s v="ORD02622"/>
    <d v="2025-07-13T00:00:00"/>
    <x v="0"/>
    <x v="47"/>
    <x v="1"/>
    <s v="USA"/>
    <x v="5"/>
    <x v="5"/>
    <n v="35983"/>
    <n v="44391"/>
  </r>
  <r>
    <s v="ORD02623"/>
    <d v="2025-06-12T00:00:00"/>
    <x v="5"/>
    <x v="40"/>
    <x v="2"/>
    <s v="Thailand"/>
    <x v="11"/>
    <x v="19"/>
    <n v="27393"/>
    <n v="20878"/>
  </r>
  <r>
    <s v="ORD02624"/>
    <d v="2025-07-15T00:00:00"/>
    <x v="0"/>
    <x v="14"/>
    <x v="2"/>
    <s v="Australia"/>
    <x v="23"/>
    <x v="27"/>
    <n v="34629"/>
    <n v="32513"/>
  </r>
  <r>
    <s v="ORD02625"/>
    <d v="2025-11-29T00:00:00"/>
    <x v="2"/>
    <x v="11"/>
    <x v="3"/>
    <s v="Mexico"/>
    <x v="47"/>
    <x v="16"/>
    <n v="17639"/>
    <n v="21875"/>
  </r>
  <r>
    <s v="ORD02626"/>
    <d v="2025-06-21T00:00:00"/>
    <x v="5"/>
    <x v="13"/>
    <x v="4"/>
    <s v="USA"/>
    <x v="3"/>
    <x v="20"/>
    <n v="31997"/>
    <n v="41138"/>
  </r>
  <r>
    <s v="ORD02627"/>
    <d v="2025-03-04T00:00:00"/>
    <x v="9"/>
    <x v="35"/>
    <x v="2"/>
    <s v="UAE"/>
    <x v="6"/>
    <x v="17"/>
    <n v="30345"/>
    <n v="36191"/>
  </r>
  <r>
    <s v="ORD02628"/>
    <d v="2025-11-28T00:00:00"/>
    <x v="2"/>
    <x v="11"/>
    <x v="6"/>
    <s v="Spain"/>
    <x v="27"/>
    <x v="7"/>
    <n v="34968"/>
    <n v="45038"/>
  </r>
  <r>
    <s v="ORD02629"/>
    <d v="2025-06-16T00:00:00"/>
    <x v="5"/>
    <x v="13"/>
    <x v="1"/>
    <s v="Italy"/>
    <x v="22"/>
    <x v="7"/>
    <n v="17250"/>
    <n v="14024"/>
  </r>
  <r>
    <s v="ORD02630"/>
    <d v="2025-07-28T00:00:00"/>
    <x v="0"/>
    <x v="12"/>
    <x v="2"/>
    <s v="South Africa"/>
    <x v="44"/>
    <x v="22"/>
    <n v="19400"/>
    <n v="19954"/>
  </r>
  <r>
    <s v="ORD02631"/>
    <d v="2025-11-08T00:00:00"/>
    <x v="2"/>
    <x v="51"/>
    <x v="5"/>
    <s v="Japan"/>
    <x v="21"/>
    <x v="23"/>
    <n v="33899"/>
    <n v="24971"/>
  </r>
  <r>
    <s v="ORD02632"/>
    <d v="2025-06-08T00:00:00"/>
    <x v="5"/>
    <x v="41"/>
    <x v="2"/>
    <s v="Canada"/>
    <x v="3"/>
    <x v="29"/>
    <n v="38790"/>
    <n v="30524"/>
  </r>
  <r>
    <s v="ORD02633"/>
    <d v="2025-12-11T00:00:00"/>
    <x v="10"/>
    <x v="32"/>
    <x v="6"/>
    <s v="China"/>
    <x v="36"/>
    <x v="27"/>
    <n v="38349"/>
    <n v="34265"/>
  </r>
  <r>
    <s v="ORD02634"/>
    <d v="2025-03-29T00:00:00"/>
    <x v="9"/>
    <x v="33"/>
    <x v="3"/>
    <s v="Japan"/>
    <x v="4"/>
    <x v="1"/>
    <n v="21501"/>
    <n v="24370"/>
  </r>
  <r>
    <s v="ORD02635"/>
    <d v="2025-02-01T00:00:00"/>
    <x v="6"/>
    <x v="3"/>
    <x v="0"/>
    <s v="Thailand"/>
    <x v="12"/>
    <x v="0"/>
    <n v="34826"/>
    <n v="37194"/>
  </r>
  <r>
    <s v="ORD02636"/>
    <d v="2025-08-18T00:00:00"/>
    <x v="11"/>
    <x v="46"/>
    <x v="1"/>
    <s v="Russia"/>
    <x v="45"/>
    <x v="20"/>
    <n v="18180"/>
    <n v="23605"/>
  </r>
  <r>
    <s v="ORD02637"/>
    <d v="2025-08-15T00:00:00"/>
    <x v="11"/>
    <x v="30"/>
    <x v="0"/>
    <s v="France"/>
    <x v="9"/>
    <x v="4"/>
    <n v="30686"/>
    <n v="39320"/>
  </r>
  <r>
    <s v="ORD02638"/>
    <d v="2025-06-16T00:00:00"/>
    <x v="5"/>
    <x v="13"/>
    <x v="1"/>
    <s v="South Africa"/>
    <x v="30"/>
    <x v="21"/>
    <n v="21059"/>
    <n v="22300"/>
  </r>
  <r>
    <s v="ORD02639"/>
    <d v="2025-10-21T00:00:00"/>
    <x v="4"/>
    <x v="50"/>
    <x v="0"/>
    <s v="USA"/>
    <x v="10"/>
    <x v="16"/>
    <n v="23222"/>
    <n v="17844"/>
  </r>
  <r>
    <s v="ORD02640"/>
    <d v="2025-01-21T00:00:00"/>
    <x v="1"/>
    <x v="7"/>
    <x v="5"/>
    <s v="Mexico"/>
    <x v="5"/>
    <x v="1"/>
    <n v="16070"/>
    <n v="15072"/>
  </r>
  <r>
    <s v="ORD02641"/>
    <d v="2025-06-07T00:00:00"/>
    <x v="5"/>
    <x v="41"/>
    <x v="6"/>
    <s v="Brazil"/>
    <x v="9"/>
    <x v="22"/>
    <n v="17086"/>
    <n v="14282"/>
  </r>
  <r>
    <s v="ORD02642"/>
    <d v="2025-09-17T00:00:00"/>
    <x v="3"/>
    <x v="8"/>
    <x v="0"/>
    <s v="Russia"/>
    <x v="11"/>
    <x v="0"/>
    <n v="17685"/>
    <n v="16107"/>
  </r>
  <r>
    <s v="ORD02643"/>
    <d v="2025-01-03T00:00:00"/>
    <x v="1"/>
    <x v="5"/>
    <x v="2"/>
    <s v="UK"/>
    <x v="4"/>
    <x v="19"/>
    <n v="19557"/>
    <n v="15588"/>
  </r>
  <r>
    <s v="ORD02644"/>
    <d v="2025-04-15T00:00:00"/>
    <x v="7"/>
    <x v="20"/>
    <x v="5"/>
    <s v="China"/>
    <x v="8"/>
    <x v="15"/>
    <n v="31289"/>
    <n v="22993"/>
  </r>
  <r>
    <s v="ORD02645"/>
    <d v="2025-09-02T00:00:00"/>
    <x v="3"/>
    <x v="4"/>
    <x v="5"/>
    <s v="Malaysia"/>
    <x v="3"/>
    <x v="12"/>
    <n v="21578"/>
    <n v="27712"/>
  </r>
  <r>
    <s v="ORD02646"/>
    <d v="2025-05-27T00:00:00"/>
    <x v="8"/>
    <x v="24"/>
    <x v="0"/>
    <s v="UK"/>
    <x v="18"/>
    <x v="28"/>
    <n v="16162"/>
    <n v="20570"/>
  </r>
  <r>
    <s v="ORD02647"/>
    <d v="2025-02-27T00:00:00"/>
    <x v="6"/>
    <x v="22"/>
    <x v="1"/>
    <s v="India"/>
    <x v="31"/>
    <x v="0"/>
    <n v="22994"/>
    <n v="25359"/>
  </r>
  <r>
    <s v="ORD02648"/>
    <d v="2025-12-19T00:00:00"/>
    <x v="10"/>
    <x v="21"/>
    <x v="3"/>
    <s v="Turkey"/>
    <x v="34"/>
    <x v="18"/>
    <n v="28160"/>
    <n v="31432"/>
  </r>
  <r>
    <s v="ORD02649"/>
    <d v="2025-09-20T00:00:00"/>
    <x v="3"/>
    <x v="8"/>
    <x v="1"/>
    <s v="Turkey"/>
    <x v="43"/>
    <x v="24"/>
    <n v="38298"/>
    <n v="47776"/>
  </r>
  <r>
    <s v="ORD02650"/>
    <d v="2025-05-30T00:00:00"/>
    <x v="8"/>
    <x v="24"/>
    <x v="5"/>
    <s v="Singapore"/>
    <x v="21"/>
    <x v="10"/>
    <n v="15164"/>
    <n v="14805"/>
  </r>
  <r>
    <s v="ORD02651"/>
    <d v="2025-01-22T00:00:00"/>
    <x v="1"/>
    <x v="7"/>
    <x v="4"/>
    <s v="UK"/>
    <x v="46"/>
    <x v="7"/>
    <n v="34914"/>
    <n v="36457"/>
  </r>
  <r>
    <s v="ORD02652"/>
    <d v="2025-01-08T00:00:00"/>
    <x v="1"/>
    <x v="6"/>
    <x v="3"/>
    <s v="Spain"/>
    <x v="17"/>
    <x v="12"/>
    <n v="16639"/>
    <n v="14464"/>
  </r>
  <r>
    <s v="ORD02653"/>
    <d v="2025-05-07T00:00:00"/>
    <x v="8"/>
    <x v="18"/>
    <x v="5"/>
    <s v="Canada"/>
    <x v="2"/>
    <x v="2"/>
    <n v="18163"/>
    <n v="16692"/>
  </r>
  <r>
    <s v="ORD02654"/>
    <d v="2025-08-17T00:00:00"/>
    <x v="11"/>
    <x v="30"/>
    <x v="4"/>
    <s v="Thailand"/>
    <x v="46"/>
    <x v="25"/>
    <n v="26555"/>
    <n v="24579"/>
  </r>
  <r>
    <s v="ORD02655"/>
    <d v="2025-05-31T00:00:00"/>
    <x v="8"/>
    <x v="24"/>
    <x v="4"/>
    <s v="Malaysia"/>
    <x v="9"/>
    <x v="4"/>
    <n v="25144"/>
    <n v="22172"/>
  </r>
  <r>
    <s v="ORD02656"/>
    <d v="2025-09-27T00:00:00"/>
    <x v="3"/>
    <x v="25"/>
    <x v="6"/>
    <s v="Australia"/>
    <x v="46"/>
    <x v="0"/>
    <n v="38417"/>
    <n v="36728"/>
  </r>
  <r>
    <s v="ORD02657"/>
    <d v="2025-04-14T00:00:00"/>
    <x v="7"/>
    <x v="20"/>
    <x v="3"/>
    <s v="Canada"/>
    <x v="31"/>
    <x v="4"/>
    <n v="18729"/>
    <n v="16127"/>
  </r>
  <r>
    <s v="ORD02658"/>
    <d v="2025-03-24T00:00:00"/>
    <x v="9"/>
    <x v="33"/>
    <x v="5"/>
    <s v="Canada"/>
    <x v="26"/>
    <x v="1"/>
    <n v="34245"/>
    <n v="28469"/>
  </r>
  <r>
    <s v="ORD02659"/>
    <d v="2025-11-18T00:00:00"/>
    <x v="2"/>
    <x v="9"/>
    <x v="0"/>
    <s v="UAE"/>
    <x v="24"/>
    <x v="25"/>
    <n v="18149"/>
    <n v="18873"/>
  </r>
  <r>
    <s v="ORD02660"/>
    <d v="2025-12-03T00:00:00"/>
    <x v="10"/>
    <x v="43"/>
    <x v="4"/>
    <s v="Russia"/>
    <x v="47"/>
    <x v="26"/>
    <n v="29151"/>
    <n v="23191"/>
  </r>
  <r>
    <s v="ORD02661"/>
    <d v="2025-10-23T00:00:00"/>
    <x v="4"/>
    <x v="50"/>
    <x v="2"/>
    <s v="Turkey"/>
    <x v="19"/>
    <x v="25"/>
    <n v="39360"/>
    <n v="36009"/>
  </r>
  <r>
    <s v="ORD02662"/>
    <d v="2025-09-17T00:00:00"/>
    <x v="3"/>
    <x v="8"/>
    <x v="4"/>
    <s v="UAE"/>
    <x v="13"/>
    <x v="13"/>
    <n v="29368"/>
    <n v="30632"/>
  </r>
  <r>
    <s v="ORD02663"/>
    <d v="2025-08-17T00:00:00"/>
    <x v="11"/>
    <x v="30"/>
    <x v="2"/>
    <s v="China"/>
    <x v="26"/>
    <x v="27"/>
    <n v="20545"/>
    <n v="22389"/>
  </r>
  <r>
    <s v="ORD02664"/>
    <d v="2025-03-27T00:00:00"/>
    <x v="9"/>
    <x v="33"/>
    <x v="5"/>
    <s v="Australia"/>
    <x v="9"/>
    <x v="27"/>
    <n v="26962"/>
    <n v="35013"/>
  </r>
  <r>
    <s v="ORD02665"/>
    <d v="2025-02-26T00:00:00"/>
    <x v="6"/>
    <x v="22"/>
    <x v="5"/>
    <s v="Russia"/>
    <x v="30"/>
    <x v="26"/>
    <n v="25393"/>
    <n v="22924"/>
  </r>
  <r>
    <s v="ORD02666"/>
    <d v="2025-06-17T00:00:00"/>
    <x v="5"/>
    <x v="13"/>
    <x v="5"/>
    <s v="UAE"/>
    <x v="20"/>
    <x v="6"/>
    <n v="38682"/>
    <n v="34722"/>
  </r>
  <r>
    <s v="ORD02667"/>
    <d v="2025-08-20T00:00:00"/>
    <x v="11"/>
    <x v="46"/>
    <x v="1"/>
    <s v="Japan"/>
    <x v="46"/>
    <x v="5"/>
    <n v="32950"/>
    <n v="26758"/>
  </r>
  <r>
    <s v="ORD02668"/>
    <d v="2025-08-31T00:00:00"/>
    <x v="11"/>
    <x v="28"/>
    <x v="5"/>
    <s v="Germany"/>
    <x v="7"/>
    <x v="22"/>
    <n v="37929"/>
    <n v="43026"/>
  </r>
  <r>
    <s v="ORD02669"/>
    <d v="2025-05-10T00:00:00"/>
    <x v="8"/>
    <x v="18"/>
    <x v="0"/>
    <s v="South Africa"/>
    <x v="43"/>
    <x v="20"/>
    <n v="17299"/>
    <n v="12300"/>
  </r>
  <r>
    <s v="ORD02670"/>
    <d v="2025-04-16T00:00:00"/>
    <x v="7"/>
    <x v="20"/>
    <x v="3"/>
    <s v="South Africa"/>
    <x v="41"/>
    <x v="20"/>
    <n v="18667"/>
    <n v="17659"/>
  </r>
  <r>
    <s v="ORD02671"/>
    <d v="2025-12-21T00:00:00"/>
    <x v="10"/>
    <x v="21"/>
    <x v="2"/>
    <s v="France"/>
    <x v="44"/>
    <x v="13"/>
    <n v="15695"/>
    <n v="11068"/>
  </r>
  <r>
    <s v="ORD02672"/>
    <d v="2025-12-21T00:00:00"/>
    <x v="10"/>
    <x v="21"/>
    <x v="5"/>
    <s v="India"/>
    <x v="47"/>
    <x v="19"/>
    <n v="36174"/>
    <n v="39241"/>
  </r>
  <r>
    <s v="ORD02673"/>
    <d v="2025-11-17T00:00:00"/>
    <x v="2"/>
    <x v="9"/>
    <x v="5"/>
    <s v="Malaysia"/>
    <x v="38"/>
    <x v="18"/>
    <n v="35240"/>
    <n v="37981"/>
  </r>
  <r>
    <s v="ORD02674"/>
    <d v="2025-12-09T00:00:00"/>
    <x v="10"/>
    <x v="32"/>
    <x v="4"/>
    <s v="Mexico"/>
    <x v="12"/>
    <x v="14"/>
    <n v="26137"/>
    <n v="27605"/>
  </r>
  <r>
    <s v="ORD02675"/>
    <d v="2025-08-04T00:00:00"/>
    <x v="11"/>
    <x v="23"/>
    <x v="2"/>
    <s v="India"/>
    <x v="4"/>
    <x v="17"/>
    <n v="28645"/>
    <n v="23288"/>
  </r>
  <r>
    <s v="ORD02676"/>
    <d v="2025-03-14T00:00:00"/>
    <x v="9"/>
    <x v="19"/>
    <x v="4"/>
    <s v="UAE"/>
    <x v="33"/>
    <x v="25"/>
    <n v="27092"/>
    <n v="27660"/>
  </r>
  <r>
    <s v="ORD02677"/>
    <d v="2025-09-03T00:00:00"/>
    <x v="3"/>
    <x v="4"/>
    <x v="3"/>
    <s v="Russia"/>
    <x v="17"/>
    <x v="22"/>
    <n v="20417"/>
    <n v="14305"/>
  </r>
  <r>
    <s v="ORD02678"/>
    <d v="2025-08-21T00:00:00"/>
    <x v="11"/>
    <x v="46"/>
    <x v="4"/>
    <s v="USA"/>
    <x v="10"/>
    <x v="10"/>
    <n v="25705"/>
    <n v="20920"/>
  </r>
  <r>
    <s v="ORD02679"/>
    <d v="2025-07-30T00:00:00"/>
    <x v="0"/>
    <x v="12"/>
    <x v="1"/>
    <s v="Australia"/>
    <x v="38"/>
    <x v="9"/>
    <n v="33597"/>
    <n v="31989"/>
  </r>
  <r>
    <s v="ORD02680"/>
    <d v="2025-07-13T00:00:00"/>
    <x v="0"/>
    <x v="47"/>
    <x v="2"/>
    <s v="USA"/>
    <x v="2"/>
    <x v="3"/>
    <n v="27085"/>
    <n v="22310"/>
  </r>
  <r>
    <s v="ORD02681"/>
    <d v="2025-06-27T00:00:00"/>
    <x v="5"/>
    <x v="36"/>
    <x v="1"/>
    <s v="Italy"/>
    <x v="7"/>
    <x v="3"/>
    <n v="36004"/>
    <n v="30860"/>
  </r>
  <r>
    <s v="ORD02682"/>
    <d v="2025-03-11T00:00:00"/>
    <x v="9"/>
    <x v="19"/>
    <x v="3"/>
    <s v="USA"/>
    <x v="40"/>
    <x v="3"/>
    <n v="33339"/>
    <n v="23940"/>
  </r>
  <r>
    <s v="ORD02683"/>
    <d v="2025-07-29T00:00:00"/>
    <x v="0"/>
    <x v="12"/>
    <x v="1"/>
    <s v="South Africa"/>
    <x v="27"/>
    <x v="5"/>
    <n v="30221"/>
    <n v="30544"/>
  </r>
  <r>
    <s v="ORD02684"/>
    <d v="2025-05-19T00:00:00"/>
    <x v="8"/>
    <x v="26"/>
    <x v="3"/>
    <s v="UAE"/>
    <x v="41"/>
    <x v="13"/>
    <n v="19010"/>
    <n v="23385"/>
  </r>
  <r>
    <s v="ORD02685"/>
    <d v="2025-11-03T00:00:00"/>
    <x v="2"/>
    <x v="51"/>
    <x v="2"/>
    <s v="Malaysia"/>
    <x v="25"/>
    <x v="12"/>
    <n v="26101"/>
    <n v="22758"/>
  </r>
  <r>
    <s v="ORD02686"/>
    <d v="2025-09-18T00:00:00"/>
    <x v="3"/>
    <x v="8"/>
    <x v="0"/>
    <s v="Canada"/>
    <x v="3"/>
    <x v="23"/>
    <n v="35676"/>
    <n v="30157"/>
  </r>
  <r>
    <s v="ORD02687"/>
    <d v="2025-08-02T00:00:00"/>
    <x v="11"/>
    <x v="12"/>
    <x v="0"/>
    <s v="Thailand"/>
    <x v="41"/>
    <x v="24"/>
    <n v="24394"/>
    <n v="24827"/>
  </r>
  <r>
    <s v="ORD02688"/>
    <d v="2025-08-04T00:00:00"/>
    <x v="11"/>
    <x v="23"/>
    <x v="3"/>
    <s v="Spain"/>
    <x v="49"/>
    <x v="28"/>
    <n v="36707"/>
    <n v="43444"/>
  </r>
  <r>
    <s v="ORD02689"/>
    <d v="2025-06-04T00:00:00"/>
    <x v="5"/>
    <x v="41"/>
    <x v="5"/>
    <s v="Spain"/>
    <x v="27"/>
    <x v="20"/>
    <n v="17314"/>
    <n v="21943"/>
  </r>
  <r>
    <s v="ORD02690"/>
    <d v="2025-01-22T00:00:00"/>
    <x v="1"/>
    <x v="7"/>
    <x v="1"/>
    <s v="France"/>
    <x v="23"/>
    <x v="22"/>
    <n v="36379"/>
    <n v="33986"/>
  </r>
  <r>
    <s v="ORD02691"/>
    <d v="2025-01-02T00:00:00"/>
    <x v="1"/>
    <x v="5"/>
    <x v="2"/>
    <s v="South Africa"/>
    <x v="32"/>
    <x v="2"/>
    <n v="38430"/>
    <n v="48464"/>
  </r>
  <r>
    <s v="ORD02692"/>
    <d v="2025-08-20T00:00:00"/>
    <x v="11"/>
    <x v="46"/>
    <x v="0"/>
    <s v="France"/>
    <x v="42"/>
    <x v="27"/>
    <n v="22259"/>
    <n v="19239"/>
  </r>
  <r>
    <s v="ORD02693"/>
    <d v="2025-11-24T00:00:00"/>
    <x v="2"/>
    <x v="11"/>
    <x v="2"/>
    <s v="UK"/>
    <x v="6"/>
    <x v="12"/>
    <n v="17132"/>
    <n v="17268"/>
  </r>
  <r>
    <s v="ORD02694"/>
    <d v="2025-10-14T00:00:00"/>
    <x v="4"/>
    <x v="10"/>
    <x v="4"/>
    <s v="Japan"/>
    <x v="1"/>
    <x v="17"/>
    <n v="17876"/>
    <n v="14728"/>
  </r>
  <r>
    <s v="ORD02695"/>
    <d v="2025-02-20T00:00:00"/>
    <x v="6"/>
    <x v="15"/>
    <x v="4"/>
    <s v="Canada"/>
    <x v="47"/>
    <x v="22"/>
    <n v="26702"/>
    <n v="22882"/>
  </r>
  <r>
    <s v="ORD02696"/>
    <d v="2025-01-02T00:00:00"/>
    <x v="1"/>
    <x v="5"/>
    <x v="4"/>
    <s v="UAE"/>
    <x v="3"/>
    <x v="16"/>
    <n v="19702"/>
    <n v="17150"/>
  </r>
  <r>
    <s v="ORD02697"/>
    <d v="2025-03-21T00:00:00"/>
    <x v="9"/>
    <x v="39"/>
    <x v="2"/>
    <s v="Thailand"/>
    <x v="24"/>
    <x v="19"/>
    <n v="35088"/>
    <n v="37388"/>
  </r>
  <r>
    <s v="ORD02698"/>
    <d v="2025-08-09T00:00:00"/>
    <x v="11"/>
    <x v="23"/>
    <x v="3"/>
    <s v="Russia"/>
    <x v="45"/>
    <x v="11"/>
    <n v="15545"/>
    <n v="19882"/>
  </r>
  <r>
    <s v="ORD02699"/>
    <d v="2025-08-21T00:00:00"/>
    <x v="11"/>
    <x v="46"/>
    <x v="1"/>
    <s v="Mexico"/>
    <x v="1"/>
    <x v="8"/>
    <n v="23839"/>
    <n v="20271"/>
  </r>
  <r>
    <s v="ORD02700"/>
    <d v="2025-04-07T00:00:00"/>
    <x v="7"/>
    <x v="16"/>
    <x v="1"/>
    <s v="Brazil"/>
    <x v="34"/>
    <x v="2"/>
    <n v="19977"/>
    <n v="15713"/>
  </r>
  <r>
    <s v="ORD02701"/>
    <d v="2025-08-13T00:00:00"/>
    <x v="11"/>
    <x v="30"/>
    <x v="5"/>
    <s v="Turkey"/>
    <x v="1"/>
    <x v="14"/>
    <n v="29984"/>
    <n v="36041"/>
  </r>
  <r>
    <s v="ORD02702"/>
    <d v="2025-09-22T00:00:00"/>
    <x v="3"/>
    <x v="25"/>
    <x v="1"/>
    <s v="Singapore"/>
    <x v="37"/>
    <x v="25"/>
    <n v="39985"/>
    <n v="34102"/>
  </r>
  <r>
    <s v="ORD02703"/>
    <d v="2025-12-28T00:00:00"/>
    <x v="10"/>
    <x v="42"/>
    <x v="1"/>
    <s v="Italy"/>
    <x v="0"/>
    <x v="0"/>
    <n v="16663"/>
    <n v="14900"/>
  </r>
  <r>
    <s v="ORD02704"/>
    <d v="2025-01-30T00:00:00"/>
    <x v="1"/>
    <x v="3"/>
    <x v="6"/>
    <s v="UAE"/>
    <x v="8"/>
    <x v="11"/>
    <n v="15161"/>
    <n v="19545"/>
  </r>
  <r>
    <s v="ORD02705"/>
    <d v="2025-11-30T00:00:00"/>
    <x v="2"/>
    <x v="11"/>
    <x v="4"/>
    <s v="France"/>
    <x v="20"/>
    <x v="29"/>
    <n v="21250"/>
    <n v="20839"/>
  </r>
  <r>
    <s v="ORD02706"/>
    <d v="2025-05-22T00:00:00"/>
    <x v="8"/>
    <x v="26"/>
    <x v="6"/>
    <s v="Turkey"/>
    <x v="46"/>
    <x v="6"/>
    <n v="23684"/>
    <n v="18932"/>
  </r>
  <r>
    <s v="ORD02707"/>
    <d v="2025-08-05T00:00:00"/>
    <x v="11"/>
    <x v="23"/>
    <x v="6"/>
    <s v="Turkey"/>
    <x v="21"/>
    <x v="2"/>
    <n v="37474"/>
    <n v="33090"/>
  </r>
  <r>
    <s v="ORD02708"/>
    <d v="2025-07-10T00:00:00"/>
    <x v="0"/>
    <x v="47"/>
    <x v="4"/>
    <s v="USA"/>
    <x v="2"/>
    <x v="29"/>
    <n v="38351"/>
    <n v="31826"/>
  </r>
  <r>
    <s v="ORD02709"/>
    <d v="2025-12-06T00:00:00"/>
    <x v="10"/>
    <x v="43"/>
    <x v="5"/>
    <s v="South Africa"/>
    <x v="14"/>
    <x v="19"/>
    <n v="32777"/>
    <n v="39115"/>
  </r>
  <r>
    <s v="ORD02710"/>
    <d v="2025-06-27T00:00:00"/>
    <x v="5"/>
    <x v="36"/>
    <x v="3"/>
    <s v="UK"/>
    <x v="1"/>
    <x v="20"/>
    <n v="15326"/>
    <n v="12403"/>
  </r>
  <r>
    <s v="ORD02711"/>
    <d v="2025-09-18T00:00:00"/>
    <x v="3"/>
    <x v="8"/>
    <x v="2"/>
    <s v="UAE"/>
    <x v="4"/>
    <x v="16"/>
    <n v="38305"/>
    <n v="46185"/>
  </r>
  <r>
    <s v="ORD02712"/>
    <d v="2025-06-02T00:00:00"/>
    <x v="5"/>
    <x v="41"/>
    <x v="4"/>
    <s v="South Africa"/>
    <x v="48"/>
    <x v="22"/>
    <n v="39814"/>
    <n v="40914"/>
  </r>
  <r>
    <s v="ORD02713"/>
    <d v="2025-05-23T00:00:00"/>
    <x v="8"/>
    <x v="26"/>
    <x v="5"/>
    <s v="Thailand"/>
    <x v="27"/>
    <x v="23"/>
    <n v="17242"/>
    <n v="14763"/>
  </r>
  <r>
    <s v="ORD02714"/>
    <d v="2025-02-23T00:00:00"/>
    <x v="6"/>
    <x v="15"/>
    <x v="0"/>
    <s v="Germany"/>
    <x v="18"/>
    <x v="21"/>
    <n v="37708"/>
    <n v="48222"/>
  </r>
  <r>
    <s v="ORD02715"/>
    <d v="2025-03-25T00:00:00"/>
    <x v="9"/>
    <x v="33"/>
    <x v="0"/>
    <s v="Mexico"/>
    <x v="3"/>
    <x v="6"/>
    <n v="26302"/>
    <n v="26920"/>
  </r>
  <r>
    <s v="ORD02716"/>
    <d v="2025-09-08T00:00:00"/>
    <x v="3"/>
    <x v="31"/>
    <x v="6"/>
    <s v="UAE"/>
    <x v="9"/>
    <x v="17"/>
    <n v="33746"/>
    <n v="41876"/>
  </r>
  <r>
    <s v="ORD02717"/>
    <d v="2025-10-07T00:00:00"/>
    <x v="4"/>
    <x v="45"/>
    <x v="6"/>
    <s v="Turkey"/>
    <x v="30"/>
    <x v="0"/>
    <n v="39943"/>
    <n v="44484"/>
  </r>
  <r>
    <s v="ORD02718"/>
    <d v="2025-07-29T00:00:00"/>
    <x v="0"/>
    <x v="12"/>
    <x v="5"/>
    <s v="USA"/>
    <x v="42"/>
    <x v="25"/>
    <n v="29634"/>
    <n v="22608"/>
  </r>
  <r>
    <s v="ORD02719"/>
    <d v="2025-11-24T00:00:00"/>
    <x v="2"/>
    <x v="11"/>
    <x v="2"/>
    <s v="Thailand"/>
    <x v="47"/>
    <x v="23"/>
    <n v="32341"/>
    <n v="41230"/>
  </r>
  <r>
    <s v="ORD02720"/>
    <d v="2025-12-08T00:00:00"/>
    <x v="10"/>
    <x v="32"/>
    <x v="5"/>
    <s v="France"/>
    <x v="41"/>
    <x v="21"/>
    <n v="16554"/>
    <n v="18754"/>
  </r>
  <r>
    <s v="ORD02721"/>
    <d v="2025-08-18T00:00:00"/>
    <x v="11"/>
    <x v="46"/>
    <x v="3"/>
    <s v="Italy"/>
    <x v="21"/>
    <x v="19"/>
    <n v="17058"/>
    <n v="19424"/>
  </r>
  <r>
    <s v="ORD02722"/>
    <d v="2025-07-20T00:00:00"/>
    <x v="0"/>
    <x v="14"/>
    <x v="2"/>
    <s v="Thailand"/>
    <x v="14"/>
    <x v="23"/>
    <n v="19916"/>
    <n v="18129"/>
  </r>
  <r>
    <s v="ORD02723"/>
    <d v="2025-03-29T00:00:00"/>
    <x v="9"/>
    <x v="33"/>
    <x v="1"/>
    <s v="Spain"/>
    <x v="47"/>
    <x v="10"/>
    <n v="27137"/>
    <n v="24796"/>
  </r>
  <r>
    <s v="ORD02724"/>
    <d v="2025-05-24T00:00:00"/>
    <x v="8"/>
    <x v="26"/>
    <x v="0"/>
    <s v="Italy"/>
    <x v="17"/>
    <x v="6"/>
    <n v="19616"/>
    <n v="22225"/>
  </r>
  <r>
    <s v="ORD02725"/>
    <d v="2025-02-03T00:00:00"/>
    <x v="6"/>
    <x v="48"/>
    <x v="4"/>
    <s v="Singapore"/>
    <x v="44"/>
    <x v="16"/>
    <n v="18099"/>
    <n v="15439"/>
  </r>
  <r>
    <s v="ORD02726"/>
    <d v="2025-07-21T00:00:00"/>
    <x v="0"/>
    <x v="0"/>
    <x v="3"/>
    <s v="UAE"/>
    <x v="32"/>
    <x v="13"/>
    <n v="31992"/>
    <n v="37086"/>
  </r>
  <r>
    <s v="ORD02727"/>
    <d v="2025-05-29T00:00:00"/>
    <x v="8"/>
    <x v="24"/>
    <x v="2"/>
    <s v="Germany"/>
    <x v="18"/>
    <x v="10"/>
    <n v="22604"/>
    <n v="16053"/>
  </r>
  <r>
    <s v="ORD02728"/>
    <d v="2025-01-29T00:00:00"/>
    <x v="1"/>
    <x v="3"/>
    <x v="4"/>
    <s v="Australia"/>
    <x v="25"/>
    <x v="17"/>
    <n v="39806"/>
    <n v="45204"/>
  </r>
  <r>
    <s v="ORD02729"/>
    <d v="2025-02-19T00:00:00"/>
    <x v="6"/>
    <x v="15"/>
    <x v="1"/>
    <s v="Singapore"/>
    <x v="5"/>
    <x v="7"/>
    <n v="31772"/>
    <n v="38184"/>
  </r>
  <r>
    <s v="ORD02730"/>
    <d v="2025-01-22T00:00:00"/>
    <x v="1"/>
    <x v="7"/>
    <x v="3"/>
    <s v="Mexico"/>
    <x v="37"/>
    <x v="12"/>
    <n v="25190"/>
    <n v="21343"/>
  </r>
  <r>
    <s v="ORD02731"/>
    <d v="2025-02-03T00:00:00"/>
    <x v="6"/>
    <x v="48"/>
    <x v="1"/>
    <s v="Mexico"/>
    <x v="48"/>
    <x v="5"/>
    <n v="36985"/>
    <n v="40746"/>
  </r>
  <r>
    <s v="ORD02732"/>
    <d v="2025-08-17T00:00:00"/>
    <x v="11"/>
    <x v="30"/>
    <x v="6"/>
    <s v="Russia"/>
    <x v="2"/>
    <x v="4"/>
    <n v="15370"/>
    <n v="18487"/>
  </r>
  <r>
    <s v="ORD02733"/>
    <d v="2025-06-11T00:00:00"/>
    <x v="5"/>
    <x v="40"/>
    <x v="4"/>
    <s v="Germany"/>
    <x v="11"/>
    <x v="16"/>
    <n v="27002"/>
    <n v="25723"/>
  </r>
  <r>
    <s v="ORD02734"/>
    <d v="2025-09-20T00:00:00"/>
    <x v="3"/>
    <x v="8"/>
    <x v="1"/>
    <s v="Canada"/>
    <x v="48"/>
    <x v="23"/>
    <n v="29218"/>
    <n v="35787"/>
  </r>
  <r>
    <s v="ORD02735"/>
    <d v="2025-01-03T00:00:00"/>
    <x v="1"/>
    <x v="5"/>
    <x v="0"/>
    <s v="Thailand"/>
    <x v="10"/>
    <x v="25"/>
    <n v="32069"/>
    <n v="23074"/>
  </r>
  <r>
    <s v="ORD02736"/>
    <d v="2025-01-08T00:00:00"/>
    <x v="1"/>
    <x v="6"/>
    <x v="1"/>
    <s v="Mexico"/>
    <x v="28"/>
    <x v="27"/>
    <n v="23026"/>
    <n v="17810"/>
  </r>
  <r>
    <s v="ORD02737"/>
    <d v="2025-02-17T00:00:00"/>
    <x v="6"/>
    <x v="15"/>
    <x v="5"/>
    <s v="Italy"/>
    <x v="10"/>
    <x v="20"/>
    <n v="26217"/>
    <n v="33501"/>
  </r>
  <r>
    <s v="ORD02738"/>
    <d v="2025-12-04T00:00:00"/>
    <x v="10"/>
    <x v="43"/>
    <x v="0"/>
    <s v="Mexico"/>
    <x v="26"/>
    <x v="13"/>
    <n v="23104"/>
    <n v="16969"/>
  </r>
  <r>
    <s v="ORD02739"/>
    <d v="2025-09-15T00:00:00"/>
    <x v="3"/>
    <x v="8"/>
    <x v="1"/>
    <s v="Brazil"/>
    <x v="31"/>
    <x v="10"/>
    <n v="27281"/>
    <n v="27132"/>
  </r>
  <r>
    <s v="ORD02740"/>
    <d v="2025-12-02T00:00:00"/>
    <x v="10"/>
    <x v="43"/>
    <x v="0"/>
    <s v="Mexico"/>
    <x v="45"/>
    <x v="2"/>
    <n v="37626"/>
    <n v="35499"/>
  </r>
  <r>
    <s v="ORD02741"/>
    <d v="2025-07-26T00:00:00"/>
    <x v="0"/>
    <x v="0"/>
    <x v="5"/>
    <s v="Japan"/>
    <x v="42"/>
    <x v="27"/>
    <n v="36386"/>
    <n v="39964"/>
  </r>
  <r>
    <s v="ORD02742"/>
    <d v="2025-12-02T00:00:00"/>
    <x v="10"/>
    <x v="43"/>
    <x v="4"/>
    <s v="Spain"/>
    <x v="6"/>
    <x v="12"/>
    <n v="30113"/>
    <n v="36336"/>
  </r>
  <r>
    <s v="ORD02743"/>
    <d v="2025-08-19T00:00:00"/>
    <x v="11"/>
    <x v="46"/>
    <x v="4"/>
    <s v="Thailand"/>
    <x v="12"/>
    <x v="15"/>
    <n v="28288"/>
    <n v="20247"/>
  </r>
  <r>
    <s v="ORD02744"/>
    <d v="2025-11-16T00:00:00"/>
    <x v="2"/>
    <x v="44"/>
    <x v="3"/>
    <s v="Canada"/>
    <x v="2"/>
    <x v="16"/>
    <n v="36197"/>
    <n v="29861"/>
  </r>
  <r>
    <s v="ORD02745"/>
    <d v="2025-10-30T00:00:00"/>
    <x v="4"/>
    <x v="2"/>
    <x v="6"/>
    <s v="France"/>
    <x v="17"/>
    <x v="28"/>
    <n v="18428"/>
    <n v="20586"/>
  </r>
  <r>
    <s v="ORD02746"/>
    <d v="2025-01-14T00:00:00"/>
    <x v="1"/>
    <x v="1"/>
    <x v="0"/>
    <s v="Germany"/>
    <x v="35"/>
    <x v="18"/>
    <n v="19942"/>
    <n v="20923"/>
  </r>
  <r>
    <s v="ORD02747"/>
    <d v="2025-03-29T00:00:00"/>
    <x v="9"/>
    <x v="33"/>
    <x v="0"/>
    <s v="Thailand"/>
    <x v="42"/>
    <x v="26"/>
    <n v="36834"/>
    <n v="40480"/>
  </r>
  <r>
    <s v="ORD02748"/>
    <d v="2025-06-07T00:00:00"/>
    <x v="5"/>
    <x v="41"/>
    <x v="6"/>
    <s v="USA"/>
    <x v="27"/>
    <x v="10"/>
    <n v="32245"/>
    <n v="36212"/>
  </r>
  <r>
    <s v="ORD02749"/>
    <d v="2025-05-04T00:00:00"/>
    <x v="8"/>
    <x v="27"/>
    <x v="4"/>
    <s v="India"/>
    <x v="17"/>
    <x v="27"/>
    <n v="25668"/>
    <n v="30181"/>
  </r>
  <r>
    <s v="ORD02750"/>
    <d v="2025-03-07T00:00:00"/>
    <x v="9"/>
    <x v="35"/>
    <x v="0"/>
    <s v="Australia"/>
    <x v="27"/>
    <x v="17"/>
    <n v="33758"/>
    <n v="43208"/>
  </r>
  <r>
    <s v="ORD02751"/>
    <d v="2025-11-15T00:00:00"/>
    <x v="2"/>
    <x v="44"/>
    <x v="5"/>
    <s v="China"/>
    <x v="21"/>
    <x v="25"/>
    <n v="36876"/>
    <n v="43056"/>
  </r>
  <r>
    <s v="ORD02752"/>
    <d v="2025-07-03T00:00:00"/>
    <x v="0"/>
    <x v="37"/>
    <x v="5"/>
    <s v="Mexico"/>
    <x v="43"/>
    <x v="24"/>
    <n v="37106"/>
    <n v="31981"/>
  </r>
  <r>
    <s v="ORD02753"/>
    <d v="2025-03-16T00:00:00"/>
    <x v="9"/>
    <x v="19"/>
    <x v="3"/>
    <s v="Turkey"/>
    <x v="0"/>
    <x v="12"/>
    <n v="34217"/>
    <n v="39098"/>
  </r>
  <r>
    <s v="ORD02754"/>
    <d v="2025-12-08T00:00:00"/>
    <x v="10"/>
    <x v="32"/>
    <x v="4"/>
    <s v="USA"/>
    <x v="20"/>
    <x v="15"/>
    <n v="22298"/>
    <n v="23042"/>
  </r>
  <r>
    <s v="ORD02755"/>
    <d v="2025-07-31T00:00:00"/>
    <x v="0"/>
    <x v="12"/>
    <x v="6"/>
    <s v="India"/>
    <x v="8"/>
    <x v="3"/>
    <n v="18058"/>
    <n v="14968"/>
  </r>
  <r>
    <s v="ORD02756"/>
    <d v="2025-09-27T00:00:00"/>
    <x v="3"/>
    <x v="25"/>
    <x v="6"/>
    <s v="Canada"/>
    <x v="22"/>
    <x v="7"/>
    <n v="31633"/>
    <n v="36582"/>
  </r>
  <r>
    <s v="ORD02757"/>
    <d v="2025-03-23T00:00:00"/>
    <x v="9"/>
    <x v="39"/>
    <x v="4"/>
    <s v="Thailand"/>
    <x v="30"/>
    <x v="11"/>
    <n v="31378"/>
    <n v="37910"/>
  </r>
  <r>
    <s v="ORD02758"/>
    <d v="2025-03-27T00:00:00"/>
    <x v="9"/>
    <x v="33"/>
    <x v="0"/>
    <s v="UAE"/>
    <x v="39"/>
    <x v="5"/>
    <n v="18968"/>
    <n v="14862"/>
  </r>
  <r>
    <s v="ORD02759"/>
    <d v="2025-05-07T00:00:00"/>
    <x v="8"/>
    <x v="18"/>
    <x v="1"/>
    <s v="Canada"/>
    <x v="45"/>
    <x v="10"/>
    <n v="31248"/>
    <n v="22117"/>
  </r>
  <r>
    <s v="ORD02760"/>
    <d v="2025-11-28T00:00:00"/>
    <x v="2"/>
    <x v="11"/>
    <x v="4"/>
    <s v="USA"/>
    <x v="42"/>
    <x v="12"/>
    <n v="24453"/>
    <n v="18121"/>
  </r>
  <r>
    <s v="ORD02761"/>
    <d v="2025-01-29T00:00:00"/>
    <x v="1"/>
    <x v="3"/>
    <x v="2"/>
    <s v="Singapore"/>
    <x v="2"/>
    <x v="0"/>
    <n v="19657"/>
    <n v="14235"/>
  </r>
  <r>
    <s v="ORD02762"/>
    <d v="2025-12-26T00:00:00"/>
    <x v="10"/>
    <x v="42"/>
    <x v="3"/>
    <s v="Spain"/>
    <x v="34"/>
    <x v="7"/>
    <n v="24381"/>
    <n v="22394"/>
  </r>
  <r>
    <s v="ORD02763"/>
    <d v="2025-09-14T00:00:00"/>
    <x v="3"/>
    <x v="31"/>
    <x v="3"/>
    <s v="Russia"/>
    <x v="45"/>
    <x v="7"/>
    <n v="22268"/>
    <n v="18191"/>
  </r>
  <r>
    <s v="ORD02764"/>
    <d v="2025-06-18T00:00:00"/>
    <x v="5"/>
    <x v="13"/>
    <x v="6"/>
    <s v="Australia"/>
    <x v="39"/>
    <x v="2"/>
    <n v="36076"/>
    <n v="26962"/>
  </r>
  <r>
    <s v="ORD02765"/>
    <d v="2025-02-02T00:00:00"/>
    <x v="6"/>
    <x v="3"/>
    <x v="2"/>
    <s v="Malaysia"/>
    <x v="17"/>
    <x v="7"/>
    <n v="22153"/>
    <n v="27905"/>
  </r>
  <r>
    <s v="ORD02766"/>
    <d v="2025-03-11T00:00:00"/>
    <x v="9"/>
    <x v="19"/>
    <x v="4"/>
    <s v="South Africa"/>
    <x v="19"/>
    <x v="22"/>
    <n v="39068"/>
    <n v="46027"/>
  </r>
  <r>
    <s v="ORD02767"/>
    <d v="2025-01-27T00:00:00"/>
    <x v="1"/>
    <x v="3"/>
    <x v="2"/>
    <s v="UAE"/>
    <x v="13"/>
    <x v="14"/>
    <n v="28166"/>
    <n v="23784"/>
  </r>
  <r>
    <s v="ORD02768"/>
    <d v="2025-05-09T00:00:00"/>
    <x v="8"/>
    <x v="18"/>
    <x v="2"/>
    <s v="UAE"/>
    <x v="10"/>
    <x v="21"/>
    <n v="26957"/>
    <n v="25483"/>
  </r>
  <r>
    <s v="ORD02769"/>
    <d v="2025-04-24T00:00:00"/>
    <x v="7"/>
    <x v="38"/>
    <x v="0"/>
    <s v="UK"/>
    <x v="6"/>
    <x v="15"/>
    <n v="36822"/>
    <n v="44799"/>
  </r>
  <r>
    <s v="ORD02770"/>
    <d v="2025-01-21T00:00:00"/>
    <x v="1"/>
    <x v="7"/>
    <x v="0"/>
    <s v="Canada"/>
    <x v="29"/>
    <x v="16"/>
    <n v="27023"/>
    <n v="19155"/>
  </r>
  <r>
    <s v="ORD02771"/>
    <d v="2025-08-31T00:00:00"/>
    <x v="11"/>
    <x v="28"/>
    <x v="2"/>
    <s v="Japan"/>
    <x v="29"/>
    <x v="10"/>
    <n v="38629"/>
    <n v="47434"/>
  </r>
  <r>
    <s v="ORD02772"/>
    <d v="2025-06-27T00:00:00"/>
    <x v="5"/>
    <x v="36"/>
    <x v="0"/>
    <s v="Brazil"/>
    <x v="33"/>
    <x v="12"/>
    <n v="28600"/>
    <n v="25396"/>
  </r>
  <r>
    <s v="ORD02773"/>
    <d v="2025-05-18T00:00:00"/>
    <x v="8"/>
    <x v="17"/>
    <x v="3"/>
    <s v="Russia"/>
    <x v="28"/>
    <x v="8"/>
    <n v="21558"/>
    <n v="18652"/>
  </r>
  <r>
    <s v="ORD02774"/>
    <d v="2025-12-22T00:00:00"/>
    <x v="10"/>
    <x v="42"/>
    <x v="2"/>
    <s v="India"/>
    <x v="18"/>
    <x v="14"/>
    <n v="28240"/>
    <n v="30825"/>
  </r>
  <r>
    <s v="ORD02775"/>
    <d v="2025-07-01T00:00:00"/>
    <x v="0"/>
    <x v="37"/>
    <x v="2"/>
    <s v="China"/>
    <x v="48"/>
    <x v="19"/>
    <n v="30805"/>
    <n v="30853"/>
  </r>
  <r>
    <s v="ORD02776"/>
    <d v="2025-08-17T00:00:00"/>
    <x v="11"/>
    <x v="30"/>
    <x v="2"/>
    <s v="Spain"/>
    <x v="6"/>
    <x v="25"/>
    <n v="32979"/>
    <n v="27171"/>
  </r>
  <r>
    <s v="ORD02777"/>
    <d v="2025-02-13T00:00:00"/>
    <x v="6"/>
    <x v="29"/>
    <x v="5"/>
    <s v="UAE"/>
    <x v="9"/>
    <x v="29"/>
    <n v="36680"/>
    <n v="42214"/>
  </r>
  <r>
    <s v="ORD02778"/>
    <d v="2025-01-11T00:00:00"/>
    <x v="1"/>
    <x v="6"/>
    <x v="1"/>
    <s v="Spain"/>
    <x v="7"/>
    <x v="16"/>
    <n v="28862"/>
    <n v="22679"/>
  </r>
  <r>
    <s v="ORD02779"/>
    <d v="2025-06-20T00:00:00"/>
    <x v="5"/>
    <x v="13"/>
    <x v="0"/>
    <s v="France"/>
    <x v="11"/>
    <x v="26"/>
    <n v="39021"/>
    <n v="43037"/>
  </r>
  <r>
    <s v="ORD02780"/>
    <d v="2025-06-28T00:00:00"/>
    <x v="5"/>
    <x v="36"/>
    <x v="4"/>
    <s v="Malaysia"/>
    <x v="35"/>
    <x v="5"/>
    <n v="17338"/>
    <n v="15659"/>
  </r>
  <r>
    <s v="ORD02781"/>
    <d v="2025-02-03T00:00:00"/>
    <x v="6"/>
    <x v="48"/>
    <x v="0"/>
    <s v="France"/>
    <x v="31"/>
    <x v="14"/>
    <n v="16541"/>
    <n v="19328"/>
  </r>
  <r>
    <s v="ORD02782"/>
    <d v="2025-06-06T00:00:00"/>
    <x v="5"/>
    <x v="41"/>
    <x v="1"/>
    <s v="Singapore"/>
    <x v="16"/>
    <x v="24"/>
    <n v="24318"/>
    <n v="27299"/>
  </r>
  <r>
    <s v="ORD02783"/>
    <d v="2025-06-21T00:00:00"/>
    <x v="5"/>
    <x v="13"/>
    <x v="4"/>
    <s v="Singapore"/>
    <x v="31"/>
    <x v="19"/>
    <n v="21590"/>
    <n v="17232"/>
  </r>
  <r>
    <s v="ORD02784"/>
    <d v="2025-01-08T00:00:00"/>
    <x v="1"/>
    <x v="6"/>
    <x v="0"/>
    <s v="Mexico"/>
    <x v="32"/>
    <x v="1"/>
    <n v="32708"/>
    <n v="32887"/>
  </r>
  <r>
    <s v="ORD02785"/>
    <d v="2025-01-01T00:00:00"/>
    <x v="1"/>
    <x v="5"/>
    <x v="4"/>
    <s v="France"/>
    <x v="15"/>
    <x v="26"/>
    <n v="37658"/>
    <n v="35045"/>
  </r>
  <r>
    <s v="ORD02786"/>
    <d v="2025-09-24T00:00:00"/>
    <x v="3"/>
    <x v="25"/>
    <x v="6"/>
    <s v="France"/>
    <x v="11"/>
    <x v="0"/>
    <n v="35177"/>
    <n v="42523"/>
  </r>
  <r>
    <s v="ORD02787"/>
    <d v="2025-10-08T00:00:00"/>
    <x v="4"/>
    <x v="45"/>
    <x v="3"/>
    <s v="Spain"/>
    <x v="10"/>
    <x v="1"/>
    <n v="31469"/>
    <n v="22697"/>
  </r>
  <r>
    <s v="ORD02788"/>
    <d v="2025-08-10T00:00:00"/>
    <x v="11"/>
    <x v="23"/>
    <x v="5"/>
    <s v="Mexico"/>
    <x v="15"/>
    <x v="4"/>
    <n v="32408"/>
    <n v="37121"/>
  </r>
  <r>
    <s v="ORD02789"/>
    <d v="2025-04-24T00:00:00"/>
    <x v="7"/>
    <x v="38"/>
    <x v="1"/>
    <s v="Brazil"/>
    <x v="18"/>
    <x v="22"/>
    <n v="32101"/>
    <n v="26367"/>
  </r>
  <r>
    <s v="ORD02790"/>
    <d v="2025-11-27T00:00:00"/>
    <x v="2"/>
    <x v="11"/>
    <x v="5"/>
    <s v="Japan"/>
    <x v="24"/>
    <x v="21"/>
    <n v="23427"/>
    <n v="27635"/>
  </r>
  <r>
    <s v="ORD02791"/>
    <d v="2025-09-20T00:00:00"/>
    <x v="3"/>
    <x v="8"/>
    <x v="4"/>
    <s v="Canada"/>
    <x v="16"/>
    <x v="13"/>
    <n v="36261"/>
    <n v="33106"/>
  </r>
  <r>
    <s v="ORD02792"/>
    <d v="2025-06-28T00:00:00"/>
    <x v="5"/>
    <x v="36"/>
    <x v="6"/>
    <s v="China"/>
    <x v="31"/>
    <x v="14"/>
    <n v="38989"/>
    <n v="29269"/>
  </r>
  <r>
    <s v="ORD02793"/>
    <d v="2025-10-19T00:00:00"/>
    <x v="4"/>
    <x v="10"/>
    <x v="4"/>
    <s v="UAE"/>
    <x v="36"/>
    <x v="12"/>
    <n v="33915"/>
    <n v="31613"/>
  </r>
  <r>
    <s v="ORD02794"/>
    <d v="2025-12-01T00:00:00"/>
    <x v="10"/>
    <x v="43"/>
    <x v="6"/>
    <s v="Germany"/>
    <x v="46"/>
    <x v="29"/>
    <n v="33367"/>
    <n v="35831"/>
  </r>
  <r>
    <s v="ORD02795"/>
    <d v="2025-07-09T00:00:00"/>
    <x v="0"/>
    <x v="47"/>
    <x v="6"/>
    <s v="UAE"/>
    <x v="19"/>
    <x v="6"/>
    <n v="27999"/>
    <n v="34373"/>
  </r>
  <r>
    <s v="ORD02796"/>
    <d v="2025-03-03T00:00:00"/>
    <x v="9"/>
    <x v="35"/>
    <x v="5"/>
    <s v="Malaysia"/>
    <x v="33"/>
    <x v="1"/>
    <n v="26316"/>
    <n v="24429"/>
  </r>
  <r>
    <s v="ORD02797"/>
    <d v="2025-02-23T00:00:00"/>
    <x v="6"/>
    <x v="15"/>
    <x v="0"/>
    <s v="UAE"/>
    <x v="35"/>
    <x v="17"/>
    <n v="37109"/>
    <n v="31447"/>
  </r>
  <r>
    <s v="ORD02798"/>
    <d v="2025-06-16T00:00:00"/>
    <x v="5"/>
    <x v="13"/>
    <x v="0"/>
    <s v="Italy"/>
    <x v="43"/>
    <x v="27"/>
    <n v="26115"/>
    <n v="24943"/>
  </r>
  <r>
    <s v="ORD02799"/>
    <d v="2025-08-04T00:00:00"/>
    <x v="11"/>
    <x v="23"/>
    <x v="4"/>
    <s v="Spain"/>
    <x v="39"/>
    <x v="3"/>
    <n v="21727"/>
    <n v="18575"/>
  </r>
  <r>
    <s v="ORD02800"/>
    <d v="2025-07-24T00:00:00"/>
    <x v="0"/>
    <x v="0"/>
    <x v="2"/>
    <s v="France"/>
    <x v="40"/>
    <x v="12"/>
    <n v="36756"/>
    <n v="37388"/>
  </r>
  <r>
    <s v="ORD02801"/>
    <d v="2025-04-15T00:00:00"/>
    <x v="7"/>
    <x v="20"/>
    <x v="5"/>
    <s v="France"/>
    <x v="19"/>
    <x v="18"/>
    <n v="38497"/>
    <n v="46312"/>
  </r>
  <r>
    <s v="ORD02802"/>
    <d v="2025-06-18T00:00:00"/>
    <x v="5"/>
    <x v="13"/>
    <x v="5"/>
    <s v="Canada"/>
    <x v="37"/>
    <x v="25"/>
    <n v="34384"/>
    <n v="27397"/>
  </r>
  <r>
    <s v="ORD02803"/>
    <d v="2025-10-17T00:00:00"/>
    <x v="4"/>
    <x v="10"/>
    <x v="5"/>
    <s v="Russia"/>
    <x v="47"/>
    <x v="23"/>
    <n v="30547"/>
    <n v="33490"/>
  </r>
  <r>
    <s v="ORD02804"/>
    <d v="2025-09-04T00:00:00"/>
    <x v="3"/>
    <x v="4"/>
    <x v="3"/>
    <s v="Australia"/>
    <x v="32"/>
    <x v="6"/>
    <n v="23551"/>
    <n v="19257"/>
  </r>
  <r>
    <s v="ORD02805"/>
    <d v="2025-09-23T00:00:00"/>
    <x v="3"/>
    <x v="25"/>
    <x v="4"/>
    <s v="Japan"/>
    <x v="4"/>
    <x v="25"/>
    <n v="30046"/>
    <n v="22143"/>
  </r>
  <r>
    <s v="ORD02806"/>
    <d v="2025-08-26T00:00:00"/>
    <x v="11"/>
    <x v="28"/>
    <x v="5"/>
    <s v="India"/>
    <x v="4"/>
    <x v="9"/>
    <n v="23999"/>
    <n v="20661"/>
  </r>
  <r>
    <s v="ORD02807"/>
    <d v="2025-06-20T00:00:00"/>
    <x v="5"/>
    <x v="13"/>
    <x v="1"/>
    <s v="Canada"/>
    <x v="12"/>
    <x v="0"/>
    <n v="24784"/>
    <n v="23146"/>
  </r>
  <r>
    <s v="ORD02808"/>
    <d v="2025-03-11T00:00:00"/>
    <x v="9"/>
    <x v="19"/>
    <x v="3"/>
    <s v="France"/>
    <x v="12"/>
    <x v="12"/>
    <n v="28204"/>
    <n v="23641"/>
  </r>
  <r>
    <s v="ORD02809"/>
    <d v="2025-02-14T00:00:00"/>
    <x v="6"/>
    <x v="29"/>
    <x v="5"/>
    <s v="USA"/>
    <x v="0"/>
    <x v="17"/>
    <n v="19742"/>
    <n v="18693"/>
  </r>
  <r>
    <s v="ORD02810"/>
    <d v="2025-07-29T00:00:00"/>
    <x v="0"/>
    <x v="12"/>
    <x v="0"/>
    <s v="France"/>
    <x v="24"/>
    <x v="2"/>
    <n v="29881"/>
    <n v="28794"/>
  </r>
  <r>
    <s v="ORD02811"/>
    <d v="2025-09-11T00:00:00"/>
    <x v="3"/>
    <x v="31"/>
    <x v="5"/>
    <s v="Australia"/>
    <x v="34"/>
    <x v="5"/>
    <n v="26271"/>
    <n v="26114"/>
  </r>
  <r>
    <s v="ORD02812"/>
    <d v="2025-07-30T00:00:00"/>
    <x v="0"/>
    <x v="12"/>
    <x v="1"/>
    <s v="Japan"/>
    <x v="26"/>
    <x v="3"/>
    <n v="34134"/>
    <n v="27742"/>
  </r>
  <r>
    <s v="ORD02813"/>
    <d v="2025-10-26T00:00:00"/>
    <x v="4"/>
    <x v="50"/>
    <x v="3"/>
    <s v="Spain"/>
    <x v="23"/>
    <x v="9"/>
    <n v="31118"/>
    <n v="40057"/>
  </r>
  <r>
    <s v="ORD02814"/>
    <d v="2025-08-28T00:00:00"/>
    <x v="11"/>
    <x v="28"/>
    <x v="2"/>
    <s v="Turkey"/>
    <x v="33"/>
    <x v="13"/>
    <n v="20569"/>
    <n v="17397"/>
  </r>
  <r>
    <s v="ORD02815"/>
    <d v="2025-07-21T00:00:00"/>
    <x v="0"/>
    <x v="0"/>
    <x v="2"/>
    <s v="Turkey"/>
    <x v="35"/>
    <x v="3"/>
    <n v="19946"/>
    <n v="25744"/>
  </r>
  <r>
    <s v="ORD02816"/>
    <d v="2025-10-19T00:00:00"/>
    <x v="4"/>
    <x v="10"/>
    <x v="3"/>
    <s v="South Africa"/>
    <x v="32"/>
    <x v="22"/>
    <n v="22217"/>
    <n v="22916"/>
  </r>
  <r>
    <s v="ORD02817"/>
    <d v="2025-10-12T00:00:00"/>
    <x v="4"/>
    <x v="45"/>
    <x v="3"/>
    <s v="Malaysia"/>
    <x v="26"/>
    <x v="3"/>
    <n v="16566"/>
    <n v="13064"/>
  </r>
  <r>
    <s v="ORD02818"/>
    <d v="2025-07-07T00:00:00"/>
    <x v="0"/>
    <x v="47"/>
    <x v="4"/>
    <s v="Malaysia"/>
    <x v="12"/>
    <x v="4"/>
    <n v="24374"/>
    <n v="26130"/>
  </r>
  <r>
    <s v="ORD02819"/>
    <d v="2025-06-05T00:00:00"/>
    <x v="5"/>
    <x v="41"/>
    <x v="2"/>
    <s v="Canada"/>
    <x v="15"/>
    <x v="29"/>
    <n v="33545"/>
    <n v="24438"/>
  </r>
  <r>
    <s v="ORD02820"/>
    <d v="2025-11-29T00:00:00"/>
    <x v="2"/>
    <x v="11"/>
    <x v="1"/>
    <s v="Italy"/>
    <x v="16"/>
    <x v="24"/>
    <n v="30887"/>
    <n v="30632"/>
  </r>
  <r>
    <s v="ORD02821"/>
    <d v="2025-12-02T00:00:00"/>
    <x v="10"/>
    <x v="43"/>
    <x v="4"/>
    <s v="Australia"/>
    <x v="14"/>
    <x v="10"/>
    <n v="19358"/>
    <n v="18130"/>
  </r>
  <r>
    <s v="ORD02822"/>
    <d v="2025-10-23T00:00:00"/>
    <x v="4"/>
    <x v="50"/>
    <x v="2"/>
    <s v="Thailand"/>
    <x v="35"/>
    <x v="16"/>
    <n v="32352"/>
    <n v="30412"/>
  </r>
  <r>
    <s v="ORD02823"/>
    <d v="2025-09-02T00:00:00"/>
    <x v="3"/>
    <x v="4"/>
    <x v="0"/>
    <s v="India"/>
    <x v="3"/>
    <x v="22"/>
    <n v="17880"/>
    <n v="15180"/>
  </r>
  <r>
    <s v="ORD02824"/>
    <d v="2025-03-02T00:00:00"/>
    <x v="9"/>
    <x v="22"/>
    <x v="4"/>
    <s v="Italy"/>
    <x v="48"/>
    <x v="11"/>
    <n v="27247"/>
    <n v="24590"/>
  </r>
  <r>
    <s v="ORD02825"/>
    <d v="2025-03-14T00:00:00"/>
    <x v="9"/>
    <x v="19"/>
    <x v="3"/>
    <s v="Italy"/>
    <x v="20"/>
    <x v="25"/>
    <n v="25917"/>
    <n v="24403"/>
  </r>
  <r>
    <s v="ORD02826"/>
    <d v="2025-09-23T00:00:00"/>
    <x v="3"/>
    <x v="25"/>
    <x v="0"/>
    <s v="Brazil"/>
    <x v="47"/>
    <x v="29"/>
    <n v="23550"/>
    <n v="27800"/>
  </r>
  <r>
    <s v="ORD02827"/>
    <d v="2025-12-10T00:00:00"/>
    <x v="10"/>
    <x v="32"/>
    <x v="6"/>
    <s v="Mexico"/>
    <x v="5"/>
    <x v="12"/>
    <n v="17937"/>
    <n v="16662"/>
  </r>
  <r>
    <s v="ORD02828"/>
    <d v="2025-03-29T00:00:00"/>
    <x v="9"/>
    <x v="33"/>
    <x v="1"/>
    <s v="USA"/>
    <x v="7"/>
    <x v="15"/>
    <n v="28470"/>
    <n v="24345"/>
  </r>
  <r>
    <s v="ORD02829"/>
    <d v="2025-03-03T00:00:00"/>
    <x v="9"/>
    <x v="35"/>
    <x v="2"/>
    <s v="UAE"/>
    <x v="18"/>
    <x v="20"/>
    <n v="21679"/>
    <n v="23259"/>
  </r>
  <r>
    <s v="ORD02830"/>
    <d v="2025-11-26T00:00:00"/>
    <x v="2"/>
    <x v="11"/>
    <x v="4"/>
    <s v="China"/>
    <x v="3"/>
    <x v="26"/>
    <n v="35215"/>
    <n v="38524"/>
  </r>
  <r>
    <s v="ORD02831"/>
    <d v="2025-04-01T00:00:00"/>
    <x v="7"/>
    <x v="34"/>
    <x v="5"/>
    <s v="Russia"/>
    <x v="21"/>
    <x v="19"/>
    <n v="16936"/>
    <n v="16098"/>
  </r>
  <r>
    <s v="ORD02832"/>
    <d v="2025-09-04T00:00:00"/>
    <x v="3"/>
    <x v="4"/>
    <x v="4"/>
    <s v="UAE"/>
    <x v="2"/>
    <x v="8"/>
    <n v="29745"/>
    <n v="33602"/>
  </r>
  <r>
    <s v="ORD02833"/>
    <d v="2025-09-27T00:00:00"/>
    <x v="3"/>
    <x v="25"/>
    <x v="6"/>
    <s v="Mexico"/>
    <x v="16"/>
    <x v="7"/>
    <n v="39098"/>
    <n v="33593"/>
  </r>
  <r>
    <s v="ORD02834"/>
    <d v="2025-11-07T00:00:00"/>
    <x v="2"/>
    <x v="51"/>
    <x v="0"/>
    <s v="UAE"/>
    <x v="19"/>
    <x v="2"/>
    <n v="30292"/>
    <n v="25385"/>
  </r>
  <r>
    <s v="ORD02835"/>
    <d v="2025-03-31T00:00:00"/>
    <x v="9"/>
    <x v="34"/>
    <x v="0"/>
    <s v="USA"/>
    <x v="41"/>
    <x v="18"/>
    <n v="32958"/>
    <n v="27602"/>
  </r>
  <r>
    <s v="ORD02836"/>
    <d v="2025-06-14T00:00:00"/>
    <x v="5"/>
    <x v="40"/>
    <x v="0"/>
    <s v="China"/>
    <x v="16"/>
    <x v="5"/>
    <n v="28753"/>
    <n v="23152"/>
  </r>
  <r>
    <s v="ORD02837"/>
    <d v="2025-10-10T00:00:00"/>
    <x v="4"/>
    <x v="45"/>
    <x v="1"/>
    <s v="Japan"/>
    <x v="36"/>
    <x v="3"/>
    <n v="30141"/>
    <n v="24299"/>
  </r>
  <r>
    <s v="ORD02838"/>
    <d v="2025-05-05T00:00:00"/>
    <x v="8"/>
    <x v="18"/>
    <x v="6"/>
    <s v="Canada"/>
    <x v="46"/>
    <x v="29"/>
    <n v="26126"/>
    <n v="23309"/>
  </r>
  <r>
    <s v="ORD02839"/>
    <d v="2025-10-25T00:00:00"/>
    <x v="4"/>
    <x v="50"/>
    <x v="5"/>
    <s v="Canada"/>
    <x v="44"/>
    <x v="20"/>
    <n v="36118"/>
    <n v="46776"/>
  </r>
  <r>
    <s v="ORD02840"/>
    <d v="2025-04-12T00:00:00"/>
    <x v="7"/>
    <x v="16"/>
    <x v="2"/>
    <s v="China"/>
    <x v="8"/>
    <x v="9"/>
    <n v="20158"/>
    <n v="17727"/>
  </r>
  <r>
    <s v="ORD02841"/>
    <d v="2025-04-20T00:00:00"/>
    <x v="7"/>
    <x v="20"/>
    <x v="6"/>
    <s v="Spain"/>
    <x v="36"/>
    <x v="11"/>
    <n v="31239"/>
    <n v="26573"/>
  </r>
  <r>
    <s v="ORD02842"/>
    <d v="2025-10-21T00:00:00"/>
    <x v="4"/>
    <x v="50"/>
    <x v="4"/>
    <s v="Japan"/>
    <x v="1"/>
    <x v="10"/>
    <n v="27044"/>
    <n v="30933"/>
  </r>
  <r>
    <s v="ORD02843"/>
    <d v="2025-01-21T00:00:00"/>
    <x v="1"/>
    <x v="7"/>
    <x v="2"/>
    <s v="South Africa"/>
    <x v="14"/>
    <x v="12"/>
    <n v="20897"/>
    <n v="22786"/>
  </r>
  <r>
    <s v="ORD02844"/>
    <d v="2025-11-27T00:00:00"/>
    <x v="2"/>
    <x v="11"/>
    <x v="5"/>
    <s v="Singapore"/>
    <x v="7"/>
    <x v="7"/>
    <n v="22871"/>
    <n v="22492"/>
  </r>
  <r>
    <s v="ORD02845"/>
    <d v="2025-07-20T00:00:00"/>
    <x v="0"/>
    <x v="14"/>
    <x v="6"/>
    <s v="Russia"/>
    <x v="8"/>
    <x v="12"/>
    <n v="22678"/>
    <n v="21526"/>
  </r>
  <r>
    <s v="ORD02846"/>
    <d v="2025-03-05T00:00:00"/>
    <x v="9"/>
    <x v="35"/>
    <x v="3"/>
    <s v="Japan"/>
    <x v="24"/>
    <x v="7"/>
    <n v="36876"/>
    <n v="42219"/>
  </r>
  <r>
    <s v="ORD02847"/>
    <d v="2025-04-11T00:00:00"/>
    <x v="7"/>
    <x v="16"/>
    <x v="1"/>
    <s v="Mexico"/>
    <x v="36"/>
    <x v="28"/>
    <n v="22953"/>
    <n v="28600"/>
  </r>
  <r>
    <s v="ORD02848"/>
    <d v="2025-10-09T00:00:00"/>
    <x v="4"/>
    <x v="45"/>
    <x v="3"/>
    <s v="Germany"/>
    <x v="28"/>
    <x v="13"/>
    <n v="32970"/>
    <n v="34662"/>
  </r>
  <r>
    <s v="ORD02849"/>
    <d v="2025-04-12T00:00:00"/>
    <x v="7"/>
    <x v="16"/>
    <x v="1"/>
    <s v="UAE"/>
    <x v="0"/>
    <x v="26"/>
    <n v="21544"/>
    <n v="23467"/>
  </r>
  <r>
    <s v="ORD02850"/>
    <d v="2025-09-26T00:00:00"/>
    <x v="3"/>
    <x v="25"/>
    <x v="0"/>
    <s v="South Africa"/>
    <x v="1"/>
    <x v="17"/>
    <n v="32660"/>
    <n v="38037"/>
  </r>
  <r>
    <s v="ORD02851"/>
    <d v="2025-08-27T00:00:00"/>
    <x v="11"/>
    <x v="28"/>
    <x v="1"/>
    <s v="Singapore"/>
    <x v="7"/>
    <x v="6"/>
    <n v="16149"/>
    <n v="18884"/>
  </r>
  <r>
    <s v="ORD02852"/>
    <d v="2025-06-04T00:00:00"/>
    <x v="5"/>
    <x v="41"/>
    <x v="5"/>
    <s v="Japan"/>
    <x v="28"/>
    <x v="22"/>
    <n v="15140"/>
    <n v="13616"/>
  </r>
  <r>
    <s v="ORD02853"/>
    <d v="2025-06-03T00:00:00"/>
    <x v="5"/>
    <x v="41"/>
    <x v="2"/>
    <s v="USA"/>
    <x v="48"/>
    <x v="6"/>
    <n v="18484"/>
    <n v="15667"/>
  </r>
  <r>
    <s v="ORD02854"/>
    <d v="2025-04-05T00:00:00"/>
    <x v="7"/>
    <x v="34"/>
    <x v="4"/>
    <s v="UAE"/>
    <x v="8"/>
    <x v="14"/>
    <n v="26872"/>
    <n v="18915"/>
  </r>
  <r>
    <s v="ORD02855"/>
    <d v="2025-09-15T00:00:00"/>
    <x v="3"/>
    <x v="8"/>
    <x v="0"/>
    <s v="Canada"/>
    <x v="19"/>
    <x v="19"/>
    <n v="19292"/>
    <n v="24518"/>
  </r>
  <r>
    <s v="ORD02856"/>
    <d v="2025-10-14T00:00:00"/>
    <x v="4"/>
    <x v="10"/>
    <x v="6"/>
    <s v="Italy"/>
    <x v="8"/>
    <x v="9"/>
    <n v="17257"/>
    <n v="12350"/>
  </r>
  <r>
    <s v="ORD02857"/>
    <d v="2025-03-17T00:00:00"/>
    <x v="9"/>
    <x v="39"/>
    <x v="4"/>
    <s v="Brazil"/>
    <x v="22"/>
    <x v="22"/>
    <n v="26235"/>
    <n v="28162"/>
  </r>
  <r>
    <s v="ORD02858"/>
    <d v="2025-01-05T00:00:00"/>
    <x v="1"/>
    <x v="5"/>
    <x v="1"/>
    <s v="India"/>
    <x v="43"/>
    <x v="7"/>
    <n v="21737"/>
    <n v="16541"/>
  </r>
  <r>
    <s v="ORD02859"/>
    <d v="2025-11-08T00:00:00"/>
    <x v="2"/>
    <x v="51"/>
    <x v="6"/>
    <s v="South Africa"/>
    <x v="5"/>
    <x v="29"/>
    <n v="20784"/>
    <n v="17725"/>
  </r>
  <r>
    <s v="ORD02860"/>
    <d v="2025-09-18T00:00:00"/>
    <x v="3"/>
    <x v="8"/>
    <x v="4"/>
    <s v="Singapore"/>
    <x v="36"/>
    <x v="8"/>
    <n v="39421"/>
    <n v="49120"/>
  </r>
  <r>
    <s v="ORD02861"/>
    <d v="2025-11-10T00:00:00"/>
    <x v="2"/>
    <x v="44"/>
    <x v="2"/>
    <s v="Australia"/>
    <x v="34"/>
    <x v="21"/>
    <n v="30210"/>
    <n v="21228"/>
  </r>
  <r>
    <s v="ORD02862"/>
    <d v="2025-04-28T00:00:00"/>
    <x v="7"/>
    <x v="27"/>
    <x v="2"/>
    <s v="Brazil"/>
    <x v="12"/>
    <x v="12"/>
    <n v="26478"/>
    <n v="30471"/>
  </r>
  <r>
    <s v="ORD02863"/>
    <d v="2025-09-09T00:00:00"/>
    <x v="3"/>
    <x v="31"/>
    <x v="2"/>
    <s v="India"/>
    <x v="10"/>
    <x v="0"/>
    <n v="36234"/>
    <n v="45444"/>
  </r>
  <r>
    <s v="ORD02864"/>
    <d v="2025-01-26T00:00:00"/>
    <x v="1"/>
    <x v="7"/>
    <x v="0"/>
    <s v="Malaysia"/>
    <x v="1"/>
    <x v="19"/>
    <n v="16976"/>
    <n v="15720"/>
  </r>
  <r>
    <s v="ORD02865"/>
    <d v="2025-02-06T00:00:00"/>
    <x v="6"/>
    <x v="48"/>
    <x v="1"/>
    <s v="Australia"/>
    <x v="19"/>
    <x v="18"/>
    <n v="29893"/>
    <n v="28278"/>
  </r>
  <r>
    <s v="ORD02866"/>
    <d v="2025-05-04T00:00:00"/>
    <x v="8"/>
    <x v="27"/>
    <x v="3"/>
    <s v="Australia"/>
    <x v="36"/>
    <x v="6"/>
    <n v="27731"/>
    <n v="25937"/>
  </r>
  <r>
    <s v="ORD02867"/>
    <d v="2025-03-05T00:00:00"/>
    <x v="9"/>
    <x v="35"/>
    <x v="6"/>
    <s v="UAE"/>
    <x v="47"/>
    <x v="17"/>
    <n v="38286"/>
    <n v="32346"/>
  </r>
  <r>
    <s v="ORD02868"/>
    <d v="2025-05-14T00:00:00"/>
    <x v="8"/>
    <x v="17"/>
    <x v="0"/>
    <s v="Germany"/>
    <x v="17"/>
    <x v="20"/>
    <n v="16234"/>
    <n v="11840"/>
  </r>
  <r>
    <s v="ORD02869"/>
    <d v="2025-09-15T00:00:00"/>
    <x v="3"/>
    <x v="8"/>
    <x v="5"/>
    <s v="India"/>
    <x v="46"/>
    <x v="6"/>
    <n v="36294"/>
    <n v="32094"/>
  </r>
  <r>
    <s v="ORD02870"/>
    <d v="2025-06-18T00:00:00"/>
    <x v="5"/>
    <x v="13"/>
    <x v="4"/>
    <s v="Mexico"/>
    <x v="16"/>
    <x v="17"/>
    <n v="36683"/>
    <n v="39228"/>
  </r>
  <r>
    <s v="ORD02871"/>
    <d v="2025-10-16T00:00:00"/>
    <x v="4"/>
    <x v="10"/>
    <x v="4"/>
    <s v="Germany"/>
    <x v="14"/>
    <x v="1"/>
    <n v="22234"/>
    <n v="18848"/>
  </r>
  <r>
    <s v="ORD02872"/>
    <d v="2025-02-23T00:00:00"/>
    <x v="6"/>
    <x v="15"/>
    <x v="2"/>
    <s v="Italy"/>
    <x v="44"/>
    <x v="19"/>
    <n v="29852"/>
    <n v="37982"/>
  </r>
  <r>
    <s v="ORD02873"/>
    <d v="2025-12-20T00:00:00"/>
    <x v="10"/>
    <x v="21"/>
    <x v="2"/>
    <s v="Australia"/>
    <x v="16"/>
    <x v="6"/>
    <n v="39499"/>
    <n v="40074"/>
  </r>
  <r>
    <s v="ORD02874"/>
    <d v="2025-01-11T00:00:00"/>
    <x v="1"/>
    <x v="6"/>
    <x v="2"/>
    <s v="UAE"/>
    <x v="49"/>
    <x v="8"/>
    <n v="27688"/>
    <n v="29551"/>
  </r>
  <r>
    <s v="ORD02875"/>
    <d v="2025-06-03T00:00:00"/>
    <x v="5"/>
    <x v="41"/>
    <x v="4"/>
    <s v="France"/>
    <x v="8"/>
    <x v="20"/>
    <n v="39144"/>
    <n v="46664"/>
  </r>
  <r>
    <s v="ORD02876"/>
    <d v="2025-10-10T00:00:00"/>
    <x v="4"/>
    <x v="45"/>
    <x v="6"/>
    <s v="Canada"/>
    <x v="27"/>
    <x v="2"/>
    <n v="26959"/>
    <n v="21628"/>
  </r>
  <r>
    <s v="ORD02877"/>
    <d v="2025-04-24T00:00:00"/>
    <x v="7"/>
    <x v="38"/>
    <x v="4"/>
    <s v="India"/>
    <x v="9"/>
    <x v="17"/>
    <n v="30891"/>
    <n v="29198"/>
  </r>
  <r>
    <s v="ORD02878"/>
    <d v="2025-03-27T00:00:00"/>
    <x v="9"/>
    <x v="33"/>
    <x v="6"/>
    <s v="UAE"/>
    <x v="21"/>
    <x v="7"/>
    <n v="17329"/>
    <n v="17321"/>
  </r>
  <r>
    <s v="ORD02879"/>
    <d v="2025-05-01T00:00:00"/>
    <x v="8"/>
    <x v="27"/>
    <x v="3"/>
    <s v="Singapore"/>
    <x v="20"/>
    <x v="16"/>
    <n v="24541"/>
    <n v="24462"/>
  </r>
  <r>
    <s v="ORD02880"/>
    <d v="2025-12-09T00:00:00"/>
    <x v="10"/>
    <x v="32"/>
    <x v="5"/>
    <s v="Japan"/>
    <x v="40"/>
    <x v="14"/>
    <n v="33151"/>
    <n v="39505"/>
  </r>
  <r>
    <s v="ORD02881"/>
    <d v="2025-12-16T00:00:00"/>
    <x v="10"/>
    <x v="21"/>
    <x v="3"/>
    <s v="Mexico"/>
    <x v="15"/>
    <x v="24"/>
    <n v="34018"/>
    <n v="38613"/>
  </r>
  <r>
    <s v="ORD02882"/>
    <d v="2025-12-28T00:00:00"/>
    <x v="10"/>
    <x v="42"/>
    <x v="1"/>
    <s v="UK"/>
    <x v="16"/>
    <x v="26"/>
    <n v="35602"/>
    <n v="34144"/>
  </r>
  <r>
    <s v="ORD02883"/>
    <d v="2025-03-01T00:00:00"/>
    <x v="9"/>
    <x v="22"/>
    <x v="4"/>
    <s v="UAE"/>
    <x v="22"/>
    <x v="24"/>
    <n v="39027"/>
    <n v="39036"/>
  </r>
  <r>
    <s v="ORD02884"/>
    <d v="2025-11-17T00:00:00"/>
    <x v="2"/>
    <x v="9"/>
    <x v="6"/>
    <s v="Russia"/>
    <x v="6"/>
    <x v="7"/>
    <n v="19997"/>
    <n v="18567"/>
  </r>
  <r>
    <s v="ORD02885"/>
    <d v="2025-10-09T00:00:00"/>
    <x v="4"/>
    <x v="45"/>
    <x v="5"/>
    <s v="South Africa"/>
    <x v="47"/>
    <x v="24"/>
    <n v="32224"/>
    <n v="30706"/>
  </r>
  <r>
    <s v="ORD02886"/>
    <d v="2025-03-16T00:00:00"/>
    <x v="9"/>
    <x v="19"/>
    <x v="0"/>
    <s v="France"/>
    <x v="9"/>
    <x v="7"/>
    <n v="35096"/>
    <n v="25333"/>
  </r>
  <r>
    <s v="ORD02887"/>
    <d v="2025-12-11T00:00:00"/>
    <x v="10"/>
    <x v="32"/>
    <x v="1"/>
    <s v="Germany"/>
    <x v="3"/>
    <x v="24"/>
    <n v="32976"/>
    <n v="31408"/>
  </r>
  <r>
    <s v="ORD02888"/>
    <d v="2025-11-03T00:00:00"/>
    <x v="2"/>
    <x v="51"/>
    <x v="4"/>
    <s v="Italy"/>
    <x v="25"/>
    <x v="29"/>
    <n v="15067"/>
    <n v="14899"/>
  </r>
  <r>
    <s v="ORD02889"/>
    <d v="2025-09-17T00:00:00"/>
    <x v="3"/>
    <x v="8"/>
    <x v="0"/>
    <s v="Russia"/>
    <x v="45"/>
    <x v="10"/>
    <n v="19640"/>
    <n v="17937"/>
  </r>
  <r>
    <s v="ORD02890"/>
    <d v="2025-07-02T00:00:00"/>
    <x v="0"/>
    <x v="37"/>
    <x v="6"/>
    <s v="Spain"/>
    <x v="0"/>
    <x v="19"/>
    <n v="37665"/>
    <n v="32885"/>
  </r>
  <r>
    <s v="ORD02891"/>
    <d v="2025-03-25T00:00:00"/>
    <x v="9"/>
    <x v="33"/>
    <x v="5"/>
    <s v="Italy"/>
    <x v="22"/>
    <x v="14"/>
    <n v="16249"/>
    <n v="17069"/>
  </r>
  <r>
    <s v="ORD02892"/>
    <d v="2025-12-10T00:00:00"/>
    <x v="10"/>
    <x v="32"/>
    <x v="3"/>
    <s v="Russia"/>
    <x v="20"/>
    <x v="7"/>
    <n v="18731"/>
    <n v="18950"/>
  </r>
  <r>
    <s v="ORD02893"/>
    <d v="2025-10-20T00:00:00"/>
    <x v="4"/>
    <x v="50"/>
    <x v="5"/>
    <s v="Thailand"/>
    <x v="15"/>
    <x v="27"/>
    <n v="24047"/>
    <n v="22555"/>
  </r>
  <r>
    <s v="ORD02894"/>
    <d v="2025-12-20T00:00:00"/>
    <x v="10"/>
    <x v="21"/>
    <x v="6"/>
    <s v="Spain"/>
    <x v="42"/>
    <x v="2"/>
    <n v="30719"/>
    <n v="38458"/>
  </r>
  <r>
    <s v="ORD02895"/>
    <d v="2025-05-27T00:00:00"/>
    <x v="8"/>
    <x v="24"/>
    <x v="5"/>
    <s v="Japan"/>
    <x v="42"/>
    <x v="26"/>
    <n v="31359"/>
    <n v="23367"/>
  </r>
  <r>
    <s v="ORD02896"/>
    <d v="2025-09-22T00:00:00"/>
    <x v="3"/>
    <x v="25"/>
    <x v="2"/>
    <s v="France"/>
    <x v="29"/>
    <x v="9"/>
    <n v="28685"/>
    <n v="26971"/>
  </r>
  <r>
    <s v="ORD02897"/>
    <d v="2025-01-02T00:00:00"/>
    <x v="1"/>
    <x v="5"/>
    <x v="4"/>
    <s v="Mexico"/>
    <x v="40"/>
    <x v="23"/>
    <n v="39757"/>
    <n v="29038"/>
  </r>
  <r>
    <s v="ORD02898"/>
    <d v="2025-04-11T00:00:00"/>
    <x v="7"/>
    <x v="16"/>
    <x v="1"/>
    <s v="Turkey"/>
    <x v="37"/>
    <x v="29"/>
    <n v="20843"/>
    <n v="22912"/>
  </r>
  <r>
    <s v="ORD02899"/>
    <d v="2025-01-26T00:00:00"/>
    <x v="1"/>
    <x v="7"/>
    <x v="1"/>
    <s v="Turkey"/>
    <x v="7"/>
    <x v="26"/>
    <n v="33807"/>
    <n v="39002"/>
  </r>
  <r>
    <s v="ORD02900"/>
    <d v="2025-11-30T00:00:00"/>
    <x v="2"/>
    <x v="11"/>
    <x v="2"/>
    <s v="South Africa"/>
    <x v="11"/>
    <x v="20"/>
    <n v="39536"/>
    <n v="32247"/>
  </r>
  <r>
    <s v="ORD02901"/>
    <d v="2025-06-06T00:00:00"/>
    <x v="5"/>
    <x v="41"/>
    <x v="0"/>
    <s v="Spain"/>
    <x v="16"/>
    <x v="18"/>
    <n v="20514"/>
    <n v="14651"/>
  </r>
  <r>
    <s v="ORD02902"/>
    <d v="2025-03-01T00:00:00"/>
    <x v="9"/>
    <x v="22"/>
    <x v="1"/>
    <s v="UAE"/>
    <x v="14"/>
    <x v="15"/>
    <n v="38313"/>
    <n v="46798"/>
  </r>
  <r>
    <s v="ORD02903"/>
    <d v="2025-02-14T00:00:00"/>
    <x v="6"/>
    <x v="29"/>
    <x v="3"/>
    <s v="UK"/>
    <x v="43"/>
    <x v="20"/>
    <n v="25605"/>
    <n v="26537"/>
  </r>
  <r>
    <s v="ORD02904"/>
    <d v="2025-03-24T00:00:00"/>
    <x v="9"/>
    <x v="33"/>
    <x v="2"/>
    <s v="China"/>
    <x v="48"/>
    <x v="28"/>
    <n v="20995"/>
    <n v="15542"/>
  </r>
  <r>
    <s v="ORD02905"/>
    <d v="2025-02-10T00:00:00"/>
    <x v="6"/>
    <x v="29"/>
    <x v="5"/>
    <s v="Russia"/>
    <x v="25"/>
    <x v="2"/>
    <n v="21603"/>
    <n v="26339"/>
  </r>
  <r>
    <s v="ORD02906"/>
    <d v="2025-03-03T00:00:00"/>
    <x v="9"/>
    <x v="35"/>
    <x v="0"/>
    <s v="India"/>
    <x v="48"/>
    <x v="12"/>
    <n v="26581"/>
    <n v="25443"/>
  </r>
  <r>
    <s v="ORD02907"/>
    <d v="2025-06-08T00:00:00"/>
    <x v="5"/>
    <x v="41"/>
    <x v="2"/>
    <s v="UAE"/>
    <x v="45"/>
    <x v="24"/>
    <n v="37169"/>
    <n v="36954"/>
  </r>
  <r>
    <s v="ORD02908"/>
    <d v="2025-01-13T00:00:00"/>
    <x v="1"/>
    <x v="1"/>
    <x v="2"/>
    <s v="Canada"/>
    <x v="26"/>
    <x v="14"/>
    <n v="21584"/>
    <n v="21567"/>
  </r>
  <r>
    <s v="ORD02909"/>
    <d v="2025-01-20T00:00:00"/>
    <x v="1"/>
    <x v="7"/>
    <x v="2"/>
    <s v="China"/>
    <x v="13"/>
    <x v="1"/>
    <n v="30008"/>
    <n v="36032"/>
  </r>
  <r>
    <s v="ORD02910"/>
    <d v="2025-03-31T00:00:00"/>
    <x v="9"/>
    <x v="34"/>
    <x v="4"/>
    <s v="China"/>
    <x v="3"/>
    <x v="3"/>
    <n v="37966"/>
    <n v="48332"/>
  </r>
  <r>
    <s v="ORD02911"/>
    <d v="2025-06-20T00:00:00"/>
    <x v="5"/>
    <x v="13"/>
    <x v="6"/>
    <s v="Singapore"/>
    <x v="23"/>
    <x v="16"/>
    <n v="26273"/>
    <n v="29684"/>
  </r>
  <r>
    <s v="ORD02912"/>
    <d v="2025-09-25T00:00:00"/>
    <x v="3"/>
    <x v="25"/>
    <x v="1"/>
    <s v="UAE"/>
    <x v="40"/>
    <x v="5"/>
    <n v="22132"/>
    <n v="24102"/>
  </r>
  <r>
    <s v="ORD02913"/>
    <d v="2025-04-17T00:00:00"/>
    <x v="7"/>
    <x v="20"/>
    <x v="5"/>
    <s v="Mexico"/>
    <x v="3"/>
    <x v="17"/>
    <n v="22973"/>
    <n v="22213"/>
  </r>
  <r>
    <s v="ORD02914"/>
    <d v="2025-07-26T00:00:00"/>
    <x v="0"/>
    <x v="0"/>
    <x v="6"/>
    <s v="Mexico"/>
    <x v="22"/>
    <x v="20"/>
    <n v="36896"/>
    <n v="34807"/>
  </r>
  <r>
    <s v="ORD02915"/>
    <d v="2025-07-01T00:00:00"/>
    <x v="0"/>
    <x v="37"/>
    <x v="4"/>
    <s v="South Africa"/>
    <x v="49"/>
    <x v="12"/>
    <n v="30315"/>
    <n v="34422"/>
  </r>
  <r>
    <s v="ORD02916"/>
    <d v="2025-11-12T00:00:00"/>
    <x v="2"/>
    <x v="44"/>
    <x v="4"/>
    <s v="Malaysia"/>
    <x v="34"/>
    <x v="17"/>
    <n v="25410"/>
    <n v="25751"/>
  </r>
  <r>
    <s v="ORD02917"/>
    <d v="2025-12-20T00:00:00"/>
    <x v="10"/>
    <x v="21"/>
    <x v="2"/>
    <s v="India"/>
    <x v="23"/>
    <x v="9"/>
    <n v="29786"/>
    <n v="33078"/>
  </r>
  <r>
    <s v="ORD02918"/>
    <d v="2025-01-18T00:00:00"/>
    <x v="1"/>
    <x v="1"/>
    <x v="3"/>
    <s v="Germany"/>
    <x v="23"/>
    <x v="21"/>
    <n v="21106"/>
    <n v="24950"/>
  </r>
  <r>
    <s v="ORD02919"/>
    <d v="2025-06-30T00:00:00"/>
    <x v="5"/>
    <x v="37"/>
    <x v="4"/>
    <s v="UK"/>
    <x v="37"/>
    <x v="19"/>
    <n v="31657"/>
    <n v="36641"/>
  </r>
  <r>
    <s v="ORD02920"/>
    <d v="2025-01-10T00:00:00"/>
    <x v="1"/>
    <x v="6"/>
    <x v="3"/>
    <s v="Brazil"/>
    <x v="36"/>
    <x v="8"/>
    <n v="35481"/>
    <n v="43590"/>
  </r>
  <r>
    <s v="ORD02921"/>
    <d v="2025-11-07T00:00:00"/>
    <x v="2"/>
    <x v="51"/>
    <x v="0"/>
    <s v="Turkey"/>
    <x v="18"/>
    <x v="27"/>
    <n v="19498"/>
    <n v="23650"/>
  </r>
  <r>
    <s v="ORD02922"/>
    <d v="2025-02-19T00:00:00"/>
    <x v="6"/>
    <x v="15"/>
    <x v="5"/>
    <s v="Turkey"/>
    <x v="33"/>
    <x v="14"/>
    <n v="30824"/>
    <n v="34746"/>
  </r>
  <r>
    <s v="ORD02923"/>
    <d v="2025-05-27T00:00:00"/>
    <x v="8"/>
    <x v="24"/>
    <x v="0"/>
    <s v="Canada"/>
    <x v="46"/>
    <x v="0"/>
    <n v="30788"/>
    <n v="37535"/>
  </r>
  <r>
    <s v="ORD02924"/>
    <d v="2025-11-08T00:00:00"/>
    <x v="2"/>
    <x v="51"/>
    <x v="0"/>
    <s v="UK"/>
    <x v="43"/>
    <x v="11"/>
    <n v="20080"/>
    <n v="24478"/>
  </r>
  <r>
    <s v="ORD02925"/>
    <d v="2025-05-27T00:00:00"/>
    <x v="8"/>
    <x v="24"/>
    <x v="5"/>
    <s v="Germany"/>
    <x v="17"/>
    <x v="25"/>
    <n v="31660"/>
    <n v="39141"/>
  </r>
  <r>
    <s v="ORD02926"/>
    <d v="2025-11-25T00:00:00"/>
    <x v="2"/>
    <x v="11"/>
    <x v="6"/>
    <s v="UAE"/>
    <x v="41"/>
    <x v="13"/>
    <n v="31373"/>
    <n v="24105"/>
  </r>
  <r>
    <s v="ORD02927"/>
    <d v="2025-07-04T00:00:00"/>
    <x v="0"/>
    <x v="37"/>
    <x v="2"/>
    <s v="Turkey"/>
    <x v="15"/>
    <x v="1"/>
    <n v="39334"/>
    <n v="49849"/>
  </r>
  <r>
    <s v="ORD02928"/>
    <d v="2025-07-09T00:00:00"/>
    <x v="0"/>
    <x v="47"/>
    <x v="5"/>
    <s v="India"/>
    <x v="11"/>
    <x v="9"/>
    <n v="33719"/>
    <n v="24760"/>
  </r>
  <r>
    <s v="ORD02929"/>
    <d v="2025-01-10T00:00:00"/>
    <x v="1"/>
    <x v="6"/>
    <x v="4"/>
    <s v="Italy"/>
    <x v="25"/>
    <x v="18"/>
    <n v="31446"/>
    <n v="23197"/>
  </r>
  <r>
    <s v="ORD02930"/>
    <d v="2025-05-12T00:00:00"/>
    <x v="8"/>
    <x v="17"/>
    <x v="1"/>
    <s v="South Africa"/>
    <x v="21"/>
    <x v="28"/>
    <n v="24304"/>
    <n v="29421"/>
  </r>
  <r>
    <s v="ORD02931"/>
    <d v="2025-05-02T00:00:00"/>
    <x v="8"/>
    <x v="27"/>
    <x v="2"/>
    <s v="UK"/>
    <x v="28"/>
    <x v="5"/>
    <n v="30842"/>
    <n v="36983"/>
  </r>
  <r>
    <s v="ORD02932"/>
    <d v="2025-03-01T00:00:00"/>
    <x v="9"/>
    <x v="22"/>
    <x v="3"/>
    <s v="Japan"/>
    <x v="27"/>
    <x v="19"/>
    <n v="38700"/>
    <n v="31047"/>
  </r>
  <r>
    <s v="ORD02933"/>
    <d v="2025-09-01T00:00:00"/>
    <x v="3"/>
    <x v="4"/>
    <x v="4"/>
    <s v="South Africa"/>
    <x v="34"/>
    <x v="21"/>
    <n v="15344"/>
    <n v="19245"/>
  </r>
  <r>
    <s v="ORD02934"/>
    <d v="2025-08-07T00:00:00"/>
    <x v="11"/>
    <x v="23"/>
    <x v="4"/>
    <s v="Spain"/>
    <x v="39"/>
    <x v="8"/>
    <n v="31332"/>
    <n v="23282"/>
  </r>
  <r>
    <s v="ORD02935"/>
    <d v="2025-03-03T00:00:00"/>
    <x v="9"/>
    <x v="35"/>
    <x v="5"/>
    <s v="Canada"/>
    <x v="34"/>
    <x v="28"/>
    <n v="36649"/>
    <n v="37965"/>
  </r>
  <r>
    <s v="ORD02936"/>
    <d v="2025-05-13T00:00:00"/>
    <x v="8"/>
    <x v="17"/>
    <x v="2"/>
    <s v="South Africa"/>
    <x v="23"/>
    <x v="21"/>
    <n v="16604"/>
    <n v="17314"/>
  </r>
  <r>
    <s v="ORD02937"/>
    <d v="2025-08-19T00:00:00"/>
    <x v="11"/>
    <x v="46"/>
    <x v="6"/>
    <s v="Mexico"/>
    <x v="1"/>
    <x v="5"/>
    <n v="16898"/>
    <n v="16229"/>
  </r>
  <r>
    <s v="ORD02938"/>
    <d v="2025-08-27T00:00:00"/>
    <x v="11"/>
    <x v="28"/>
    <x v="2"/>
    <s v="Spain"/>
    <x v="31"/>
    <x v="21"/>
    <n v="16119"/>
    <n v="17291"/>
  </r>
  <r>
    <s v="ORD02939"/>
    <d v="2025-06-12T00:00:00"/>
    <x v="5"/>
    <x v="40"/>
    <x v="2"/>
    <s v="Brazil"/>
    <x v="35"/>
    <x v="20"/>
    <n v="16505"/>
    <n v="20282"/>
  </r>
  <r>
    <s v="ORD02940"/>
    <d v="2025-11-25T00:00:00"/>
    <x v="2"/>
    <x v="11"/>
    <x v="5"/>
    <s v="USA"/>
    <x v="48"/>
    <x v="21"/>
    <n v="36600"/>
    <n v="28054"/>
  </r>
  <r>
    <s v="ORD02941"/>
    <d v="2025-09-30T00:00:00"/>
    <x v="3"/>
    <x v="49"/>
    <x v="0"/>
    <s v="Russia"/>
    <x v="24"/>
    <x v="1"/>
    <n v="26266"/>
    <n v="27974"/>
  </r>
  <r>
    <s v="ORD02942"/>
    <d v="2025-10-22T00:00:00"/>
    <x v="4"/>
    <x v="50"/>
    <x v="2"/>
    <s v="Brazil"/>
    <x v="33"/>
    <x v="15"/>
    <n v="32342"/>
    <n v="37293"/>
  </r>
  <r>
    <s v="ORD02943"/>
    <d v="2025-11-04T00:00:00"/>
    <x v="2"/>
    <x v="51"/>
    <x v="3"/>
    <s v="Thailand"/>
    <x v="10"/>
    <x v="10"/>
    <n v="30011"/>
    <n v="23171"/>
  </r>
  <r>
    <s v="ORD02944"/>
    <d v="2025-12-07T00:00:00"/>
    <x v="10"/>
    <x v="43"/>
    <x v="5"/>
    <s v="Russia"/>
    <x v="31"/>
    <x v="24"/>
    <n v="25941"/>
    <n v="29034"/>
  </r>
  <r>
    <s v="ORD02945"/>
    <d v="2025-03-08T00:00:00"/>
    <x v="9"/>
    <x v="35"/>
    <x v="1"/>
    <s v="USA"/>
    <x v="21"/>
    <x v="14"/>
    <n v="30553"/>
    <n v="25129"/>
  </r>
  <r>
    <s v="ORD02946"/>
    <d v="2025-11-09T00:00:00"/>
    <x v="2"/>
    <x v="51"/>
    <x v="3"/>
    <s v="Italy"/>
    <x v="44"/>
    <x v="25"/>
    <n v="28199"/>
    <n v="19809"/>
  </r>
  <r>
    <s v="ORD02947"/>
    <d v="2025-11-04T00:00:00"/>
    <x v="2"/>
    <x v="51"/>
    <x v="4"/>
    <s v="India"/>
    <x v="39"/>
    <x v="14"/>
    <n v="15933"/>
    <n v="11691"/>
  </r>
  <r>
    <s v="ORD02948"/>
    <d v="2025-02-23T00:00:00"/>
    <x v="6"/>
    <x v="15"/>
    <x v="1"/>
    <s v="Japan"/>
    <x v="42"/>
    <x v="12"/>
    <n v="38988"/>
    <n v="42461"/>
  </r>
  <r>
    <s v="ORD02949"/>
    <d v="2025-11-24T00:00:00"/>
    <x v="2"/>
    <x v="11"/>
    <x v="4"/>
    <s v="Turkey"/>
    <x v="5"/>
    <x v="6"/>
    <n v="16437"/>
    <n v="19587"/>
  </r>
  <r>
    <s v="ORD02950"/>
    <d v="2025-06-27T00:00:00"/>
    <x v="5"/>
    <x v="36"/>
    <x v="0"/>
    <s v="Russia"/>
    <x v="42"/>
    <x v="16"/>
    <n v="29840"/>
    <n v="24469"/>
  </r>
  <r>
    <s v="ORD02951"/>
    <d v="2025-11-27T00:00:00"/>
    <x v="2"/>
    <x v="11"/>
    <x v="3"/>
    <s v="Japan"/>
    <x v="34"/>
    <x v="26"/>
    <n v="28623"/>
    <n v="21543"/>
  </r>
  <r>
    <s v="ORD02952"/>
    <d v="2025-10-09T00:00:00"/>
    <x v="4"/>
    <x v="45"/>
    <x v="4"/>
    <s v="France"/>
    <x v="6"/>
    <x v="9"/>
    <n v="35891"/>
    <n v="37806"/>
  </r>
  <r>
    <s v="ORD02953"/>
    <d v="2025-03-19T00:00:00"/>
    <x v="9"/>
    <x v="39"/>
    <x v="0"/>
    <s v="Singapore"/>
    <x v="38"/>
    <x v="18"/>
    <n v="38804"/>
    <n v="35466"/>
  </r>
  <r>
    <s v="ORD02954"/>
    <d v="2025-06-14T00:00:00"/>
    <x v="5"/>
    <x v="40"/>
    <x v="5"/>
    <s v="UK"/>
    <x v="41"/>
    <x v="15"/>
    <n v="32262"/>
    <n v="40115"/>
  </r>
  <r>
    <s v="ORD02955"/>
    <d v="2025-11-16T00:00:00"/>
    <x v="2"/>
    <x v="44"/>
    <x v="4"/>
    <s v="USA"/>
    <x v="19"/>
    <x v="26"/>
    <n v="38395"/>
    <n v="35175"/>
  </r>
  <r>
    <s v="ORD02956"/>
    <d v="2025-05-15T00:00:00"/>
    <x v="8"/>
    <x v="17"/>
    <x v="0"/>
    <s v="Australia"/>
    <x v="31"/>
    <x v="2"/>
    <n v="28070"/>
    <n v="23835"/>
  </r>
  <r>
    <s v="ORD02957"/>
    <d v="2025-11-16T00:00:00"/>
    <x v="2"/>
    <x v="44"/>
    <x v="1"/>
    <s v="Spain"/>
    <x v="45"/>
    <x v="25"/>
    <n v="29353"/>
    <n v="27590"/>
  </r>
  <r>
    <s v="ORD02958"/>
    <d v="2025-05-12T00:00:00"/>
    <x v="8"/>
    <x v="17"/>
    <x v="6"/>
    <s v="France"/>
    <x v="5"/>
    <x v="19"/>
    <n v="37700"/>
    <n v="47687"/>
  </r>
  <r>
    <s v="ORD02959"/>
    <d v="2025-07-17T00:00:00"/>
    <x v="0"/>
    <x v="14"/>
    <x v="4"/>
    <s v="Mexico"/>
    <x v="17"/>
    <x v="19"/>
    <n v="31411"/>
    <n v="34252"/>
  </r>
  <r>
    <s v="ORD02960"/>
    <d v="2025-12-15T00:00:00"/>
    <x v="10"/>
    <x v="21"/>
    <x v="0"/>
    <s v="China"/>
    <x v="49"/>
    <x v="13"/>
    <n v="38878"/>
    <n v="48108"/>
  </r>
  <r>
    <s v="ORD02961"/>
    <d v="2025-11-15T00:00:00"/>
    <x v="2"/>
    <x v="44"/>
    <x v="1"/>
    <s v="France"/>
    <x v="47"/>
    <x v="6"/>
    <n v="28023"/>
    <n v="26225"/>
  </r>
  <r>
    <s v="ORD02962"/>
    <d v="2025-12-18T00:00:00"/>
    <x v="10"/>
    <x v="21"/>
    <x v="1"/>
    <s v="Italy"/>
    <x v="34"/>
    <x v="7"/>
    <n v="27457"/>
    <n v="24065"/>
  </r>
  <r>
    <s v="ORD02963"/>
    <d v="2025-09-08T00:00:00"/>
    <x v="3"/>
    <x v="31"/>
    <x v="1"/>
    <s v="Russia"/>
    <x v="39"/>
    <x v="25"/>
    <n v="39707"/>
    <n v="39249"/>
  </r>
  <r>
    <s v="ORD02964"/>
    <d v="2025-03-15T00:00:00"/>
    <x v="9"/>
    <x v="19"/>
    <x v="3"/>
    <s v="South Africa"/>
    <x v="24"/>
    <x v="1"/>
    <n v="31150"/>
    <n v="35651"/>
  </r>
  <r>
    <s v="ORD02965"/>
    <d v="2025-11-09T00:00:00"/>
    <x v="2"/>
    <x v="51"/>
    <x v="1"/>
    <s v="Malaysia"/>
    <x v="39"/>
    <x v="22"/>
    <n v="30814"/>
    <n v="27420"/>
  </r>
  <r>
    <s v="ORD02966"/>
    <d v="2025-11-10T00:00:00"/>
    <x v="2"/>
    <x v="44"/>
    <x v="0"/>
    <s v="Australia"/>
    <x v="40"/>
    <x v="28"/>
    <n v="28526"/>
    <n v="22480"/>
  </r>
  <r>
    <s v="ORD02967"/>
    <d v="2025-02-25T00:00:00"/>
    <x v="6"/>
    <x v="22"/>
    <x v="2"/>
    <s v="Italy"/>
    <x v="47"/>
    <x v="8"/>
    <n v="33642"/>
    <n v="24050"/>
  </r>
  <r>
    <s v="ORD02968"/>
    <d v="2025-11-12T00:00:00"/>
    <x v="2"/>
    <x v="44"/>
    <x v="3"/>
    <s v="South Africa"/>
    <x v="35"/>
    <x v="21"/>
    <n v="30010"/>
    <n v="37928"/>
  </r>
  <r>
    <s v="ORD02969"/>
    <d v="2025-07-06T00:00:00"/>
    <x v="0"/>
    <x v="37"/>
    <x v="4"/>
    <s v="Germany"/>
    <x v="34"/>
    <x v="1"/>
    <n v="38902"/>
    <n v="42729"/>
  </r>
  <r>
    <s v="ORD02970"/>
    <d v="2025-01-17T00:00:00"/>
    <x v="1"/>
    <x v="1"/>
    <x v="3"/>
    <s v="France"/>
    <x v="32"/>
    <x v="16"/>
    <n v="37965"/>
    <n v="47220"/>
  </r>
  <r>
    <s v="ORD02971"/>
    <d v="2025-04-06T00:00:00"/>
    <x v="7"/>
    <x v="34"/>
    <x v="0"/>
    <s v="Turkey"/>
    <x v="19"/>
    <x v="12"/>
    <n v="32578"/>
    <n v="34216"/>
  </r>
  <r>
    <s v="ORD02972"/>
    <d v="2025-07-23T00:00:00"/>
    <x v="0"/>
    <x v="0"/>
    <x v="6"/>
    <s v="UK"/>
    <x v="18"/>
    <x v="14"/>
    <n v="34599"/>
    <n v="37738"/>
  </r>
  <r>
    <s v="ORD02973"/>
    <d v="2025-05-11T00:00:00"/>
    <x v="8"/>
    <x v="18"/>
    <x v="4"/>
    <s v="Italy"/>
    <x v="27"/>
    <x v="19"/>
    <n v="30705"/>
    <n v="25067"/>
  </r>
  <r>
    <s v="ORD02974"/>
    <d v="2025-09-04T00:00:00"/>
    <x v="3"/>
    <x v="4"/>
    <x v="5"/>
    <s v="Brazil"/>
    <x v="38"/>
    <x v="3"/>
    <n v="37522"/>
    <n v="28157"/>
  </r>
  <r>
    <s v="ORD02975"/>
    <d v="2025-09-08T00:00:00"/>
    <x v="3"/>
    <x v="31"/>
    <x v="1"/>
    <s v="UK"/>
    <x v="9"/>
    <x v="16"/>
    <n v="29612"/>
    <n v="26932"/>
  </r>
  <r>
    <s v="ORD02976"/>
    <d v="2025-02-05T00:00:00"/>
    <x v="6"/>
    <x v="48"/>
    <x v="4"/>
    <s v="Mexico"/>
    <x v="40"/>
    <x v="12"/>
    <n v="24915"/>
    <n v="31032"/>
  </r>
  <r>
    <s v="ORD02977"/>
    <d v="2025-04-12T00:00:00"/>
    <x v="7"/>
    <x v="16"/>
    <x v="1"/>
    <s v="Japan"/>
    <x v="7"/>
    <x v="1"/>
    <n v="25609"/>
    <n v="23800"/>
  </r>
  <r>
    <s v="ORD02978"/>
    <d v="2025-12-20T00:00:00"/>
    <x v="10"/>
    <x v="21"/>
    <x v="0"/>
    <s v="Canada"/>
    <x v="24"/>
    <x v="15"/>
    <n v="33290"/>
    <n v="26591"/>
  </r>
  <r>
    <s v="ORD02979"/>
    <d v="2025-03-01T00:00:00"/>
    <x v="9"/>
    <x v="22"/>
    <x v="6"/>
    <s v="USA"/>
    <x v="14"/>
    <x v="5"/>
    <n v="26653"/>
    <n v="26094"/>
  </r>
  <r>
    <s v="ORD02980"/>
    <d v="2025-03-22T00:00:00"/>
    <x v="9"/>
    <x v="39"/>
    <x v="2"/>
    <s v="Australia"/>
    <x v="0"/>
    <x v="12"/>
    <n v="30407"/>
    <n v="24346"/>
  </r>
  <r>
    <s v="ORD02981"/>
    <d v="2025-08-27T00:00:00"/>
    <x v="11"/>
    <x v="28"/>
    <x v="1"/>
    <s v="Italy"/>
    <x v="12"/>
    <x v="27"/>
    <n v="33947"/>
    <n v="27813"/>
  </r>
  <r>
    <s v="ORD02982"/>
    <d v="2025-01-27T00:00:00"/>
    <x v="1"/>
    <x v="3"/>
    <x v="6"/>
    <s v="Singapore"/>
    <x v="32"/>
    <x v="11"/>
    <n v="28016"/>
    <n v="19623"/>
  </r>
  <r>
    <s v="ORD02983"/>
    <d v="2025-08-07T00:00:00"/>
    <x v="11"/>
    <x v="23"/>
    <x v="3"/>
    <s v="Brazil"/>
    <x v="33"/>
    <x v="17"/>
    <n v="35053"/>
    <n v="33072"/>
  </r>
  <r>
    <s v="ORD02984"/>
    <d v="2025-10-08T00:00:00"/>
    <x v="4"/>
    <x v="45"/>
    <x v="4"/>
    <s v="Australia"/>
    <x v="8"/>
    <x v="23"/>
    <n v="19504"/>
    <n v="16348"/>
  </r>
  <r>
    <s v="ORD02985"/>
    <d v="2025-12-20T00:00:00"/>
    <x v="10"/>
    <x v="21"/>
    <x v="6"/>
    <s v="Malaysia"/>
    <x v="31"/>
    <x v="14"/>
    <n v="15194"/>
    <n v="19130"/>
  </r>
  <r>
    <s v="ORD02986"/>
    <d v="2025-04-07T00:00:00"/>
    <x v="7"/>
    <x v="16"/>
    <x v="6"/>
    <s v="South Africa"/>
    <x v="14"/>
    <x v="12"/>
    <n v="20199"/>
    <n v="23026"/>
  </r>
  <r>
    <s v="ORD02987"/>
    <d v="2025-11-02T00:00:00"/>
    <x v="2"/>
    <x v="2"/>
    <x v="3"/>
    <s v="Canada"/>
    <x v="41"/>
    <x v="28"/>
    <n v="25027"/>
    <n v="19510"/>
  </r>
  <r>
    <s v="ORD02988"/>
    <d v="2025-02-20T00:00:00"/>
    <x v="6"/>
    <x v="15"/>
    <x v="2"/>
    <s v="Mexico"/>
    <x v="12"/>
    <x v="27"/>
    <n v="33703"/>
    <n v="30722"/>
  </r>
  <r>
    <s v="ORD02989"/>
    <d v="2025-10-23T00:00:00"/>
    <x v="4"/>
    <x v="50"/>
    <x v="0"/>
    <s v="Thailand"/>
    <x v="22"/>
    <x v="5"/>
    <n v="19375"/>
    <n v="15546"/>
  </r>
  <r>
    <s v="ORD02990"/>
    <d v="2025-12-29T00:00:00"/>
    <x v="10"/>
    <x v="5"/>
    <x v="1"/>
    <s v="Malaysia"/>
    <x v="19"/>
    <x v="0"/>
    <n v="26014"/>
    <n v="30912"/>
  </r>
  <r>
    <s v="ORD02991"/>
    <d v="2025-12-29T00:00:00"/>
    <x v="10"/>
    <x v="5"/>
    <x v="5"/>
    <s v="UK"/>
    <x v="44"/>
    <x v="29"/>
    <n v="39185"/>
    <n v="49147"/>
  </r>
  <r>
    <s v="ORD02992"/>
    <d v="2025-09-16T00:00:00"/>
    <x v="3"/>
    <x v="8"/>
    <x v="4"/>
    <s v="USA"/>
    <x v="22"/>
    <x v="2"/>
    <n v="16095"/>
    <n v="19736"/>
  </r>
  <r>
    <s v="ORD02993"/>
    <d v="2025-12-03T00:00:00"/>
    <x v="10"/>
    <x v="43"/>
    <x v="5"/>
    <s v="France"/>
    <x v="18"/>
    <x v="10"/>
    <n v="24535"/>
    <n v="28406"/>
  </r>
  <r>
    <s v="ORD02994"/>
    <d v="2025-07-21T00:00:00"/>
    <x v="0"/>
    <x v="0"/>
    <x v="5"/>
    <s v="Malaysia"/>
    <x v="44"/>
    <x v="7"/>
    <n v="33157"/>
    <n v="42591"/>
  </r>
  <r>
    <s v="ORD02995"/>
    <d v="2025-10-03T00:00:00"/>
    <x v="4"/>
    <x v="49"/>
    <x v="1"/>
    <s v="Japan"/>
    <x v="0"/>
    <x v="5"/>
    <n v="30300"/>
    <n v="31101"/>
  </r>
  <r>
    <s v="ORD02996"/>
    <d v="2025-07-22T00:00:00"/>
    <x v="0"/>
    <x v="0"/>
    <x v="0"/>
    <s v="Brazil"/>
    <x v="33"/>
    <x v="28"/>
    <n v="16122"/>
    <n v="12674"/>
  </r>
  <r>
    <s v="ORD02997"/>
    <d v="2025-04-23T00:00:00"/>
    <x v="7"/>
    <x v="38"/>
    <x v="0"/>
    <s v="Italy"/>
    <x v="45"/>
    <x v="10"/>
    <n v="22616"/>
    <n v="27740"/>
  </r>
  <r>
    <s v="ORD02998"/>
    <d v="2025-12-19T00:00:00"/>
    <x v="10"/>
    <x v="21"/>
    <x v="6"/>
    <s v="Russia"/>
    <x v="42"/>
    <x v="17"/>
    <n v="18138"/>
    <n v="12701"/>
  </r>
  <r>
    <s v="ORD02999"/>
    <d v="2025-05-02T00:00:00"/>
    <x v="8"/>
    <x v="27"/>
    <x v="6"/>
    <s v="China"/>
    <x v="27"/>
    <x v="10"/>
    <n v="36940"/>
    <n v="25953"/>
  </r>
  <r>
    <s v="ORD03000"/>
    <d v="2025-06-30T00:00:00"/>
    <x v="5"/>
    <x v="37"/>
    <x v="4"/>
    <s v="France"/>
    <x v="29"/>
    <x v="20"/>
    <n v="37995"/>
    <n v="32688"/>
  </r>
  <r>
    <s v="ORD03001"/>
    <d v="2025-10-04T00:00:00"/>
    <x v="4"/>
    <x v="49"/>
    <x v="2"/>
    <s v="Brazil"/>
    <x v="39"/>
    <x v="15"/>
    <n v="37317"/>
    <n v="45730"/>
  </r>
  <r>
    <s v="ORD03002"/>
    <d v="2025-11-03T00:00:00"/>
    <x v="2"/>
    <x v="51"/>
    <x v="1"/>
    <s v="UAE"/>
    <x v="39"/>
    <x v="12"/>
    <n v="16637"/>
    <n v="11934"/>
  </r>
  <r>
    <s v="ORD03003"/>
    <d v="2025-11-05T00:00:00"/>
    <x v="2"/>
    <x v="51"/>
    <x v="2"/>
    <s v="Russia"/>
    <x v="29"/>
    <x v="20"/>
    <n v="24988"/>
    <n v="24429"/>
  </r>
  <r>
    <s v="ORD03004"/>
    <d v="2025-08-19T00:00:00"/>
    <x v="11"/>
    <x v="46"/>
    <x v="1"/>
    <s v="USA"/>
    <x v="47"/>
    <x v="4"/>
    <n v="21885"/>
    <n v="24173"/>
  </r>
  <r>
    <s v="ORD03005"/>
    <d v="2025-05-06T00:00:00"/>
    <x v="8"/>
    <x v="18"/>
    <x v="3"/>
    <s v="Mexico"/>
    <x v="3"/>
    <x v="29"/>
    <n v="32821"/>
    <n v="34906"/>
  </r>
  <r>
    <s v="ORD03006"/>
    <d v="2025-02-05T00:00:00"/>
    <x v="6"/>
    <x v="48"/>
    <x v="0"/>
    <s v="Russia"/>
    <x v="42"/>
    <x v="17"/>
    <n v="36603"/>
    <n v="41564"/>
  </r>
  <r>
    <s v="ORD03007"/>
    <d v="2025-09-11T00:00:00"/>
    <x v="3"/>
    <x v="31"/>
    <x v="2"/>
    <s v="USA"/>
    <x v="3"/>
    <x v="26"/>
    <n v="17987"/>
    <n v="20733"/>
  </r>
  <r>
    <s v="ORD03008"/>
    <d v="2025-06-17T00:00:00"/>
    <x v="5"/>
    <x v="13"/>
    <x v="0"/>
    <s v="Australia"/>
    <x v="1"/>
    <x v="10"/>
    <n v="15090"/>
    <n v="19378"/>
  </r>
  <r>
    <s v="ORD03009"/>
    <d v="2025-05-16T00:00:00"/>
    <x v="8"/>
    <x v="17"/>
    <x v="1"/>
    <s v="Turkey"/>
    <x v="23"/>
    <x v="25"/>
    <n v="35485"/>
    <n v="34502"/>
  </r>
  <r>
    <s v="ORD03010"/>
    <d v="2025-09-02T00:00:00"/>
    <x v="3"/>
    <x v="4"/>
    <x v="6"/>
    <s v="Canada"/>
    <x v="48"/>
    <x v="21"/>
    <n v="28806"/>
    <n v="22711"/>
  </r>
  <r>
    <s v="ORD03011"/>
    <d v="2025-01-29T00:00:00"/>
    <x v="1"/>
    <x v="3"/>
    <x v="3"/>
    <s v="Mexico"/>
    <x v="31"/>
    <x v="4"/>
    <n v="36334"/>
    <n v="47111"/>
  </r>
  <r>
    <s v="ORD03012"/>
    <d v="2025-06-24T00:00:00"/>
    <x v="5"/>
    <x v="36"/>
    <x v="5"/>
    <s v="Italy"/>
    <x v="2"/>
    <x v="28"/>
    <n v="18649"/>
    <n v="20020"/>
  </r>
  <r>
    <s v="ORD03013"/>
    <d v="2025-02-23T00:00:00"/>
    <x v="6"/>
    <x v="15"/>
    <x v="1"/>
    <s v="Mexico"/>
    <x v="36"/>
    <x v="7"/>
    <n v="32854"/>
    <n v="36798"/>
  </r>
  <r>
    <s v="ORD03014"/>
    <d v="2025-07-14T00:00:00"/>
    <x v="0"/>
    <x v="14"/>
    <x v="4"/>
    <s v="Germany"/>
    <x v="34"/>
    <x v="9"/>
    <n v="39754"/>
    <n v="46337"/>
  </r>
  <r>
    <s v="ORD03015"/>
    <d v="2025-02-18T00:00:00"/>
    <x v="6"/>
    <x v="15"/>
    <x v="3"/>
    <s v="Australia"/>
    <x v="43"/>
    <x v="7"/>
    <n v="28966"/>
    <n v="22004"/>
  </r>
  <r>
    <s v="ORD03016"/>
    <d v="2025-08-20T00:00:00"/>
    <x v="11"/>
    <x v="46"/>
    <x v="2"/>
    <s v="Spain"/>
    <x v="4"/>
    <x v="6"/>
    <n v="31090"/>
    <n v="28194"/>
  </r>
  <r>
    <s v="ORD03017"/>
    <d v="2025-09-08T00:00:00"/>
    <x v="3"/>
    <x v="31"/>
    <x v="0"/>
    <s v="UK"/>
    <x v="3"/>
    <x v="11"/>
    <n v="30114"/>
    <n v="22785"/>
  </r>
  <r>
    <s v="ORD03018"/>
    <d v="2025-02-26T00:00:00"/>
    <x v="6"/>
    <x v="22"/>
    <x v="4"/>
    <s v="Brazil"/>
    <x v="19"/>
    <x v="16"/>
    <n v="15167"/>
    <n v="18398"/>
  </r>
  <r>
    <s v="ORD03019"/>
    <d v="2025-12-15T00:00:00"/>
    <x v="10"/>
    <x v="21"/>
    <x v="4"/>
    <s v="UAE"/>
    <x v="1"/>
    <x v="28"/>
    <n v="20533"/>
    <n v="16154"/>
  </r>
  <r>
    <s v="ORD03020"/>
    <d v="2025-04-09T00:00:00"/>
    <x v="7"/>
    <x v="16"/>
    <x v="4"/>
    <s v="Thailand"/>
    <x v="25"/>
    <x v="11"/>
    <n v="30710"/>
    <n v="24408"/>
  </r>
  <r>
    <s v="ORD03021"/>
    <d v="2025-04-13T00:00:00"/>
    <x v="7"/>
    <x v="16"/>
    <x v="5"/>
    <s v="Singapore"/>
    <x v="24"/>
    <x v="26"/>
    <n v="24081"/>
    <n v="19980"/>
  </r>
  <r>
    <s v="ORD03022"/>
    <d v="2025-07-02T00:00:00"/>
    <x v="0"/>
    <x v="37"/>
    <x v="4"/>
    <s v="Mexico"/>
    <x v="46"/>
    <x v="6"/>
    <n v="27619"/>
    <n v="21083"/>
  </r>
  <r>
    <s v="ORD03023"/>
    <d v="2025-09-10T00:00:00"/>
    <x v="3"/>
    <x v="31"/>
    <x v="6"/>
    <s v="Turkey"/>
    <x v="26"/>
    <x v="14"/>
    <n v="33380"/>
    <n v="26112"/>
  </r>
  <r>
    <s v="ORD03024"/>
    <d v="2025-05-20T00:00:00"/>
    <x v="8"/>
    <x v="26"/>
    <x v="4"/>
    <s v="India"/>
    <x v="40"/>
    <x v="22"/>
    <n v="21084"/>
    <n v="22267"/>
  </r>
  <r>
    <s v="ORD03025"/>
    <d v="2025-01-27T00:00:00"/>
    <x v="1"/>
    <x v="3"/>
    <x v="4"/>
    <s v="Russia"/>
    <x v="26"/>
    <x v="12"/>
    <n v="27424"/>
    <n v="25225"/>
  </r>
  <r>
    <s v="ORD03026"/>
    <d v="2025-02-24T00:00:00"/>
    <x v="6"/>
    <x v="22"/>
    <x v="2"/>
    <s v="Germany"/>
    <x v="24"/>
    <x v="13"/>
    <n v="21514"/>
    <n v="17660"/>
  </r>
  <r>
    <s v="ORD03027"/>
    <d v="2025-04-08T00:00:00"/>
    <x v="7"/>
    <x v="16"/>
    <x v="1"/>
    <s v="Japan"/>
    <x v="26"/>
    <x v="23"/>
    <n v="31591"/>
    <n v="29192"/>
  </r>
  <r>
    <s v="ORD03028"/>
    <d v="2025-04-20T00:00:00"/>
    <x v="7"/>
    <x v="20"/>
    <x v="3"/>
    <s v="Turkey"/>
    <x v="15"/>
    <x v="8"/>
    <n v="17400"/>
    <n v="20960"/>
  </r>
  <r>
    <s v="ORD03029"/>
    <d v="2025-02-22T00:00:00"/>
    <x v="6"/>
    <x v="15"/>
    <x v="2"/>
    <s v="Thailand"/>
    <x v="36"/>
    <x v="25"/>
    <n v="17377"/>
    <n v="14653"/>
  </r>
  <r>
    <s v="ORD03030"/>
    <d v="2025-04-20T00:00:00"/>
    <x v="7"/>
    <x v="20"/>
    <x v="6"/>
    <s v="Germany"/>
    <x v="44"/>
    <x v="18"/>
    <n v="29303"/>
    <n v="36182"/>
  </r>
  <r>
    <s v="ORD03031"/>
    <d v="2025-10-19T00:00:00"/>
    <x v="4"/>
    <x v="10"/>
    <x v="5"/>
    <s v="Japan"/>
    <x v="2"/>
    <x v="24"/>
    <n v="16739"/>
    <n v="16210"/>
  </r>
  <r>
    <s v="ORD03032"/>
    <d v="2025-06-04T00:00:00"/>
    <x v="5"/>
    <x v="41"/>
    <x v="4"/>
    <s v="Canada"/>
    <x v="6"/>
    <x v="5"/>
    <n v="28351"/>
    <n v="23414"/>
  </r>
  <r>
    <s v="ORD03033"/>
    <d v="2025-03-20T00:00:00"/>
    <x v="9"/>
    <x v="39"/>
    <x v="0"/>
    <s v="India"/>
    <x v="44"/>
    <x v="21"/>
    <n v="22992"/>
    <n v="23920"/>
  </r>
  <r>
    <s v="ORD03034"/>
    <d v="2025-12-22T00:00:00"/>
    <x v="10"/>
    <x v="42"/>
    <x v="2"/>
    <s v="Thailand"/>
    <x v="34"/>
    <x v="1"/>
    <n v="22534"/>
    <n v="28926"/>
  </r>
  <r>
    <s v="ORD03035"/>
    <d v="2025-12-30T00:00:00"/>
    <x v="10"/>
    <x v="5"/>
    <x v="0"/>
    <s v="Italy"/>
    <x v="37"/>
    <x v="23"/>
    <n v="37457"/>
    <n v="41432"/>
  </r>
  <r>
    <s v="ORD03036"/>
    <d v="2025-05-03T00:00:00"/>
    <x v="8"/>
    <x v="27"/>
    <x v="3"/>
    <s v="UK"/>
    <x v="44"/>
    <x v="29"/>
    <n v="21842"/>
    <n v="18553"/>
  </r>
  <r>
    <s v="ORD03037"/>
    <d v="2025-02-21T00:00:00"/>
    <x v="6"/>
    <x v="15"/>
    <x v="1"/>
    <s v="Turkey"/>
    <x v="38"/>
    <x v="18"/>
    <n v="15084"/>
    <n v="15762"/>
  </r>
  <r>
    <s v="ORD03038"/>
    <d v="2025-05-08T00:00:00"/>
    <x v="8"/>
    <x v="18"/>
    <x v="2"/>
    <s v="Singapore"/>
    <x v="29"/>
    <x v="25"/>
    <n v="20210"/>
    <n v="22026"/>
  </r>
  <r>
    <s v="ORD03039"/>
    <d v="2025-11-05T00:00:00"/>
    <x v="2"/>
    <x v="51"/>
    <x v="5"/>
    <s v="South Africa"/>
    <x v="44"/>
    <x v="4"/>
    <n v="22678"/>
    <n v="16051"/>
  </r>
  <r>
    <s v="ORD03040"/>
    <d v="2025-01-07T00:00:00"/>
    <x v="1"/>
    <x v="6"/>
    <x v="4"/>
    <s v="Turkey"/>
    <x v="18"/>
    <x v="2"/>
    <n v="27161"/>
    <n v="26235"/>
  </r>
  <r>
    <s v="ORD03041"/>
    <d v="2025-01-02T00:00:00"/>
    <x v="1"/>
    <x v="5"/>
    <x v="5"/>
    <s v="Italy"/>
    <x v="15"/>
    <x v="12"/>
    <n v="17430"/>
    <n v="21979"/>
  </r>
  <r>
    <s v="ORD03042"/>
    <d v="2025-04-28T00:00:00"/>
    <x v="7"/>
    <x v="27"/>
    <x v="4"/>
    <s v="Canada"/>
    <x v="2"/>
    <x v="2"/>
    <n v="23345"/>
    <n v="28588"/>
  </r>
  <r>
    <s v="ORD03043"/>
    <d v="2025-12-10T00:00:00"/>
    <x v="10"/>
    <x v="32"/>
    <x v="3"/>
    <s v="Turkey"/>
    <x v="46"/>
    <x v="29"/>
    <n v="35602"/>
    <n v="35030"/>
  </r>
  <r>
    <s v="ORD03044"/>
    <d v="2025-08-04T00:00:00"/>
    <x v="11"/>
    <x v="23"/>
    <x v="1"/>
    <s v="Brazil"/>
    <x v="19"/>
    <x v="0"/>
    <n v="31349"/>
    <n v="39760"/>
  </r>
  <r>
    <s v="ORD03045"/>
    <d v="2025-12-16T00:00:00"/>
    <x v="10"/>
    <x v="21"/>
    <x v="0"/>
    <s v="Spain"/>
    <x v="49"/>
    <x v="5"/>
    <n v="18270"/>
    <n v="20148"/>
  </r>
  <r>
    <s v="ORD03046"/>
    <d v="2025-05-27T00:00:00"/>
    <x v="8"/>
    <x v="24"/>
    <x v="0"/>
    <s v="UK"/>
    <x v="23"/>
    <x v="25"/>
    <n v="16439"/>
    <n v="13068"/>
  </r>
  <r>
    <s v="ORD03047"/>
    <d v="2025-10-06T00:00:00"/>
    <x v="4"/>
    <x v="45"/>
    <x v="5"/>
    <s v="Canada"/>
    <x v="47"/>
    <x v="2"/>
    <n v="15648"/>
    <n v="16814"/>
  </r>
  <r>
    <s v="ORD03048"/>
    <d v="2025-08-19T00:00:00"/>
    <x v="11"/>
    <x v="46"/>
    <x v="5"/>
    <s v="Singapore"/>
    <x v="34"/>
    <x v="13"/>
    <n v="26981"/>
    <n v="24899"/>
  </r>
  <r>
    <s v="ORD03049"/>
    <d v="2025-12-26T00:00:00"/>
    <x v="10"/>
    <x v="42"/>
    <x v="2"/>
    <s v="UK"/>
    <x v="5"/>
    <x v="16"/>
    <n v="34357"/>
    <n v="27184"/>
  </r>
  <r>
    <s v="ORD03050"/>
    <d v="2025-03-01T00:00:00"/>
    <x v="9"/>
    <x v="22"/>
    <x v="2"/>
    <s v="Turkey"/>
    <x v="46"/>
    <x v="1"/>
    <n v="33235"/>
    <n v="41752"/>
  </r>
  <r>
    <s v="ORD03051"/>
    <d v="2025-03-17T00:00:00"/>
    <x v="9"/>
    <x v="39"/>
    <x v="4"/>
    <s v="South Africa"/>
    <x v="9"/>
    <x v="2"/>
    <n v="37561"/>
    <n v="42858"/>
  </r>
  <r>
    <s v="ORD03052"/>
    <d v="2025-11-08T00:00:00"/>
    <x v="2"/>
    <x v="51"/>
    <x v="4"/>
    <s v="India"/>
    <x v="1"/>
    <x v="9"/>
    <n v="28442"/>
    <n v="35687"/>
  </r>
  <r>
    <s v="ORD03053"/>
    <d v="2025-02-26T00:00:00"/>
    <x v="6"/>
    <x v="22"/>
    <x v="2"/>
    <s v="China"/>
    <x v="31"/>
    <x v="12"/>
    <n v="19395"/>
    <n v="16423"/>
  </r>
  <r>
    <s v="ORD03054"/>
    <d v="2025-10-27T00:00:00"/>
    <x v="4"/>
    <x v="2"/>
    <x v="4"/>
    <s v="Japan"/>
    <x v="9"/>
    <x v="26"/>
    <n v="25257"/>
    <n v="31837"/>
  </r>
  <r>
    <s v="ORD03055"/>
    <d v="2025-04-11T00:00:00"/>
    <x v="7"/>
    <x v="16"/>
    <x v="0"/>
    <s v="India"/>
    <x v="36"/>
    <x v="9"/>
    <n v="31240"/>
    <n v="39337"/>
  </r>
  <r>
    <s v="ORD03056"/>
    <d v="2025-12-27T00:00:00"/>
    <x v="10"/>
    <x v="42"/>
    <x v="5"/>
    <s v="South Africa"/>
    <x v="31"/>
    <x v="21"/>
    <n v="33373"/>
    <n v="30076"/>
  </r>
  <r>
    <s v="ORD03057"/>
    <d v="2025-10-17T00:00:00"/>
    <x v="4"/>
    <x v="10"/>
    <x v="5"/>
    <s v="China"/>
    <x v="6"/>
    <x v="14"/>
    <n v="23588"/>
    <n v="26571"/>
  </r>
  <r>
    <s v="ORD03058"/>
    <d v="2025-01-31T00:00:00"/>
    <x v="1"/>
    <x v="3"/>
    <x v="0"/>
    <s v="Brazil"/>
    <x v="18"/>
    <x v="15"/>
    <n v="16753"/>
    <n v="19524"/>
  </r>
  <r>
    <s v="ORD03059"/>
    <d v="2025-04-27T00:00:00"/>
    <x v="7"/>
    <x v="38"/>
    <x v="0"/>
    <s v="Turkey"/>
    <x v="7"/>
    <x v="28"/>
    <n v="27656"/>
    <n v="24833"/>
  </r>
  <r>
    <s v="ORD03060"/>
    <d v="2025-01-06T00:00:00"/>
    <x v="1"/>
    <x v="6"/>
    <x v="1"/>
    <s v="UK"/>
    <x v="32"/>
    <x v="5"/>
    <n v="35543"/>
    <n v="39517"/>
  </r>
  <r>
    <s v="ORD03061"/>
    <d v="2025-02-28T00:00:00"/>
    <x v="6"/>
    <x v="22"/>
    <x v="5"/>
    <s v="Italy"/>
    <x v="43"/>
    <x v="13"/>
    <n v="16004"/>
    <n v="16713"/>
  </r>
  <r>
    <s v="ORD03062"/>
    <d v="2025-06-30T00:00:00"/>
    <x v="5"/>
    <x v="37"/>
    <x v="6"/>
    <s v="South Africa"/>
    <x v="25"/>
    <x v="5"/>
    <n v="15676"/>
    <n v="19443"/>
  </r>
  <r>
    <s v="ORD03063"/>
    <d v="2025-01-12T00:00:00"/>
    <x v="1"/>
    <x v="6"/>
    <x v="5"/>
    <s v="USA"/>
    <x v="43"/>
    <x v="26"/>
    <n v="29448"/>
    <n v="29531"/>
  </r>
  <r>
    <s v="ORD03064"/>
    <d v="2025-08-28T00:00:00"/>
    <x v="11"/>
    <x v="28"/>
    <x v="4"/>
    <s v="Thailand"/>
    <x v="9"/>
    <x v="28"/>
    <n v="19568"/>
    <n v="19521"/>
  </r>
  <r>
    <s v="ORD03065"/>
    <d v="2025-09-05T00:00:00"/>
    <x v="3"/>
    <x v="4"/>
    <x v="2"/>
    <s v="Germany"/>
    <x v="15"/>
    <x v="23"/>
    <n v="37671"/>
    <n v="48133"/>
  </r>
  <r>
    <s v="ORD03066"/>
    <d v="2025-06-15T00:00:00"/>
    <x v="5"/>
    <x v="40"/>
    <x v="6"/>
    <s v="Australia"/>
    <x v="45"/>
    <x v="22"/>
    <n v="37000"/>
    <n v="26308"/>
  </r>
  <r>
    <s v="ORD03067"/>
    <d v="2025-08-08T00:00:00"/>
    <x v="11"/>
    <x v="23"/>
    <x v="2"/>
    <s v="Brazil"/>
    <x v="39"/>
    <x v="18"/>
    <n v="30430"/>
    <n v="36449"/>
  </r>
  <r>
    <s v="ORD03068"/>
    <d v="2025-06-10T00:00:00"/>
    <x v="5"/>
    <x v="40"/>
    <x v="6"/>
    <s v="Australia"/>
    <x v="4"/>
    <x v="25"/>
    <n v="35628"/>
    <n v="27538"/>
  </r>
  <r>
    <s v="ORD03069"/>
    <d v="2025-08-22T00:00:00"/>
    <x v="11"/>
    <x v="46"/>
    <x v="5"/>
    <s v="India"/>
    <x v="23"/>
    <x v="29"/>
    <n v="37388"/>
    <n v="34611"/>
  </r>
  <r>
    <s v="ORD03070"/>
    <d v="2025-10-25T00:00:00"/>
    <x v="4"/>
    <x v="50"/>
    <x v="0"/>
    <s v="Singapore"/>
    <x v="16"/>
    <x v="0"/>
    <n v="39322"/>
    <n v="50164"/>
  </r>
  <r>
    <s v="ORD03071"/>
    <d v="2025-05-03T00:00:00"/>
    <x v="8"/>
    <x v="27"/>
    <x v="3"/>
    <s v="Canada"/>
    <x v="26"/>
    <x v="1"/>
    <n v="18317"/>
    <n v="14869"/>
  </r>
  <r>
    <s v="ORD03072"/>
    <d v="2025-05-02T00:00:00"/>
    <x v="8"/>
    <x v="27"/>
    <x v="5"/>
    <s v="UAE"/>
    <x v="11"/>
    <x v="4"/>
    <n v="32381"/>
    <n v="31017"/>
  </r>
  <r>
    <s v="ORD03073"/>
    <d v="2025-05-23T00:00:00"/>
    <x v="8"/>
    <x v="26"/>
    <x v="0"/>
    <s v="Mexico"/>
    <x v="29"/>
    <x v="17"/>
    <n v="36730"/>
    <n v="44196"/>
  </r>
  <r>
    <s v="ORD03074"/>
    <d v="2025-12-01T00:00:00"/>
    <x v="10"/>
    <x v="43"/>
    <x v="3"/>
    <s v="Malaysia"/>
    <x v="48"/>
    <x v="15"/>
    <n v="15417"/>
    <n v="14869"/>
  </r>
  <r>
    <s v="ORD03075"/>
    <d v="2025-05-03T00:00:00"/>
    <x v="8"/>
    <x v="27"/>
    <x v="4"/>
    <s v="South Africa"/>
    <x v="6"/>
    <x v="22"/>
    <n v="31391"/>
    <n v="22361"/>
  </r>
  <r>
    <s v="ORD03076"/>
    <d v="2025-08-21T00:00:00"/>
    <x v="11"/>
    <x v="46"/>
    <x v="5"/>
    <s v="Germany"/>
    <x v="16"/>
    <x v="29"/>
    <n v="34456"/>
    <n v="31725"/>
  </r>
  <r>
    <s v="ORD03077"/>
    <d v="2025-03-19T00:00:00"/>
    <x v="9"/>
    <x v="39"/>
    <x v="0"/>
    <s v="Japan"/>
    <x v="11"/>
    <x v="14"/>
    <n v="26609"/>
    <n v="33290"/>
  </r>
  <r>
    <s v="ORD03078"/>
    <d v="2025-08-30T00:00:00"/>
    <x v="11"/>
    <x v="28"/>
    <x v="3"/>
    <s v="China"/>
    <x v="26"/>
    <x v="16"/>
    <n v="35731"/>
    <n v="33800"/>
  </r>
  <r>
    <s v="ORD03079"/>
    <d v="2025-09-27T00:00:00"/>
    <x v="3"/>
    <x v="25"/>
    <x v="2"/>
    <s v="UAE"/>
    <x v="10"/>
    <x v="9"/>
    <n v="25701"/>
    <n v="30552"/>
  </r>
  <r>
    <s v="ORD03080"/>
    <d v="2025-06-12T00:00:00"/>
    <x v="5"/>
    <x v="40"/>
    <x v="0"/>
    <s v="Russia"/>
    <x v="46"/>
    <x v="7"/>
    <n v="16381"/>
    <n v="17813"/>
  </r>
  <r>
    <s v="ORD03081"/>
    <d v="2025-02-03T00:00:00"/>
    <x v="6"/>
    <x v="48"/>
    <x v="0"/>
    <s v="USA"/>
    <x v="18"/>
    <x v="14"/>
    <n v="19461"/>
    <n v="18474"/>
  </r>
  <r>
    <s v="ORD03082"/>
    <d v="2025-01-15T00:00:00"/>
    <x v="1"/>
    <x v="1"/>
    <x v="1"/>
    <s v="UK"/>
    <x v="32"/>
    <x v="29"/>
    <n v="32707"/>
    <n v="32477"/>
  </r>
  <r>
    <s v="ORD03083"/>
    <d v="2025-11-15T00:00:00"/>
    <x v="2"/>
    <x v="44"/>
    <x v="0"/>
    <s v="Singapore"/>
    <x v="27"/>
    <x v="15"/>
    <n v="35346"/>
    <n v="34166"/>
  </r>
  <r>
    <s v="ORD03084"/>
    <d v="2025-12-12T00:00:00"/>
    <x v="10"/>
    <x v="32"/>
    <x v="3"/>
    <s v="Japan"/>
    <x v="38"/>
    <x v="2"/>
    <n v="29668"/>
    <n v="38038"/>
  </r>
  <r>
    <s v="ORD03085"/>
    <d v="2025-04-04T00:00:00"/>
    <x v="7"/>
    <x v="34"/>
    <x v="4"/>
    <s v="Brazil"/>
    <x v="8"/>
    <x v="10"/>
    <n v="28873"/>
    <n v="34305"/>
  </r>
  <r>
    <s v="ORD03086"/>
    <d v="2025-08-08T00:00:00"/>
    <x v="11"/>
    <x v="23"/>
    <x v="4"/>
    <s v="Australia"/>
    <x v="14"/>
    <x v="8"/>
    <n v="27128"/>
    <n v="21794"/>
  </r>
  <r>
    <s v="ORD03087"/>
    <d v="2025-11-26T00:00:00"/>
    <x v="2"/>
    <x v="11"/>
    <x v="0"/>
    <s v="Australia"/>
    <x v="27"/>
    <x v="13"/>
    <n v="29390"/>
    <n v="28354"/>
  </r>
  <r>
    <s v="ORD03088"/>
    <d v="2025-04-03T00:00:00"/>
    <x v="7"/>
    <x v="34"/>
    <x v="4"/>
    <s v="China"/>
    <x v="21"/>
    <x v="20"/>
    <n v="29611"/>
    <n v="27132"/>
  </r>
  <r>
    <s v="ORD03089"/>
    <d v="2025-06-27T00:00:00"/>
    <x v="5"/>
    <x v="36"/>
    <x v="5"/>
    <s v="UK"/>
    <x v="26"/>
    <x v="1"/>
    <n v="18118"/>
    <n v="13866"/>
  </r>
  <r>
    <s v="ORD03090"/>
    <d v="2025-10-28T00:00:00"/>
    <x v="4"/>
    <x v="2"/>
    <x v="2"/>
    <s v="Russia"/>
    <x v="35"/>
    <x v="18"/>
    <n v="20841"/>
    <n v="24556"/>
  </r>
  <r>
    <s v="ORD03091"/>
    <d v="2025-12-08T00:00:00"/>
    <x v="10"/>
    <x v="32"/>
    <x v="0"/>
    <s v="Italy"/>
    <x v="38"/>
    <x v="18"/>
    <n v="39551"/>
    <n v="31847"/>
  </r>
  <r>
    <s v="ORD03092"/>
    <d v="2025-06-08T00:00:00"/>
    <x v="5"/>
    <x v="41"/>
    <x v="4"/>
    <s v="Japan"/>
    <x v="8"/>
    <x v="3"/>
    <n v="31220"/>
    <n v="23689"/>
  </r>
  <r>
    <s v="ORD03093"/>
    <d v="2025-04-09T00:00:00"/>
    <x v="7"/>
    <x v="16"/>
    <x v="5"/>
    <s v="Japan"/>
    <x v="6"/>
    <x v="2"/>
    <n v="39590"/>
    <n v="46523"/>
  </r>
  <r>
    <s v="ORD03094"/>
    <d v="2025-12-26T00:00:00"/>
    <x v="10"/>
    <x v="42"/>
    <x v="4"/>
    <s v="Mexico"/>
    <x v="15"/>
    <x v="15"/>
    <n v="38518"/>
    <n v="42524"/>
  </r>
  <r>
    <s v="ORD03095"/>
    <d v="2025-10-24T00:00:00"/>
    <x v="4"/>
    <x v="50"/>
    <x v="5"/>
    <s v="Australia"/>
    <x v="0"/>
    <x v="12"/>
    <n v="19163"/>
    <n v="15281"/>
  </r>
  <r>
    <s v="ORD03096"/>
    <d v="2025-01-09T00:00:00"/>
    <x v="1"/>
    <x v="6"/>
    <x v="0"/>
    <s v="Russia"/>
    <x v="3"/>
    <x v="12"/>
    <n v="23992"/>
    <n v="20472"/>
  </r>
  <r>
    <s v="ORD03097"/>
    <d v="2025-06-10T00:00:00"/>
    <x v="5"/>
    <x v="40"/>
    <x v="1"/>
    <s v="Thailand"/>
    <x v="37"/>
    <x v="2"/>
    <n v="21288"/>
    <n v="23494"/>
  </r>
  <r>
    <s v="ORD03098"/>
    <d v="2025-02-07T00:00:00"/>
    <x v="6"/>
    <x v="48"/>
    <x v="3"/>
    <s v="Italy"/>
    <x v="44"/>
    <x v="13"/>
    <n v="25974"/>
    <n v="33282"/>
  </r>
  <r>
    <s v="ORD03099"/>
    <d v="2025-03-02T00:00:00"/>
    <x v="9"/>
    <x v="22"/>
    <x v="0"/>
    <s v="France"/>
    <x v="25"/>
    <x v="28"/>
    <n v="17909"/>
    <n v="22869"/>
  </r>
  <r>
    <s v="ORD03100"/>
    <d v="2025-04-25T00:00:00"/>
    <x v="7"/>
    <x v="38"/>
    <x v="2"/>
    <s v="India"/>
    <x v="17"/>
    <x v="21"/>
    <n v="28998"/>
    <n v="30280"/>
  </r>
  <r>
    <s v="ORD03101"/>
    <d v="2025-10-20T00:00:00"/>
    <x v="4"/>
    <x v="50"/>
    <x v="0"/>
    <s v="Russia"/>
    <x v="43"/>
    <x v="24"/>
    <n v="24663"/>
    <n v="27526"/>
  </r>
  <r>
    <s v="ORD03102"/>
    <d v="2025-03-18T00:00:00"/>
    <x v="9"/>
    <x v="39"/>
    <x v="5"/>
    <s v="Italy"/>
    <x v="29"/>
    <x v="10"/>
    <n v="21664"/>
    <n v="25193"/>
  </r>
  <r>
    <s v="ORD03103"/>
    <d v="2025-06-05T00:00:00"/>
    <x v="5"/>
    <x v="41"/>
    <x v="2"/>
    <s v="China"/>
    <x v="10"/>
    <x v="22"/>
    <n v="31891"/>
    <n v="40250"/>
  </r>
  <r>
    <s v="ORD03104"/>
    <d v="2025-02-10T00:00:00"/>
    <x v="6"/>
    <x v="29"/>
    <x v="6"/>
    <s v="USA"/>
    <x v="20"/>
    <x v="11"/>
    <n v="20452"/>
    <n v="25417"/>
  </r>
  <r>
    <s v="ORD03105"/>
    <d v="2025-02-03T00:00:00"/>
    <x v="6"/>
    <x v="48"/>
    <x v="3"/>
    <s v="Turkey"/>
    <x v="21"/>
    <x v="18"/>
    <n v="29908"/>
    <n v="25315"/>
  </r>
  <r>
    <s v="ORD03106"/>
    <d v="2025-10-31T00:00:00"/>
    <x v="4"/>
    <x v="2"/>
    <x v="4"/>
    <s v="South Africa"/>
    <x v="48"/>
    <x v="23"/>
    <n v="30621"/>
    <n v="32680"/>
  </r>
  <r>
    <s v="ORD03107"/>
    <d v="2025-02-19T00:00:00"/>
    <x v="6"/>
    <x v="15"/>
    <x v="4"/>
    <s v="China"/>
    <x v="47"/>
    <x v="10"/>
    <n v="31823"/>
    <n v="30282"/>
  </r>
  <r>
    <s v="ORD03108"/>
    <d v="2025-10-04T00:00:00"/>
    <x v="4"/>
    <x v="49"/>
    <x v="5"/>
    <s v="China"/>
    <x v="16"/>
    <x v="21"/>
    <n v="28002"/>
    <n v="23381"/>
  </r>
  <r>
    <s v="ORD03109"/>
    <d v="2025-06-07T00:00:00"/>
    <x v="5"/>
    <x v="41"/>
    <x v="2"/>
    <s v="Brazil"/>
    <x v="38"/>
    <x v="14"/>
    <n v="35911"/>
    <n v="42264"/>
  </r>
  <r>
    <s v="ORD03110"/>
    <d v="2025-07-29T00:00:00"/>
    <x v="0"/>
    <x v="12"/>
    <x v="2"/>
    <s v="South Africa"/>
    <x v="49"/>
    <x v="17"/>
    <n v="30345"/>
    <n v="24595"/>
  </r>
  <r>
    <s v="ORD03111"/>
    <d v="2025-03-21T00:00:00"/>
    <x v="9"/>
    <x v="39"/>
    <x v="6"/>
    <s v="Germany"/>
    <x v="27"/>
    <x v="26"/>
    <n v="27496"/>
    <n v="31267"/>
  </r>
  <r>
    <s v="ORD03112"/>
    <d v="2025-12-08T00:00:00"/>
    <x v="10"/>
    <x v="32"/>
    <x v="5"/>
    <s v="India"/>
    <x v="8"/>
    <x v="23"/>
    <n v="21630"/>
    <n v="23497"/>
  </r>
  <r>
    <s v="ORD03113"/>
    <d v="2025-10-18T00:00:00"/>
    <x v="4"/>
    <x v="10"/>
    <x v="0"/>
    <s v="UK"/>
    <x v="16"/>
    <x v="21"/>
    <n v="17014"/>
    <n v="21193"/>
  </r>
  <r>
    <s v="ORD03114"/>
    <d v="2025-04-08T00:00:00"/>
    <x v="7"/>
    <x v="16"/>
    <x v="1"/>
    <s v="Russia"/>
    <x v="40"/>
    <x v="19"/>
    <n v="39523"/>
    <n v="48696"/>
  </r>
  <r>
    <s v="ORD03115"/>
    <d v="2025-05-24T00:00:00"/>
    <x v="8"/>
    <x v="26"/>
    <x v="0"/>
    <s v="Spain"/>
    <x v="31"/>
    <x v="23"/>
    <n v="19317"/>
    <n v="16336"/>
  </r>
  <r>
    <s v="ORD03116"/>
    <d v="2025-10-18T00:00:00"/>
    <x v="4"/>
    <x v="10"/>
    <x v="1"/>
    <s v="France"/>
    <x v="39"/>
    <x v="16"/>
    <n v="16571"/>
    <n v="15936"/>
  </r>
  <r>
    <s v="ORD03117"/>
    <d v="2025-11-04T00:00:00"/>
    <x v="2"/>
    <x v="51"/>
    <x v="2"/>
    <s v="UK"/>
    <x v="35"/>
    <x v="1"/>
    <n v="23099"/>
    <n v="18574"/>
  </r>
  <r>
    <s v="ORD03118"/>
    <d v="2025-03-10T00:00:00"/>
    <x v="9"/>
    <x v="19"/>
    <x v="3"/>
    <s v="South Africa"/>
    <x v="29"/>
    <x v="11"/>
    <n v="39990"/>
    <n v="35425"/>
  </r>
  <r>
    <s v="ORD03119"/>
    <d v="2025-11-14T00:00:00"/>
    <x v="2"/>
    <x v="44"/>
    <x v="1"/>
    <s v="Mexico"/>
    <x v="33"/>
    <x v="12"/>
    <n v="29827"/>
    <n v="24468"/>
  </r>
  <r>
    <s v="ORD03120"/>
    <d v="2025-05-19T00:00:00"/>
    <x v="8"/>
    <x v="26"/>
    <x v="2"/>
    <s v="Singapore"/>
    <x v="31"/>
    <x v="8"/>
    <n v="37173"/>
    <n v="47921"/>
  </r>
  <r>
    <s v="ORD03121"/>
    <d v="2025-12-26T00:00:00"/>
    <x v="10"/>
    <x v="42"/>
    <x v="3"/>
    <s v="UAE"/>
    <x v="6"/>
    <x v="19"/>
    <n v="32021"/>
    <n v="25885"/>
  </r>
  <r>
    <s v="ORD03122"/>
    <d v="2025-07-01T00:00:00"/>
    <x v="0"/>
    <x v="37"/>
    <x v="3"/>
    <s v="Canada"/>
    <x v="13"/>
    <x v="9"/>
    <n v="32755"/>
    <n v="32172"/>
  </r>
  <r>
    <s v="ORD03123"/>
    <d v="2025-08-10T00:00:00"/>
    <x v="11"/>
    <x v="23"/>
    <x v="4"/>
    <s v="Mexico"/>
    <x v="30"/>
    <x v="6"/>
    <n v="23026"/>
    <n v="28735"/>
  </r>
  <r>
    <s v="ORD03124"/>
    <d v="2025-09-27T00:00:00"/>
    <x v="3"/>
    <x v="25"/>
    <x v="3"/>
    <s v="UK"/>
    <x v="41"/>
    <x v="7"/>
    <n v="18356"/>
    <n v="14307"/>
  </r>
  <r>
    <s v="ORD03125"/>
    <d v="2025-08-26T00:00:00"/>
    <x v="11"/>
    <x v="28"/>
    <x v="4"/>
    <s v="Spain"/>
    <x v="1"/>
    <x v="26"/>
    <n v="17325"/>
    <n v="19562"/>
  </r>
  <r>
    <s v="ORD03126"/>
    <d v="2025-05-02T00:00:00"/>
    <x v="8"/>
    <x v="27"/>
    <x v="0"/>
    <s v="Thailand"/>
    <x v="2"/>
    <x v="26"/>
    <n v="34481"/>
    <n v="32795"/>
  </r>
  <r>
    <s v="ORD03127"/>
    <d v="2025-05-10T00:00:00"/>
    <x v="8"/>
    <x v="18"/>
    <x v="1"/>
    <s v="Russia"/>
    <x v="18"/>
    <x v="27"/>
    <n v="32116"/>
    <n v="39543"/>
  </r>
  <r>
    <s v="ORD03128"/>
    <d v="2025-07-01T00:00:00"/>
    <x v="0"/>
    <x v="37"/>
    <x v="3"/>
    <s v="Russia"/>
    <x v="6"/>
    <x v="29"/>
    <n v="29879"/>
    <n v="22831"/>
  </r>
  <r>
    <s v="ORD03129"/>
    <d v="2025-04-07T00:00:00"/>
    <x v="7"/>
    <x v="16"/>
    <x v="0"/>
    <s v="France"/>
    <x v="3"/>
    <x v="29"/>
    <n v="35669"/>
    <n v="41021"/>
  </r>
  <r>
    <s v="ORD03130"/>
    <d v="2025-04-07T00:00:00"/>
    <x v="7"/>
    <x v="16"/>
    <x v="6"/>
    <s v="Spain"/>
    <x v="5"/>
    <x v="12"/>
    <n v="15841"/>
    <n v="16939"/>
  </r>
  <r>
    <s v="ORD03131"/>
    <d v="2025-08-03T00:00:00"/>
    <x v="11"/>
    <x v="12"/>
    <x v="3"/>
    <s v="Brazil"/>
    <x v="19"/>
    <x v="11"/>
    <n v="29333"/>
    <n v="36377"/>
  </r>
  <r>
    <s v="ORD03132"/>
    <d v="2025-05-04T00:00:00"/>
    <x v="8"/>
    <x v="27"/>
    <x v="3"/>
    <s v="Malaysia"/>
    <x v="26"/>
    <x v="3"/>
    <n v="26513"/>
    <n v="22682"/>
  </r>
  <r>
    <s v="ORD03133"/>
    <d v="2025-08-09T00:00:00"/>
    <x v="11"/>
    <x v="23"/>
    <x v="3"/>
    <s v="Mexico"/>
    <x v="42"/>
    <x v="23"/>
    <n v="32845"/>
    <n v="28036"/>
  </r>
  <r>
    <s v="ORD03134"/>
    <d v="2025-04-16T00:00:00"/>
    <x v="7"/>
    <x v="20"/>
    <x v="5"/>
    <s v="Brazil"/>
    <x v="45"/>
    <x v="15"/>
    <n v="32707"/>
    <n v="35808"/>
  </r>
  <r>
    <s v="ORD03135"/>
    <d v="2025-03-09T00:00:00"/>
    <x v="9"/>
    <x v="35"/>
    <x v="0"/>
    <s v="Spain"/>
    <x v="32"/>
    <x v="26"/>
    <n v="34881"/>
    <n v="38375"/>
  </r>
  <r>
    <s v="ORD03136"/>
    <d v="2025-12-21T00:00:00"/>
    <x v="10"/>
    <x v="21"/>
    <x v="2"/>
    <s v="France"/>
    <x v="22"/>
    <x v="12"/>
    <n v="28155"/>
    <n v="25695"/>
  </r>
  <r>
    <s v="ORD03137"/>
    <d v="2025-12-04T00:00:00"/>
    <x v="10"/>
    <x v="43"/>
    <x v="1"/>
    <s v="Canada"/>
    <x v="7"/>
    <x v="16"/>
    <n v="30741"/>
    <n v="34387"/>
  </r>
  <r>
    <s v="ORD03138"/>
    <d v="2025-06-11T00:00:00"/>
    <x v="5"/>
    <x v="40"/>
    <x v="4"/>
    <s v="Canada"/>
    <x v="24"/>
    <x v="23"/>
    <n v="37461"/>
    <n v="32809"/>
  </r>
  <r>
    <s v="ORD03139"/>
    <d v="2025-04-04T00:00:00"/>
    <x v="7"/>
    <x v="34"/>
    <x v="6"/>
    <s v="Mexico"/>
    <x v="38"/>
    <x v="19"/>
    <n v="22542"/>
    <n v="26833"/>
  </r>
  <r>
    <s v="ORD03140"/>
    <d v="2025-03-18T00:00:00"/>
    <x v="9"/>
    <x v="39"/>
    <x v="3"/>
    <s v="Japan"/>
    <x v="11"/>
    <x v="29"/>
    <n v="24793"/>
    <n v="27824"/>
  </r>
  <r>
    <s v="ORD03141"/>
    <d v="2025-08-20T00:00:00"/>
    <x v="11"/>
    <x v="46"/>
    <x v="1"/>
    <s v="Russia"/>
    <x v="8"/>
    <x v="23"/>
    <n v="37752"/>
    <n v="46555"/>
  </r>
  <r>
    <s v="ORD03142"/>
    <d v="2025-10-06T00:00:00"/>
    <x v="4"/>
    <x v="45"/>
    <x v="2"/>
    <s v="Italy"/>
    <x v="7"/>
    <x v="11"/>
    <n v="17318"/>
    <n v="20402"/>
  </r>
  <r>
    <s v="ORD03143"/>
    <d v="2025-06-27T00:00:00"/>
    <x v="5"/>
    <x v="36"/>
    <x v="4"/>
    <s v="Canada"/>
    <x v="34"/>
    <x v="17"/>
    <n v="26451"/>
    <n v="18897"/>
  </r>
  <r>
    <s v="ORD03144"/>
    <d v="2025-07-20T00:00:00"/>
    <x v="0"/>
    <x v="14"/>
    <x v="4"/>
    <s v="South Africa"/>
    <x v="41"/>
    <x v="26"/>
    <n v="30569"/>
    <n v="36850"/>
  </r>
  <r>
    <s v="ORD03145"/>
    <d v="2025-06-08T00:00:00"/>
    <x v="5"/>
    <x v="41"/>
    <x v="0"/>
    <s v="South Africa"/>
    <x v="26"/>
    <x v="9"/>
    <n v="22475"/>
    <n v="20472"/>
  </r>
  <r>
    <s v="ORD03146"/>
    <d v="2025-06-29T00:00:00"/>
    <x v="5"/>
    <x v="36"/>
    <x v="6"/>
    <s v="Italy"/>
    <x v="36"/>
    <x v="12"/>
    <n v="33841"/>
    <n v="27292"/>
  </r>
  <r>
    <s v="ORD03147"/>
    <d v="2025-07-09T00:00:00"/>
    <x v="0"/>
    <x v="47"/>
    <x v="4"/>
    <s v="USA"/>
    <x v="39"/>
    <x v="19"/>
    <n v="21319"/>
    <n v="19563"/>
  </r>
  <r>
    <s v="ORD03148"/>
    <d v="2025-04-27T00:00:00"/>
    <x v="7"/>
    <x v="38"/>
    <x v="1"/>
    <s v="India"/>
    <x v="24"/>
    <x v="5"/>
    <n v="20429"/>
    <n v="24064"/>
  </r>
  <r>
    <s v="ORD03149"/>
    <d v="2025-07-26T00:00:00"/>
    <x v="0"/>
    <x v="0"/>
    <x v="5"/>
    <s v="Germany"/>
    <x v="39"/>
    <x v="19"/>
    <n v="23274"/>
    <n v="26736"/>
  </r>
  <r>
    <s v="ORD03150"/>
    <d v="2025-12-17T00:00:00"/>
    <x v="10"/>
    <x v="21"/>
    <x v="5"/>
    <s v="UAE"/>
    <x v="20"/>
    <x v="27"/>
    <n v="21540"/>
    <n v="26001"/>
  </r>
  <r>
    <s v="ORD03151"/>
    <d v="2025-09-18T00:00:00"/>
    <x v="3"/>
    <x v="8"/>
    <x v="6"/>
    <s v="Spain"/>
    <x v="2"/>
    <x v="24"/>
    <n v="36374"/>
    <n v="38731"/>
  </r>
  <r>
    <s v="ORD03152"/>
    <d v="2025-09-11T00:00:00"/>
    <x v="3"/>
    <x v="31"/>
    <x v="1"/>
    <s v="UK"/>
    <x v="49"/>
    <x v="0"/>
    <n v="39723"/>
    <n v="46829"/>
  </r>
  <r>
    <s v="ORD03153"/>
    <d v="2025-11-04T00:00:00"/>
    <x v="2"/>
    <x v="51"/>
    <x v="2"/>
    <s v="Russia"/>
    <x v="3"/>
    <x v="5"/>
    <n v="31632"/>
    <n v="31271"/>
  </r>
  <r>
    <s v="ORD03154"/>
    <d v="2025-12-31T00:00:00"/>
    <x v="10"/>
    <x v="5"/>
    <x v="5"/>
    <s v="China"/>
    <x v="4"/>
    <x v="13"/>
    <n v="32618"/>
    <n v="26094"/>
  </r>
  <r>
    <s v="ORD03155"/>
    <d v="2025-10-23T00:00:00"/>
    <x v="4"/>
    <x v="50"/>
    <x v="4"/>
    <s v="China"/>
    <x v="22"/>
    <x v="18"/>
    <n v="34085"/>
    <n v="26598"/>
  </r>
  <r>
    <s v="ORD03156"/>
    <d v="2025-05-16T00:00:00"/>
    <x v="8"/>
    <x v="17"/>
    <x v="5"/>
    <s v="Australia"/>
    <x v="47"/>
    <x v="6"/>
    <n v="19346"/>
    <n v="15151"/>
  </r>
  <r>
    <s v="ORD03157"/>
    <d v="2025-07-19T00:00:00"/>
    <x v="0"/>
    <x v="14"/>
    <x v="2"/>
    <s v="Italy"/>
    <x v="5"/>
    <x v="2"/>
    <n v="21200"/>
    <n v="24027"/>
  </r>
  <r>
    <s v="ORD03158"/>
    <d v="2025-05-18T00:00:00"/>
    <x v="8"/>
    <x v="17"/>
    <x v="1"/>
    <s v="USA"/>
    <x v="12"/>
    <x v="25"/>
    <n v="35610"/>
    <n v="42395"/>
  </r>
  <r>
    <s v="ORD03159"/>
    <d v="2025-07-26T00:00:00"/>
    <x v="0"/>
    <x v="0"/>
    <x v="2"/>
    <s v="Malaysia"/>
    <x v="34"/>
    <x v="21"/>
    <n v="28328"/>
    <n v="29715"/>
  </r>
  <r>
    <s v="ORD03160"/>
    <d v="2025-05-07T00:00:00"/>
    <x v="8"/>
    <x v="18"/>
    <x v="1"/>
    <s v="Brazil"/>
    <x v="49"/>
    <x v="8"/>
    <n v="17862"/>
    <n v="20342"/>
  </r>
  <r>
    <s v="ORD03161"/>
    <d v="2025-06-25T00:00:00"/>
    <x v="5"/>
    <x v="36"/>
    <x v="5"/>
    <s v="Australia"/>
    <x v="35"/>
    <x v="1"/>
    <n v="37612"/>
    <n v="46997"/>
  </r>
  <r>
    <s v="ORD03162"/>
    <d v="2025-04-18T00:00:00"/>
    <x v="7"/>
    <x v="20"/>
    <x v="6"/>
    <s v="Japan"/>
    <x v="36"/>
    <x v="21"/>
    <n v="25128"/>
    <n v="17890"/>
  </r>
  <r>
    <s v="ORD03163"/>
    <d v="2025-12-31T00:00:00"/>
    <x v="10"/>
    <x v="5"/>
    <x v="1"/>
    <s v="France"/>
    <x v="11"/>
    <x v="23"/>
    <n v="20081"/>
    <n v="22562"/>
  </r>
  <r>
    <s v="ORD03164"/>
    <d v="2025-01-11T00:00:00"/>
    <x v="1"/>
    <x v="6"/>
    <x v="5"/>
    <s v="Thailand"/>
    <x v="18"/>
    <x v="29"/>
    <n v="36454"/>
    <n v="46331"/>
  </r>
  <r>
    <s v="ORD03165"/>
    <d v="2025-01-25T00:00:00"/>
    <x v="1"/>
    <x v="7"/>
    <x v="3"/>
    <s v="India"/>
    <x v="26"/>
    <x v="24"/>
    <n v="39130"/>
    <n v="43834"/>
  </r>
  <r>
    <s v="ORD03166"/>
    <d v="2025-03-19T00:00:00"/>
    <x v="9"/>
    <x v="39"/>
    <x v="1"/>
    <s v="France"/>
    <x v="15"/>
    <x v="12"/>
    <n v="17774"/>
    <n v="19715"/>
  </r>
  <r>
    <s v="ORD03167"/>
    <d v="2025-02-22T00:00:00"/>
    <x v="6"/>
    <x v="15"/>
    <x v="2"/>
    <s v="UK"/>
    <x v="6"/>
    <x v="19"/>
    <n v="19446"/>
    <n v="15824"/>
  </r>
  <r>
    <s v="ORD03168"/>
    <d v="2025-12-16T00:00:00"/>
    <x v="10"/>
    <x v="21"/>
    <x v="0"/>
    <s v="Turkey"/>
    <x v="44"/>
    <x v="17"/>
    <n v="25259"/>
    <n v="32829"/>
  </r>
  <r>
    <s v="ORD03169"/>
    <d v="2025-07-20T00:00:00"/>
    <x v="0"/>
    <x v="14"/>
    <x v="1"/>
    <s v="China"/>
    <x v="35"/>
    <x v="3"/>
    <n v="26386"/>
    <n v="27760"/>
  </r>
  <r>
    <s v="ORD03170"/>
    <d v="2025-02-27T00:00:00"/>
    <x v="6"/>
    <x v="22"/>
    <x v="6"/>
    <s v="India"/>
    <x v="14"/>
    <x v="22"/>
    <n v="32906"/>
    <n v="38055"/>
  </r>
  <r>
    <s v="ORD03171"/>
    <d v="2025-11-12T00:00:00"/>
    <x v="2"/>
    <x v="44"/>
    <x v="0"/>
    <s v="Singapore"/>
    <x v="11"/>
    <x v="16"/>
    <n v="23115"/>
    <n v="16819"/>
  </r>
  <r>
    <s v="ORD03172"/>
    <d v="2025-05-25T00:00:00"/>
    <x v="8"/>
    <x v="26"/>
    <x v="0"/>
    <s v="Germany"/>
    <x v="13"/>
    <x v="21"/>
    <n v="33966"/>
    <n v="39558"/>
  </r>
  <r>
    <s v="ORD03173"/>
    <d v="2025-03-04T00:00:00"/>
    <x v="9"/>
    <x v="35"/>
    <x v="5"/>
    <s v="Thailand"/>
    <x v="22"/>
    <x v="18"/>
    <n v="18305"/>
    <n v="21013"/>
  </r>
  <r>
    <s v="ORD03174"/>
    <d v="2025-05-17T00:00:00"/>
    <x v="8"/>
    <x v="17"/>
    <x v="6"/>
    <s v="Germany"/>
    <x v="11"/>
    <x v="2"/>
    <n v="15974"/>
    <n v="11494"/>
  </r>
  <r>
    <s v="ORD03175"/>
    <d v="2025-08-05T00:00:00"/>
    <x v="11"/>
    <x v="23"/>
    <x v="2"/>
    <s v="Italy"/>
    <x v="24"/>
    <x v="0"/>
    <n v="35965"/>
    <n v="32590"/>
  </r>
  <r>
    <s v="ORD03176"/>
    <d v="2025-08-23T00:00:00"/>
    <x v="11"/>
    <x v="46"/>
    <x v="1"/>
    <s v="Japan"/>
    <x v="32"/>
    <x v="29"/>
    <n v="21372"/>
    <n v="22338"/>
  </r>
  <r>
    <s v="ORD03177"/>
    <d v="2025-11-13T00:00:00"/>
    <x v="2"/>
    <x v="44"/>
    <x v="3"/>
    <s v="Malaysia"/>
    <x v="12"/>
    <x v="3"/>
    <n v="31278"/>
    <n v="27958"/>
  </r>
  <r>
    <s v="ORD03178"/>
    <d v="2025-05-16T00:00:00"/>
    <x v="8"/>
    <x v="17"/>
    <x v="3"/>
    <s v="China"/>
    <x v="6"/>
    <x v="25"/>
    <n v="33161"/>
    <n v="25204"/>
  </r>
  <r>
    <s v="ORD03179"/>
    <d v="2025-07-15T00:00:00"/>
    <x v="0"/>
    <x v="14"/>
    <x v="1"/>
    <s v="Germany"/>
    <x v="47"/>
    <x v="27"/>
    <n v="19755"/>
    <n v="20530"/>
  </r>
  <r>
    <s v="ORD03180"/>
    <d v="2025-01-04T00:00:00"/>
    <x v="1"/>
    <x v="5"/>
    <x v="4"/>
    <s v="Canada"/>
    <x v="28"/>
    <x v="6"/>
    <n v="24522"/>
    <n v="17260"/>
  </r>
  <r>
    <s v="ORD03181"/>
    <d v="2025-07-06T00:00:00"/>
    <x v="0"/>
    <x v="37"/>
    <x v="4"/>
    <s v="Malaysia"/>
    <x v="3"/>
    <x v="13"/>
    <n v="26690"/>
    <n v="19349"/>
  </r>
  <r>
    <s v="ORD03182"/>
    <d v="2025-10-15T00:00:00"/>
    <x v="4"/>
    <x v="10"/>
    <x v="3"/>
    <s v="Canada"/>
    <x v="46"/>
    <x v="21"/>
    <n v="38948"/>
    <n v="49001"/>
  </r>
  <r>
    <s v="ORD03183"/>
    <d v="2025-12-03T00:00:00"/>
    <x v="10"/>
    <x v="43"/>
    <x v="2"/>
    <s v="China"/>
    <x v="18"/>
    <x v="22"/>
    <n v="17297"/>
    <n v="20897"/>
  </r>
  <r>
    <s v="ORD03184"/>
    <d v="2025-09-17T00:00:00"/>
    <x v="3"/>
    <x v="8"/>
    <x v="4"/>
    <s v="UK"/>
    <x v="26"/>
    <x v="9"/>
    <n v="28748"/>
    <n v="32614"/>
  </r>
  <r>
    <s v="ORD03185"/>
    <d v="2025-07-03T00:00:00"/>
    <x v="0"/>
    <x v="37"/>
    <x v="1"/>
    <s v="Germany"/>
    <x v="12"/>
    <x v="29"/>
    <n v="38874"/>
    <n v="47642"/>
  </r>
  <r>
    <s v="ORD03186"/>
    <d v="2025-06-14T00:00:00"/>
    <x v="5"/>
    <x v="40"/>
    <x v="6"/>
    <s v="Italy"/>
    <x v="27"/>
    <x v="9"/>
    <n v="18409"/>
    <n v="13877"/>
  </r>
  <r>
    <s v="ORD03187"/>
    <d v="2025-04-12T00:00:00"/>
    <x v="7"/>
    <x v="16"/>
    <x v="0"/>
    <s v="Turkey"/>
    <x v="47"/>
    <x v="3"/>
    <n v="23660"/>
    <n v="28853"/>
  </r>
  <r>
    <s v="ORD03188"/>
    <d v="2025-08-25T00:00:00"/>
    <x v="11"/>
    <x v="28"/>
    <x v="5"/>
    <s v="UK"/>
    <x v="36"/>
    <x v="8"/>
    <n v="15366"/>
    <n v="18910"/>
  </r>
  <r>
    <s v="ORD03189"/>
    <d v="2025-11-07T00:00:00"/>
    <x v="2"/>
    <x v="51"/>
    <x v="3"/>
    <s v="Mexico"/>
    <x v="42"/>
    <x v="17"/>
    <n v="21416"/>
    <n v="27269"/>
  </r>
  <r>
    <s v="ORD03190"/>
    <d v="2025-12-12T00:00:00"/>
    <x v="10"/>
    <x v="32"/>
    <x v="1"/>
    <s v="UK"/>
    <x v="18"/>
    <x v="25"/>
    <n v="31286"/>
    <n v="25540"/>
  </r>
  <r>
    <s v="ORD03191"/>
    <d v="2025-03-17T00:00:00"/>
    <x v="9"/>
    <x v="39"/>
    <x v="6"/>
    <s v="Mexico"/>
    <x v="6"/>
    <x v="0"/>
    <n v="22755"/>
    <n v="19899"/>
  </r>
  <r>
    <s v="ORD03192"/>
    <d v="2025-06-14T00:00:00"/>
    <x v="5"/>
    <x v="40"/>
    <x v="3"/>
    <s v="USA"/>
    <x v="3"/>
    <x v="29"/>
    <n v="18666"/>
    <n v="19682"/>
  </r>
  <r>
    <s v="ORD03193"/>
    <d v="2025-12-04T00:00:00"/>
    <x v="10"/>
    <x v="43"/>
    <x v="1"/>
    <s v="France"/>
    <x v="43"/>
    <x v="29"/>
    <n v="31810"/>
    <n v="25730"/>
  </r>
  <r>
    <s v="ORD03194"/>
    <d v="2025-10-14T00:00:00"/>
    <x v="4"/>
    <x v="10"/>
    <x v="5"/>
    <s v="India"/>
    <x v="34"/>
    <x v="6"/>
    <n v="33800"/>
    <n v="30766"/>
  </r>
  <r>
    <s v="ORD03195"/>
    <d v="2025-10-19T00:00:00"/>
    <x v="4"/>
    <x v="10"/>
    <x v="3"/>
    <s v="Malaysia"/>
    <x v="35"/>
    <x v="25"/>
    <n v="38525"/>
    <n v="42655"/>
  </r>
  <r>
    <s v="ORD03196"/>
    <d v="2025-10-27T00:00:00"/>
    <x v="4"/>
    <x v="2"/>
    <x v="6"/>
    <s v="Canada"/>
    <x v="5"/>
    <x v="26"/>
    <n v="26120"/>
    <n v="30802"/>
  </r>
  <r>
    <s v="ORD03197"/>
    <d v="2025-06-07T00:00:00"/>
    <x v="5"/>
    <x v="41"/>
    <x v="0"/>
    <s v="Thailand"/>
    <x v="36"/>
    <x v="17"/>
    <n v="23193"/>
    <n v="23416"/>
  </r>
  <r>
    <s v="ORD03198"/>
    <d v="2025-04-28T00:00:00"/>
    <x v="7"/>
    <x v="27"/>
    <x v="0"/>
    <s v="UK"/>
    <x v="7"/>
    <x v="18"/>
    <n v="38616"/>
    <n v="34437"/>
  </r>
  <r>
    <s v="ORD03199"/>
    <d v="2025-03-06T00:00:00"/>
    <x v="9"/>
    <x v="35"/>
    <x v="4"/>
    <s v="Thailand"/>
    <x v="24"/>
    <x v="16"/>
    <n v="21847"/>
    <n v="17528"/>
  </r>
  <r>
    <s v="ORD03200"/>
    <d v="2025-11-25T00:00:00"/>
    <x v="2"/>
    <x v="11"/>
    <x v="1"/>
    <s v="Thailand"/>
    <x v="8"/>
    <x v="20"/>
    <n v="36407"/>
    <n v="28559"/>
  </r>
  <r>
    <s v="ORD03201"/>
    <d v="2025-10-26T00:00:00"/>
    <x v="4"/>
    <x v="50"/>
    <x v="6"/>
    <s v="UAE"/>
    <x v="1"/>
    <x v="2"/>
    <n v="15898"/>
    <n v="16641"/>
  </r>
  <r>
    <s v="ORD03202"/>
    <d v="2025-05-18T00:00:00"/>
    <x v="8"/>
    <x v="17"/>
    <x v="6"/>
    <s v="Italy"/>
    <x v="3"/>
    <x v="25"/>
    <n v="15834"/>
    <n v="12329"/>
  </r>
  <r>
    <s v="ORD03203"/>
    <d v="2025-12-29T00:00:00"/>
    <x v="10"/>
    <x v="5"/>
    <x v="5"/>
    <s v="Singapore"/>
    <x v="30"/>
    <x v="14"/>
    <n v="16391"/>
    <n v="19733"/>
  </r>
  <r>
    <s v="ORD03204"/>
    <d v="2025-10-31T00:00:00"/>
    <x v="4"/>
    <x v="2"/>
    <x v="0"/>
    <s v="Russia"/>
    <x v="15"/>
    <x v="2"/>
    <n v="26914"/>
    <n v="28266"/>
  </r>
  <r>
    <s v="ORD03205"/>
    <d v="2025-07-23T00:00:00"/>
    <x v="0"/>
    <x v="0"/>
    <x v="2"/>
    <s v="Spain"/>
    <x v="14"/>
    <x v="4"/>
    <n v="28861"/>
    <n v="24257"/>
  </r>
  <r>
    <s v="ORD03206"/>
    <d v="2025-02-17T00:00:00"/>
    <x v="6"/>
    <x v="15"/>
    <x v="0"/>
    <s v="Mexico"/>
    <x v="15"/>
    <x v="4"/>
    <n v="19895"/>
    <n v="20349"/>
  </r>
  <r>
    <s v="ORD03207"/>
    <d v="2025-05-11T00:00:00"/>
    <x v="8"/>
    <x v="18"/>
    <x v="6"/>
    <s v="Thailand"/>
    <x v="24"/>
    <x v="27"/>
    <n v="35463"/>
    <n v="39753"/>
  </r>
  <r>
    <s v="ORD03208"/>
    <d v="2025-07-25T00:00:00"/>
    <x v="0"/>
    <x v="0"/>
    <x v="5"/>
    <s v="Germany"/>
    <x v="46"/>
    <x v="25"/>
    <n v="28431"/>
    <n v="27791"/>
  </r>
  <r>
    <s v="ORD03209"/>
    <d v="2025-05-30T00:00:00"/>
    <x v="8"/>
    <x v="24"/>
    <x v="0"/>
    <s v="Russia"/>
    <x v="19"/>
    <x v="16"/>
    <n v="28818"/>
    <n v="28340"/>
  </r>
  <r>
    <s v="ORD03210"/>
    <d v="2025-01-02T00:00:00"/>
    <x v="1"/>
    <x v="5"/>
    <x v="1"/>
    <s v="USA"/>
    <x v="18"/>
    <x v="27"/>
    <n v="23787"/>
    <n v="27246"/>
  </r>
  <r>
    <s v="ORD03211"/>
    <d v="2025-08-04T00:00:00"/>
    <x v="11"/>
    <x v="23"/>
    <x v="1"/>
    <s v="Russia"/>
    <x v="8"/>
    <x v="15"/>
    <n v="25538"/>
    <n v="23187"/>
  </r>
  <r>
    <s v="ORD03212"/>
    <d v="2025-03-07T00:00:00"/>
    <x v="9"/>
    <x v="35"/>
    <x v="1"/>
    <s v="Turkey"/>
    <x v="22"/>
    <x v="27"/>
    <n v="30283"/>
    <n v="32620"/>
  </r>
  <r>
    <s v="ORD03213"/>
    <d v="2025-01-14T00:00:00"/>
    <x v="1"/>
    <x v="1"/>
    <x v="4"/>
    <s v="Brazil"/>
    <x v="48"/>
    <x v="14"/>
    <n v="37545"/>
    <n v="29776"/>
  </r>
  <r>
    <s v="ORD03214"/>
    <d v="2025-12-18T00:00:00"/>
    <x v="10"/>
    <x v="21"/>
    <x v="6"/>
    <s v="UK"/>
    <x v="36"/>
    <x v="28"/>
    <n v="30182"/>
    <n v="30237"/>
  </r>
  <r>
    <s v="ORD03215"/>
    <d v="2025-06-20T00:00:00"/>
    <x v="5"/>
    <x v="13"/>
    <x v="1"/>
    <s v="Australia"/>
    <x v="32"/>
    <x v="1"/>
    <n v="26939"/>
    <n v="29276"/>
  </r>
  <r>
    <s v="ORD03216"/>
    <d v="2025-02-06T00:00:00"/>
    <x v="6"/>
    <x v="48"/>
    <x v="6"/>
    <s v="Italy"/>
    <x v="38"/>
    <x v="5"/>
    <n v="30502"/>
    <n v="28430"/>
  </r>
  <r>
    <s v="ORD03217"/>
    <d v="2025-09-26T00:00:00"/>
    <x v="3"/>
    <x v="25"/>
    <x v="2"/>
    <s v="UAE"/>
    <x v="42"/>
    <x v="15"/>
    <n v="16404"/>
    <n v="14194"/>
  </r>
  <r>
    <s v="ORD03218"/>
    <d v="2025-10-08T00:00:00"/>
    <x v="4"/>
    <x v="45"/>
    <x v="6"/>
    <s v="France"/>
    <x v="2"/>
    <x v="7"/>
    <n v="30670"/>
    <n v="31160"/>
  </r>
  <r>
    <s v="ORD03219"/>
    <d v="2025-09-21T00:00:00"/>
    <x v="3"/>
    <x v="8"/>
    <x v="5"/>
    <s v="USA"/>
    <x v="36"/>
    <x v="11"/>
    <n v="37160"/>
    <n v="35643"/>
  </r>
  <r>
    <s v="ORD03220"/>
    <d v="2025-06-11T00:00:00"/>
    <x v="5"/>
    <x v="40"/>
    <x v="5"/>
    <s v="Singapore"/>
    <x v="10"/>
    <x v="20"/>
    <n v="24803"/>
    <n v="28952"/>
  </r>
  <r>
    <s v="ORD03221"/>
    <d v="2025-04-02T00:00:00"/>
    <x v="7"/>
    <x v="34"/>
    <x v="1"/>
    <s v="France"/>
    <x v="28"/>
    <x v="12"/>
    <n v="38933"/>
    <n v="41223"/>
  </r>
  <r>
    <s v="ORD03222"/>
    <d v="2025-11-03T00:00:00"/>
    <x v="2"/>
    <x v="51"/>
    <x v="4"/>
    <s v="China"/>
    <x v="28"/>
    <x v="10"/>
    <n v="18693"/>
    <n v="19467"/>
  </r>
  <r>
    <s v="ORD03223"/>
    <d v="2025-12-01T00:00:00"/>
    <x v="10"/>
    <x v="43"/>
    <x v="1"/>
    <s v="Singapore"/>
    <x v="3"/>
    <x v="24"/>
    <n v="16906"/>
    <n v="19203"/>
  </r>
  <r>
    <s v="ORD03224"/>
    <d v="2025-06-06T00:00:00"/>
    <x v="5"/>
    <x v="41"/>
    <x v="2"/>
    <s v="South Africa"/>
    <x v="29"/>
    <x v="25"/>
    <n v="21796"/>
    <n v="19670"/>
  </r>
  <r>
    <s v="ORD03225"/>
    <d v="2025-03-27T00:00:00"/>
    <x v="9"/>
    <x v="33"/>
    <x v="5"/>
    <s v="Thailand"/>
    <x v="22"/>
    <x v="29"/>
    <n v="36485"/>
    <n v="25985"/>
  </r>
  <r>
    <s v="ORD03226"/>
    <d v="2025-09-21T00:00:00"/>
    <x v="3"/>
    <x v="8"/>
    <x v="3"/>
    <s v="France"/>
    <x v="16"/>
    <x v="11"/>
    <n v="27724"/>
    <n v="24461"/>
  </r>
  <r>
    <s v="ORD03227"/>
    <d v="2025-05-03T00:00:00"/>
    <x v="8"/>
    <x v="27"/>
    <x v="5"/>
    <s v="France"/>
    <x v="33"/>
    <x v="9"/>
    <n v="17218"/>
    <n v="18534"/>
  </r>
  <r>
    <s v="ORD03228"/>
    <d v="2025-04-09T00:00:00"/>
    <x v="7"/>
    <x v="16"/>
    <x v="3"/>
    <s v="Spain"/>
    <x v="14"/>
    <x v="23"/>
    <n v="16583"/>
    <n v="18057"/>
  </r>
  <r>
    <s v="ORD03229"/>
    <d v="2025-10-25T00:00:00"/>
    <x v="4"/>
    <x v="50"/>
    <x v="2"/>
    <s v="Russia"/>
    <x v="2"/>
    <x v="29"/>
    <n v="39809"/>
    <n v="35090"/>
  </r>
  <r>
    <s v="ORD03230"/>
    <d v="2025-06-09T00:00:00"/>
    <x v="5"/>
    <x v="40"/>
    <x v="1"/>
    <s v="UK"/>
    <x v="42"/>
    <x v="27"/>
    <n v="16868"/>
    <n v="12849"/>
  </r>
  <r>
    <s v="ORD03231"/>
    <d v="2025-09-22T00:00:00"/>
    <x v="3"/>
    <x v="25"/>
    <x v="0"/>
    <s v="Singapore"/>
    <x v="17"/>
    <x v="14"/>
    <n v="20847"/>
    <n v="25738"/>
  </r>
  <r>
    <s v="ORD03232"/>
    <d v="2025-04-01T00:00:00"/>
    <x v="7"/>
    <x v="34"/>
    <x v="0"/>
    <s v="South Africa"/>
    <x v="40"/>
    <x v="27"/>
    <n v="38040"/>
    <n v="28729"/>
  </r>
  <r>
    <s v="ORD03233"/>
    <d v="2025-07-04T00:00:00"/>
    <x v="0"/>
    <x v="37"/>
    <x v="6"/>
    <s v="Mexico"/>
    <x v="16"/>
    <x v="21"/>
    <n v="28237"/>
    <n v="29201"/>
  </r>
  <r>
    <s v="ORD03234"/>
    <d v="2025-11-25T00:00:00"/>
    <x v="2"/>
    <x v="11"/>
    <x v="5"/>
    <s v="Thailand"/>
    <x v="27"/>
    <x v="12"/>
    <n v="27213"/>
    <n v="30856"/>
  </r>
  <r>
    <s v="ORD03235"/>
    <d v="2025-05-12T00:00:00"/>
    <x v="8"/>
    <x v="17"/>
    <x v="2"/>
    <s v="Japan"/>
    <x v="41"/>
    <x v="26"/>
    <n v="31006"/>
    <n v="29596"/>
  </r>
  <r>
    <s v="ORD03236"/>
    <d v="2025-09-03T00:00:00"/>
    <x v="3"/>
    <x v="4"/>
    <x v="5"/>
    <s v="Australia"/>
    <x v="33"/>
    <x v="7"/>
    <n v="21310"/>
    <n v="19787"/>
  </r>
  <r>
    <s v="ORD03237"/>
    <d v="2025-09-17T00:00:00"/>
    <x v="3"/>
    <x v="8"/>
    <x v="3"/>
    <s v="Brazil"/>
    <x v="1"/>
    <x v="19"/>
    <n v="28668"/>
    <n v="35381"/>
  </r>
  <r>
    <s v="ORD03238"/>
    <d v="2025-11-18T00:00:00"/>
    <x v="2"/>
    <x v="9"/>
    <x v="1"/>
    <s v="Japan"/>
    <x v="49"/>
    <x v="0"/>
    <n v="33983"/>
    <n v="28441"/>
  </r>
  <r>
    <s v="ORD03239"/>
    <d v="2025-07-06T00:00:00"/>
    <x v="0"/>
    <x v="37"/>
    <x v="2"/>
    <s v="Italy"/>
    <x v="1"/>
    <x v="9"/>
    <n v="23160"/>
    <n v="24499"/>
  </r>
  <r>
    <s v="ORD03240"/>
    <d v="2025-01-15T00:00:00"/>
    <x v="1"/>
    <x v="1"/>
    <x v="6"/>
    <s v="France"/>
    <x v="37"/>
    <x v="0"/>
    <n v="37820"/>
    <n v="44021"/>
  </r>
  <r>
    <s v="ORD03241"/>
    <d v="2025-02-10T00:00:00"/>
    <x v="6"/>
    <x v="29"/>
    <x v="3"/>
    <s v="Spain"/>
    <x v="23"/>
    <x v="25"/>
    <n v="20394"/>
    <n v="20659"/>
  </r>
  <r>
    <s v="ORD03242"/>
    <d v="2025-04-28T00:00:00"/>
    <x v="7"/>
    <x v="27"/>
    <x v="1"/>
    <s v="Turkey"/>
    <x v="10"/>
    <x v="23"/>
    <n v="34136"/>
    <n v="40933"/>
  </r>
  <r>
    <s v="ORD03243"/>
    <d v="2025-04-06T00:00:00"/>
    <x v="7"/>
    <x v="34"/>
    <x v="2"/>
    <s v="Russia"/>
    <x v="49"/>
    <x v="1"/>
    <n v="31584"/>
    <n v="33242"/>
  </r>
  <r>
    <s v="ORD03244"/>
    <d v="2025-07-30T00:00:00"/>
    <x v="0"/>
    <x v="12"/>
    <x v="4"/>
    <s v="Canada"/>
    <x v="41"/>
    <x v="23"/>
    <n v="27756"/>
    <n v="20108"/>
  </r>
  <r>
    <s v="ORD03245"/>
    <d v="2025-11-07T00:00:00"/>
    <x v="2"/>
    <x v="51"/>
    <x v="0"/>
    <s v="Canada"/>
    <x v="4"/>
    <x v="5"/>
    <n v="28819"/>
    <n v="27592"/>
  </r>
  <r>
    <s v="ORD03246"/>
    <d v="2025-12-25T00:00:00"/>
    <x v="10"/>
    <x v="42"/>
    <x v="6"/>
    <s v="Malaysia"/>
    <x v="11"/>
    <x v="6"/>
    <n v="25519"/>
    <n v="22747"/>
  </r>
  <r>
    <s v="ORD03247"/>
    <d v="2025-12-13T00:00:00"/>
    <x v="10"/>
    <x v="32"/>
    <x v="2"/>
    <s v="Japan"/>
    <x v="11"/>
    <x v="18"/>
    <n v="34506"/>
    <n v="44238"/>
  </r>
  <r>
    <s v="ORD03248"/>
    <d v="2025-04-17T00:00:00"/>
    <x v="7"/>
    <x v="20"/>
    <x v="5"/>
    <s v="Italy"/>
    <x v="26"/>
    <x v="9"/>
    <n v="36110"/>
    <n v="28209"/>
  </r>
  <r>
    <s v="ORD03249"/>
    <d v="2025-08-19T00:00:00"/>
    <x v="11"/>
    <x v="46"/>
    <x v="0"/>
    <s v="Australia"/>
    <x v="44"/>
    <x v="6"/>
    <n v="18971"/>
    <n v="16837"/>
  </r>
  <r>
    <s v="ORD03250"/>
    <d v="2025-01-08T00:00:00"/>
    <x v="1"/>
    <x v="6"/>
    <x v="0"/>
    <s v="Malaysia"/>
    <x v="38"/>
    <x v="9"/>
    <n v="17150"/>
    <n v="13516"/>
  </r>
  <r>
    <s v="ORD03251"/>
    <d v="2025-12-21T00:00:00"/>
    <x v="10"/>
    <x v="21"/>
    <x v="4"/>
    <s v="Canada"/>
    <x v="15"/>
    <x v="8"/>
    <n v="25369"/>
    <n v="28348"/>
  </r>
  <r>
    <s v="ORD03252"/>
    <d v="2025-12-03T00:00:00"/>
    <x v="10"/>
    <x v="43"/>
    <x v="3"/>
    <s v="South Africa"/>
    <x v="28"/>
    <x v="20"/>
    <n v="39301"/>
    <n v="32749"/>
  </r>
  <r>
    <s v="ORD03253"/>
    <d v="2025-05-12T00:00:00"/>
    <x v="8"/>
    <x v="17"/>
    <x v="3"/>
    <s v="Brazil"/>
    <x v="43"/>
    <x v="9"/>
    <n v="24264"/>
    <n v="24370"/>
  </r>
  <r>
    <s v="ORD03254"/>
    <d v="2025-08-30T00:00:00"/>
    <x v="11"/>
    <x v="28"/>
    <x v="5"/>
    <s v="Australia"/>
    <x v="24"/>
    <x v="8"/>
    <n v="19574"/>
    <n v="19791"/>
  </r>
  <r>
    <s v="ORD03255"/>
    <d v="2025-06-09T00:00:00"/>
    <x v="5"/>
    <x v="40"/>
    <x v="3"/>
    <s v="Malaysia"/>
    <x v="43"/>
    <x v="10"/>
    <n v="24573"/>
    <n v="29342"/>
  </r>
  <r>
    <s v="ORD03256"/>
    <d v="2025-11-05T00:00:00"/>
    <x v="2"/>
    <x v="51"/>
    <x v="6"/>
    <s v="Turkey"/>
    <x v="9"/>
    <x v="29"/>
    <n v="25687"/>
    <n v="29150"/>
  </r>
  <r>
    <s v="ORD03257"/>
    <d v="2025-01-05T00:00:00"/>
    <x v="1"/>
    <x v="5"/>
    <x v="3"/>
    <s v="Turkey"/>
    <x v="20"/>
    <x v="26"/>
    <n v="38537"/>
    <n v="29686"/>
  </r>
  <r>
    <s v="ORD03258"/>
    <d v="2025-07-06T00:00:00"/>
    <x v="0"/>
    <x v="37"/>
    <x v="4"/>
    <s v="Mexico"/>
    <x v="26"/>
    <x v="16"/>
    <n v="22660"/>
    <n v="25386"/>
  </r>
  <r>
    <s v="ORD03259"/>
    <d v="2025-10-31T00:00:00"/>
    <x v="4"/>
    <x v="2"/>
    <x v="4"/>
    <s v="China"/>
    <x v="22"/>
    <x v="0"/>
    <n v="39745"/>
    <n v="38702"/>
  </r>
  <r>
    <s v="ORD03260"/>
    <d v="2025-04-13T00:00:00"/>
    <x v="7"/>
    <x v="16"/>
    <x v="6"/>
    <s v="Italy"/>
    <x v="31"/>
    <x v="26"/>
    <n v="38295"/>
    <n v="35528"/>
  </r>
  <r>
    <s v="ORD03261"/>
    <d v="2025-05-28T00:00:00"/>
    <x v="8"/>
    <x v="24"/>
    <x v="3"/>
    <s v="Italy"/>
    <x v="16"/>
    <x v="13"/>
    <n v="33493"/>
    <n v="24843"/>
  </r>
  <r>
    <s v="ORD03262"/>
    <d v="2025-06-16T00:00:00"/>
    <x v="5"/>
    <x v="13"/>
    <x v="4"/>
    <s v="France"/>
    <x v="33"/>
    <x v="1"/>
    <n v="22909"/>
    <n v="28667"/>
  </r>
  <r>
    <s v="ORD03263"/>
    <d v="2025-10-28T00:00:00"/>
    <x v="4"/>
    <x v="2"/>
    <x v="3"/>
    <s v="Italy"/>
    <x v="5"/>
    <x v="29"/>
    <n v="17292"/>
    <n v="16963"/>
  </r>
  <r>
    <s v="ORD03264"/>
    <d v="2025-04-04T00:00:00"/>
    <x v="7"/>
    <x v="34"/>
    <x v="6"/>
    <s v="South Africa"/>
    <x v="30"/>
    <x v="29"/>
    <n v="38760"/>
    <n v="32275"/>
  </r>
  <r>
    <s v="ORD03265"/>
    <d v="2025-08-28T00:00:00"/>
    <x v="11"/>
    <x v="28"/>
    <x v="4"/>
    <s v="Italy"/>
    <x v="42"/>
    <x v="24"/>
    <n v="32610"/>
    <n v="29598"/>
  </r>
  <r>
    <s v="ORD03266"/>
    <d v="2025-04-24T00:00:00"/>
    <x v="7"/>
    <x v="38"/>
    <x v="3"/>
    <s v="Mexico"/>
    <x v="4"/>
    <x v="9"/>
    <n v="34530"/>
    <n v="33532"/>
  </r>
  <r>
    <s v="ORD03267"/>
    <d v="2025-12-09T00:00:00"/>
    <x v="10"/>
    <x v="32"/>
    <x v="3"/>
    <s v="India"/>
    <x v="19"/>
    <x v="21"/>
    <n v="20665"/>
    <n v="17738"/>
  </r>
  <r>
    <s v="ORD03268"/>
    <d v="2025-11-08T00:00:00"/>
    <x v="2"/>
    <x v="51"/>
    <x v="2"/>
    <s v="South Africa"/>
    <x v="41"/>
    <x v="29"/>
    <n v="32642"/>
    <n v="30668"/>
  </r>
  <r>
    <s v="ORD03269"/>
    <d v="2025-05-31T00:00:00"/>
    <x v="8"/>
    <x v="24"/>
    <x v="5"/>
    <s v="Brazil"/>
    <x v="29"/>
    <x v="16"/>
    <n v="39235"/>
    <n v="47804"/>
  </r>
  <r>
    <s v="ORD03270"/>
    <d v="2025-08-28T00:00:00"/>
    <x v="11"/>
    <x v="28"/>
    <x v="3"/>
    <s v="China"/>
    <x v="22"/>
    <x v="21"/>
    <n v="23612"/>
    <n v="27905"/>
  </r>
  <r>
    <s v="ORD03271"/>
    <d v="2025-09-25T00:00:00"/>
    <x v="3"/>
    <x v="25"/>
    <x v="4"/>
    <s v="UAE"/>
    <x v="19"/>
    <x v="12"/>
    <n v="18986"/>
    <n v="22666"/>
  </r>
  <r>
    <s v="ORD03272"/>
    <d v="2025-06-10T00:00:00"/>
    <x v="5"/>
    <x v="40"/>
    <x v="3"/>
    <s v="Brazil"/>
    <x v="21"/>
    <x v="3"/>
    <n v="20332"/>
    <n v="17373"/>
  </r>
  <r>
    <s v="ORD03273"/>
    <d v="2025-08-30T00:00:00"/>
    <x v="11"/>
    <x v="28"/>
    <x v="4"/>
    <s v="South Africa"/>
    <x v="39"/>
    <x v="28"/>
    <n v="36078"/>
    <n v="25596"/>
  </r>
  <r>
    <s v="ORD03274"/>
    <d v="2025-01-20T00:00:00"/>
    <x v="1"/>
    <x v="7"/>
    <x v="1"/>
    <s v="Singapore"/>
    <x v="25"/>
    <x v="18"/>
    <n v="31202"/>
    <n v="29893"/>
  </r>
  <r>
    <s v="ORD03275"/>
    <d v="2025-03-19T00:00:00"/>
    <x v="9"/>
    <x v="39"/>
    <x v="4"/>
    <s v="India"/>
    <x v="32"/>
    <x v="27"/>
    <n v="37448"/>
    <n v="32755"/>
  </r>
  <r>
    <s v="ORD03276"/>
    <d v="2025-04-26T00:00:00"/>
    <x v="7"/>
    <x v="38"/>
    <x v="4"/>
    <s v="Brazil"/>
    <x v="0"/>
    <x v="5"/>
    <n v="19712"/>
    <n v="17173"/>
  </r>
  <r>
    <s v="ORD03277"/>
    <d v="2025-08-09T00:00:00"/>
    <x v="11"/>
    <x v="23"/>
    <x v="5"/>
    <s v="USA"/>
    <x v="49"/>
    <x v="4"/>
    <n v="18383"/>
    <n v="16288"/>
  </r>
  <r>
    <s v="ORD03278"/>
    <d v="2025-08-15T00:00:00"/>
    <x v="11"/>
    <x v="30"/>
    <x v="0"/>
    <s v="Spain"/>
    <x v="33"/>
    <x v="0"/>
    <n v="29326"/>
    <n v="25444"/>
  </r>
  <r>
    <s v="ORD03279"/>
    <d v="2025-12-20T00:00:00"/>
    <x v="10"/>
    <x v="21"/>
    <x v="4"/>
    <s v="Malaysia"/>
    <x v="34"/>
    <x v="4"/>
    <n v="20970"/>
    <n v="15298"/>
  </r>
  <r>
    <s v="ORD03280"/>
    <d v="2025-05-08T00:00:00"/>
    <x v="8"/>
    <x v="18"/>
    <x v="4"/>
    <s v="Brazil"/>
    <x v="42"/>
    <x v="16"/>
    <n v="35353"/>
    <n v="28005"/>
  </r>
  <r>
    <s v="ORD03281"/>
    <d v="2025-03-14T00:00:00"/>
    <x v="9"/>
    <x v="19"/>
    <x v="2"/>
    <s v="Malaysia"/>
    <x v="8"/>
    <x v="13"/>
    <n v="38666"/>
    <n v="35383"/>
  </r>
  <r>
    <s v="ORD03282"/>
    <d v="2025-07-03T00:00:00"/>
    <x v="0"/>
    <x v="37"/>
    <x v="4"/>
    <s v="UK"/>
    <x v="41"/>
    <x v="6"/>
    <n v="30850"/>
    <n v="35955"/>
  </r>
  <r>
    <s v="ORD03283"/>
    <d v="2025-05-01T00:00:00"/>
    <x v="8"/>
    <x v="27"/>
    <x v="0"/>
    <s v="France"/>
    <x v="33"/>
    <x v="25"/>
    <n v="38205"/>
    <n v="27414"/>
  </r>
  <r>
    <s v="ORD03284"/>
    <d v="2025-10-12T00:00:00"/>
    <x v="4"/>
    <x v="45"/>
    <x v="0"/>
    <s v="USA"/>
    <x v="47"/>
    <x v="11"/>
    <n v="32151"/>
    <n v="29227"/>
  </r>
  <r>
    <s v="ORD03285"/>
    <d v="2025-10-09T00:00:00"/>
    <x v="4"/>
    <x v="45"/>
    <x v="4"/>
    <s v="Japan"/>
    <x v="23"/>
    <x v="15"/>
    <n v="25678"/>
    <n v="24792"/>
  </r>
  <r>
    <s v="ORD03286"/>
    <d v="2025-06-30T00:00:00"/>
    <x v="5"/>
    <x v="37"/>
    <x v="3"/>
    <s v="UAE"/>
    <x v="17"/>
    <x v="8"/>
    <n v="18652"/>
    <n v="14491"/>
  </r>
  <r>
    <s v="ORD03287"/>
    <d v="2025-12-26T00:00:00"/>
    <x v="10"/>
    <x v="42"/>
    <x v="1"/>
    <s v="Italy"/>
    <x v="41"/>
    <x v="22"/>
    <n v="34489"/>
    <n v="38938"/>
  </r>
  <r>
    <s v="ORD03288"/>
    <d v="2025-05-14T00:00:00"/>
    <x v="8"/>
    <x v="17"/>
    <x v="2"/>
    <s v="Singapore"/>
    <x v="18"/>
    <x v="7"/>
    <n v="15265"/>
    <n v="11347"/>
  </r>
  <r>
    <s v="ORD03289"/>
    <d v="2025-03-11T00:00:00"/>
    <x v="9"/>
    <x v="19"/>
    <x v="3"/>
    <s v="Canada"/>
    <x v="44"/>
    <x v="26"/>
    <n v="25359"/>
    <n v="25700"/>
  </r>
  <r>
    <s v="ORD03290"/>
    <d v="2025-12-18T00:00:00"/>
    <x v="10"/>
    <x v="21"/>
    <x v="3"/>
    <s v="Brazil"/>
    <x v="17"/>
    <x v="18"/>
    <n v="21542"/>
    <n v="26528"/>
  </r>
  <r>
    <s v="ORD03291"/>
    <d v="2025-01-03T00:00:00"/>
    <x v="1"/>
    <x v="5"/>
    <x v="2"/>
    <s v="UAE"/>
    <x v="48"/>
    <x v="26"/>
    <n v="23125"/>
    <n v="26851"/>
  </r>
  <r>
    <s v="ORD03292"/>
    <d v="2025-05-18T00:00:00"/>
    <x v="8"/>
    <x v="17"/>
    <x v="4"/>
    <s v="Mexico"/>
    <x v="32"/>
    <x v="14"/>
    <n v="34750"/>
    <n v="25628"/>
  </r>
  <r>
    <s v="ORD03293"/>
    <d v="2025-01-11T00:00:00"/>
    <x v="1"/>
    <x v="6"/>
    <x v="4"/>
    <s v="Brazil"/>
    <x v="28"/>
    <x v="14"/>
    <n v="15205"/>
    <n v="19142"/>
  </r>
  <r>
    <s v="ORD03294"/>
    <d v="2025-11-06T00:00:00"/>
    <x v="2"/>
    <x v="51"/>
    <x v="5"/>
    <s v="Malaysia"/>
    <x v="2"/>
    <x v="15"/>
    <n v="33400"/>
    <n v="30071"/>
  </r>
  <r>
    <s v="ORD03295"/>
    <d v="2025-11-01T00:00:00"/>
    <x v="2"/>
    <x v="2"/>
    <x v="5"/>
    <s v="Malaysia"/>
    <x v="2"/>
    <x v="17"/>
    <n v="19300"/>
    <n v="15987"/>
  </r>
  <r>
    <s v="ORD03296"/>
    <d v="2025-08-13T00:00:00"/>
    <x v="11"/>
    <x v="30"/>
    <x v="2"/>
    <s v="Spain"/>
    <x v="43"/>
    <x v="16"/>
    <n v="22655"/>
    <n v="17189"/>
  </r>
  <r>
    <s v="ORD03297"/>
    <d v="2025-05-11T00:00:00"/>
    <x v="8"/>
    <x v="18"/>
    <x v="1"/>
    <s v="Brazil"/>
    <x v="34"/>
    <x v="16"/>
    <n v="19974"/>
    <n v="19416"/>
  </r>
  <r>
    <s v="ORD03298"/>
    <d v="2025-11-12T00:00:00"/>
    <x v="2"/>
    <x v="44"/>
    <x v="3"/>
    <s v="Canada"/>
    <x v="14"/>
    <x v="27"/>
    <n v="19535"/>
    <n v="17855"/>
  </r>
  <r>
    <s v="ORD03299"/>
    <d v="2025-01-08T00:00:00"/>
    <x v="1"/>
    <x v="6"/>
    <x v="1"/>
    <s v="USA"/>
    <x v="43"/>
    <x v="13"/>
    <n v="34777"/>
    <n v="29542"/>
  </r>
  <r>
    <s v="ORD03300"/>
    <d v="2025-11-14T00:00:00"/>
    <x v="2"/>
    <x v="44"/>
    <x v="3"/>
    <s v="Turkey"/>
    <x v="26"/>
    <x v="25"/>
    <n v="22983"/>
    <n v="19144"/>
  </r>
  <r>
    <s v="ORD03301"/>
    <d v="2025-06-01T00:00:00"/>
    <x v="5"/>
    <x v="24"/>
    <x v="1"/>
    <s v="Russia"/>
    <x v="1"/>
    <x v="26"/>
    <n v="31713"/>
    <n v="22879"/>
  </r>
  <r>
    <s v="ORD03302"/>
    <d v="2025-06-14T00:00:00"/>
    <x v="5"/>
    <x v="40"/>
    <x v="3"/>
    <s v="Malaysia"/>
    <x v="46"/>
    <x v="24"/>
    <n v="16260"/>
    <n v="12306"/>
  </r>
  <r>
    <s v="ORD03303"/>
    <d v="2025-04-25T00:00:00"/>
    <x v="7"/>
    <x v="38"/>
    <x v="6"/>
    <s v="India"/>
    <x v="32"/>
    <x v="9"/>
    <n v="28612"/>
    <n v="24991"/>
  </r>
  <r>
    <s v="ORD03304"/>
    <d v="2025-11-01T00:00:00"/>
    <x v="2"/>
    <x v="2"/>
    <x v="1"/>
    <s v="Turkey"/>
    <x v="1"/>
    <x v="7"/>
    <n v="17158"/>
    <n v="18109"/>
  </r>
  <r>
    <s v="ORD03305"/>
    <d v="2025-08-26T00:00:00"/>
    <x v="11"/>
    <x v="28"/>
    <x v="3"/>
    <s v="Germany"/>
    <x v="23"/>
    <x v="16"/>
    <n v="15353"/>
    <n v="19245"/>
  </r>
  <r>
    <s v="ORD03306"/>
    <d v="2025-03-10T00:00:00"/>
    <x v="9"/>
    <x v="19"/>
    <x v="0"/>
    <s v="Japan"/>
    <x v="8"/>
    <x v="28"/>
    <n v="25022"/>
    <n v="24693"/>
  </r>
  <r>
    <s v="ORD03307"/>
    <d v="2025-11-03T00:00:00"/>
    <x v="2"/>
    <x v="51"/>
    <x v="2"/>
    <s v="South Africa"/>
    <x v="49"/>
    <x v="26"/>
    <n v="35837"/>
    <n v="43842"/>
  </r>
  <r>
    <s v="ORD03308"/>
    <d v="2025-04-18T00:00:00"/>
    <x v="7"/>
    <x v="20"/>
    <x v="0"/>
    <s v="Canada"/>
    <x v="49"/>
    <x v="4"/>
    <n v="37184"/>
    <n v="47796"/>
  </r>
  <r>
    <s v="ORD03309"/>
    <d v="2025-12-16T00:00:00"/>
    <x v="10"/>
    <x v="21"/>
    <x v="3"/>
    <s v="UAE"/>
    <x v="8"/>
    <x v="28"/>
    <n v="23311"/>
    <n v="23424"/>
  </r>
  <r>
    <s v="ORD03310"/>
    <d v="2025-06-19T00:00:00"/>
    <x v="5"/>
    <x v="13"/>
    <x v="2"/>
    <s v="Malaysia"/>
    <x v="25"/>
    <x v="14"/>
    <n v="34000"/>
    <n v="33453"/>
  </r>
  <r>
    <s v="ORD03311"/>
    <d v="2025-08-15T00:00:00"/>
    <x v="11"/>
    <x v="30"/>
    <x v="2"/>
    <s v="UAE"/>
    <x v="40"/>
    <x v="21"/>
    <n v="15781"/>
    <n v="11262"/>
  </r>
  <r>
    <s v="ORD03312"/>
    <d v="2025-10-03T00:00:00"/>
    <x v="4"/>
    <x v="49"/>
    <x v="6"/>
    <s v="Japan"/>
    <x v="47"/>
    <x v="6"/>
    <n v="20897"/>
    <n v="22877"/>
  </r>
  <r>
    <s v="ORD03313"/>
    <d v="2025-11-29T00:00:00"/>
    <x v="2"/>
    <x v="11"/>
    <x v="3"/>
    <s v="Japan"/>
    <x v="38"/>
    <x v="9"/>
    <n v="33329"/>
    <n v="31017"/>
  </r>
  <r>
    <s v="ORD03314"/>
    <d v="2025-01-28T00:00:00"/>
    <x v="1"/>
    <x v="3"/>
    <x v="1"/>
    <s v="Australia"/>
    <x v="15"/>
    <x v="10"/>
    <n v="35791"/>
    <n v="26196"/>
  </r>
  <r>
    <s v="ORD03315"/>
    <d v="2025-03-30T00:00:00"/>
    <x v="9"/>
    <x v="33"/>
    <x v="0"/>
    <s v="Spain"/>
    <x v="48"/>
    <x v="5"/>
    <n v="25778"/>
    <n v="32275"/>
  </r>
  <r>
    <s v="ORD03316"/>
    <d v="2025-07-18T00:00:00"/>
    <x v="0"/>
    <x v="14"/>
    <x v="0"/>
    <s v="Japan"/>
    <x v="49"/>
    <x v="0"/>
    <n v="31073"/>
    <n v="36608"/>
  </r>
  <r>
    <s v="ORD03317"/>
    <d v="2025-06-03T00:00:00"/>
    <x v="5"/>
    <x v="41"/>
    <x v="6"/>
    <s v="China"/>
    <x v="15"/>
    <x v="8"/>
    <n v="33294"/>
    <n v="32564"/>
  </r>
  <r>
    <s v="ORD03318"/>
    <d v="2025-07-15T00:00:00"/>
    <x v="0"/>
    <x v="14"/>
    <x v="5"/>
    <s v="France"/>
    <x v="28"/>
    <x v="27"/>
    <n v="16036"/>
    <n v="16052"/>
  </r>
  <r>
    <s v="ORD03319"/>
    <d v="2025-09-22T00:00:00"/>
    <x v="3"/>
    <x v="25"/>
    <x v="4"/>
    <s v="Thailand"/>
    <x v="20"/>
    <x v="3"/>
    <n v="19758"/>
    <n v="15306"/>
  </r>
  <r>
    <s v="ORD03320"/>
    <d v="2025-01-31T00:00:00"/>
    <x v="1"/>
    <x v="3"/>
    <x v="6"/>
    <s v="Russia"/>
    <x v="12"/>
    <x v="3"/>
    <n v="35354"/>
    <n v="44014"/>
  </r>
  <r>
    <s v="ORD03321"/>
    <d v="2025-05-06T00:00:00"/>
    <x v="8"/>
    <x v="18"/>
    <x v="6"/>
    <s v="China"/>
    <x v="11"/>
    <x v="5"/>
    <n v="26916"/>
    <n v="22057"/>
  </r>
  <r>
    <s v="ORD03322"/>
    <d v="2025-07-09T00:00:00"/>
    <x v="0"/>
    <x v="47"/>
    <x v="3"/>
    <s v="USA"/>
    <x v="37"/>
    <x v="23"/>
    <n v="27159"/>
    <n v="25725"/>
  </r>
  <r>
    <s v="ORD03323"/>
    <d v="2025-07-20T00:00:00"/>
    <x v="0"/>
    <x v="14"/>
    <x v="5"/>
    <s v="Turkey"/>
    <x v="45"/>
    <x v="24"/>
    <n v="32860"/>
    <n v="32740"/>
  </r>
  <r>
    <s v="ORD03324"/>
    <d v="2025-04-16T00:00:00"/>
    <x v="7"/>
    <x v="20"/>
    <x v="4"/>
    <s v="Thailand"/>
    <x v="42"/>
    <x v="3"/>
    <n v="24577"/>
    <n v="20562"/>
  </r>
  <r>
    <s v="ORD03325"/>
    <d v="2025-01-17T00:00:00"/>
    <x v="1"/>
    <x v="1"/>
    <x v="0"/>
    <s v="Mexico"/>
    <x v="48"/>
    <x v="7"/>
    <n v="22207"/>
    <n v="24087"/>
  </r>
  <r>
    <s v="ORD03326"/>
    <d v="2025-04-02T00:00:00"/>
    <x v="7"/>
    <x v="34"/>
    <x v="4"/>
    <s v="Malaysia"/>
    <x v="41"/>
    <x v="1"/>
    <n v="26063"/>
    <n v="31980"/>
  </r>
  <r>
    <s v="ORD03327"/>
    <d v="2025-03-25T00:00:00"/>
    <x v="9"/>
    <x v="33"/>
    <x v="3"/>
    <s v="Spain"/>
    <x v="40"/>
    <x v="10"/>
    <n v="33174"/>
    <n v="23716"/>
  </r>
  <r>
    <s v="ORD03328"/>
    <d v="2025-01-31T00:00:00"/>
    <x v="1"/>
    <x v="3"/>
    <x v="0"/>
    <s v="USA"/>
    <x v="28"/>
    <x v="7"/>
    <n v="36143"/>
    <n v="26375"/>
  </r>
  <r>
    <s v="ORD03329"/>
    <d v="2025-02-13T00:00:00"/>
    <x v="6"/>
    <x v="29"/>
    <x v="3"/>
    <s v="Thailand"/>
    <x v="15"/>
    <x v="13"/>
    <n v="37437"/>
    <n v="42055"/>
  </r>
  <r>
    <s v="ORD03330"/>
    <d v="2025-10-27T00:00:00"/>
    <x v="4"/>
    <x v="2"/>
    <x v="6"/>
    <s v="Canada"/>
    <x v="33"/>
    <x v="26"/>
    <n v="26669"/>
    <n v="33850"/>
  </r>
  <r>
    <s v="ORD03331"/>
    <d v="2025-11-05T00:00:00"/>
    <x v="2"/>
    <x v="51"/>
    <x v="1"/>
    <s v="China"/>
    <x v="38"/>
    <x v="19"/>
    <n v="31826"/>
    <n v="38761"/>
  </r>
  <r>
    <s v="ORD03332"/>
    <d v="2025-07-13T00:00:00"/>
    <x v="0"/>
    <x v="47"/>
    <x v="1"/>
    <s v="Canada"/>
    <x v="14"/>
    <x v="13"/>
    <n v="26652"/>
    <n v="24719"/>
  </r>
  <r>
    <s v="ORD03333"/>
    <d v="2025-06-14T00:00:00"/>
    <x v="5"/>
    <x v="40"/>
    <x v="4"/>
    <s v="Singapore"/>
    <x v="38"/>
    <x v="11"/>
    <n v="37903"/>
    <n v="39763"/>
  </r>
  <r>
    <s v="ORD03334"/>
    <d v="2025-11-28T00:00:00"/>
    <x v="2"/>
    <x v="11"/>
    <x v="5"/>
    <s v="Malaysia"/>
    <x v="39"/>
    <x v="22"/>
    <n v="17594"/>
    <n v="12815"/>
  </r>
  <r>
    <s v="ORD03335"/>
    <d v="2025-06-12T00:00:00"/>
    <x v="5"/>
    <x v="40"/>
    <x v="3"/>
    <s v="Mexico"/>
    <x v="42"/>
    <x v="17"/>
    <n v="22358"/>
    <n v="24933"/>
  </r>
  <r>
    <s v="ORD03336"/>
    <d v="2025-04-15T00:00:00"/>
    <x v="7"/>
    <x v="20"/>
    <x v="1"/>
    <s v="Turkey"/>
    <x v="16"/>
    <x v="23"/>
    <n v="19909"/>
    <n v="14638"/>
  </r>
  <r>
    <s v="ORD03337"/>
    <d v="2025-05-23T00:00:00"/>
    <x v="8"/>
    <x v="26"/>
    <x v="2"/>
    <s v="Thailand"/>
    <x v="37"/>
    <x v="23"/>
    <n v="38828"/>
    <n v="29471"/>
  </r>
  <r>
    <s v="ORD03338"/>
    <d v="2025-05-10T00:00:00"/>
    <x v="8"/>
    <x v="18"/>
    <x v="2"/>
    <s v="Singapore"/>
    <x v="0"/>
    <x v="29"/>
    <n v="26528"/>
    <n v="21023"/>
  </r>
  <r>
    <s v="ORD03339"/>
    <d v="2025-08-24T00:00:00"/>
    <x v="11"/>
    <x v="46"/>
    <x v="0"/>
    <s v="Germany"/>
    <x v="32"/>
    <x v="5"/>
    <n v="38172"/>
    <n v="36510"/>
  </r>
  <r>
    <s v="ORD03340"/>
    <d v="2025-07-19T00:00:00"/>
    <x v="0"/>
    <x v="14"/>
    <x v="5"/>
    <s v="Australia"/>
    <x v="11"/>
    <x v="19"/>
    <n v="22175"/>
    <n v="22068"/>
  </r>
  <r>
    <s v="ORD03341"/>
    <d v="2025-04-03T00:00:00"/>
    <x v="7"/>
    <x v="34"/>
    <x v="5"/>
    <s v="Canada"/>
    <x v="8"/>
    <x v="21"/>
    <n v="24724"/>
    <n v="22583"/>
  </r>
  <r>
    <s v="ORD03342"/>
    <d v="2025-04-02T00:00:00"/>
    <x v="7"/>
    <x v="34"/>
    <x v="4"/>
    <s v="UAE"/>
    <x v="16"/>
    <x v="9"/>
    <n v="15044"/>
    <n v="10907"/>
  </r>
  <r>
    <s v="ORD03343"/>
    <d v="2025-05-07T00:00:00"/>
    <x v="8"/>
    <x v="18"/>
    <x v="1"/>
    <s v="USA"/>
    <x v="10"/>
    <x v="16"/>
    <n v="38499"/>
    <n v="37146"/>
  </r>
  <r>
    <s v="ORD03344"/>
    <d v="2025-04-10T00:00:00"/>
    <x v="7"/>
    <x v="16"/>
    <x v="2"/>
    <s v="Turkey"/>
    <x v="7"/>
    <x v="27"/>
    <n v="18365"/>
    <n v="16659"/>
  </r>
  <r>
    <s v="ORD03345"/>
    <d v="2025-11-07T00:00:00"/>
    <x v="2"/>
    <x v="51"/>
    <x v="6"/>
    <s v="UK"/>
    <x v="48"/>
    <x v="7"/>
    <n v="20350"/>
    <n v="20161"/>
  </r>
  <r>
    <s v="ORD03346"/>
    <d v="2025-04-09T00:00:00"/>
    <x v="7"/>
    <x v="16"/>
    <x v="4"/>
    <s v="UK"/>
    <x v="6"/>
    <x v="21"/>
    <n v="17245"/>
    <n v="18710"/>
  </r>
  <r>
    <s v="ORD03347"/>
    <d v="2025-03-07T00:00:00"/>
    <x v="9"/>
    <x v="35"/>
    <x v="2"/>
    <s v="India"/>
    <x v="35"/>
    <x v="7"/>
    <n v="30682"/>
    <n v="29702"/>
  </r>
  <r>
    <s v="ORD03348"/>
    <d v="2025-03-21T00:00:00"/>
    <x v="9"/>
    <x v="39"/>
    <x v="6"/>
    <s v="Japan"/>
    <x v="26"/>
    <x v="9"/>
    <n v="31654"/>
    <n v="32690"/>
  </r>
  <r>
    <s v="ORD03349"/>
    <d v="2025-12-13T00:00:00"/>
    <x v="10"/>
    <x v="32"/>
    <x v="2"/>
    <s v="Australia"/>
    <x v="5"/>
    <x v="3"/>
    <n v="29935"/>
    <n v="33434"/>
  </r>
  <r>
    <s v="ORD03350"/>
    <d v="2025-06-28T00:00:00"/>
    <x v="5"/>
    <x v="36"/>
    <x v="0"/>
    <s v="Australia"/>
    <x v="25"/>
    <x v="12"/>
    <n v="15188"/>
    <n v="14512"/>
  </r>
  <r>
    <s v="ORD03351"/>
    <d v="2025-06-04T00:00:00"/>
    <x v="5"/>
    <x v="41"/>
    <x v="1"/>
    <s v="Brazil"/>
    <x v="45"/>
    <x v="9"/>
    <n v="31103"/>
    <n v="39974"/>
  </r>
  <r>
    <s v="ORD03352"/>
    <d v="2025-10-09T00:00:00"/>
    <x v="4"/>
    <x v="45"/>
    <x v="6"/>
    <s v="France"/>
    <x v="19"/>
    <x v="18"/>
    <n v="32950"/>
    <n v="24045"/>
  </r>
  <r>
    <s v="ORD03353"/>
    <d v="2025-06-04T00:00:00"/>
    <x v="5"/>
    <x v="41"/>
    <x v="3"/>
    <s v="Russia"/>
    <x v="23"/>
    <x v="28"/>
    <n v="32017"/>
    <n v="22717"/>
  </r>
  <r>
    <s v="ORD03354"/>
    <d v="2025-12-11T00:00:00"/>
    <x v="10"/>
    <x v="32"/>
    <x v="1"/>
    <s v="Spain"/>
    <x v="21"/>
    <x v="25"/>
    <n v="36505"/>
    <n v="46442"/>
  </r>
  <r>
    <s v="ORD03355"/>
    <d v="2025-06-22T00:00:00"/>
    <x v="5"/>
    <x v="13"/>
    <x v="0"/>
    <s v="Mexico"/>
    <x v="37"/>
    <x v="23"/>
    <n v="31009"/>
    <n v="21925"/>
  </r>
  <r>
    <s v="ORD03356"/>
    <d v="2025-05-20T00:00:00"/>
    <x v="8"/>
    <x v="26"/>
    <x v="3"/>
    <s v="Spain"/>
    <x v="37"/>
    <x v="13"/>
    <n v="31631"/>
    <n v="30616"/>
  </r>
  <r>
    <s v="ORD03357"/>
    <d v="2025-07-20T00:00:00"/>
    <x v="0"/>
    <x v="14"/>
    <x v="5"/>
    <s v="Singapore"/>
    <x v="32"/>
    <x v="25"/>
    <n v="26310"/>
    <n v="21993"/>
  </r>
  <r>
    <s v="ORD03358"/>
    <d v="2025-10-09T00:00:00"/>
    <x v="4"/>
    <x v="45"/>
    <x v="6"/>
    <s v="Thailand"/>
    <x v="45"/>
    <x v="16"/>
    <n v="22793"/>
    <n v="22052"/>
  </r>
  <r>
    <s v="ORD03359"/>
    <d v="2025-01-25T00:00:00"/>
    <x v="1"/>
    <x v="7"/>
    <x v="4"/>
    <s v="Turkey"/>
    <x v="38"/>
    <x v="9"/>
    <n v="36049"/>
    <n v="43520"/>
  </r>
  <r>
    <s v="ORD03360"/>
    <d v="2025-04-29T00:00:00"/>
    <x v="7"/>
    <x v="27"/>
    <x v="1"/>
    <s v="Thailand"/>
    <x v="25"/>
    <x v="24"/>
    <n v="15376"/>
    <n v="13549"/>
  </r>
  <r>
    <s v="ORD03361"/>
    <d v="2025-01-12T00:00:00"/>
    <x v="1"/>
    <x v="6"/>
    <x v="5"/>
    <s v="India"/>
    <x v="40"/>
    <x v="15"/>
    <n v="24001"/>
    <n v="22530"/>
  </r>
  <r>
    <s v="ORD03362"/>
    <d v="2025-07-17T00:00:00"/>
    <x v="0"/>
    <x v="14"/>
    <x v="0"/>
    <s v="Japan"/>
    <x v="19"/>
    <x v="7"/>
    <n v="15019"/>
    <n v="18699"/>
  </r>
  <r>
    <s v="ORD03363"/>
    <d v="2025-09-21T00:00:00"/>
    <x v="3"/>
    <x v="8"/>
    <x v="0"/>
    <s v="Canada"/>
    <x v="10"/>
    <x v="3"/>
    <n v="16405"/>
    <n v="17274"/>
  </r>
  <r>
    <s v="ORD03364"/>
    <d v="2025-11-01T00:00:00"/>
    <x v="2"/>
    <x v="2"/>
    <x v="4"/>
    <s v="Germany"/>
    <x v="30"/>
    <x v="28"/>
    <n v="20116"/>
    <n v="25297"/>
  </r>
  <r>
    <s v="ORD03365"/>
    <d v="2025-11-24T00:00:00"/>
    <x v="2"/>
    <x v="11"/>
    <x v="1"/>
    <s v="UK"/>
    <x v="49"/>
    <x v="3"/>
    <n v="18615"/>
    <n v="21500"/>
  </r>
  <r>
    <s v="ORD03366"/>
    <d v="2025-05-19T00:00:00"/>
    <x v="8"/>
    <x v="26"/>
    <x v="3"/>
    <s v="China"/>
    <x v="4"/>
    <x v="6"/>
    <n v="30473"/>
    <n v="38742"/>
  </r>
  <r>
    <s v="ORD03367"/>
    <d v="2025-06-04T00:00:00"/>
    <x v="5"/>
    <x v="41"/>
    <x v="5"/>
    <s v="UAE"/>
    <x v="38"/>
    <x v="13"/>
    <n v="34188"/>
    <n v="34883"/>
  </r>
  <r>
    <s v="ORD03368"/>
    <d v="2025-05-27T00:00:00"/>
    <x v="8"/>
    <x v="24"/>
    <x v="5"/>
    <s v="India"/>
    <x v="36"/>
    <x v="14"/>
    <n v="39296"/>
    <n v="49189"/>
  </r>
  <r>
    <s v="ORD03369"/>
    <d v="2025-01-23T00:00:00"/>
    <x v="1"/>
    <x v="7"/>
    <x v="6"/>
    <s v="Brazil"/>
    <x v="20"/>
    <x v="15"/>
    <n v="19136"/>
    <n v="21100"/>
  </r>
  <r>
    <s v="ORD03370"/>
    <d v="2025-08-19T00:00:00"/>
    <x v="11"/>
    <x v="46"/>
    <x v="0"/>
    <s v="France"/>
    <x v="7"/>
    <x v="20"/>
    <n v="24388"/>
    <n v="31702"/>
  </r>
  <r>
    <s v="ORD03371"/>
    <d v="2025-10-29T00:00:00"/>
    <x v="4"/>
    <x v="2"/>
    <x v="6"/>
    <s v="Malaysia"/>
    <x v="14"/>
    <x v="28"/>
    <n v="36747"/>
    <n v="33193"/>
  </r>
  <r>
    <s v="ORD03372"/>
    <d v="2025-03-11T00:00:00"/>
    <x v="9"/>
    <x v="19"/>
    <x v="6"/>
    <s v="Australia"/>
    <x v="48"/>
    <x v="16"/>
    <n v="22913"/>
    <n v="17843"/>
  </r>
  <r>
    <s v="ORD03373"/>
    <d v="2025-04-24T00:00:00"/>
    <x v="7"/>
    <x v="38"/>
    <x v="5"/>
    <s v="India"/>
    <x v="0"/>
    <x v="15"/>
    <n v="31207"/>
    <n v="36155"/>
  </r>
  <r>
    <s v="ORD03374"/>
    <d v="2025-02-16T00:00:00"/>
    <x v="6"/>
    <x v="29"/>
    <x v="6"/>
    <s v="Thailand"/>
    <x v="14"/>
    <x v="5"/>
    <n v="16233"/>
    <n v="17757"/>
  </r>
  <r>
    <s v="ORD03375"/>
    <d v="2025-04-28T00:00:00"/>
    <x v="7"/>
    <x v="27"/>
    <x v="6"/>
    <s v="Spain"/>
    <x v="25"/>
    <x v="26"/>
    <n v="15131"/>
    <n v="17451"/>
  </r>
  <r>
    <s v="ORD03376"/>
    <d v="2025-12-03T00:00:00"/>
    <x v="10"/>
    <x v="43"/>
    <x v="5"/>
    <s v="Canada"/>
    <x v="21"/>
    <x v="23"/>
    <n v="15531"/>
    <n v="14508"/>
  </r>
  <r>
    <s v="ORD03377"/>
    <d v="2025-08-06T00:00:00"/>
    <x v="11"/>
    <x v="23"/>
    <x v="1"/>
    <s v="India"/>
    <x v="26"/>
    <x v="14"/>
    <n v="19367"/>
    <n v="19451"/>
  </r>
  <r>
    <s v="ORD03378"/>
    <d v="2025-09-26T00:00:00"/>
    <x v="3"/>
    <x v="25"/>
    <x v="1"/>
    <s v="Singapore"/>
    <x v="2"/>
    <x v="26"/>
    <n v="23860"/>
    <n v="17233"/>
  </r>
  <r>
    <s v="ORD03379"/>
    <d v="2025-03-27T00:00:00"/>
    <x v="9"/>
    <x v="33"/>
    <x v="4"/>
    <s v="Italy"/>
    <x v="30"/>
    <x v="8"/>
    <n v="25709"/>
    <n v="25436"/>
  </r>
  <r>
    <s v="ORD03380"/>
    <d v="2025-03-25T00:00:00"/>
    <x v="9"/>
    <x v="33"/>
    <x v="2"/>
    <s v="Germany"/>
    <x v="43"/>
    <x v="13"/>
    <n v="16671"/>
    <n v="20792"/>
  </r>
  <r>
    <s v="ORD03381"/>
    <d v="2025-03-15T00:00:00"/>
    <x v="9"/>
    <x v="19"/>
    <x v="0"/>
    <s v="Turkey"/>
    <x v="31"/>
    <x v="24"/>
    <n v="29606"/>
    <n v="33492"/>
  </r>
  <r>
    <s v="ORD03382"/>
    <d v="2025-05-06T00:00:00"/>
    <x v="8"/>
    <x v="18"/>
    <x v="1"/>
    <s v="Australia"/>
    <x v="32"/>
    <x v="11"/>
    <n v="21734"/>
    <n v="20818"/>
  </r>
  <r>
    <s v="ORD03383"/>
    <d v="2025-10-26T00:00:00"/>
    <x v="4"/>
    <x v="50"/>
    <x v="3"/>
    <s v="Australia"/>
    <x v="13"/>
    <x v="10"/>
    <n v="18833"/>
    <n v="21732"/>
  </r>
  <r>
    <s v="ORD03384"/>
    <d v="2025-09-18T00:00:00"/>
    <x v="3"/>
    <x v="8"/>
    <x v="2"/>
    <s v="Mexico"/>
    <x v="6"/>
    <x v="21"/>
    <n v="20829"/>
    <n v="14813"/>
  </r>
  <r>
    <s v="ORD03385"/>
    <d v="2025-03-11T00:00:00"/>
    <x v="9"/>
    <x v="19"/>
    <x v="3"/>
    <s v="France"/>
    <x v="24"/>
    <x v="12"/>
    <n v="18786"/>
    <n v="18107"/>
  </r>
  <r>
    <s v="ORD03386"/>
    <d v="2025-07-17T00:00:00"/>
    <x v="0"/>
    <x v="14"/>
    <x v="4"/>
    <s v="Brazil"/>
    <x v="31"/>
    <x v="14"/>
    <n v="31138"/>
    <n v="31897"/>
  </r>
  <r>
    <s v="ORD03387"/>
    <d v="2025-05-27T00:00:00"/>
    <x v="8"/>
    <x v="24"/>
    <x v="0"/>
    <s v="Mexico"/>
    <x v="6"/>
    <x v="21"/>
    <n v="22453"/>
    <n v="21021"/>
  </r>
  <r>
    <s v="ORD03388"/>
    <d v="2025-02-04T00:00:00"/>
    <x v="6"/>
    <x v="48"/>
    <x v="3"/>
    <s v="Russia"/>
    <x v="23"/>
    <x v="18"/>
    <n v="31057"/>
    <n v="26343"/>
  </r>
  <r>
    <s v="ORD03389"/>
    <d v="2025-10-25T00:00:00"/>
    <x v="4"/>
    <x v="50"/>
    <x v="5"/>
    <s v="Canada"/>
    <x v="46"/>
    <x v="28"/>
    <n v="19184"/>
    <n v="22612"/>
  </r>
  <r>
    <s v="ORD03390"/>
    <d v="2025-07-21T00:00:00"/>
    <x v="0"/>
    <x v="0"/>
    <x v="1"/>
    <s v="Australia"/>
    <x v="44"/>
    <x v="5"/>
    <n v="38482"/>
    <n v="38995"/>
  </r>
  <r>
    <s v="ORD03391"/>
    <d v="2025-11-07T00:00:00"/>
    <x v="2"/>
    <x v="51"/>
    <x v="4"/>
    <s v="Japan"/>
    <x v="12"/>
    <x v="13"/>
    <n v="39421"/>
    <n v="30018"/>
  </r>
  <r>
    <s v="ORD03392"/>
    <d v="2025-08-01T00:00:00"/>
    <x v="11"/>
    <x v="12"/>
    <x v="6"/>
    <s v="Singapore"/>
    <x v="48"/>
    <x v="24"/>
    <n v="18978"/>
    <n v="19070"/>
  </r>
  <r>
    <s v="ORD03393"/>
    <d v="2025-06-20T00:00:00"/>
    <x v="5"/>
    <x v="13"/>
    <x v="5"/>
    <s v="Mexico"/>
    <x v="22"/>
    <x v="26"/>
    <n v="19155"/>
    <n v="16310"/>
  </r>
  <r>
    <s v="ORD03394"/>
    <d v="2025-06-22T00:00:00"/>
    <x v="5"/>
    <x v="13"/>
    <x v="5"/>
    <s v="Singapore"/>
    <x v="4"/>
    <x v="9"/>
    <n v="32395"/>
    <n v="31980"/>
  </r>
  <r>
    <s v="ORD03395"/>
    <d v="2025-01-09T00:00:00"/>
    <x v="1"/>
    <x v="6"/>
    <x v="6"/>
    <s v="USA"/>
    <x v="10"/>
    <x v="23"/>
    <n v="32512"/>
    <n v="32733"/>
  </r>
  <r>
    <s v="ORD03396"/>
    <d v="2025-05-26T00:00:00"/>
    <x v="8"/>
    <x v="24"/>
    <x v="1"/>
    <s v="Turkey"/>
    <x v="33"/>
    <x v="18"/>
    <n v="24065"/>
    <n v="30684"/>
  </r>
  <r>
    <s v="ORD03397"/>
    <d v="2025-05-01T00:00:00"/>
    <x v="8"/>
    <x v="27"/>
    <x v="4"/>
    <s v="USA"/>
    <x v="1"/>
    <x v="6"/>
    <n v="21530"/>
    <n v="22962"/>
  </r>
  <r>
    <s v="ORD03398"/>
    <d v="2025-11-26T00:00:00"/>
    <x v="2"/>
    <x v="11"/>
    <x v="0"/>
    <s v="Thailand"/>
    <x v="49"/>
    <x v="11"/>
    <n v="15917"/>
    <n v="19215"/>
  </r>
  <r>
    <s v="ORD03399"/>
    <d v="2025-04-28T00:00:00"/>
    <x v="7"/>
    <x v="27"/>
    <x v="0"/>
    <s v="Russia"/>
    <x v="7"/>
    <x v="23"/>
    <n v="19121"/>
    <n v="22428"/>
  </r>
  <r>
    <s v="ORD03400"/>
    <d v="2025-10-23T00:00:00"/>
    <x v="4"/>
    <x v="50"/>
    <x v="1"/>
    <s v="Germany"/>
    <x v="44"/>
    <x v="12"/>
    <n v="24258"/>
    <n v="21259"/>
  </r>
  <r>
    <s v="ORD03401"/>
    <d v="2025-03-02T00:00:00"/>
    <x v="9"/>
    <x v="22"/>
    <x v="4"/>
    <s v="Mexico"/>
    <x v="26"/>
    <x v="18"/>
    <n v="37506"/>
    <n v="47742"/>
  </r>
  <r>
    <s v="ORD03402"/>
    <d v="2025-10-24T00:00:00"/>
    <x v="4"/>
    <x v="50"/>
    <x v="3"/>
    <s v="Germany"/>
    <x v="8"/>
    <x v="1"/>
    <n v="36200"/>
    <n v="44599"/>
  </r>
  <r>
    <s v="ORD03403"/>
    <d v="2025-08-06T00:00:00"/>
    <x v="11"/>
    <x v="23"/>
    <x v="6"/>
    <s v="India"/>
    <x v="31"/>
    <x v="27"/>
    <n v="31455"/>
    <n v="29614"/>
  </r>
  <r>
    <s v="ORD03404"/>
    <d v="2025-05-16T00:00:00"/>
    <x v="8"/>
    <x v="17"/>
    <x v="0"/>
    <s v="UAE"/>
    <x v="37"/>
    <x v="29"/>
    <n v="17938"/>
    <n v="15070"/>
  </r>
  <r>
    <s v="ORD03405"/>
    <d v="2025-12-25T00:00:00"/>
    <x v="10"/>
    <x v="42"/>
    <x v="3"/>
    <s v="UAE"/>
    <x v="26"/>
    <x v="9"/>
    <n v="25131"/>
    <n v="29542"/>
  </r>
  <r>
    <s v="ORD03406"/>
    <d v="2025-01-19T00:00:00"/>
    <x v="1"/>
    <x v="1"/>
    <x v="3"/>
    <s v="Germany"/>
    <x v="27"/>
    <x v="8"/>
    <n v="39326"/>
    <n v="29714"/>
  </r>
  <r>
    <s v="ORD03407"/>
    <d v="2025-06-11T00:00:00"/>
    <x v="5"/>
    <x v="40"/>
    <x v="0"/>
    <s v="China"/>
    <x v="36"/>
    <x v="7"/>
    <n v="26105"/>
    <n v="19024"/>
  </r>
  <r>
    <s v="ORD03408"/>
    <d v="2025-08-14T00:00:00"/>
    <x v="11"/>
    <x v="30"/>
    <x v="1"/>
    <s v="India"/>
    <x v="37"/>
    <x v="2"/>
    <n v="34170"/>
    <n v="27392"/>
  </r>
  <r>
    <s v="ORD03409"/>
    <d v="2025-04-25T00:00:00"/>
    <x v="7"/>
    <x v="38"/>
    <x v="6"/>
    <s v="Turkey"/>
    <x v="47"/>
    <x v="27"/>
    <n v="30286"/>
    <n v="34700"/>
  </r>
  <r>
    <s v="ORD03410"/>
    <d v="2025-01-16T00:00:00"/>
    <x v="1"/>
    <x v="1"/>
    <x v="3"/>
    <s v="UK"/>
    <x v="1"/>
    <x v="13"/>
    <n v="26960"/>
    <n v="23019"/>
  </r>
  <r>
    <s v="ORD03411"/>
    <d v="2025-02-12T00:00:00"/>
    <x v="6"/>
    <x v="29"/>
    <x v="5"/>
    <s v="Spain"/>
    <x v="36"/>
    <x v="12"/>
    <n v="36087"/>
    <n v="30949"/>
  </r>
  <r>
    <s v="ORD03412"/>
    <d v="2025-01-18T00:00:00"/>
    <x v="1"/>
    <x v="1"/>
    <x v="6"/>
    <s v="Australia"/>
    <x v="36"/>
    <x v="6"/>
    <n v="34718"/>
    <n v="31350"/>
  </r>
  <r>
    <s v="ORD03413"/>
    <d v="2025-05-05T00:00:00"/>
    <x v="8"/>
    <x v="18"/>
    <x v="6"/>
    <s v="Malaysia"/>
    <x v="34"/>
    <x v="22"/>
    <n v="32085"/>
    <n v="33950"/>
  </r>
  <r>
    <s v="ORD03414"/>
    <d v="2025-04-22T00:00:00"/>
    <x v="7"/>
    <x v="38"/>
    <x v="1"/>
    <s v="South Africa"/>
    <x v="46"/>
    <x v="19"/>
    <n v="29054"/>
    <n v="36589"/>
  </r>
  <r>
    <s v="ORD03415"/>
    <d v="2025-06-16T00:00:00"/>
    <x v="5"/>
    <x v="13"/>
    <x v="4"/>
    <s v="Germany"/>
    <x v="47"/>
    <x v="17"/>
    <n v="29250"/>
    <n v="21298"/>
  </r>
  <r>
    <s v="ORD03416"/>
    <d v="2025-04-06T00:00:00"/>
    <x v="7"/>
    <x v="34"/>
    <x v="5"/>
    <s v="Turkey"/>
    <x v="13"/>
    <x v="5"/>
    <n v="35805"/>
    <n v="40512"/>
  </r>
  <r>
    <s v="ORD03417"/>
    <d v="2025-05-17T00:00:00"/>
    <x v="8"/>
    <x v="17"/>
    <x v="6"/>
    <s v="Brazil"/>
    <x v="29"/>
    <x v="16"/>
    <n v="24739"/>
    <n v="22584"/>
  </r>
  <r>
    <s v="ORD03418"/>
    <d v="2025-08-15T00:00:00"/>
    <x v="11"/>
    <x v="30"/>
    <x v="1"/>
    <s v="South Africa"/>
    <x v="14"/>
    <x v="17"/>
    <n v="28283"/>
    <n v="33655"/>
  </r>
  <r>
    <s v="ORD03419"/>
    <d v="2025-09-04T00:00:00"/>
    <x v="3"/>
    <x v="4"/>
    <x v="1"/>
    <s v="China"/>
    <x v="22"/>
    <x v="28"/>
    <n v="35636"/>
    <n v="26667"/>
  </r>
  <r>
    <s v="ORD03420"/>
    <d v="2025-07-13T00:00:00"/>
    <x v="0"/>
    <x v="47"/>
    <x v="1"/>
    <s v="Canada"/>
    <x v="6"/>
    <x v="11"/>
    <n v="21785"/>
    <n v="25460"/>
  </r>
  <r>
    <s v="ORD03421"/>
    <d v="2025-01-17T00:00:00"/>
    <x v="1"/>
    <x v="1"/>
    <x v="1"/>
    <s v="UAE"/>
    <x v="30"/>
    <x v="18"/>
    <n v="18418"/>
    <n v="19329"/>
  </r>
  <r>
    <s v="ORD03422"/>
    <d v="2025-02-08T00:00:00"/>
    <x v="6"/>
    <x v="48"/>
    <x v="2"/>
    <s v="UAE"/>
    <x v="23"/>
    <x v="6"/>
    <n v="17319"/>
    <n v="13442"/>
  </r>
  <r>
    <s v="ORD03423"/>
    <d v="2025-05-06T00:00:00"/>
    <x v="8"/>
    <x v="18"/>
    <x v="5"/>
    <s v="Thailand"/>
    <x v="9"/>
    <x v="3"/>
    <n v="26143"/>
    <n v="18756"/>
  </r>
  <r>
    <s v="ORD03424"/>
    <d v="2025-11-10T00:00:00"/>
    <x v="2"/>
    <x v="44"/>
    <x v="4"/>
    <s v="China"/>
    <x v="22"/>
    <x v="16"/>
    <n v="37490"/>
    <n v="37648"/>
  </r>
  <r>
    <s v="ORD03425"/>
    <d v="2025-08-10T00:00:00"/>
    <x v="11"/>
    <x v="23"/>
    <x v="6"/>
    <s v="Turkey"/>
    <x v="15"/>
    <x v="4"/>
    <n v="16746"/>
    <n v="14059"/>
  </r>
  <r>
    <s v="ORD03426"/>
    <d v="2025-07-01T00:00:00"/>
    <x v="0"/>
    <x v="37"/>
    <x v="5"/>
    <s v="Italy"/>
    <x v="3"/>
    <x v="9"/>
    <n v="20507"/>
    <n v="24300"/>
  </r>
  <r>
    <s v="ORD03427"/>
    <d v="2025-04-12T00:00:00"/>
    <x v="7"/>
    <x v="16"/>
    <x v="3"/>
    <s v="Spain"/>
    <x v="12"/>
    <x v="4"/>
    <n v="23792"/>
    <n v="22260"/>
  </r>
  <r>
    <s v="ORD03428"/>
    <d v="2025-11-02T00:00:00"/>
    <x v="2"/>
    <x v="2"/>
    <x v="0"/>
    <s v="UAE"/>
    <x v="36"/>
    <x v="29"/>
    <n v="15643"/>
    <n v="18625"/>
  </r>
  <r>
    <s v="ORD03429"/>
    <d v="2025-09-28T00:00:00"/>
    <x v="3"/>
    <x v="25"/>
    <x v="3"/>
    <s v="Mexico"/>
    <x v="19"/>
    <x v="18"/>
    <n v="19438"/>
    <n v="15218"/>
  </r>
  <r>
    <s v="ORD03430"/>
    <d v="2025-07-13T00:00:00"/>
    <x v="0"/>
    <x v="47"/>
    <x v="4"/>
    <s v="Russia"/>
    <x v="42"/>
    <x v="29"/>
    <n v="32797"/>
    <n v="32799"/>
  </r>
  <r>
    <s v="ORD03431"/>
    <d v="2025-06-23T00:00:00"/>
    <x v="5"/>
    <x v="36"/>
    <x v="5"/>
    <s v="China"/>
    <x v="1"/>
    <x v="20"/>
    <n v="30965"/>
    <n v="36459"/>
  </r>
  <r>
    <s v="ORD03432"/>
    <d v="2025-06-14T00:00:00"/>
    <x v="5"/>
    <x v="40"/>
    <x v="2"/>
    <s v="UAE"/>
    <x v="37"/>
    <x v="25"/>
    <n v="29025"/>
    <n v="30709"/>
  </r>
  <r>
    <s v="ORD03433"/>
    <d v="2025-03-24T00:00:00"/>
    <x v="9"/>
    <x v="33"/>
    <x v="5"/>
    <s v="Brazil"/>
    <x v="38"/>
    <x v="2"/>
    <n v="28694"/>
    <n v="29911"/>
  </r>
  <r>
    <s v="ORD03434"/>
    <d v="2025-07-11T00:00:00"/>
    <x v="0"/>
    <x v="47"/>
    <x v="3"/>
    <s v="Singapore"/>
    <x v="32"/>
    <x v="0"/>
    <n v="18639"/>
    <n v="22343"/>
  </r>
  <r>
    <s v="ORD03435"/>
    <d v="2025-06-03T00:00:00"/>
    <x v="5"/>
    <x v="41"/>
    <x v="2"/>
    <s v="Thailand"/>
    <x v="13"/>
    <x v="18"/>
    <n v="30702"/>
    <n v="30567"/>
  </r>
  <r>
    <s v="ORD03436"/>
    <d v="2025-01-20T00:00:00"/>
    <x v="1"/>
    <x v="7"/>
    <x v="4"/>
    <s v="South Africa"/>
    <x v="8"/>
    <x v="17"/>
    <n v="22885"/>
    <n v="18348"/>
  </r>
  <r>
    <s v="ORD03437"/>
    <d v="2025-12-10T00:00:00"/>
    <x v="10"/>
    <x v="32"/>
    <x v="0"/>
    <s v="Australia"/>
    <x v="14"/>
    <x v="2"/>
    <n v="27402"/>
    <n v="28083"/>
  </r>
  <r>
    <s v="ORD03438"/>
    <d v="2025-01-12T00:00:00"/>
    <x v="1"/>
    <x v="6"/>
    <x v="2"/>
    <s v="South Africa"/>
    <x v="27"/>
    <x v="18"/>
    <n v="35113"/>
    <n v="44165"/>
  </r>
  <r>
    <s v="ORD03439"/>
    <d v="2025-04-01T00:00:00"/>
    <x v="7"/>
    <x v="34"/>
    <x v="0"/>
    <s v="Spain"/>
    <x v="27"/>
    <x v="29"/>
    <n v="22313"/>
    <n v="28269"/>
  </r>
  <r>
    <s v="ORD03440"/>
    <d v="2025-08-26T00:00:00"/>
    <x v="11"/>
    <x v="28"/>
    <x v="0"/>
    <s v="Mexico"/>
    <x v="40"/>
    <x v="13"/>
    <n v="25707"/>
    <n v="18016"/>
  </r>
  <r>
    <s v="ORD03441"/>
    <d v="2025-04-10T00:00:00"/>
    <x v="7"/>
    <x v="16"/>
    <x v="4"/>
    <s v="UAE"/>
    <x v="28"/>
    <x v="21"/>
    <n v="23361"/>
    <n v="19483"/>
  </r>
  <r>
    <s v="ORD03442"/>
    <d v="2025-10-16T00:00:00"/>
    <x v="4"/>
    <x v="10"/>
    <x v="6"/>
    <s v="France"/>
    <x v="11"/>
    <x v="17"/>
    <n v="27399"/>
    <n v="26122"/>
  </r>
  <r>
    <s v="ORD03443"/>
    <d v="2025-06-24T00:00:00"/>
    <x v="5"/>
    <x v="36"/>
    <x v="0"/>
    <s v="Singapore"/>
    <x v="11"/>
    <x v="0"/>
    <n v="15592"/>
    <n v="16855"/>
  </r>
  <r>
    <s v="ORD03444"/>
    <d v="2025-01-07T00:00:00"/>
    <x v="1"/>
    <x v="6"/>
    <x v="6"/>
    <s v="Spain"/>
    <x v="0"/>
    <x v="23"/>
    <n v="23088"/>
    <n v="22390"/>
  </r>
  <r>
    <s v="ORD03445"/>
    <d v="2025-01-22T00:00:00"/>
    <x v="1"/>
    <x v="7"/>
    <x v="5"/>
    <s v="Spain"/>
    <x v="37"/>
    <x v="3"/>
    <n v="19069"/>
    <n v="19744"/>
  </r>
  <r>
    <s v="ORD03446"/>
    <d v="2025-05-23T00:00:00"/>
    <x v="8"/>
    <x v="26"/>
    <x v="1"/>
    <s v="Malaysia"/>
    <x v="48"/>
    <x v="25"/>
    <n v="25409"/>
    <n v="22967"/>
  </r>
  <r>
    <s v="ORD03447"/>
    <d v="2025-07-14T00:00:00"/>
    <x v="0"/>
    <x v="14"/>
    <x v="6"/>
    <s v="Mexico"/>
    <x v="25"/>
    <x v="27"/>
    <n v="19639"/>
    <n v="24218"/>
  </r>
  <r>
    <s v="ORD03448"/>
    <d v="2025-01-04T00:00:00"/>
    <x v="1"/>
    <x v="5"/>
    <x v="4"/>
    <s v="Malaysia"/>
    <x v="19"/>
    <x v="5"/>
    <n v="30212"/>
    <n v="31672"/>
  </r>
  <r>
    <s v="ORD03449"/>
    <d v="2025-08-04T00:00:00"/>
    <x v="11"/>
    <x v="23"/>
    <x v="2"/>
    <s v="Italy"/>
    <x v="1"/>
    <x v="20"/>
    <n v="23590"/>
    <n v="23391"/>
  </r>
  <r>
    <s v="ORD03450"/>
    <d v="2025-08-27T00:00:00"/>
    <x v="11"/>
    <x v="28"/>
    <x v="3"/>
    <s v="Spain"/>
    <x v="15"/>
    <x v="3"/>
    <n v="20205"/>
    <n v="20162"/>
  </r>
  <r>
    <s v="ORD03451"/>
    <d v="2025-07-13T00:00:00"/>
    <x v="0"/>
    <x v="47"/>
    <x v="6"/>
    <s v="Thailand"/>
    <x v="44"/>
    <x v="18"/>
    <n v="38051"/>
    <n v="32611"/>
  </r>
  <r>
    <s v="ORD03452"/>
    <d v="2025-02-05T00:00:00"/>
    <x v="6"/>
    <x v="48"/>
    <x v="2"/>
    <s v="Australia"/>
    <x v="35"/>
    <x v="2"/>
    <n v="26253"/>
    <n v="27903"/>
  </r>
  <r>
    <s v="ORD03453"/>
    <d v="2025-12-12T00:00:00"/>
    <x v="10"/>
    <x v="32"/>
    <x v="2"/>
    <s v="UK"/>
    <x v="44"/>
    <x v="21"/>
    <n v="31658"/>
    <n v="34478"/>
  </r>
  <r>
    <s v="ORD03454"/>
    <d v="2025-07-31T00:00:00"/>
    <x v="0"/>
    <x v="12"/>
    <x v="0"/>
    <s v="Spain"/>
    <x v="40"/>
    <x v="22"/>
    <n v="24480"/>
    <n v="27850"/>
  </r>
  <r>
    <s v="ORD03455"/>
    <d v="2025-11-27T00:00:00"/>
    <x v="2"/>
    <x v="11"/>
    <x v="6"/>
    <s v="Turkey"/>
    <x v="22"/>
    <x v="20"/>
    <n v="38412"/>
    <n v="32018"/>
  </r>
  <r>
    <s v="ORD03456"/>
    <d v="2025-08-23T00:00:00"/>
    <x v="11"/>
    <x v="46"/>
    <x v="6"/>
    <s v="France"/>
    <x v="37"/>
    <x v="25"/>
    <n v="20032"/>
    <n v="20656"/>
  </r>
  <r>
    <s v="ORD03457"/>
    <d v="2025-07-03T00:00:00"/>
    <x v="0"/>
    <x v="37"/>
    <x v="3"/>
    <s v="Thailand"/>
    <x v="40"/>
    <x v="3"/>
    <n v="32223"/>
    <n v="36908"/>
  </r>
  <r>
    <s v="ORD03458"/>
    <d v="2025-05-29T00:00:00"/>
    <x v="8"/>
    <x v="24"/>
    <x v="1"/>
    <s v="Japan"/>
    <x v="20"/>
    <x v="15"/>
    <n v="30828"/>
    <n v="40065"/>
  </r>
  <r>
    <s v="ORD03459"/>
    <d v="2025-09-02T00:00:00"/>
    <x v="3"/>
    <x v="4"/>
    <x v="5"/>
    <s v="Germany"/>
    <x v="49"/>
    <x v="24"/>
    <n v="27947"/>
    <n v="27614"/>
  </r>
  <r>
    <s v="ORD03460"/>
    <d v="2025-07-10T00:00:00"/>
    <x v="0"/>
    <x v="47"/>
    <x v="1"/>
    <s v="UAE"/>
    <x v="18"/>
    <x v="27"/>
    <n v="31067"/>
    <n v="27643"/>
  </r>
  <r>
    <s v="ORD03461"/>
    <d v="2025-10-11T00:00:00"/>
    <x v="4"/>
    <x v="45"/>
    <x v="4"/>
    <s v="Russia"/>
    <x v="15"/>
    <x v="25"/>
    <n v="25757"/>
    <n v="24444"/>
  </r>
  <r>
    <s v="ORD03462"/>
    <d v="2025-03-30T00:00:00"/>
    <x v="9"/>
    <x v="33"/>
    <x v="4"/>
    <s v="Mexico"/>
    <x v="40"/>
    <x v="12"/>
    <n v="33020"/>
    <n v="35703"/>
  </r>
  <r>
    <s v="ORD03463"/>
    <d v="2025-12-04T00:00:00"/>
    <x v="10"/>
    <x v="43"/>
    <x v="0"/>
    <s v="India"/>
    <x v="8"/>
    <x v="23"/>
    <n v="17478"/>
    <n v="17886"/>
  </r>
  <r>
    <s v="ORD03464"/>
    <d v="2025-12-22T00:00:00"/>
    <x v="10"/>
    <x v="42"/>
    <x v="6"/>
    <s v="Japan"/>
    <x v="33"/>
    <x v="9"/>
    <n v="37960"/>
    <n v="31868"/>
  </r>
  <r>
    <s v="ORD03465"/>
    <d v="2025-07-10T00:00:00"/>
    <x v="0"/>
    <x v="47"/>
    <x v="2"/>
    <s v="USA"/>
    <x v="45"/>
    <x v="0"/>
    <n v="16785"/>
    <n v="15580"/>
  </r>
  <r>
    <s v="ORD03466"/>
    <d v="2025-05-01T00:00:00"/>
    <x v="8"/>
    <x v="27"/>
    <x v="2"/>
    <s v="Germany"/>
    <x v="18"/>
    <x v="5"/>
    <n v="33948"/>
    <n v="39138"/>
  </r>
  <r>
    <s v="ORD03467"/>
    <d v="2025-03-21T00:00:00"/>
    <x v="9"/>
    <x v="39"/>
    <x v="3"/>
    <s v="USA"/>
    <x v="40"/>
    <x v="13"/>
    <n v="20619"/>
    <n v="17589"/>
  </r>
  <r>
    <s v="ORD03468"/>
    <d v="2025-08-17T00:00:00"/>
    <x v="11"/>
    <x v="30"/>
    <x v="0"/>
    <s v="China"/>
    <x v="49"/>
    <x v="1"/>
    <n v="33666"/>
    <n v="30348"/>
  </r>
  <r>
    <s v="ORD03469"/>
    <d v="2025-12-14T00:00:00"/>
    <x v="10"/>
    <x v="32"/>
    <x v="5"/>
    <s v="Brazil"/>
    <x v="39"/>
    <x v="11"/>
    <n v="36154"/>
    <n v="25525"/>
  </r>
  <r>
    <s v="ORD03470"/>
    <d v="2025-05-05T00:00:00"/>
    <x v="8"/>
    <x v="18"/>
    <x v="5"/>
    <s v="Germany"/>
    <x v="7"/>
    <x v="15"/>
    <n v="19990"/>
    <n v="25859"/>
  </r>
  <r>
    <s v="ORD03471"/>
    <d v="2025-09-19T00:00:00"/>
    <x v="3"/>
    <x v="8"/>
    <x v="0"/>
    <s v="Mexico"/>
    <x v="11"/>
    <x v="1"/>
    <n v="19297"/>
    <n v="14368"/>
  </r>
  <r>
    <s v="ORD03472"/>
    <d v="2025-06-28T00:00:00"/>
    <x v="5"/>
    <x v="36"/>
    <x v="5"/>
    <s v="Germany"/>
    <x v="36"/>
    <x v="22"/>
    <n v="23134"/>
    <n v="29885"/>
  </r>
  <r>
    <s v="ORD03473"/>
    <d v="2025-12-15T00:00:00"/>
    <x v="10"/>
    <x v="21"/>
    <x v="1"/>
    <s v="UK"/>
    <x v="37"/>
    <x v="15"/>
    <n v="26301"/>
    <n v="24615"/>
  </r>
  <r>
    <s v="ORD03474"/>
    <d v="2025-05-06T00:00:00"/>
    <x v="8"/>
    <x v="18"/>
    <x v="6"/>
    <s v="USA"/>
    <x v="9"/>
    <x v="9"/>
    <n v="33487"/>
    <n v="28044"/>
  </r>
  <r>
    <s v="ORD03475"/>
    <d v="2025-09-12T00:00:00"/>
    <x v="3"/>
    <x v="31"/>
    <x v="4"/>
    <s v="USA"/>
    <x v="30"/>
    <x v="12"/>
    <n v="17771"/>
    <n v="13508"/>
  </r>
  <r>
    <s v="ORD03476"/>
    <d v="2025-12-25T00:00:00"/>
    <x v="10"/>
    <x v="42"/>
    <x v="3"/>
    <s v="UAE"/>
    <x v="34"/>
    <x v="16"/>
    <n v="24890"/>
    <n v="24476"/>
  </r>
  <r>
    <s v="ORD03477"/>
    <d v="2025-04-21T00:00:00"/>
    <x v="7"/>
    <x v="38"/>
    <x v="4"/>
    <s v="UAE"/>
    <x v="3"/>
    <x v="3"/>
    <n v="18438"/>
    <n v="17367"/>
  </r>
  <r>
    <s v="ORD03478"/>
    <d v="2025-02-24T00:00:00"/>
    <x v="6"/>
    <x v="22"/>
    <x v="3"/>
    <s v="UAE"/>
    <x v="42"/>
    <x v="25"/>
    <n v="24230"/>
    <n v="25873"/>
  </r>
  <r>
    <s v="ORD03479"/>
    <d v="2025-04-27T00:00:00"/>
    <x v="7"/>
    <x v="38"/>
    <x v="4"/>
    <s v="France"/>
    <x v="17"/>
    <x v="9"/>
    <n v="31247"/>
    <n v="37327"/>
  </r>
  <r>
    <s v="ORD03480"/>
    <d v="2025-04-03T00:00:00"/>
    <x v="7"/>
    <x v="34"/>
    <x v="4"/>
    <s v="China"/>
    <x v="34"/>
    <x v="1"/>
    <n v="23443"/>
    <n v="29666"/>
  </r>
  <r>
    <s v="ORD03481"/>
    <d v="2025-10-10T00:00:00"/>
    <x v="4"/>
    <x v="45"/>
    <x v="0"/>
    <s v="France"/>
    <x v="14"/>
    <x v="19"/>
    <n v="32792"/>
    <n v="25766"/>
  </r>
  <r>
    <s v="ORD03482"/>
    <d v="2025-01-15T00:00:00"/>
    <x v="1"/>
    <x v="1"/>
    <x v="0"/>
    <s v="India"/>
    <x v="38"/>
    <x v="9"/>
    <n v="25097"/>
    <n v="26332"/>
  </r>
  <r>
    <s v="ORD03483"/>
    <d v="2025-07-29T00:00:00"/>
    <x v="0"/>
    <x v="12"/>
    <x v="4"/>
    <s v="Singapore"/>
    <x v="31"/>
    <x v="18"/>
    <n v="33424"/>
    <n v="36701"/>
  </r>
  <r>
    <s v="ORD03484"/>
    <d v="2025-02-15T00:00:00"/>
    <x v="6"/>
    <x v="29"/>
    <x v="4"/>
    <s v="South Africa"/>
    <x v="1"/>
    <x v="1"/>
    <n v="35216"/>
    <n v="40320"/>
  </r>
  <r>
    <s v="ORD03485"/>
    <d v="2025-08-04T00:00:00"/>
    <x v="11"/>
    <x v="23"/>
    <x v="3"/>
    <s v="Singapore"/>
    <x v="29"/>
    <x v="24"/>
    <n v="24591"/>
    <n v="21592"/>
  </r>
  <r>
    <s v="ORD03486"/>
    <d v="2025-11-19T00:00:00"/>
    <x v="2"/>
    <x v="9"/>
    <x v="1"/>
    <s v="Japan"/>
    <x v="20"/>
    <x v="22"/>
    <n v="29050"/>
    <n v="20831"/>
  </r>
  <r>
    <s v="ORD03487"/>
    <d v="2025-07-07T00:00:00"/>
    <x v="0"/>
    <x v="47"/>
    <x v="5"/>
    <s v="Russia"/>
    <x v="37"/>
    <x v="26"/>
    <n v="20549"/>
    <n v="15336"/>
  </r>
  <r>
    <s v="ORD03488"/>
    <d v="2025-11-26T00:00:00"/>
    <x v="2"/>
    <x v="11"/>
    <x v="5"/>
    <s v="Japan"/>
    <x v="31"/>
    <x v="12"/>
    <n v="22835"/>
    <n v="16673"/>
  </r>
  <r>
    <s v="ORD03489"/>
    <d v="2025-02-14T00:00:00"/>
    <x v="6"/>
    <x v="29"/>
    <x v="1"/>
    <s v="UAE"/>
    <x v="17"/>
    <x v="14"/>
    <n v="39172"/>
    <n v="36661"/>
  </r>
  <r>
    <s v="ORD03490"/>
    <d v="2025-04-14T00:00:00"/>
    <x v="7"/>
    <x v="20"/>
    <x v="5"/>
    <s v="Brazil"/>
    <x v="13"/>
    <x v="29"/>
    <n v="15926"/>
    <n v="14601"/>
  </r>
  <r>
    <s v="ORD03491"/>
    <d v="2025-01-23T00:00:00"/>
    <x v="1"/>
    <x v="7"/>
    <x v="5"/>
    <s v="France"/>
    <x v="24"/>
    <x v="29"/>
    <n v="15668"/>
    <n v="18232"/>
  </r>
  <r>
    <s v="ORD03492"/>
    <d v="2025-06-06T00:00:00"/>
    <x v="5"/>
    <x v="41"/>
    <x v="1"/>
    <s v="Brazil"/>
    <x v="7"/>
    <x v="27"/>
    <n v="20067"/>
    <n v="17214"/>
  </r>
  <r>
    <s v="ORD03493"/>
    <d v="2025-11-27T00:00:00"/>
    <x v="2"/>
    <x v="11"/>
    <x v="0"/>
    <s v="Australia"/>
    <x v="21"/>
    <x v="28"/>
    <n v="17591"/>
    <n v="18036"/>
  </r>
  <r>
    <s v="ORD03494"/>
    <d v="2025-02-18T00:00:00"/>
    <x v="6"/>
    <x v="15"/>
    <x v="5"/>
    <s v="Mexico"/>
    <x v="21"/>
    <x v="2"/>
    <n v="20671"/>
    <n v="24762"/>
  </r>
  <r>
    <s v="ORD03495"/>
    <d v="2025-09-20T00:00:00"/>
    <x v="3"/>
    <x v="8"/>
    <x v="0"/>
    <s v="Russia"/>
    <x v="39"/>
    <x v="2"/>
    <n v="33962"/>
    <n v="30955"/>
  </r>
  <r>
    <s v="ORD03496"/>
    <d v="2025-12-10T00:00:00"/>
    <x v="10"/>
    <x v="32"/>
    <x v="1"/>
    <s v="Germany"/>
    <x v="24"/>
    <x v="24"/>
    <n v="36606"/>
    <n v="39726"/>
  </r>
  <r>
    <s v="ORD03497"/>
    <d v="2025-05-23T00:00:00"/>
    <x v="8"/>
    <x v="26"/>
    <x v="0"/>
    <s v="India"/>
    <x v="1"/>
    <x v="23"/>
    <n v="16577"/>
    <n v="21169"/>
  </r>
  <r>
    <s v="ORD03498"/>
    <d v="2025-04-09T00:00:00"/>
    <x v="7"/>
    <x v="16"/>
    <x v="4"/>
    <s v="Australia"/>
    <x v="10"/>
    <x v="23"/>
    <n v="23000"/>
    <n v="17770"/>
  </r>
  <r>
    <s v="ORD03499"/>
    <d v="2025-11-25T00:00:00"/>
    <x v="2"/>
    <x v="11"/>
    <x v="5"/>
    <s v="Spain"/>
    <x v="42"/>
    <x v="11"/>
    <n v="18031"/>
    <n v="19683"/>
  </r>
  <r>
    <s v="ORD03500"/>
    <d v="2025-12-14T00:00:00"/>
    <x v="10"/>
    <x v="32"/>
    <x v="3"/>
    <s v="South Africa"/>
    <x v="9"/>
    <x v="23"/>
    <n v="26446"/>
    <n v="18722"/>
  </r>
  <r>
    <s v="ORD03501"/>
    <d v="2025-07-03T00:00:00"/>
    <x v="0"/>
    <x v="37"/>
    <x v="4"/>
    <s v="Russia"/>
    <x v="14"/>
    <x v="7"/>
    <n v="27377"/>
    <n v="34088"/>
  </r>
  <r>
    <s v="ORD03502"/>
    <d v="2025-11-10T00:00:00"/>
    <x v="2"/>
    <x v="44"/>
    <x v="6"/>
    <s v="Thailand"/>
    <x v="22"/>
    <x v="10"/>
    <n v="22295"/>
    <n v="21258"/>
  </r>
  <r>
    <s v="ORD03503"/>
    <d v="2025-05-03T00:00:00"/>
    <x v="8"/>
    <x v="27"/>
    <x v="4"/>
    <s v="USA"/>
    <x v="43"/>
    <x v="0"/>
    <n v="29393"/>
    <n v="30832"/>
  </r>
  <r>
    <s v="ORD03504"/>
    <d v="2025-03-09T00:00:00"/>
    <x v="9"/>
    <x v="35"/>
    <x v="3"/>
    <s v="Japan"/>
    <x v="18"/>
    <x v="16"/>
    <n v="32031"/>
    <n v="26453"/>
  </r>
  <r>
    <s v="ORD03505"/>
    <d v="2025-05-01T00:00:00"/>
    <x v="8"/>
    <x v="27"/>
    <x v="0"/>
    <s v="Thailand"/>
    <x v="4"/>
    <x v="14"/>
    <n v="33857"/>
    <n v="40798"/>
  </r>
  <r>
    <s v="ORD03506"/>
    <d v="2025-12-06T00:00:00"/>
    <x v="10"/>
    <x v="43"/>
    <x v="0"/>
    <s v="Australia"/>
    <x v="16"/>
    <x v="1"/>
    <n v="24988"/>
    <n v="25504"/>
  </r>
  <r>
    <s v="ORD03507"/>
    <d v="2025-12-23T00:00:00"/>
    <x v="10"/>
    <x v="42"/>
    <x v="6"/>
    <s v="Canada"/>
    <x v="12"/>
    <x v="3"/>
    <n v="28308"/>
    <n v="36300"/>
  </r>
  <r>
    <s v="ORD03508"/>
    <d v="2025-12-04T00:00:00"/>
    <x v="10"/>
    <x v="43"/>
    <x v="3"/>
    <s v="Malaysia"/>
    <x v="34"/>
    <x v="28"/>
    <n v="23364"/>
    <n v="20435"/>
  </r>
  <r>
    <s v="ORD03509"/>
    <d v="2025-09-02T00:00:00"/>
    <x v="3"/>
    <x v="4"/>
    <x v="2"/>
    <s v="Mexico"/>
    <x v="38"/>
    <x v="20"/>
    <n v="19217"/>
    <n v="20638"/>
  </r>
  <r>
    <s v="ORD03510"/>
    <d v="2025-09-03T00:00:00"/>
    <x v="3"/>
    <x v="4"/>
    <x v="1"/>
    <s v="Brazil"/>
    <x v="2"/>
    <x v="20"/>
    <n v="25115"/>
    <n v="31504"/>
  </r>
  <r>
    <s v="ORD03511"/>
    <d v="2025-01-29T00:00:00"/>
    <x v="1"/>
    <x v="3"/>
    <x v="6"/>
    <s v="Germany"/>
    <x v="14"/>
    <x v="23"/>
    <n v="15491"/>
    <n v="17988"/>
  </r>
  <r>
    <s v="ORD03512"/>
    <d v="2025-11-09T00:00:00"/>
    <x v="2"/>
    <x v="51"/>
    <x v="5"/>
    <s v="Italy"/>
    <x v="3"/>
    <x v="16"/>
    <n v="18046"/>
    <n v="13677"/>
  </r>
  <r>
    <s v="ORD03513"/>
    <d v="2025-12-06T00:00:00"/>
    <x v="10"/>
    <x v="43"/>
    <x v="4"/>
    <s v="USA"/>
    <x v="9"/>
    <x v="26"/>
    <n v="35967"/>
    <n v="28053"/>
  </r>
  <r>
    <s v="ORD03514"/>
    <d v="2025-07-23T00:00:00"/>
    <x v="0"/>
    <x v="0"/>
    <x v="4"/>
    <s v="Japan"/>
    <x v="36"/>
    <x v="20"/>
    <n v="15510"/>
    <n v="15458"/>
  </r>
  <r>
    <s v="ORD03515"/>
    <d v="2025-02-04T00:00:00"/>
    <x v="6"/>
    <x v="48"/>
    <x v="1"/>
    <s v="UAE"/>
    <x v="19"/>
    <x v="18"/>
    <n v="15783"/>
    <n v="20159"/>
  </r>
  <r>
    <s v="ORD03516"/>
    <d v="2025-01-17T00:00:00"/>
    <x v="1"/>
    <x v="1"/>
    <x v="3"/>
    <s v="Singapore"/>
    <x v="45"/>
    <x v="29"/>
    <n v="27298"/>
    <n v="19433"/>
  </r>
  <r>
    <s v="ORD03517"/>
    <d v="2025-12-10T00:00:00"/>
    <x v="10"/>
    <x v="32"/>
    <x v="0"/>
    <s v="Canada"/>
    <x v="6"/>
    <x v="4"/>
    <n v="23180"/>
    <n v="23440"/>
  </r>
  <r>
    <s v="ORD03518"/>
    <d v="2025-11-28T00:00:00"/>
    <x v="2"/>
    <x v="11"/>
    <x v="6"/>
    <s v="Germany"/>
    <x v="23"/>
    <x v="0"/>
    <n v="31230"/>
    <n v="27366"/>
  </r>
  <r>
    <s v="ORD03519"/>
    <d v="2025-02-10T00:00:00"/>
    <x v="6"/>
    <x v="29"/>
    <x v="4"/>
    <s v="Spain"/>
    <x v="40"/>
    <x v="13"/>
    <n v="18168"/>
    <n v="12797"/>
  </r>
  <r>
    <s v="ORD03520"/>
    <d v="2025-03-20T00:00:00"/>
    <x v="9"/>
    <x v="39"/>
    <x v="6"/>
    <s v="Australia"/>
    <x v="47"/>
    <x v="11"/>
    <n v="22676"/>
    <n v="27187"/>
  </r>
  <r>
    <s v="ORD03521"/>
    <d v="2025-12-27T00:00:00"/>
    <x v="10"/>
    <x v="42"/>
    <x v="3"/>
    <s v="USA"/>
    <x v="9"/>
    <x v="9"/>
    <n v="16939"/>
    <n v="16441"/>
  </r>
  <r>
    <s v="ORD03522"/>
    <d v="2025-09-19T00:00:00"/>
    <x v="3"/>
    <x v="8"/>
    <x v="5"/>
    <s v="USA"/>
    <x v="24"/>
    <x v="24"/>
    <n v="39619"/>
    <n v="31195"/>
  </r>
  <r>
    <s v="ORD03523"/>
    <d v="2025-04-27T00:00:00"/>
    <x v="7"/>
    <x v="38"/>
    <x v="0"/>
    <s v="Thailand"/>
    <x v="45"/>
    <x v="26"/>
    <n v="15995"/>
    <n v="16721"/>
  </r>
  <r>
    <s v="ORD03524"/>
    <d v="2025-02-28T00:00:00"/>
    <x v="6"/>
    <x v="22"/>
    <x v="2"/>
    <s v="UK"/>
    <x v="42"/>
    <x v="5"/>
    <n v="24099"/>
    <n v="30940"/>
  </r>
  <r>
    <s v="ORD03525"/>
    <d v="2025-07-01T00:00:00"/>
    <x v="0"/>
    <x v="37"/>
    <x v="2"/>
    <s v="Italy"/>
    <x v="17"/>
    <x v="26"/>
    <n v="36944"/>
    <n v="26159"/>
  </r>
  <r>
    <s v="ORD03526"/>
    <d v="2025-07-09T00:00:00"/>
    <x v="0"/>
    <x v="47"/>
    <x v="3"/>
    <s v="Australia"/>
    <x v="4"/>
    <x v="19"/>
    <n v="39356"/>
    <n v="47760"/>
  </r>
  <r>
    <s v="ORD03527"/>
    <d v="2025-04-17T00:00:00"/>
    <x v="7"/>
    <x v="20"/>
    <x v="5"/>
    <s v="India"/>
    <x v="40"/>
    <x v="9"/>
    <n v="30996"/>
    <n v="34294"/>
  </r>
  <r>
    <s v="ORD03528"/>
    <d v="2025-10-04T00:00:00"/>
    <x v="4"/>
    <x v="49"/>
    <x v="2"/>
    <s v="Italy"/>
    <x v="18"/>
    <x v="16"/>
    <n v="36102"/>
    <n v="30973"/>
  </r>
  <r>
    <s v="ORD03529"/>
    <d v="2025-12-18T00:00:00"/>
    <x v="10"/>
    <x v="21"/>
    <x v="0"/>
    <s v="Russia"/>
    <x v="31"/>
    <x v="25"/>
    <n v="26161"/>
    <n v="24092"/>
  </r>
  <r>
    <s v="ORD03530"/>
    <d v="2025-01-05T00:00:00"/>
    <x v="1"/>
    <x v="5"/>
    <x v="5"/>
    <s v="France"/>
    <x v="6"/>
    <x v="22"/>
    <n v="24439"/>
    <n v="20506"/>
  </r>
  <r>
    <s v="ORD03531"/>
    <d v="2025-02-11T00:00:00"/>
    <x v="6"/>
    <x v="29"/>
    <x v="1"/>
    <s v="Australia"/>
    <x v="40"/>
    <x v="5"/>
    <n v="23045"/>
    <n v="27075"/>
  </r>
  <r>
    <s v="ORD03532"/>
    <d v="2025-03-27T00:00:00"/>
    <x v="9"/>
    <x v="33"/>
    <x v="2"/>
    <s v="Brazil"/>
    <x v="45"/>
    <x v="1"/>
    <n v="18140"/>
    <n v="17968"/>
  </r>
  <r>
    <s v="ORD03533"/>
    <d v="2025-07-02T00:00:00"/>
    <x v="0"/>
    <x v="37"/>
    <x v="2"/>
    <s v="Singapore"/>
    <x v="4"/>
    <x v="4"/>
    <n v="34095"/>
    <n v="34879"/>
  </r>
  <r>
    <s v="ORD03534"/>
    <d v="2025-07-25T00:00:00"/>
    <x v="0"/>
    <x v="0"/>
    <x v="4"/>
    <s v="Turkey"/>
    <x v="36"/>
    <x v="15"/>
    <n v="28908"/>
    <n v="23412"/>
  </r>
  <r>
    <s v="ORD03535"/>
    <d v="2025-03-14T00:00:00"/>
    <x v="9"/>
    <x v="19"/>
    <x v="2"/>
    <s v="Russia"/>
    <x v="25"/>
    <x v="25"/>
    <n v="24611"/>
    <n v="26635"/>
  </r>
  <r>
    <s v="ORD03536"/>
    <d v="2025-03-18T00:00:00"/>
    <x v="9"/>
    <x v="39"/>
    <x v="3"/>
    <s v="Mexico"/>
    <x v="4"/>
    <x v="1"/>
    <n v="35451"/>
    <n v="38124"/>
  </r>
  <r>
    <s v="ORD03537"/>
    <d v="2025-01-09T00:00:00"/>
    <x v="1"/>
    <x v="6"/>
    <x v="4"/>
    <s v="Mexico"/>
    <x v="42"/>
    <x v="4"/>
    <n v="31188"/>
    <n v="25309"/>
  </r>
  <r>
    <s v="ORD03538"/>
    <d v="2025-04-10T00:00:00"/>
    <x v="7"/>
    <x v="16"/>
    <x v="3"/>
    <s v="Russia"/>
    <x v="5"/>
    <x v="28"/>
    <n v="33457"/>
    <n v="29035"/>
  </r>
  <r>
    <s v="ORD03539"/>
    <d v="2025-02-16T00:00:00"/>
    <x v="6"/>
    <x v="29"/>
    <x v="5"/>
    <s v="USA"/>
    <x v="11"/>
    <x v="14"/>
    <n v="28167"/>
    <n v="25810"/>
  </r>
  <r>
    <s v="ORD03540"/>
    <d v="2025-09-02T00:00:00"/>
    <x v="3"/>
    <x v="4"/>
    <x v="5"/>
    <s v="Germany"/>
    <x v="3"/>
    <x v="19"/>
    <n v="17093"/>
    <n v="12568"/>
  </r>
  <r>
    <s v="ORD03541"/>
    <d v="2025-10-21T00:00:00"/>
    <x v="4"/>
    <x v="50"/>
    <x v="0"/>
    <s v="Australia"/>
    <x v="13"/>
    <x v="6"/>
    <n v="27264"/>
    <n v="30407"/>
  </r>
  <r>
    <s v="ORD03542"/>
    <d v="2025-04-08T00:00:00"/>
    <x v="7"/>
    <x v="16"/>
    <x v="1"/>
    <s v="Singapore"/>
    <x v="17"/>
    <x v="29"/>
    <n v="26402"/>
    <n v="33444"/>
  </r>
  <r>
    <s v="ORD03543"/>
    <d v="2025-12-23T00:00:00"/>
    <x v="10"/>
    <x v="42"/>
    <x v="1"/>
    <s v="France"/>
    <x v="7"/>
    <x v="27"/>
    <n v="25373"/>
    <n v="25587"/>
  </r>
  <r>
    <s v="ORD03544"/>
    <d v="2025-09-13T00:00:00"/>
    <x v="3"/>
    <x v="31"/>
    <x v="6"/>
    <s v="Brazil"/>
    <x v="8"/>
    <x v="15"/>
    <n v="19839"/>
    <n v="19161"/>
  </r>
  <r>
    <s v="ORD03545"/>
    <d v="2025-07-23T00:00:00"/>
    <x v="0"/>
    <x v="0"/>
    <x v="2"/>
    <s v="UK"/>
    <x v="15"/>
    <x v="10"/>
    <n v="27648"/>
    <n v="22727"/>
  </r>
  <r>
    <s v="ORD03546"/>
    <d v="2025-04-12T00:00:00"/>
    <x v="7"/>
    <x v="16"/>
    <x v="0"/>
    <s v="UAE"/>
    <x v="20"/>
    <x v="9"/>
    <n v="37700"/>
    <n v="38986"/>
  </r>
  <r>
    <s v="ORD03547"/>
    <d v="2025-06-25T00:00:00"/>
    <x v="5"/>
    <x v="36"/>
    <x v="0"/>
    <s v="Italy"/>
    <x v="47"/>
    <x v="4"/>
    <n v="39446"/>
    <n v="30153"/>
  </r>
  <r>
    <s v="ORD03548"/>
    <d v="2025-11-30T00:00:00"/>
    <x v="2"/>
    <x v="11"/>
    <x v="3"/>
    <s v="Germany"/>
    <x v="34"/>
    <x v="17"/>
    <n v="24417"/>
    <n v="18930"/>
  </r>
  <r>
    <s v="ORD03549"/>
    <d v="2025-10-26T00:00:00"/>
    <x v="4"/>
    <x v="50"/>
    <x v="2"/>
    <s v="Australia"/>
    <x v="49"/>
    <x v="10"/>
    <n v="38592"/>
    <n v="29189"/>
  </r>
  <r>
    <s v="ORD03550"/>
    <d v="2025-10-27T00:00:00"/>
    <x v="4"/>
    <x v="2"/>
    <x v="2"/>
    <s v="Italy"/>
    <x v="44"/>
    <x v="23"/>
    <n v="35119"/>
    <n v="25327"/>
  </r>
  <r>
    <s v="ORD03551"/>
    <d v="2025-02-24T00:00:00"/>
    <x v="6"/>
    <x v="22"/>
    <x v="0"/>
    <s v="France"/>
    <x v="5"/>
    <x v="29"/>
    <n v="29300"/>
    <n v="32855"/>
  </r>
  <r>
    <s v="ORD03552"/>
    <d v="2025-03-13T00:00:00"/>
    <x v="9"/>
    <x v="19"/>
    <x v="3"/>
    <s v="Canada"/>
    <x v="28"/>
    <x v="14"/>
    <n v="39979"/>
    <n v="49664"/>
  </r>
  <r>
    <s v="ORD03553"/>
    <d v="2025-04-22T00:00:00"/>
    <x v="7"/>
    <x v="38"/>
    <x v="3"/>
    <s v="Australia"/>
    <x v="37"/>
    <x v="5"/>
    <n v="27877"/>
    <n v="29488"/>
  </r>
  <r>
    <s v="ORD03554"/>
    <d v="2025-01-22T00:00:00"/>
    <x v="1"/>
    <x v="7"/>
    <x v="5"/>
    <s v="Russia"/>
    <x v="25"/>
    <x v="15"/>
    <n v="22645"/>
    <n v="19163"/>
  </r>
  <r>
    <s v="ORD03555"/>
    <d v="2025-12-16T00:00:00"/>
    <x v="10"/>
    <x v="21"/>
    <x v="1"/>
    <s v="UK"/>
    <x v="19"/>
    <x v="17"/>
    <n v="35787"/>
    <n v="28619"/>
  </r>
  <r>
    <s v="ORD03556"/>
    <d v="2025-06-24T00:00:00"/>
    <x v="5"/>
    <x v="36"/>
    <x v="3"/>
    <s v="South Africa"/>
    <x v="1"/>
    <x v="21"/>
    <n v="33489"/>
    <n v="27425"/>
  </r>
  <r>
    <s v="ORD03557"/>
    <d v="2025-03-17T00:00:00"/>
    <x v="9"/>
    <x v="39"/>
    <x v="2"/>
    <s v="UAE"/>
    <x v="30"/>
    <x v="27"/>
    <n v="30037"/>
    <n v="29558"/>
  </r>
  <r>
    <s v="ORD03558"/>
    <d v="2025-05-02T00:00:00"/>
    <x v="8"/>
    <x v="27"/>
    <x v="1"/>
    <s v="China"/>
    <x v="3"/>
    <x v="10"/>
    <n v="22378"/>
    <n v="28994"/>
  </r>
  <r>
    <s v="ORD03559"/>
    <d v="2025-04-05T00:00:00"/>
    <x v="7"/>
    <x v="34"/>
    <x v="1"/>
    <s v="Malaysia"/>
    <x v="5"/>
    <x v="3"/>
    <n v="37301"/>
    <n v="26621"/>
  </r>
  <r>
    <s v="ORD03560"/>
    <d v="2025-08-12T00:00:00"/>
    <x v="11"/>
    <x v="30"/>
    <x v="1"/>
    <s v="Germany"/>
    <x v="2"/>
    <x v="24"/>
    <n v="27278"/>
    <n v="35426"/>
  </r>
  <r>
    <s v="ORD03561"/>
    <d v="2025-10-11T00:00:00"/>
    <x v="4"/>
    <x v="45"/>
    <x v="5"/>
    <s v="Singapore"/>
    <x v="8"/>
    <x v="0"/>
    <n v="33127"/>
    <n v="23747"/>
  </r>
  <r>
    <s v="ORD03562"/>
    <d v="2025-10-31T00:00:00"/>
    <x v="4"/>
    <x v="2"/>
    <x v="0"/>
    <s v="Thailand"/>
    <x v="39"/>
    <x v="27"/>
    <n v="20734"/>
    <n v="23050"/>
  </r>
  <r>
    <s v="ORD03563"/>
    <d v="2025-03-01T00:00:00"/>
    <x v="9"/>
    <x v="22"/>
    <x v="6"/>
    <s v="Italy"/>
    <x v="17"/>
    <x v="1"/>
    <n v="15674"/>
    <n v="15552"/>
  </r>
  <r>
    <s v="ORD03564"/>
    <d v="2025-01-12T00:00:00"/>
    <x v="1"/>
    <x v="6"/>
    <x v="5"/>
    <s v="Canada"/>
    <x v="37"/>
    <x v="24"/>
    <n v="33796"/>
    <n v="30677"/>
  </r>
  <r>
    <s v="ORD03565"/>
    <d v="2025-11-11T00:00:00"/>
    <x v="2"/>
    <x v="44"/>
    <x v="3"/>
    <s v="Australia"/>
    <x v="30"/>
    <x v="17"/>
    <n v="17984"/>
    <n v="13121"/>
  </r>
  <r>
    <s v="ORD03566"/>
    <d v="2025-07-18T00:00:00"/>
    <x v="0"/>
    <x v="14"/>
    <x v="3"/>
    <s v="Russia"/>
    <x v="2"/>
    <x v="9"/>
    <n v="33169"/>
    <n v="36273"/>
  </r>
  <r>
    <s v="ORD03567"/>
    <d v="2025-12-23T00:00:00"/>
    <x v="10"/>
    <x v="42"/>
    <x v="2"/>
    <s v="China"/>
    <x v="30"/>
    <x v="6"/>
    <n v="23214"/>
    <n v="26634"/>
  </r>
  <r>
    <s v="ORD03568"/>
    <d v="2025-06-03T00:00:00"/>
    <x v="5"/>
    <x v="41"/>
    <x v="0"/>
    <s v="Brazil"/>
    <x v="2"/>
    <x v="27"/>
    <n v="20053"/>
    <n v="14343"/>
  </r>
  <r>
    <s v="ORD03569"/>
    <d v="2025-01-05T00:00:00"/>
    <x v="1"/>
    <x v="5"/>
    <x v="4"/>
    <s v="Spain"/>
    <x v="3"/>
    <x v="14"/>
    <n v="34672"/>
    <n v="28412"/>
  </r>
  <r>
    <s v="ORD03570"/>
    <d v="2025-10-20T00:00:00"/>
    <x v="4"/>
    <x v="50"/>
    <x v="5"/>
    <s v="Malaysia"/>
    <x v="15"/>
    <x v="18"/>
    <n v="37712"/>
    <n v="42863"/>
  </r>
  <r>
    <s v="ORD03571"/>
    <d v="2025-03-05T00:00:00"/>
    <x v="9"/>
    <x v="35"/>
    <x v="0"/>
    <s v="Mexico"/>
    <x v="19"/>
    <x v="5"/>
    <n v="34909"/>
    <n v="41876"/>
  </r>
  <r>
    <s v="ORD03572"/>
    <d v="2025-01-24T00:00:00"/>
    <x v="1"/>
    <x v="7"/>
    <x v="0"/>
    <s v="Canada"/>
    <x v="8"/>
    <x v="21"/>
    <n v="22167"/>
    <n v="28614"/>
  </r>
  <r>
    <s v="ORD03573"/>
    <d v="2025-05-27T00:00:00"/>
    <x v="8"/>
    <x v="24"/>
    <x v="6"/>
    <s v="Italy"/>
    <x v="48"/>
    <x v="26"/>
    <n v="20779"/>
    <n v="21166"/>
  </r>
  <r>
    <s v="ORD03574"/>
    <d v="2025-06-25T00:00:00"/>
    <x v="5"/>
    <x v="36"/>
    <x v="2"/>
    <s v="Thailand"/>
    <x v="31"/>
    <x v="29"/>
    <n v="18364"/>
    <n v="20854"/>
  </r>
  <r>
    <s v="ORD03575"/>
    <d v="2025-12-28T00:00:00"/>
    <x v="10"/>
    <x v="42"/>
    <x v="1"/>
    <s v="UAE"/>
    <x v="12"/>
    <x v="15"/>
    <n v="33389"/>
    <n v="34431"/>
  </r>
  <r>
    <s v="ORD03576"/>
    <d v="2025-03-20T00:00:00"/>
    <x v="9"/>
    <x v="39"/>
    <x v="6"/>
    <s v="Singapore"/>
    <x v="25"/>
    <x v="9"/>
    <n v="37327"/>
    <n v="34607"/>
  </r>
  <r>
    <s v="ORD03577"/>
    <d v="2025-11-05T00:00:00"/>
    <x v="2"/>
    <x v="51"/>
    <x v="3"/>
    <s v="China"/>
    <x v="9"/>
    <x v="24"/>
    <n v="18495"/>
    <n v="18673"/>
  </r>
  <r>
    <s v="ORD03578"/>
    <d v="2025-03-12T00:00:00"/>
    <x v="9"/>
    <x v="19"/>
    <x v="2"/>
    <s v="Singapore"/>
    <x v="38"/>
    <x v="0"/>
    <n v="16321"/>
    <n v="19314"/>
  </r>
  <r>
    <s v="ORD03579"/>
    <d v="2025-07-29T00:00:00"/>
    <x v="0"/>
    <x v="12"/>
    <x v="6"/>
    <s v="Australia"/>
    <x v="35"/>
    <x v="15"/>
    <n v="30828"/>
    <n v="40028"/>
  </r>
  <r>
    <s v="ORD03580"/>
    <d v="2025-07-03T00:00:00"/>
    <x v="0"/>
    <x v="37"/>
    <x v="1"/>
    <s v="Thailand"/>
    <x v="4"/>
    <x v="22"/>
    <n v="30363"/>
    <n v="23822"/>
  </r>
  <r>
    <s v="ORD03581"/>
    <d v="2025-08-05T00:00:00"/>
    <x v="11"/>
    <x v="23"/>
    <x v="0"/>
    <s v="Mexico"/>
    <x v="28"/>
    <x v="28"/>
    <n v="15654"/>
    <n v="11364"/>
  </r>
  <r>
    <s v="ORD03582"/>
    <d v="2025-08-07T00:00:00"/>
    <x v="11"/>
    <x v="23"/>
    <x v="6"/>
    <s v="China"/>
    <x v="10"/>
    <x v="12"/>
    <n v="22618"/>
    <n v="18603"/>
  </r>
  <r>
    <s v="ORD03583"/>
    <d v="2025-10-03T00:00:00"/>
    <x v="4"/>
    <x v="49"/>
    <x v="1"/>
    <s v="Mexico"/>
    <x v="16"/>
    <x v="9"/>
    <n v="22620"/>
    <n v="21490"/>
  </r>
  <r>
    <s v="ORD03584"/>
    <d v="2025-01-04T00:00:00"/>
    <x v="1"/>
    <x v="5"/>
    <x v="0"/>
    <s v="Malaysia"/>
    <x v="20"/>
    <x v="23"/>
    <n v="37231"/>
    <n v="41454"/>
  </r>
  <r>
    <s v="ORD03585"/>
    <d v="2025-09-13T00:00:00"/>
    <x v="3"/>
    <x v="31"/>
    <x v="0"/>
    <s v="Australia"/>
    <x v="35"/>
    <x v="7"/>
    <n v="30841"/>
    <n v="39568"/>
  </r>
  <r>
    <s v="ORD03586"/>
    <d v="2025-04-05T00:00:00"/>
    <x v="7"/>
    <x v="34"/>
    <x v="6"/>
    <s v="UAE"/>
    <x v="38"/>
    <x v="25"/>
    <n v="32053"/>
    <n v="32427"/>
  </r>
  <r>
    <s v="ORD03587"/>
    <d v="2025-04-12T00:00:00"/>
    <x v="7"/>
    <x v="16"/>
    <x v="3"/>
    <s v="UK"/>
    <x v="39"/>
    <x v="16"/>
    <n v="32843"/>
    <n v="31956"/>
  </r>
  <r>
    <s v="ORD03588"/>
    <d v="2025-11-15T00:00:00"/>
    <x v="2"/>
    <x v="44"/>
    <x v="6"/>
    <s v="UAE"/>
    <x v="8"/>
    <x v="27"/>
    <n v="18041"/>
    <n v="13792"/>
  </r>
  <r>
    <s v="ORD03589"/>
    <d v="2025-02-25T00:00:00"/>
    <x v="6"/>
    <x v="22"/>
    <x v="1"/>
    <s v="Australia"/>
    <x v="24"/>
    <x v="3"/>
    <n v="20163"/>
    <n v="21626"/>
  </r>
  <r>
    <s v="ORD03590"/>
    <d v="2025-10-19T00:00:00"/>
    <x v="4"/>
    <x v="10"/>
    <x v="2"/>
    <s v="South Africa"/>
    <x v="27"/>
    <x v="9"/>
    <n v="36227"/>
    <n v="27726"/>
  </r>
  <r>
    <s v="ORD03591"/>
    <d v="2025-02-22T00:00:00"/>
    <x v="6"/>
    <x v="15"/>
    <x v="1"/>
    <s v="Singapore"/>
    <x v="28"/>
    <x v="10"/>
    <n v="27637"/>
    <n v="33431"/>
  </r>
  <r>
    <s v="ORD03592"/>
    <d v="2025-04-20T00:00:00"/>
    <x v="7"/>
    <x v="20"/>
    <x v="5"/>
    <s v="Turkey"/>
    <x v="25"/>
    <x v="0"/>
    <n v="36848"/>
    <n v="34518"/>
  </r>
  <r>
    <s v="ORD03593"/>
    <d v="2025-01-14T00:00:00"/>
    <x v="1"/>
    <x v="1"/>
    <x v="0"/>
    <s v="Canada"/>
    <x v="37"/>
    <x v="9"/>
    <n v="27136"/>
    <n v="31234"/>
  </r>
  <r>
    <s v="ORD03594"/>
    <d v="2025-04-22T00:00:00"/>
    <x v="7"/>
    <x v="38"/>
    <x v="3"/>
    <s v="Germany"/>
    <x v="23"/>
    <x v="12"/>
    <n v="21278"/>
    <n v="23115"/>
  </r>
  <r>
    <s v="ORD03595"/>
    <d v="2025-08-27T00:00:00"/>
    <x v="11"/>
    <x v="28"/>
    <x v="0"/>
    <s v="UK"/>
    <x v="13"/>
    <x v="0"/>
    <n v="32180"/>
    <n v="41213"/>
  </r>
  <r>
    <s v="ORD03596"/>
    <d v="2025-07-25T00:00:00"/>
    <x v="0"/>
    <x v="0"/>
    <x v="1"/>
    <s v="China"/>
    <x v="24"/>
    <x v="27"/>
    <n v="26226"/>
    <n v="27852"/>
  </r>
  <r>
    <s v="ORD03597"/>
    <d v="2025-05-01T00:00:00"/>
    <x v="8"/>
    <x v="27"/>
    <x v="6"/>
    <s v="Italy"/>
    <x v="32"/>
    <x v="11"/>
    <n v="21635"/>
    <n v="19491"/>
  </r>
  <r>
    <s v="ORD03598"/>
    <d v="2025-01-02T00:00:00"/>
    <x v="1"/>
    <x v="5"/>
    <x v="1"/>
    <s v="Russia"/>
    <x v="11"/>
    <x v="0"/>
    <n v="37594"/>
    <n v="45764"/>
  </r>
  <r>
    <s v="ORD03599"/>
    <d v="2025-08-05T00:00:00"/>
    <x v="11"/>
    <x v="23"/>
    <x v="3"/>
    <s v="Germany"/>
    <x v="35"/>
    <x v="16"/>
    <n v="31059"/>
    <n v="25433"/>
  </r>
  <r>
    <s v="ORD03600"/>
    <d v="2025-11-07T00:00:00"/>
    <x v="2"/>
    <x v="51"/>
    <x v="6"/>
    <s v="USA"/>
    <x v="0"/>
    <x v="28"/>
    <n v="24224"/>
    <n v="22126"/>
  </r>
  <r>
    <s v="ORD03601"/>
    <d v="2025-11-11T00:00:00"/>
    <x v="2"/>
    <x v="44"/>
    <x v="3"/>
    <s v="India"/>
    <x v="43"/>
    <x v="7"/>
    <n v="18881"/>
    <n v="14437"/>
  </r>
  <r>
    <s v="ORD03602"/>
    <d v="2025-07-27T00:00:00"/>
    <x v="0"/>
    <x v="0"/>
    <x v="4"/>
    <s v="UAE"/>
    <x v="33"/>
    <x v="26"/>
    <n v="33276"/>
    <n v="24223"/>
  </r>
  <r>
    <s v="ORD03603"/>
    <d v="2025-10-11T00:00:00"/>
    <x v="4"/>
    <x v="45"/>
    <x v="1"/>
    <s v="China"/>
    <x v="43"/>
    <x v="1"/>
    <n v="37951"/>
    <n v="44018"/>
  </r>
  <r>
    <s v="ORD03604"/>
    <d v="2025-04-21T00:00:00"/>
    <x v="7"/>
    <x v="38"/>
    <x v="2"/>
    <s v="Japan"/>
    <x v="17"/>
    <x v="26"/>
    <n v="36570"/>
    <n v="42216"/>
  </r>
  <r>
    <s v="ORD03605"/>
    <d v="2025-10-21T00:00:00"/>
    <x v="4"/>
    <x v="50"/>
    <x v="1"/>
    <s v="Turkey"/>
    <x v="27"/>
    <x v="19"/>
    <n v="29282"/>
    <n v="30054"/>
  </r>
  <r>
    <s v="ORD03606"/>
    <d v="2025-03-02T00:00:00"/>
    <x v="9"/>
    <x v="22"/>
    <x v="4"/>
    <s v="Turkey"/>
    <x v="37"/>
    <x v="6"/>
    <n v="26777"/>
    <n v="19157"/>
  </r>
  <r>
    <s v="ORD03607"/>
    <d v="2025-07-27T00:00:00"/>
    <x v="0"/>
    <x v="0"/>
    <x v="6"/>
    <s v="UK"/>
    <x v="29"/>
    <x v="8"/>
    <n v="20607"/>
    <n v="14625"/>
  </r>
  <r>
    <s v="ORD03608"/>
    <d v="2025-01-14T00:00:00"/>
    <x v="1"/>
    <x v="1"/>
    <x v="0"/>
    <s v="Brazil"/>
    <x v="44"/>
    <x v="6"/>
    <n v="17595"/>
    <n v="17460"/>
  </r>
  <r>
    <s v="ORD03609"/>
    <d v="2025-11-22T00:00:00"/>
    <x v="2"/>
    <x v="9"/>
    <x v="0"/>
    <s v="France"/>
    <x v="26"/>
    <x v="20"/>
    <n v="31277"/>
    <n v="28654"/>
  </r>
  <r>
    <s v="ORD03610"/>
    <d v="2025-12-23T00:00:00"/>
    <x v="10"/>
    <x v="42"/>
    <x v="5"/>
    <s v="Turkey"/>
    <x v="20"/>
    <x v="17"/>
    <n v="22556"/>
    <n v="28652"/>
  </r>
  <r>
    <s v="ORD03611"/>
    <d v="2025-01-04T00:00:00"/>
    <x v="1"/>
    <x v="5"/>
    <x v="3"/>
    <s v="South Africa"/>
    <x v="32"/>
    <x v="17"/>
    <n v="27778"/>
    <n v="24539"/>
  </r>
  <r>
    <s v="ORD03612"/>
    <d v="2025-11-08T00:00:00"/>
    <x v="2"/>
    <x v="51"/>
    <x v="6"/>
    <s v="Canada"/>
    <x v="34"/>
    <x v="24"/>
    <n v="18332"/>
    <n v="20644"/>
  </r>
  <r>
    <s v="ORD03613"/>
    <d v="2025-02-18T00:00:00"/>
    <x v="6"/>
    <x v="15"/>
    <x v="5"/>
    <s v="Russia"/>
    <x v="19"/>
    <x v="23"/>
    <n v="29462"/>
    <n v="35238"/>
  </r>
  <r>
    <s v="ORD03614"/>
    <d v="2025-07-13T00:00:00"/>
    <x v="0"/>
    <x v="47"/>
    <x v="4"/>
    <s v="Australia"/>
    <x v="43"/>
    <x v="9"/>
    <n v="38874"/>
    <n v="37547"/>
  </r>
  <r>
    <s v="ORD03615"/>
    <d v="2025-01-25T00:00:00"/>
    <x v="1"/>
    <x v="7"/>
    <x v="1"/>
    <s v="South Africa"/>
    <x v="44"/>
    <x v="28"/>
    <n v="26560"/>
    <n v="32405"/>
  </r>
  <r>
    <s v="ORD03616"/>
    <d v="2025-12-19T00:00:00"/>
    <x v="10"/>
    <x v="21"/>
    <x v="1"/>
    <s v="Thailand"/>
    <x v="17"/>
    <x v="0"/>
    <n v="16370"/>
    <n v="17310"/>
  </r>
  <r>
    <s v="ORD03617"/>
    <d v="2025-11-03T00:00:00"/>
    <x v="2"/>
    <x v="51"/>
    <x v="2"/>
    <s v="Canada"/>
    <x v="20"/>
    <x v="21"/>
    <n v="37632"/>
    <n v="29763"/>
  </r>
  <r>
    <s v="ORD03618"/>
    <d v="2025-01-12T00:00:00"/>
    <x v="1"/>
    <x v="6"/>
    <x v="1"/>
    <s v="USA"/>
    <x v="21"/>
    <x v="26"/>
    <n v="22779"/>
    <n v="26620"/>
  </r>
  <r>
    <s v="ORD03619"/>
    <d v="2025-05-07T00:00:00"/>
    <x v="8"/>
    <x v="18"/>
    <x v="3"/>
    <s v="Japan"/>
    <x v="46"/>
    <x v="24"/>
    <n v="22090"/>
    <n v="23965"/>
  </r>
  <r>
    <s v="ORD03620"/>
    <d v="2025-01-19T00:00:00"/>
    <x v="1"/>
    <x v="1"/>
    <x v="3"/>
    <s v="Turkey"/>
    <x v="29"/>
    <x v="0"/>
    <n v="39173"/>
    <n v="41964"/>
  </r>
  <r>
    <s v="ORD03621"/>
    <d v="2025-05-09T00:00:00"/>
    <x v="8"/>
    <x v="18"/>
    <x v="1"/>
    <s v="Spain"/>
    <x v="27"/>
    <x v="17"/>
    <n v="33247"/>
    <n v="38358"/>
  </r>
  <r>
    <s v="ORD03622"/>
    <d v="2025-05-10T00:00:00"/>
    <x v="8"/>
    <x v="18"/>
    <x v="3"/>
    <s v="Germany"/>
    <x v="40"/>
    <x v="2"/>
    <n v="23069"/>
    <n v="28852"/>
  </r>
  <r>
    <s v="ORD03623"/>
    <d v="2025-10-01T00:00:00"/>
    <x v="4"/>
    <x v="49"/>
    <x v="4"/>
    <s v="UAE"/>
    <x v="3"/>
    <x v="9"/>
    <n v="21207"/>
    <n v="17982"/>
  </r>
  <r>
    <s v="ORD03624"/>
    <d v="2025-10-02T00:00:00"/>
    <x v="4"/>
    <x v="49"/>
    <x v="3"/>
    <s v="UK"/>
    <x v="42"/>
    <x v="29"/>
    <n v="15674"/>
    <n v="13476"/>
  </r>
  <r>
    <s v="ORD03625"/>
    <d v="2025-05-13T00:00:00"/>
    <x v="8"/>
    <x v="17"/>
    <x v="2"/>
    <s v="South Africa"/>
    <x v="26"/>
    <x v="18"/>
    <n v="26502"/>
    <n v="19890"/>
  </r>
  <r>
    <s v="ORD03626"/>
    <d v="2025-07-27T00:00:00"/>
    <x v="0"/>
    <x v="0"/>
    <x v="5"/>
    <s v="Mexico"/>
    <x v="33"/>
    <x v="6"/>
    <n v="25748"/>
    <n v="22329"/>
  </r>
  <r>
    <s v="ORD03627"/>
    <d v="2025-12-13T00:00:00"/>
    <x v="10"/>
    <x v="32"/>
    <x v="4"/>
    <s v="USA"/>
    <x v="4"/>
    <x v="16"/>
    <n v="21006"/>
    <n v="25296"/>
  </r>
  <r>
    <s v="ORD03628"/>
    <d v="2025-09-25T00:00:00"/>
    <x v="3"/>
    <x v="25"/>
    <x v="2"/>
    <s v="Malaysia"/>
    <x v="5"/>
    <x v="29"/>
    <n v="29755"/>
    <n v="37351"/>
  </r>
  <r>
    <s v="ORD03629"/>
    <d v="2025-05-31T00:00:00"/>
    <x v="8"/>
    <x v="24"/>
    <x v="2"/>
    <s v="UK"/>
    <x v="29"/>
    <x v="15"/>
    <n v="24548"/>
    <n v="17290"/>
  </r>
  <r>
    <s v="ORD03630"/>
    <d v="2025-03-27T00:00:00"/>
    <x v="9"/>
    <x v="33"/>
    <x v="3"/>
    <s v="Spain"/>
    <x v="28"/>
    <x v="7"/>
    <n v="30377"/>
    <n v="38765"/>
  </r>
  <r>
    <s v="ORD03631"/>
    <d v="2025-10-05T00:00:00"/>
    <x v="4"/>
    <x v="49"/>
    <x v="4"/>
    <s v="Germany"/>
    <x v="40"/>
    <x v="12"/>
    <n v="39773"/>
    <n v="33141"/>
  </r>
  <r>
    <s v="ORD03632"/>
    <d v="2025-10-05T00:00:00"/>
    <x v="4"/>
    <x v="49"/>
    <x v="3"/>
    <s v="UK"/>
    <x v="14"/>
    <x v="24"/>
    <n v="23061"/>
    <n v="19937"/>
  </r>
  <r>
    <s v="ORD03633"/>
    <d v="2025-10-04T00:00:00"/>
    <x v="4"/>
    <x v="49"/>
    <x v="1"/>
    <s v="Australia"/>
    <x v="16"/>
    <x v="13"/>
    <n v="35953"/>
    <n v="43899"/>
  </r>
  <r>
    <s v="ORD03634"/>
    <d v="2025-11-13T00:00:00"/>
    <x v="2"/>
    <x v="44"/>
    <x v="4"/>
    <s v="Germany"/>
    <x v="6"/>
    <x v="1"/>
    <n v="29790"/>
    <n v="32405"/>
  </r>
  <r>
    <s v="ORD03635"/>
    <d v="2025-04-20T00:00:00"/>
    <x v="7"/>
    <x v="20"/>
    <x v="3"/>
    <s v="Japan"/>
    <x v="7"/>
    <x v="14"/>
    <n v="34927"/>
    <n v="25613"/>
  </r>
  <r>
    <s v="ORD03636"/>
    <d v="2025-06-30T00:00:00"/>
    <x v="5"/>
    <x v="37"/>
    <x v="5"/>
    <s v="India"/>
    <x v="35"/>
    <x v="8"/>
    <n v="37554"/>
    <n v="26397"/>
  </r>
  <r>
    <s v="ORD03637"/>
    <d v="2025-07-01T00:00:00"/>
    <x v="0"/>
    <x v="37"/>
    <x v="3"/>
    <s v="South Africa"/>
    <x v="8"/>
    <x v="22"/>
    <n v="29716"/>
    <n v="36511"/>
  </r>
  <r>
    <s v="ORD03638"/>
    <d v="2025-07-06T00:00:00"/>
    <x v="0"/>
    <x v="37"/>
    <x v="1"/>
    <s v="South Africa"/>
    <x v="32"/>
    <x v="13"/>
    <n v="35747"/>
    <n v="33302"/>
  </r>
  <r>
    <s v="ORD03639"/>
    <d v="2025-03-16T00:00:00"/>
    <x v="9"/>
    <x v="19"/>
    <x v="3"/>
    <s v="Turkey"/>
    <x v="40"/>
    <x v="4"/>
    <n v="29928"/>
    <n v="24629"/>
  </r>
  <r>
    <s v="ORD03640"/>
    <d v="2025-02-06T00:00:00"/>
    <x v="6"/>
    <x v="48"/>
    <x v="6"/>
    <s v="Australia"/>
    <x v="48"/>
    <x v="19"/>
    <n v="21601"/>
    <n v="25961"/>
  </r>
  <r>
    <s v="ORD03641"/>
    <d v="2025-03-15T00:00:00"/>
    <x v="9"/>
    <x v="19"/>
    <x v="4"/>
    <s v="Malaysia"/>
    <x v="0"/>
    <x v="6"/>
    <n v="19851"/>
    <n v="14202"/>
  </r>
  <r>
    <s v="ORD03642"/>
    <d v="2025-09-25T00:00:00"/>
    <x v="3"/>
    <x v="25"/>
    <x v="1"/>
    <s v="Singapore"/>
    <x v="14"/>
    <x v="13"/>
    <n v="21474"/>
    <n v="16880"/>
  </r>
  <r>
    <s v="ORD03643"/>
    <d v="2025-08-16T00:00:00"/>
    <x v="11"/>
    <x v="30"/>
    <x v="5"/>
    <s v="Malaysia"/>
    <x v="38"/>
    <x v="23"/>
    <n v="23064"/>
    <n v="23357"/>
  </r>
  <r>
    <s v="ORD03644"/>
    <d v="2025-07-24T00:00:00"/>
    <x v="0"/>
    <x v="0"/>
    <x v="3"/>
    <s v="Russia"/>
    <x v="0"/>
    <x v="19"/>
    <n v="36180"/>
    <n v="42508"/>
  </r>
  <r>
    <s v="ORD03645"/>
    <d v="2025-02-28T00:00:00"/>
    <x v="6"/>
    <x v="22"/>
    <x v="1"/>
    <s v="USA"/>
    <x v="33"/>
    <x v="21"/>
    <n v="31148"/>
    <n v="31299"/>
  </r>
  <r>
    <s v="ORD03646"/>
    <d v="2025-11-29T00:00:00"/>
    <x v="2"/>
    <x v="11"/>
    <x v="1"/>
    <s v="Malaysia"/>
    <x v="23"/>
    <x v="16"/>
    <n v="16472"/>
    <n v="21164"/>
  </r>
  <r>
    <s v="ORD03647"/>
    <d v="2025-10-01T00:00:00"/>
    <x v="4"/>
    <x v="49"/>
    <x v="0"/>
    <s v="Brazil"/>
    <x v="49"/>
    <x v="25"/>
    <n v="28922"/>
    <n v="21701"/>
  </r>
  <r>
    <s v="ORD03648"/>
    <d v="2025-12-19T00:00:00"/>
    <x v="10"/>
    <x v="21"/>
    <x v="4"/>
    <s v="UK"/>
    <x v="10"/>
    <x v="8"/>
    <n v="16269"/>
    <n v="20623"/>
  </r>
  <r>
    <s v="ORD03649"/>
    <d v="2025-10-11T00:00:00"/>
    <x v="4"/>
    <x v="45"/>
    <x v="4"/>
    <s v="Canada"/>
    <x v="34"/>
    <x v="1"/>
    <n v="34481"/>
    <n v="40392"/>
  </r>
  <r>
    <s v="ORD03650"/>
    <d v="2025-07-26T00:00:00"/>
    <x v="0"/>
    <x v="0"/>
    <x v="4"/>
    <s v="Mexico"/>
    <x v="49"/>
    <x v="13"/>
    <n v="19843"/>
    <n v="14831"/>
  </r>
  <r>
    <s v="ORD03651"/>
    <d v="2025-01-10T00:00:00"/>
    <x v="1"/>
    <x v="6"/>
    <x v="1"/>
    <s v="Russia"/>
    <x v="26"/>
    <x v="3"/>
    <n v="34692"/>
    <n v="28935"/>
  </r>
  <r>
    <s v="ORD03652"/>
    <d v="2025-09-30T00:00:00"/>
    <x v="3"/>
    <x v="49"/>
    <x v="6"/>
    <s v="Turkey"/>
    <x v="26"/>
    <x v="20"/>
    <n v="33311"/>
    <n v="26294"/>
  </r>
  <r>
    <s v="ORD03653"/>
    <d v="2025-01-31T00:00:00"/>
    <x v="1"/>
    <x v="3"/>
    <x v="3"/>
    <s v="India"/>
    <x v="44"/>
    <x v="27"/>
    <n v="26087"/>
    <n v="26137"/>
  </r>
  <r>
    <s v="ORD03654"/>
    <d v="2025-12-21T00:00:00"/>
    <x v="10"/>
    <x v="21"/>
    <x v="3"/>
    <s v="Italy"/>
    <x v="29"/>
    <x v="26"/>
    <n v="18366"/>
    <n v="15478"/>
  </r>
  <r>
    <s v="ORD03655"/>
    <d v="2025-01-03T00:00:00"/>
    <x v="1"/>
    <x v="5"/>
    <x v="1"/>
    <s v="UAE"/>
    <x v="30"/>
    <x v="28"/>
    <n v="19683"/>
    <n v="19869"/>
  </r>
  <r>
    <s v="ORD03656"/>
    <d v="2025-01-28T00:00:00"/>
    <x v="1"/>
    <x v="3"/>
    <x v="4"/>
    <s v="Mexico"/>
    <x v="32"/>
    <x v="1"/>
    <n v="26457"/>
    <n v="23811"/>
  </r>
  <r>
    <s v="ORD03657"/>
    <d v="2025-03-26T00:00:00"/>
    <x v="9"/>
    <x v="33"/>
    <x v="6"/>
    <s v="China"/>
    <x v="39"/>
    <x v="12"/>
    <n v="19033"/>
    <n v="14016"/>
  </r>
  <r>
    <s v="ORD03658"/>
    <d v="2025-02-07T00:00:00"/>
    <x v="6"/>
    <x v="48"/>
    <x v="6"/>
    <s v="France"/>
    <x v="17"/>
    <x v="11"/>
    <n v="29743"/>
    <n v="33384"/>
  </r>
  <r>
    <s v="ORD03659"/>
    <d v="2025-11-13T00:00:00"/>
    <x v="2"/>
    <x v="44"/>
    <x v="1"/>
    <s v="Russia"/>
    <x v="20"/>
    <x v="2"/>
    <n v="18952"/>
    <n v="24474"/>
  </r>
  <r>
    <s v="ORD03660"/>
    <d v="2025-07-10T00:00:00"/>
    <x v="0"/>
    <x v="47"/>
    <x v="1"/>
    <s v="South Africa"/>
    <x v="18"/>
    <x v="3"/>
    <n v="22755"/>
    <n v="27883"/>
  </r>
  <r>
    <s v="ORD03661"/>
    <d v="2025-04-24T00:00:00"/>
    <x v="7"/>
    <x v="38"/>
    <x v="5"/>
    <s v="Italy"/>
    <x v="11"/>
    <x v="18"/>
    <n v="24086"/>
    <n v="19854"/>
  </r>
  <r>
    <s v="ORD03662"/>
    <d v="2025-07-29T00:00:00"/>
    <x v="0"/>
    <x v="12"/>
    <x v="2"/>
    <s v="Singapore"/>
    <x v="31"/>
    <x v="28"/>
    <n v="38613"/>
    <n v="46018"/>
  </r>
  <r>
    <s v="ORD03663"/>
    <d v="2025-01-30T00:00:00"/>
    <x v="1"/>
    <x v="3"/>
    <x v="6"/>
    <s v="Germany"/>
    <x v="4"/>
    <x v="24"/>
    <n v="24331"/>
    <n v="28825"/>
  </r>
  <r>
    <s v="ORD03664"/>
    <d v="2025-02-21T00:00:00"/>
    <x v="6"/>
    <x v="15"/>
    <x v="0"/>
    <s v="USA"/>
    <x v="46"/>
    <x v="13"/>
    <n v="25529"/>
    <n v="27313"/>
  </r>
  <r>
    <s v="ORD03665"/>
    <d v="2025-11-25T00:00:00"/>
    <x v="2"/>
    <x v="11"/>
    <x v="1"/>
    <s v="Spain"/>
    <x v="15"/>
    <x v="18"/>
    <n v="24301"/>
    <n v="21306"/>
  </r>
  <r>
    <s v="ORD03666"/>
    <d v="2025-02-23T00:00:00"/>
    <x v="6"/>
    <x v="15"/>
    <x v="3"/>
    <s v="Brazil"/>
    <x v="26"/>
    <x v="2"/>
    <n v="31295"/>
    <n v="23552"/>
  </r>
  <r>
    <s v="ORD03667"/>
    <d v="2025-07-22T00:00:00"/>
    <x v="0"/>
    <x v="0"/>
    <x v="4"/>
    <s v="UAE"/>
    <x v="22"/>
    <x v="2"/>
    <n v="15308"/>
    <n v="11245"/>
  </r>
  <r>
    <s v="ORD03668"/>
    <d v="2025-08-05T00:00:00"/>
    <x v="11"/>
    <x v="23"/>
    <x v="2"/>
    <s v="UAE"/>
    <x v="0"/>
    <x v="13"/>
    <n v="32315"/>
    <n v="39870"/>
  </r>
  <r>
    <s v="ORD03669"/>
    <d v="2025-08-19T00:00:00"/>
    <x v="11"/>
    <x v="46"/>
    <x v="6"/>
    <s v="Thailand"/>
    <x v="44"/>
    <x v="17"/>
    <n v="39748"/>
    <n v="47176"/>
  </r>
  <r>
    <s v="ORD03670"/>
    <d v="2025-06-11T00:00:00"/>
    <x v="5"/>
    <x v="40"/>
    <x v="4"/>
    <s v="Canada"/>
    <x v="17"/>
    <x v="21"/>
    <n v="19480"/>
    <n v="23187"/>
  </r>
  <r>
    <s v="ORD03671"/>
    <d v="2025-08-14T00:00:00"/>
    <x v="11"/>
    <x v="30"/>
    <x v="3"/>
    <s v="Malaysia"/>
    <x v="2"/>
    <x v="14"/>
    <n v="23684"/>
    <n v="24613"/>
  </r>
  <r>
    <s v="ORD03672"/>
    <d v="2025-10-12T00:00:00"/>
    <x v="4"/>
    <x v="45"/>
    <x v="6"/>
    <s v="Mexico"/>
    <x v="31"/>
    <x v="21"/>
    <n v="27261"/>
    <n v="29079"/>
  </r>
  <r>
    <s v="ORD03673"/>
    <d v="2025-09-08T00:00:00"/>
    <x v="3"/>
    <x v="31"/>
    <x v="5"/>
    <s v="France"/>
    <x v="13"/>
    <x v="15"/>
    <n v="19526"/>
    <n v="20207"/>
  </r>
  <r>
    <s v="ORD03674"/>
    <d v="2025-10-07T00:00:00"/>
    <x v="4"/>
    <x v="45"/>
    <x v="6"/>
    <s v="Italy"/>
    <x v="5"/>
    <x v="22"/>
    <n v="26012"/>
    <n v="30503"/>
  </r>
  <r>
    <s v="ORD03675"/>
    <d v="2025-02-10T00:00:00"/>
    <x v="6"/>
    <x v="29"/>
    <x v="4"/>
    <s v="Malaysia"/>
    <x v="32"/>
    <x v="5"/>
    <n v="16262"/>
    <n v="20489"/>
  </r>
  <r>
    <s v="ORD03676"/>
    <d v="2025-09-26T00:00:00"/>
    <x v="3"/>
    <x v="25"/>
    <x v="1"/>
    <s v="Spain"/>
    <x v="29"/>
    <x v="23"/>
    <n v="25854"/>
    <n v="26721"/>
  </r>
  <r>
    <s v="ORD03677"/>
    <d v="2025-09-02T00:00:00"/>
    <x v="3"/>
    <x v="4"/>
    <x v="2"/>
    <s v="Turkey"/>
    <x v="41"/>
    <x v="10"/>
    <n v="22948"/>
    <n v="25285"/>
  </r>
  <r>
    <s v="ORD03678"/>
    <d v="2025-10-23T00:00:00"/>
    <x v="4"/>
    <x v="50"/>
    <x v="3"/>
    <s v="USA"/>
    <x v="17"/>
    <x v="9"/>
    <n v="30697"/>
    <n v="39673"/>
  </r>
  <r>
    <s v="ORD03679"/>
    <d v="2025-06-28T00:00:00"/>
    <x v="5"/>
    <x v="36"/>
    <x v="6"/>
    <s v="UAE"/>
    <x v="21"/>
    <x v="1"/>
    <n v="20802"/>
    <n v="18917"/>
  </r>
  <r>
    <s v="ORD03680"/>
    <d v="2025-10-17T00:00:00"/>
    <x v="4"/>
    <x v="10"/>
    <x v="1"/>
    <s v="Russia"/>
    <x v="19"/>
    <x v="25"/>
    <n v="36257"/>
    <n v="38983"/>
  </r>
  <r>
    <s v="ORD03681"/>
    <d v="2025-06-07T00:00:00"/>
    <x v="5"/>
    <x v="41"/>
    <x v="1"/>
    <s v="Canada"/>
    <x v="40"/>
    <x v="16"/>
    <n v="18299"/>
    <n v="21222"/>
  </r>
  <r>
    <s v="ORD03682"/>
    <d v="2025-11-21T00:00:00"/>
    <x v="2"/>
    <x v="9"/>
    <x v="4"/>
    <s v="Russia"/>
    <x v="5"/>
    <x v="20"/>
    <n v="28067"/>
    <n v="32781"/>
  </r>
  <r>
    <s v="ORD03683"/>
    <d v="2025-03-24T00:00:00"/>
    <x v="9"/>
    <x v="33"/>
    <x v="6"/>
    <s v="France"/>
    <x v="11"/>
    <x v="16"/>
    <n v="39647"/>
    <n v="30529"/>
  </r>
  <r>
    <s v="ORD03684"/>
    <d v="2025-12-12T00:00:00"/>
    <x v="10"/>
    <x v="32"/>
    <x v="5"/>
    <s v="Spain"/>
    <x v="23"/>
    <x v="15"/>
    <n v="15168"/>
    <n v="17386"/>
  </r>
  <r>
    <s v="ORD03685"/>
    <d v="2025-07-14T00:00:00"/>
    <x v="0"/>
    <x v="14"/>
    <x v="5"/>
    <s v="Turkey"/>
    <x v="2"/>
    <x v="25"/>
    <n v="23787"/>
    <n v="25477"/>
  </r>
  <r>
    <s v="ORD03686"/>
    <d v="2025-07-12T00:00:00"/>
    <x v="0"/>
    <x v="47"/>
    <x v="1"/>
    <s v="Spain"/>
    <x v="49"/>
    <x v="20"/>
    <n v="24378"/>
    <n v="28539"/>
  </r>
  <r>
    <s v="ORD03687"/>
    <d v="2025-07-05T00:00:00"/>
    <x v="0"/>
    <x v="37"/>
    <x v="0"/>
    <s v="India"/>
    <x v="37"/>
    <x v="18"/>
    <n v="33194"/>
    <n v="28432"/>
  </r>
  <r>
    <s v="ORD03688"/>
    <d v="2025-08-20T00:00:00"/>
    <x v="11"/>
    <x v="46"/>
    <x v="4"/>
    <s v="Australia"/>
    <x v="1"/>
    <x v="4"/>
    <n v="16738"/>
    <n v="21728"/>
  </r>
  <r>
    <s v="ORD03689"/>
    <d v="2025-09-21T00:00:00"/>
    <x v="3"/>
    <x v="8"/>
    <x v="5"/>
    <s v="Malaysia"/>
    <x v="45"/>
    <x v="17"/>
    <n v="38722"/>
    <n v="38348"/>
  </r>
  <r>
    <s v="ORD03690"/>
    <d v="2025-11-14T00:00:00"/>
    <x v="2"/>
    <x v="44"/>
    <x v="2"/>
    <s v="Spain"/>
    <x v="26"/>
    <x v="24"/>
    <n v="38446"/>
    <n v="29533"/>
  </r>
  <r>
    <s v="ORD03691"/>
    <d v="2025-07-25T00:00:00"/>
    <x v="0"/>
    <x v="0"/>
    <x v="1"/>
    <s v="South Africa"/>
    <x v="49"/>
    <x v="5"/>
    <n v="35699"/>
    <n v="30075"/>
  </r>
  <r>
    <s v="ORD03692"/>
    <d v="2025-11-28T00:00:00"/>
    <x v="2"/>
    <x v="11"/>
    <x v="4"/>
    <s v="USA"/>
    <x v="19"/>
    <x v="26"/>
    <n v="20290"/>
    <n v="15489"/>
  </r>
  <r>
    <s v="ORD03693"/>
    <d v="2025-08-16T00:00:00"/>
    <x v="11"/>
    <x v="30"/>
    <x v="6"/>
    <s v="Thailand"/>
    <x v="48"/>
    <x v="8"/>
    <n v="36239"/>
    <n v="38366"/>
  </r>
  <r>
    <s v="ORD03694"/>
    <d v="2025-12-07T00:00:00"/>
    <x v="10"/>
    <x v="43"/>
    <x v="4"/>
    <s v="Turkey"/>
    <x v="10"/>
    <x v="28"/>
    <n v="21879"/>
    <n v="23163"/>
  </r>
  <r>
    <s v="ORD03695"/>
    <d v="2025-06-16T00:00:00"/>
    <x v="5"/>
    <x v="13"/>
    <x v="6"/>
    <s v="USA"/>
    <x v="3"/>
    <x v="0"/>
    <n v="31419"/>
    <n v="39059"/>
  </r>
  <r>
    <s v="ORD03696"/>
    <d v="2025-12-04T00:00:00"/>
    <x v="10"/>
    <x v="43"/>
    <x v="4"/>
    <s v="Japan"/>
    <x v="30"/>
    <x v="22"/>
    <n v="37393"/>
    <n v="27961"/>
  </r>
  <r>
    <s v="ORD03697"/>
    <d v="2025-10-31T00:00:00"/>
    <x v="4"/>
    <x v="2"/>
    <x v="0"/>
    <s v="Canada"/>
    <x v="3"/>
    <x v="25"/>
    <n v="19209"/>
    <n v="18152"/>
  </r>
  <r>
    <s v="ORD03698"/>
    <d v="2025-03-07T00:00:00"/>
    <x v="9"/>
    <x v="35"/>
    <x v="3"/>
    <s v="Thailand"/>
    <x v="27"/>
    <x v="16"/>
    <n v="36725"/>
    <n v="28570"/>
  </r>
  <r>
    <s v="ORD03699"/>
    <d v="2025-07-24T00:00:00"/>
    <x v="0"/>
    <x v="0"/>
    <x v="5"/>
    <s v="UK"/>
    <x v="4"/>
    <x v="12"/>
    <n v="29151"/>
    <n v="23064"/>
  </r>
  <r>
    <s v="ORD03700"/>
    <d v="2025-10-11T00:00:00"/>
    <x v="4"/>
    <x v="45"/>
    <x v="6"/>
    <s v="Turkey"/>
    <x v="1"/>
    <x v="15"/>
    <n v="24896"/>
    <n v="18645"/>
  </r>
  <r>
    <s v="ORD03701"/>
    <d v="2025-09-18T00:00:00"/>
    <x v="3"/>
    <x v="8"/>
    <x v="1"/>
    <s v="France"/>
    <x v="7"/>
    <x v="25"/>
    <n v="30685"/>
    <n v="31323"/>
  </r>
  <r>
    <s v="ORD03702"/>
    <d v="2025-08-06T00:00:00"/>
    <x v="11"/>
    <x v="23"/>
    <x v="3"/>
    <s v="USA"/>
    <x v="7"/>
    <x v="17"/>
    <n v="17357"/>
    <n v="13806"/>
  </r>
  <r>
    <s v="ORD03703"/>
    <d v="2025-02-23T00:00:00"/>
    <x v="6"/>
    <x v="15"/>
    <x v="3"/>
    <s v="Turkey"/>
    <x v="37"/>
    <x v="27"/>
    <n v="34186"/>
    <n v="39220"/>
  </r>
  <r>
    <s v="ORD03704"/>
    <d v="2025-07-03T00:00:00"/>
    <x v="0"/>
    <x v="37"/>
    <x v="4"/>
    <s v="France"/>
    <x v="29"/>
    <x v="12"/>
    <n v="25097"/>
    <n v="21823"/>
  </r>
  <r>
    <s v="ORD03705"/>
    <d v="2025-12-08T00:00:00"/>
    <x v="10"/>
    <x v="32"/>
    <x v="5"/>
    <s v="Germany"/>
    <x v="21"/>
    <x v="20"/>
    <n v="36348"/>
    <n v="41199"/>
  </r>
  <r>
    <s v="ORD03706"/>
    <d v="2025-06-10T00:00:00"/>
    <x v="5"/>
    <x v="40"/>
    <x v="6"/>
    <s v="USA"/>
    <x v="9"/>
    <x v="11"/>
    <n v="17903"/>
    <n v="19952"/>
  </r>
  <r>
    <s v="ORD03707"/>
    <d v="2025-10-15T00:00:00"/>
    <x v="4"/>
    <x v="10"/>
    <x v="3"/>
    <s v="Australia"/>
    <x v="37"/>
    <x v="15"/>
    <n v="35861"/>
    <n v="34982"/>
  </r>
  <r>
    <s v="ORD03708"/>
    <d v="2025-09-29T00:00:00"/>
    <x v="3"/>
    <x v="49"/>
    <x v="1"/>
    <s v="Italy"/>
    <x v="44"/>
    <x v="5"/>
    <n v="35573"/>
    <n v="26615"/>
  </r>
  <r>
    <s v="ORD03709"/>
    <d v="2025-05-17T00:00:00"/>
    <x v="8"/>
    <x v="17"/>
    <x v="4"/>
    <s v="UAE"/>
    <x v="10"/>
    <x v="14"/>
    <n v="30139"/>
    <n v="36747"/>
  </r>
  <r>
    <s v="ORD03710"/>
    <d v="2025-03-12T00:00:00"/>
    <x v="9"/>
    <x v="19"/>
    <x v="1"/>
    <s v="Thailand"/>
    <x v="10"/>
    <x v="13"/>
    <n v="32243"/>
    <n v="22887"/>
  </r>
  <r>
    <s v="ORD03711"/>
    <d v="2025-08-18T00:00:00"/>
    <x v="11"/>
    <x v="46"/>
    <x v="2"/>
    <s v="Singapore"/>
    <x v="17"/>
    <x v="14"/>
    <n v="33107"/>
    <n v="24270"/>
  </r>
  <r>
    <s v="ORD03712"/>
    <d v="2025-03-31T00:00:00"/>
    <x v="9"/>
    <x v="34"/>
    <x v="5"/>
    <s v="USA"/>
    <x v="2"/>
    <x v="9"/>
    <n v="33998"/>
    <n v="37317"/>
  </r>
  <r>
    <s v="ORD03713"/>
    <d v="2025-11-16T00:00:00"/>
    <x v="2"/>
    <x v="44"/>
    <x v="6"/>
    <s v="Italy"/>
    <x v="19"/>
    <x v="17"/>
    <n v="26953"/>
    <n v="26197"/>
  </r>
  <r>
    <s v="ORD03714"/>
    <d v="2025-09-16T00:00:00"/>
    <x v="3"/>
    <x v="8"/>
    <x v="2"/>
    <s v="Australia"/>
    <x v="45"/>
    <x v="9"/>
    <n v="19186"/>
    <n v="14633"/>
  </r>
  <r>
    <s v="ORD03715"/>
    <d v="2025-08-27T00:00:00"/>
    <x v="11"/>
    <x v="28"/>
    <x v="4"/>
    <s v="Malaysia"/>
    <x v="35"/>
    <x v="22"/>
    <n v="19931"/>
    <n v="21220"/>
  </r>
  <r>
    <s v="ORD03716"/>
    <d v="2025-10-02T00:00:00"/>
    <x v="4"/>
    <x v="49"/>
    <x v="3"/>
    <s v="Brazil"/>
    <x v="8"/>
    <x v="24"/>
    <n v="31655"/>
    <n v="33587"/>
  </r>
  <r>
    <s v="ORD03717"/>
    <d v="2025-05-26T00:00:00"/>
    <x v="8"/>
    <x v="24"/>
    <x v="0"/>
    <s v="India"/>
    <x v="17"/>
    <x v="7"/>
    <n v="37137"/>
    <n v="38085"/>
  </r>
  <r>
    <s v="ORD03718"/>
    <d v="2025-04-26T00:00:00"/>
    <x v="7"/>
    <x v="38"/>
    <x v="3"/>
    <s v="Japan"/>
    <x v="0"/>
    <x v="2"/>
    <n v="17096"/>
    <n v="19926"/>
  </r>
  <r>
    <s v="ORD03719"/>
    <d v="2025-02-17T00:00:00"/>
    <x v="6"/>
    <x v="15"/>
    <x v="6"/>
    <s v="UK"/>
    <x v="35"/>
    <x v="13"/>
    <n v="36642"/>
    <n v="26421"/>
  </r>
  <r>
    <s v="ORD03720"/>
    <d v="2025-04-21T00:00:00"/>
    <x v="7"/>
    <x v="38"/>
    <x v="5"/>
    <s v="Singapore"/>
    <x v="38"/>
    <x v="15"/>
    <n v="30688"/>
    <n v="27180"/>
  </r>
  <r>
    <s v="ORD03721"/>
    <d v="2025-09-14T00:00:00"/>
    <x v="3"/>
    <x v="31"/>
    <x v="5"/>
    <s v="South Africa"/>
    <x v="34"/>
    <x v="0"/>
    <n v="37541"/>
    <n v="32292"/>
  </r>
  <r>
    <s v="ORD03722"/>
    <d v="2025-08-25T00:00:00"/>
    <x v="11"/>
    <x v="28"/>
    <x v="3"/>
    <s v="Japan"/>
    <x v="48"/>
    <x v="13"/>
    <n v="20756"/>
    <n v="18690"/>
  </r>
  <r>
    <s v="ORD03723"/>
    <d v="2025-12-20T00:00:00"/>
    <x v="10"/>
    <x v="21"/>
    <x v="3"/>
    <s v="Singapore"/>
    <x v="32"/>
    <x v="8"/>
    <n v="23311"/>
    <n v="17380"/>
  </r>
  <r>
    <s v="ORD03724"/>
    <d v="2025-07-28T00:00:00"/>
    <x v="0"/>
    <x v="12"/>
    <x v="6"/>
    <s v="India"/>
    <x v="6"/>
    <x v="27"/>
    <n v="28523"/>
    <n v="27899"/>
  </r>
  <r>
    <s v="ORD03725"/>
    <d v="2025-07-04T00:00:00"/>
    <x v="0"/>
    <x v="37"/>
    <x v="6"/>
    <s v="South Africa"/>
    <x v="4"/>
    <x v="7"/>
    <n v="22263"/>
    <n v="20045"/>
  </r>
  <r>
    <s v="ORD03726"/>
    <d v="2025-07-17T00:00:00"/>
    <x v="0"/>
    <x v="14"/>
    <x v="2"/>
    <s v="Malaysia"/>
    <x v="29"/>
    <x v="16"/>
    <n v="20132"/>
    <n v="21318"/>
  </r>
  <r>
    <s v="ORD03727"/>
    <d v="2025-08-08T00:00:00"/>
    <x v="11"/>
    <x v="23"/>
    <x v="4"/>
    <s v="Japan"/>
    <x v="42"/>
    <x v="24"/>
    <n v="32107"/>
    <n v="25666"/>
  </r>
  <r>
    <s v="ORD03728"/>
    <d v="2025-01-18T00:00:00"/>
    <x v="1"/>
    <x v="1"/>
    <x v="5"/>
    <s v="Russia"/>
    <x v="44"/>
    <x v="27"/>
    <n v="20454"/>
    <n v="17863"/>
  </r>
  <r>
    <s v="ORD03729"/>
    <d v="2025-12-02T00:00:00"/>
    <x v="10"/>
    <x v="43"/>
    <x v="2"/>
    <s v="Turkey"/>
    <x v="2"/>
    <x v="20"/>
    <n v="34129"/>
    <n v="38023"/>
  </r>
  <r>
    <s v="ORD03730"/>
    <d v="2025-03-20T00:00:00"/>
    <x v="9"/>
    <x v="39"/>
    <x v="3"/>
    <s v="Russia"/>
    <x v="49"/>
    <x v="17"/>
    <n v="18282"/>
    <n v="20441"/>
  </r>
  <r>
    <s v="ORD03731"/>
    <d v="2025-10-15T00:00:00"/>
    <x v="4"/>
    <x v="10"/>
    <x v="0"/>
    <s v="Japan"/>
    <x v="15"/>
    <x v="8"/>
    <n v="33585"/>
    <n v="37143"/>
  </r>
  <r>
    <s v="ORD03732"/>
    <d v="2025-01-18T00:00:00"/>
    <x v="1"/>
    <x v="1"/>
    <x v="6"/>
    <s v="Singapore"/>
    <x v="45"/>
    <x v="18"/>
    <n v="30336"/>
    <n v="36936"/>
  </r>
  <r>
    <s v="ORD03733"/>
    <d v="2025-11-23T00:00:00"/>
    <x v="2"/>
    <x v="9"/>
    <x v="3"/>
    <s v="Russia"/>
    <x v="12"/>
    <x v="25"/>
    <n v="31287"/>
    <n v="25852"/>
  </r>
  <r>
    <s v="ORD03734"/>
    <d v="2025-09-16T00:00:00"/>
    <x v="3"/>
    <x v="8"/>
    <x v="0"/>
    <s v="Germany"/>
    <x v="0"/>
    <x v="2"/>
    <n v="17885"/>
    <n v="21266"/>
  </r>
  <r>
    <s v="ORD03735"/>
    <d v="2025-08-05T00:00:00"/>
    <x v="11"/>
    <x v="23"/>
    <x v="5"/>
    <s v="Canada"/>
    <x v="38"/>
    <x v="8"/>
    <n v="37875"/>
    <n v="32987"/>
  </r>
  <r>
    <s v="ORD03736"/>
    <d v="2025-04-05T00:00:00"/>
    <x v="7"/>
    <x v="34"/>
    <x v="2"/>
    <s v="UK"/>
    <x v="19"/>
    <x v="16"/>
    <n v="20205"/>
    <n v="18088"/>
  </r>
  <r>
    <s v="ORD03737"/>
    <d v="2025-01-01T00:00:00"/>
    <x v="1"/>
    <x v="5"/>
    <x v="1"/>
    <s v="Japan"/>
    <x v="41"/>
    <x v="24"/>
    <n v="21419"/>
    <n v="25059"/>
  </r>
  <r>
    <s v="ORD03738"/>
    <d v="2025-10-27T00:00:00"/>
    <x v="4"/>
    <x v="2"/>
    <x v="3"/>
    <s v="Germany"/>
    <x v="45"/>
    <x v="19"/>
    <n v="29526"/>
    <n v="34960"/>
  </r>
  <r>
    <s v="ORD03739"/>
    <d v="2025-09-08T00:00:00"/>
    <x v="3"/>
    <x v="31"/>
    <x v="0"/>
    <s v="India"/>
    <x v="35"/>
    <x v="1"/>
    <n v="39572"/>
    <n v="32358"/>
  </r>
  <r>
    <s v="ORD03740"/>
    <d v="2025-12-07T00:00:00"/>
    <x v="10"/>
    <x v="43"/>
    <x v="5"/>
    <s v="USA"/>
    <x v="21"/>
    <x v="8"/>
    <n v="20725"/>
    <n v="15079"/>
  </r>
  <r>
    <s v="ORD03741"/>
    <d v="2025-07-11T00:00:00"/>
    <x v="0"/>
    <x v="47"/>
    <x v="1"/>
    <s v="Canada"/>
    <x v="24"/>
    <x v="27"/>
    <n v="27977"/>
    <n v="26878"/>
  </r>
  <r>
    <s v="ORD03742"/>
    <d v="2025-10-28T00:00:00"/>
    <x v="4"/>
    <x v="2"/>
    <x v="0"/>
    <s v="Canada"/>
    <x v="6"/>
    <x v="14"/>
    <n v="32847"/>
    <n v="38049"/>
  </r>
  <r>
    <s v="ORD03743"/>
    <d v="2025-01-08T00:00:00"/>
    <x v="1"/>
    <x v="6"/>
    <x v="4"/>
    <s v="Brazil"/>
    <x v="17"/>
    <x v="7"/>
    <n v="16120"/>
    <n v="13749"/>
  </r>
  <r>
    <s v="ORD03744"/>
    <d v="2025-02-11T00:00:00"/>
    <x v="6"/>
    <x v="29"/>
    <x v="3"/>
    <s v="UAE"/>
    <x v="9"/>
    <x v="24"/>
    <n v="39435"/>
    <n v="33410"/>
  </r>
  <r>
    <s v="ORD03745"/>
    <d v="2025-05-03T00:00:00"/>
    <x v="8"/>
    <x v="27"/>
    <x v="4"/>
    <s v="USA"/>
    <x v="9"/>
    <x v="5"/>
    <n v="39347"/>
    <n v="47334"/>
  </r>
  <r>
    <s v="ORD03746"/>
    <d v="2025-01-08T00:00:00"/>
    <x v="1"/>
    <x v="6"/>
    <x v="3"/>
    <s v="UAE"/>
    <x v="35"/>
    <x v="9"/>
    <n v="37164"/>
    <n v="26627"/>
  </r>
  <r>
    <s v="ORD03747"/>
    <d v="2025-04-08T00:00:00"/>
    <x v="7"/>
    <x v="16"/>
    <x v="4"/>
    <s v="UK"/>
    <x v="33"/>
    <x v="27"/>
    <n v="21511"/>
    <n v="23070"/>
  </r>
  <r>
    <s v="ORD03748"/>
    <d v="2025-11-13T00:00:00"/>
    <x v="2"/>
    <x v="44"/>
    <x v="1"/>
    <s v="Russia"/>
    <x v="12"/>
    <x v="4"/>
    <n v="34345"/>
    <n v="40697"/>
  </r>
  <r>
    <s v="ORD03749"/>
    <d v="2025-09-14T00:00:00"/>
    <x v="3"/>
    <x v="31"/>
    <x v="5"/>
    <s v="France"/>
    <x v="2"/>
    <x v="11"/>
    <n v="30157"/>
    <n v="26651"/>
  </r>
  <r>
    <s v="ORD03750"/>
    <d v="2025-03-26T00:00:00"/>
    <x v="9"/>
    <x v="33"/>
    <x v="5"/>
    <s v="Australia"/>
    <x v="40"/>
    <x v="18"/>
    <n v="28138"/>
    <n v="26645"/>
  </r>
  <r>
    <s v="ORD03751"/>
    <d v="2025-11-26T00:00:00"/>
    <x v="2"/>
    <x v="11"/>
    <x v="5"/>
    <s v="Germany"/>
    <x v="39"/>
    <x v="6"/>
    <n v="15616"/>
    <n v="16894"/>
  </r>
  <r>
    <s v="ORD03752"/>
    <d v="2025-12-21T00:00:00"/>
    <x v="10"/>
    <x v="21"/>
    <x v="6"/>
    <s v="Germany"/>
    <x v="37"/>
    <x v="1"/>
    <n v="30384"/>
    <n v="31129"/>
  </r>
  <r>
    <s v="ORD03753"/>
    <d v="2025-10-12T00:00:00"/>
    <x v="4"/>
    <x v="45"/>
    <x v="2"/>
    <s v="Australia"/>
    <x v="41"/>
    <x v="10"/>
    <n v="23513"/>
    <n v="18201"/>
  </r>
  <r>
    <s v="ORD03754"/>
    <d v="2025-02-10T00:00:00"/>
    <x v="6"/>
    <x v="29"/>
    <x v="3"/>
    <s v="UK"/>
    <x v="33"/>
    <x v="18"/>
    <n v="36119"/>
    <n v="44063"/>
  </r>
  <r>
    <s v="ORD03755"/>
    <d v="2025-11-16T00:00:00"/>
    <x v="2"/>
    <x v="44"/>
    <x v="2"/>
    <s v="Turkey"/>
    <x v="48"/>
    <x v="12"/>
    <n v="21707"/>
    <n v="19568"/>
  </r>
  <r>
    <s v="ORD03756"/>
    <d v="2025-05-09T00:00:00"/>
    <x v="8"/>
    <x v="18"/>
    <x v="2"/>
    <s v="Turkey"/>
    <x v="13"/>
    <x v="13"/>
    <n v="26857"/>
    <n v="29290"/>
  </r>
  <r>
    <s v="ORD03757"/>
    <d v="2025-04-21T00:00:00"/>
    <x v="7"/>
    <x v="38"/>
    <x v="5"/>
    <s v="UK"/>
    <x v="1"/>
    <x v="29"/>
    <n v="17565"/>
    <n v="18776"/>
  </r>
  <r>
    <s v="ORD03758"/>
    <d v="2025-02-06T00:00:00"/>
    <x v="6"/>
    <x v="48"/>
    <x v="3"/>
    <s v="Italy"/>
    <x v="29"/>
    <x v="17"/>
    <n v="28160"/>
    <n v="33940"/>
  </r>
  <r>
    <s v="ORD03759"/>
    <d v="2025-04-01T00:00:00"/>
    <x v="7"/>
    <x v="34"/>
    <x v="3"/>
    <s v="Turkey"/>
    <x v="22"/>
    <x v="28"/>
    <n v="30459"/>
    <n v="22792"/>
  </r>
  <r>
    <s v="ORD03760"/>
    <d v="2025-10-25T00:00:00"/>
    <x v="4"/>
    <x v="50"/>
    <x v="4"/>
    <s v="Malaysia"/>
    <x v="47"/>
    <x v="19"/>
    <n v="35917"/>
    <n v="27774"/>
  </r>
  <r>
    <s v="ORD03761"/>
    <d v="2025-12-17T00:00:00"/>
    <x v="10"/>
    <x v="21"/>
    <x v="2"/>
    <s v="Mexico"/>
    <x v="28"/>
    <x v="18"/>
    <n v="24406"/>
    <n v="17738"/>
  </r>
  <r>
    <s v="ORD03762"/>
    <d v="2025-04-05T00:00:00"/>
    <x v="7"/>
    <x v="34"/>
    <x v="4"/>
    <s v="Turkey"/>
    <x v="38"/>
    <x v="22"/>
    <n v="22524"/>
    <n v="22804"/>
  </r>
  <r>
    <s v="ORD03763"/>
    <d v="2025-10-31T00:00:00"/>
    <x v="4"/>
    <x v="2"/>
    <x v="3"/>
    <s v="Malaysia"/>
    <x v="26"/>
    <x v="17"/>
    <n v="38445"/>
    <n v="43731"/>
  </r>
  <r>
    <s v="ORD03764"/>
    <d v="2025-09-03T00:00:00"/>
    <x v="3"/>
    <x v="4"/>
    <x v="4"/>
    <s v="Spain"/>
    <x v="10"/>
    <x v="5"/>
    <n v="38649"/>
    <n v="49013"/>
  </r>
  <r>
    <s v="ORD03765"/>
    <d v="2025-06-27T00:00:00"/>
    <x v="5"/>
    <x v="36"/>
    <x v="2"/>
    <s v="Thailand"/>
    <x v="32"/>
    <x v="3"/>
    <n v="31898"/>
    <n v="24473"/>
  </r>
  <r>
    <s v="ORD03766"/>
    <d v="2025-09-24T00:00:00"/>
    <x v="3"/>
    <x v="25"/>
    <x v="5"/>
    <s v="Germany"/>
    <x v="13"/>
    <x v="24"/>
    <n v="29058"/>
    <n v="35109"/>
  </r>
  <r>
    <s v="ORD03767"/>
    <d v="2025-03-27T00:00:00"/>
    <x v="9"/>
    <x v="33"/>
    <x v="6"/>
    <s v="Brazil"/>
    <x v="21"/>
    <x v="19"/>
    <n v="36780"/>
    <n v="40497"/>
  </r>
  <r>
    <s v="ORD03768"/>
    <d v="2025-02-16T00:00:00"/>
    <x v="6"/>
    <x v="29"/>
    <x v="3"/>
    <s v="India"/>
    <x v="41"/>
    <x v="16"/>
    <n v="23576"/>
    <n v="22929"/>
  </r>
  <r>
    <s v="ORD03769"/>
    <d v="2025-02-16T00:00:00"/>
    <x v="6"/>
    <x v="29"/>
    <x v="6"/>
    <s v="China"/>
    <x v="24"/>
    <x v="0"/>
    <n v="37896"/>
    <n v="43156"/>
  </r>
  <r>
    <s v="ORD03770"/>
    <d v="2025-12-21T00:00:00"/>
    <x v="10"/>
    <x v="21"/>
    <x v="1"/>
    <s v="France"/>
    <x v="47"/>
    <x v="1"/>
    <n v="15282"/>
    <n v="19668"/>
  </r>
  <r>
    <s v="ORD03771"/>
    <d v="2025-09-10T00:00:00"/>
    <x v="3"/>
    <x v="31"/>
    <x v="3"/>
    <s v="Brazil"/>
    <x v="17"/>
    <x v="2"/>
    <n v="28995"/>
    <n v="36062"/>
  </r>
  <r>
    <s v="ORD03772"/>
    <d v="2025-04-20T00:00:00"/>
    <x v="7"/>
    <x v="20"/>
    <x v="4"/>
    <s v="Brazil"/>
    <x v="7"/>
    <x v="19"/>
    <n v="30279"/>
    <n v="28383"/>
  </r>
  <r>
    <s v="ORD03773"/>
    <d v="2025-11-15T00:00:00"/>
    <x v="2"/>
    <x v="44"/>
    <x v="0"/>
    <s v="Singapore"/>
    <x v="31"/>
    <x v="22"/>
    <n v="35284"/>
    <n v="36406"/>
  </r>
  <r>
    <s v="ORD03774"/>
    <d v="2025-11-10T00:00:00"/>
    <x v="2"/>
    <x v="44"/>
    <x v="4"/>
    <s v="Mexico"/>
    <x v="44"/>
    <x v="0"/>
    <n v="19158"/>
    <n v="16536"/>
  </r>
  <r>
    <s v="ORD03775"/>
    <d v="2025-05-28T00:00:00"/>
    <x v="8"/>
    <x v="24"/>
    <x v="3"/>
    <s v="Spain"/>
    <x v="40"/>
    <x v="16"/>
    <n v="39144"/>
    <n v="43798"/>
  </r>
  <r>
    <s v="ORD03776"/>
    <d v="2025-06-20T00:00:00"/>
    <x v="5"/>
    <x v="13"/>
    <x v="2"/>
    <s v="Canada"/>
    <x v="49"/>
    <x v="22"/>
    <n v="29665"/>
    <n v="31247"/>
  </r>
  <r>
    <s v="ORD03777"/>
    <d v="2025-10-21T00:00:00"/>
    <x v="4"/>
    <x v="50"/>
    <x v="2"/>
    <s v="Australia"/>
    <x v="48"/>
    <x v="20"/>
    <n v="36989"/>
    <n v="27381"/>
  </r>
  <r>
    <s v="ORD03778"/>
    <d v="2025-08-25T00:00:00"/>
    <x v="11"/>
    <x v="28"/>
    <x v="3"/>
    <s v="Brazil"/>
    <x v="33"/>
    <x v="15"/>
    <n v="34451"/>
    <n v="39441"/>
  </r>
  <r>
    <s v="ORD03779"/>
    <d v="2025-02-04T00:00:00"/>
    <x v="6"/>
    <x v="48"/>
    <x v="5"/>
    <s v="Singapore"/>
    <x v="5"/>
    <x v="10"/>
    <n v="21891"/>
    <n v="17069"/>
  </r>
  <r>
    <s v="ORD03780"/>
    <d v="2025-01-31T00:00:00"/>
    <x v="1"/>
    <x v="3"/>
    <x v="1"/>
    <s v="India"/>
    <x v="17"/>
    <x v="20"/>
    <n v="17734"/>
    <n v="17886"/>
  </r>
  <r>
    <s v="ORD03781"/>
    <d v="2025-06-28T00:00:00"/>
    <x v="5"/>
    <x v="36"/>
    <x v="6"/>
    <s v="Italy"/>
    <x v="8"/>
    <x v="26"/>
    <n v="32908"/>
    <n v="36828"/>
  </r>
  <r>
    <s v="ORD03782"/>
    <d v="2025-04-16T00:00:00"/>
    <x v="7"/>
    <x v="20"/>
    <x v="4"/>
    <s v="Brazil"/>
    <x v="18"/>
    <x v="19"/>
    <n v="31234"/>
    <n v="23624"/>
  </r>
  <r>
    <s v="ORD03783"/>
    <d v="2025-11-24T00:00:00"/>
    <x v="2"/>
    <x v="11"/>
    <x v="2"/>
    <s v="South Africa"/>
    <x v="38"/>
    <x v="27"/>
    <n v="36664"/>
    <n v="29496"/>
  </r>
  <r>
    <s v="ORD03784"/>
    <d v="2025-05-04T00:00:00"/>
    <x v="8"/>
    <x v="27"/>
    <x v="1"/>
    <s v="UAE"/>
    <x v="18"/>
    <x v="29"/>
    <n v="16946"/>
    <n v="21369"/>
  </r>
  <r>
    <s v="ORD03785"/>
    <d v="2025-03-03T00:00:00"/>
    <x v="9"/>
    <x v="35"/>
    <x v="2"/>
    <s v="Russia"/>
    <x v="40"/>
    <x v="18"/>
    <n v="28388"/>
    <n v="35606"/>
  </r>
  <r>
    <s v="ORD03786"/>
    <d v="2025-12-07T00:00:00"/>
    <x v="10"/>
    <x v="43"/>
    <x v="3"/>
    <s v="France"/>
    <x v="4"/>
    <x v="0"/>
    <n v="15982"/>
    <n v="16416"/>
  </r>
  <r>
    <s v="ORD03787"/>
    <d v="2025-06-25T00:00:00"/>
    <x v="5"/>
    <x v="36"/>
    <x v="0"/>
    <s v="India"/>
    <x v="27"/>
    <x v="25"/>
    <n v="36069"/>
    <n v="46221"/>
  </r>
  <r>
    <s v="ORD03788"/>
    <d v="2025-07-28T00:00:00"/>
    <x v="0"/>
    <x v="12"/>
    <x v="5"/>
    <s v="Canada"/>
    <x v="29"/>
    <x v="3"/>
    <n v="29150"/>
    <n v="24466"/>
  </r>
  <r>
    <s v="ORD03789"/>
    <d v="2025-06-07T00:00:00"/>
    <x v="5"/>
    <x v="41"/>
    <x v="1"/>
    <s v="South Africa"/>
    <x v="41"/>
    <x v="21"/>
    <n v="32204"/>
    <n v="27272"/>
  </r>
  <r>
    <s v="ORD03790"/>
    <d v="2025-01-02T00:00:00"/>
    <x v="1"/>
    <x v="5"/>
    <x v="1"/>
    <s v="Italy"/>
    <x v="1"/>
    <x v="5"/>
    <n v="20604"/>
    <n v="24695"/>
  </r>
  <r>
    <s v="ORD03791"/>
    <d v="2025-03-19T00:00:00"/>
    <x v="9"/>
    <x v="39"/>
    <x v="3"/>
    <s v="China"/>
    <x v="26"/>
    <x v="4"/>
    <n v="18936"/>
    <n v="13523"/>
  </r>
  <r>
    <s v="ORD03792"/>
    <d v="2025-07-20T00:00:00"/>
    <x v="0"/>
    <x v="14"/>
    <x v="0"/>
    <s v="India"/>
    <x v="44"/>
    <x v="7"/>
    <n v="18833"/>
    <n v="16017"/>
  </r>
  <r>
    <s v="ORD03793"/>
    <d v="2025-02-09T00:00:00"/>
    <x v="6"/>
    <x v="48"/>
    <x v="0"/>
    <s v="South Africa"/>
    <x v="38"/>
    <x v="26"/>
    <n v="29317"/>
    <n v="33143"/>
  </r>
  <r>
    <s v="ORD03794"/>
    <d v="2025-06-04T00:00:00"/>
    <x v="5"/>
    <x v="41"/>
    <x v="0"/>
    <s v="Brazil"/>
    <x v="8"/>
    <x v="13"/>
    <n v="20010"/>
    <n v="18796"/>
  </r>
  <r>
    <s v="ORD03795"/>
    <d v="2025-08-12T00:00:00"/>
    <x v="11"/>
    <x v="30"/>
    <x v="1"/>
    <s v="Germany"/>
    <x v="37"/>
    <x v="6"/>
    <n v="17441"/>
    <n v="12753"/>
  </r>
  <r>
    <s v="ORD03796"/>
    <d v="2025-11-10T00:00:00"/>
    <x v="2"/>
    <x v="44"/>
    <x v="3"/>
    <s v="Germany"/>
    <x v="12"/>
    <x v="1"/>
    <n v="17565"/>
    <n v="18089"/>
  </r>
  <r>
    <s v="ORD03797"/>
    <d v="2025-10-18T00:00:00"/>
    <x v="4"/>
    <x v="10"/>
    <x v="5"/>
    <s v="Turkey"/>
    <x v="0"/>
    <x v="15"/>
    <n v="30994"/>
    <n v="35429"/>
  </r>
  <r>
    <s v="ORD03798"/>
    <d v="2025-08-10T00:00:00"/>
    <x v="11"/>
    <x v="23"/>
    <x v="2"/>
    <s v="Mexico"/>
    <x v="10"/>
    <x v="19"/>
    <n v="27055"/>
    <n v="26186"/>
  </r>
  <r>
    <s v="ORD03799"/>
    <d v="2025-07-18T00:00:00"/>
    <x v="0"/>
    <x v="14"/>
    <x v="3"/>
    <s v="UAE"/>
    <x v="13"/>
    <x v="15"/>
    <n v="30726"/>
    <n v="37305"/>
  </r>
  <r>
    <s v="ORD03800"/>
    <d v="2025-02-27T00:00:00"/>
    <x v="6"/>
    <x v="22"/>
    <x v="5"/>
    <s v="Mexico"/>
    <x v="0"/>
    <x v="25"/>
    <n v="32027"/>
    <n v="25934"/>
  </r>
  <r>
    <s v="ORD03801"/>
    <d v="2025-04-14T00:00:00"/>
    <x v="7"/>
    <x v="20"/>
    <x v="6"/>
    <s v="UAE"/>
    <x v="28"/>
    <x v="28"/>
    <n v="39328"/>
    <n v="47964"/>
  </r>
  <r>
    <s v="ORD03802"/>
    <d v="2025-01-29T00:00:00"/>
    <x v="1"/>
    <x v="3"/>
    <x v="0"/>
    <s v="Spain"/>
    <x v="22"/>
    <x v="11"/>
    <n v="22999"/>
    <n v="17365"/>
  </r>
  <r>
    <s v="ORD03803"/>
    <d v="2025-05-01T00:00:00"/>
    <x v="8"/>
    <x v="27"/>
    <x v="1"/>
    <s v="Russia"/>
    <x v="8"/>
    <x v="28"/>
    <n v="34805"/>
    <n v="32930"/>
  </r>
  <r>
    <s v="ORD03804"/>
    <d v="2025-05-16T00:00:00"/>
    <x v="8"/>
    <x v="17"/>
    <x v="5"/>
    <s v="India"/>
    <x v="22"/>
    <x v="20"/>
    <n v="22527"/>
    <n v="19557"/>
  </r>
  <r>
    <s v="ORD03805"/>
    <d v="2025-11-22T00:00:00"/>
    <x v="2"/>
    <x v="9"/>
    <x v="4"/>
    <s v="Malaysia"/>
    <x v="10"/>
    <x v="13"/>
    <n v="31328"/>
    <n v="27663"/>
  </r>
  <r>
    <s v="ORD03806"/>
    <d v="2025-11-07T00:00:00"/>
    <x v="2"/>
    <x v="51"/>
    <x v="5"/>
    <s v="Thailand"/>
    <x v="42"/>
    <x v="21"/>
    <n v="20450"/>
    <n v="17677"/>
  </r>
  <r>
    <s v="ORD03807"/>
    <d v="2025-08-02T00:00:00"/>
    <x v="11"/>
    <x v="12"/>
    <x v="4"/>
    <s v="Australia"/>
    <x v="15"/>
    <x v="12"/>
    <n v="18589"/>
    <n v="16542"/>
  </r>
  <r>
    <s v="ORD03808"/>
    <d v="2025-06-29T00:00:00"/>
    <x v="5"/>
    <x v="36"/>
    <x v="2"/>
    <s v="Japan"/>
    <x v="22"/>
    <x v="17"/>
    <n v="22592"/>
    <n v="24574"/>
  </r>
  <r>
    <s v="ORD03809"/>
    <d v="2025-01-05T00:00:00"/>
    <x v="1"/>
    <x v="5"/>
    <x v="6"/>
    <s v="Russia"/>
    <x v="24"/>
    <x v="29"/>
    <n v="39616"/>
    <n v="33120"/>
  </r>
  <r>
    <s v="ORD03810"/>
    <d v="2025-07-09T00:00:00"/>
    <x v="0"/>
    <x v="47"/>
    <x v="5"/>
    <s v="France"/>
    <x v="19"/>
    <x v="14"/>
    <n v="19634"/>
    <n v="19725"/>
  </r>
  <r>
    <s v="ORD03811"/>
    <d v="2025-10-27T00:00:00"/>
    <x v="4"/>
    <x v="2"/>
    <x v="4"/>
    <s v="UAE"/>
    <x v="45"/>
    <x v="10"/>
    <n v="32283"/>
    <n v="24915"/>
  </r>
  <r>
    <s v="ORD03812"/>
    <d v="2025-08-11T00:00:00"/>
    <x v="11"/>
    <x v="30"/>
    <x v="5"/>
    <s v="Turkey"/>
    <x v="29"/>
    <x v="18"/>
    <n v="36431"/>
    <n v="38522"/>
  </r>
  <r>
    <s v="ORD03813"/>
    <d v="2025-06-11T00:00:00"/>
    <x v="5"/>
    <x v="40"/>
    <x v="4"/>
    <s v="Japan"/>
    <x v="12"/>
    <x v="20"/>
    <n v="21008"/>
    <n v="24045"/>
  </r>
  <r>
    <s v="ORD03814"/>
    <d v="2025-05-31T00:00:00"/>
    <x v="8"/>
    <x v="24"/>
    <x v="4"/>
    <s v="France"/>
    <x v="21"/>
    <x v="26"/>
    <n v="28906"/>
    <n v="25192"/>
  </r>
  <r>
    <s v="ORD03815"/>
    <d v="2025-08-22T00:00:00"/>
    <x v="11"/>
    <x v="46"/>
    <x v="3"/>
    <s v="France"/>
    <x v="14"/>
    <x v="27"/>
    <n v="36304"/>
    <n v="27687"/>
  </r>
  <r>
    <s v="ORD03816"/>
    <d v="2025-08-15T00:00:00"/>
    <x v="11"/>
    <x v="30"/>
    <x v="1"/>
    <s v="Canada"/>
    <x v="39"/>
    <x v="26"/>
    <n v="26396"/>
    <n v="23328"/>
  </r>
  <r>
    <s v="ORD03817"/>
    <d v="2025-03-18T00:00:00"/>
    <x v="9"/>
    <x v="39"/>
    <x v="4"/>
    <s v="Japan"/>
    <x v="0"/>
    <x v="1"/>
    <n v="20555"/>
    <n v="19753"/>
  </r>
  <r>
    <s v="ORD03818"/>
    <d v="2025-05-06T00:00:00"/>
    <x v="8"/>
    <x v="18"/>
    <x v="2"/>
    <s v="Japan"/>
    <x v="42"/>
    <x v="27"/>
    <n v="19629"/>
    <n v="24407"/>
  </r>
  <r>
    <s v="ORD03819"/>
    <d v="2025-01-28T00:00:00"/>
    <x v="1"/>
    <x v="3"/>
    <x v="6"/>
    <s v="UK"/>
    <x v="43"/>
    <x v="10"/>
    <n v="28591"/>
    <n v="30944"/>
  </r>
  <r>
    <s v="ORD03820"/>
    <d v="2025-02-22T00:00:00"/>
    <x v="6"/>
    <x v="15"/>
    <x v="2"/>
    <s v="Brazil"/>
    <x v="26"/>
    <x v="29"/>
    <n v="17054"/>
    <n v="14980"/>
  </r>
  <r>
    <s v="ORD03821"/>
    <d v="2025-11-01T00:00:00"/>
    <x v="2"/>
    <x v="2"/>
    <x v="1"/>
    <s v="India"/>
    <x v="13"/>
    <x v="8"/>
    <n v="36879"/>
    <n v="36703"/>
  </r>
  <r>
    <s v="ORD03822"/>
    <d v="2025-05-09T00:00:00"/>
    <x v="8"/>
    <x v="18"/>
    <x v="1"/>
    <s v="Thailand"/>
    <x v="45"/>
    <x v="17"/>
    <n v="24811"/>
    <n v="25327"/>
  </r>
  <r>
    <s v="ORD03823"/>
    <d v="2025-03-12T00:00:00"/>
    <x v="9"/>
    <x v="19"/>
    <x v="5"/>
    <s v="Mexico"/>
    <x v="7"/>
    <x v="12"/>
    <n v="26532"/>
    <n v="18665"/>
  </r>
  <r>
    <s v="ORD03824"/>
    <d v="2025-11-07T00:00:00"/>
    <x v="2"/>
    <x v="51"/>
    <x v="0"/>
    <s v="Japan"/>
    <x v="19"/>
    <x v="28"/>
    <n v="18929"/>
    <n v="20681"/>
  </r>
  <r>
    <s v="ORD03825"/>
    <d v="2025-10-12T00:00:00"/>
    <x v="4"/>
    <x v="45"/>
    <x v="2"/>
    <s v="Italy"/>
    <x v="21"/>
    <x v="14"/>
    <n v="22436"/>
    <n v="28037"/>
  </r>
  <r>
    <s v="ORD03826"/>
    <d v="2025-02-25T00:00:00"/>
    <x v="6"/>
    <x v="22"/>
    <x v="1"/>
    <s v="Australia"/>
    <x v="48"/>
    <x v="18"/>
    <n v="37342"/>
    <n v="48513"/>
  </r>
  <r>
    <s v="ORD03827"/>
    <d v="2025-02-06T00:00:00"/>
    <x v="6"/>
    <x v="48"/>
    <x v="1"/>
    <s v="Spain"/>
    <x v="18"/>
    <x v="2"/>
    <n v="24483"/>
    <n v="19895"/>
  </r>
  <r>
    <s v="ORD03828"/>
    <d v="2025-11-02T00:00:00"/>
    <x v="2"/>
    <x v="2"/>
    <x v="5"/>
    <s v="UAE"/>
    <x v="2"/>
    <x v="2"/>
    <n v="29956"/>
    <n v="38393"/>
  </r>
  <r>
    <s v="ORD03829"/>
    <d v="2025-04-16T00:00:00"/>
    <x v="7"/>
    <x v="20"/>
    <x v="5"/>
    <s v="Canada"/>
    <x v="38"/>
    <x v="29"/>
    <n v="20665"/>
    <n v="20988"/>
  </r>
  <r>
    <s v="ORD03830"/>
    <d v="2025-10-10T00:00:00"/>
    <x v="4"/>
    <x v="45"/>
    <x v="1"/>
    <s v="Japan"/>
    <x v="46"/>
    <x v="4"/>
    <n v="23505"/>
    <n v="21214"/>
  </r>
  <r>
    <s v="ORD03831"/>
    <d v="2025-08-08T00:00:00"/>
    <x v="11"/>
    <x v="23"/>
    <x v="2"/>
    <s v="Mexico"/>
    <x v="42"/>
    <x v="15"/>
    <n v="24268"/>
    <n v="25071"/>
  </r>
  <r>
    <s v="ORD03832"/>
    <d v="2025-07-27T00:00:00"/>
    <x v="0"/>
    <x v="0"/>
    <x v="1"/>
    <s v="Russia"/>
    <x v="0"/>
    <x v="17"/>
    <n v="36141"/>
    <n v="34249"/>
  </r>
  <r>
    <s v="ORD03833"/>
    <d v="2025-11-06T00:00:00"/>
    <x v="2"/>
    <x v="51"/>
    <x v="3"/>
    <s v="Russia"/>
    <x v="15"/>
    <x v="7"/>
    <n v="21027"/>
    <n v="19311"/>
  </r>
  <r>
    <s v="ORD03834"/>
    <d v="2025-06-08T00:00:00"/>
    <x v="5"/>
    <x v="41"/>
    <x v="3"/>
    <s v="UAE"/>
    <x v="17"/>
    <x v="1"/>
    <n v="18072"/>
    <n v="23051"/>
  </r>
  <r>
    <s v="ORD03835"/>
    <d v="2025-03-11T00:00:00"/>
    <x v="9"/>
    <x v="19"/>
    <x v="4"/>
    <s v="China"/>
    <x v="42"/>
    <x v="18"/>
    <n v="19841"/>
    <n v="15180"/>
  </r>
  <r>
    <s v="ORD03836"/>
    <d v="2025-05-15T00:00:00"/>
    <x v="8"/>
    <x v="17"/>
    <x v="1"/>
    <s v="Thailand"/>
    <x v="0"/>
    <x v="16"/>
    <n v="22610"/>
    <n v="24773"/>
  </r>
  <r>
    <s v="ORD03837"/>
    <d v="2025-05-12T00:00:00"/>
    <x v="8"/>
    <x v="17"/>
    <x v="5"/>
    <s v="Turkey"/>
    <x v="16"/>
    <x v="19"/>
    <n v="34962"/>
    <n v="35630"/>
  </r>
  <r>
    <s v="ORD03838"/>
    <d v="2025-09-07T00:00:00"/>
    <x v="3"/>
    <x v="4"/>
    <x v="5"/>
    <s v="Japan"/>
    <x v="3"/>
    <x v="6"/>
    <n v="21935"/>
    <n v="18755"/>
  </r>
  <r>
    <s v="ORD03839"/>
    <d v="2025-07-30T00:00:00"/>
    <x v="0"/>
    <x v="12"/>
    <x v="0"/>
    <s v="Mexico"/>
    <x v="15"/>
    <x v="10"/>
    <n v="33954"/>
    <n v="42585"/>
  </r>
  <r>
    <s v="ORD03840"/>
    <d v="2025-11-02T00:00:00"/>
    <x v="2"/>
    <x v="2"/>
    <x v="3"/>
    <s v="Brazil"/>
    <x v="15"/>
    <x v="13"/>
    <n v="29664"/>
    <n v="32346"/>
  </r>
  <r>
    <s v="ORD03841"/>
    <d v="2025-07-19T00:00:00"/>
    <x v="0"/>
    <x v="14"/>
    <x v="2"/>
    <s v="USA"/>
    <x v="17"/>
    <x v="3"/>
    <n v="19139"/>
    <n v="13594"/>
  </r>
  <r>
    <s v="ORD03842"/>
    <d v="2025-08-03T00:00:00"/>
    <x v="11"/>
    <x v="12"/>
    <x v="1"/>
    <s v="Singapore"/>
    <x v="20"/>
    <x v="0"/>
    <n v="26727"/>
    <n v="26150"/>
  </r>
  <r>
    <s v="ORD03843"/>
    <d v="2025-04-19T00:00:00"/>
    <x v="7"/>
    <x v="20"/>
    <x v="1"/>
    <s v="Germany"/>
    <x v="40"/>
    <x v="7"/>
    <n v="21288"/>
    <n v="27075"/>
  </r>
  <r>
    <s v="ORD03844"/>
    <d v="2025-06-04T00:00:00"/>
    <x v="5"/>
    <x v="41"/>
    <x v="2"/>
    <s v="Japan"/>
    <x v="41"/>
    <x v="26"/>
    <n v="27309"/>
    <n v="30595"/>
  </r>
  <r>
    <s v="ORD03845"/>
    <d v="2025-06-07T00:00:00"/>
    <x v="5"/>
    <x v="41"/>
    <x v="3"/>
    <s v="Australia"/>
    <x v="1"/>
    <x v="21"/>
    <n v="18556"/>
    <n v="19635"/>
  </r>
  <r>
    <s v="ORD03846"/>
    <d v="2025-05-21T00:00:00"/>
    <x v="8"/>
    <x v="26"/>
    <x v="2"/>
    <s v="Germany"/>
    <x v="47"/>
    <x v="29"/>
    <n v="28093"/>
    <n v="22958"/>
  </r>
  <r>
    <s v="ORD03847"/>
    <d v="2025-02-17T00:00:00"/>
    <x v="6"/>
    <x v="15"/>
    <x v="6"/>
    <s v="Japan"/>
    <x v="43"/>
    <x v="23"/>
    <n v="28307"/>
    <n v="26702"/>
  </r>
  <r>
    <s v="ORD03848"/>
    <d v="2025-02-07T00:00:00"/>
    <x v="6"/>
    <x v="48"/>
    <x v="2"/>
    <s v="Spain"/>
    <x v="41"/>
    <x v="25"/>
    <n v="39234"/>
    <n v="45008"/>
  </r>
  <r>
    <s v="ORD03849"/>
    <d v="2025-12-26T00:00:00"/>
    <x v="10"/>
    <x v="42"/>
    <x v="0"/>
    <s v="Australia"/>
    <x v="25"/>
    <x v="25"/>
    <n v="17546"/>
    <n v="16366"/>
  </r>
  <r>
    <s v="ORD03850"/>
    <d v="2025-06-23T00:00:00"/>
    <x v="5"/>
    <x v="36"/>
    <x v="6"/>
    <s v="Mexico"/>
    <x v="6"/>
    <x v="8"/>
    <n v="34870"/>
    <n v="35800"/>
  </r>
  <r>
    <s v="ORD03851"/>
    <d v="2025-08-26T00:00:00"/>
    <x v="11"/>
    <x v="28"/>
    <x v="1"/>
    <s v="France"/>
    <x v="30"/>
    <x v="5"/>
    <n v="17049"/>
    <n v="19426"/>
  </r>
  <r>
    <s v="ORD03852"/>
    <d v="2025-07-30T00:00:00"/>
    <x v="0"/>
    <x v="12"/>
    <x v="3"/>
    <s v="South Africa"/>
    <x v="16"/>
    <x v="12"/>
    <n v="15361"/>
    <n v="19719"/>
  </r>
  <r>
    <s v="ORD03853"/>
    <d v="2025-03-27T00:00:00"/>
    <x v="9"/>
    <x v="33"/>
    <x v="5"/>
    <s v="China"/>
    <x v="34"/>
    <x v="12"/>
    <n v="32157"/>
    <n v="31149"/>
  </r>
  <r>
    <s v="ORD03854"/>
    <d v="2025-10-01T00:00:00"/>
    <x v="4"/>
    <x v="49"/>
    <x v="5"/>
    <s v="USA"/>
    <x v="8"/>
    <x v="14"/>
    <n v="15917"/>
    <n v="19419"/>
  </r>
  <r>
    <s v="ORD03855"/>
    <d v="2025-02-05T00:00:00"/>
    <x v="6"/>
    <x v="48"/>
    <x v="1"/>
    <s v="Mexico"/>
    <x v="39"/>
    <x v="3"/>
    <n v="31801"/>
    <n v="25321"/>
  </r>
  <r>
    <s v="ORD03856"/>
    <d v="2025-09-08T00:00:00"/>
    <x v="3"/>
    <x v="31"/>
    <x v="6"/>
    <s v="South Africa"/>
    <x v="7"/>
    <x v="19"/>
    <n v="34580"/>
    <n v="28470"/>
  </r>
  <r>
    <s v="ORD03857"/>
    <d v="2025-12-02T00:00:00"/>
    <x v="10"/>
    <x v="43"/>
    <x v="4"/>
    <s v="Italy"/>
    <x v="15"/>
    <x v="14"/>
    <n v="31091"/>
    <n v="34869"/>
  </r>
  <r>
    <s v="ORD03858"/>
    <d v="2025-08-06T00:00:00"/>
    <x v="11"/>
    <x v="23"/>
    <x v="1"/>
    <s v="Russia"/>
    <x v="44"/>
    <x v="24"/>
    <n v="19669"/>
    <n v="14781"/>
  </r>
  <r>
    <s v="ORD03859"/>
    <d v="2025-10-25T00:00:00"/>
    <x v="4"/>
    <x v="50"/>
    <x v="5"/>
    <s v="China"/>
    <x v="34"/>
    <x v="7"/>
    <n v="23702"/>
    <n v="22433"/>
  </r>
  <r>
    <s v="ORD03860"/>
    <d v="2025-07-20T00:00:00"/>
    <x v="0"/>
    <x v="14"/>
    <x v="5"/>
    <s v="Mexico"/>
    <x v="34"/>
    <x v="2"/>
    <n v="20263"/>
    <n v="24703"/>
  </r>
  <r>
    <s v="ORD03861"/>
    <d v="2025-01-15T00:00:00"/>
    <x v="1"/>
    <x v="1"/>
    <x v="5"/>
    <s v="Germany"/>
    <x v="26"/>
    <x v="17"/>
    <n v="34989"/>
    <n v="40554"/>
  </r>
  <r>
    <s v="ORD03862"/>
    <d v="2025-05-27T00:00:00"/>
    <x v="8"/>
    <x v="24"/>
    <x v="6"/>
    <s v="Canada"/>
    <x v="1"/>
    <x v="12"/>
    <n v="24577"/>
    <n v="17649"/>
  </r>
  <r>
    <s v="ORD03863"/>
    <d v="2025-11-24T00:00:00"/>
    <x v="2"/>
    <x v="11"/>
    <x v="5"/>
    <s v="UAE"/>
    <x v="30"/>
    <x v="0"/>
    <n v="18872"/>
    <n v="17008"/>
  </r>
  <r>
    <s v="ORD03864"/>
    <d v="2025-06-10T00:00:00"/>
    <x v="5"/>
    <x v="40"/>
    <x v="3"/>
    <s v="Mexico"/>
    <x v="29"/>
    <x v="3"/>
    <n v="28978"/>
    <n v="37254"/>
  </r>
  <r>
    <s v="ORD03865"/>
    <d v="2025-09-30T00:00:00"/>
    <x v="3"/>
    <x v="49"/>
    <x v="6"/>
    <s v="China"/>
    <x v="45"/>
    <x v="23"/>
    <n v="34972"/>
    <n v="42747"/>
  </r>
  <r>
    <s v="ORD03866"/>
    <d v="2025-12-25T00:00:00"/>
    <x v="10"/>
    <x v="42"/>
    <x v="5"/>
    <s v="USA"/>
    <x v="39"/>
    <x v="1"/>
    <n v="27855"/>
    <n v="24313"/>
  </r>
  <r>
    <s v="ORD03867"/>
    <d v="2025-07-02T00:00:00"/>
    <x v="0"/>
    <x v="37"/>
    <x v="1"/>
    <s v="Canada"/>
    <x v="25"/>
    <x v="6"/>
    <n v="36906"/>
    <n v="33604"/>
  </r>
  <r>
    <s v="ORD03868"/>
    <d v="2025-01-12T00:00:00"/>
    <x v="1"/>
    <x v="6"/>
    <x v="6"/>
    <s v="Brazil"/>
    <x v="13"/>
    <x v="13"/>
    <n v="33476"/>
    <n v="32050"/>
  </r>
  <r>
    <s v="ORD03869"/>
    <d v="2025-09-18T00:00:00"/>
    <x v="3"/>
    <x v="8"/>
    <x v="0"/>
    <s v="Turkey"/>
    <x v="44"/>
    <x v="13"/>
    <n v="31910"/>
    <n v="22762"/>
  </r>
  <r>
    <s v="ORD03870"/>
    <d v="2025-09-20T00:00:00"/>
    <x v="3"/>
    <x v="8"/>
    <x v="1"/>
    <s v="Thailand"/>
    <x v="4"/>
    <x v="12"/>
    <n v="30492"/>
    <n v="35452"/>
  </r>
  <r>
    <s v="ORD03871"/>
    <d v="2025-01-07T00:00:00"/>
    <x v="1"/>
    <x v="6"/>
    <x v="3"/>
    <s v="Russia"/>
    <x v="42"/>
    <x v="29"/>
    <n v="30868"/>
    <n v="32023"/>
  </r>
  <r>
    <s v="ORD03872"/>
    <d v="2025-11-03T00:00:00"/>
    <x v="2"/>
    <x v="51"/>
    <x v="6"/>
    <s v="Canada"/>
    <x v="37"/>
    <x v="25"/>
    <n v="23102"/>
    <n v="29865"/>
  </r>
  <r>
    <s v="ORD03873"/>
    <d v="2025-02-18T00:00:00"/>
    <x v="6"/>
    <x v="15"/>
    <x v="0"/>
    <s v="Australia"/>
    <x v="49"/>
    <x v="26"/>
    <n v="26290"/>
    <n v="19751"/>
  </r>
  <r>
    <s v="ORD03874"/>
    <d v="2025-02-28T00:00:00"/>
    <x v="6"/>
    <x v="22"/>
    <x v="6"/>
    <s v="Canada"/>
    <x v="1"/>
    <x v="11"/>
    <n v="22840"/>
    <n v="21080"/>
  </r>
  <r>
    <s v="ORD03875"/>
    <d v="2025-02-01T00:00:00"/>
    <x v="6"/>
    <x v="3"/>
    <x v="0"/>
    <s v="USA"/>
    <x v="14"/>
    <x v="11"/>
    <n v="27490"/>
    <n v="26182"/>
  </r>
  <r>
    <s v="ORD03876"/>
    <d v="2025-11-29T00:00:00"/>
    <x v="2"/>
    <x v="11"/>
    <x v="3"/>
    <s v="South Africa"/>
    <x v="31"/>
    <x v="12"/>
    <n v="16874"/>
    <n v="16023"/>
  </r>
  <r>
    <s v="ORD03877"/>
    <d v="2025-03-01T00:00:00"/>
    <x v="9"/>
    <x v="22"/>
    <x v="6"/>
    <s v="Turkey"/>
    <x v="16"/>
    <x v="13"/>
    <n v="26236"/>
    <n v="33648"/>
  </r>
  <r>
    <s v="ORD03878"/>
    <d v="2025-06-04T00:00:00"/>
    <x v="5"/>
    <x v="41"/>
    <x v="1"/>
    <s v="China"/>
    <x v="2"/>
    <x v="17"/>
    <n v="27871"/>
    <n v="21062"/>
  </r>
  <r>
    <s v="ORD03879"/>
    <d v="2025-06-19T00:00:00"/>
    <x v="5"/>
    <x v="13"/>
    <x v="5"/>
    <s v="Russia"/>
    <x v="35"/>
    <x v="16"/>
    <n v="25203"/>
    <n v="24580"/>
  </r>
  <r>
    <s v="ORD03880"/>
    <d v="2025-10-07T00:00:00"/>
    <x v="4"/>
    <x v="45"/>
    <x v="3"/>
    <s v="Turkey"/>
    <x v="17"/>
    <x v="8"/>
    <n v="32159"/>
    <n v="27789"/>
  </r>
  <r>
    <s v="ORD03881"/>
    <d v="2025-08-20T00:00:00"/>
    <x v="11"/>
    <x v="46"/>
    <x v="3"/>
    <s v="Malaysia"/>
    <x v="47"/>
    <x v="4"/>
    <n v="20687"/>
    <n v="20702"/>
  </r>
  <r>
    <s v="ORD03882"/>
    <d v="2025-11-06T00:00:00"/>
    <x v="2"/>
    <x v="51"/>
    <x v="0"/>
    <s v="Thailand"/>
    <x v="35"/>
    <x v="15"/>
    <n v="32916"/>
    <n v="35366"/>
  </r>
  <r>
    <s v="ORD03883"/>
    <d v="2025-09-20T00:00:00"/>
    <x v="3"/>
    <x v="8"/>
    <x v="6"/>
    <s v="Italy"/>
    <x v="31"/>
    <x v="17"/>
    <n v="22355"/>
    <n v="28024"/>
  </r>
  <r>
    <s v="ORD03884"/>
    <d v="2025-05-03T00:00:00"/>
    <x v="8"/>
    <x v="27"/>
    <x v="3"/>
    <s v="Russia"/>
    <x v="10"/>
    <x v="5"/>
    <n v="36626"/>
    <n v="28113"/>
  </r>
  <r>
    <s v="ORD03885"/>
    <d v="2025-12-09T00:00:00"/>
    <x v="10"/>
    <x v="32"/>
    <x v="3"/>
    <s v="Canada"/>
    <x v="23"/>
    <x v="8"/>
    <n v="31832"/>
    <n v="28900"/>
  </r>
  <r>
    <s v="ORD03886"/>
    <d v="2025-04-06T00:00:00"/>
    <x v="7"/>
    <x v="34"/>
    <x v="1"/>
    <s v="UAE"/>
    <x v="10"/>
    <x v="16"/>
    <n v="33606"/>
    <n v="39758"/>
  </r>
  <r>
    <s v="ORD03887"/>
    <d v="2025-09-21T00:00:00"/>
    <x v="3"/>
    <x v="8"/>
    <x v="1"/>
    <s v="UK"/>
    <x v="19"/>
    <x v="9"/>
    <n v="27304"/>
    <n v="23871"/>
  </r>
  <r>
    <s v="ORD03888"/>
    <d v="2025-06-07T00:00:00"/>
    <x v="5"/>
    <x v="41"/>
    <x v="4"/>
    <s v="India"/>
    <x v="48"/>
    <x v="15"/>
    <n v="30986"/>
    <n v="29380"/>
  </r>
  <r>
    <s v="ORD03889"/>
    <d v="2025-04-14T00:00:00"/>
    <x v="7"/>
    <x v="20"/>
    <x v="5"/>
    <s v="France"/>
    <x v="17"/>
    <x v="4"/>
    <n v="18312"/>
    <n v="16169"/>
  </r>
  <r>
    <s v="ORD03890"/>
    <d v="2025-04-02T00:00:00"/>
    <x v="7"/>
    <x v="34"/>
    <x v="6"/>
    <s v="Singapore"/>
    <x v="7"/>
    <x v="15"/>
    <n v="19613"/>
    <n v="19985"/>
  </r>
  <r>
    <s v="ORD03891"/>
    <d v="2025-08-06T00:00:00"/>
    <x v="11"/>
    <x v="23"/>
    <x v="3"/>
    <s v="UAE"/>
    <x v="31"/>
    <x v="17"/>
    <n v="29644"/>
    <n v="28015"/>
  </r>
  <r>
    <s v="ORD03892"/>
    <d v="2025-09-12T00:00:00"/>
    <x v="3"/>
    <x v="31"/>
    <x v="3"/>
    <s v="Malaysia"/>
    <x v="45"/>
    <x v="12"/>
    <n v="21392"/>
    <n v="24448"/>
  </r>
  <r>
    <s v="ORD03893"/>
    <d v="2025-10-30T00:00:00"/>
    <x v="4"/>
    <x v="2"/>
    <x v="2"/>
    <s v="Italy"/>
    <x v="33"/>
    <x v="12"/>
    <n v="36637"/>
    <n v="43698"/>
  </r>
  <r>
    <s v="ORD03894"/>
    <d v="2025-02-18T00:00:00"/>
    <x v="6"/>
    <x v="15"/>
    <x v="4"/>
    <s v="Singapore"/>
    <x v="37"/>
    <x v="11"/>
    <n v="30077"/>
    <n v="21490"/>
  </r>
  <r>
    <s v="ORD03895"/>
    <d v="2025-03-17T00:00:00"/>
    <x v="9"/>
    <x v="39"/>
    <x v="4"/>
    <s v="UAE"/>
    <x v="19"/>
    <x v="14"/>
    <n v="24633"/>
    <n v="31057"/>
  </r>
  <r>
    <s v="ORD03896"/>
    <d v="2025-04-21T00:00:00"/>
    <x v="7"/>
    <x v="38"/>
    <x v="3"/>
    <s v="Russia"/>
    <x v="15"/>
    <x v="9"/>
    <n v="36531"/>
    <n v="47310"/>
  </r>
  <r>
    <s v="ORD03897"/>
    <d v="2025-05-09T00:00:00"/>
    <x v="8"/>
    <x v="18"/>
    <x v="0"/>
    <s v="Australia"/>
    <x v="47"/>
    <x v="20"/>
    <n v="31176"/>
    <n v="25205"/>
  </r>
  <r>
    <s v="ORD03898"/>
    <d v="2025-10-19T00:00:00"/>
    <x v="4"/>
    <x v="10"/>
    <x v="6"/>
    <s v="Spain"/>
    <x v="18"/>
    <x v="17"/>
    <n v="28246"/>
    <n v="24520"/>
  </r>
  <r>
    <s v="ORD03899"/>
    <d v="2025-10-31T00:00:00"/>
    <x v="4"/>
    <x v="2"/>
    <x v="2"/>
    <s v="UK"/>
    <x v="49"/>
    <x v="3"/>
    <n v="34835"/>
    <n v="34220"/>
  </r>
  <r>
    <s v="ORD03900"/>
    <d v="2025-10-15T00:00:00"/>
    <x v="4"/>
    <x v="10"/>
    <x v="1"/>
    <s v="Spain"/>
    <x v="22"/>
    <x v="19"/>
    <n v="30851"/>
    <n v="23988"/>
  </r>
  <r>
    <s v="ORD03901"/>
    <d v="2025-01-17T00:00:00"/>
    <x v="1"/>
    <x v="1"/>
    <x v="4"/>
    <s v="Canada"/>
    <x v="2"/>
    <x v="2"/>
    <n v="18379"/>
    <n v="15225"/>
  </r>
  <r>
    <s v="ORD03902"/>
    <d v="2025-06-14T00:00:00"/>
    <x v="5"/>
    <x v="40"/>
    <x v="6"/>
    <s v="Turkey"/>
    <x v="32"/>
    <x v="8"/>
    <n v="21658"/>
    <n v="19680"/>
  </r>
  <r>
    <s v="ORD03903"/>
    <d v="2025-12-16T00:00:00"/>
    <x v="10"/>
    <x v="21"/>
    <x v="5"/>
    <s v="China"/>
    <x v="44"/>
    <x v="20"/>
    <n v="19503"/>
    <n v="15141"/>
  </r>
  <r>
    <s v="ORD03904"/>
    <d v="2025-05-22T00:00:00"/>
    <x v="8"/>
    <x v="26"/>
    <x v="2"/>
    <s v="Mexico"/>
    <x v="15"/>
    <x v="20"/>
    <n v="37876"/>
    <n v="31383"/>
  </r>
  <r>
    <s v="ORD03905"/>
    <d v="2025-04-09T00:00:00"/>
    <x v="7"/>
    <x v="16"/>
    <x v="1"/>
    <s v="Japan"/>
    <x v="24"/>
    <x v="1"/>
    <n v="15826"/>
    <n v="16012"/>
  </r>
  <r>
    <s v="ORD03906"/>
    <d v="2025-05-15T00:00:00"/>
    <x v="8"/>
    <x v="17"/>
    <x v="3"/>
    <s v="Malaysia"/>
    <x v="4"/>
    <x v="18"/>
    <n v="29507"/>
    <n v="22825"/>
  </r>
  <r>
    <s v="ORD03907"/>
    <d v="2025-12-06T00:00:00"/>
    <x v="10"/>
    <x v="43"/>
    <x v="6"/>
    <s v="Russia"/>
    <x v="17"/>
    <x v="28"/>
    <n v="16900"/>
    <n v="17960"/>
  </r>
  <r>
    <s v="ORD03908"/>
    <d v="2025-09-20T00:00:00"/>
    <x v="3"/>
    <x v="8"/>
    <x v="1"/>
    <s v="India"/>
    <x v="29"/>
    <x v="1"/>
    <n v="35807"/>
    <n v="35391"/>
  </r>
  <r>
    <s v="ORD03909"/>
    <d v="2025-06-24T00:00:00"/>
    <x v="5"/>
    <x v="36"/>
    <x v="5"/>
    <s v="France"/>
    <x v="10"/>
    <x v="13"/>
    <n v="24120"/>
    <n v="27279"/>
  </r>
  <r>
    <s v="ORD03910"/>
    <d v="2025-03-02T00:00:00"/>
    <x v="9"/>
    <x v="22"/>
    <x v="4"/>
    <s v="UAE"/>
    <x v="23"/>
    <x v="16"/>
    <n v="16188"/>
    <n v="15561"/>
  </r>
  <r>
    <s v="ORD03911"/>
    <d v="2025-10-19T00:00:00"/>
    <x v="4"/>
    <x v="10"/>
    <x v="5"/>
    <s v="Singapore"/>
    <x v="42"/>
    <x v="14"/>
    <n v="30915"/>
    <n v="27992"/>
  </r>
  <r>
    <s v="ORD03912"/>
    <d v="2025-09-11T00:00:00"/>
    <x v="3"/>
    <x v="31"/>
    <x v="4"/>
    <s v="Canada"/>
    <x v="10"/>
    <x v="23"/>
    <n v="24876"/>
    <n v="29346"/>
  </r>
  <r>
    <s v="ORD03913"/>
    <d v="2025-01-18T00:00:00"/>
    <x v="1"/>
    <x v="1"/>
    <x v="5"/>
    <s v="Brazil"/>
    <x v="35"/>
    <x v="25"/>
    <n v="16866"/>
    <n v="12005"/>
  </r>
  <r>
    <s v="ORD03914"/>
    <d v="2025-11-05T00:00:00"/>
    <x v="2"/>
    <x v="51"/>
    <x v="6"/>
    <s v="Australia"/>
    <x v="28"/>
    <x v="21"/>
    <n v="23844"/>
    <n v="26418"/>
  </r>
  <r>
    <s v="ORD03915"/>
    <d v="2025-07-21T00:00:00"/>
    <x v="0"/>
    <x v="0"/>
    <x v="0"/>
    <s v="Australia"/>
    <x v="6"/>
    <x v="14"/>
    <n v="24315"/>
    <n v="19775"/>
  </r>
  <r>
    <s v="ORD03916"/>
    <d v="2025-01-14T00:00:00"/>
    <x v="1"/>
    <x v="1"/>
    <x v="4"/>
    <s v="Spain"/>
    <x v="46"/>
    <x v="19"/>
    <n v="38343"/>
    <n v="45363"/>
  </r>
  <r>
    <s v="ORD03917"/>
    <d v="2025-03-12T00:00:00"/>
    <x v="9"/>
    <x v="19"/>
    <x v="4"/>
    <s v="Australia"/>
    <x v="4"/>
    <x v="29"/>
    <n v="17373"/>
    <n v="14762"/>
  </r>
  <r>
    <s v="ORD03918"/>
    <d v="2025-08-21T00:00:00"/>
    <x v="11"/>
    <x v="46"/>
    <x v="6"/>
    <s v="Singapore"/>
    <x v="6"/>
    <x v="10"/>
    <n v="28145"/>
    <n v="22049"/>
  </r>
  <r>
    <s v="ORD03919"/>
    <d v="2025-08-18T00:00:00"/>
    <x v="11"/>
    <x v="46"/>
    <x v="3"/>
    <s v="USA"/>
    <x v="26"/>
    <x v="11"/>
    <n v="17381"/>
    <n v="19580"/>
  </r>
  <r>
    <s v="ORD03920"/>
    <d v="2025-05-15T00:00:00"/>
    <x v="8"/>
    <x v="17"/>
    <x v="3"/>
    <s v="Turkey"/>
    <x v="5"/>
    <x v="14"/>
    <n v="39183"/>
    <n v="30568"/>
  </r>
  <r>
    <s v="ORD03921"/>
    <d v="2025-08-02T00:00:00"/>
    <x v="11"/>
    <x v="12"/>
    <x v="5"/>
    <s v="France"/>
    <x v="13"/>
    <x v="15"/>
    <n v="20532"/>
    <n v="18124"/>
  </r>
  <r>
    <s v="ORD03922"/>
    <d v="2025-03-26T00:00:00"/>
    <x v="9"/>
    <x v="33"/>
    <x v="3"/>
    <s v="Germany"/>
    <x v="42"/>
    <x v="25"/>
    <n v="15106"/>
    <n v="12227"/>
  </r>
  <r>
    <s v="ORD03923"/>
    <d v="2025-12-22T00:00:00"/>
    <x v="10"/>
    <x v="42"/>
    <x v="1"/>
    <s v="Mexico"/>
    <x v="41"/>
    <x v="16"/>
    <n v="17064"/>
    <n v="13261"/>
  </r>
  <r>
    <s v="ORD03924"/>
    <d v="2025-05-09T00:00:00"/>
    <x v="8"/>
    <x v="18"/>
    <x v="6"/>
    <s v="Spain"/>
    <x v="19"/>
    <x v="17"/>
    <n v="28977"/>
    <n v="22215"/>
  </r>
  <r>
    <s v="ORD03925"/>
    <d v="2025-04-03T00:00:00"/>
    <x v="7"/>
    <x v="34"/>
    <x v="1"/>
    <s v="Turkey"/>
    <x v="18"/>
    <x v="6"/>
    <n v="37505"/>
    <n v="26836"/>
  </r>
  <r>
    <s v="ORD03926"/>
    <d v="2025-09-24T00:00:00"/>
    <x v="3"/>
    <x v="25"/>
    <x v="6"/>
    <s v="UK"/>
    <x v="29"/>
    <x v="11"/>
    <n v="27610"/>
    <n v="30975"/>
  </r>
  <r>
    <s v="ORD03927"/>
    <d v="2025-10-04T00:00:00"/>
    <x v="4"/>
    <x v="49"/>
    <x v="1"/>
    <s v="UAE"/>
    <x v="24"/>
    <x v="22"/>
    <n v="21393"/>
    <n v="17413"/>
  </r>
  <r>
    <s v="ORD03928"/>
    <d v="2025-12-23T00:00:00"/>
    <x v="10"/>
    <x v="42"/>
    <x v="5"/>
    <s v="Singapore"/>
    <x v="33"/>
    <x v="15"/>
    <n v="26930"/>
    <n v="30864"/>
  </r>
  <r>
    <s v="ORD03929"/>
    <d v="2025-03-01T00:00:00"/>
    <x v="9"/>
    <x v="22"/>
    <x v="1"/>
    <s v="Australia"/>
    <x v="40"/>
    <x v="15"/>
    <n v="20784"/>
    <n v="17265"/>
  </r>
  <r>
    <s v="ORD03930"/>
    <d v="2025-09-23T00:00:00"/>
    <x v="3"/>
    <x v="25"/>
    <x v="6"/>
    <s v="USA"/>
    <x v="41"/>
    <x v="14"/>
    <n v="31504"/>
    <n v="30113"/>
  </r>
  <r>
    <s v="ORD03931"/>
    <d v="2025-05-17T00:00:00"/>
    <x v="8"/>
    <x v="17"/>
    <x v="1"/>
    <s v="China"/>
    <x v="19"/>
    <x v="19"/>
    <n v="30780"/>
    <n v="38631"/>
  </r>
  <r>
    <s v="ORD03932"/>
    <d v="2025-11-10T00:00:00"/>
    <x v="2"/>
    <x v="44"/>
    <x v="5"/>
    <s v="UAE"/>
    <x v="21"/>
    <x v="20"/>
    <n v="16187"/>
    <n v="16363"/>
  </r>
  <r>
    <s v="ORD03933"/>
    <d v="2025-08-20T00:00:00"/>
    <x v="11"/>
    <x v="46"/>
    <x v="6"/>
    <s v="Mexico"/>
    <x v="21"/>
    <x v="3"/>
    <n v="15599"/>
    <n v="18674"/>
  </r>
  <r>
    <s v="ORD03934"/>
    <d v="2025-11-01T00:00:00"/>
    <x v="2"/>
    <x v="2"/>
    <x v="6"/>
    <s v="UK"/>
    <x v="41"/>
    <x v="18"/>
    <n v="23042"/>
    <n v="21966"/>
  </r>
  <r>
    <s v="ORD03935"/>
    <d v="2025-06-04T00:00:00"/>
    <x v="5"/>
    <x v="41"/>
    <x v="3"/>
    <s v="USA"/>
    <x v="3"/>
    <x v="6"/>
    <n v="39162"/>
    <n v="44626"/>
  </r>
  <r>
    <s v="ORD03936"/>
    <d v="2025-08-19T00:00:00"/>
    <x v="11"/>
    <x v="46"/>
    <x v="1"/>
    <s v="Thailand"/>
    <x v="29"/>
    <x v="29"/>
    <n v="22687"/>
    <n v="22258"/>
  </r>
  <r>
    <s v="ORD03937"/>
    <d v="2025-08-01T00:00:00"/>
    <x v="11"/>
    <x v="12"/>
    <x v="3"/>
    <s v="Japan"/>
    <x v="4"/>
    <x v="25"/>
    <n v="27702"/>
    <n v="19663"/>
  </r>
  <r>
    <s v="ORD03938"/>
    <d v="2025-11-07T00:00:00"/>
    <x v="2"/>
    <x v="51"/>
    <x v="0"/>
    <s v="Germany"/>
    <x v="43"/>
    <x v="10"/>
    <n v="28855"/>
    <n v="21903"/>
  </r>
  <r>
    <s v="ORD03939"/>
    <d v="2025-07-20T00:00:00"/>
    <x v="0"/>
    <x v="14"/>
    <x v="2"/>
    <s v="India"/>
    <x v="1"/>
    <x v="24"/>
    <n v="38463"/>
    <n v="45486"/>
  </r>
  <r>
    <s v="ORD03940"/>
    <d v="2025-04-08T00:00:00"/>
    <x v="7"/>
    <x v="16"/>
    <x v="6"/>
    <s v="Malaysia"/>
    <x v="34"/>
    <x v="4"/>
    <n v="38602"/>
    <n v="32204"/>
  </r>
  <r>
    <s v="ORD03941"/>
    <d v="2025-06-21T00:00:00"/>
    <x v="5"/>
    <x v="13"/>
    <x v="4"/>
    <s v="Australia"/>
    <x v="39"/>
    <x v="0"/>
    <n v="27033"/>
    <n v="27168"/>
  </r>
  <r>
    <s v="ORD03942"/>
    <d v="2025-02-26T00:00:00"/>
    <x v="6"/>
    <x v="22"/>
    <x v="3"/>
    <s v="USA"/>
    <x v="39"/>
    <x v="10"/>
    <n v="28873"/>
    <n v="22406"/>
  </r>
  <r>
    <s v="ORD03943"/>
    <d v="2025-01-25T00:00:00"/>
    <x v="1"/>
    <x v="7"/>
    <x v="6"/>
    <s v="UK"/>
    <x v="24"/>
    <x v="6"/>
    <n v="35142"/>
    <n v="33419"/>
  </r>
  <r>
    <s v="ORD03944"/>
    <d v="2025-07-15T00:00:00"/>
    <x v="0"/>
    <x v="14"/>
    <x v="1"/>
    <s v="Turkey"/>
    <x v="31"/>
    <x v="4"/>
    <n v="24232"/>
    <n v="30514"/>
  </r>
  <r>
    <s v="ORD03945"/>
    <d v="2025-05-30T00:00:00"/>
    <x v="8"/>
    <x v="24"/>
    <x v="5"/>
    <s v="France"/>
    <x v="32"/>
    <x v="8"/>
    <n v="36540"/>
    <n v="28348"/>
  </r>
  <r>
    <s v="ORD03946"/>
    <d v="2025-12-15T00:00:00"/>
    <x v="10"/>
    <x v="21"/>
    <x v="6"/>
    <s v="Russia"/>
    <x v="37"/>
    <x v="22"/>
    <n v="25832"/>
    <n v="30129"/>
  </r>
  <r>
    <s v="ORD03947"/>
    <d v="2025-12-09T00:00:00"/>
    <x v="10"/>
    <x v="32"/>
    <x v="4"/>
    <s v="Japan"/>
    <x v="36"/>
    <x v="16"/>
    <n v="15693"/>
    <n v="17668"/>
  </r>
  <r>
    <s v="ORD03948"/>
    <d v="2025-05-21T00:00:00"/>
    <x v="8"/>
    <x v="26"/>
    <x v="1"/>
    <s v="UAE"/>
    <x v="36"/>
    <x v="1"/>
    <n v="39607"/>
    <n v="45210"/>
  </r>
  <r>
    <s v="ORD03949"/>
    <d v="2025-05-30T00:00:00"/>
    <x v="8"/>
    <x v="24"/>
    <x v="5"/>
    <s v="Germany"/>
    <x v="38"/>
    <x v="8"/>
    <n v="25073"/>
    <n v="19555"/>
  </r>
  <r>
    <s v="ORD03950"/>
    <d v="2025-01-24T00:00:00"/>
    <x v="1"/>
    <x v="7"/>
    <x v="1"/>
    <s v="Brazil"/>
    <x v="7"/>
    <x v="25"/>
    <n v="37400"/>
    <n v="28019"/>
  </r>
  <r>
    <s v="ORD03951"/>
    <d v="2025-07-18T00:00:00"/>
    <x v="0"/>
    <x v="14"/>
    <x v="2"/>
    <s v="Turkey"/>
    <x v="26"/>
    <x v="1"/>
    <n v="38004"/>
    <n v="32342"/>
  </r>
  <r>
    <s v="ORD03952"/>
    <d v="2025-04-26T00:00:00"/>
    <x v="7"/>
    <x v="38"/>
    <x v="0"/>
    <s v="Singapore"/>
    <x v="10"/>
    <x v="29"/>
    <n v="34897"/>
    <n v="45065"/>
  </r>
  <r>
    <s v="ORD03953"/>
    <d v="2025-11-20T00:00:00"/>
    <x v="2"/>
    <x v="9"/>
    <x v="1"/>
    <s v="Germany"/>
    <x v="5"/>
    <x v="20"/>
    <n v="25956"/>
    <n v="21557"/>
  </r>
  <r>
    <s v="ORD03954"/>
    <d v="2025-11-17T00:00:00"/>
    <x v="2"/>
    <x v="9"/>
    <x v="3"/>
    <s v="Thailand"/>
    <x v="48"/>
    <x v="7"/>
    <n v="20187"/>
    <n v="19278"/>
  </r>
  <r>
    <s v="ORD03955"/>
    <d v="2025-03-27T00:00:00"/>
    <x v="9"/>
    <x v="33"/>
    <x v="3"/>
    <s v="Mexico"/>
    <x v="29"/>
    <x v="23"/>
    <n v="37775"/>
    <n v="31840"/>
  </r>
  <r>
    <s v="ORD03956"/>
    <d v="2025-04-28T00:00:00"/>
    <x v="7"/>
    <x v="27"/>
    <x v="4"/>
    <s v="India"/>
    <x v="33"/>
    <x v="27"/>
    <n v="21950"/>
    <n v="22568"/>
  </r>
  <r>
    <s v="ORD03957"/>
    <d v="2025-12-26T00:00:00"/>
    <x v="10"/>
    <x v="42"/>
    <x v="6"/>
    <s v="UAE"/>
    <x v="15"/>
    <x v="19"/>
    <n v="20045"/>
    <n v="20228"/>
  </r>
  <r>
    <s v="ORD03958"/>
    <d v="2025-08-26T00:00:00"/>
    <x v="11"/>
    <x v="28"/>
    <x v="1"/>
    <s v="Singapore"/>
    <x v="47"/>
    <x v="7"/>
    <n v="39556"/>
    <n v="39069"/>
  </r>
  <r>
    <s v="ORD03959"/>
    <d v="2025-01-13T00:00:00"/>
    <x v="1"/>
    <x v="1"/>
    <x v="4"/>
    <s v="Mexico"/>
    <x v="19"/>
    <x v="10"/>
    <n v="27321"/>
    <n v="34686"/>
  </r>
  <r>
    <s v="ORD03960"/>
    <d v="2025-03-08T00:00:00"/>
    <x v="9"/>
    <x v="35"/>
    <x v="3"/>
    <s v="Japan"/>
    <x v="45"/>
    <x v="7"/>
    <n v="32836"/>
    <n v="40342"/>
  </r>
  <r>
    <s v="ORD03961"/>
    <d v="2025-08-09T00:00:00"/>
    <x v="11"/>
    <x v="23"/>
    <x v="3"/>
    <s v="Italy"/>
    <x v="24"/>
    <x v="21"/>
    <n v="26150"/>
    <n v="33328"/>
  </r>
  <r>
    <s v="ORD03962"/>
    <d v="2025-10-17T00:00:00"/>
    <x v="4"/>
    <x v="10"/>
    <x v="0"/>
    <s v="Brazil"/>
    <x v="35"/>
    <x v="5"/>
    <n v="37265"/>
    <n v="27214"/>
  </r>
  <r>
    <s v="ORD03963"/>
    <d v="2025-10-15T00:00:00"/>
    <x v="4"/>
    <x v="10"/>
    <x v="1"/>
    <s v="Malaysia"/>
    <x v="45"/>
    <x v="28"/>
    <n v="29412"/>
    <n v="33604"/>
  </r>
  <r>
    <s v="ORD03964"/>
    <d v="2025-03-15T00:00:00"/>
    <x v="9"/>
    <x v="19"/>
    <x v="5"/>
    <s v="Germany"/>
    <x v="40"/>
    <x v="20"/>
    <n v="20975"/>
    <n v="15801"/>
  </r>
  <r>
    <s v="ORD03965"/>
    <d v="2025-08-16T00:00:00"/>
    <x v="11"/>
    <x v="30"/>
    <x v="3"/>
    <s v="Australia"/>
    <x v="10"/>
    <x v="24"/>
    <n v="22792"/>
    <n v="16205"/>
  </r>
  <r>
    <s v="ORD03966"/>
    <d v="2025-10-16T00:00:00"/>
    <x v="4"/>
    <x v="10"/>
    <x v="4"/>
    <s v="UK"/>
    <x v="49"/>
    <x v="14"/>
    <n v="31317"/>
    <n v="37385"/>
  </r>
  <r>
    <s v="ORD03967"/>
    <d v="2025-11-17T00:00:00"/>
    <x v="2"/>
    <x v="9"/>
    <x v="3"/>
    <s v="USA"/>
    <x v="33"/>
    <x v="2"/>
    <n v="35432"/>
    <n v="30979"/>
  </r>
  <r>
    <s v="ORD03968"/>
    <d v="2025-01-03T00:00:00"/>
    <x v="1"/>
    <x v="5"/>
    <x v="6"/>
    <s v="Japan"/>
    <x v="30"/>
    <x v="5"/>
    <n v="26869"/>
    <n v="32195"/>
  </r>
  <r>
    <s v="ORD03969"/>
    <d v="2025-08-23T00:00:00"/>
    <x v="11"/>
    <x v="46"/>
    <x v="4"/>
    <s v="Japan"/>
    <x v="35"/>
    <x v="0"/>
    <n v="15431"/>
    <n v="19191"/>
  </r>
  <r>
    <s v="ORD03970"/>
    <d v="2025-07-18T00:00:00"/>
    <x v="0"/>
    <x v="14"/>
    <x v="3"/>
    <s v="Japan"/>
    <x v="15"/>
    <x v="11"/>
    <n v="28461"/>
    <n v="32029"/>
  </r>
  <r>
    <s v="ORD03971"/>
    <d v="2025-07-03T00:00:00"/>
    <x v="0"/>
    <x v="37"/>
    <x v="3"/>
    <s v="UAE"/>
    <x v="22"/>
    <x v="7"/>
    <n v="38041"/>
    <n v="36752"/>
  </r>
  <r>
    <s v="ORD03972"/>
    <d v="2025-06-16T00:00:00"/>
    <x v="5"/>
    <x v="13"/>
    <x v="5"/>
    <s v="Thailand"/>
    <x v="30"/>
    <x v="7"/>
    <n v="29129"/>
    <n v="26856"/>
  </r>
  <r>
    <s v="ORD03973"/>
    <d v="2025-09-25T00:00:00"/>
    <x v="3"/>
    <x v="25"/>
    <x v="2"/>
    <s v="Spain"/>
    <x v="45"/>
    <x v="9"/>
    <n v="39115"/>
    <n v="39415"/>
  </r>
  <r>
    <s v="ORD03974"/>
    <d v="2025-04-25T00:00:00"/>
    <x v="7"/>
    <x v="38"/>
    <x v="5"/>
    <s v="Spain"/>
    <x v="7"/>
    <x v="4"/>
    <n v="37059"/>
    <n v="30261"/>
  </r>
  <r>
    <s v="ORD03975"/>
    <d v="2025-06-25T00:00:00"/>
    <x v="5"/>
    <x v="36"/>
    <x v="6"/>
    <s v="Russia"/>
    <x v="30"/>
    <x v="15"/>
    <n v="17232"/>
    <n v="19933"/>
  </r>
  <r>
    <s v="ORD03976"/>
    <d v="2025-03-13T00:00:00"/>
    <x v="9"/>
    <x v="19"/>
    <x v="2"/>
    <s v="Mexico"/>
    <x v="35"/>
    <x v="20"/>
    <n v="23063"/>
    <n v="16719"/>
  </r>
  <r>
    <s v="ORD03977"/>
    <d v="2025-01-17T00:00:00"/>
    <x v="1"/>
    <x v="1"/>
    <x v="4"/>
    <s v="Australia"/>
    <x v="22"/>
    <x v="24"/>
    <n v="16037"/>
    <n v="13775"/>
  </r>
  <r>
    <s v="ORD03978"/>
    <d v="2025-06-12T00:00:00"/>
    <x v="5"/>
    <x v="40"/>
    <x v="1"/>
    <s v="UAE"/>
    <x v="10"/>
    <x v="28"/>
    <n v="39543"/>
    <n v="48485"/>
  </r>
  <r>
    <s v="ORD03979"/>
    <d v="2025-01-31T00:00:00"/>
    <x v="1"/>
    <x v="3"/>
    <x v="5"/>
    <s v="USA"/>
    <x v="22"/>
    <x v="27"/>
    <n v="31277"/>
    <n v="39800"/>
  </r>
  <r>
    <s v="ORD03980"/>
    <d v="2025-06-02T00:00:00"/>
    <x v="5"/>
    <x v="41"/>
    <x v="6"/>
    <s v="UAE"/>
    <x v="33"/>
    <x v="17"/>
    <n v="18692"/>
    <n v="20585"/>
  </r>
  <r>
    <s v="ORD03981"/>
    <d v="2025-07-25T00:00:00"/>
    <x v="0"/>
    <x v="0"/>
    <x v="2"/>
    <s v="UAE"/>
    <x v="44"/>
    <x v="16"/>
    <n v="25365"/>
    <n v="25095"/>
  </r>
  <r>
    <s v="ORD03982"/>
    <d v="2025-01-31T00:00:00"/>
    <x v="1"/>
    <x v="3"/>
    <x v="4"/>
    <s v="UK"/>
    <x v="17"/>
    <x v="25"/>
    <n v="26597"/>
    <n v="23828"/>
  </r>
  <r>
    <s v="ORD03983"/>
    <d v="2025-04-16T00:00:00"/>
    <x v="7"/>
    <x v="20"/>
    <x v="3"/>
    <s v="Thailand"/>
    <x v="34"/>
    <x v="2"/>
    <n v="38014"/>
    <n v="30595"/>
  </r>
  <r>
    <s v="ORD03984"/>
    <d v="2025-10-14T00:00:00"/>
    <x v="4"/>
    <x v="10"/>
    <x v="0"/>
    <s v="UAE"/>
    <x v="48"/>
    <x v="19"/>
    <n v="35968"/>
    <n v="29558"/>
  </r>
  <r>
    <s v="ORD03985"/>
    <d v="2025-03-28T00:00:00"/>
    <x v="9"/>
    <x v="33"/>
    <x v="5"/>
    <s v="Germany"/>
    <x v="35"/>
    <x v="1"/>
    <n v="16360"/>
    <n v="16991"/>
  </r>
  <r>
    <s v="ORD03986"/>
    <d v="2025-11-17T00:00:00"/>
    <x v="2"/>
    <x v="9"/>
    <x v="5"/>
    <s v="China"/>
    <x v="31"/>
    <x v="15"/>
    <n v="36907"/>
    <n v="42733"/>
  </r>
  <r>
    <s v="ORD03987"/>
    <d v="2025-09-17T00:00:00"/>
    <x v="3"/>
    <x v="8"/>
    <x v="5"/>
    <s v="Australia"/>
    <x v="34"/>
    <x v="28"/>
    <n v="39857"/>
    <n v="41665"/>
  </r>
  <r>
    <s v="ORD03988"/>
    <d v="2025-10-09T00:00:00"/>
    <x v="4"/>
    <x v="45"/>
    <x v="4"/>
    <s v="USA"/>
    <x v="30"/>
    <x v="27"/>
    <n v="32146"/>
    <n v="38838"/>
  </r>
  <r>
    <s v="ORD03989"/>
    <d v="2025-03-27T00:00:00"/>
    <x v="9"/>
    <x v="33"/>
    <x v="4"/>
    <s v="South Africa"/>
    <x v="4"/>
    <x v="17"/>
    <n v="27770"/>
    <n v="31381"/>
  </r>
  <r>
    <s v="ORD03990"/>
    <d v="2025-05-06T00:00:00"/>
    <x v="8"/>
    <x v="18"/>
    <x v="1"/>
    <s v="USA"/>
    <x v="19"/>
    <x v="17"/>
    <n v="31991"/>
    <n v="28457"/>
  </r>
  <r>
    <s v="ORD03991"/>
    <d v="2025-11-18T00:00:00"/>
    <x v="2"/>
    <x v="9"/>
    <x v="4"/>
    <s v="South Africa"/>
    <x v="28"/>
    <x v="29"/>
    <n v="35484"/>
    <n v="30342"/>
  </r>
  <r>
    <s v="ORD03992"/>
    <d v="2025-01-21T00:00:00"/>
    <x v="1"/>
    <x v="7"/>
    <x v="0"/>
    <s v="Malaysia"/>
    <x v="40"/>
    <x v="4"/>
    <n v="38320"/>
    <n v="28008"/>
  </r>
  <r>
    <s v="ORD03993"/>
    <d v="2025-08-27T00:00:00"/>
    <x v="11"/>
    <x v="28"/>
    <x v="0"/>
    <s v="India"/>
    <x v="22"/>
    <x v="22"/>
    <n v="36151"/>
    <n v="46027"/>
  </r>
  <r>
    <s v="ORD03994"/>
    <d v="2025-09-11T00:00:00"/>
    <x v="3"/>
    <x v="31"/>
    <x v="0"/>
    <s v="Thailand"/>
    <x v="21"/>
    <x v="18"/>
    <n v="25005"/>
    <n v="27583"/>
  </r>
  <r>
    <s v="ORD03995"/>
    <d v="2025-12-19T00:00:00"/>
    <x v="10"/>
    <x v="21"/>
    <x v="3"/>
    <s v="UK"/>
    <x v="23"/>
    <x v="19"/>
    <n v="17659"/>
    <n v="22322"/>
  </r>
  <r>
    <s v="ORD03996"/>
    <d v="2025-09-17T00:00:00"/>
    <x v="3"/>
    <x v="8"/>
    <x v="2"/>
    <s v="Italy"/>
    <x v="6"/>
    <x v="1"/>
    <n v="38808"/>
    <n v="43099"/>
  </r>
  <r>
    <s v="ORD03997"/>
    <d v="2025-06-21T00:00:00"/>
    <x v="5"/>
    <x v="13"/>
    <x v="3"/>
    <s v="South Africa"/>
    <x v="12"/>
    <x v="21"/>
    <n v="25398"/>
    <n v="31971"/>
  </r>
  <r>
    <s v="ORD03998"/>
    <d v="2025-07-17T00:00:00"/>
    <x v="0"/>
    <x v="14"/>
    <x v="6"/>
    <s v="China"/>
    <x v="18"/>
    <x v="10"/>
    <n v="19145"/>
    <n v="24148"/>
  </r>
  <r>
    <s v="ORD03999"/>
    <d v="2025-08-30T00:00:00"/>
    <x v="11"/>
    <x v="28"/>
    <x v="3"/>
    <s v="Australia"/>
    <x v="9"/>
    <x v="19"/>
    <n v="30729"/>
    <n v="36358"/>
  </r>
  <r>
    <s v="ORD04000"/>
    <d v="2025-08-31T00:00:00"/>
    <x v="11"/>
    <x v="28"/>
    <x v="5"/>
    <s v="Canada"/>
    <x v="28"/>
    <x v="27"/>
    <n v="32750"/>
    <n v="25550"/>
  </r>
  <r>
    <s v="ORD04001"/>
    <d v="2025-08-27T00:00:00"/>
    <x v="11"/>
    <x v="28"/>
    <x v="3"/>
    <s v="Canada"/>
    <x v="14"/>
    <x v="10"/>
    <n v="34165"/>
    <n v="24825"/>
  </r>
  <r>
    <s v="ORD04002"/>
    <d v="2025-12-20T00:00:00"/>
    <x v="10"/>
    <x v="21"/>
    <x v="4"/>
    <s v="Spain"/>
    <x v="12"/>
    <x v="0"/>
    <n v="34732"/>
    <n v="29034"/>
  </r>
  <r>
    <s v="ORD04003"/>
    <d v="2025-06-23T00:00:00"/>
    <x v="5"/>
    <x v="36"/>
    <x v="4"/>
    <s v="UK"/>
    <x v="25"/>
    <x v="25"/>
    <n v="39902"/>
    <n v="44044"/>
  </r>
  <r>
    <s v="ORD04004"/>
    <d v="2025-10-30T00:00:00"/>
    <x v="4"/>
    <x v="2"/>
    <x v="5"/>
    <s v="Spain"/>
    <x v="36"/>
    <x v="27"/>
    <n v="29420"/>
    <n v="29250"/>
  </r>
  <r>
    <s v="ORD04005"/>
    <d v="2025-09-19T00:00:00"/>
    <x v="3"/>
    <x v="8"/>
    <x v="4"/>
    <s v="India"/>
    <x v="36"/>
    <x v="6"/>
    <n v="38877"/>
    <n v="29671"/>
  </r>
  <r>
    <s v="ORD04006"/>
    <d v="2025-06-07T00:00:00"/>
    <x v="5"/>
    <x v="41"/>
    <x v="1"/>
    <s v="Thailand"/>
    <x v="35"/>
    <x v="13"/>
    <n v="19246"/>
    <n v="17215"/>
  </r>
  <r>
    <s v="ORD04007"/>
    <d v="2025-02-21T00:00:00"/>
    <x v="6"/>
    <x v="15"/>
    <x v="3"/>
    <s v="Australia"/>
    <x v="30"/>
    <x v="13"/>
    <n v="27372"/>
    <n v="19754"/>
  </r>
  <r>
    <s v="ORD04008"/>
    <d v="2025-06-14T00:00:00"/>
    <x v="5"/>
    <x v="40"/>
    <x v="5"/>
    <s v="Thailand"/>
    <x v="45"/>
    <x v="14"/>
    <n v="27193"/>
    <n v="31884"/>
  </r>
  <r>
    <s v="ORD04009"/>
    <d v="2025-03-01T00:00:00"/>
    <x v="9"/>
    <x v="22"/>
    <x v="6"/>
    <s v="UK"/>
    <x v="32"/>
    <x v="2"/>
    <n v="15137"/>
    <n v="13212"/>
  </r>
  <r>
    <s v="ORD04010"/>
    <d v="2025-04-26T00:00:00"/>
    <x v="7"/>
    <x v="38"/>
    <x v="2"/>
    <s v="USA"/>
    <x v="35"/>
    <x v="21"/>
    <n v="17434"/>
    <n v="19146"/>
  </r>
  <r>
    <s v="ORD04011"/>
    <d v="2025-04-27T00:00:00"/>
    <x v="7"/>
    <x v="38"/>
    <x v="3"/>
    <s v="Australia"/>
    <x v="13"/>
    <x v="15"/>
    <n v="17479"/>
    <n v="19306"/>
  </r>
  <r>
    <s v="ORD04012"/>
    <d v="2025-11-19T00:00:00"/>
    <x v="2"/>
    <x v="9"/>
    <x v="5"/>
    <s v="USA"/>
    <x v="10"/>
    <x v="22"/>
    <n v="23929"/>
    <n v="30100"/>
  </r>
  <r>
    <s v="ORD04013"/>
    <d v="2025-11-17T00:00:00"/>
    <x v="2"/>
    <x v="9"/>
    <x v="6"/>
    <s v="UAE"/>
    <x v="33"/>
    <x v="3"/>
    <n v="38175"/>
    <n v="38279"/>
  </r>
  <r>
    <s v="ORD04014"/>
    <d v="2025-11-15T00:00:00"/>
    <x v="2"/>
    <x v="44"/>
    <x v="6"/>
    <s v="UK"/>
    <x v="24"/>
    <x v="4"/>
    <n v="22038"/>
    <n v="23999"/>
  </r>
  <r>
    <s v="ORD04015"/>
    <d v="2025-04-04T00:00:00"/>
    <x v="7"/>
    <x v="34"/>
    <x v="6"/>
    <s v="UAE"/>
    <x v="17"/>
    <x v="25"/>
    <n v="20562"/>
    <n v="18058"/>
  </r>
  <r>
    <s v="ORD04016"/>
    <d v="2025-03-10T00:00:00"/>
    <x v="9"/>
    <x v="19"/>
    <x v="4"/>
    <s v="UAE"/>
    <x v="23"/>
    <x v="2"/>
    <n v="16365"/>
    <n v="12036"/>
  </r>
  <r>
    <s v="ORD04017"/>
    <d v="2025-11-23T00:00:00"/>
    <x v="2"/>
    <x v="9"/>
    <x v="1"/>
    <s v="Germany"/>
    <x v="33"/>
    <x v="26"/>
    <n v="33939"/>
    <n v="40809"/>
  </r>
  <r>
    <s v="ORD04018"/>
    <d v="2025-06-29T00:00:00"/>
    <x v="5"/>
    <x v="36"/>
    <x v="0"/>
    <s v="Singapore"/>
    <x v="44"/>
    <x v="21"/>
    <n v="25688"/>
    <n v="27311"/>
  </r>
  <r>
    <s v="ORD04019"/>
    <d v="2025-06-25T00:00:00"/>
    <x v="5"/>
    <x v="36"/>
    <x v="4"/>
    <s v="Germany"/>
    <x v="26"/>
    <x v="29"/>
    <n v="34806"/>
    <n v="33610"/>
  </r>
  <r>
    <s v="ORD04020"/>
    <d v="2025-10-16T00:00:00"/>
    <x v="4"/>
    <x v="10"/>
    <x v="3"/>
    <s v="China"/>
    <x v="46"/>
    <x v="12"/>
    <n v="31836"/>
    <n v="36674"/>
  </r>
  <r>
    <s v="ORD04021"/>
    <d v="2025-07-18T00:00:00"/>
    <x v="0"/>
    <x v="14"/>
    <x v="4"/>
    <s v="Brazil"/>
    <x v="39"/>
    <x v="0"/>
    <n v="29893"/>
    <n v="25609"/>
  </r>
  <r>
    <s v="ORD04022"/>
    <d v="2025-11-18T00:00:00"/>
    <x v="2"/>
    <x v="9"/>
    <x v="6"/>
    <s v="India"/>
    <x v="17"/>
    <x v="27"/>
    <n v="29046"/>
    <n v="22038"/>
  </r>
  <r>
    <s v="ORD04023"/>
    <d v="2025-09-01T00:00:00"/>
    <x v="3"/>
    <x v="4"/>
    <x v="1"/>
    <s v="USA"/>
    <x v="8"/>
    <x v="2"/>
    <n v="26709"/>
    <n v="27268"/>
  </r>
  <r>
    <s v="ORD04024"/>
    <d v="2025-07-31T00:00:00"/>
    <x v="0"/>
    <x v="12"/>
    <x v="3"/>
    <s v="France"/>
    <x v="18"/>
    <x v="25"/>
    <n v="33497"/>
    <n v="26142"/>
  </r>
  <r>
    <s v="ORD04025"/>
    <d v="2025-05-19T00:00:00"/>
    <x v="8"/>
    <x v="26"/>
    <x v="5"/>
    <s v="Australia"/>
    <x v="25"/>
    <x v="5"/>
    <n v="35408"/>
    <n v="40240"/>
  </r>
  <r>
    <s v="ORD04026"/>
    <d v="2025-12-31T00:00:00"/>
    <x v="10"/>
    <x v="5"/>
    <x v="5"/>
    <s v="Singapore"/>
    <x v="31"/>
    <x v="7"/>
    <n v="36369"/>
    <n v="25466"/>
  </r>
  <r>
    <s v="ORD04027"/>
    <d v="2025-01-13T00:00:00"/>
    <x v="1"/>
    <x v="1"/>
    <x v="3"/>
    <s v="USA"/>
    <x v="22"/>
    <x v="4"/>
    <n v="31521"/>
    <n v="39471"/>
  </r>
  <r>
    <s v="ORD04028"/>
    <d v="2025-07-27T00:00:00"/>
    <x v="0"/>
    <x v="0"/>
    <x v="3"/>
    <s v="UK"/>
    <x v="19"/>
    <x v="9"/>
    <n v="32705"/>
    <n v="40335"/>
  </r>
  <r>
    <s v="ORD04029"/>
    <d v="2025-10-28T00:00:00"/>
    <x v="4"/>
    <x v="2"/>
    <x v="4"/>
    <s v="Brazil"/>
    <x v="30"/>
    <x v="23"/>
    <n v="24026"/>
    <n v="28921"/>
  </r>
  <r>
    <s v="ORD04030"/>
    <d v="2025-06-18T00:00:00"/>
    <x v="5"/>
    <x v="13"/>
    <x v="5"/>
    <s v="Singapore"/>
    <x v="14"/>
    <x v="23"/>
    <n v="33753"/>
    <n v="27106"/>
  </r>
  <r>
    <s v="ORD04031"/>
    <d v="2025-10-28T00:00:00"/>
    <x v="4"/>
    <x v="2"/>
    <x v="3"/>
    <s v="Spain"/>
    <x v="17"/>
    <x v="19"/>
    <n v="36155"/>
    <n v="44231"/>
  </r>
  <r>
    <s v="ORD04032"/>
    <d v="2025-06-20T00:00:00"/>
    <x v="5"/>
    <x v="13"/>
    <x v="0"/>
    <s v="Brazil"/>
    <x v="46"/>
    <x v="5"/>
    <n v="21097"/>
    <n v="22695"/>
  </r>
  <r>
    <s v="ORD04033"/>
    <d v="2025-10-06T00:00:00"/>
    <x v="4"/>
    <x v="45"/>
    <x v="6"/>
    <s v="Japan"/>
    <x v="32"/>
    <x v="29"/>
    <n v="22833"/>
    <n v="26465"/>
  </r>
  <r>
    <s v="ORD04034"/>
    <d v="2025-06-17T00:00:00"/>
    <x v="5"/>
    <x v="13"/>
    <x v="5"/>
    <s v="Mexico"/>
    <x v="44"/>
    <x v="23"/>
    <n v="20896"/>
    <n v="21048"/>
  </r>
  <r>
    <s v="ORD04035"/>
    <d v="2025-03-26T00:00:00"/>
    <x v="9"/>
    <x v="33"/>
    <x v="4"/>
    <s v="Germany"/>
    <x v="4"/>
    <x v="21"/>
    <n v="24507"/>
    <n v="25463"/>
  </r>
  <r>
    <s v="ORD04036"/>
    <d v="2025-07-12T00:00:00"/>
    <x v="0"/>
    <x v="47"/>
    <x v="3"/>
    <s v="Singapore"/>
    <x v="32"/>
    <x v="26"/>
    <n v="16173"/>
    <n v="16133"/>
  </r>
  <r>
    <s v="ORD04037"/>
    <d v="2025-12-27T00:00:00"/>
    <x v="10"/>
    <x v="42"/>
    <x v="3"/>
    <s v="USA"/>
    <x v="31"/>
    <x v="9"/>
    <n v="22578"/>
    <n v="16066"/>
  </r>
  <r>
    <s v="ORD04038"/>
    <d v="2025-01-05T00:00:00"/>
    <x v="1"/>
    <x v="5"/>
    <x v="6"/>
    <s v="Canada"/>
    <x v="9"/>
    <x v="4"/>
    <n v="34474"/>
    <n v="27262"/>
  </r>
  <r>
    <s v="ORD04039"/>
    <d v="2025-11-28T00:00:00"/>
    <x v="2"/>
    <x v="11"/>
    <x v="4"/>
    <s v="Spain"/>
    <x v="22"/>
    <x v="22"/>
    <n v="32000"/>
    <n v="33487"/>
  </r>
  <r>
    <s v="ORD04040"/>
    <d v="2025-07-20T00:00:00"/>
    <x v="0"/>
    <x v="14"/>
    <x v="2"/>
    <s v="China"/>
    <x v="29"/>
    <x v="27"/>
    <n v="39436"/>
    <n v="49587"/>
  </r>
  <r>
    <s v="ORD04041"/>
    <d v="2025-03-08T00:00:00"/>
    <x v="9"/>
    <x v="35"/>
    <x v="0"/>
    <s v="UK"/>
    <x v="47"/>
    <x v="8"/>
    <n v="36768"/>
    <n v="29681"/>
  </r>
  <r>
    <s v="ORD04042"/>
    <d v="2025-04-05T00:00:00"/>
    <x v="7"/>
    <x v="34"/>
    <x v="0"/>
    <s v="China"/>
    <x v="4"/>
    <x v="20"/>
    <n v="18920"/>
    <n v="22261"/>
  </r>
  <r>
    <s v="ORD04043"/>
    <d v="2025-01-24T00:00:00"/>
    <x v="1"/>
    <x v="7"/>
    <x v="4"/>
    <s v="France"/>
    <x v="10"/>
    <x v="28"/>
    <n v="32684"/>
    <n v="26303"/>
  </r>
  <r>
    <s v="ORD04044"/>
    <d v="2025-02-11T00:00:00"/>
    <x v="6"/>
    <x v="29"/>
    <x v="5"/>
    <s v="South Africa"/>
    <x v="28"/>
    <x v="22"/>
    <n v="33856"/>
    <n v="41086"/>
  </r>
  <r>
    <s v="ORD04045"/>
    <d v="2025-09-11T00:00:00"/>
    <x v="3"/>
    <x v="31"/>
    <x v="6"/>
    <s v="France"/>
    <x v="8"/>
    <x v="5"/>
    <n v="23035"/>
    <n v="17596"/>
  </r>
  <r>
    <s v="ORD04046"/>
    <d v="2025-04-12T00:00:00"/>
    <x v="7"/>
    <x v="16"/>
    <x v="2"/>
    <s v="Germany"/>
    <x v="39"/>
    <x v="4"/>
    <n v="33880"/>
    <n v="39124"/>
  </r>
  <r>
    <s v="ORD04047"/>
    <d v="2025-12-06T00:00:00"/>
    <x v="10"/>
    <x v="43"/>
    <x v="6"/>
    <s v="Mexico"/>
    <x v="0"/>
    <x v="23"/>
    <n v="23659"/>
    <n v="29811"/>
  </r>
  <r>
    <s v="ORD04048"/>
    <d v="2025-10-16T00:00:00"/>
    <x v="4"/>
    <x v="10"/>
    <x v="3"/>
    <s v="France"/>
    <x v="44"/>
    <x v="26"/>
    <n v="28284"/>
    <n v="31319"/>
  </r>
  <r>
    <s v="ORD04049"/>
    <d v="2025-10-06T00:00:00"/>
    <x v="4"/>
    <x v="45"/>
    <x v="2"/>
    <s v="Italy"/>
    <x v="13"/>
    <x v="22"/>
    <n v="20921"/>
    <n v="18805"/>
  </r>
  <r>
    <s v="ORD04050"/>
    <d v="2025-11-30T00:00:00"/>
    <x v="2"/>
    <x v="11"/>
    <x v="5"/>
    <s v="USA"/>
    <x v="43"/>
    <x v="29"/>
    <n v="32327"/>
    <n v="40863"/>
  </r>
  <r>
    <s v="ORD04051"/>
    <d v="2025-11-04T00:00:00"/>
    <x v="2"/>
    <x v="51"/>
    <x v="0"/>
    <s v="Singapore"/>
    <x v="9"/>
    <x v="4"/>
    <n v="36392"/>
    <n v="44491"/>
  </r>
  <r>
    <s v="ORD04052"/>
    <d v="2025-08-29T00:00:00"/>
    <x v="11"/>
    <x v="28"/>
    <x v="2"/>
    <s v="Thailand"/>
    <x v="14"/>
    <x v="26"/>
    <n v="36180"/>
    <n v="32154"/>
  </r>
  <r>
    <s v="ORD04053"/>
    <d v="2025-10-01T00:00:00"/>
    <x v="4"/>
    <x v="49"/>
    <x v="4"/>
    <s v="Italy"/>
    <x v="26"/>
    <x v="22"/>
    <n v="15808"/>
    <n v="11891"/>
  </r>
  <r>
    <s v="ORD04054"/>
    <d v="2025-08-16T00:00:00"/>
    <x v="11"/>
    <x v="30"/>
    <x v="0"/>
    <s v="Singapore"/>
    <x v="45"/>
    <x v="25"/>
    <n v="39069"/>
    <n v="33441"/>
  </r>
  <r>
    <s v="ORD04055"/>
    <d v="2025-08-16T00:00:00"/>
    <x v="11"/>
    <x v="30"/>
    <x v="6"/>
    <s v="Thailand"/>
    <x v="0"/>
    <x v="1"/>
    <n v="19953"/>
    <n v="14622"/>
  </r>
  <r>
    <s v="ORD04056"/>
    <d v="2025-01-07T00:00:00"/>
    <x v="1"/>
    <x v="6"/>
    <x v="2"/>
    <s v="France"/>
    <x v="14"/>
    <x v="10"/>
    <n v="16242"/>
    <n v="16065"/>
  </r>
  <r>
    <s v="ORD04057"/>
    <d v="2025-06-29T00:00:00"/>
    <x v="5"/>
    <x v="36"/>
    <x v="2"/>
    <s v="Brazil"/>
    <x v="17"/>
    <x v="2"/>
    <n v="25809"/>
    <n v="32620"/>
  </r>
  <r>
    <s v="ORD04058"/>
    <d v="2025-02-27T00:00:00"/>
    <x v="6"/>
    <x v="22"/>
    <x v="4"/>
    <s v="South Africa"/>
    <x v="25"/>
    <x v="25"/>
    <n v="39721"/>
    <n v="45737"/>
  </r>
  <r>
    <s v="ORD04059"/>
    <d v="2025-03-11T00:00:00"/>
    <x v="9"/>
    <x v="19"/>
    <x v="3"/>
    <s v="Japan"/>
    <x v="24"/>
    <x v="6"/>
    <n v="35037"/>
    <n v="28022"/>
  </r>
  <r>
    <s v="ORD04060"/>
    <d v="2025-01-28T00:00:00"/>
    <x v="1"/>
    <x v="3"/>
    <x v="1"/>
    <s v="Thailand"/>
    <x v="22"/>
    <x v="11"/>
    <n v="34833"/>
    <n v="24649"/>
  </r>
  <r>
    <s v="ORD04061"/>
    <d v="2025-02-22T00:00:00"/>
    <x v="6"/>
    <x v="15"/>
    <x v="3"/>
    <s v="Brazil"/>
    <x v="37"/>
    <x v="29"/>
    <n v="37590"/>
    <n v="38482"/>
  </r>
  <r>
    <s v="ORD04062"/>
    <d v="2025-07-06T00:00:00"/>
    <x v="0"/>
    <x v="37"/>
    <x v="4"/>
    <s v="South Africa"/>
    <x v="42"/>
    <x v="17"/>
    <n v="15536"/>
    <n v="12032"/>
  </r>
  <r>
    <s v="ORD04063"/>
    <d v="2025-10-06T00:00:00"/>
    <x v="4"/>
    <x v="45"/>
    <x v="0"/>
    <s v="Australia"/>
    <x v="39"/>
    <x v="13"/>
    <n v="29366"/>
    <n v="22616"/>
  </r>
  <r>
    <s v="ORD04064"/>
    <d v="2025-04-13T00:00:00"/>
    <x v="7"/>
    <x v="16"/>
    <x v="5"/>
    <s v="Brazil"/>
    <x v="33"/>
    <x v="10"/>
    <n v="19055"/>
    <n v="23100"/>
  </r>
  <r>
    <s v="ORD04065"/>
    <d v="2025-08-01T00:00:00"/>
    <x v="11"/>
    <x v="12"/>
    <x v="0"/>
    <s v="Spain"/>
    <x v="15"/>
    <x v="24"/>
    <n v="22994"/>
    <n v="25767"/>
  </r>
  <r>
    <s v="ORD04066"/>
    <d v="2025-04-01T00:00:00"/>
    <x v="7"/>
    <x v="34"/>
    <x v="6"/>
    <s v="Malaysia"/>
    <x v="35"/>
    <x v="11"/>
    <n v="18972"/>
    <n v="21540"/>
  </r>
  <r>
    <s v="ORD04067"/>
    <d v="2025-11-19T00:00:00"/>
    <x v="2"/>
    <x v="9"/>
    <x v="0"/>
    <s v="Russia"/>
    <x v="23"/>
    <x v="18"/>
    <n v="37946"/>
    <n v="39326"/>
  </r>
  <r>
    <s v="ORD04068"/>
    <d v="2025-12-21T00:00:00"/>
    <x v="10"/>
    <x v="21"/>
    <x v="0"/>
    <s v="India"/>
    <x v="43"/>
    <x v="14"/>
    <n v="26036"/>
    <n v="33163"/>
  </r>
  <r>
    <s v="ORD04069"/>
    <d v="2025-04-15T00:00:00"/>
    <x v="7"/>
    <x v="20"/>
    <x v="3"/>
    <s v="Singapore"/>
    <x v="48"/>
    <x v="28"/>
    <n v="35262"/>
    <n v="45208"/>
  </r>
  <r>
    <s v="ORD04070"/>
    <d v="2025-10-29T00:00:00"/>
    <x v="4"/>
    <x v="2"/>
    <x v="1"/>
    <s v="Canada"/>
    <x v="1"/>
    <x v="15"/>
    <n v="33155"/>
    <n v="36139"/>
  </r>
  <r>
    <s v="ORD04071"/>
    <d v="2025-01-11T00:00:00"/>
    <x v="1"/>
    <x v="6"/>
    <x v="6"/>
    <s v="South Africa"/>
    <x v="25"/>
    <x v="27"/>
    <n v="17230"/>
    <n v="13426"/>
  </r>
  <r>
    <s v="ORD04072"/>
    <d v="2025-06-17T00:00:00"/>
    <x v="5"/>
    <x v="13"/>
    <x v="0"/>
    <s v="UK"/>
    <x v="40"/>
    <x v="0"/>
    <n v="21703"/>
    <n v="26563"/>
  </r>
  <r>
    <s v="ORD04073"/>
    <d v="2025-07-16T00:00:00"/>
    <x v="0"/>
    <x v="14"/>
    <x v="4"/>
    <s v="Thailand"/>
    <x v="1"/>
    <x v="22"/>
    <n v="26320"/>
    <n v="25527"/>
  </r>
  <r>
    <s v="ORD04074"/>
    <d v="2025-08-13T00:00:00"/>
    <x v="11"/>
    <x v="30"/>
    <x v="3"/>
    <s v="UK"/>
    <x v="40"/>
    <x v="17"/>
    <n v="18870"/>
    <n v="20206"/>
  </r>
  <r>
    <s v="ORD04075"/>
    <d v="2025-01-07T00:00:00"/>
    <x v="1"/>
    <x v="6"/>
    <x v="3"/>
    <s v="Thailand"/>
    <x v="38"/>
    <x v="10"/>
    <n v="16707"/>
    <n v="19333"/>
  </r>
  <r>
    <s v="ORD04076"/>
    <d v="2025-07-09T00:00:00"/>
    <x v="0"/>
    <x v="47"/>
    <x v="5"/>
    <s v="Russia"/>
    <x v="18"/>
    <x v="13"/>
    <n v="15515"/>
    <n v="16937"/>
  </r>
  <r>
    <s v="ORD04077"/>
    <d v="2025-07-24T00:00:00"/>
    <x v="0"/>
    <x v="0"/>
    <x v="3"/>
    <s v="China"/>
    <x v="18"/>
    <x v="22"/>
    <n v="17297"/>
    <n v="17887"/>
  </r>
  <r>
    <s v="ORD04078"/>
    <d v="2025-08-07T00:00:00"/>
    <x v="11"/>
    <x v="23"/>
    <x v="0"/>
    <s v="Spain"/>
    <x v="3"/>
    <x v="15"/>
    <n v="22068"/>
    <n v="25438"/>
  </r>
  <r>
    <s v="ORD04079"/>
    <d v="2025-12-17T00:00:00"/>
    <x v="10"/>
    <x v="21"/>
    <x v="4"/>
    <s v="UK"/>
    <x v="13"/>
    <x v="25"/>
    <n v="17933"/>
    <n v="14444"/>
  </r>
  <r>
    <s v="ORD04080"/>
    <d v="2025-04-22T00:00:00"/>
    <x v="7"/>
    <x v="38"/>
    <x v="0"/>
    <s v="Germany"/>
    <x v="32"/>
    <x v="4"/>
    <n v="21354"/>
    <n v="26266"/>
  </r>
  <r>
    <s v="ORD04081"/>
    <d v="2025-03-07T00:00:00"/>
    <x v="9"/>
    <x v="35"/>
    <x v="5"/>
    <s v="Australia"/>
    <x v="44"/>
    <x v="2"/>
    <n v="38043"/>
    <n v="41899"/>
  </r>
  <r>
    <s v="ORD04082"/>
    <d v="2025-11-25T00:00:00"/>
    <x v="2"/>
    <x v="11"/>
    <x v="0"/>
    <s v="Thailand"/>
    <x v="13"/>
    <x v="3"/>
    <n v="35753"/>
    <n v="45011"/>
  </r>
  <r>
    <s v="ORD04083"/>
    <d v="2025-02-02T00:00:00"/>
    <x v="6"/>
    <x v="3"/>
    <x v="3"/>
    <s v="UK"/>
    <x v="48"/>
    <x v="28"/>
    <n v="21158"/>
    <n v="21218"/>
  </r>
  <r>
    <s v="ORD04084"/>
    <d v="2025-11-20T00:00:00"/>
    <x v="2"/>
    <x v="9"/>
    <x v="6"/>
    <s v="Mexico"/>
    <x v="36"/>
    <x v="10"/>
    <n v="25750"/>
    <n v="33216"/>
  </r>
  <r>
    <s v="ORD04085"/>
    <d v="2025-10-18T00:00:00"/>
    <x v="4"/>
    <x v="10"/>
    <x v="1"/>
    <s v="Canada"/>
    <x v="35"/>
    <x v="17"/>
    <n v="33696"/>
    <n v="43175"/>
  </r>
  <r>
    <s v="ORD04086"/>
    <d v="2025-08-19T00:00:00"/>
    <x v="11"/>
    <x v="46"/>
    <x v="1"/>
    <s v="UAE"/>
    <x v="6"/>
    <x v="29"/>
    <n v="20455"/>
    <n v="20992"/>
  </r>
  <r>
    <s v="ORD04087"/>
    <d v="2025-08-07T00:00:00"/>
    <x v="11"/>
    <x v="23"/>
    <x v="5"/>
    <s v="Singapore"/>
    <x v="29"/>
    <x v="10"/>
    <n v="29433"/>
    <n v="24638"/>
  </r>
  <r>
    <s v="ORD04088"/>
    <d v="2025-08-05T00:00:00"/>
    <x v="11"/>
    <x v="23"/>
    <x v="3"/>
    <s v="Thailand"/>
    <x v="10"/>
    <x v="3"/>
    <n v="34535"/>
    <n v="24430"/>
  </r>
  <r>
    <s v="ORD04089"/>
    <d v="2025-03-01T00:00:00"/>
    <x v="9"/>
    <x v="22"/>
    <x v="2"/>
    <s v="Germany"/>
    <x v="9"/>
    <x v="20"/>
    <n v="24155"/>
    <n v="21112"/>
  </r>
  <r>
    <s v="ORD04090"/>
    <d v="2025-05-23T00:00:00"/>
    <x v="8"/>
    <x v="26"/>
    <x v="2"/>
    <s v="Germany"/>
    <x v="45"/>
    <x v="5"/>
    <n v="20183"/>
    <n v="15272"/>
  </r>
  <r>
    <s v="ORD04091"/>
    <d v="2025-01-09T00:00:00"/>
    <x v="1"/>
    <x v="6"/>
    <x v="0"/>
    <s v="Japan"/>
    <x v="45"/>
    <x v="18"/>
    <n v="33726"/>
    <n v="25093"/>
  </r>
  <r>
    <s v="ORD04092"/>
    <d v="2025-04-25T00:00:00"/>
    <x v="7"/>
    <x v="38"/>
    <x v="2"/>
    <s v="South Africa"/>
    <x v="22"/>
    <x v="7"/>
    <n v="39407"/>
    <n v="42470"/>
  </r>
  <r>
    <s v="ORD04093"/>
    <d v="2025-05-20T00:00:00"/>
    <x v="8"/>
    <x v="26"/>
    <x v="6"/>
    <s v="Australia"/>
    <x v="39"/>
    <x v="19"/>
    <n v="27449"/>
    <n v="30792"/>
  </r>
  <r>
    <s v="ORD04094"/>
    <d v="2025-11-14T00:00:00"/>
    <x v="2"/>
    <x v="44"/>
    <x v="3"/>
    <s v="Italy"/>
    <x v="44"/>
    <x v="4"/>
    <n v="30853"/>
    <n v="30262"/>
  </r>
  <r>
    <s v="ORD04095"/>
    <d v="2025-10-19T00:00:00"/>
    <x v="4"/>
    <x v="10"/>
    <x v="4"/>
    <s v="France"/>
    <x v="6"/>
    <x v="27"/>
    <n v="31420"/>
    <n v="39660"/>
  </r>
  <r>
    <s v="ORD04096"/>
    <d v="2025-03-22T00:00:00"/>
    <x v="9"/>
    <x v="39"/>
    <x v="2"/>
    <s v="Mexico"/>
    <x v="19"/>
    <x v="10"/>
    <n v="34383"/>
    <n v="40825"/>
  </r>
  <r>
    <s v="ORD04097"/>
    <d v="2025-01-02T00:00:00"/>
    <x v="1"/>
    <x v="5"/>
    <x v="2"/>
    <s v="Singapore"/>
    <x v="29"/>
    <x v="26"/>
    <n v="27121"/>
    <n v="34575"/>
  </r>
  <r>
    <s v="ORD04098"/>
    <d v="2025-07-05T00:00:00"/>
    <x v="0"/>
    <x v="37"/>
    <x v="6"/>
    <s v="Brazil"/>
    <x v="39"/>
    <x v="9"/>
    <n v="35444"/>
    <n v="41839"/>
  </r>
  <r>
    <s v="ORD04099"/>
    <d v="2025-08-15T00:00:00"/>
    <x v="11"/>
    <x v="30"/>
    <x v="3"/>
    <s v="South Africa"/>
    <x v="19"/>
    <x v="27"/>
    <n v="26603"/>
    <n v="21468"/>
  </r>
  <r>
    <s v="ORD04100"/>
    <d v="2025-10-19T00:00:00"/>
    <x v="4"/>
    <x v="10"/>
    <x v="1"/>
    <s v="Japan"/>
    <x v="46"/>
    <x v="6"/>
    <n v="24326"/>
    <n v="19165"/>
  </r>
  <r>
    <s v="ORD04101"/>
    <d v="2025-04-30T00:00:00"/>
    <x v="7"/>
    <x v="27"/>
    <x v="2"/>
    <s v="Canada"/>
    <x v="11"/>
    <x v="20"/>
    <n v="18798"/>
    <n v="18340"/>
  </r>
  <r>
    <s v="ORD04102"/>
    <d v="2025-12-19T00:00:00"/>
    <x v="10"/>
    <x v="21"/>
    <x v="4"/>
    <s v="India"/>
    <x v="2"/>
    <x v="25"/>
    <n v="19444"/>
    <n v="24671"/>
  </r>
  <r>
    <s v="ORD04103"/>
    <d v="2025-07-06T00:00:00"/>
    <x v="0"/>
    <x v="37"/>
    <x v="4"/>
    <s v="Thailand"/>
    <x v="31"/>
    <x v="24"/>
    <n v="19074"/>
    <n v="20873"/>
  </r>
  <r>
    <s v="ORD04104"/>
    <d v="2025-01-21T00:00:00"/>
    <x v="1"/>
    <x v="7"/>
    <x v="3"/>
    <s v="Italy"/>
    <x v="48"/>
    <x v="2"/>
    <n v="15835"/>
    <n v="18156"/>
  </r>
  <r>
    <s v="ORD04105"/>
    <d v="2025-06-28T00:00:00"/>
    <x v="5"/>
    <x v="36"/>
    <x v="5"/>
    <s v="Malaysia"/>
    <x v="32"/>
    <x v="24"/>
    <n v="29250"/>
    <n v="29650"/>
  </r>
  <r>
    <s v="ORD04106"/>
    <d v="2025-03-20T00:00:00"/>
    <x v="9"/>
    <x v="39"/>
    <x v="0"/>
    <s v="Turkey"/>
    <x v="10"/>
    <x v="3"/>
    <n v="23343"/>
    <n v="20388"/>
  </r>
  <r>
    <s v="ORD04107"/>
    <d v="2025-08-05T00:00:00"/>
    <x v="11"/>
    <x v="23"/>
    <x v="2"/>
    <s v="Brazil"/>
    <x v="10"/>
    <x v="1"/>
    <n v="17415"/>
    <n v="13738"/>
  </r>
  <r>
    <s v="ORD04108"/>
    <d v="2025-02-05T00:00:00"/>
    <x v="6"/>
    <x v="48"/>
    <x v="2"/>
    <s v="Brazil"/>
    <x v="10"/>
    <x v="11"/>
    <n v="15286"/>
    <n v="11774"/>
  </r>
  <r>
    <s v="ORD04109"/>
    <d v="2025-03-28T00:00:00"/>
    <x v="9"/>
    <x v="33"/>
    <x v="4"/>
    <s v="Spain"/>
    <x v="12"/>
    <x v="23"/>
    <n v="30823"/>
    <n v="22065"/>
  </r>
  <r>
    <s v="ORD04110"/>
    <d v="2025-09-23T00:00:00"/>
    <x v="3"/>
    <x v="25"/>
    <x v="6"/>
    <s v="UK"/>
    <x v="12"/>
    <x v="3"/>
    <n v="36504"/>
    <n v="31449"/>
  </r>
  <r>
    <s v="ORD04111"/>
    <d v="2025-03-18T00:00:00"/>
    <x v="9"/>
    <x v="39"/>
    <x v="5"/>
    <s v="Singapore"/>
    <x v="35"/>
    <x v="8"/>
    <n v="39859"/>
    <n v="33407"/>
  </r>
  <r>
    <s v="ORD04112"/>
    <d v="2025-01-01T00:00:00"/>
    <x v="1"/>
    <x v="5"/>
    <x v="0"/>
    <s v="Russia"/>
    <x v="14"/>
    <x v="22"/>
    <n v="35904"/>
    <n v="45608"/>
  </r>
  <r>
    <s v="ORD04113"/>
    <d v="2025-04-23T00:00:00"/>
    <x v="7"/>
    <x v="38"/>
    <x v="1"/>
    <s v="Spain"/>
    <x v="44"/>
    <x v="24"/>
    <n v="26975"/>
    <n v="22846"/>
  </r>
  <r>
    <s v="ORD04114"/>
    <d v="2025-01-17T00:00:00"/>
    <x v="1"/>
    <x v="1"/>
    <x v="1"/>
    <s v="Spain"/>
    <x v="45"/>
    <x v="8"/>
    <n v="30896"/>
    <n v="29646"/>
  </r>
  <r>
    <s v="ORD04115"/>
    <d v="2025-06-11T00:00:00"/>
    <x v="5"/>
    <x v="40"/>
    <x v="3"/>
    <s v="South Africa"/>
    <x v="20"/>
    <x v="19"/>
    <n v="18414"/>
    <n v="19049"/>
  </r>
  <r>
    <s v="ORD04116"/>
    <d v="2025-03-24T00:00:00"/>
    <x v="9"/>
    <x v="33"/>
    <x v="0"/>
    <s v="Canada"/>
    <x v="39"/>
    <x v="17"/>
    <n v="22799"/>
    <n v="24970"/>
  </r>
  <r>
    <s v="ORD04117"/>
    <d v="2025-03-05T00:00:00"/>
    <x v="9"/>
    <x v="35"/>
    <x v="3"/>
    <s v="Malaysia"/>
    <x v="44"/>
    <x v="12"/>
    <n v="38967"/>
    <n v="29981"/>
  </r>
  <r>
    <s v="ORD04118"/>
    <d v="2025-12-19T00:00:00"/>
    <x v="10"/>
    <x v="21"/>
    <x v="2"/>
    <s v="UAE"/>
    <x v="14"/>
    <x v="28"/>
    <n v="39836"/>
    <n v="41613"/>
  </r>
  <r>
    <s v="ORD04119"/>
    <d v="2025-10-02T00:00:00"/>
    <x v="4"/>
    <x v="49"/>
    <x v="1"/>
    <s v="Thailand"/>
    <x v="9"/>
    <x v="8"/>
    <n v="16792"/>
    <n v="13626"/>
  </r>
  <r>
    <s v="ORD04120"/>
    <d v="2025-10-14T00:00:00"/>
    <x v="4"/>
    <x v="10"/>
    <x v="3"/>
    <s v="Mexico"/>
    <x v="40"/>
    <x v="6"/>
    <n v="29558"/>
    <n v="20999"/>
  </r>
  <r>
    <s v="ORD04121"/>
    <d v="2025-05-26T00:00:00"/>
    <x v="8"/>
    <x v="24"/>
    <x v="5"/>
    <s v="Mexico"/>
    <x v="21"/>
    <x v="25"/>
    <n v="38664"/>
    <n v="27219"/>
  </r>
  <r>
    <s v="ORD04122"/>
    <d v="2025-06-16T00:00:00"/>
    <x v="5"/>
    <x v="13"/>
    <x v="0"/>
    <s v="UK"/>
    <x v="26"/>
    <x v="7"/>
    <n v="22233"/>
    <n v="17212"/>
  </r>
  <r>
    <s v="ORD04123"/>
    <d v="2025-10-09T00:00:00"/>
    <x v="4"/>
    <x v="45"/>
    <x v="5"/>
    <s v="China"/>
    <x v="42"/>
    <x v="13"/>
    <n v="17779"/>
    <n v="14514"/>
  </r>
  <r>
    <s v="ORD04124"/>
    <d v="2025-07-26T00:00:00"/>
    <x v="0"/>
    <x v="0"/>
    <x v="3"/>
    <s v="Germany"/>
    <x v="40"/>
    <x v="27"/>
    <n v="29405"/>
    <n v="33770"/>
  </r>
  <r>
    <s v="ORD04125"/>
    <d v="2025-01-17T00:00:00"/>
    <x v="1"/>
    <x v="1"/>
    <x v="4"/>
    <s v="Russia"/>
    <x v="45"/>
    <x v="0"/>
    <n v="27260"/>
    <n v="28772"/>
  </r>
  <r>
    <s v="ORD04126"/>
    <d v="2025-12-23T00:00:00"/>
    <x v="10"/>
    <x v="42"/>
    <x v="6"/>
    <s v="China"/>
    <x v="25"/>
    <x v="9"/>
    <n v="28624"/>
    <n v="21532"/>
  </r>
  <r>
    <s v="ORD04127"/>
    <d v="2025-09-09T00:00:00"/>
    <x v="3"/>
    <x v="31"/>
    <x v="4"/>
    <s v="Turkey"/>
    <x v="2"/>
    <x v="29"/>
    <n v="20105"/>
    <n v="18772"/>
  </r>
  <r>
    <s v="ORD04128"/>
    <d v="2025-04-29T00:00:00"/>
    <x v="7"/>
    <x v="27"/>
    <x v="5"/>
    <s v="Australia"/>
    <x v="34"/>
    <x v="23"/>
    <n v="27741"/>
    <n v="27832"/>
  </r>
  <r>
    <s v="ORD04129"/>
    <d v="2025-02-24T00:00:00"/>
    <x v="6"/>
    <x v="22"/>
    <x v="3"/>
    <s v="Australia"/>
    <x v="47"/>
    <x v="0"/>
    <n v="31586"/>
    <n v="28931"/>
  </r>
  <r>
    <s v="ORD04130"/>
    <d v="2025-03-28T00:00:00"/>
    <x v="9"/>
    <x v="33"/>
    <x v="6"/>
    <s v="South Africa"/>
    <x v="30"/>
    <x v="16"/>
    <n v="31265"/>
    <n v="34468"/>
  </r>
  <r>
    <s v="ORD04131"/>
    <d v="2025-02-22T00:00:00"/>
    <x v="6"/>
    <x v="15"/>
    <x v="2"/>
    <s v="Singapore"/>
    <x v="3"/>
    <x v="12"/>
    <n v="20361"/>
    <n v="20691"/>
  </r>
  <r>
    <s v="ORD04132"/>
    <d v="2025-07-28T00:00:00"/>
    <x v="0"/>
    <x v="12"/>
    <x v="4"/>
    <s v="Germany"/>
    <x v="5"/>
    <x v="10"/>
    <n v="18017"/>
    <n v="13089"/>
  </r>
  <r>
    <s v="ORD04133"/>
    <d v="2025-04-24T00:00:00"/>
    <x v="7"/>
    <x v="38"/>
    <x v="2"/>
    <s v="UK"/>
    <x v="37"/>
    <x v="23"/>
    <n v="24260"/>
    <n v="26978"/>
  </r>
  <r>
    <s v="ORD04134"/>
    <d v="2025-02-26T00:00:00"/>
    <x v="6"/>
    <x v="22"/>
    <x v="0"/>
    <s v="Italy"/>
    <x v="33"/>
    <x v="4"/>
    <n v="24790"/>
    <n v="30085"/>
  </r>
  <r>
    <s v="ORD04135"/>
    <d v="2025-09-11T00:00:00"/>
    <x v="3"/>
    <x v="31"/>
    <x v="2"/>
    <s v="Brazil"/>
    <x v="42"/>
    <x v="9"/>
    <n v="37002"/>
    <n v="29773"/>
  </r>
  <r>
    <s v="ORD04136"/>
    <d v="2025-11-17T00:00:00"/>
    <x v="2"/>
    <x v="9"/>
    <x v="2"/>
    <s v="France"/>
    <x v="4"/>
    <x v="17"/>
    <n v="18914"/>
    <n v="15086"/>
  </r>
  <r>
    <s v="ORD04137"/>
    <d v="2025-09-28T00:00:00"/>
    <x v="3"/>
    <x v="25"/>
    <x v="3"/>
    <s v="Russia"/>
    <x v="13"/>
    <x v="26"/>
    <n v="26618"/>
    <n v="27568"/>
  </r>
  <r>
    <s v="ORD04138"/>
    <d v="2025-05-17T00:00:00"/>
    <x v="8"/>
    <x v="17"/>
    <x v="1"/>
    <s v="Turkey"/>
    <x v="16"/>
    <x v="4"/>
    <n v="23484"/>
    <n v="30171"/>
  </r>
  <r>
    <s v="ORD04139"/>
    <d v="2025-08-10T00:00:00"/>
    <x v="11"/>
    <x v="23"/>
    <x v="0"/>
    <s v="Germany"/>
    <x v="37"/>
    <x v="23"/>
    <n v="17439"/>
    <n v="18620"/>
  </r>
  <r>
    <s v="ORD04140"/>
    <d v="2025-08-29T00:00:00"/>
    <x v="11"/>
    <x v="28"/>
    <x v="0"/>
    <s v="Singapore"/>
    <x v="26"/>
    <x v="9"/>
    <n v="21663"/>
    <n v="15914"/>
  </r>
  <r>
    <s v="ORD04141"/>
    <d v="2025-05-26T00:00:00"/>
    <x v="8"/>
    <x v="24"/>
    <x v="2"/>
    <s v="Australia"/>
    <x v="48"/>
    <x v="16"/>
    <n v="20129"/>
    <n v="25804"/>
  </r>
  <r>
    <s v="ORD04142"/>
    <d v="2025-07-03T00:00:00"/>
    <x v="0"/>
    <x v="37"/>
    <x v="1"/>
    <s v="South Africa"/>
    <x v="3"/>
    <x v="3"/>
    <n v="37598"/>
    <n v="29549"/>
  </r>
  <r>
    <s v="ORD04143"/>
    <d v="2025-11-03T00:00:00"/>
    <x v="2"/>
    <x v="51"/>
    <x v="0"/>
    <s v="Germany"/>
    <x v="22"/>
    <x v="10"/>
    <n v="25892"/>
    <n v="20832"/>
  </r>
  <r>
    <s v="ORD04144"/>
    <d v="2025-02-06T00:00:00"/>
    <x v="6"/>
    <x v="48"/>
    <x v="1"/>
    <s v="USA"/>
    <x v="47"/>
    <x v="4"/>
    <n v="37277"/>
    <n v="29235"/>
  </r>
  <r>
    <s v="ORD04145"/>
    <d v="2025-12-18T00:00:00"/>
    <x v="10"/>
    <x v="21"/>
    <x v="5"/>
    <s v="Singapore"/>
    <x v="22"/>
    <x v="1"/>
    <n v="28002"/>
    <n v="30265"/>
  </r>
  <r>
    <s v="ORD04146"/>
    <d v="2025-08-05T00:00:00"/>
    <x v="11"/>
    <x v="23"/>
    <x v="6"/>
    <s v="China"/>
    <x v="10"/>
    <x v="1"/>
    <n v="36490"/>
    <n v="28401"/>
  </r>
  <r>
    <s v="ORD04147"/>
    <d v="2025-09-04T00:00:00"/>
    <x v="3"/>
    <x v="4"/>
    <x v="1"/>
    <s v="South Africa"/>
    <x v="10"/>
    <x v="14"/>
    <n v="36017"/>
    <n v="43958"/>
  </r>
  <r>
    <s v="ORD04148"/>
    <d v="2025-02-05T00:00:00"/>
    <x v="6"/>
    <x v="48"/>
    <x v="6"/>
    <s v="Spain"/>
    <x v="12"/>
    <x v="14"/>
    <n v="35352"/>
    <n v="35589"/>
  </r>
  <r>
    <s v="ORD04149"/>
    <d v="2025-07-16T00:00:00"/>
    <x v="0"/>
    <x v="14"/>
    <x v="0"/>
    <s v="South Africa"/>
    <x v="24"/>
    <x v="7"/>
    <n v="29743"/>
    <n v="35155"/>
  </r>
  <r>
    <s v="ORD04150"/>
    <d v="2025-07-06T00:00:00"/>
    <x v="0"/>
    <x v="37"/>
    <x v="6"/>
    <s v="China"/>
    <x v="49"/>
    <x v="8"/>
    <n v="30218"/>
    <n v="32841"/>
  </r>
  <r>
    <s v="ORD04151"/>
    <d v="2025-04-19T00:00:00"/>
    <x v="7"/>
    <x v="20"/>
    <x v="1"/>
    <s v="Mexico"/>
    <x v="4"/>
    <x v="27"/>
    <n v="21043"/>
    <n v="16882"/>
  </r>
  <r>
    <s v="ORD04152"/>
    <d v="2025-03-26T00:00:00"/>
    <x v="9"/>
    <x v="33"/>
    <x v="2"/>
    <s v="Italy"/>
    <x v="10"/>
    <x v="29"/>
    <n v="18398"/>
    <n v="16750"/>
  </r>
  <r>
    <s v="ORD04153"/>
    <d v="2025-02-27T00:00:00"/>
    <x v="6"/>
    <x v="22"/>
    <x v="6"/>
    <s v="South Africa"/>
    <x v="3"/>
    <x v="7"/>
    <n v="38588"/>
    <n v="33145"/>
  </r>
  <r>
    <s v="ORD04154"/>
    <d v="2025-02-23T00:00:00"/>
    <x v="6"/>
    <x v="15"/>
    <x v="2"/>
    <s v="UK"/>
    <x v="47"/>
    <x v="27"/>
    <n v="15673"/>
    <n v="17954"/>
  </r>
  <r>
    <s v="ORD04155"/>
    <d v="2025-05-28T00:00:00"/>
    <x v="8"/>
    <x v="24"/>
    <x v="5"/>
    <s v="Malaysia"/>
    <x v="30"/>
    <x v="23"/>
    <n v="24328"/>
    <n v="26635"/>
  </r>
  <r>
    <s v="ORD04156"/>
    <d v="2025-12-25T00:00:00"/>
    <x v="10"/>
    <x v="42"/>
    <x v="0"/>
    <s v="Spain"/>
    <x v="9"/>
    <x v="10"/>
    <n v="26321"/>
    <n v="30547"/>
  </r>
  <r>
    <s v="ORD04157"/>
    <d v="2025-02-17T00:00:00"/>
    <x v="6"/>
    <x v="15"/>
    <x v="3"/>
    <s v="China"/>
    <x v="0"/>
    <x v="0"/>
    <n v="17801"/>
    <n v="14700"/>
  </r>
  <r>
    <s v="ORD04158"/>
    <d v="2025-11-03T00:00:00"/>
    <x v="2"/>
    <x v="51"/>
    <x v="4"/>
    <s v="Thailand"/>
    <x v="31"/>
    <x v="4"/>
    <n v="32241"/>
    <n v="31364"/>
  </r>
  <r>
    <s v="ORD04159"/>
    <d v="2025-01-06T00:00:00"/>
    <x v="1"/>
    <x v="6"/>
    <x v="1"/>
    <s v="Australia"/>
    <x v="48"/>
    <x v="18"/>
    <n v="20911"/>
    <n v="15900"/>
  </r>
  <r>
    <s v="ORD04160"/>
    <d v="2025-07-26T00:00:00"/>
    <x v="0"/>
    <x v="0"/>
    <x v="6"/>
    <s v="India"/>
    <x v="48"/>
    <x v="20"/>
    <n v="30353"/>
    <n v="37682"/>
  </r>
  <r>
    <s v="ORD04161"/>
    <d v="2025-06-26T00:00:00"/>
    <x v="5"/>
    <x v="36"/>
    <x v="3"/>
    <s v="USA"/>
    <x v="14"/>
    <x v="1"/>
    <n v="21938"/>
    <n v="27412"/>
  </r>
  <r>
    <s v="ORD04162"/>
    <d v="2025-09-03T00:00:00"/>
    <x v="3"/>
    <x v="4"/>
    <x v="5"/>
    <s v="USA"/>
    <x v="12"/>
    <x v="23"/>
    <n v="17104"/>
    <n v="22005"/>
  </r>
  <r>
    <s v="ORD04163"/>
    <d v="2025-12-22T00:00:00"/>
    <x v="10"/>
    <x v="42"/>
    <x v="4"/>
    <s v="USA"/>
    <x v="2"/>
    <x v="7"/>
    <n v="35970"/>
    <n v="35392"/>
  </r>
  <r>
    <s v="ORD04164"/>
    <d v="2025-04-09T00:00:00"/>
    <x v="7"/>
    <x v="16"/>
    <x v="3"/>
    <s v="UAE"/>
    <x v="32"/>
    <x v="29"/>
    <n v="22536"/>
    <n v="28814"/>
  </r>
  <r>
    <s v="ORD04165"/>
    <d v="2025-02-14T00:00:00"/>
    <x v="6"/>
    <x v="29"/>
    <x v="1"/>
    <s v="Germany"/>
    <x v="43"/>
    <x v="24"/>
    <n v="26875"/>
    <n v="25132"/>
  </r>
  <r>
    <s v="ORD04166"/>
    <d v="2025-08-16T00:00:00"/>
    <x v="11"/>
    <x v="30"/>
    <x v="2"/>
    <s v="USA"/>
    <x v="32"/>
    <x v="5"/>
    <n v="21740"/>
    <n v="19994"/>
  </r>
  <r>
    <s v="ORD04167"/>
    <d v="2025-10-16T00:00:00"/>
    <x v="4"/>
    <x v="10"/>
    <x v="2"/>
    <s v="South Africa"/>
    <x v="37"/>
    <x v="16"/>
    <n v="17167"/>
    <n v="19704"/>
  </r>
  <r>
    <s v="ORD04168"/>
    <d v="2025-07-09T00:00:00"/>
    <x v="0"/>
    <x v="47"/>
    <x v="1"/>
    <s v="Thailand"/>
    <x v="43"/>
    <x v="28"/>
    <n v="18513"/>
    <n v="17652"/>
  </r>
  <r>
    <s v="ORD04169"/>
    <d v="2025-10-02T00:00:00"/>
    <x v="4"/>
    <x v="49"/>
    <x v="6"/>
    <s v="South Africa"/>
    <x v="5"/>
    <x v="16"/>
    <n v="23503"/>
    <n v="30080"/>
  </r>
  <r>
    <s v="ORD04170"/>
    <d v="2025-08-04T00:00:00"/>
    <x v="11"/>
    <x v="23"/>
    <x v="0"/>
    <s v="China"/>
    <x v="2"/>
    <x v="14"/>
    <n v="30886"/>
    <n v="34287"/>
  </r>
  <r>
    <s v="ORD04171"/>
    <d v="2025-08-16T00:00:00"/>
    <x v="11"/>
    <x v="30"/>
    <x v="2"/>
    <s v="UK"/>
    <x v="15"/>
    <x v="15"/>
    <n v="26290"/>
    <n v="31193"/>
  </r>
  <r>
    <s v="ORD04172"/>
    <d v="2025-05-16T00:00:00"/>
    <x v="8"/>
    <x v="17"/>
    <x v="1"/>
    <s v="Japan"/>
    <x v="41"/>
    <x v="13"/>
    <n v="30692"/>
    <n v="26535"/>
  </r>
  <r>
    <s v="ORD04173"/>
    <d v="2025-10-31T00:00:00"/>
    <x v="4"/>
    <x v="2"/>
    <x v="2"/>
    <s v="Canada"/>
    <x v="28"/>
    <x v="4"/>
    <n v="18351"/>
    <n v="19625"/>
  </r>
  <r>
    <s v="ORD04174"/>
    <d v="2025-09-02T00:00:00"/>
    <x v="3"/>
    <x v="4"/>
    <x v="6"/>
    <s v="Brazil"/>
    <x v="27"/>
    <x v="2"/>
    <n v="19033"/>
    <n v="24201"/>
  </r>
  <r>
    <s v="ORD04175"/>
    <d v="2025-11-02T00:00:00"/>
    <x v="2"/>
    <x v="2"/>
    <x v="6"/>
    <s v="Mexico"/>
    <x v="10"/>
    <x v="5"/>
    <n v="37156"/>
    <n v="36289"/>
  </r>
  <r>
    <s v="ORD04176"/>
    <d v="2025-05-30T00:00:00"/>
    <x v="8"/>
    <x v="24"/>
    <x v="4"/>
    <s v="UK"/>
    <x v="16"/>
    <x v="21"/>
    <n v="30470"/>
    <n v="37310"/>
  </r>
  <r>
    <s v="ORD04177"/>
    <d v="2025-12-13T00:00:00"/>
    <x v="10"/>
    <x v="32"/>
    <x v="5"/>
    <s v="Germany"/>
    <x v="29"/>
    <x v="28"/>
    <n v="24897"/>
    <n v="18093"/>
  </r>
  <r>
    <s v="ORD04178"/>
    <d v="2025-08-12T00:00:00"/>
    <x v="11"/>
    <x v="30"/>
    <x v="1"/>
    <s v="Japan"/>
    <x v="21"/>
    <x v="6"/>
    <n v="19618"/>
    <n v="19440"/>
  </r>
  <r>
    <s v="ORD04179"/>
    <d v="2025-04-29T00:00:00"/>
    <x v="7"/>
    <x v="27"/>
    <x v="0"/>
    <s v="UAE"/>
    <x v="40"/>
    <x v="28"/>
    <n v="39241"/>
    <n v="31362"/>
  </r>
  <r>
    <s v="ORD04180"/>
    <d v="2025-03-19T00:00:00"/>
    <x v="9"/>
    <x v="39"/>
    <x v="1"/>
    <s v="UK"/>
    <x v="19"/>
    <x v="28"/>
    <n v="35735"/>
    <n v="29559"/>
  </r>
  <r>
    <s v="ORD04181"/>
    <d v="2025-12-01T00:00:00"/>
    <x v="10"/>
    <x v="43"/>
    <x v="1"/>
    <s v="Turkey"/>
    <x v="10"/>
    <x v="9"/>
    <n v="17969"/>
    <n v="13959"/>
  </r>
  <r>
    <s v="ORD04182"/>
    <d v="2025-09-04T00:00:00"/>
    <x v="3"/>
    <x v="4"/>
    <x v="4"/>
    <s v="Canada"/>
    <x v="35"/>
    <x v="29"/>
    <n v="28745"/>
    <n v="25903"/>
  </r>
  <r>
    <s v="ORD04183"/>
    <d v="2025-01-25T00:00:00"/>
    <x v="1"/>
    <x v="7"/>
    <x v="3"/>
    <s v="Singapore"/>
    <x v="11"/>
    <x v="18"/>
    <n v="28679"/>
    <n v="34932"/>
  </r>
  <r>
    <s v="ORD04184"/>
    <d v="2025-05-19T00:00:00"/>
    <x v="8"/>
    <x v="26"/>
    <x v="6"/>
    <s v="France"/>
    <x v="26"/>
    <x v="7"/>
    <n v="20854"/>
    <n v="25853"/>
  </r>
  <r>
    <s v="ORD04185"/>
    <d v="2025-09-22T00:00:00"/>
    <x v="3"/>
    <x v="25"/>
    <x v="5"/>
    <s v="Japan"/>
    <x v="13"/>
    <x v="28"/>
    <n v="17138"/>
    <n v="21607"/>
  </r>
  <r>
    <s v="ORD04186"/>
    <d v="2025-11-18T00:00:00"/>
    <x v="2"/>
    <x v="9"/>
    <x v="1"/>
    <s v="Malaysia"/>
    <x v="39"/>
    <x v="10"/>
    <n v="22717"/>
    <n v="25800"/>
  </r>
  <r>
    <s v="ORD04187"/>
    <d v="2025-04-10T00:00:00"/>
    <x v="7"/>
    <x v="16"/>
    <x v="5"/>
    <s v="Turkey"/>
    <x v="15"/>
    <x v="19"/>
    <n v="15121"/>
    <n v="13559"/>
  </r>
  <r>
    <s v="ORD04188"/>
    <d v="2025-01-18T00:00:00"/>
    <x v="1"/>
    <x v="1"/>
    <x v="0"/>
    <s v="Russia"/>
    <x v="23"/>
    <x v="4"/>
    <n v="15710"/>
    <n v="18510"/>
  </r>
  <r>
    <s v="ORD04189"/>
    <d v="2025-10-12T00:00:00"/>
    <x v="4"/>
    <x v="45"/>
    <x v="5"/>
    <s v="Australia"/>
    <x v="2"/>
    <x v="6"/>
    <n v="17443"/>
    <n v="19074"/>
  </r>
  <r>
    <s v="ORD04190"/>
    <d v="2025-10-08T00:00:00"/>
    <x v="4"/>
    <x v="45"/>
    <x v="0"/>
    <s v="Thailand"/>
    <x v="14"/>
    <x v="4"/>
    <n v="32099"/>
    <n v="32510"/>
  </r>
  <r>
    <s v="ORD04191"/>
    <d v="2025-03-12T00:00:00"/>
    <x v="9"/>
    <x v="19"/>
    <x v="4"/>
    <s v="Mexico"/>
    <x v="18"/>
    <x v="20"/>
    <n v="31674"/>
    <n v="38959"/>
  </r>
  <r>
    <s v="ORD04192"/>
    <d v="2025-04-16T00:00:00"/>
    <x v="7"/>
    <x v="20"/>
    <x v="2"/>
    <s v="Turkey"/>
    <x v="17"/>
    <x v="13"/>
    <n v="18793"/>
    <n v="21120"/>
  </r>
  <r>
    <s v="ORD04193"/>
    <d v="2025-05-02T00:00:00"/>
    <x v="8"/>
    <x v="27"/>
    <x v="0"/>
    <s v="China"/>
    <x v="17"/>
    <x v="24"/>
    <n v="38086"/>
    <n v="27386"/>
  </r>
  <r>
    <s v="ORD04194"/>
    <d v="2025-02-25T00:00:00"/>
    <x v="6"/>
    <x v="22"/>
    <x v="4"/>
    <s v="South Africa"/>
    <x v="46"/>
    <x v="22"/>
    <n v="23412"/>
    <n v="28751"/>
  </r>
  <r>
    <s v="ORD04195"/>
    <d v="2025-06-07T00:00:00"/>
    <x v="5"/>
    <x v="41"/>
    <x v="5"/>
    <s v="Russia"/>
    <x v="27"/>
    <x v="16"/>
    <n v="16007"/>
    <n v="18832"/>
  </r>
  <r>
    <s v="ORD04196"/>
    <d v="2025-12-14T00:00:00"/>
    <x v="10"/>
    <x v="32"/>
    <x v="1"/>
    <s v="Canada"/>
    <x v="42"/>
    <x v="27"/>
    <n v="17397"/>
    <n v="13769"/>
  </r>
  <r>
    <s v="ORD04197"/>
    <d v="2025-05-27T00:00:00"/>
    <x v="8"/>
    <x v="24"/>
    <x v="6"/>
    <s v="Germany"/>
    <x v="0"/>
    <x v="15"/>
    <n v="24080"/>
    <n v="29530"/>
  </r>
  <r>
    <s v="ORD04198"/>
    <d v="2025-05-06T00:00:00"/>
    <x v="8"/>
    <x v="18"/>
    <x v="3"/>
    <s v="Canada"/>
    <x v="13"/>
    <x v="6"/>
    <n v="37987"/>
    <n v="33665"/>
  </r>
  <r>
    <s v="ORD04199"/>
    <d v="2025-10-25T00:00:00"/>
    <x v="4"/>
    <x v="50"/>
    <x v="6"/>
    <s v="Germany"/>
    <x v="8"/>
    <x v="18"/>
    <n v="20791"/>
    <n v="19276"/>
  </r>
  <r>
    <s v="ORD04200"/>
    <d v="2025-10-29T00:00:00"/>
    <x v="4"/>
    <x v="2"/>
    <x v="4"/>
    <s v="USA"/>
    <x v="47"/>
    <x v="7"/>
    <n v="23896"/>
    <n v="18643"/>
  </r>
  <r>
    <s v="ORD04201"/>
    <d v="2025-12-02T00:00:00"/>
    <x v="10"/>
    <x v="43"/>
    <x v="6"/>
    <s v="Australia"/>
    <x v="5"/>
    <x v="5"/>
    <n v="17463"/>
    <n v="22441"/>
  </r>
  <r>
    <s v="ORD04202"/>
    <d v="2025-02-07T00:00:00"/>
    <x v="6"/>
    <x v="48"/>
    <x v="5"/>
    <s v="Canada"/>
    <x v="3"/>
    <x v="27"/>
    <n v="31965"/>
    <n v="31626"/>
  </r>
  <r>
    <s v="ORD04203"/>
    <d v="2025-06-19T00:00:00"/>
    <x v="5"/>
    <x v="13"/>
    <x v="3"/>
    <s v="Spain"/>
    <x v="40"/>
    <x v="20"/>
    <n v="16327"/>
    <n v="20527"/>
  </r>
  <r>
    <s v="ORD04204"/>
    <d v="2025-08-26T00:00:00"/>
    <x v="11"/>
    <x v="28"/>
    <x v="1"/>
    <s v="Italy"/>
    <x v="30"/>
    <x v="22"/>
    <n v="38975"/>
    <n v="30966"/>
  </r>
  <r>
    <s v="ORD04205"/>
    <d v="2025-12-28T00:00:00"/>
    <x v="10"/>
    <x v="42"/>
    <x v="1"/>
    <s v="Mexico"/>
    <x v="40"/>
    <x v="4"/>
    <n v="27300"/>
    <n v="32638"/>
  </r>
  <r>
    <s v="ORD04206"/>
    <d v="2025-10-02T00:00:00"/>
    <x v="4"/>
    <x v="49"/>
    <x v="2"/>
    <s v="China"/>
    <x v="12"/>
    <x v="7"/>
    <n v="34594"/>
    <n v="40702"/>
  </r>
  <r>
    <s v="ORD04207"/>
    <d v="2025-08-28T00:00:00"/>
    <x v="11"/>
    <x v="28"/>
    <x v="0"/>
    <s v="Spain"/>
    <x v="16"/>
    <x v="19"/>
    <n v="25687"/>
    <n v="24188"/>
  </r>
  <r>
    <s v="ORD04208"/>
    <d v="2025-08-05T00:00:00"/>
    <x v="11"/>
    <x v="23"/>
    <x v="0"/>
    <s v="Turkey"/>
    <x v="34"/>
    <x v="27"/>
    <n v="24461"/>
    <n v="19835"/>
  </r>
  <r>
    <s v="ORD04209"/>
    <d v="2025-03-10T00:00:00"/>
    <x v="9"/>
    <x v="19"/>
    <x v="4"/>
    <s v="Germany"/>
    <x v="14"/>
    <x v="9"/>
    <n v="35059"/>
    <n v="26559"/>
  </r>
  <r>
    <s v="ORD04210"/>
    <d v="2025-02-01T00:00:00"/>
    <x v="6"/>
    <x v="3"/>
    <x v="3"/>
    <s v="South Africa"/>
    <x v="48"/>
    <x v="3"/>
    <n v="20800"/>
    <n v="21405"/>
  </r>
  <r>
    <s v="ORD04211"/>
    <d v="2025-11-26T00:00:00"/>
    <x v="2"/>
    <x v="11"/>
    <x v="6"/>
    <s v="France"/>
    <x v="15"/>
    <x v="8"/>
    <n v="23103"/>
    <n v="29401"/>
  </r>
  <r>
    <s v="ORD04212"/>
    <d v="2025-09-13T00:00:00"/>
    <x v="3"/>
    <x v="31"/>
    <x v="0"/>
    <s v="Spain"/>
    <x v="27"/>
    <x v="8"/>
    <n v="31057"/>
    <n v="30252"/>
  </r>
  <r>
    <s v="ORD04213"/>
    <d v="2025-03-05T00:00:00"/>
    <x v="9"/>
    <x v="35"/>
    <x v="4"/>
    <s v="Russia"/>
    <x v="43"/>
    <x v="21"/>
    <n v="35760"/>
    <n v="33535"/>
  </r>
  <r>
    <s v="ORD04214"/>
    <d v="2025-04-06T00:00:00"/>
    <x v="7"/>
    <x v="34"/>
    <x v="1"/>
    <s v="Japan"/>
    <x v="16"/>
    <x v="15"/>
    <n v="17280"/>
    <n v="20733"/>
  </r>
  <r>
    <s v="ORD04215"/>
    <d v="2025-02-05T00:00:00"/>
    <x v="6"/>
    <x v="48"/>
    <x v="2"/>
    <s v="Brazil"/>
    <x v="32"/>
    <x v="15"/>
    <n v="35160"/>
    <n v="45349"/>
  </r>
  <r>
    <s v="ORD04216"/>
    <d v="2025-05-27T00:00:00"/>
    <x v="8"/>
    <x v="24"/>
    <x v="0"/>
    <s v="Spain"/>
    <x v="1"/>
    <x v="9"/>
    <n v="34830"/>
    <n v="32607"/>
  </r>
  <r>
    <s v="ORD04217"/>
    <d v="2025-06-25T00:00:00"/>
    <x v="5"/>
    <x v="36"/>
    <x v="0"/>
    <s v="UAE"/>
    <x v="41"/>
    <x v="0"/>
    <n v="37933"/>
    <n v="35178"/>
  </r>
  <r>
    <s v="ORD04218"/>
    <d v="2025-09-22T00:00:00"/>
    <x v="3"/>
    <x v="25"/>
    <x v="0"/>
    <s v="Italy"/>
    <x v="16"/>
    <x v="28"/>
    <n v="18407"/>
    <n v="21991"/>
  </r>
  <r>
    <s v="ORD04219"/>
    <d v="2025-04-25T00:00:00"/>
    <x v="7"/>
    <x v="38"/>
    <x v="2"/>
    <s v="UAE"/>
    <x v="35"/>
    <x v="24"/>
    <n v="29134"/>
    <n v="23760"/>
  </r>
  <r>
    <s v="ORD04220"/>
    <d v="2025-03-24T00:00:00"/>
    <x v="9"/>
    <x v="33"/>
    <x v="1"/>
    <s v="Germany"/>
    <x v="28"/>
    <x v="3"/>
    <n v="37132"/>
    <n v="42397"/>
  </r>
  <r>
    <s v="ORD04221"/>
    <d v="2025-09-19T00:00:00"/>
    <x v="3"/>
    <x v="8"/>
    <x v="2"/>
    <s v="Germany"/>
    <x v="22"/>
    <x v="5"/>
    <n v="39308"/>
    <n v="29277"/>
  </r>
  <r>
    <s v="ORD04222"/>
    <d v="2025-10-30T00:00:00"/>
    <x v="4"/>
    <x v="2"/>
    <x v="5"/>
    <s v="Russia"/>
    <x v="13"/>
    <x v="21"/>
    <n v="39472"/>
    <n v="30882"/>
  </r>
  <r>
    <s v="ORD04223"/>
    <d v="2025-06-25T00:00:00"/>
    <x v="5"/>
    <x v="36"/>
    <x v="1"/>
    <s v="Italy"/>
    <x v="27"/>
    <x v="4"/>
    <n v="38238"/>
    <n v="42711"/>
  </r>
  <r>
    <s v="ORD04224"/>
    <d v="2025-04-01T00:00:00"/>
    <x v="7"/>
    <x v="34"/>
    <x v="5"/>
    <s v="Japan"/>
    <x v="11"/>
    <x v="3"/>
    <n v="35902"/>
    <n v="46620"/>
  </r>
  <r>
    <s v="ORD04225"/>
    <d v="2025-02-01T00:00:00"/>
    <x v="6"/>
    <x v="3"/>
    <x v="1"/>
    <s v="South Africa"/>
    <x v="43"/>
    <x v="24"/>
    <n v="19116"/>
    <n v="22188"/>
  </r>
  <r>
    <s v="ORD04226"/>
    <d v="2025-02-20T00:00:00"/>
    <x v="6"/>
    <x v="15"/>
    <x v="4"/>
    <s v="UK"/>
    <x v="12"/>
    <x v="8"/>
    <n v="20558"/>
    <n v="15512"/>
  </r>
  <r>
    <s v="ORD04227"/>
    <d v="2025-02-22T00:00:00"/>
    <x v="6"/>
    <x v="15"/>
    <x v="5"/>
    <s v="Brazil"/>
    <x v="13"/>
    <x v="7"/>
    <n v="18058"/>
    <n v="16854"/>
  </r>
  <r>
    <s v="ORD04228"/>
    <d v="2025-06-19T00:00:00"/>
    <x v="5"/>
    <x v="13"/>
    <x v="1"/>
    <s v="China"/>
    <x v="14"/>
    <x v="9"/>
    <n v="22026"/>
    <n v="24985"/>
  </r>
  <r>
    <s v="ORD04229"/>
    <d v="2025-09-22T00:00:00"/>
    <x v="3"/>
    <x v="25"/>
    <x v="0"/>
    <s v="Mexico"/>
    <x v="40"/>
    <x v="12"/>
    <n v="27937"/>
    <n v="19905"/>
  </r>
  <r>
    <s v="ORD04230"/>
    <d v="2025-03-22T00:00:00"/>
    <x v="9"/>
    <x v="39"/>
    <x v="4"/>
    <s v="India"/>
    <x v="12"/>
    <x v="13"/>
    <n v="35670"/>
    <n v="39559"/>
  </r>
  <r>
    <s v="ORD04231"/>
    <d v="2025-02-05T00:00:00"/>
    <x v="6"/>
    <x v="48"/>
    <x v="6"/>
    <s v="Italy"/>
    <x v="6"/>
    <x v="23"/>
    <n v="22582"/>
    <n v="16077"/>
  </r>
  <r>
    <s v="ORD04232"/>
    <d v="2025-02-18T00:00:00"/>
    <x v="6"/>
    <x v="15"/>
    <x v="2"/>
    <s v="India"/>
    <x v="1"/>
    <x v="29"/>
    <n v="38428"/>
    <n v="38559"/>
  </r>
  <r>
    <s v="ORD04233"/>
    <d v="2025-07-24T00:00:00"/>
    <x v="0"/>
    <x v="0"/>
    <x v="1"/>
    <s v="India"/>
    <x v="38"/>
    <x v="15"/>
    <n v="25301"/>
    <n v="26906"/>
  </r>
  <r>
    <s v="ORD04234"/>
    <d v="2025-03-05T00:00:00"/>
    <x v="9"/>
    <x v="35"/>
    <x v="5"/>
    <s v="USA"/>
    <x v="22"/>
    <x v="18"/>
    <n v="34134"/>
    <n v="44275"/>
  </r>
  <r>
    <s v="ORD04235"/>
    <d v="2025-12-14T00:00:00"/>
    <x v="10"/>
    <x v="32"/>
    <x v="3"/>
    <s v="Australia"/>
    <x v="31"/>
    <x v="12"/>
    <n v="29612"/>
    <n v="29192"/>
  </r>
  <r>
    <s v="ORD04236"/>
    <d v="2025-09-29T00:00:00"/>
    <x v="3"/>
    <x v="49"/>
    <x v="3"/>
    <s v="Singapore"/>
    <x v="24"/>
    <x v="6"/>
    <n v="19569"/>
    <n v="17332"/>
  </r>
  <r>
    <s v="ORD04237"/>
    <d v="2025-10-15T00:00:00"/>
    <x v="4"/>
    <x v="10"/>
    <x v="0"/>
    <s v="Australia"/>
    <x v="42"/>
    <x v="8"/>
    <n v="28114"/>
    <n v="26973"/>
  </r>
  <r>
    <s v="ORD04238"/>
    <d v="2025-08-05T00:00:00"/>
    <x v="11"/>
    <x v="23"/>
    <x v="6"/>
    <s v="Brazil"/>
    <x v="4"/>
    <x v="2"/>
    <n v="25981"/>
    <n v="25611"/>
  </r>
  <r>
    <s v="ORD04239"/>
    <d v="2025-11-03T00:00:00"/>
    <x v="2"/>
    <x v="51"/>
    <x v="2"/>
    <s v="Italy"/>
    <x v="22"/>
    <x v="20"/>
    <n v="35154"/>
    <n v="28810"/>
  </r>
  <r>
    <s v="ORD04240"/>
    <d v="2025-11-21T00:00:00"/>
    <x v="2"/>
    <x v="9"/>
    <x v="5"/>
    <s v="Italy"/>
    <x v="15"/>
    <x v="9"/>
    <n v="17876"/>
    <n v="14538"/>
  </r>
  <r>
    <s v="ORD04241"/>
    <d v="2025-05-27T00:00:00"/>
    <x v="8"/>
    <x v="24"/>
    <x v="5"/>
    <s v="Malaysia"/>
    <x v="11"/>
    <x v="1"/>
    <n v="19741"/>
    <n v="15677"/>
  </r>
  <r>
    <s v="ORD04242"/>
    <d v="2025-06-28T00:00:00"/>
    <x v="5"/>
    <x v="36"/>
    <x v="3"/>
    <s v="Singapore"/>
    <x v="37"/>
    <x v="4"/>
    <n v="27114"/>
    <n v="19316"/>
  </r>
  <r>
    <s v="ORD04243"/>
    <d v="2025-04-09T00:00:00"/>
    <x v="7"/>
    <x v="16"/>
    <x v="0"/>
    <s v="USA"/>
    <x v="2"/>
    <x v="4"/>
    <n v="33090"/>
    <n v="24280"/>
  </r>
  <r>
    <s v="ORD04244"/>
    <d v="2025-04-17T00:00:00"/>
    <x v="7"/>
    <x v="20"/>
    <x v="5"/>
    <s v="Australia"/>
    <x v="22"/>
    <x v="7"/>
    <n v="24444"/>
    <n v="23064"/>
  </r>
  <r>
    <s v="ORD04245"/>
    <d v="2025-03-12T00:00:00"/>
    <x v="9"/>
    <x v="19"/>
    <x v="3"/>
    <s v="Germany"/>
    <x v="8"/>
    <x v="10"/>
    <n v="31301"/>
    <n v="26769"/>
  </r>
  <r>
    <s v="ORD04246"/>
    <d v="2025-10-18T00:00:00"/>
    <x v="4"/>
    <x v="10"/>
    <x v="5"/>
    <s v="Australia"/>
    <x v="8"/>
    <x v="19"/>
    <n v="34478"/>
    <n v="34391"/>
  </r>
  <r>
    <s v="ORD04247"/>
    <d v="2025-07-29T00:00:00"/>
    <x v="0"/>
    <x v="12"/>
    <x v="5"/>
    <s v="USA"/>
    <x v="43"/>
    <x v="9"/>
    <n v="39802"/>
    <n v="39837"/>
  </r>
  <r>
    <s v="ORD04248"/>
    <d v="2025-07-23T00:00:00"/>
    <x v="0"/>
    <x v="0"/>
    <x v="6"/>
    <s v="Italy"/>
    <x v="5"/>
    <x v="2"/>
    <n v="16229"/>
    <n v="12320"/>
  </r>
  <r>
    <s v="ORD04249"/>
    <d v="2025-03-15T00:00:00"/>
    <x v="9"/>
    <x v="19"/>
    <x v="5"/>
    <s v="Thailand"/>
    <x v="15"/>
    <x v="26"/>
    <n v="39829"/>
    <n v="44901"/>
  </r>
  <r>
    <s v="ORD04250"/>
    <d v="2025-07-27T00:00:00"/>
    <x v="0"/>
    <x v="0"/>
    <x v="4"/>
    <s v="Spain"/>
    <x v="13"/>
    <x v="17"/>
    <n v="34004"/>
    <n v="34839"/>
  </r>
  <r>
    <s v="ORD04251"/>
    <d v="2025-10-16T00:00:00"/>
    <x v="4"/>
    <x v="10"/>
    <x v="0"/>
    <s v="Spain"/>
    <x v="36"/>
    <x v="8"/>
    <n v="22492"/>
    <n v="24014"/>
  </r>
  <r>
    <s v="ORD04252"/>
    <d v="2025-05-06T00:00:00"/>
    <x v="8"/>
    <x v="18"/>
    <x v="6"/>
    <s v="India"/>
    <x v="38"/>
    <x v="2"/>
    <n v="26489"/>
    <n v="19053"/>
  </r>
  <r>
    <s v="ORD04253"/>
    <d v="2025-05-02T00:00:00"/>
    <x v="8"/>
    <x v="27"/>
    <x v="0"/>
    <s v="Germany"/>
    <x v="37"/>
    <x v="11"/>
    <n v="18137"/>
    <n v="16760"/>
  </r>
  <r>
    <s v="ORD04254"/>
    <d v="2025-04-28T00:00:00"/>
    <x v="7"/>
    <x v="27"/>
    <x v="3"/>
    <s v="France"/>
    <x v="46"/>
    <x v="5"/>
    <n v="39184"/>
    <n v="45522"/>
  </r>
  <r>
    <s v="ORD04255"/>
    <d v="2025-08-27T00:00:00"/>
    <x v="11"/>
    <x v="28"/>
    <x v="3"/>
    <s v="China"/>
    <x v="2"/>
    <x v="19"/>
    <n v="18326"/>
    <n v="16198"/>
  </r>
  <r>
    <s v="ORD04256"/>
    <d v="2025-08-12T00:00:00"/>
    <x v="11"/>
    <x v="30"/>
    <x v="5"/>
    <s v="UK"/>
    <x v="3"/>
    <x v="22"/>
    <n v="25742"/>
    <n v="30753"/>
  </r>
  <r>
    <s v="ORD04257"/>
    <d v="2025-06-21T00:00:00"/>
    <x v="5"/>
    <x v="13"/>
    <x v="4"/>
    <s v="Germany"/>
    <x v="27"/>
    <x v="6"/>
    <n v="21483"/>
    <n v="20460"/>
  </r>
  <r>
    <s v="ORD04258"/>
    <d v="2025-01-15T00:00:00"/>
    <x v="1"/>
    <x v="1"/>
    <x v="0"/>
    <s v="China"/>
    <x v="25"/>
    <x v="29"/>
    <n v="19212"/>
    <n v="15139"/>
  </r>
  <r>
    <s v="ORD04259"/>
    <d v="2025-01-26T00:00:00"/>
    <x v="1"/>
    <x v="7"/>
    <x v="6"/>
    <s v="Russia"/>
    <x v="3"/>
    <x v="6"/>
    <n v="35619"/>
    <n v="42557"/>
  </r>
  <r>
    <s v="ORD04260"/>
    <d v="2025-05-17T00:00:00"/>
    <x v="8"/>
    <x v="17"/>
    <x v="1"/>
    <s v="Germany"/>
    <x v="15"/>
    <x v="9"/>
    <n v="30488"/>
    <n v="38690"/>
  </r>
  <r>
    <s v="ORD04261"/>
    <d v="2025-01-12T00:00:00"/>
    <x v="1"/>
    <x v="6"/>
    <x v="2"/>
    <s v="Germany"/>
    <x v="37"/>
    <x v="3"/>
    <n v="18110"/>
    <n v="15342"/>
  </r>
  <r>
    <s v="ORD04262"/>
    <d v="2025-08-08T00:00:00"/>
    <x v="11"/>
    <x v="23"/>
    <x v="0"/>
    <s v="Brazil"/>
    <x v="22"/>
    <x v="20"/>
    <n v="22296"/>
    <n v="23361"/>
  </r>
  <r>
    <s v="ORD04263"/>
    <d v="2025-03-20T00:00:00"/>
    <x v="9"/>
    <x v="39"/>
    <x v="3"/>
    <s v="Turkey"/>
    <x v="10"/>
    <x v="12"/>
    <n v="20228"/>
    <n v="22536"/>
  </r>
  <r>
    <s v="ORD04264"/>
    <d v="2025-08-04T00:00:00"/>
    <x v="11"/>
    <x v="23"/>
    <x v="2"/>
    <s v="China"/>
    <x v="1"/>
    <x v="6"/>
    <n v="34099"/>
    <n v="30253"/>
  </r>
  <r>
    <s v="ORD04265"/>
    <d v="2025-10-17T00:00:00"/>
    <x v="4"/>
    <x v="10"/>
    <x v="6"/>
    <s v="Germany"/>
    <x v="40"/>
    <x v="15"/>
    <n v="32340"/>
    <n v="24922"/>
  </r>
  <r>
    <s v="ORD04266"/>
    <d v="2025-02-27T00:00:00"/>
    <x v="6"/>
    <x v="22"/>
    <x v="2"/>
    <s v="UAE"/>
    <x v="49"/>
    <x v="29"/>
    <n v="26067"/>
    <n v="24250"/>
  </r>
  <r>
    <s v="ORD04267"/>
    <d v="2025-07-30T00:00:00"/>
    <x v="0"/>
    <x v="12"/>
    <x v="3"/>
    <s v="France"/>
    <x v="16"/>
    <x v="14"/>
    <n v="38316"/>
    <n v="31430"/>
  </r>
  <r>
    <s v="ORD04268"/>
    <d v="2025-04-19T00:00:00"/>
    <x v="7"/>
    <x v="20"/>
    <x v="2"/>
    <s v="China"/>
    <x v="15"/>
    <x v="13"/>
    <n v="37042"/>
    <n v="40338"/>
  </r>
  <r>
    <s v="ORD04269"/>
    <d v="2025-10-06T00:00:00"/>
    <x v="4"/>
    <x v="45"/>
    <x v="5"/>
    <s v="Australia"/>
    <x v="41"/>
    <x v="18"/>
    <n v="30399"/>
    <n v="36534"/>
  </r>
  <r>
    <s v="ORD04270"/>
    <d v="2025-04-14T00:00:00"/>
    <x v="7"/>
    <x v="20"/>
    <x v="5"/>
    <s v="South Africa"/>
    <x v="23"/>
    <x v="24"/>
    <n v="16407"/>
    <n v="11933"/>
  </r>
  <r>
    <s v="ORD04271"/>
    <d v="2025-05-20T00:00:00"/>
    <x v="8"/>
    <x v="26"/>
    <x v="3"/>
    <s v="Brazil"/>
    <x v="47"/>
    <x v="25"/>
    <n v="18035"/>
    <n v="19750"/>
  </r>
  <r>
    <s v="ORD04272"/>
    <d v="2025-08-27T00:00:00"/>
    <x v="11"/>
    <x v="28"/>
    <x v="1"/>
    <s v="India"/>
    <x v="39"/>
    <x v="24"/>
    <n v="19224"/>
    <n v="13658"/>
  </r>
  <r>
    <s v="ORD04273"/>
    <d v="2025-07-04T00:00:00"/>
    <x v="0"/>
    <x v="37"/>
    <x v="1"/>
    <s v="UAE"/>
    <x v="18"/>
    <x v="11"/>
    <n v="19407"/>
    <n v="24378"/>
  </r>
  <r>
    <s v="ORD04274"/>
    <d v="2025-01-11T00:00:00"/>
    <x v="1"/>
    <x v="6"/>
    <x v="1"/>
    <s v="India"/>
    <x v="7"/>
    <x v="19"/>
    <n v="21541"/>
    <n v="25632"/>
  </r>
  <r>
    <s v="ORD04275"/>
    <d v="2025-10-19T00:00:00"/>
    <x v="4"/>
    <x v="10"/>
    <x v="5"/>
    <s v="USA"/>
    <x v="4"/>
    <x v="15"/>
    <n v="20837"/>
    <n v="15983"/>
  </r>
  <r>
    <s v="ORD04276"/>
    <d v="2025-02-03T00:00:00"/>
    <x v="6"/>
    <x v="48"/>
    <x v="2"/>
    <s v="UK"/>
    <x v="35"/>
    <x v="14"/>
    <n v="23241"/>
    <n v="23251"/>
  </r>
  <r>
    <s v="ORD04277"/>
    <d v="2025-01-04T00:00:00"/>
    <x v="1"/>
    <x v="5"/>
    <x v="1"/>
    <s v="China"/>
    <x v="27"/>
    <x v="4"/>
    <n v="31379"/>
    <n v="32169"/>
  </r>
  <r>
    <s v="ORD04278"/>
    <d v="2025-09-06T00:00:00"/>
    <x v="3"/>
    <x v="4"/>
    <x v="6"/>
    <s v="USA"/>
    <x v="33"/>
    <x v="2"/>
    <n v="35964"/>
    <n v="44745"/>
  </r>
  <r>
    <s v="ORD04279"/>
    <d v="2025-07-07T00:00:00"/>
    <x v="0"/>
    <x v="47"/>
    <x v="2"/>
    <s v="Turkey"/>
    <x v="26"/>
    <x v="12"/>
    <n v="16235"/>
    <n v="16214"/>
  </r>
  <r>
    <s v="ORD04280"/>
    <d v="2025-04-08T00:00:00"/>
    <x v="7"/>
    <x v="16"/>
    <x v="1"/>
    <s v="Russia"/>
    <x v="27"/>
    <x v="11"/>
    <n v="31028"/>
    <n v="31534"/>
  </r>
  <r>
    <s v="ORD04281"/>
    <d v="2025-11-20T00:00:00"/>
    <x v="2"/>
    <x v="9"/>
    <x v="3"/>
    <s v="Russia"/>
    <x v="39"/>
    <x v="21"/>
    <n v="26891"/>
    <n v="32201"/>
  </r>
  <r>
    <s v="ORD04282"/>
    <d v="2025-10-05T00:00:00"/>
    <x v="4"/>
    <x v="49"/>
    <x v="2"/>
    <s v="Japan"/>
    <x v="42"/>
    <x v="7"/>
    <n v="19416"/>
    <n v="19728"/>
  </r>
  <r>
    <s v="ORD04283"/>
    <d v="2025-05-30T00:00:00"/>
    <x v="8"/>
    <x v="24"/>
    <x v="6"/>
    <s v="Malaysia"/>
    <x v="5"/>
    <x v="8"/>
    <n v="39047"/>
    <n v="42495"/>
  </r>
  <r>
    <s v="ORD04284"/>
    <d v="2025-03-26T00:00:00"/>
    <x v="9"/>
    <x v="33"/>
    <x v="0"/>
    <s v="France"/>
    <x v="13"/>
    <x v="2"/>
    <n v="21877"/>
    <n v="26041"/>
  </r>
  <r>
    <s v="ORD04285"/>
    <d v="2025-07-03T00:00:00"/>
    <x v="0"/>
    <x v="37"/>
    <x v="6"/>
    <s v="Australia"/>
    <x v="27"/>
    <x v="23"/>
    <n v="36969"/>
    <n v="47302"/>
  </r>
  <r>
    <s v="ORD04286"/>
    <d v="2025-07-14T00:00:00"/>
    <x v="0"/>
    <x v="14"/>
    <x v="1"/>
    <s v="India"/>
    <x v="28"/>
    <x v="25"/>
    <n v="33290"/>
    <n v="34406"/>
  </r>
  <r>
    <s v="ORD04287"/>
    <d v="2025-12-23T00:00:00"/>
    <x v="10"/>
    <x v="42"/>
    <x v="5"/>
    <s v="Singapore"/>
    <x v="45"/>
    <x v="21"/>
    <n v="37602"/>
    <n v="32572"/>
  </r>
  <r>
    <s v="ORD04288"/>
    <d v="2025-05-04T00:00:00"/>
    <x v="8"/>
    <x v="27"/>
    <x v="0"/>
    <s v="Singapore"/>
    <x v="49"/>
    <x v="23"/>
    <n v="32412"/>
    <n v="32780"/>
  </r>
  <r>
    <s v="ORD04289"/>
    <d v="2025-12-21T00:00:00"/>
    <x v="10"/>
    <x v="21"/>
    <x v="2"/>
    <s v="China"/>
    <x v="32"/>
    <x v="24"/>
    <n v="36974"/>
    <n v="35134"/>
  </r>
  <r>
    <s v="ORD04290"/>
    <d v="2025-02-21T00:00:00"/>
    <x v="6"/>
    <x v="15"/>
    <x v="4"/>
    <s v="USA"/>
    <x v="39"/>
    <x v="6"/>
    <n v="34410"/>
    <n v="42634"/>
  </r>
  <r>
    <s v="ORD04291"/>
    <d v="2025-02-13T00:00:00"/>
    <x v="6"/>
    <x v="29"/>
    <x v="4"/>
    <s v="Malaysia"/>
    <x v="49"/>
    <x v="6"/>
    <n v="19573"/>
    <n v="17465"/>
  </r>
  <r>
    <s v="ORD04292"/>
    <d v="2025-07-28T00:00:00"/>
    <x v="0"/>
    <x v="12"/>
    <x v="4"/>
    <s v="India"/>
    <x v="29"/>
    <x v="7"/>
    <n v="31268"/>
    <n v="36723"/>
  </r>
  <r>
    <s v="ORD04293"/>
    <d v="2025-04-08T00:00:00"/>
    <x v="7"/>
    <x v="16"/>
    <x v="4"/>
    <s v="Australia"/>
    <x v="32"/>
    <x v="7"/>
    <n v="22107"/>
    <n v="27169"/>
  </r>
  <r>
    <s v="ORD04294"/>
    <d v="2025-04-17T00:00:00"/>
    <x v="7"/>
    <x v="20"/>
    <x v="4"/>
    <s v="Thailand"/>
    <x v="14"/>
    <x v="26"/>
    <n v="31769"/>
    <n v="36540"/>
  </r>
  <r>
    <s v="ORD04295"/>
    <d v="2025-08-11T00:00:00"/>
    <x v="11"/>
    <x v="30"/>
    <x v="1"/>
    <s v="Spain"/>
    <x v="4"/>
    <x v="4"/>
    <n v="24161"/>
    <n v="28347"/>
  </r>
  <r>
    <s v="ORD04296"/>
    <d v="2025-09-22T00:00:00"/>
    <x v="3"/>
    <x v="25"/>
    <x v="5"/>
    <s v="South Africa"/>
    <x v="30"/>
    <x v="15"/>
    <n v="19860"/>
    <n v="18758"/>
  </r>
  <r>
    <s v="ORD04297"/>
    <d v="2025-01-19T00:00:00"/>
    <x v="1"/>
    <x v="1"/>
    <x v="5"/>
    <s v="Germany"/>
    <x v="23"/>
    <x v="16"/>
    <n v="30481"/>
    <n v="31526"/>
  </r>
  <r>
    <s v="ORD04298"/>
    <d v="2025-05-12T00:00:00"/>
    <x v="8"/>
    <x v="17"/>
    <x v="1"/>
    <s v="France"/>
    <x v="22"/>
    <x v="20"/>
    <n v="20930"/>
    <n v="19080"/>
  </r>
  <r>
    <s v="ORD04299"/>
    <d v="2025-04-20T00:00:00"/>
    <x v="7"/>
    <x v="20"/>
    <x v="3"/>
    <s v="Japan"/>
    <x v="13"/>
    <x v="4"/>
    <n v="20003"/>
    <n v="19107"/>
  </r>
  <r>
    <s v="ORD04300"/>
    <d v="2025-04-23T00:00:00"/>
    <x v="7"/>
    <x v="38"/>
    <x v="2"/>
    <s v="South Africa"/>
    <x v="39"/>
    <x v="8"/>
    <n v="32528"/>
    <n v="27490"/>
  </r>
  <r>
    <s v="ORD04301"/>
    <d v="2025-02-14T00:00:00"/>
    <x v="6"/>
    <x v="29"/>
    <x v="2"/>
    <s v="UK"/>
    <x v="34"/>
    <x v="21"/>
    <n v="28404"/>
    <n v="36375"/>
  </r>
  <r>
    <s v="ORD04302"/>
    <d v="2025-10-11T00:00:00"/>
    <x v="4"/>
    <x v="45"/>
    <x v="6"/>
    <s v="Mexico"/>
    <x v="10"/>
    <x v="0"/>
    <n v="22600"/>
    <n v="17941"/>
  </r>
  <r>
    <s v="ORD04303"/>
    <d v="2025-07-23T00:00:00"/>
    <x v="0"/>
    <x v="0"/>
    <x v="3"/>
    <s v="Turkey"/>
    <x v="25"/>
    <x v="18"/>
    <n v="29803"/>
    <n v="27762"/>
  </r>
  <r>
    <s v="ORD04304"/>
    <d v="2025-10-28T00:00:00"/>
    <x v="4"/>
    <x v="2"/>
    <x v="2"/>
    <s v="Russia"/>
    <x v="49"/>
    <x v="24"/>
    <n v="28748"/>
    <n v="25217"/>
  </r>
  <r>
    <s v="ORD04305"/>
    <d v="2025-04-18T00:00:00"/>
    <x v="7"/>
    <x v="20"/>
    <x v="0"/>
    <s v="USA"/>
    <x v="31"/>
    <x v="11"/>
    <n v="35068"/>
    <n v="36332"/>
  </r>
  <r>
    <s v="ORD04306"/>
    <d v="2025-04-14T00:00:00"/>
    <x v="7"/>
    <x v="20"/>
    <x v="4"/>
    <s v="Australia"/>
    <x v="26"/>
    <x v="23"/>
    <n v="35729"/>
    <n v="44365"/>
  </r>
  <r>
    <s v="ORD04307"/>
    <d v="2025-07-10T00:00:00"/>
    <x v="0"/>
    <x v="47"/>
    <x v="0"/>
    <s v="Mexico"/>
    <x v="42"/>
    <x v="13"/>
    <n v="25665"/>
    <n v="24958"/>
  </r>
  <r>
    <s v="ORD04308"/>
    <d v="2025-10-02T00:00:00"/>
    <x v="4"/>
    <x v="49"/>
    <x v="4"/>
    <s v="Japan"/>
    <x v="23"/>
    <x v="4"/>
    <n v="37282"/>
    <n v="44228"/>
  </r>
  <r>
    <s v="ORD04309"/>
    <d v="2025-01-30T00:00:00"/>
    <x v="1"/>
    <x v="3"/>
    <x v="0"/>
    <s v="Malaysia"/>
    <x v="23"/>
    <x v="10"/>
    <n v="23477"/>
    <n v="22263"/>
  </r>
  <r>
    <s v="ORD04310"/>
    <d v="2025-01-05T00:00:00"/>
    <x v="1"/>
    <x v="5"/>
    <x v="5"/>
    <s v="Japan"/>
    <x v="31"/>
    <x v="7"/>
    <n v="35919"/>
    <n v="37130"/>
  </r>
  <r>
    <s v="ORD04311"/>
    <d v="2025-08-15T00:00:00"/>
    <x v="11"/>
    <x v="30"/>
    <x v="6"/>
    <s v="Mexico"/>
    <x v="41"/>
    <x v="21"/>
    <n v="38513"/>
    <n v="37278"/>
  </r>
  <r>
    <s v="ORD04312"/>
    <d v="2025-09-04T00:00:00"/>
    <x v="3"/>
    <x v="4"/>
    <x v="4"/>
    <s v="South Africa"/>
    <x v="13"/>
    <x v="10"/>
    <n v="27938"/>
    <n v="25276"/>
  </r>
  <r>
    <s v="ORD04313"/>
    <d v="2025-09-04T00:00:00"/>
    <x v="3"/>
    <x v="4"/>
    <x v="6"/>
    <s v="Mexico"/>
    <x v="1"/>
    <x v="7"/>
    <n v="28364"/>
    <n v="33589"/>
  </r>
  <r>
    <s v="ORD04314"/>
    <d v="2025-08-03T00:00:00"/>
    <x v="11"/>
    <x v="12"/>
    <x v="4"/>
    <s v="Canada"/>
    <x v="27"/>
    <x v="9"/>
    <n v="32979"/>
    <n v="42359"/>
  </r>
  <r>
    <s v="ORD04315"/>
    <d v="2025-08-06T00:00:00"/>
    <x v="11"/>
    <x v="23"/>
    <x v="0"/>
    <s v="Canada"/>
    <x v="33"/>
    <x v="26"/>
    <n v="18182"/>
    <n v="12898"/>
  </r>
  <r>
    <s v="ORD04316"/>
    <d v="2025-04-26T00:00:00"/>
    <x v="7"/>
    <x v="38"/>
    <x v="6"/>
    <s v="China"/>
    <x v="38"/>
    <x v="1"/>
    <n v="33001"/>
    <n v="28317"/>
  </r>
  <r>
    <s v="ORD04317"/>
    <d v="2025-11-16T00:00:00"/>
    <x v="2"/>
    <x v="44"/>
    <x v="1"/>
    <s v="Brazil"/>
    <x v="11"/>
    <x v="8"/>
    <n v="15252"/>
    <n v="16856"/>
  </r>
  <r>
    <s v="ORD04318"/>
    <d v="2025-10-19T00:00:00"/>
    <x v="4"/>
    <x v="10"/>
    <x v="6"/>
    <s v="Brazil"/>
    <x v="0"/>
    <x v="9"/>
    <n v="31715"/>
    <n v="31949"/>
  </r>
  <r>
    <s v="ORD04319"/>
    <d v="2025-11-17T00:00:00"/>
    <x v="2"/>
    <x v="9"/>
    <x v="3"/>
    <s v="Turkey"/>
    <x v="24"/>
    <x v="15"/>
    <n v="29323"/>
    <n v="37487"/>
  </r>
  <r>
    <s v="ORD04320"/>
    <d v="2025-03-12T00:00:00"/>
    <x v="9"/>
    <x v="19"/>
    <x v="4"/>
    <s v="Turkey"/>
    <x v="33"/>
    <x v="18"/>
    <n v="22636"/>
    <n v="16690"/>
  </r>
  <r>
    <s v="ORD04321"/>
    <d v="2025-10-30T00:00:00"/>
    <x v="4"/>
    <x v="2"/>
    <x v="5"/>
    <s v="India"/>
    <x v="15"/>
    <x v="28"/>
    <n v="27286"/>
    <n v="35056"/>
  </r>
  <r>
    <s v="ORD04322"/>
    <d v="2025-01-11T00:00:00"/>
    <x v="1"/>
    <x v="6"/>
    <x v="5"/>
    <s v="India"/>
    <x v="28"/>
    <x v="10"/>
    <n v="20628"/>
    <n v="25629"/>
  </r>
  <r>
    <s v="ORD04323"/>
    <d v="2025-08-01T00:00:00"/>
    <x v="11"/>
    <x v="12"/>
    <x v="4"/>
    <s v="India"/>
    <x v="28"/>
    <x v="25"/>
    <n v="17562"/>
    <n v="21511"/>
  </r>
  <r>
    <s v="ORD04324"/>
    <d v="2025-12-30T00:00:00"/>
    <x v="10"/>
    <x v="5"/>
    <x v="5"/>
    <s v="Germany"/>
    <x v="2"/>
    <x v="27"/>
    <n v="38677"/>
    <n v="42082"/>
  </r>
  <r>
    <s v="ORD04325"/>
    <d v="2025-06-20T00:00:00"/>
    <x v="5"/>
    <x v="13"/>
    <x v="6"/>
    <s v="Malaysia"/>
    <x v="19"/>
    <x v="4"/>
    <n v="25471"/>
    <n v="20022"/>
  </r>
  <r>
    <s v="ORD04326"/>
    <d v="2025-08-05T00:00:00"/>
    <x v="11"/>
    <x v="23"/>
    <x v="0"/>
    <s v="Germany"/>
    <x v="16"/>
    <x v="25"/>
    <n v="33716"/>
    <n v="33093"/>
  </r>
  <r>
    <s v="ORD04327"/>
    <d v="2025-01-17T00:00:00"/>
    <x v="1"/>
    <x v="1"/>
    <x v="3"/>
    <s v="Thailand"/>
    <x v="12"/>
    <x v="4"/>
    <n v="35958"/>
    <n v="34402"/>
  </r>
  <r>
    <s v="ORD04328"/>
    <d v="2025-10-07T00:00:00"/>
    <x v="4"/>
    <x v="45"/>
    <x v="1"/>
    <s v="Italy"/>
    <x v="4"/>
    <x v="29"/>
    <n v="22913"/>
    <n v="22105"/>
  </r>
  <r>
    <s v="ORD04329"/>
    <d v="2025-02-05T00:00:00"/>
    <x v="6"/>
    <x v="48"/>
    <x v="1"/>
    <s v="Malaysia"/>
    <x v="28"/>
    <x v="16"/>
    <n v="37061"/>
    <n v="48078"/>
  </r>
  <r>
    <s v="ORD04330"/>
    <d v="2025-09-15T00:00:00"/>
    <x v="3"/>
    <x v="8"/>
    <x v="2"/>
    <s v="Brazil"/>
    <x v="23"/>
    <x v="14"/>
    <n v="36361"/>
    <n v="26085"/>
  </r>
  <r>
    <s v="ORD04331"/>
    <d v="2025-07-02T00:00:00"/>
    <x v="0"/>
    <x v="37"/>
    <x v="4"/>
    <s v="UAE"/>
    <x v="47"/>
    <x v="27"/>
    <n v="20162"/>
    <n v="15098"/>
  </r>
  <r>
    <s v="ORD04332"/>
    <d v="2025-10-10T00:00:00"/>
    <x v="4"/>
    <x v="45"/>
    <x v="0"/>
    <s v="Brazil"/>
    <x v="42"/>
    <x v="3"/>
    <n v="20699"/>
    <n v="18106"/>
  </r>
  <r>
    <s v="ORD04333"/>
    <d v="2025-10-20T00:00:00"/>
    <x v="4"/>
    <x v="50"/>
    <x v="3"/>
    <s v="Malaysia"/>
    <x v="11"/>
    <x v="11"/>
    <n v="32821"/>
    <n v="38470"/>
  </r>
  <r>
    <s v="ORD04334"/>
    <d v="2025-03-09T00:00:00"/>
    <x v="9"/>
    <x v="35"/>
    <x v="1"/>
    <s v="Australia"/>
    <x v="1"/>
    <x v="29"/>
    <n v="18557"/>
    <n v="14661"/>
  </r>
  <r>
    <s v="ORD04335"/>
    <d v="2025-07-17T00:00:00"/>
    <x v="0"/>
    <x v="14"/>
    <x v="5"/>
    <s v="Singapore"/>
    <x v="9"/>
    <x v="21"/>
    <n v="37527"/>
    <n v="42171"/>
  </r>
  <r>
    <s v="ORD04336"/>
    <d v="2025-01-25T00:00:00"/>
    <x v="1"/>
    <x v="7"/>
    <x v="4"/>
    <s v="South Africa"/>
    <x v="38"/>
    <x v="24"/>
    <n v="22200"/>
    <n v="23038"/>
  </r>
  <r>
    <s v="ORD04337"/>
    <d v="2025-03-23T00:00:00"/>
    <x v="9"/>
    <x v="39"/>
    <x v="0"/>
    <s v="USA"/>
    <x v="16"/>
    <x v="14"/>
    <n v="20880"/>
    <n v="18088"/>
  </r>
  <r>
    <s v="ORD04338"/>
    <d v="2025-12-26T00:00:00"/>
    <x v="10"/>
    <x v="42"/>
    <x v="1"/>
    <s v="Germany"/>
    <x v="17"/>
    <x v="22"/>
    <n v="25822"/>
    <n v="18137"/>
  </r>
  <r>
    <s v="ORD04339"/>
    <d v="2025-02-26T00:00:00"/>
    <x v="6"/>
    <x v="22"/>
    <x v="3"/>
    <s v="Spain"/>
    <x v="11"/>
    <x v="8"/>
    <n v="26036"/>
    <n v="28745"/>
  </r>
  <r>
    <s v="ORD04340"/>
    <d v="2025-09-15T00:00:00"/>
    <x v="3"/>
    <x v="8"/>
    <x v="2"/>
    <s v="UK"/>
    <x v="18"/>
    <x v="22"/>
    <n v="25647"/>
    <n v="22756"/>
  </r>
  <r>
    <s v="ORD04341"/>
    <d v="2025-03-30T00:00:00"/>
    <x v="9"/>
    <x v="33"/>
    <x v="1"/>
    <s v="Russia"/>
    <x v="31"/>
    <x v="21"/>
    <n v="23980"/>
    <n v="25134"/>
  </r>
  <r>
    <s v="ORD04342"/>
    <d v="2025-10-01T00:00:00"/>
    <x v="4"/>
    <x v="49"/>
    <x v="0"/>
    <s v="Mexico"/>
    <x v="34"/>
    <x v="19"/>
    <n v="30806"/>
    <n v="37777"/>
  </r>
  <r>
    <s v="ORD04343"/>
    <d v="2025-02-08T00:00:00"/>
    <x v="6"/>
    <x v="48"/>
    <x v="2"/>
    <s v="India"/>
    <x v="27"/>
    <x v="9"/>
    <n v="27817"/>
    <n v="36140"/>
  </r>
  <r>
    <s v="ORD04344"/>
    <d v="2025-03-19T00:00:00"/>
    <x v="9"/>
    <x v="39"/>
    <x v="1"/>
    <s v="Japan"/>
    <x v="3"/>
    <x v="0"/>
    <n v="35191"/>
    <n v="40401"/>
  </r>
  <r>
    <s v="ORD04345"/>
    <d v="2025-12-02T00:00:00"/>
    <x v="10"/>
    <x v="43"/>
    <x v="3"/>
    <s v="South Africa"/>
    <x v="24"/>
    <x v="24"/>
    <n v="25685"/>
    <n v="20664"/>
  </r>
  <r>
    <s v="ORD04346"/>
    <d v="2025-07-06T00:00:00"/>
    <x v="0"/>
    <x v="37"/>
    <x v="2"/>
    <s v="UK"/>
    <x v="15"/>
    <x v="28"/>
    <n v="17775"/>
    <n v="21075"/>
  </r>
  <r>
    <s v="ORD04347"/>
    <d v="2025-12-26T00:00:00"/>
    <x v="10"/>
    <x v="42"/>
    <x v="3"/>
    <s v="South Africa"/>
    <x v="44"/>
    <x v="16"/>
    <n v="16956"/>
    <n v="19486"/>
  </r>
  <r>
    <s v="ORD04348"/>
    <d v="2025-02-20T00:00:00"/>
    <x v="6"/>
    <x v="15"/>
    <x v="0"/>
    <s v="India"/>
    <x v="42"/>
    <x v="13"/>
    <n v="28093"/>
    <n v="25142"/>
  </r>
  <r>
    <s v="ORD04349"/>
    <d v="2025-05-01T00:00:00"/>
    <x v="8"/>
    <x v="27"/>
    <x v="3"/>
    <s v="Brazil"/>
    <x v="26"/>
    <x v="5"/>
    <n v="28911"/>
    <n v="23729"/>
  </r>
  <r>
    <s v="ORD04350"/>
    <d v="2025-02-09T00:00:00"/>
    <x v="6"/>
    <x v="48"/>
    <x v="0"/>
    <s v="France"/>
    <x v="28"/>
    <x v="10"/>
    <n v="37526"/>
    <n v="31946"/>
  </r>
  <r>
    <s v="ORD04351"/>
    <d v="2025-03-30T00:00:00"/>
    <x v="9"/>
    <x v="33"/>
    <x v="3"/>
    <s v="Malaysia"/>
    <x v="2"/>
    <x v="11"/>
    <n v="22649"/>
    <n v="28241"/>
  </r>
  <r>
    <s v="ORD04352"/>
    <d v="2025-02-10T00:00:00"/>
    <x v="6"/>
    <x v="29"/>
    <x v="5"/>
    <s v="India"/>
    <x v="34"/>
    <x v="21"/>
    <n v="28909"/>
    <n v="36976"/>
  </r>
  <r>
    <s v="ORD04353"/>
    <d v="2025-03-22T00:00:00"/>
    <x v="9"/>
    <x v="39"/>
    <x v="3"/>
    <s v="Germany"/>
    <x v="28"/>
    <x v="10"/>
    <n v="22559"/>
    <n v="19287"/>
  </r>
  <r>
    <s v="ORD04354"/>
    <d v="2025-12-01T00:00:00"/>
    <x v="10"/>
    <x v="43"/>
    <x v="3"/>
    <s v="South Africa"/>
    <x v="45"/>
    <x v="14"/>
    <n v="39512"/>
    <n v="50856"/>
  </r>
  <r>
    <s v="ORD04355"/>
    <d v="2025-09-19T00:00:00"/>
    <x v="3"/>
    <x v="8"/>
    <x v="2"/>
    <s v="UAE"/>
    <x v="19"/>
    <x v="7"/>
    <n v="20744"/>
    <n v="15810"/>
  </r>
  <r>
    <s v="ORD04356"/>
    <d v="2025-04-16T00:00:00"/>
    <x v="7"/>
    <x v="20"/>
    <x v="1"/>
    <s v="USA"/>
    <x v="27"/>
    <x v="12"/>
    <n v="34316"/>
    <n v="43691"/>
  </r>
  <r>
    <s v="ORD04357"/>
    <d v="2025-08-18T00:00:00"/>
    <x v="11"/>
    <x v="46"/>
    <x v="0"/>
    <s v="Turkey"/>
    <x v="9"/>
    <x v="18"/>
    <n v="19211"/>
    <n v="23018"/>
  </r>
  <r>
    <s v="ORD04358"/>
    <d v="2025-12-05T00:00:00"/>
    <x v="10"/>
    <x v="43"/>
    <x v="1"/>
    <s v="Brazil"/>
    <x v="33"/>
    <x v="0"/>
    <n v="37384"/>
    <n v="42865"/>
  </r>
  <r>
    <s v="ORD04359"/>
    <d v="2025-05-17T00:00:00"/>
    <x v="8"/>
    <x v="17"/>
    <x v="4"/>
    <s v="France"/>
    <x v="6"/>
    <x v="28"/>
    <n v="24799"/>
    <n v="19454"/>
  </r>
  <r>
    <s v="ORD04360"/>
    <d v="2025-08-14T00:00:00"/>
    <x v="11"/>
    <x v="30"/>
    <x v="0"/>
    <s v="Spain"/>
    <x v="33"/>
    <x v="28"/>
    <n v="15294"/>
    <n v="12129"/>
  </r>
  <r>
    <s v="ORD04361"/>
    <d v="2025-06-21T00:00:00"/>
    <x v="5"/>
    <x v="13"/>
    <x v="0"/>
    <s v="Spain"/>
    <x v="20"/>
    <x v="1"/>
    <n v="21601"/>
    <n v="26798"/>
  </r>
  <r>
    <s v="ORD04362"/>
    <d v="2025-09-24T00:00:00"/>
    <x v="3"/>
    <x v="25"/>
    <x v="3"/>
    <s v="Russia"/>
    <x v="41"/>
    <x v="25"/>
    <n v="20281"/>
    <n v="20124"/>
  </r>
  <r>
    <s v="ORD04363"/>
    <d v="2025-12-15T00:00:00"/>
    <x v="10"/>
    <x v="21"/>
    <x v="1"/>
    <s v="Brazil"/>
    <x v="6"/>
    <x v="10"/>
    <n v="34981"/>
    <n v="27583"/>
  </r>
  <r>
    <s v="ORD04364"/>
    <d v="2025-09-29T00:00:00"/>
    <x v="3"/>
    <x v="49"/>
    <x v="3"/>
    <s v="China"/>
    <x v="10"/>
    <x v="29"/>
    <n v="31648"/>
    <n v="30258"/>
  </r>
  <r>
    <s v="ORD04365"/>
    <d v="2025-11-15T00:00:00"/>
    <x v="2"/>
    <x v="44"/>
    <x v="6"/>
    <s v="Germany"/>
    <x v="30"/>
    <x v="24"/>
    <n v="17942"/>
    <n v="23039"/>
  </r>
  <r>
    <s v="ORD04366"/>
    <d v="2025-07-19T00:00:00"/>
    <x v="0"/>
    <x v="14"/>
    <x v="6"/>
    <s v="Thailand"/>
    <x v="24"/>
    <x v="19"/>
    <n v="16268"/>
    <n v="13603"/>
  </r>
  <r>
    <s v="ORD04367"/>
    <d v="2025-08-30T00:00:00"/>
    <x v="11"/>
    <x v="28"/>
    <x v="3"/>
    <s v="Spain"/>
    <x v="5"/>
    <x v="18"/>
    <n v="16595"/>
    <n v="18625"/>
  </r>
  <r>
    <s v="ORD04368"/>
    <d v="2025-02-02T00:00:00"/>
    <x v="6"/>
    <x v="3"/>
    <x v="2"/>
    <s v="Brazil"/>
    <x v="22"/>
    <x v="17"/>
    <n v="32985"/>
    <n v="31026"/>
  </r>
  <r>
    <s v="ORD04369"/>
    <d v="2025-03-27T00:00:00"/>
    <x v="9"/>
    <x v="33"/>
    <x v="5"/>
    <s v="Japan"/>
    <x v="16"/>
    <x v="0"/>
    <n v="30245"/>
    <n v="35055"/>
  </r>
  <r>
    <s v="ORD04370"/>
    <d v="2025-09-28T00:00:00"/>
    <x v="3"/>
    <x v="25"/>
    <x v="0"/>
    <s v="Australia"/>
    <x v="16"/>
    <x v="16"/>
    <n v="39800"/>
    <n v="46207"/>
  </r>
  <r>
    <s v="ORD04371"/>
    <d v="2025-11-18T00:00:00"/>
    <x v="2"/>
    <x v="9"/>
    <x v="0"/>
    <s v="UAE"/>
    <x v="45"/>
    <x v="27"/>
    <n v="19253"/>
    <n v="19573"/>
  </r>
  <r>
    <s v="ORD04372"/>
    <d v="2025-02-03T00:00:00"/>
    <x v="6"/>
    <x v="48"/>
    <x v="0"/>
    <s v="Thailand"/>
    <x v="10"/>
    <x v="20"/>
    <n v="18946"/>
    <n v="18652"/>
  </r>
  <r>
    <s v="ORD04373"/>
    <d v="2025-02-19T00:00:00"/>
    <x v="6"/>
    <x v="15"/>
    <x v="1"/>
    <s v="Italy"/>
    <x v="48"/>
    <x v="17"/>
    <n v="31857"/>
    <n v="27866"/>
  </r>
  <r>
    <s v="ORD04374"/>
    <d v="2025-06-29T00:00:00"/>
    <x v="5"/>
    <x v="36"/>
    <x v="0"/>
    <s v="Italy"/>
    <x v="31"/>
    <x v="15"/>
    <n v="17370"/>
    <n v="18838"/>
  </r>
  <r>
    <s v="ORD04375"/>
    <d v="2025-11-29T00:00:00"/>
    <x v="2"/>
    <x v="11"/>
    <x v="6"/>
    <s v="Japan"/>
    <x v="33"/>
    <x v="7"/>
    <n v="25670"/>
    <n v="27699"/>
  </r>
  <r>
    <s v="ORD04376"/>
    <d v="2025-12-25T00:00:00"/>
    <x v="10"/>
    <x v="42"/>
    <x v="6"/>
    <s v="Australia"/>
    <x v="47"/>
    <x v="9"/>
    <n v="24191"/>
    <n v="23215"/>
  </r>
  <r>
    <s v="ORD04377"/>
    <d v="2025-01-09T00:00:00"/>
    <x v="1"/>
    <x v="6"/>
    <x v="3"/>
    <s v="Brazil"/>
    <x v="18"/>
    <x v="19"/>
    <n v="34795"/>
    <n v="40642"/>
  </r>
  <r>
    <s v="ORD04378"/>
    <d v="2025-04-13T00:00:00"/>
    <x v="7"/>
    <x v="16"/>
    <x v="2"/>
    <s v="USA"/>
    <x v="27"/>
    <x v="7"/>
    <n v="35478"/>
    <n v="38592"/>
  </r>
  <r>
    <s v="ORD04379"/>
    <d v="2025-10-06T00:00:00"/>
    <x v="4"/>
    <x v="45"/>
    <x v="2"/>
    <s v="Russia"/>
    <x v="34"/>
    <x v="17"/>
    <n v="22067"/>
    <n v="15688"/>
  </r>
  <r>
    <s v="ORD04380"/>
    <d v="2025-12-09T00:00:00"/>
    <x v="10"/>
    <x v="32"/>
    <x v="4"/>
    <s v="Italy"/>
    <x v="23"/>
    <x v="0"/>
    <n v="32740"/>
    <n v="34005"/>
  </r>
  <r>
    <s v="ORD04381"/>
    <d v="2025-07-05T00:00:00"/>
    <x v="0"/>
    <x v="37"/>
    <x v="0"/>
    <s v="Canada"/>
    <x v="41"/>
    <x v="13"/>
    <n v="30073"/>
    <n v="38723"/>
  </r>
  <r>
    <s v="ORD04382"/>
    <d v="2025-07-24T00:00:00"/>
    <x v="0"/>
    <x v="0"/>
    <x v="4"/>
    <s v="Spain"/>
    <x v="35"/>
    <x v="4"/>
    <n v="36809"/>
    <n v="45600"/>
  </r>
  <r>
    <s v="ORD04383"/>
    <d v="2025-11-11T00:00:00"/>
    <x v="2"/>
    <x v="44"/>
    <x v="1"/>
    <s v="France"/>
    <x v="42"/>
    <x v="24"/>
    <n v="22330"/>
    <n v="23019"/>
  </r>
  <r>
    <s v="ORD04384"/>
    <d v="2025-02-24T00:00:00"/>
    <x v="6"/>
    <x v="22"/>
    <x v="6"/>
    <s v="Mexico"/>
    <x v="31"/>
    <x v="29"/>
    <n v="36289"/>
    <n v="43017"/>
  </r>
  <r>
    <s v="ORD04385"/>
    <d v="2025-01-12T00:00:00"/>
    <x v="1"/>
    <x v="6"/>
    <x v="2"/>
    <s v="China"/>
    <x v="3"/>
    <x v="11"/>
    <n v="37723"/>
    <n v="43733"/>
  </r>
  <r>
    <s v="ORD04386"/>
    <d v="2025-05-14T00:00:00"/>
    <x v="8"/>
    <x v="17"/>
    <x v="6"/>
    <s v="USA"/>
    <x v="28"/>
    <x v="21"/>
    <n v="20984"/>
    <n v="26902"/>
  </r>
  <r>
    <s v="ORD04387"/>
    <d v="2025-05-30T00:00:00"/>
    <x v="8"/>
    <x v="24"/>
    <x v="5"/>
    <s v="Australia"/>
    <x v="12"/>
    <x v="11"/>
    <n v="34423"/>
    <n v="28026"/>
  </r>
  <r>
    <s v="ORD04388"/>
    <d v="2025-09-11T00:00:00"/>
    <x v="3"/>
    <x v="31"/>
    <x v="5"/>
    <s v="Japan"/>
    <x v="22"/>
    <x v="17"/>
    <n v="25325"/>
    <n v="26571"/>
  </r>
  <r>
    <s v="ORD04389"/>
    <d v="2025-02-19T00:00:00"/>
    <x v="6"/>
    <x v="15"/>
    <x v="3"/>
    <s v="Singapore"/>
    <x v="14"/>
    <x v="4"/>
    <n v="39004"/>
    <n v="29597"/>
  </r>
  <r>
    <s v="ORD04390"/>
    <d v="2025-05-13T00:00:00"/>
    <x v="8"/>
    <x v="17"/>
    <x v="1"/>
    <s v="Malaysia"/>
    <x v="42"/>
    <x v="10"/>
    <n v="25040"/>
    <n v="29919"/>
  </r>
  <r>
    <s v="ORD04391"/>
    <d v="2025-04-29T00:00:00"/>
    <x v="7"/>
    <x v="27"/>
    <x v="1"/>
    <s v="UK"/>
    <x v="8"/>
    <x v="13"/>
    <n v="20649"/>
    <n v="15639"/>
  </r>
  <r>
    <s v="ORD04392"/>
    <d v="2025-12-18T00:00:00"/>
    <x v="10"/>
    <x v="21"/>
    <x v="5"/>
    <s v="Spain"/>
    <x v="44"/>
    <x v="13"/>
    <n v="34126"/>
    <n v="28451"/>
  </r>
  <r>
    <s v="ORD04393"/>
    <d v="2025-12-09T00:00:00"/>
    <x v="10"/>
    <x v="32"/>
    <x v="1"/>
    <s v="Thailand"/>
    <x v="23"/>
    <x v="7"/>
    <n v="26881"/>
    <n v="26223"/>
  </r>
  <r>
    <s v="ORD04394"/>
    <d v="2025-01-24T00:00:00"/>
    <x v="1"/>
    <x v="7"/>
    <x v="3"/>
    <s v="Canada"/>
    <x v="43"/>
    <x v="20"/>
    <n v="17447"/>
    <n v="14220"/>
  </r>
  <r>
    <s v="ORD04395"/>
    <d v="2025-02-21T00:00:00"/>
    <x v="6"/>
    <x v="15"/>
    <x v="6"/>
    <s v="Australia"/>
    <x v="42"/>
    <x v="22"/>
    <n v="39790"/>
    <n v="43315"/>
  </r>
  <r>
    <s v="ORD04396"/>
    <d v="2025-10-20T00:00:00"/>
    <x v="4"/>
    <x v="50"/>
    <x v="2"/>
    <s v="UK"/>
    <x v="43"/>
    <x v="8"/>
    <n v="15732"/>
    <n v="19168"/>
  </r>
  <r>
    <s v="ORD04397"/>
    <d v="2025-08-18T00:00:00"/>
    <x v="11"/>
    <x v="46"/>
    <x v="1"/>
    <s v="Mexico"/>
    <x v="1"/>
    <x v="29"/>
    <n v="38556"/>
    <n v="47818"/>
  </r>
  <r>
    <s v="ORD04398"/>
    <d v="2025-05-08T00:00:00"/>
    <x v="8"/>
    <x v="18"/>
    <x v="0"/>
    <s v="Malaysia"/>
    <x v="27"/>
    <x v="18"/>
    <n v="26768"/>
    <n v="32859"/>
  </r>
  <r>
    <s v="ORD04399"/>
    <d v="2025-12-11T00:00:00"/>
    <x v="10"/>
    <x v="32"/>
    <x v="6"/>
    <s v="UAE"/>
    <x v="36"/>
    <x v="18"/>
    <n v="17297"/>
    <n v="19658"/>
  </r>
  <r>
    <s v="ORD04400"/>
    <d v="2025-11-15T00:00:00"/>
    <x v="2"/>
    <x v="44"/>
    <x v="4"/>
    <s v="Mexico"/>
    <x v="18"/>
    <x v="19"/>
    <n v="34028"/>
    <n v="43933"/>
  </r>
  <r>
    <s v="ORD04401"/>
    <d v="2025-12-05T00:00:00"/>
    <x v="10"/>
    <x v="43"/>
    <x v="0"/>
    <s v="UAE"/>
    <x v="1"/>
    <x v="21"/>
    <n v="16206"/>
    <n v="13660"/>
  </r>
  <r>
    <s v="ORD04402"/>
    <d v="2025-03-11T00:00:00"/>
    <x v="9"/>
    <x v="19"/>
    <x v="4"/>
    <s v="Mexico"/>
    <x v="39"/>
    <x v="25"/>
    <n v="32276"/>
    <n v="29017"/>
  </r>
  <r>
    <s v="ORD04403"/>
    <d v="2025-12-29T00:00:00"/>
    <x v="10"/>
    <x v="5"/>
    <x v="3"/>
    <s v="Japan"/>
    <x v="37"/>
    <x v="20"/>
    <n v="37847"/>
    <n v="44148"/>
  </r>
  <r>
    <s v="ORD04404"/>
    <d v="2025-04-06T00:00:00"/>
    <x v="7"/>
    <x v="34"/>
    <x v="3"/>
    <s v="Germany"/>
    <x v="38"/>
    <x v="4"/>
    <n v="31168"/>
    <n v="26967"/>
  </r>
  <r>
    <s v="ORD04405"/>
    <d v="2025-05-24T00:00:00"/>
    <x v="8"/>
    <x v="26"/>
    <x v="5"/>
    <s v="China"/>
    <x v="11"/>
    <x v="8"/>
    <n v="18982"/>
    <n v="20757"/>
  </r>
  <r>
    <s v="ORD04406"/>
    <d v="2025-11-11T00:00:00"/>
    <x v="2"/>
    <x v="44"/>
    <x v="5"/>
    <s v="Japan"/>
    <x v="49"/>
    <x v="20"/>
    <n v="39329"/>
    <n v="36771"/>
  </r>
  <r>
    <s v="ORD04407"/>
    <d v="2025-09-18T00:00:00"/>
    <x v="3"/>
    <x v="8"/>
    <x v="2"/>
    <s v="Germany"/>
    <x v="22"/>
    <x v="14"/>
    <n v="35554"/>
    <n v="41665"/>
  </r>
  <r>
    <s v="ORD04408"/>
    <d v="2025-01-16T00:00:00"/>
    <x v="1"/>
    <x v="1"/>
    <x v="1"/>
    <s v="China"/>
    <x v="22"/>
    <x v="22"/>
    <n v="21135"/>
    <n v="22954"/>
  </r>
  <r>
    <s v="ORD04409"/>
    <d v="2025-05-21T00:00:00"/>
    <x v="8"/>
    <x v="26"/>
    <x v="5"/>
    <s v="Australia"/>
    <x v="33"/>
    <x v="27"/>
    <n v="23950"/>
    <n v="19451"/>
  </r>
  <r>
    <s v="ORD04410"/>
    <d v="2025-10-29T00:00:00"/>
    <x v="4"/>
    <x v="2"/>
    <x v="3"/>
    <s v="France"/>
    <x v="24"/>
    <x v="9"/>
    <n v="23893"/>
    <n v="27000"/>
  </r>
  <r>
    <s v="ORD04411"/>
    <d v="2025-01-03T00:00:00"/>
    <x v="1"/>
    <x v="5"/>
    <x v="0"/>
    <s v="Australia"/>
    <x v="24"/>
    <x v="8"/>
    <n v="32932"/>
    <n v="30056"/>
  </r>
  <r>
    <s v="ORD04412"/>
    <d v="2025-04-11T00:00:00"/>
    <x v="7"/>
    <x v="16"/>
    <x v="1"/>
    <s v="Germany"/>
    <x v="26"/>
    <x v="18"/>
    <n v="39768"/>
    <n v="38183"/>
  </r>
  <r>
    <s v="ORD04413"/>
    <d v="2025-03-11T00:00:00"/>
    <x v="9"/>
    <x v="19"/>
    <x v="2"/>
    <s v="India"/>
    <x v="0"/>
    <x v="23"/>
    <n v="15573"/>
    <n v="19304"/>
  </r>
  <r>
    <s v="ORD04414"/>
    <d v="2025-01-06T00:00:00"/>
    <x v="1"/>
    <x v="6"/>
    <x v="3"/>
    <s v="Turkey"/>
    <x v="47"/>
    <x v="25"/>
    <n v="38695"/>
    <n v="31796"/>
  </r>
  <r>
    <s v="ORD04415"/>
    <d v="2025-08-24T00:00:00"/>
    <x v="11"/>
    <x v="46"/>
    <x v="6"/>
    <s v="India"/>
    <x v="15"/>
    <x v="10"/>
    <n v="33733"/>
    <n v="24749"/>
  </r>
  <r>
    <s v="ORD04416"/>
    <d v="2025-08-08T00:00:00"/>
    <x v="11"/>
    <x v="23"/>
    <x v="6"/>
    <s v="Singapore"/>
    <x v="9"/>
    <x v="4"/>
    <n v="29289"/>
    <n v="32881"/>
  </r>
  <r>
    <s v="ORD04417"/>
    <d v="2025-05-16T00:00:00"/>
    <x v="8"/>
    <x v="17"/>
    <x v="3"/>
    <s v="South Africa"/>
    <x v="30"/>
    <x v="9"/>
    <n v="16666"/>
    <n v="21441"/>
  </r>
  <r>
    <s v="ORD04418"/>
    <d v="2025-07-16T00:00:00"/>
    <x v="0"/>
    <x v="14"/>
    <x v="4"/>
    <s v="USA"/>
    <x v="8"/>
    <x v="6"/>
    <n v="25767"/>
    <n v="19955"/>
  </r>
  <r>
    <s v="ORD04419"/>
    <d v="2025-07-24T00:00:00"/>
    <x v="0"/>
    <x v="0"/>
    <x v="6"/>
    <s v="USA"/>
    <x v="14"/>
    <x v="13"/>
    <n v="17856"/>
    <n v="18056"/>
  </r>
  <r>
    <s v="ORD04420"/>
    <d v="2025-05-29T00:00:00"/>
    <x v="8"/>
    <x v="24"/>
    <x v="3"/>
    <s v="South Africa"/>
    <x v="16"/>
    <x v="5"/>
    <n v="38513"/>
    <n v="46687"/>
  </r>
  <r>
    <s v="ORD04421"/>
    <d v="2025-05-26T00:00:00"/>
    <x v="8"/>
    <x v="24"/>
    <x v="3"/>
    <s v="China"/>
    <x v="48"/>
    <x v="13"/>
    <n v="33730"/>
    <n v="37951"/>
  </r>
  <r>
    <s v="ORD04422"/>
    <d v="2025-05-01T00:00:00"/>
    <x v="8"/>
    <x v="27"/>
    <x v="6"/>
    <s v="France"/>
    <x v="16"/>
    <x v="26"/>
    <n v="30334"/>
    <n v="25307"/>
  </r>
  <r>
    <s v="ORD04423"/>
    <d v="2025-09-22T00:00:00"/>
    <x v="3"/>
    <x v="25"/>
    <x v="5"/>
    <s v="Mexico"/>
    <x v="46"/>
    <x v="17"/>
    <n v="27274"/>
    <n v="30587"/>
  </r>
  <r>
    <s v="ORD04424"/>
    <d v="2025-03-17T00:00:00"/>
    <x v="9"/>
    <x v="39"/>
    <x v="2"/>
    <s v="France"/>
    <x v="35"/>
    <x v="20"/>
    <n v="39822"/>
    <n v="34127"/>
  </r>
  <r>
    <s v="ORD04425"/>
    <d v="2025-10-01T00:00:00"/>
    <x v="4"/>
    <x v="49"/>
    <x v="3"/>
    <s v="Thailand"/>
    <x v="31"/>
    <x v="17"/>
    <n v="32536"/>
    <n v="41230"/>
  </r>
  <r>
    <s v="ORD04426"/>
    <d v="2025-08-09T00:00:00"/>
    <x v="11"/>
    <x v="23"/>
    <x v="0"/>
    <s v="Canada"/>
    <x v="40"/>
    <x v="15"/>
    <n v="31732"/>
    <n v="25328"/>
  </r>
  <r>
    <s v="ORD04427"/>
    <d v="2025-06-21T00:00:00"/>
    <x v="5"/>
    <x v="13"/>
    <x v="5"/>
    <s v="China"/>
    <x v="21"/>
    <x v="27"/>
    <n v="37602"/>
    <n v="42022"/>
  </r>
  <r>
    <s v="ORD04428"/>
    <d v="2025-08-28T00:00:00"/>
    <x v="11"/>
    <x v="28"/>
    <x v="6"/>
    <s v="Australia"/>
    <x v="40"/>
    <x v="7"/>
    <n v="29221"/>
    <n v="37163"/>
  </r>
  <r>
    <s v="ORD04429"/>
    <d v="2025-03-15T00:00:00"/>
    <x v="9"/>
    <x v="19"/>
    <x v="2"/>
    <s v="Italy"/>
    <x v="36"/>
    <x v="7"/>
    <n v="15564"/>
    <n v="12999"/>
  </r>
  <r>
    <s v="ORD04430"/>
    <d v="2025-05-24T00:00:00"/>
    <x v="8"/>
    <x v="26"/>
    <x v="0"/>
    <s v="USA"/>
    <x v="2"/>
    <x v="15"/>
    <n v="24203"/>
    <n v="30268"/>
  </r>
  <r>
    <s v="ORD04431"/>
    <d v="2025-03-17T00:00:00"/>
    <x v="9"/>
    <x v="39"/>
    <x v="6"/>
    <s v="South Africa"/>
    <x v="35"/>
    <x v="22"/>
    <n v="25506"/>
    <n v="32190"/>
  </r>
  <r>
    <s v="ORD04432"/>
    <d v="2025-02-18T00:00:00"/>
    <x v="6"/>
    <x v="15"/>
    <x v="1"/>
    <s v="Mexico"/>
    <x v="9"/>
    <x v="25"/>
    <n v="16072"/>
    <n v="13260"/>
  </r>
  <r>
    <s v="ORD04433"/>
    <d v="2025-04-13T00:00:00"/>
    <x v="7"/>
    <x v="16"/>
    <x v="5"/>
    <s v="Mexico"/>
    <x v="0"/>
    <x v="26"/>
    <n v="27803"/>
    <n v="27841"/>
  </r>
  <r>
    <s v="ORD04434"/>
    <d v="2025-11-06T00:00:00"/>
    <x v="2"/>
    <x v="51"/>
    <x v="1"/>
    <s v="UAE"/>
    <x v="20"/>
    <x v="29"/>
    <n v="15383"/>
    <n v="14263"/>
  </r>
  <r>
    <s v="ORD04435"/>
    <d v="2025-08-01T00:00:00"/>
    <x v="11"/>
    <x v="12"/>
    <x v="3"/>
    <s v="South Africa"/>
    <x v="1"/>
    <x v="23"/>
    <n v="36272"/>
    <n v="38109"/>
  </r>
  <r>
    <s v="ORD04436"/>
    <d v="2025-06-16T00:00:00"/>
    <x v="5"/>
    <x v="13"/>
    <x v="5"/>
    <s v="Malaysia"/>
    <x v="38"/>
    <x v="21"/>
    <n v="29995"/>
    <n v="32650"/>
  </r>
  <r>
    <s v="ORD04437"/>
    <d v="2025-04-20T00:00:00"/>
    <x v="7"/>
    <x v="20"/>
    <x v="6"/>
    <s v="Turkey"/>
    <x v="39"/>
    <x v="19"/>
    <n v="20871"/>
    <n v="15136"/>
  </r>
  <r>
    <s v="ORD04438"/>
    <d v="2025-08-13T00:00:00"/>
    <x v="11"/>
    <x v="30"/>
    <x v="5"/>
    <s v="India"/>
    <x v="34"/>
    <x v="29"/>
    <n v="30211"/>
    <n v="31885"/>
  </r>
  <r>
    <s v="ORD04439"/>
    <d v="2025-03-14T00:00:00"/>
    <x v="9"/>
    <x v="19"/>
    <x v="5"/>
    <s v="Canada"/>
    <x v="13"/>
    <x v="11"/>
    <n v="31265"/>
    <n v="24256"/>
  </r>
  <r>
    <s v="ORD04440"/>
    <d v="2025-03-24T00:00:00"/>
    <x v="9"/>
    <x v="33"/>
    <x v="0"/>
    <s v="USA"/>
    <x v="12"/>
    <x v="23"/>
    <n v="15001"/>
    <n v="11026"/>
  </r>
  <r>
    <s v="ORD04441"/>
    <d v="2025-09-19T00:00:00"/>
    <x v="3"/>
    <x v="8"/>
    <x v="2"/>
    <s v="Mexico"/>
    <x v="39"/>
    <x v="0"/>
    <n v="22227"/>
    <n v="19298"/>
  </r>
  <r>
    <s v="ORD04442"/>
    <d v="2025-10-12T00:00:00"/>
    <x v="4"/>
    <x v="45"/>
    <x v="1"/>
    <s v="UAE"/>
    <x v="23"/>
    <x v="6"/>
    <n v="35228"/>
    <n v="34786"/>
  </r>
  <r>
    <s v="ORD04443"/>
    <d v="2025-10-23T00:00:00"/>
    <x v="4"/>
    <x v="50"/>
    <x v="0"/>
    <s v="India"/>
    <x v="48"/>
    <x v="12"/>
    <n v="18118"/>
    <n v="22113"/>
  </r>
  <r>
    <s v="ORD04444"/>
    <d v="2025-05-13T00:00:00"/>
    <x v="8"/>
    <x v="17"/>
    <x v="2"/>
    <s v="Malaysia"/>
    <x v="15"/>
    <x v="17"/>
    <n v="25482"/>
    <n v="30933"/>
  </r>
  <r>
    <s v="ORD04445"/>
    <d v="2025-09-19T00:00:00"/>
    <x v="3"/>
    <x v="8"/>
    <x v="3"/>
    <s v="Australia"/>
    <x v="49"/>
    <x v="7"/>
    <n v="34378"/>
    <n v="30423"/>
  </r>
  <r>
    <s v="ORD04446"/>
    <d v="2025-07-06T00:00:00"/>
    <x v="0"/>
    <x v="37"/>
    <x v="0"/>
    <s v="Italy"/>
    <x v="49"/>
    <x v="24"/>
    <n v="19399"/>
    <n v="24334"/>
  </r>
  <r>
    <s v="ORD04447"/>
    <d v="2025-09-04T00:00:00"/>
    <x v="3"/>
    <x v="4"/>
    <x v="3"/>
    <s v="Malaysia"/>
    <x v="1"/>
    <x v="23"/>
    <n v="38066"/>
    <n v="34308"/>
  </r>
  <r>
    <s v="ORD04448"/>
    <d v="2025-06-26T00:00:00"/>
    <x v="5"/>
    <x v="36"/>
    <x v="4"/>
    <s v="South Africa"/>
    <x v="18"/>
    <x v="20"/>
    <n v="37536"/>
    <n v="34810"/>
  </r>
  <r>
    <s v="ORD04449"/>
    <d v="2025-09-23T00:00:00"/>
    <x v="3"/>
    <x v="25"/>
    <x v="5"/>
    <s v="Thailand"/>
    <x v="29"/>
    <x v="0"/>
    <n v="26993"/>
    <n v="26675"/>
  </r>
  <r>
    <s v="ORD04450"/>
    <d v="2025-10-21T00:00:00"/>
    <x v="4"/>
    <x v="50"/>
    <x v="4"/>
    <s v="Spain"/>
    <x v="26"/>
    <x v="1"/>
    <n v="33526"/>
    <n v="39890"/>
  </r>
  <r>
    <s v="ORD04451"/>
    <d v="2025-10-18T00:00:00"/>
    <x v="4"/>
    <x v="10"/>
    <x v="2"/>
    <s v="China"/>
    <x v="43"/>
    <x v="22"/>
    <n v="38343"/>
    <n v="46547"/>
  </r>
  <r>
    <s v="ORD04452"/>
    <d v="2025-03-14T00:00:00"/>
    <x v="9"/>
    <x v="19"/>
    <x v="1"/>
    <s v="USA"/>
    <x v="4"/>
    <x v="4"/>
    <n v="32406"/>
    <n v="22867"/>
  </r>
  <r>
    <s v="ORD04453"/>
    <d v="2025-02-04T00:00:00"/>
    <x v="6"/>
    <x v="48"/>
    <x v="6"/>
    <s v="Brazil"/>
    <x v="29"/>
    <x v="23"/>
    <n v="24976"/>
    <n v="29550"/>
  </r>
  <r>
    <s v="ORD04454"/>
    <d v="2025-10-22T00:00:00"/>
    <x v="4"/>
    <x v="50"/>
    <x v="0"/>
    <s v="India"/>
    <x v="45"/>
    <x v="19"/>
    <n v="30052"/>
    <n v="23309"/>
  </r>
  <r>
    <s v="ORD04455"/>
    <d v="2025-01-25T00:00:00"/>
    <x v="1"/>
    <x v="7"/>
    <x v="5"/>
    <s v="Singapore"/>
    <x v="1"/>
    <x v="22"/>
    <n v="30774"/>
    <n v="25659"/>
  </r>
  <r>
    <s v="ORD04456"/>
    <d v="2025-11-12T00:00:00"/>
    <x v="2"/>
    <x v="44"/>
    <x v="1"/>
    <s v="Thailand"/>
    <x v="26"/>
    <x v="12"/>
    <n v="36036"/>
    <n v="45939"/>
  </r>
  <r>
    <s v="ORD04457"/>
    <d v="2025-12-27T00:00:00"/>
    <x v="10"/>
    <x v="42"/>
    <x v="1"/>
    <s v="Russia"/>
    <x v="11"/>
    <x v="24"/>
    <n v="18586"/>
    <n v="15909"/>
  </r>
  <r>
    <s v="ORD04458"/>
    <d v="2025-09-07T00:00:00"/>
    <x v="3"/>
    <x v="4"/>
    <x v="0"/>
    <s v="USA"/>
    <x v="42"/>
    <x v="14"/>
    <n v="27519"/>
    <n v="21504"/>
  </r>
  <r>
    <s v="ORD04459"/>
    <d v="2025-05-08T00:00:00"/>
    <x v="8"/>
    <x v="18"/>
    <x v="6"/>
    <s v="Germany"/>
    <x v="43"/>
    <x v="19"/>
    <n v="31685"/>
    <n v="38943"/>
  </r>
  <r>
    <s v="ORD04460"/>
    <d v="2025-04-04T00:00:00"/>
    <x v="7"/>
    <x v="34"/>
    <x v="1"/>
    <s v="Canada"/>
    <x v="44"/>
    <x v="24"/>
    <n v="26557"/>
    <n v="32582"/>
  </r>
  <r>
    <s v="ORD04461"/>
    <d v="2025-06-01T00:00:00"/>
    <x v="5"/>
    <x v="24"/>
    <x v="2"/>
    <s v="UAE"/>
    <x v="27"/>
    <x v="6"/>
    <n v="23326"/>
    <n v="21750"/>
  </r>
  <r>
    <s v="ORD04462"/>
    <d v="2025-05-22T00:00:00"/>
    <x v="8"/>
    <x v="26"/>
    <x v="4"/>
    <s v="Russia"/>
    <x v="17"/>
    <x v="25"/>
    <n v="36841"/>
    <n v="44863"/>
  </r>
  <r>
    <s v="ORD04463"/>
    <d v="2025-08-29T00:00:00"/>
    <x v="11"/>
    <x v="28"/>
    <x v="0"/>
    <s v="Mexico"/>
    <x v="43"/>
    <x v="23"/>
    <n v="20791"/>
    <n v="19162"/>
  </r>
  <r>
    <s v="ORD04464"/>
    <d v="2025-07-05T00:00:00"/>
    <x v="0"/>
    <x v="37"/>
    <x v="5"/>
    <s v="USA"/>
    <x v="43"/>
    <x v="28"/>
    <n v="15466"/>
    <n v="19953"/>
  </r>
  <r>
    <s v="ORD04465"/>
    <d v="2025-08-04T00:00:00"/>
    <x v="11"/>
    <x v="23"/>
    <x v="1"/>
    <s v="Singapore"/>
    <x v="31"/>
    <x v="2"/>
    <n v="29243"/>
    <n v="29517"/>
  </r>
  <r>
    <s v="ORD04466"/>
    <d v="2025-12-25T00:00:00"/>
    <x v="10"/>
    <x v="42"/>
    <x v="2"/>
    <s v="Japan"/>
    <x v="37"/>
    <x v="9"/>
    <n v="17950"/>
    <n v="16261"/>
  </r>
  <r>
    <s v="ORD04467"/>
    <d v="2025-12-13T00:00:00"/>
    <x v="10"/>
    <x v="32"/>
    <x v="0"/>
    <s v="USA"/>
    <x v="32"/>
    <x v="13"/>
    <n v="23885"/>
    <n v="30425"/>
  </r>
  <r>
    <s v="ORD04468"/>
    <d v="2025-09-24T00:00:00"/>
    <x v="3"/>
    <x v="25"/>
    <x v="2"/>
    <s v="USA"/>
    <x v="5"/>
    <x v="22"/>
    <n v="17297"/>
    <n v="15675"/>
  </r>
  <r>
    <s v="ORD04469"/>
    <d v="2025-10-22T00:00:00"/>
    <x v="4"/>
    <x v="50"/>
    <x v="1"/>
    <s v="UAE"/>
    <x v="19"/>
    <x v="29"/>
    <n v="15433"/>
    <n v="12543"/>
  </r>
  <r>
    <s v="ORD04470"/>
    <d v="2025-04-01T00:00:00"/>
    <x v="7"/>
    <x v="34"/>
    <x v="0"/>
    <s v="Mexico"/>
    <x v="10"/>
    <x v="23"/>
    <n v="29535"/>
    <n v="29611"/>
  </r>
  <r>
    <s v="ORD04471"/>
    <d v="2025-09-12T00:00:00"/>
    <x v="3"/>
    <x v="31"/>
    <x v="4"/>
    <s v="Australia"/>
    <x v="48"/>
    <x v="8"/>
    <n v="18556"/>
    <n v="24119"/>
  </r>
  <r>
    <s v="ORD04472"/>
    <d v="2025-06-08T00:00:00"/>
    <x v="5"/>
    <x v="41"/>
    <x v="2"/>
    <s v="Mexico"/>
    <x v="12"/>
    <x v="28"/>
    <n v="39811"/>
    <n v="35902"/>
  </r>
  <r>
    <s v="ORD04473"/>
    <d v="2025-03-16T00:00:00"/>
    <x v="9"/>
    <x v="19"/>
    <x v="0"/>
    <s v="Spain"/>
    <x v="43"/>
    <x v="25"/>
    <n v="27870"/>
    <n v="32821"/>
  </r>
  <r>
    <s v="ORD04474"/>
    <d v="2025-12-18T00:00:00"/>
    <x v="10"/>
    <x v="21"/>
    <x v="2"/>
    <s v="Mexico"/>
    <x v="31"/>
    <x v="12"/>
    <n v="26103"/>
    <n v="31520"/>
  </r>
  <r>
    <s v="ORD04475"/>
    <d v="2025-08-24T00:00:00"/>
    <x v="11"/>
    <x v="46"/>
    <x v="5"/>
    <s v="UK"/>
    <x v="22"/>
    <x v="18"/>
    <n v="18297"/>
    <n v="23676"/>
  </r>
  <r>
    <s v="ORD04476"/>
    <d v="2025-05-31T00:00:00"/>
    <x v="8"/>
    <x v="24"/>
    <x v="5"/>
    <s v="UAE"/>
    <x v="37"/>
    <x v="26"/>
    <n v="31676"/>
    <n v="35815"/>
  </r>
  <r>
    <s v="ORD04477"/>
    <d v="2025-11-30T00:00:00"/>
    <x v="2"/>
    <x v="11"/>
    <x v="6"/>
    <s v="Australia"/>
    <x v="11"/>
    <x v="26"/>
    <n v="21259"/>
    <n v="25918"/>
  </r>
  <r>
    <s v="ORD04478"/>
    <d v="2025-07-14T00:00:00"/>
    <x v="0"/>
    <x v="14"/>
    <x v="4"/>
    <s v="Thailand"/>
    <x v="9"/>
    <x v="16"/>
    <n v="16931"/>
    <n v="12370"/>
  </r>
  <r>
    <s v="ORD04479"/>
    <d v="2025-04-28T00:00:00"/>
    <x v="7"/>
    <x v="27"/>
    <x v="4"/>
    <s v="Australia"/>
    <x v="49"/>
    <x v="5"/>
    <n v="26564"/>
    <n v="24289"/>
  </r>
  <r>
    <s v="ORD04480"/>
    <d v="2025-02-26T00:00:00"/>
    <x v="6"/>
    <x v="22"/>
    <x v="0"/>
    <s v="Spain"/>
    <x v="34"/>
    <x v="5"/>
    <n v="19792"/>
    <n v="18363"/>
  </r>
  <r>
    <s v="ORD04481"/>
    <d v="2025-03-26T00:00:00"/>
    <x v="9"/>
    <x v="33"/>
    <x v="0"/>
    <s v="China"/>
    <x v="41"/>
    <x v="28"/>
    <n v="28176"/>
    <n v="23232"/>
  </r>
  <r>
    <s v="ORD04482"/>
    <d v="2025-05-11T00:00:00"/>
    <x v="8"/>
    <x v="18"/>
    <x v="2"/>
    <s v="UK"/>
    <x v="31"/>
    <x v="26"/>
    <n v="33247"/>
    <n v="38687"/>
  </r>
  <r>
    <s v="ORD04483"/>
    <d v="2025-05-15T00:00:00"/>
    <x v="8"/>
    <x v="17"/>
    <x v="4"/>
    <s v="Germany"/>
    <x v="27"/>
    <x v="20"/>
    <n v="15758"/>
    <n v="12481"/>
  </r>
  <r>
    <s v="ORD04484"/>
    <d v="2025-12-01T00:00:00"/>
    <x v="10"/>
    <x v="43"/>
    <x v="1"/>
    <s v="Russia"/>
    <x v="0"/>
    <x v="27"/>
    <n v="15066"/>
    <n v="13715"/>
  </r>
  <r>
    <s v="ORD04485"/>
    <d v="2025-12-01T00:00:00"/>
    <x v="10"/>
    <x v="43"/>
    <x v="6"/>
    <s v="France"/>
    <x v="25"/>
    <x v="5"/>
    <n v="24929"/>
    <n v="20272"/>
  </r>
  <r>
    <s v="ORD04486"/>
    <d v="2025-05-30T00:00:00"/>
    <x v="8"/>
    <x v="24"/>
    <x v="5"/>
    <s v="Japan"/>
    <x v="42"/>
    <x v="18"/>
    <n v="27532"/>
    <n v="34368"/>
  </r>
  <r>
    <s v="ORD04487"/>
    <d v="2025-02-09T00:00:00"/>
    <x v="6"/>
    <x v="48"/>
    <x v="1"/>
    <s v="China"/>
    <x v="19"/>
    <x v="1"/>
    <n v="27839"/>
    <n v="32127"/>
  </r>
  <r>
    <s v="ORD04488"/>
    <d v="2025-06-23T00:00:00"/>
    <x v="5"/>
    <x v="36"/>
    <x v="6"/>
    <s v="Russia"/>
    <x v="13"/>
    <x v="6"/>
    <n v="20214"/>
    <n v="25670"/>
  </r>
  <r>
    <s v="ORD04489"/>
    <d v="2025-07-08T00:00:00"/>
    <x v="0"/>
    <x v="47"/>
    <x v="4"/>
    <s v="Malaysia"/>
    <x v="40"/>
    <x v="15"/>
    <n v="23439"/>
    <n v="20174"/>
  </r>
  <r>
    <s v="ORD04490"/>
    <d v="2025-03-23T00:00:00"/>
    <x v="9"/>
    <x v="39"/>
    <x v="2"/>
    <s v="UK"/>
    <x v="7"/>
    <x v="25"/>
    <n v="38683"/>
    <n v="48571"/>
  </r>
  <r>
    <s v="ORD04491"/>
    <d v="2025-12-24T00:00:00"/>
    <x v="10"/>
    <x v="42"/>
    <x v="1"/>
    <s v="Russia"/>
    <x v="31"/>
    <x v="5"/>
    <n v="25041"/>
    <n v="25010"/>
  </r>
  <r>
    <s v="ORD04492"/>
    <d v="2025-09-30T00:00:00"/>
    <x v="3"/>
    <x v="49"/>
    <x v="1"/>
    <s v="UK"/>
    <x v="17"/>
    <x v="26"/>
    <n v="30142"/>
    <n v="35468"/>
  </r>
  <r>
    <s v="ORD04493"/>
    <d v="2025-04-04T00:00:00"/>
    <x v="7"/>
    <x v="34"/>
    <x v="3"/>
    <s v="Singapore"/>
    <x v="2"/>
    <x v="8"/>
    <n v="29162"/>
    <n v="34333"/>
  </r>
  <r>
    <s v="ORD04494"/>
    <d v="2025-04-30T00:00:00"/>
    <x v="7"/>
    <x v="27"/>
    <x v="1"/>
    <s v="USA"/>
    <x v="27"/>
    <x v="13"/>
    <n v="27317"/>
    <n v="34172"/>
  </r>
  <r>
    <s v="ORD04495"/>
    <d v="2025-12-30T00:00:00"/>
    <x v="10"/>
    <x v="5"/>
    <x v="2"/>
    <s v="Australia"/>
    <x v="27"/>
    <x v="2"/>
    <n v="30417"/>
    <n v="27478"/>
  </r>
  <r>
    <s v="ORD04496"/>
    <d v="2025-11-03T00:00:00"/>
    <x v="2"/>
    <x v="51"/>
    <x v="3"/>
    <s v="Singapore"/>
    <x v="34"/>
    <x v="22"/>
    <n v="28670"/>
    <n v="29845"/>
  </r>
  <r>
    <s v="ORD04497"/>
    <d v="2025-04-26T00:00:00"/>
    <x v="7"/>
    <x v="38"/>
    <x v="5"/>
    <s v="South Africa"/>
    <x v="44"/>
    <x v="17"/>
    <n v="32841"/>
    <n v="42170"/>
  </r>
  <r>
    <s v="ORD04498"/>
    <d v="2025-08-08T00:00:00"/>
    <x v="11"/>
    <x v="23"/>
    <x v="3"/>
    <s v="Thailand"/>
    <x v="7"/>
    <x v="10"/>
    <n v="37995"/>
    <n v="31805"/>
  </r>
  <r>
    <s v="ORD04499"/>
    <d v="2025-08-08T00:00:00"/>
    <x v="11"/>
    <x v="23"/>
    <x v="5"/>
    <s v="UK"/>
    <x v="49"/>
    <x v="29"/>
    <n v="29673"/>
    <n v="29526"/>
  </r>
  <r>
    <s v="ORD04500"/>
    <d v="2025-12-12T00:00:00"/>
    <x v="10"/>
    <x v="32"/>
    <x v="4"/>
    <s v="Thailand"/>
    <x v="21"/>
    <x v="29"/>
    <n v="25930"/>
    <n v="24068"/>
  </r>
  <r>
    <s v="ORD04501"/>
    <d v="2025-10-11T00:00:00"/>
    <x v="4"/>
    <x v="45"/>
    <x v="1"/>
    <s v="France"/>
    <x v="2"/>
    <x v="25"/>
    <n v="30114"/>
    <n v="30507"/>
  </r>
  <r>
    <s v="ORD04502"/>
    <d v="2025-10-02T00:00:00"/>
    <x v="4"/>
    <x v="49"/>
    <x v="0"/>
    <s v="Russia"/>
    <x v="26"/>
    <x v="25"/>
    <n v="18556"/>
    <n v="14427"/>
  </r>
  <r>
    <s v="ORD04503"/>
    <d v="2025-10-31T00:00:00"/>
    <x v="4"/>
    <x v="2"/>
    <x v="1"/>
    <s v="Russia"/>
    <x v="32"/>
    <x v="29"/>
    <n v="26023"/>
    <n v="19490"/>
  </r>
  <r>
    <s v="ORD04504"/>
    <d v="2025-08-03T00:00:00"/>
    <x v="11"/>
    <x v="12"/>
    <x v="6"/>
    <s v="Malaysia"/>
    <x v="20"/>
    <x v="6"/>
    <n v="31196"/>
    <n v="37438"/>
  </r>
  <r>
    <s v="ORD04505"/>
    <d v="2025-04-14T00:00:00"/>
    <x v="7"/>
    <x v="20"/>
    <x v="4"/>
    <s v="USA"/>
    <x v="17"/>
    <x v="4"/>
    <n v="21219"/>
    <n v="15066"/>
  </r>
  <r>
    <s v="ORD04506"/>
    <d v="2025-05-22T00:00:00"/>
    <x v="8"/>
    <x v="26"/>
    <x v="0"/>
    <s v="Brazil"/>
    <x v="1"/>
    <x v="9"/>
    <n v="39308"/>
    <n v="49037"/>
  </r>
  <r>
    <s v="ORD04507"/>
    <d v="2025-11-25T00:00:00"/>
    <x v="2"/>
    <x v="11"/>
    <x v="0"/>
    <s v="Brazil"/>
    <x v="44"/>
    <x v="21"/>
    <n v="15537"/>
    <n v="14319"/>
  </r>
  <r>
    <s v="ORD04508"/>
    <d v="2025-09-04T00:00:00"/>
    <x v="3"/>
    <x v="4"/>
    <x v="6"/>
    <s v="Canada"/>
    <x v="37"/>
    <x v="12"/>
    <n v="23197"/>
    <n v="16928"/>
  </r>
  <r>
    <s v="ORD04509"/>
    <d v="2025-09-14T00:00:00"/>
    <x v="3"/>
    <x v="31"/>
    <x v="2"/>
    <s v="Spain"/>
    <x v="15"/>
    <x v="11"/>
    <n v="25860"/>
    <n v="27128"/>
  </r>
  <r>
    <s v="ORD04510"/>
    <d v="2025-05-19T00:00:00"/>
    <x v="8"/>
    <x v="26"/>
    <x v="4"/>
    <s v="Italy"/>
    <x v="26"/>
    <x v="13"/>
    <n v="18057"/>
    <n v="12991"/>
  </r>
  <r>
    <s v="ORD04511"/>
    <d v="2025-09-09T00:00:00"/>
    <x v="3"/>
    <x v="31"/>
    <x v="3"/>
    <s v="Spain"/>
    <x v="39"/>
    <x v="29"/>
    <n v="38283"/>
    <n v="45059"/>
  </r>
  <r>
    <s v="ORD04512"/>
    <d v="2025-11-06T00:00:00"/>
    <x v="2"/>
    <x v="51"/>
    <x v="6"/>
    <s v="UAE"/>
    <x v="42"/>
    <x v="25"/>
    <n v="38225"/>
    <n v="28176"/>
  </r>
  <r>
    <s v="ORD04513"/>
    <d v="2025-01-15T00:00:00"/>
    <x v="1"/>
    <x v="1"/>
    <x v="0"/>
    <s v="Italy"/>
    <x v="15"/>
    <x v="6"/>
    <n v="15809"/>
    <n v="18272"/>
  </r>
  <r>
    <s v="ORD04514"/>
    <d v="2025-06-25T00:00:00"/>
    <x v="5"/>
    <x v="36"/>
    <x v="6"/>
    <s v="Russia"/>
    <x v="22"/>
    <x v="9"/>
    <n v="25193"/>
    <n v="31930"/>
  </r>
  <r>
    <s v="ORD04515"/>
    <d v="2025-11-11T00:00:00"/>
    <x v="2"/>
    <x v="44"/>
    <x v="3"/>
    <s v="Malaysia"/>
    <x v="5"/>
    <x v="18"/>
    <n v="32478"/>
    <n v="38259"/>
  </r>
  <r>
    <s v="ORD04516"/>
    <d v="2025-08-12T00:00:00"/>
    <x v="11"/>
    <x v="30"/>
    <x v="2"/>
    <s v="Germany"/>
    <x v="21"/>
    <x v="23"/>
    <n v="22126"/>
    <n v="22220"/>
  </r>
  <r>
    <s v="ORD04517"/>
    <d v="2025-12-27T00:00:00"/>
    <x v="10"/>
    <x v="42"/>
    <x v="6"/>
    <s v="UAE"/>
    <x v="49"/>
    <x v="1"/>
    <n v="29554"/>
    <n v="28044"/>
  </r>
  <r>
    <s v="ORD04518"/>
    <d v="2025-01-08T00:00:00"/>
    <x v="1"/>
    <x v="6"/>
    <x v="0"/>
    <s v="Germany"/>
    <x v="11"/>
    <x v="25"/>
    <n v="30211"/>
    <n v="30620"/>
  </r>
  <r>
    <s v="ORD04519"/>
    <d v="2025-02-28T00:00:00"/>
    <x v="6"/>
    <x v="22"/>
    <x v="4"/>
    <s v="Malaysia"/>
    <x v="32"/>
    <x v="10"/>
    <n v="21373"/>
    <n v="27207"/>
  </r>
  <r>
    <s v="ORD04520"/>
    <d v="2025-11-29T00:00:00"/>
    <x v="2"/>
    <x v="11"/>
    <x v="2"/>
    <s v="Brazil"/>
    <x v="33"/>
    <x v="23"/>
    <n v="20791"/>
    <n v="16251"/>
  </r>
  <r>
    <s v="ORD04521"/>
    <d v="2025-06-08T00:00:00"/>
    <x v="5"/>
    <x v="41"/>
    <x v="2"/>
    <s v="China"/>
    <x v="19"/>
    <x v="3"/>
    <n v="17773"/>
    <n v="16544"/>
  </r>
  <r>
    <s v="ORD04522"/>
    <d v="2025-04-15T00:00:00"/>
    <x v="7"/>
    <x v="20"/>
    <x v="0"/>
    <s v="UAE"/>
    <x v="13"/>
    <x v="22"/>
    <n v="23961"/>
    <n v="25833"/>
  </r>
  <r>
    <s v="ORD04523"/>
    <d v="2025-09-08T00:00:00"/>
    <x v="3"/>
    <x v="31"/>
    <x v="2"/>
    <s v="Germany"/>
    <x v="19"/>
    <x v="10"/>
    <n v="21757"/>
    <n v="23470"/>
  </r>
  <r>
    <s v="ORD04524"/>
    <d v="2025-02-16T00:00:00"/>
    <x v="6"/>
    <x v="29"/>
    <x v="6"/>
    <s v="Germany"/>
    <x v="28"/>
    <x v="12"/>
    <n v="34340"/>
    <n v="28497"/>
  </r>
  <r>
    <s v="ORD04525"/>
    <d v="2025-02-27T00:00:00"/>
    <x v="6"/>
    <x v="22"/>
    <x v="0"/>
    <s v="Turkey"/>
    <x v="42"/>
    <x v="10"/>
    <n v="24919"/>
    <n v="23588"/>
  </r>
  <r>
    <s v="ORD04526"/>
    <d v="2025-11-15T00:00:00"/>
    <x v="2"/>
    <x v="44"/>
    <x v="5"/>
    <s v="Turkey"/>
    <x v="35"/>
    <x v="19"/>
    <n v="22417"/>
    <n v="24647"/>
  </r>
  <r>
    <s v="ORD04527"/>
    <d v="2025-07-17T00:00:00"/>
    <x v="0"/>
    <x v="14"/>
    <x v="4"/>
    <s v="Spain"/>
    <x v="31"/>
    <x v="1"/>
    <n v="29908"/>
    <n v="21477"/>
  </r>
  <r>
    <s v="ORD04528"/>
    <d v="2025-11-11T00:00:00"/>
    <x v="2"/>
    <x v="44"/>
    <x v="1"/>
    <s v="USA"/>
    <x v="10"/>
    <x v="17"/>
    <n v="30835"/>
    <n v="31268"/>
  </r>
  <r>
    <s v="ORD04529"/>
    <d v="2025-12-10T00:00:00"/>
    <x v="10"/>
    <x v="32"/>
    <x v="0"/>
    <s v="UAE"/>
    <x v="14"/>
    <x v="13"/>
    <n v="34024"/>
    <n v="40493"/>
  </r>
  <r>
    <s v="ORD04530"/>
    <d v="2025-05-06T00:00:00"/>
    <x v="8"/>
    <x v="18"/>
    <x v="6"/>
    <s v="Mexico"/>
    <x v="5"/>
    <x v="0"/>
    <n v="19555"/>
    <n v="21292"/>
  </r>
  <r>
    <s v="ORD04531"/>
    <d v="2025-11-03T00:00:00"/>
    <x v="2"/>
    <x v="51"/>
    <x v="4"/>
    <s v="Spain"/>
    <x v="20"/>
    <x v="23"/>
    <n v="26662"/>
    <n v="33172"/>
  </r>
  <r>
    <s v="ORD04532"/>
    <d v="2025-05-22T00:00:00"/>
    <x v="8"/>
    <x v="26"/>
    <x v="5"/>
    <s v="Japan"/>
    <x v="7"/>
    <x v="21"/>
    <n v="15721"/>
    <n v="20156"/>
  </r>
  <r>
    <s v="ORD04533"/>
    <d v="2025-09-11T00:00:00"/>
    <x v="3"/>
    <x v="31"/>
    <x v="4"/>
    <s v="USA"/>
    <x v="24"/>
    <x v="13"/>
    <n v="18244"/>
    <n v="14648"/>
  </r>
  <r>
    <s v="ORD04534"/>
    <d v="2025-09-18T00:00:00"/>
    <x v="3"/>
    <x v="8"/>
    <x v="3"/>
    <s v="USA"/>
    <x v="5"/>
    <x v="20"/>
    <n v="19287"/>
    <n v="23905"/>
  </r>
  <r>
    <s v="ORD04535"/>
    <d v="2025-09-22T00:00:00"/>
    <x v="3"/>
    <x v="25"/>
    <x v="4"/>
    <s v="Turkey"/>
    <x v="39"/>
    <x v="20"/>
    <n v="33396"/>
    <n v="28882"/>
  </r>
  <r>
    <s v="ORD04536"/>
    <d v="2025-06-29T00:00:00"/>
    <x v="5"/>
    <x v="36"/>
    <x v="6"/>
    <s v="South Africa"/>
    <x v="11"/>
    <x v="11"/>
    <n v="28827"/>
    <n v="25430"/>
  </r>
  <r>
    <s v="ORD04537"/>
    <d v="2025-03-01T00:00:00"/>
    <x v="9"/>
    <x v="22"/>
    <x v="1"/>
    <s v="China"/>
    <x v="34"/>
    <x v="7"/>
    <n v="30960"/>
    <n v="27543"/>
  </r>
  <r>
    <s v="ORD04538"/>
    <d v="2025-06-28T00:00:00"/>
    <x v="5"/>
    <x v="36"/>
    <x v="4"/>
    <s v="UK"/>
    <x v="44"/>
    <x v="17"/>
    <n v="15668"/>
    <n v="18106"/>
  </r>
  <r>
    <s v="ORD04539"/>
    <d v="2025-11-08T00:00:00"/>
    <x v="2"/>
    <x v="51"/>
    <x v="5"/>
    <s v="UAE"/>
    <x v="20"/>
    <x v="8"/>
    <n v="17658"/>
    <n v="12690"/>
  </r>
  <r>
    <s v="ORD04540"/>
    <d v="2025-06-09T00:00:00"/>
    <x v="5"/>
    <x v="40"/>
    <x v="5"/>
    <s v="Russia"/>
    <x v="18"/>
    <x v="7"/>
    <n v="23506"/>
    <n v="23310"/>
  </r>
  <r>
    <s v="ORD04541"/>
    <d v="2025-09-13T00:00:00"/>
    <x v="3"/>
    <x v="31"/>
    <x v="2"/>
    <s v="Spain"/>
    <x v="16"/>
    <x v="2"/>
    <n v="17191"/>
    <n v="17713"/>
  </r>
  <r>
    <s v="ORD04542"/>
    <d v="2025-12-29T00:00:00"/>
    <x v="10"/>
    <x v="5"/>
    <x v="3"/>
    <s v="Canada"/>
    <x v="46"/>
    <x v="1"/>
    <n v="31916"/>
    <n v="27948"/>
  </r>
  <r>
    <s v="ORD04543"/>
    <d v="2025-05-12T00:00:00"/>
    <x v="8"/>
    <x v="17"/>
    <x v="3"/>
    <s v="Australia"/>
    <x v="28"/>
    <x v="12"/>
    <n v="27170"/>
    <n v="27914"/>
  </r>
  <r>
    <s v="ORD04544"/>
    <d v="2025-02-11T00:00:00"/>
    <x v="6"/>
    <x v="29"/>
    <x v="0"/>
    <s v="Italy"/>
    <x v="39"/>
    <x v="11"/>
    <n v="17679"/>
    <n v="22480"/>
  </r>
  <r>
    <s v="ORD04545"/>
    <d v="2025-04-03T00:00:00"/>
    <x v="7"/>
    <x v="34"/>
    <x v="3"/>
    <s v="Thailand"/>
    <x v="40"/>
    <x v="9"/>
    <n v="19801"/>
    <n v="18997"/>
  </r>
  <r>
    <s v="ORD04546"/>
    <d v="2025-11-07T00:00:00"/>
    <x v="2"/>
    <x v="51"/>
    <x v="0"/>
    <s v="Turkey"/>
    <x v="10"/>
    <x v="9"/>
    <n v="23078"/>
    <n v="22552"/>
  </r>
  <r>
    <s v="ORD04547"/>
    <d v="2025-05-23T00:00:00"/>
    <x v="8"/>
    <x v="26"/>
    <x v="5"/>
    <s v="Spain"/>
    <x v="46"/>
    <x v="19"/>
    <n v="24518"/>
    <n v="18907"/>
  </r>
  <r>
    <s v="ORD04548"/>
    <d v="2025-10-13T00:00:00"/>
    <x v="4"/>
    <x v="10"/>
    <x v="0"/>
    <s v="France"/>
    <x v="9"/>
    <x v="14"/>
    <n v="22647"/>
    <n v="22052"/>
  </r>
  <r>
    <s v="ORD04549"/>
    <d v="2025-10-09T00:00:00"/>
    <x v="4"/>
    <x v="45"/>
    <x v="3"/>
    <s v="India"/>
    <x v="33"/>
    <x v="3"/>
    <n v="15590"/>
    <n v="11512"/>
  </r>
  <r>
    <s v="ORD04550"/>
    <d v="2025-03-30T00:00:00"/>
    <x v="9"/>
    <x v="33"/>
    <x v="1"/>
    <s v="Russia"/>
    <x v="16"/>
    <x v="2"/>
    <n v="19444"/>
    <n v="17143"/>
  </r>
  <r>
    <s v="ORD04551"/>
    <d v="2025-02-06T00:00:00"/>
    <x v="6"/>
    <x v="48"/>
    <x v="3"/>
    <s v="Russia"/>
    <x v="27"/>
    <x v="16"/>
    <n v="25233"/>
    <n v="18024"/>
  </r>
  <r>
    <s v="ORD04552"/>
    <d v="2025-02-23T00:00:00"/>
    <x v="6"/>
    <x v="15"/>
    <x v="3"/>
    <s v="South Africa"/>
    <x v="32"/>
    <x v="11"/>
    <n v="17034"/>
    <n v="15737"/>
  </r>
  <r>
    <s v="ORD04553"/>
    <d v="2025-09-14T00:00:00"/>
    <x v="3"/>
    <x v="31"/>
    <x v="5"/>
    <s v="South Africa"/>
    <x v="8"/>
    <x v="16"/>
    <n v="39647"/>
    <n v="48562"/>
  </r>
  <r>
    <s v="ORD04554"/>
    <d v="2025-11-05T00:00:00"/>
    <x v="2"/>
    <x v="51"/>
    <x v="0"/>
    <s v="Canada"/>
    <x v="34"/>
    <x v="0"/>
    <n v="18275"/>
    <n v="17776"/>
  </r>
  <r>
    <s v="ORD04555"/>
    <d v="2025-08-18T00:00:00"/>
    <x v="11"/>
    <x v="46"/>
    <x v="3"/>
    <s v="UAE"/>
    <x v="34"/>
    <x v="23"/>
    <n v="38743"/>
    <n v="42218"/>
  </r>
  <r>
    <s v="ORD04556"/>
    <d v="2025-09-02T00:00:00"/>
    <x v="3"/>
    <x v="4"/>
    <x v="0"/>
    <s v="India"/>
    <x v="22"/>
    <x v="12"/>
    <n v="22895"/>
    <n v="26452"/>
  </r>
  <r>
    <s v="ORD04557"/>
    <d v="2025-12-16T00:00:00"/>
    <x v="10"/>
    <x v="21"/>
    <x v="5"/>
    <s v="Mexico"/>
    <x v="27"/>
    <x v="15"/>
    <n v="27464"/>
    <n v="19994"/>
  </r>
  <r>
    <s v="ORD04558"/>
    <d v="2025-03-08T00:00:00"/>
    <x v="9"/>
    <x v="35"/>
    <x v="0"/>
    <s v="Russia"/>
    <x v="27"/>
    <x v="23"/>
    <n v="25984"/>
    <n v="18593"/>
  </r>
  <r>
    <s v="ORD04559"/>
    <d v="2025-08-29T00:00:00"/>
    <x v="11"/>
    <x v="28"/>
    <x v="6"/>
    <s v="Brazil"/>
    <x v="39"/>
    <x v="6"/>
    <n v="27521"/>
    <n v="29532"/>
  </r>
  <r>
    <s v="ORD04560"/>
    <d v="2025-08-06T00:00:00"/>
    <x v="11"/>
    <x v="23"/>
    <x v="1"/>
    <s v="UAE"/>
    <x v="42"/>
    <x v="28"/>
    <n v="16192"/>
    <n v="19290"/>
  </r>
  <r>
    <s v="ORD04561"/>
    <d v="2025-03-31T00:00:00"/>
    <x v="9"/>
    <x v="34"/>
    <x v="1"/>
    <s v="Japan"/>
    <x v="34"/>
    <x v="14"/>
    <n v="38191"/>
    <n v="39106"/>
  </r>
  <r>
    <s v="ORD04562"/>
    <d v="2025-01-22T00:00:00"/>
    <x v="1"/>
    <x v="7"/>
    <x v="2"/>
    <s v="UK"/>
    <x v="18"/>
    <x v="28"/>
    <n v="34760"/>
    <n v="39545"/>
  </r>
  <r>
    <s v="ORD04563"/>
    <d v="2025-12-09T00:00:00"/>
    <x v="10"/>
    <x v="32"/>
    <x v="3"/>
    <s v="Japan"/>
    <x v="0"/>
    <x v="1"/>
    <n v="39948"/>
    <n v="32323"/>
  </r>
  <r>
    <s v="ORD04564"/>
    <d v="2025-01-06T00:00:00"/>
    <x v="1"/>
    <x v="6"/>
    <x v="2"/>
    <s v="Brazil"/>
    <x v="33"/>
    <x v="22"/>
    <n v="18383"/>
    <n v="14987"/>
  </r>
  <r>
    <s v="ORD04565"/>
    <d v="2025-01-13T00:00:00"/>
    <x v="1"/>
    <x v="1"/>
    <x v="4"/>
    <s v="Australia"/>
    <x v="10"/>
    <x v="14"/>
    <n v="29848"/>
    <n v="32954"/>
  </r>
  <r>
    <s v="ORD04566"/>
    <d v="2025-08-04T00:00:00"/>
    <x v="11"/>
    <x v="23"/>
    <x v="1"/>
    <s v="Singapore"/>
    <x v="22"/>
    <x v="7"/>
    <n v="33385"/>
    <n v="40708"/>
  </r>
  <r>
    <s v="ORD04567"/>
    <d v="2025-04-07T00:00:00"/>
    <x v="7"/>
    <x v="16"/>
    <x v="1"/>
    <s v="UAE"/>
    <x v="13"/>
    <x v="2"/>
    <n v="27658"/>
    <n v="30269"/>
  </r>
  <r>
    <s v="ORD04568"/>
    <d v="2025-08-11T00:00:00"/>
    <x v="11"/>
    <x v="30"/>
    <x v="5"/>
    <s v="Germany"/>
    <x v="13"/>
    <x v="8"/>
    <n v="32502"/>
    <n v="32401"/>
  </r>
  <r>
    <s v="ORD04569"/>
    <d v="2025-03-02T00:00:00"/>
    <x v="9"/>
    <x v="22"/>
    <x v="4"/>
    <s v="Russia"/>
    <x v="47"/>
    <x v="16"/>
    <n v="33112"/>
    <n v="35834"/>
  </r>
  <r>
    <s v="ORD04570"/>
    <d v="2025-02-16T00:00:00"/>
    <x v="6"/>
    <x v="29"/>
    <x v="6"/>
    <s v="Russia"/>
    <x v="43"/>
    <x v="15"/>
    <n v="35706"/>
    <n v="33416"/>
  </r>
  <r>
    <s v="ORD04571"/>
    <d v="2025-10-20T00:00:00"/>
    <x v="4"/>
    <x v="50"/>
    <x v="0"/>
    <s v="Canada"/>
    <x v="21"/>
    <x v="13"/>
    <n v="29437"/>
    <n v="21346"/>
  </r>
  <r>
    <s v="ORD04572"/>
    <d v="2025-12-30T00:00:00"/>
    <x v="10"/>
    <x v="5"/>
    <x v="3"/>
    <s v="Germany"/>
    <x v="4"/>
    <x v="24"/>
    <n v="37274"/>
    <n v="42569"/>
  </r>
  <r>
    <s v="ORD04573"/>
    <d v="2025-02-20T00:00:00"/>
    <x v="6"/>
    <x v="15"/>
    <x v="4"/>
    <s v="Canada"/>
    <x v="1"/>
    <x v="14"/>
    <n v="37764"/>
    <n v="27295"/>
  </r>
  <r>
    <s v="ORD04574"/>
    <d v="2025-03-28T00:00:00"/>
    <x v="9"/>
    <x v="33"/>
    <x v="2"/>
    <s v="Singapore"/>
    <x v="22"/>
    <x v="16"/>
    <n v="38567"/>
    <n v="32075"/>
  </r>
  <r>
    <s v="ORD04575"/>
    <d v="2025-11-27T00:00:00"/>
    <x v="2"/>
    <x v="11"/>
    <x v="2"/>
    <s v="Singapore"/>
    <x v="27"/>
    <x v="18"/>
    <n v="26309"/>
    <n v="18475"/>
  </r>
  <r>
    <s v="ORD04576"/>
    <d v="2025-09-23T00:00:00"/>
    <x v="3"/>
    <x v="25"/>
    <x v="5"/>
    <s v="Italy"/>
    <x v="42"/>
    <x v="11"/>
    <n v="39112"/>
    <n v="40395"/>
  </r>
  <r>
    <s v="ORD04577"/>
    <d v="2025-12-12T00:00:00"/>
    <x v="10"/>
    <x v="32"/>
    <x v="0"/>
    <s v="South Africa"/>
    <x v="24"/>
    <x v="11"/>
    <n v="25085"/>
    <n v="28153"/>
  </r>
  <r>
    <s v="ORD04578"/>
    <d v="2025-04-19T00:00:00"/>
    <x v="7"/>
    <x v="20"/>
    <x v="1"/>
    <s v="Australia"/>
    <x v="39"/>
    <x v="11"/>
    <n v="15741"/>
    <n v="18892"/>
  </r>
  <r>
    <s v="ORD04579"/>
    <d v="2025-10-21T00:00:00"/>
    <x v="4"/>
    <x v="50"/>
    <x v="4"/>
    <s v="Brazil"/>
    <x v="1"/>
    <x v="14"/>
    <n v="23090"/>
    <n v="27751"/>
  </r>
  <r>
    <s v="ORD04580"/>
    <d v="2025-01-23T00:00:00"/>
    <x v="1"/>
    <x v="7"/>
    <x v="0"/>
    <s v="Canada"/>
    <x v="38"/>
    <x v="7"/>
    <n v="23866"/>
    <n v="29140"/>
  </r>
  <r>
    <s v="ORD04581"/>
    <d v="2025-03-07T00:00:00"/>
    <x v="9"/>
    <x v="35"/>
    <x v="5"/>
    <s v="UK"/>
    <x v="35"/>
    <x v="14"/>
    <n v="35488"/>
    <n v="32973"/>
  </r>
  <r>
    <s v="ORD04582"/>
    <d v="2025-10-23T00:00:00"/>
    <x v="4"/>
    <x v="50"/>
    <x v="6"/>
    <s v="Spain"/>
    <x v="37"/>
    <x v="9"/>
    <n v="19374"/>
    <n v="14015"/>
  </r>
  <r>
    <s v="ORD04583"/>
    <d v="2025-08-07T00:00:00"/>
    <x v="11"/>
    <x v="23"/>
    <x v="4"/>
    <s v="UAE"/>
    <x v="45"/>
    <x v="27"/>
    <n v="17922"/>
    <n v="18156"/>
  </r>
  <r>
    <s v="ORD04584"/>
    <d v="2025-09-30T00:00:00"/>
    <x v="3"/>
    <x v="49"/>
    <x v="2"/>
    <s v="Thailand"/>
    <x v="26"/>
    <x v="5"/>
    <n v="32401"/>
    <n v="29836"/>
  </r>
  <r>
    <s v="ORD04585"/>
    <d v="2025-11-22T00:00:00"/>
    <x v="2"/>
    <x v="9"/>
    <x v="6"/>
    <s v="Singapore"/>
    <x v="16"/>
    <x v="26"/>
    <n v="18991"/>
    <n v="22223"/>
  </r>
  <r>
    <s v="ORD04586"/>
    <d v="2025-01-30T00:00:00"/>
    <x v="1"/>
    <x v="3"/>
    <x v="3"/>
    <s v="India"/>
    <x v="43"/>
    <x v="10"/>
    <n v="29515"/>
    <n v="37018"/>
  </r>
  <r>
    <s v="ORD04587"/>
    <d v="2025-12-19T00:00:00"/>
    <x v="10"/>
    <x v="21"/>
    <x v="2"/>
    <s v="Canada"/>
    <x v="5"/>
    <x v="2"/>
    <n v="19617"/>
    <n v="18828"/>
  </r>
  <r>
    <s v="ORD04588"/>
    <d v="2025-01-25T00:00:00"/>
    <x v="1"/>
    <x v="7"/>
    <x v="0"/>
    <s v="France"/>
    <x v="7"/>
    <x v="29"/>
    <n v="18120"/>
    <n v="19590"/>
  </r>
  <r>
    <s v="ORD04589"/>
    <d v="2025-04-22T00:00:00"/>
    <x v="7"/>
    <x v="38"/>
    <x v="3"/>
    <s v="India"/>
    <x v="37"/>
    <x v="26"/>
    <n v="22100"/>
    <n v="28670"/>
  </r>
  <r>
    <s v="ORD04590"/>
    <d v="2025-08-25T00:00:00"/>
    <x v="11"/>
    <x v="28"/>
    <x v="2"/>
    <s v="USA"/>
    <x v="32"/>
    <x v="28"/>
    <n v="26460"/>
    <n v="32275"/>
  </r>
  <r>
    <s v="ORD04591"/>
    <d v="2025-12-20T00:00:00"/>
    <x v="10"/>
    <x v="21"/>
    <x v="3"/>
    <s v="Malaysia"/>
    <x v="7"/>
    <x v="13"/>
    <n v="31322"/>
    <n v="24564"/>
  </r>
  <r>
    <s v="ORD04592"/>
    <d v="2025-06-11T00:00:00"/>
    <x v="5"/>
    <x v="40"/>
    <x v="1"/>
    <s v="France"/>
    <x v="40"/>
    <x v="28"/>
    <n v="27628"/>
    <n v="35534"/>
  </r>
  <r>
    <s v="ORD04593"/>
    <d v="2025-08-29T00:00:00"/>
    <x v="11"/>
    <x v="28"/>
    <x v="1"/>
    <s v="Australia"/>
    <x v="27"/>
    <x v="17"/>
    <n v="16148"/>
    <n v="14343"/>
  </r>
  <r>
    <s v="ORD04594"/>
    <d v="2025-08-27T00:00:00"/>
    <x v="11"/>
    <x v="28"/>
    <x v="6"/>
    <s v="UAE"/>
    <x v="26"/>
    <x v="20"/>
    <n v="38288"/>
    <n v="41769"/>
  </r>
  <r>
    <s v="ORD04595"/>
    <d v="2025-06-05T00:00:00"/>
    <x v="5"/>
    <x v="41"/>
    <x v="0"/>
    <s v="Germany"/>
    <x v="15"/>
    <x v="27"/>
    <n v="37624"/>
    <n v="31028"/>
  </r>
  <r>
    <s v="ORD04596"/>
    <d v="2025-11-15T00:00:00"/>
    <x v="2"/>
    <x v="44"/>
    <x v="2"/>
    <s v="Italy"/>
    <x v="48"/>
    <x v="1"/>
    <n v="35351"/>
    <n v="26362"/>
  </r>
  <r>
    <s v="ORD04597"/>
    <d v="2025-12-01T00:00:00"/>
    <x v="10"/>
    <x v="43"/>
    <x v="0"/>
    <s v="Malaysia"/>
    <x v="39"/>
    <x v="18"/>
    <n v="34581"/>
    <n v="31707"/>
  </r>
  <r>
    <s v="ORD04598"/>
    <d v="2025-07-11T00:00:00"/>
    <x v="0"/>
    <x v="47"/>
    <x v="0"/>
    <s v="China"/>
    <x v="46"/>
    <x v="28"/>
    <n v="16639"/>
    <n v="14267"/>
  </r>
  <r>
    <s v="ORD04599"/>
    <d v="2025-07-24T00:00:00"/>
    <x v="0"/>
    <x v="0"/>
    <x v="0"/>
    <s v="Mexico"/>
    <x v="8"/>
    <x v="27"/>
    <n v="23213"/>
    <n v="27403"/>
  </r>
  <r>
    <s v="ORD04600"/>
    <d v="2025-01-14T00:00:00"/>
    <x v="1"/>
    <x v="1"/>
    <x v="6"/>
    <s v="France"/>
    <x v="1"/>
    <x v="3"/>
    <n v="38282"/>
    <n v="48529"/>
  </r>
  <r>
    <s v="ORD04601"/>
    <d v="2025-11-11T00:00:00"/>
    <x v="2"/>
    <x v="44"/>
    <x v="3"/>
    <s v="Thailand"/>
    <x v="39"/>
    <x v="26"/>
    <n v="22550"/>
    <n v="23749"/>
  </r>
  <r>
    <s v="ORD04602"/>
    <d v="2025-05-17T00:00:00"/>
    <x v="8"/>
    <x v="17"/>
    <x v="1"/>
    <s v="Brazil"/>
    <x v="4"/>
    <x v="18"/>
    <n v="32162"/>
    <n v="38208"/>
  </r>
  <r>
    <s v="ORD04603"/>
    <d v="2025-01-03T00:00:00"/>
    <x v="1"/>
    <x v="5"/>
    <x v="2"/>
    <s v="USA"/>
    <x v="29"/>
    <x v="6"/>
    <n v="20375"/>
    <n v="20345"/>
  </r>
  <r>
    <s v="ORD04604"/>
    <d v="2025-06-26T00:00:00"/>
    <x v="5"/>
    <x v="36"/>
    <x v="5"/>
    <s v="Canada"/>
    <x v="29"/>
    <x v="23"/>
    <n v="20317"/>
    <n v="24137"/>
  </r>
  <r>
    <s v="ORD04605"/>
    <d v="2025-05-09T00:00:00"/>
    <x v="8"/>
    <x v="18"/>
    <x v="5"/>
    <s v="UAE"/>
    <x v="46"/>
    <x v="24"/>
    <n v="25994"/>
    <n v="28524"/>
  </r>
  <r>
    <s v="ORD04606"/>
    <d v="2025-09-26T00:00:00"/>
    <x v="3"/>
    <x v="25"/>
    <x v="4"/>
    <s v="Canada"/>
    <x v="32"/>
    <x v="16"/>
    <n v="28234"/>
    <n v="24333"/>
  </r>
  <r>
    <s v="ORD04607"/>
    <d v="2025-05-05T00:00:00"/>
    <x v="8"/>
    <x v="18"/>
    <x v="1"/>
    <s v="France"/>
    <x v="30"/>
    <x v="9"/>
    <n v="39202"/>
    <n v="49374"/>
  </r>
  <r>
    <s v="ORD04608"/>
    <d v="2025-04-20T00:00:00"/>
    <x v="7"/>
    <x v="20"/>
    <x v="2"/>
    <s v="Singapore"/>
    <x v="15"/>
    <x v="22"/>
    <n v="21461"/>
    <n v="23454"/>
  </r>
  <r>
    <s v="ORD04609"/>
    <d v="2025-09-10T00:00:00"/>
    <x v="3"/>
    <x v="31"/>
    <x v="5"/>
    <s v="Thailand"/>
    <x v="10"/>
    <x v="4"/>
    <n v="37568"/>
    <n v="30626"/>
  </r>
  <r>
    <s v="ORD04610"/>
    <d v="2025-07-29T00:00:00"/>
    <x v="0"/>
    <x v="12"/>
    <x v="2"/>
    <s v="Germany"/>
    <x v="42"/>
    <x v="9"/>
    <n v="22651"/>
    <n v="27461"/>
  </r>
  <r>
    <s v="ORD04611"/>
    <d v="2025-01-04T00:00:00"/>
    <x v="1"/>
    <x v="5"/>
    <x v="0"/>
    <s v="Brazil"/>
    <x v="25"/>
    <x v="12"/>
    <n v="22182"/>
    <n v="16237"/>
  </r>
  <r>
    <s v="ORD04612"/>
    <d v="2025-04-18T00:00:00"/>
    <x v="7"/>
    <x v="20"/>
    <x v="1"/>
    <s v="Brazil"/>
    <x v="40"/>
    <x v="17"/>
    <n v="20178"/>
    <n v="24551"/>
  </r>
  <r>
    <s v="ORD04613"/>
    <d v="2025-06-11T00:00:00"/>
    <x v="5"/>
    <x v="40"/>
    <x v="4"/>
    <s v="Singapore"/>
    <x v="7"/>
    <x v="2"/>
    <n v="20981"/>
    <n v="19931"/>
  </r>
  <r>
    <s v="ORD04614"/>
    <d v="2025-11-12T00:00:00"/>
    <x v="2"/>
    <x v="44"/>
    <x v="2"/>
    <s v="Turkey"/>
    <x v="19"/>
    <x v="4"/>
    <n v="30250"/>
    <n v="26321"/>
  </r>
  <r>
    <s v="ORD04615"/>
    <d v="2025-12-04T00:00:00"/>
    <x v="10"/>
    <x v="43"/>
    <x v="5"/>
    <s v="India"/>
    <x v="48"/>
    <x v="22"/>
    <n v="36963"/>
    <n v="39510"/>
  </r>
  <r>
    <s v="ORD04616"/>
    <d v="2025-12-18T00:00:00"/>
    <x v="10"/>
    <x v="21"/>
    <x v="1"/>
    <s v="Spain"/>
    <x v="3"/>
    <x v="11"/>
    <n v="38887"/>
    <n v="44442"/>
  </r>
  <r>
    <s v="ORD04617"/>
    <d v="2025-05-18T00:00:00"/>
    <x v="8"/>
    <x v="17"/>
    <x v="6"/>
    <s v="Italy"/>
    <x v="14"/>
    <x v="21"/>
    <n v="25646"/>
    <n v="19231"/>
  </r>
  <r>
    <s v="ORD04618"/>
    <d v="2025-08-19T00:00:00"/>
    <x v="11"/>
    <x v="46"/>
    <x v="0"/>
    <s v="Canada"/>
    <x v="11"/>
    <x v="14"/>
    <n v="21833"/>
    <n v="16441"/>
  </r>
  <r>
    <s v="ORD04619"/>
    <d v="2025-05-24T00:00:00"/>
    <x v="8"/>
    <x v="26"/>
    <x v="2"/>
    <s v="China"/>
    <x v="5"/>
    <x v="27"/>
    <n v="29211"/>
    <n v="33027"/>
  </r>
  <r>
    <s v="ORD04620"/>
    <d v="2025-10-14T00:00:00"/>
    <x v="4"/>
    <x v="10"/>
    <x v="6"/>
    <s v="China"/>
    <x v="45"/>
    <x v="7"/>
    <n v="24668"/>
    <n v="19625"/>
  </r>
  <r>
    <s v="ORD04621"/>
    <d v="2025-10-03T00:00:00"/>
    <x v="4"/>
    <x v="49"/>
    <x v="6"/>
    <s v="Thailand"/>
    <x v="24"/>
    <x v="19"/>
    <n v="29447"/>
    <n v="30017"/>
  </r>
  <r>
    <s v="ORD04622"/>
    <d v="2025-04-25T00:00:00"/>
    <x v="7"/>
    <x v="38"/>
    <x v="6"/>
    <s v="Japan"/>
    <x v="9"/>
    <x v="12"/>
    <n v="34233"/>
    <n v="25122"/>
  </r>
  <r>
    <s v="ORD04623"/>
    <d v="2025-03-05T00:00:00"/>
    <x v="9"/>
    <x v="35"/>
    <x v="5"/>
    <s v="Russia"/>
    <x v="24"/>
    <x v="27"/>
    <n v="15183"/>
    <n v="15357"/>
  </r>
  <r>
    <s v="ORD04624"/>
    <d v="2025-08-09T00:00:00"/>
    <x v="11"/>
    <x v="23"/>
    <x v="2"/>
    <s v="Italy"/>
    <x v="21"/>
    <x v="17"/>
    <n v="29347"/>
    <n v="27655"/>
  </r>
  <r>
    <s v="ORD04625"/>
    <d v="2025-10-16T00:00:00"/>
    <x v="4"/>
    <x v="10"/>
    <x v="4"/>
    <s v="Japan"/>
    <x v="33"/>
    <x v="11"/>
    <n v="26831"/>
    <n v="29835"/>
  </r>
  <r>
    <s v="ORD04626"/>
    <d v="2025-12-18T00:00:00"/>
    <x v="10"/>
    <x v="21"/>
    <x v="4"/>
    <s v="Mexico"/>
    <x v="7"/>
    <x v="20"/>
    <n v="24166"/>
    <n v="28777"/>
  </r>
  <r>
    <s v="ORD04627"/>
    <d v="2025-11-27T00:00:00"/>
    <x v="2"/>
    <x v="11"/>
    <x v="5"/>
    <s v="South Africa"/>
    <x v="29"/>
    <x v="27"/>
    <n v="31936"/>
    <n v="34861"/>
  </r>
  <r>
    <s v="ORD04628"/>
    <d v="2025-03-21T00:00:00"/>
    <x v="9"/>
    <x v="39"/>
    <x v="0"/>
    <s v="Turkey"/>
    <x v="37"/>
    <x v="12"/>
    <n v="33214"/>
    <n v="38511"/>
  </r>
  <r>
    <s v="ORD04629"/>
    <d v="2025-02-23T00:00:00"/>
    <x v="6"/>
    <x v="15"/>
    <x v="4"/>
    <s v="Australia"/>
    <x v="15"/>
    <x v="26"/>
    <n v="38096"/>
    <n v="45687"/>
  </r>
  <r>
    <s v="ORD04630"/>
    <d v="2025-11-23T00:00:00"/>
    <x v="2"/>
    <x v="9"/>
    <x v="4"/>
    <s v="Turkey"/>
    <x v="19"/>
    <x v="25"/>
    <n v="16573"/>
    <n v="21516"/>
  </r>
  <r>
    <s v="ORD04631"/>
    <d v="2025-10-07T00:00:00"/>
    <x v="4"/>
    <x v="45"/>
    <x v="0"/>
    <s v="UK"/>
    <x v="43"/>
    <x v="7"/>
    <n v="29675"/>
    <n v="34982"/>
  </r>
  <r>
    <s v="ORD04632"/>
    <d v="2025-09-26T00:00:00"/>
    <x v="3"/>
    <x v="25"/>
    <x v="1"/>
    <s v="UK"/>
    <x v="37"/>
    <x v="2"/>
    <n v="29970"/>
    <n v="23335"/>
  </r>
  <r>
    <s v="ORD04633"/>
    <d v="2025-12-14T00:00:00"/>
    <x v="10"/>
    <x v="32"/>
    <x v="3"/>
    <s v="Malaysia"/>
    <x v="42"/>
    <x v="23"/>
    <n v="37869"/>
    <n v="34145"/>
  </r>
  <r>
    <s v="ORD04634"/>
    <d v="2025-01-30T00:00:00"/>
    <x v="1"/>
    <x v="3"/>
    <x v="2"/>
    <s v="India"/>
    <x v="24"/>
    <x v="17"/>
    <n v="24067"/>
    <n v="21918"/>
  </r>
  <r>
    <s v="ORD04635"/>
    <d v="2025-09-15T00:00:00"/>
    <x v="3"/>
    <x v="8"/>
    <x v="2"/>
    <s v="Italy"/>
    <x v="18"/>
    <x v="7"/>
    <n v="18618"/>
    <n v="20627"/>
  </r>
  <r>
    <s v="ORD04636"/>
    <d v="2025-08-17T00:00:00"/>
    <x v="11"/>
    <x v="30"/>
    <x v="6"/>
    <s v="Germany"/>
    <x v="31"/>
    <x v="12"/>
    <n v="32615"/>
    <n v="30962"/>
  </r>
  <r>
    <s v="ORD04637"/>
    <d v="2025-08-23T00:00:00"/>
    <x v="11"/>
    <x v="46"/>
    <x v="0"/>
    <s v="Italy"/>
    <x v="45"/>
    <x v="0"/>
    <n v="33296"/>
    <n v="33061"/>
  </r>
  <r>
    <s v="ORD04638"/>
    <d v="2025-11-18T00:00:00"/>
    <x v="2"/>
    <x v="9"/>
    <x v="4"/>
    <s v="Mexico"/>
    <x v="14"/>
    <x v="27"/>
    <n v="33621"/>
    <n v="33352"/>
  </r>
  <r>
    <s v="ORD04639"/>
    <d v="2025-08-26T00:00:00"/>
    <x v="11"/>
    <x v="28"/>
    <x v="6"/>
    <s v="Germany"/>
    <x v="23"/>
    <x v="6"/>
    <n v="30067"/>
    <n v="24677"/>
  </r>
  <r>
    <s v="ORD04640"/>
    <d v="2025-01-17T00:00:00"/>
    <x v="1"/>
    <x v="1"/>
    <x v="6"/>
    <s v="Russia"/>
    <x v="38"/>
    <x v="28"/>
    <n v="27523"/>
    <n v="30294"/>
  </r>
  <r>
    <s v="ORD04641"/>
    <d v="2025-01-07T00:00:00"/>
    <x v="1"/>
    <x v="6"/>
    <x v="3"/>
    <s v="India"/>
    <x v="44"/>
    <x v="27"/>
    <n v="19394"/>
    <n v="15422"/>
  </r>
  <r>
    <s v="ORD04642"/>
    <d v="2025-12-01T00:00:00"/>
    <x v="10"/>
    <x v="43"/>
    <x v="4"/>
    <s v="USA"/>
    <x v="17"/>
    <x v="14"/>
    <n v="23017"/>
    <n v="26416"/>
  </r>
  <r>
    <s v="ORD04643"/>
    <d v="2025-03-06T00:00:00"/>
    <x v="9"/>
    <x v="35"/>
    <x v="1"/>
    <s v="Canada"/>
    <x v="34"/>
    <x v="25"/>
    <n v="27369"/>
    <n v="28764"/>
  </r>
  <r>
    <s v="ORD04644"/>
    <d v="2025-02-03T00:00:00"/>
    <x v="6"/>
    <x v="48"/>
    <x v="6"/>
    <s v="Russia"/>
    <x v="49"/>
    <x v="22"/>
    <n v="25247"/>
    <n v="30676"/>
  </r>
  <r>
    <s v="ORD04645"/>
    <d v="2025-12-07T00:00:00"/>
    <x v="10"/>
    <x v="43"/>
    <x v="2"/>
    <s v="UAE"/>
    <x v="22"/>
    <x v="22"/>
    <n v="30755"/>
    <n v="37215"/>
  </r>
  <r>
    <s v="ORD04646"/>
    <d v="2025-06-06T00:00:00"/>
    <x v="5"/>
    <x v="41"/>
    <x v="6"/>
    <s v="Spain"/>
    <x v="20"/>
    <x v="25"/>
    <n v="36546"/>
    <n v="29742"/>
  </r>
  <r>
    <s v="ORD04647"/>
    <d v="2025-06-22T00:00:00"/>
    <x v="5"/>
    <x v="13"/>
    <x v="2"/>
    <s v="South Africa"/>
    <x v="3"/>
    <x v="0"/>
    <n v="33372"/>
    <n v="30075"/>
  </r>
  <r>
    <s v="ORD04648"/>
    <d v="2025-03-06T00:00:00"/>
    <x v="9"/>
    <x v="35"/>
    <x v="0"/>
    <s v="India"/>
    <x v="12"/>
    <x v="9"/>
    <n v="35641"/>
    <n v="34852"/>
  </r>
  <r>
    <s v="ORD04649"/>
    <d v="2025-02-09T00:00:00"/>
    <x v="6"/>
    <x v="48"/>
    <x v="4"/>
    <s v="Canada"/>
    <x v="30"/>
    <x v="20"/>
    <n v="18022"/>
    <n v="20303"/>
  </r>
  <r>
    <s v="ORD04650"/>
    <d v="2025-02-27T00:00:00"/>
    <x v="6"/>
    <x v="22"/>
    <x v="1"/>
    <s v="UK"/>
    <x v="5"/>
    <x v="9"/>
    <n v="31382"/>
    <n v="40061"/>
  </r>
  <r>
    <s v="ORD04651"/>
    <d v="2025-05-31T00:00:00"/>
    <x v="8"/>
    <x v="24"/>
    <x v="4"/>
    <s v="Malaysia"/>
    <x v="44"/>
    <x v="12"/>
    <n v="39755"/>
    <n v="31278"/>
  </r>
  <r>
    <s v="ORD04652"/>
    <d v="2025-07-18T00:00:00"/>
    <x v="0"/>
    <x v="14"/>
    <x v="2"/>
    <s v="France"/>
    <x v="41"/>
    <x v="19"/>
    <n v="32770"/>
    <n v="42490"/>
  </r>
  <r>
    <s v="ORD04653"/>
    <d v="2025-09-22T00:00:00"/>
    <x v="3"/>
    <x v="25"/>
    <x v="1"/>
    <s v="Singapore"/>
    <x v="37"/>
    <x v="19"/>
    <n v="29331"/>
    <n v="29059"/>
  </r>
  <r>
    <s v="ORD04654"/>
    <d v="2025-02-08T00:00:00"/>
    <x v="6"/>
    <x v="48"/>
    <x v="1"/>
    <s v="UK"/>
    <x v="0"/>
    <x v="15"/>
    <n v="15858"/>
    <n v="17890"/>
  </r>
  <r>
    <s v="ORD04655"/>
    <d v="2025-05-07T00:00:00"/>
    <x v="8"/>
    <x v="18"/>
    <x v="1"/>
    <s v="Thailand"/>
    <x v="21"/>
    <x v="20"/>
    <n v="39824"/>
    <n v="35674"/>
  </r>
  <r>
    <s v="ORD04656"/>
    <d v="2025-02-06T00:00:00"/>
    <x v="6"/>
    <x v="48"/>
    <x v="1"/>
    <s v="UAE"/>
    <x v="3"/>
    <x v="14"/>
    <n v="31295"/>
    <n v="40488"/>
  </r>
  <r>
    <s v="ORD04657"/>
    <d v="2025-06-22T00:00:00"/>
    <x v="5"/>
    <x v="13"/>
    <x v="6"/>
    <s v="Canada"/>
    <x v="31"/>
    <x v="1"/>
    <n v="28883"/>
    <n v="23082"/>
  </r>
  <r>
    <s v="ORD04658"/>
    <d v="2025-02-17T00:00:00"/>
    <x v="6"/>
    <x v="15"/>
    <x v="5"/>
    <s v="Germany"/>
    <x v="40"/>
    <x v="29"/>
    <n v="33701"/>
    <n v="34334"/>
  </r>
  <r>
    <s v="ORD04659"/>
    <d v="2025-03-13T00:00:00"/>
    <x v="9"/>
    <x v="19"/>
    <x v="0"/>
    <s v="Malaysia"/>
    <x v="23"/>
    <x v="2"/>
    <n v="39851"/>
    <n v="29592"/>
  </r>
  <r>
    <s v="ORD04660"/>
    <d v="2025-10-05T00:00:00"/>
    <x v="4"/>
    <x v="49"/>
    <x v="2"/>
    <s v="France"/>
    <x v="5"/>
    <x v="19"/>
    <n v="32261"/>
    <n v="32506"/>
  </r>
  <r>
    <s v="ORD04661"/>
    <d v="2025-03-31T00:00:00"/>
    <x v="9"/>
    <x v="34"/>
    <x v="3"/>
    <s v="Canada"/>
    <x v="29"/>
    <x v="27"/>
    <n v="38489"/>
    <n v="34208"/>
  </r>
  <r>
    <s v="ORD04662"/>
    <d v="2025-09-29T00:00:00"/>
    <x v="3"/>
    <x v="49"/>
    <x v="3"/>
    <s v="Singapore"/>
    <x v="39"/>
    <x v="7"/>
    <n v="39482"/>
    <n v="51271"/>
  </r>
  <r>
    <s v="ORD04663"/>
    <d v="2025-06-16T00:00:00"/>
    <x v="5"/>
    <x v="13"/>
    <x v="0"/>
    <s v="Thailand"/>
    <x v="9"/>
    <x v="16"/>
    <n v="20628"/>
    <n v="19571"/>
  </r>
  <r>
    <s v="ORD04664"/>
    <d v="2025-09-22T00:00:00"/>
    <x v="3"/>
    <x v="25"/>
    <x v="5"/>
    <s v="Germany"/>
    <x v="38"/>
    <x v="17"/>
    <n v="25189"/>
    <n v="17691"/>
  </r>
  <r>
    <s v="ORD04665"/>
    <d v="2025-12-10T00:00:00"/>
    <x v="10"/>
    <x v="32"/>
    <x v="4"/>
    <s v="France"/>
    <x v="39"/>
    <x v="4"/>
    <n v="38419"/>
    <n v="39639"/>
  </r>
  <r>
    <s v="ORD04666"/>
    <d v="2025-07-07T00:00:00"/>
    <x v="0"/>
    <x v="47"/>
    <x v="5"/>
    <s v="Germany"/>
    <x v="29"/>
    <x v="10"/>
    <n v="22068"/>
    <n v="20042"/>
  </r>
  <r>
    <s v="ORD04667"/>
    <d v="2025-01-28T00:00:00"/>
    <x v="1"/>
    <x v="3"/>
    <x v="5"/>
    <s v="South Africa"/>
    <x v="46"/>
    <x v="15"/>
    <n v="24840"/>
    <n v="26256"/>
  </r>
  <r>
    <s v="ORD04668"/>
    <d v="2025-08-17T00:00:00"/>
    <x v="11"/>
    <x v="30"/>
    <x v="6"/>
    <s v="Germany"/>
    <x v="23"/>
    <x v="16"/>
    <n v="26515"/>
    <n v="28474"/>
  </r>
  <r>
    <s v="ORD04669"/>
    <d v="2025-08-30T00:00:00"/>
    <x v="11"/>
    <x v="28"/>
    <x v="2"/>
    <s v="Canada"/>
    <x v="10"/>
    <x v="26"/>
    <n v="39241"/>
    <n v="50927"/>
  </r>
  <r>
    <s v="ORD04670"/>
    <d v="2025-01-17T00:00:00"/>
    <x v="1"/>
    <x v="1"/>
    <x v="2"/>
    <s v="Italy"/>
    <x v="43"/>
    <x v="15"/>
    <n v="17382"/>
    <n v="21441"/>
  </r>
  <r>
    <s v="ORD04671"/>
    <d v="2025-07-04T00:00:00"/>
    <x v="0"/>
    <x v="37"/>
    <x v="2"/>
    <s v="Mexico"/>
    <x v="6"/>
    <x v="23"/>
    <n v="25901"/>
    <n v="29371"/>
  </r>
  <r>
    <s v="ORD04672"/>
    <d v="2025-01-09T00:00:00"/>
    <x v="1"/>
    <x v="6"/>
    <x v="4"/>
    <s v="China"/>
    <x v="20"/>
    <x v="8"/>
    <n v="19912"/>
    <n v="22325"/>
  </r>
  <r>
    <s v="ORD04673"/>
    <d v="2025-12-04T00:00:00"/>
    <x v="10"/>
    <x v="43"/>
    <x v="0"/>
    <s v="China"/>
    <x v="33"/>
    <x v="3"/>
    <n v="33836"/>
    <n v="43565"/>
  </r>
  <r>
    <s v="ORD04674"/>
    <d v="2025-08-07T00:00:00"/>
    <x v="11"/>
    <x v="23"/>
    <x v="6"/>
    <s v="Brazil"/>
    <x v="3"/>
    <x v="20"/>
    <n v="17225"/>
    <n v="18696"/>
  </r>
  <r>
    <s v="ORD04675"/>
    <d v="2025-08-10T00:00:00"/>
    <x v="11"/>
    <x v="23"/>
    <x v="6"/>
    <s v="Mexico"/>
    <x v="13"/>
    <x v="10"/>
    <n v="29994"/>
    <n v="27481"/>
  </r>
  <r>
    <s v="ORD04676"/>
    <d v="2025-11-24T00:00:00"/>
    <x v="2"/>
    <x v="11"/>
    <x v="6"/>
    <s v="Malaysia"/>
    <x v="15"/>
    <x v="26"/>
    <n v="34807"/>
    <n v="30028"/>
  </r>
  <r>
    <s v="ORD04677"/>
    <d v="2025-03-15T00:00:00"/>
    <x v="9"/>
    <x v="19"/>
    <x v="3"/>
    <s v="Spain"/>
    <x v="12"/>
    <x v="14"/>
    <n v="25578"/>
    <n v="23086"/>
  </r>
  <r>
    <s v="ORD04678"/>
    <d v="2025-10-23T00:00:00"/>
    <x v="4"/>
    <x v="50"/>
    <x v="6"/>
    <s v="Australia"/>
    <x v="9"/>
    <x v="14"/>
    <n v="28419"/>
    <n v="34754"/>
  </r>
  <r>
    <s v="ORD04679"/>
    <d v="2025-02-05T00:00:00"/>
    <x v="6"/>
    <x v="48"/>
    <x v="2"/>
    <s v="India"/>
    <x v="10"/>
    <x v="18"/>
    <n v="34355"/>
    <n v="29534"/>
  </r>
  <r>
    <s v="ORD04680"/>
    <d v="2025-05-31T00:00:00"/>
    <x v="8"/>
    <x v="24"/>
    <x v="2"/>
    <s v="Singapore"/>
    <x v="7"/>
    <x v="7"/>
    <n v="27152"/>
    <n v="21545"/>
  </r>
  <r>
    <s v="ORD04681"/>
    <d v="2025-03-20T00:00:00"/>
    <x v="9"/>
    <x v="39"/>
    <x v="1"/>
    <s v="Spain"/>
    <x v="32"/>
    <x v="5"/>
    <n v="23853"/>
    <n v="28323"/>
  </r>
  <r>
    <s v="ORD04682"/>
    <d v="2025-12-18T00:00:00"/>
    <x v="10"/>
    <x v="21"/>
    <x v="0"/>
    <s v="UAE"/>
    <x v="21"/>
    <x v="25"/>
    <n v="23902"/>
    <n v="26527"/>
  </r>
  <r>
    <s v="ORD04683"/>
    <d v="2025-07-18T00:00:00"/>
    <x v="0"/>
    <x v="14"/>
    <x v="1"/>
    <s v="UK"/>
    <x v="2"/>
    <x v="27"/>
    <n v="21895"/>
    <n v="18614"/>
  </r>
  <r>
    <s v="ORD04684"/>
    <d v="2025-10-15T00:00:00"/>
    <x v="4"/>
    <x v="10"/>
    <x v="6"/>
    <s v="Australia"/>
    <x v="41"/>
    <x v="1"/>
    <n v="18473"/>
    <n v="22941"/>
  </r>
  <r>
    <s v="ORD04685"/>
    <d v="2025-08-06T00:00:00"/>
    <x v="11"/>
    <x v="23"/>
    <x v="2"/>
    <s v="Malaysia"/>
    <x v="36"/>
    <x v="8"/>
    <n v="31835"/>
    <n v="24339"/>
  </r>
  <r>
    <s v="ORD04686"/>
    <d v="2025-12-25T00:00:00"/>
    <x v="10"/>
    <x v="42"/>
    <x v="4"/>
    <s v="Singapore"/>
    <x v="40"/>
    <x v="14"/>
    <n v="21468"/>
    <n v="23489"/>
  </r>
  <r>
    <s v="ORD04687"/>
    <d v="2025-01-23T00:00:00"/>
    <x v="1"/>
    <x v="7"/>
    <x v="5"/>
    <s v="India"/>
    <x v="23"/>
    <x v="5"/>
    <n v="36088"/>
    <n v="30876"/>
  </r>
  <r>
    <s v="ORD04688"/>
    <d v="2025-01-14T00:00:00"/>
    <x v="1"/>
    <x v="1"/>
    <x v="1"/>
    <s v="South Africa"/>
    <x v="7"/>
    <x v="12"/>
    <n v="34768"/>
    <n v="27527"/>
  </r>
  <r>
    <s v="ORD04689"/>
    <d v="2025-10-26T00:00:00"/>
    <x v="4"/>
    <x v="50"/>
    <x v="0"/>
    <s v="Mexico"/>
    <x v="29"/>
    <x v="23"/>
    <n v="35009"/>
    <n v="31844"/>
  </r>
  <r>
    <s v="ORD04690"/>
    <d v="2025-12-18T00:00:00"/>
    <x v="10"/>
    <x v="21"/>
    <x v="3"/>
    <s v="Mexico"/>
    <x v="17"/>
    <x v="7"/>
    <n v="26575"/>
    <n v="31888"/>
  </r>
  <r>
    <s v="ORD04691"/>
    <d v="2025-04-23T00:00:00"/>
    <x v="7"/>
    <x v="38"/>
    <x v="5"/>
    <s v="Turkey"/>
    <x v="7"/>
    <x v="17"/>
    <n v="33969"/>
    <n v="28469"/>
  </r>
  <r>
    <s v="ORD04692"/>
    <d v="2025-04-02T00:00:00"/>
    <x v="7"/>
    <x v="34"/>
    <x v="2"/>
    <s v="Italy"/>
    <x v="25"/>
    <x v="9"/>
    <n v="27239"/>
    <n v="28230"/>
  </r>
  <r>
    <s v="ORD04693"/>
    <d v="2025-09-06T00:00:00"/>
    <x v="3"/>
    <x v="4"/>
    <x v="6"/>
    <s v="Russia"/>
    <x v="28"/>
    <x v="16"/>
    <n v="20476"/>
    <n v="23673"/>
  </r>
  <r>
    <s v="ORD04694"/>
    <d v="2025-05-05T00:00:00"/>
    <x v="8"/>
    <x v="18"/>
    <x v="5"/>
    <s v="UAE"/>
    <x v="17"/>
    <x v="20"/>
    <n v="32782"/>
    <n v="40640"/>
  </r>
  <r>
    <s v="ORD04695"/>
    <d v="2025-07-01T00:00:00"/>
    <x v="0"/>
    <x v="37"/>
    <x v="3"/>
    <s v="Germany"/>
    <x v="13"/>
    <x v="27"/>
    <n v="33711"/>
    <n v="36718"/>
  </r>
  <r>
    <s v="ORD04696"/>
    <d v="2025-02-28T00:00:00"/>
    <x v="6"/>
    <x v="22"/>
    <x v="6"/>
    <s v="Australia"/>
    <x v="46"/>
    <x v="28"/>
    <n v="25841"/>
    <n v="29681"/>
  </r>
  <r>
    <s v="ORD04697"/>
    <d v="2025-12-26T00:00:00"/>
    <x v="10"/>
    <x v="42"/>
    <x v="1"/>
    <s v="Malaysia"/>
    <x v="36"/>
    <x v="23"/>
    <n v="35987"/>
    <n v="38262"/>
  </r>
  <r>
    <s v="ORD04698"/>
    <d v="2025-11-21T00:00:00"/>
    <x v="2"/>
    <x v="9"/>
    <x v="0"/>
    <s v="Japan"/>
    <x v="1"/>
    <x v="12"/>
    <n v="17814"/>
    <n v="13604"/>
  </r>
  <r>
    <s v="ORD04699"/>
    <d v="2025-09-04T00:00:00"/>
    <x v="3"/>
    <x v="4"/>
    <x v="6"/>
    <s v="Mexico"/>
    <x v="40"/>
    <x v="17"/>
    <n v="24128"/>
    <n v="17910"/>
  </r>
  <r>
    <s v="ORD04700"/>
    <d v="2025-03-02T00:00:00"/>
    <x v="9"/>
    <x v="22"/>
    <x v="5"/>
    <s v="Mexico"/>
    <x v="6"/>
    <x v="6"/>
    <n v="17157"/>
    <n v="13834"/>
  </r>
  <r>
    <s v="ORD04701"/>
    <d v="2025-08-20T00:00:00"/>
    <x v="11"/>
    <x v="46"/>
    <x v="0"/>
    <s v="Japan"/>
    <x v="19"/>
    <x v="15"/>
    <n v="19952"/>
    <n v="22532"/>
  </r>
  <r>
    <s v="ORD04702"/>
    <d v="2025-11-17T00:00:00"/>
    <x v="2"/>
    <x v="9"/>
    <x v="3"/>
    <s v="Thailand"/>
    <x v="46"/>
    <x v="11"/>
    <n v="26800"/>
    <n v="24433"/>
  </r>
  <r>
    <s v="ORD04703"/>
    <d v="2025-08-26T00:00:00"/>
    <x v="11"/>
    <x v="28"/>
    <x v="1"/>
    <s v="Singapore"/>
    <x v="41"/>
    <x v="21"/>
    <n v="33076"/>
    <n v="34214"/>
  </r>
  <r>
    <s v="ORD04704"/>
    <d v="2025-10-28T00:00:00"/>
    <x v="4"/>
    <x v="2"/>
    <x v="0"/>
    <s v="UK"/>
    <x v="16"/>
    <x v="13"/>
    <n v="15820"/>
    <n v="11293"/>
  </r>
  <r>
    <s v="ORD04705"/>
    <d v="2025-11-16T00:00:00"/>
    <x v="2"/>
    <x v="44"/>
    <x v="3"/>
    <s v="Thailand"/>
    <x v="24"/>
    <x v="22"/>
    <n v="23567"/>
    <n v="26803"/>
  </r>
  <r>
    <s v="ORD04706"/>
    <d v="2025-07-19T00:00:00"/>
    <x v="0"/>
    <x v="14"/>
    <x v="3"/>
    <s v="France"/>
    <x v="48"/>
    <x v="3"/>
    <n v="23129"/>
    <n v="18214"/>
  </r>
  <r>
    <s v="ORD04707"/>
    <d v="2025-06-25T00:00:00"/>
    <x v="5"/>
    <x v="36"/>
    <x v="3"/>
    <s v="South Africa"/>
    <x v="7"/>
    <x v="5"/>
    <n v="21020"/>
    <n v="25842"/>
  </r>
  <r>
    <s v="ORD04708"/>
    <d v="2025-12-03T00:00:00"/>
    <x v="10"/>
    <x v="43"/>
    <x v="4"/>
    <s v="Japan"/>
    <x v="13"/>
    <x v="29"/>
    <n v="24501"/>
    <n v="18758"/>
  </r>
  <r>
    <s v="ORD04709"/>
    <d v="2025-12-20T00:00:00"/>
    <x v="10"/>
    <x v="21"/>
    <x v="0"/>
    <s v="Spain"/>
    <x v="30"/>
    <x v="0"/>
    <n v="17453"/>
    <n v="21216"/>
  </r>
  <r>
    <s v="ORD04710"/>
    <d v="2025-08-22T00:00:00"/>
    <x v="11"/>
    <x v="46"/>
    <x v="4"/>
    <s v="Singapore"/>
    <x v="32"/>
    <x v="12"/>
    <n v="24222"/>
    <n v="23069"/>
  </r>
  <r>
    <s v="ORD04711"/>
    <d v="2025-12-26T00:00:00"/>
    <x v="10"/>
    <x v="42"/>
    <x v="5"/>
    <s v="Germany"/>
    <x v="16"/>
    <x v="15"/>
    <n v="28161"/>
    <n v="22255"/>
  </r>
  <r>
    <s v="ORD04712"/>
    <d v="2025-05-13T00:00:00"/>
    <x v="8"/>
    <x v="17"/>
    <x v="6"/>
    <s v="Malaysia"/>
    <x v="5"/>
    <x v="20"/>
    <n v="33172"/>
    <n v="27127"/>
  </r>
  <r>
    <s v="ORD04713"/>
    <d v="2025-02-27T00:00:00"/>
    <x v="6"/>
    <x v="22"/>
    <x v="0"/>
    <s v="China"/>
    <x v="36"/>
    <x v="4"/>
    <n v="17478"/>
    <n v="21182"/>
  </r>
  <r>
    <s v="ORD04714"/>
    <d v="2025-03-01T00:00:00"/>
    <x v="9"/>
    <x v="22"/>
    <x v="4"/>
    <s v="China"/>
    <x v="16"/>
    <x v="12"/>
    <n v="26849"/>
    <n v="29530"/>
  </r>
  <r>
    <s v="ORD04715"/>
    <d v="2025-12-30T00:00:00"/>
    <x v="10"/>
    <x v="5"/>
    <x v="0"/>
    <s v="Thailand"/>
    <x v="17"/>
    <x v="2"/>
    <n v="22121"/>
    <n v="25815"/>
  </r>
  <r>
    <s v="ORD04716"/>
    <d v="2025-01-16T00:00:00"/>
    <x v="1"/>
    <x v="1"/>
    <x v="1"/>
    <s v="Turkey"/>
    <x v="7"/>
    <x v="13"/>
    <n v="28337"/>
    <n v="24957"/>
  </r>
  <r>
    <s v="ORD04717"/>
    <d v="2025-06-01T00:00:00"/>
    <x v="5"/>
    <x v="24"/>
    <x v="4"/>
    <s v="Turkey"/>
    <x v="42"/>
    <x v="29"/>
    <n v="17865"/>
    <n v="21347"/>
  </r>
  <r>
    <s v="ORD04718"/>
    <d v="2025-03-10T00:00:00"/>
    <x v="9"/>
    <x v="19"/>
    <x v="6"/>
    <s v="Mexico"/>
    <x v="8"/>
    <x v="0"/>
    <n v="33828"/>
    <n v="33720"/>
  </r>
  <r>
    <s v="ORD04719"/>
    <d v="2025-12-17T00:00:00"/>
    <x v="10"/>
    <x v="21"/>
    <x v="2"/>
    <s v="India"/>
    <x v="12"/>
    <x v="12"/>
    <n v="19047"/>
    <n v="22553"/>
  </r>
  <r>
    <s v="ORD04720"/>
    <d v="2025-11-07T00:00:00"/>
    <x v="2"/>
    <x v="51"/>
    <x v="3"/>
    <s v="UK"/>
    <x v="19"/>
    <x v="22"/>
    <n v="27296"/>
    <n v="28638"/>
  </r>
  <r>
    <s v="ORD04721"/>
    <d v="2025-06-03T00:00:00"/>
    <x v="5"/>
    <x v="41"/>
    <x v="4"/>
    <s v="USA"/>
    <x v="24"/>
    <x v="12"/>
    <n v="36142"/>
    <n v="34924"/>
  </r>
  <r>
    <s v="ORD04722"/>
    <d v="2025-06-12T00:00:00"/>
    <x v="5"/>
    <x v="40"/>
    <x v="0"/>
    <s v="China"/>
    <x v="45"/>
    <x v="19"/>
    <n v="15016"/>
    <n v="13476"/>
  </r>
  <r>
    <s v="ORD04723"/>
    <d v="2025-01-02T00:00:00"/>
    <x v="1"/>
    <x v="5"/>
    <x v="0"/>
    <s v="Mexico"/>
    <x v="21"/>
    <x v="28"/>
    <n v="39956"/>
    <n v="28750"/>
  </r>
  <r>
    <s v="ORD04724"/>
    <d v="2025-04-18T00:00:00"/>
    <x v="7"/>
    <x v="20"/>
    <x v="4"/>
    <s v="China"/>
    <x v="19"/>
    <x v="20"/>
    <n v="19921"/>
    <n v="17845"/>
  </r>
  <r>
    <s v="ORD04725"/>
    <d v="2025-09-23T00:00:00"/>
    <x v="3"/>
    <x v="25"/>
    <x v="3"/>
    <s v="Brazil"/>
    <x v="18"/>
    <x v="9"/>
    <n v="20395"/>
    <n v="21319"/>
  </r>
  <r>
    <s v="ORD04726"/>
    <d v="2025-11-15T00:00:00"/>
    <x v="2"/>
    <x v="44"/>
    <x v="2"/>
    <s v="Russia"/>
    <x v="17"/>
    <x v="16"/>
    <n v="32476"/>
    <n v="24042"/>
  </r>
  <r>
    <s v="ORD04727"/>
    <d v="2025-01-25T00:00:00"/>
    <x v="1"/>
    <x v="7"/>
    <x v="3"/>
    <s v="South Africa"/>
    <x v="22"/>
    <x v="3"/>
    <n v="39590"/>
    <n v="41442"/>
  </r>
  <r>
    <s v="ORD04728"/>
    <d v="2025-07-10T00:00:00"/>
    <x v="0"/>
    <x v="47"/>
    <x v="4"/>
    <s v="Singapore"/>
    <x v="15"/>
    <x v="4"/>
    <n v="34832"/>
    <n v="39392"/>
  </r>
  <r>
    <s v="ORD04729"/>
    <d v="2025-08-29T00:00:00"/>
    <x v="11"/>
    <x v="28"/>
    <x v="3"/>
    <s v="Germany"/>
    <x v="7"/>
    <x v="13"/>
    <n v="27629"/>
    <n v="21978"/>
  </r>
  <r>
    <s v="ORD04730"/>
    <d v="2025-03-31T00:00:00"/>
    <x v="9"/>
    <x v="34"/>
    <x v="1"/>
    <s v="Canada"/>
    <x v="33"/>
    <x v="6"/>
    <n v="22107"/>
    <n v="26633"/>
  </r>
  <r>
    <s v="ORD04731"/>
    <d v="2025-07-02T00:00:00"/>
    <x v="0"/>
    <x v="37"/>
    <x v="4"/>
    <s v="Malaysia"/>
    <x v="23"/>
    <x v="16"/>
    <n v="34961"/>
    <n v="25671"/>
  </r>
  <r>
    <s v="ORD04732"/>
    <d v="2025-02-26T00:00:00"/>
    <x v="6"/>
    <x v="22"/>
    <x v="6"/>
    <s v="Germany"/>
    <x v="44"/>
    <x v="13"/>
    <n v="22893"/>
    <n v="18787"/>
  </r>
  <r>
    <s v="ORD04733"/>
    <d v="2025-03-14T00:00:00"/>
    <x v="9"/>
    <x v="19"/>
    <x v="1"/>
    <s v="Thailand"/>
    <x v="43"/>
    <x v="27"/>
    <n v="16865"/>
    <n v="16101"/>
  </r>
  <r>
    <s v="ORD04734"/>
    <d v="2025-06-18T00:00:00"/>
    <x v="5"/>
    <x v="13"/>
    <x v="6"/>
    <s v="Japan"/>
    <x v="23"/>
    <x v="27"/>
    <n v="15395"/>
    <n v="18123"/>
  </r>
  <r>
    <s v="ORD04735"/>
    <d v="2025-05-26T00:00:00"/>
    <x v="8"/>
    <x v="24"/>
    <x v="2"/>
    <s v="Canada"/>
    <x v="41"/>
    <x v="13"/>
    <n v="31855"/>
    <n v="26518"/>
  </r>
  <r>
    <s v="ORD04736"/>
    <d v="2025-07-01T00:00:00"/>
    <x v="0"/>
    <x v="37"/>
    <x v="5"/>
    <s v="China"/>
    <x v="34"/>
    <x v="8"/>
    <n v="17771"/>
    <n v="17301"/>
  </r>
  <r>
    <s v="ORD04737"/>
    <d v="2025-01-28T00:00:00"/>
    <x v="1"/>
    <x v="3"/>
    <x v="3"/>
    <s v="Japan"/>
    <x v="28"/>
    <x v="0"/>
    <n v="22878"/>
    <n v="16858"/>
  </r>
  <r>
    <s v="ORD04738"/>
    <d v="2025-01-15T00:00:00"/>
    <x v="1"/>
    <x v="1"/>
    <x v="1"/>
    <s v="France"/>
    <x v="12"/>
    <x v="10"/>
    <n v="35800"/>
    <n v="46494"/>
  </r>
  <r>
    <s v="ORD04739"/>
    <d v="2025-07-24T00:00:00"/>
    <x v="0"/>
    <x v="0"/>
    <x v="0"/>
    <s v="UAE"/>
    <x v="11"/>
    <x v="14"/>
    <n v="18510"/>
    <n v="23311"/>
  </r>
  <r>
    <s v="ORD04740"/>
    <d v="2025-02-04T00:00:00"/>
    <x v="6"/>
    <x v="48"/>
    <x v="6"/>
    <s v="Singapore"/>
    <x v="26"/>
    <x v="0"/>
    <n v="26658"/>
    <n v="30950"/>
  </r>
  <r>
    <s v="ORD04741"/>
    <d v="2025-06-02T00:00:00"/>
    <x v="5"/>
    <x v="41"/>
    <x v="0"/>
    <s v="Mexico"/>
    <x v="31"/>
    <x v="17"/>
    <n v="27142"/>
    <n v="29168"/>
  </r>
  <r>
    <s v="ORD04742"/>
    <d v="2025-08-12T00:00:00"/>
    <x v="11"/>
    <x v="30"/>
    <x v="2"/>
    <s v="Mexico"/>
    <x v="0"/>
    <x v="26"/>
    <n v="35927"/>
    <n v="34799"/>
  </r>
  <r>
    <s v="ORD04743"/>
    <d v="2025-06-24T00:00:00"/>
    <x v="5"/>
    <x v="36"/>
    <x v="1"/>
    <s v="China"/>
    <x v="46"/>
    <x v="18"/>
    <n v="38809"/>
    <n v="41805"/>
  </r>
  <r>
    <s v="ORD04744"/>
    <d v="2025-07-18T00:00:00"/>
    <x v="0"/>
    <x v="14"/>
    <x v="1"/>
    <s v="Australia"/>
    <x v="41"/>
    <x v="28"/>
    <n v="16099"/>
    <n v="18792"/>
  </r>
  <r>
    <s v="ORD04745"/>
    <d v="2025-09-01T00:00:00"/>
    <x v="3"/>
    <x v="4"/>
    <x v="6"/>
    <s v="Germany"/>
    <x v="30"/>
    <x v="29"/>
    <n v="37524"/>
    <n v="45628"/>
  </r>
  <r>
    <s v="ORD04746"/>
    <d v="2025-04-20T00:00:00"/>
    <x v="7"/>
    <x v="20"/>
    <x v="6"/>
    <s v="Turkey"/>
    <x v="9"/>
    <x v="15"/>
    <n v="39009"/>
    <n v="28491"/>
  </r>
  <r>
    <s v="ORD04747"/>
    <d v="2025-02-19T00:00:00"/>
    <x v="6"/>
    <x v="15"/>
    <x v="4"/>
    <s v="Australia"/>
    <x v="0"/>
    <x v="14"/>
    <n v="24372"/>
    <n v="29360"/>
  </r>
  <r>
    <s v="ORD04748"/>
    <d v="2025-11-14T00:00:00"/>
    <x v="2"/>
    <x v="44"/>
    <x v="3"/>
    <s v="Italy"/>
    <x v="9"/>
    <x v="12"/>
    <n v="17555"/>
    <n v="13380"/>
  </r>
  <r>
    <s v="ORD04749"/>
    <d v="2025-09-24T00:00:00"/>
    <x v="3"/>
    <x v="25"/>
    <x v="4"/>
    <s v="Japan"/>
    <x v="42"/>
    <x v="27"/>
    <n v="18135"/>
    <n v="13362"/>
  </r>
  <r>
    <s v="ORD04750"/>
    <d v="2025-04-28T00:00:00"/>
    <x v="7"/>
    <x v="27"/>
    <x v="1"/>
    <s v="Spain"/>
    <x v="20"/>
    <x v="19"/>
    <n v="22967"/>
    <n v="18989"/>
  </r>
  <r>
    <s v="ORD04751"/>
    <d v="2025-09-21T00:00:00"/>
    <x v="3"/>
    <x v="8"/>
    <x v="6"/>
    <s v="UK"/>
    <x v="18"/>
    <x v="7"/>
    <n v="17645"/>
    <n v="19008"/>
  </r>
  <r>
    <s v="ORD04752"/>
    <d v="2025-06-24T00:00:00"/>
    <x v="5"/>
    <x v="36"/>
    <x v="3"/>
    <s v="Singapore"/>
    <x v="13"/>
    <x v="25"/>
    <n v="20139"/>
    <n v="23878"/>
  </r>
  <r>
    <s v="ORD04753"/>
    <d v="2025-12-26T00:00:00"/>
    <x v="10"/>
    <x v="42"/>
    <x v="1"/>
    <s v="Mexico"/>
    <x v="44"/>
    <x v="10"/>
    <n v="31002"/>
    <n v="29920"/>
  </r>
  <r>
    <s v="ORD04754"/>
    <d v="2025-05-24T00:00:00"/>
    <x v="8"/>
    <x v="26"/>
    <x v="2"/>
    <s v="Thailand"/>
    <x v="39"/>
    <x v="12"/>
    <n v="29708"/>
    <n v="35577"/>
  </r>
  <r>
    <s v="ORD04755"/>
    <d v="2025-08-16T00:00:00"/>
    <x v="11"/>
    <x v="30"/>
    <x v="0"/>
    <s v="UK"/>
    <x v="18"/>
    <x v="14"/>
    <n v="31430"/>
    <n v="23912"/>
  </r>
  <r>
    <s v="ORD04756"/>
    <d v="2025-11-03T00:00:00"/>
    <x v="2"/>
    <x v="51"/>
    <x v="2"/>
    <s v="France"/>
    <x v="44"/>
    <x v="14"/>
    <n v="25274"/>
    <n v="18104"/>
  </r>
  <r>
    <s v="ORD04757"/>
    <d v="2025-07-17T00:00:00"/>
    <x v="0"/>
    <x v="14"/>
    <x v="3"/>
    <s v="India"/>
    <x v="45"/>
    <x v="17"/>
    <n v="23691"/>
    <n v="20352"/>
  </r>
  <r>
    <s v="ORD04758"/>
    <d v="2025-11-15T00:00:00"/>
    <x v="2"/>
    <x v="44"/>
    <x v="4"/>
    <s v="Germany"/>
    <x v="18"/>
    <x v="24"/>
    <n v="16554"/>
    <n v="12612"/>
  </r>
  <r>
    <s v="ORD04759"/>
    <d v="2025-06-17T00:00:00"/>
    <x v="5"/>
    <x v="13"/>
    <x v="6"/>
    <s v="UAE"/>
    <x v="7"/>
    <x v="5"/>
    <n v="31424"/>
    <n v="37495"/>
  </r>
  <r>
    <s v="ORD04760"/>
    <d v="2025-05-09T00:00:00"/>
    <x v="8"/>
    <x v="18"/>
    <x v="2"/>
    <s v="Mexico"/>
    <x v="44"/>
    <x v="16"/>
    <n v="16155"/>
    <n v="17604"/>
  </r>
  <r>
    <s v="ORD04761"/>
    <d v="2025-12-06T00:00:00"/>
    <x v="10"/>
    <x v="43"/>
    <x v="6"/>
    <s v="Turkey"/>
    <x v="33"/>
    <x v="22"/>
    <n v="26748"/>
    <n v="20557"/>
  </r>
  <r>
    <s v="ORD04762"/>
    <d v="2025-10-02T00:00:00"/>
    <x v="4"/>
    <x v="49"/>
    <x v="5"/>
    <s v="China"/>
    <x v="0"/>
    <x v="15"/>
    <n v="16400"/>
    <n v="17855"/>
  </r>
  <r>
    <s v="ORD04763"/>
    <d v="2025-01-07T00:00:00"/>
    <x v="1"/>
    <x v="6"/>
    <x v="0"/>
    <s v="Russia"/>
    <x v="24"/>
    <x v="26"/>
    <n v="39930"/>
    <n v="35593"/>
  </r>
  <r>
    <s v="ORD04764"/>
    <d v="2025-03-21T00:00:00"/>
    <x v="9"/>
    <x v="39"/>
    <x v="4"/>
    <s v="Germany"/>
    <x v="40"/>
    <x v="22"/>
    <n v="31433"/>
    <n v="33520"/>
  </r>
  <r>
    <s v="ORD04765"/>
    <d v="2025-04-22T00:00:00"/>
    <x v="7"/>
    <x v="38"/>
    <x v="1"/>
    <s v="China"/>
    <x v="39"/>
    <x v="13"/>
    <n v="28865"/>
    <n v="30309"/>
  </r>
  <r>
    <s v="ORD04766"/>
    <d v="2025-11-22T00:00:00"/>
    <x v="2"/>
    <x v="9"/>
    <x v="6"/>
    <s v="Australia"/>
    <x v="39"/>
    <x v="13"/>
    <n v="20813"/>
    <n v="22008"/>
  </r>
  <r>
    <s v="ORD04767"/>
    <d v="2025-11-26T00:00:00"/>
    <x v="2"/>
    <x v="11"/>
    <x v="6"/>
    <s v="Japan"/>
    <x v="22"/>
    <x v="27"/>
    <n v="26277"/>
    <n v="20334"/>
  </r>
  <r>
    <s v="ORD04768"/>
    <d v="2025-06-07T00:00:00"/>
    <x v="5"/>
    <x v="41"/>
    <x v="6"/>
    <s v="Turkey"/>
    <x v="22"/>
    <x v="20"/>
    <n v="22600"/>
    <n v="28513"/>
  </r>
  <r>
    <s v="ORD04769"/>
    <d v="2025-04-15T00:00:00"/>
    <x v="7"/>
    <x v="20"/>
    <x v="5"/>
    <s v="Russia"/>
    <x v="5"/>
    <x v="21"/>
    <n v="22019"/>
    <n v="25960"/>
  </r>
  <r>
    <s v="ORD04770"/>
    <d v="2025-01-29T00:00:00"/>
    <x v="1"/>
    <x v="3"/>
    <x v="0"/>
    <s v="Italy"/>
    <x v="32"/>
    <x v="17"/>
    <n v="34380"/>
    <n v="33469"/>
  </r>
  <r>
    <s v="ORD04771"/>
    <d v="2025-06-19T00:00:00"/>
    <x v="5"/>
    <x v="13"/>
    <x v="3"/>
    <s v="Germany"/>
    <x v="0"/>
    <x v="11"/>
    <n v="25795"/>
    <n v="30422"/>
  </r>
  <r>
    <s v="ORD04772"/>
    <d v="2025-02-22T00:00:00"/>
    <x v="6"/>
    <x v="15"/>
    <x v="3"/>
    <s v="France"/>
    <x v="46"/>
    <x v="26"/>
    <n v="33602"/>
    <n v="29157"/>
  </r>
  <r>
    <s v="ORD04773"/>
    <d v="2025-07-17T00:00:00"/>
    <x v="0"/>
    <x v="14"/>
    <x v="5"/>
    <s v="France"/>
    <x v="6"/>
    <x v="18"/>
    <n v="30753"/>
    <n v="24095"/>
  </r>
  <r>
    <s v="ORD04774"/>
    <d v="2025-10-22T00:00:00"/>
    <x v="4"/>
    <x v="50"/>
    <x v="1"/>
    <s v="Russia"/>
    <x v="1"/>
    <x v="28"/>
    <n v="24902"/>
    <n v="30877"/>
  </r>
  <r>
    <s v="ORD04775"/>
    <d v="2025-09-01T00:00:00"/>
    <x v="3"/>
    <x v="4"/>
    <x v="2"/>
    <s v="Japan"/>
    <x v="49"/>
    <x v="18"/>
    <n v="33268"/>
    <n v="39711"/>
  </r>
  <r>
    <s v="ORD04776"/>
    <d v="2025-04-14T00:00:00"/>
    <x v="7"/>
    <x v="20"/>
    <x v="6"/>
    <s v="Japan"/>
    <x v="38"/>
    <x v="15"/>
    <n v="18911"/>
    <n v="19716"/>
  </r>
  <r>
    <s v="ORD04777"/>
    <d v="2025-11-03T00:00:00"/>
    <x v="2"/>
    <x v="51"/>
    <x v="0"/>
    <s v="Brazil"/>
    <x v="29"/>
    <x v="2"/>
    <n v="35628"/>
    <n v="29262"/>
  </r>
  <r>
    <s v="ORD04778"/>
    <d v="2025-08-31T00:00:00"/>
    <x v="11"/>
    <x v="28"/>
    <x v="3"/>
    <s v="Spain"/>
    <x v="28"/>
    <x v="22"/>
    <n v="36185"/>
    <n v="26909"/>
  </r>
  <r>
    <s v="ORD04779"/>
    <d v="2025-12-07T00:00:00"/>
    <x v="10"/>
    <x v="43"/>
    <x v="5"/>
    <s v="Mexico"/>
    <x v="18"/>
    <x v="12"/>
    <n v="22027"/>
    <n v="20529"/>
  </r>
  <r>
    <s v="ORD04780"/>
    <d v="2025-11-03T00:00:00"/>
    <x v="2"/>
    <x v="51"/>
    <x v="3"/>
    <s v="USA"/>
    <x v="36"/>
    <x v="14"/>
    <n v="20039"/>
    <n v="15109"/>
  </r>
  <r>
    <s v="ORD04781"/>
    <d v="2025-06-27T00:00:00"/>
    <x v="5"/>
    <x v="36"/>
    <x v="3"/>
    <s v="Spain"/>
    <x v="7"/>
    <x v="23"/>
    <n v="22687"/>
    <n v="22580"/>
  </r>
  <r>
    <s v="ORD04782"/>
    <d v="2025-12-04T00:00:00"/>
    <x v="10"/>
    <x v="43"/>
    <x v="4"/>
    <s v="Australia"/>
    <x v="10"/>
    <x v="15"/>
    <n v="25338"/>
    <n v="17952"/>
  </r>
  <r>
    <s v="ORD04783"/>
    <d v="2025-01-18T00:00:00"/>
    <x v="1"/>
    <x v="1"/>
    <x v="4"/>
    <s v="Turkey"/>
    <x v="26"/>
    <x v="21"/>
    <n v="34000"/>
    <n v="26578"/>
  </r>
  <r>
    <s v="ORD04784"/>
    <d v="2025-06-03T00:00:00"/>
    <x v="5"/>
    <x v="41"/>
    <x v="4"/>
    <s v="Malaysia"/>
    <x v="17"/>
    <x v="17"/>
    <n v="17528"/>
    <n v="13643"/>
  </r>
  <r>
    <s v="ORD04785"/>
    <d v="2025-09-08T00:00:00"/>
    <x v="3"/>
    <x v="31"/>
    <x v="0"/>
    <s v="Japan"/>
    <x v="43"/>
    <x v="13"/>
    <n v="17386"/>
    <n v="12238"/>
  </r>
  <r>
    <s v="ORD04786"/>
    <d v="2025-07-14T00:00:00"/>
    <x v="0"/>
    <x v="14"/>
    <x v="1"/>
    <s v="Italy"/>
    <x v="44"/>
    <x v="10"/>
    <n v="37299"/>
    <n v="43593"/>
  </r>
  <r>
    <s v="ORD04787"/>
    <d v="2025-10-09T00:00:00"/>
    <x v="4"/>
    <x v="45"/>
    <x v="3"/>
    <s v="USA"/>
    <x v="37"/>
    <x v="12"/>
    <n v="39633"/>
    <n v="33126"/>
  </r>
  <r>
    <s v="ORD04788"/>
    <d v="2025-06-25T00:00:00"/>
    <x v="5"/>
    <x v="36"/>
    <x v="2"/>
    <s v="Russia"/>
    <x v="24"/>
    <x v="22"/>
    <n v="21813"/>
    <n v="24137"/>
  </r>
  <r>
    <s v="ORD04789"/>
    <d v="2025-03-05T00:00:00"/>
    <x v="9"/>
    <x v="35"/>
    <x v="0"/>
    <s v="Japan"/>
    <x v="47"/>
    <x v="22"/>
    <n v="33429"/>
    <n v="37155"/>
  </r>
  <r>
    <s v="ORD04790"/>
    <d v="2025-01-16T00:00:00"/>
    <x v="1"/>
    <x v="1"/>
    <x v="2"/>
    <s v="Australia"/>
    <x v="15"/>
    <x v="24"/>
    <n v="33510"/>
    <n v="23499"/>
  </r>
  <r>
    <s v="ORD04791"/>
    <d v="2025-12-14T00:00:00"/>
    <x v="10"/>
    <x v="32"/>
    <x v="1"/>
    <s v="USA"/>
    <x v="14"/>
    <x v="19"/>
    <n v="23341"/>
    <n v="16423"/>
  </r>
  <r>
    <s v="ORD04792"/>
    <d v="2025-07-15T00:00:00"/>
    <x v="0"/>
    <x v="14"/>
    <x v="4"/>
    <s v="Japan"/>
    <x v="36"/>
    <x v="15"/>
    <n v="35576"/>
    <n v="43242"/>
  </r>
  <r>
    <s v="ORD04793"/>
    <d v="2025-03-07T00:00:00"/>
    <x v="9"/>
    <x v="35"/>
    <x v="3"/>
    <s v="USA"/>
    <x v="21"/>
    <x v="5"/>
    <n v="20231"/>
    <n v="20205"/>
  </r>
  <r>
    <s v="ORD04794"/>
    <d v="2025-07-05T00:00:00"/>
    <x v="0"/>
    <x v="37"/>
    <x v="1"/>
    <s v="UAE"/>
    <x v="27"/>
    <x v="14"/>
    <n v="38107"/>
    <n v="33607"/>
  </r>
  <r>
    <s v="ORD04795"/>
    <d v="2025-05-06T00:00:00"/>
    <x v="8"/>
    <x v="18"/>
    <x v="2"/>
    <s v="Italy"/>
    <x v="12"/>
    <x v="7"/>
    <n v="39356"/>
    <n v="42236"/>
  </r>
  <r>
    <s v="ORD04796"/>
    <d v="2025-11-13T00:00:00"/>
    <x v="2"/>
    <x v="44"/>
    <x v="0"/>
    <s v="Italy"/>
    <x v="49"/>
    <x v="0"/>
    <n v="16246"/>
    <n v="18701"/>
  </r>
  <r>
    <s v="ORD04797"/>
    <d v="2025-12-21T00:00:00"/>
    <x v="10"/>
    <x v="21"/>
    <x v="2"/>
    <s v="South Africa"/>
    <x v="7"/>
    <x v="27"/>
    <n v="32038"/>
    <n v="39249"/>
  </r>
  <r>
    <s v="ORD04798"/>
    <d v="2025-11-13T00:00:00"/>
    <x v="2"/>
    <x v="44"/>
    <x v="0"/>
    <s v="Italy"/>
    <x v="42"/>
    <x v="19"/>
    <n v="17915"/>
    <n v="15017"/>
  </r>
  <r>
    <s v="ORD04799"/>
    <d v="2025-06-12T00:00:00"/>
    <x v="5"/>
    <x v="40"/>
    <x v="5"/>
    <s v="China"/>
    <x v="34"/>
    <x v="26"/>
    <n v="20727"/>
    <n v="16891"/>
  </r>
  <r>
    <s v="ORD04800"/>
    <d v="2025-04-04T00:00:00"/>
    <x v="7"/>
    <x v="34"/>
    <x v="1"/>
    <s v="Mexico"/>
    <x v="39"/>
    <x v="26"/>
    <n v="32028"/>
    <n v="29887"/>
  </r>
  <r>
    <s v="ORD04801"/>
    <d v="2025-01-21T00:00:00"/>
    <x v="1"/>
    <x v="7"/>
    <x v="1"/>
    <s v="Brazil"/>
    <x v="14"/>
    <x v="17"/>
    <n v="24528"/>
    <n v="18682"/>
  </r>
  <r>
    <s v="ORD04802"/>
    <d v="2025-07-18T00:00:00"/>
    <x v="0"/>
    <x v="14"/>
    <x v="2"/>
    <s v="Japan"/>
    <x v="31"/>
    <x v="3"/>
    <n v="29063"/>
    <n v="34040"/>
  </r>
  <r>
    <s v="ORD04803"/>
    <d v="2025-08-03T00:00:00"/>
    <x v="11"/>
    <x v="12"/>
    <x v="4"/>
    <s v="South Africa"/>
    <x v="7"/>
    <x v="18"/>
    <n v="38815"/>
    <n v="33271"/>
  </r>
  <r>
    <s v="ORD04804"/>
    <d v="2025-04-24T00:00:00"/>
    <x v="7"/>
    <x v="38"/>
    <x v="6"/>
    <s v="France"/>
    <x v="16"/>
    <x v="24"/>
    <n v="35812"/>
    <n v="41825"/>
  </r>
  <r>
    <s v="ORD04805"/>
    <d v="2025-04-18T00:00:00"/>
    <x v="7"/>
    <x v="20"/>
    <x v="3"/>
    <s v="Thailand"/>
    <x v="30"/>
    <x v="7"/>
    <n v="26682"/>
    <n v="22728"/>
  </r>
  <r>
    <s v="ORD04806"/>
    <d v="2025-09-12T00:00:00"/>
    <x v="3"/>
    <x v="31"/>
    <x v="0"/>
    <s v="Mexico"/>
    <x v="45"/>
    <x v="22"/>
    <n v="36955"/>
    <n v="30435"/>
  </r>
  <r>
    <s v="ORD04807"/>
    <d v="2025-02-18T00:00:00"/>
    <x v="6"/>
    <x v="15"/>
    <x v="4"/>
    <s v="Russia"/>
    <x v="22"/>
    <x v="19"/>
    <n v="24028"/>
    <n v="27304"/>
  </r>
  <r>
    <s v="ORD04808"/>
    <d v="2025-03-22T00:00:00"/>
    <x v="9"/>
    <x v="39"/>
    <x v="1"/>
    <s v="UAE"/>
    <x v="16"/>
    <x v="27"/>
    <n v="28735"/>
    <n v="22492"/>
  </r>
  <r>
    <s v="ORD04809"/>
    <d v="2025-12-23T00:00:00"/>
    <x v="10"/>
    <x v="42"/>
    <x v="4"/>
    <s v="China"/>
    <x v="40"/>
    <x v="5"/>
    <n v="32137"/>
    <n v="32694"/>
  </r>
  <r>
    <s v="ORD04810"/>
    <d v="2025-08-08T00:00:00"/>
    <x v="11"/>
    <x v="23"/>
    <x v="5"/>
    <s v="Spain"/>
    <x v="38"/>
    <x v="4"/>
    <n v="21237"/>
    <n v="16326"/>
  </r>
  <r>
    <s v="ORD04811"/>
    <d v="2025-04-12T00:00:00"/>
    <x v="7"/>
    <x v="16"/>
    <x v="5"/>
    <s v="Singapore"/>
    <x v="47"/>
    <x v="9"/>
    <n v="17144"/>
    <n v="16161"/>
  </r>
  <r>
    <s v="ORD04812"/>
    <d v="2025-09-30T00:00:00"/>
    <x v="3"/>
    <x v="49"/>
    <x v="6"/>
    <s v="Turkey"/>
    <x v="8"/>
    <x v="5"/>
    <n v="31989"/>
    <n v="22451"/>
  </r>
  <r>
    <s v="ORD04813"/>
    <d v="2025-11-12T00:00:00"/>
    <x v="2"/>
    <x v="44"/>
    <x v="6"/>
    <s v="Germany"/>
    <x v="24"/>
    <x v="24"/>
    <n v="16216"/>
    <n v="12629"/>
  </r>
  <r>
    <s v="ORD04814"/>
    <d v="2025-03-21T00:00:00"/>
    <x v="9"/>
    <x v="39"/>
    <x v="1"/>
    <s v="Mexico"/>
    <x v="8"/>
    <x v="5"/>
    <n v="38893"/>
    <n v="33315"/>
  </r>
  <r>
    <s v="ORD04815"/>
    <d v="2025-02-14T00:00:00"/>
    <x v="6"/>
    <x v="29"/>
    <x v="2"/>
    <s v="South Africa"/>
    <x v="19"/>
    <x v="12"/>
    <n v="16436"/>
    <n v="16642"/>
  </r>
  <r>
    <s v="ORD04816"/>
    <d v="2025-09-07T00:00:00"/>
    <x v="3"/>
    <x v="4"/>
    <x v="6"/>
    <s v="Australia"/>
    <x v="9"/>
    <x v="2"/>
    <n v="36306"/>
    <n v="41413"/>
  </r>
  <r>
    <s v="ORD04817"/>
    <d v="2025-08-13T00:00:00"/>
    <x v="11"/>
    <x v="30"/>
    <x v="0"/>
    <s v="Thailand"/>
    <x v="44"/>
    <x v="17"/>
    <n v="35489"/>
    <n v="29406"/>
  </r>
  <r>
    <s v="ORD04818"/>
    <d v="2025-11-06T00:00:00"/>
    <x v="2"/>
    <x v="51"/>
    <x v="1"/>
    <s v="Singapore"/>
    <x v="34"/>
    <x v="25"/>
    <n v="22790"/>
    <n v="18060"/>
  </r>
  <r>
    <s v="ORD04819"/>
    <d v="2025-08-23T00:00:00"/>
    <x v="11"/>
    <x v="46"/>
    <x v="5"/>
    <s v="Mexico"/>
    <x v="42"/>
    <x v="0"/>
    <n v="25159"/>
    <n v="31440"/>
  </r>
  <r>
    <s v="ORD04820"/>
    <d v="2025-09-29T00:00:00"/>
    <x v="3"/>
    <x v="49"/>
    <x v="2"/>
    <s v="Russia"/>
    <x v="7"/>
    <x v="20"/>
    <n v="25538"/>
    <n v="30480"/>
  </r>
  <r>
    <s v="ORD04821"/>
    <d v="2025-10-04T00:00:00"/>
    <x v="4"/>
    <x v="49"/>
    <x v="1"/>
    <s v="Mexico"/>
    <x v="32"/>
    <x v="23"/>
    <n v="32852"/>
    <n v="25618"/>
  </r>
  <r>
    <s v="ORD04822"/>
    <d v="2025-08-23T00:00:00"/>
    <x v="11"/>
    <x v="46"/>
    <x v="2"/>
    <s v="UAE"/>
    <x v="10"/>
    <x v="21"/>
    <n v="15352"/>
    <n v="19921"/>
  </r>
  <r>
    <s v="ORD04823"/>
    <d v="2025-05-25T00:00:00"/>
    <x v="8"/>
    <x v="26"/>
    <x v="0"/>
    <s v="Japan"/>
    <x v="40"/>
    <x v="27"/>
    <n v="36369"/>
    <n v="40506"/>
  </r>
  <r>
    <s v="ORD04824"/>
    <d v="2025-07-06T00:00:00"/>
    <x v="0"/>
    <x v="37"/>
    <x v="4"/>
    <s v="France"/>
    <x v="26"/>
    <x v="11"/>
    <n v="22299"/>
    <n v="17389"/>
  </r>
  <r>
    <s v="ORD04825"/>
    <d v="2025-03-21T00:00:00"/>
    <x v="9"/>
    <x v="39"/>
    <x v="3"/>
    <s v="Japan"/>
    <x v="17"/>
    <x v="26"/>
    <n v="38528"/>
    <n v="35072"/>
  </r>
  <r>
    <s v="ORD04826"/>
    <d v="2025-01-13T00:00:00"/>
    <x v="1"/>
    <x v="1"/>
    <x v="4"/>
    <s v="Singapore"/>
    <x v="6"/>
    <x v="1"/>
    <n v="19756"/>
    <n v="19970"/>
  </r>
  <r>
    <s v="ORD04827"/>
    <d v="2025-10-26T00:00:00"/>
    <x v="4"/>
    <x v="50"/>
    <x v="6"/>
    <s v="Thailand"/>
    <x v="17"/>
    <x v="10"/>
    <n v="31941"/>
    <n v="25982"/>
  </r>
  <r>
    <s v="ORD04828"/>
    <d v="2025-09-16T00:00:00"/>
    <x v="3"/>
    <x v="8"/>
    <x v="3"/>
    <s v="Japan"/>
    <x v="25"/>
    <x v="13"/>
    <n v="19551"/>
    <n v="14578"/>
  </r>
  <r>
    <s v="ORD04829"/>
    <d v="2025-07-17T00:00:00"/>
    <x v="0"/>
    <x v="14"/>
    <x v="6"/>
    <s v="Germany"/>
    <x v="11"/>
    <x v="2"/>
    <n v="37634"/>
    <n v="28240"/>
  </r>
  <r>
    <s v="ORD04830"/>
    <d v="2025-10-15T00:00:00"/>
    <x v="4"/>
    <x v="10"/>
    <x v="0"/>
    <s v="Mexico"/>
    <x v="18"/>
    <x v="29"/>
    <n v="29564"/>
    <n v="37729"/>
  </r>
  <r>
    <s v="ORD04831"/>
    <d v="2025-04-15T00:00:00"/>
    <x v="7"/>
    <x v="20"/>
    <x v="5"/>
    <s v="Brazil"/>
    <x v="41"/>
    <x v="5"/>
    <n v="38060"/>
    <n v="37395"/>
  </r>
  <r>
    <s v="ORD04832"/>
    <d v="2025-11-03T00:00:00"/>
    <x v="2"/>
    <x v="51"/>
    <x v="5"/>
    <s v="Singapore"/>
    <x v="3"/>
    <x v="6"/>
    <n v="26411"/>
    <n v="21659"/>
  </r>
  <r>
    <s v="ORD04833"/>
    <d v="2025-03-12T00:00:00"/>
    <x v="9"/>
    <x v="19"/>
    <x v="1"/>
    <s v="Canada"/>
    <x v="39"/>
    <x v="15"/>
    <n v="26062"/>
    <n v="32006"/>
  </r>
  <r>
    <s v="ORD04834"/>
    <d v="2025-06-02T00:00:00"/>
    <x v="5"/>
    <x v="41"/>
    <x v="2"/>
    <s v="Singapore"/>
    <x v="13"/>
    <x v="13"/>
    <n v="37919"/>
    <n v="42310"/>
  </r>
  <r>
    <s v="ORD04835"/>
    <d v="2025-11-15T00:00:00"/>
    <x v="2"/>
    <x v="44"/>
    <x v="4"/>
    <s v="Italy"/>
    <x v="27"/>
    <x v="4"/>
    <n v="23102"/>
    <n v="20793"/>
  </r>
  <r>
    <s v="ORD04836"/>
    <d v="2025-07-30T00:00:00"/>
    <x v="0"/>
    <x v="12"/>
    <x v="5"/>
    <s v="Spain"/>
    <x v="46"/>
    <x v="19"/>
    <n v="39655"/>
    <n v="39655"/>
  </r>
  <r>
    <s v="ORD04837"/>
    <d v="2025-01-04T00:00:00"/>
    <x v="1"/>
    <x v="5"/>
    <x v="6"/>
    <s v="Germany"/>
    <x v="11"/>
    <x v="25"/>
    <n v="16020"/>
    <n v="18582"/>
  </r>
  <r>
    <s v="ORD04838"/>
    <d v="2025-11-10T00:00:00"/>
    <x v="2"/>
    <x v="44"/>
    <x v="2"/>
    <s v="China"/>
    <x v="7"/>
    <x v="3"/>
    <n v="36663"/>
    <n v="39417"/>
  </r>
  <r>
    <s v="ORD04839"/>
    <d v="2025-08-28T00:00:00"/>
    <x v="11"/>
    <x v="28"/>
    <x v="6"/>
    <s v="Singapore"/>
    <x v="14"/>
    <x v="7"/>
    <n v="15036"/>
    <n v="19291"/>
  </r>
  <r>
    <s v="ORD04840"/>
    <d v="2025-06-13T00:00:00"/>
    <x v="5"/>
    <x v="40"/>
    <x v="6"/>
    <s v="France"/>
    <x v="39"/>
    <x v="2"/>
    <n v="18292"/>
    <n v="14224"/>
  </r>
  <r>
    <s v="ORD04841"/>
    <d v="2025-10-26T00:00:00"/>
    <x v="4"/>
    <x v="50"/>
    <x v="1"/>
    <s v="UAE"/>
    <x v="23"/>
    <x v="11"/>
    <n v="19833"/>
    <n v="16445"/>
  </r>
  <r>
    <s v="ORD04842"/>
    <d v="2025-07-20T00:00:00"/>
    <x v="0"/>
    <x v="14"/>
    <x v="6"/>
    <s v="Mexico"/>
    <x v="17"/>
    <x v="11"/>
    <n v="21817"/>
    <n v="22180"/>
  </r>
  <r>
    <s v="ORD04843"/>
    <d v="2025-11-28T00:00:00"/>
    <x v="2"/>
    <x v="11"/>
    <x v="1"/>
    <s v="China"/>
    <x v="46"/>
    <x v="6"/>
    <n v="18828"/>
    <n v="14052"/>
  </r>
  <r>
    <s v="ORD04844"/>
    <d v="2025-03-14T00:00:00"/>
    <x v="9"/>
    <x v="19"/>
    <x v="6"/>
    <s v="USA"/>
    <x v="38"/>
    <x v="4"/>
    <n v="25526"/>
    <n v="28326"/>
  </r>
  <r>
    <s v="ORD04845"/>
    <d v="2025-06-20T00:00:00"/>
    <x v="5"/>
    <x v="13"/>
    <x v="6"/>
    <s v="Japan"/>
    <x v="32"/>
    <x v="13"/>
    <n v="26544"/>
    <n v="21155"/>
  </r>
  <r>
    <s v="ORD04846"/>
    <d v="2025-10-16T00:00:00"/>
    <x v="4"/>
    <x v="10"/>
    <x v="1"/>
    <s v="France"/>
    <x v="28"/>
    <x v="11"/>
    <n v="23569"/>
    <n v="27782"/>
  </r>
  <r>
    <s v="ORD04847"/>
    <d v="2025-06-26T00:00:00"/>
    <x v="5"/>
    <x v="36"/>
    <x v="1"/>
    <s v="UK"/>
    <x v="15"/>
    <x v="18"/>
    <n v="23412"/>
    <n v="23741"/>
  </r>
  <r>
    <s v="ORD04848"/>
    <d v="2025-01-16T00:00:00"/>
    <x v="1"/>
    <x v="1"/>
    <x v="1"/>
    <s v="Mexico"/>
    <x v="14"/>
    <x v="17"/>
    <n v="25735"/>
    <n v="29763"/>
  </r>
  <r>
    <s v="ORD04849"/>
    <d v="2025-10-11T00:00:00"/>
    <x v="4"/>
    <x v="45"/>
    <x v="4"/>
    <s v="Singapore"/>
    <x v="31"/>
    <x v="5"/>
    <n v="24926"/>
    <n v="19052"/>
  </r>
  <r>
    <s v="ORD04850"/>
    <d v="2025-01-30T00:00:00"/>
    <x v="1"/>
    <x v="3"/>
    <x v="1"/>
    <s v="UAE"/>
    <x v="35"/>
    <x v="16"/>
    <n v="36368"/>
    <n v="46495"/>
  </r>
  <r>
    <s v="ORD04851"/>
    <d v="2025-10-19T00:00:00"/>
    <x v="4"/>
    <x v="10"/>
    <x v="2"/>
    <s v="Singapore"/>
    <x v="38"/>
    <x v="12"/>
    <n v="39703"/>
    <n v="49476"/>
  </r>
  <r>
    <s v="ORD04852"/>
    <d v="2025-01-29T00:00:00"/>
    <x v="1"/>
    <x v="3"/>
    <x v="1"/>
    <s v="Russia"/>
    <x v="12"/>
    <x v="23"/>
    <n v="39848"/>
    <n v="36642"/>
  </r>
  <r>
    <s v="ORD04853"/>
    <d v="2025-05-26T00:00:00"/>
    <x v="8"/>
    <x v="24"/>
    <x v="0"/>
    <s v="China"/>
    <x v="48"/>
    <x v="29"/>
    <n v="36258"/>
    <n v="43856"/>
  </r>
  <r>
    <s v="ORD04854"/>
    <d v="2025-10-27T00:00:00"/>
    <x v="4"/>
    <x v="2"/>
    <x v="0"/>
    <s v="Germany"/>
    <x v="30"/>
    <x v="12"/>
    <n v="22829"/>
    <n v="17387"/>
  </r>
  <r>
    <s v="ORD04855"/>
    <d v="2025-11-28T00:00:00"/>
    <x v="2"/>
    <x v="11"/>
    <x v="1"/>
    <s v="Turkey"/>
    <x v="14"/>
    <x v="0"/>
    <n v="38212"/>
    <n v="40457"/>
  </r>
  <r>
    <s v="ORD04856"/>
    <d v="2025-01-29T00:00:00"/>
    <x v="1"/>
    <x v="3"/>
    <x v="3"/>
    <s v="UK"/>
    <x v="7"/>
    <x v="14"/>
    <n v="21281"/>
    <n v="17600"/>
  </r>
  <r>
    <s v="ORD04857"/>
    <d v="2025-07-01T00:00:00"/>
    <x v="0"/>
    <x v="37"/>
    <x v="6"/>
    <s v="France"/>
    <x v="36"/>
    <x v="0"/>
    <n v="34490"/>
    <n v="42368"/>
  </r>
  <r>
    <s v="ORD04858"/>
    <d v="2025-10-06T00:00:00"/>
    <x v="4"/>
    <x v="45"/>
    <x v="2"/>
    <s v="Thailand"/>
    <x v="5"/>
    <x v="21"/>
    <n v="28581"/>
    <n v="25502"/>
  </r>
  <r>
    <s v="ORD04859"/>
    <d v="2025-09-18T00:00:00"/>
    <x v="3"/>
    <x v="8"/>
    <x v="4"/>
    <s v="Canada"/>
    <x v="25"/>
    <x v="16"/>
    <n v="15494"/>
    <n v="12104"/>
  </r>
  <r>
    <s v="ORD04860"/>
    <d v="2025-02-08T00:00:00"/>
    <x v="6"/>
    <x v="48"/>
    <x v="4"/>
    <s v="Japan"/>
    <x v="48"/>
    <x v="28"/>
    <n v="32745"/>
    <n v="28153"/>
  </r>
  <r>
    <s v="ORD04861"/>
    <d v="2025-09-01T00:00:00"/>
    <x v="3"/>
    <x v="4"/>
    <x v="1"/>
    <s v="Canada"/>
    <x v="2"/>
    <x v="24"/>
    <n v="35645"/>
    <n v="28471"/>
  </r>
  <r>
    <s v="ORD04862"/>
    <d v="2025-05-20T00:00:00"/>
    <x v="8"/>
    <x v="26"/>
    <x v="5"/>
    <s v="Spain"/>
    <x v="36"/>
    <x v="29"/>
    <n v="32397"/>
    <n v="35038"/>
  </r>
  <r>
    <s v="ORD04863"/>
    <d v="2025-01-17T00:00:00"/>
    <x v="1"/>
    <x v="1"/>
    <x v="5"/>
    <s v="Mexico"/>
    <x v="41"/>
    <x v="19"/>
    <n v="25963"/>
    <n v="32684"/>
  </r>
  <r>
    <s v="ORD04864"/>
    <d v="2025-03-17T00:00:00"/>
    <x v="9"/>
    <x v="39"/>
    <x v="3"/>
    <s v="Malaysia"/>
    <x v="43"/>
    <x v="22"/>
    <n v="28460"/>
    <n v="27994"/>
  </r>
  <r>
    <s v="ORD04865"/>
    <d v="2025-06-11T00:00:00"/>
    <x v="5"/>
    <x v="40"/>
    <x v="6"/>
    <s v="Japan"/>
    <x v="45"/>
    <x v="29"/>
    <n v="21781"/>
    <n v="21460"/>
  </r>
  <r>
    <s v="ORD04866"/>
    <d v="2025-02-26T00:00:00"/>
    <x v="6"/>
    <x v="22"/>
    <x v="0"/>
    <s v="Russia"/>
    <x v="49"/>
    <x v="11"/>
    <n v="37797"/>
    <n v="32512"/>
  </r>
  <r>
    <s v="ORD04867"/>
    <d v="2025-10-19T00:00:00"/>
    <x v="4"/>
    <x v="10"/>
    <x v="0"/>
    <s v="Canada"/>
    <x v="6"/>
    <x v="10"/>
    <n v="23711"/>
    <n v="29307"/>
  </r>
  <r>
    <s v="ORD04868"/>
    <d v="2025-08-05T00:00:00"/>
    <x v="11"/>
    <x v="23"/>
    <x v="6"/>
    <s v="Australia"/>
    <x v="4"/>
    <x v="16"/>
    <n v="18907"/>
    <n v="19452"/>
  </r>
  <r>
    <s v="ORD04869"/>
    <d v="2025-08-03T00:00:00"/>
    <x v="11"/>
    <x v="12"/>
    <x v="2"/>
    <s v="Singapore"/>
    <x v="36"/>
    <x v="13"/>
    <n v="28458"/>
    <n v="30483"/>
  </r>
  <r>
    <s v="ORD04870"/>
    <d v="2025-09-30T00:00:00"/>
    <x v="3"/>
    <x v="49"/>
    <x v="0"/>
    <s v="Germany"/>
    <x v="39"/>
    <x v="23"/>
    <n v="37433"/>
    <n v="36978"/>
  </r>
  <r>
    <s v="ORD04871"/>
    <d v="2025-11-25T00:00:00"/>
    <x v="2"/>
    <x v="11"/>
    <x v="3"/>
    <s v="Singapore"/>
    <x v="10"/>
    <x v="23"/>
    <n v="39984"/>
    <n v="50420"/>
  </r>
  <r>
    <s v="ORD04872"/>
    <d v="2025-10-18T00:00:00"/>
    <x v="4"/>
    <x v="10"/>
    <x v="6"/>
    <s v="Malaysia"/>
    <x v="43"/>
    <x v="8"/>
    <n v="34829"/>
    <n v="24832"/>
  </r>
  <r>
    <s v="ORD04873"/>
    <d v="2025-06-17T00:00:00"/>
    <x v="5"/>
    <x v="13"/>
    <x v="4"/>
    <s v="Canada"/>
    <x v="40"/>
    <x v="17"/>
    <n v="35537"/>
    <n v="27989"/>
  </r>
  <r>
    <s v="ORD04874"/>
    <d v="2025-10-14T00:00:00"/>
    <x v="4"/>
    <x v="10"/>
    <x v="3"/>
    <s v="Germany"/>
    <x v="8"/>
    <x v="8"/>
    <n v="36180"/>
    <n v="34285"/>
  </r>
  <r>
    <s v="ORD04875"/>
    <d v="2025-06-11T00:00:00"/>
    <x v="5"/>
    <x v="40"/>
    <x v="5"/>
    <s v="Italy"/>
    <x v="9"/>
    <x v="26"/>
    <n v="15520"/>
    <n v="17603"/>
  </r>
  <r>
    <s v="ORD04876"/>
    <d v="2025-11-21T00:00:00"/>
    <x v="2"/>
    <x v="9"/>
    <x v="6"/>
    <s v="Spain"/>
    <x v="5"/>
    <x v="23"/>
    <n v="28118"/>
    <n v="22211"/>
  </r>
  <r>
    <s v="ORD04877"/>
    <d v="2025-12-27T00:00:00"/>
    <x v="10"/>
    <x v="42"/>
    <x v="0"/>
    <s v="Singapore"/>
    <x v="12"/>
    <x v="19"/>
    <n v="17949"/>
    <n v="16994"/>
  </r>
  <r>
    <s v="ORD04878"/>
    <d v="2025-06-10T00:00:00"/>
    <x v="5"/>
    <x v="40"/>
    <x v="6"/>
    <s v="Canada"/>
    <x v="41"/>
    <x v="17"/>
    <n v="38654"/>
    <n v="32106"/>
  </r>
  <r>
    <s v="ORD04879"/>
    <d v="2025-02-24T00:00:00"/>
    <x v="6"/>
    <x v="22"/>
    <x v="2"/>
    <s v="UK"/>
    <x v="23"/>
    <x v="3"/>
    <n v="22555"/>
    <n v="23575"/>
  </r>
  <r>
    <s v="ORD04880"/>
    <d v="2025-04-24T00:00:00"/>
    <x v="7"/>
    <x v="38"/>
    <x v="2"/>
    <s v="Spain"/>
    <x v="40"/>
    <x v="20"/>
    <n v="22641"/>
    <n v="18805"/>
  </r>
  <r>
    <s v="ORD04881"/>
    <d v="2025-12-09T00:00:00"/>
    <x v="10"/>
    <x v="32"/>
    <x v="0"/>
    <s v="Thailand"/>
    <x v="17"/>
    <x v="18"/>
    <n v="27566"/>
    <n v="28286"/>
  </r>
  <r>
    <s v="ORD04882"/>
    <d v="2025-11-24T00:00:00"/>
    <x v="2"/>
    <x v="11"/>
    <x v="3"/>
    <s v="Thailand"/>
    <x v="33"/>
    <x v="17"/>
    <n v="18390"/>
    <n v="21505"/>
  </r>
  <r>
    <s v="ORD04883"/>
    <d v="2025-10-01T00:00:00"/>
    <x v="4"/>
    <x v="49"/>
    <x v="2"/>
    <s v="Brazil"/>
    <x v="46"/>
    <x v="24"/>
    <n v="19989"/>
    <n v="14134"/>
  </r>
  <r>
    <s v="ORD04884"/>
    <d v="2025-04-05T00:00:00"/>
    <x v="7"/>
    <x v="34"/>
    <x v="1"/>
    <s v="South Africa"/>
    <x v="17"/>
    <x v="1"/>
    <n v="37752"/>
    <n v="39247"/>
  </r>
  <r>
    <s v="ORD04885"/>
    <d v="2025-11-01T00:00:00"/>
    <x v="2"/>
    <x v="2"/>
    <x v="0"/>
    <s v="Japan"/>
    <x v="30"/>
    <x v="2"/>
    <n v="30074"/>
    <n v="25385"/>
  </r>
  <r>
    <s v="ORD04886"/>
    <d v="2025-12-12T00:00:00"/>
    <x v="10"/>
    <x v="32"/>
    <x v="4"/>
    <s v="Japan"/>
    <x v="27"/>
    <x v="4"/>
    <n v="16052"/>
    <n v="18713"/>
  </r>
  <r>
    <s v="ORD04887"/>
    <d v="2025-09-09T00:00:00"/>
    <x v="3"/>
    <x v="31"/>
    <x v="6"/>
    <s v="Germany"/>
    <x v="25"/>
    <x v="2"/>
    <n v="21570"/>
    <n v="15922"/>
  </r>
  <r>
    <s v="ORD04888"/>
    <d v="2025-11-19T00:00:00"/>
    <x v="2"/>
    <x v="9"/>
    <x v="5"/>
    <s v="Russia"/>
    <x v="1"/>
    <x v="1"/>
    <n v="30871"/>
    <n v="22722"/>
  </r>
  <r>
    <s v="ORD04889"/>
    <d v="2025-06-05T00:00:00"/>
    <x v="5"/>
    <x v="41"/>
    <x v="5"/>
    <s v="Singapore"/>
    <x v="21"/>
    <x v="26"/>
    <n v="20213"/>
    <n v="21834"/>
  </r>
  <r>
    <s v="ORD04890"/>
    <d v="2025-03-04T00:00:00"/>
    <x v="9"/>
    <x v="35"/>
    <x v="3"/>
    <s v="South Africa"/>
    <x v="17"/>
    <x v="24"/>
    <n v="30635"/>
    <n v="38410"/>
  </r>
  <r>
    <s v="ORD04891"/>
    <d v="2025-02-27T00:00:00"/>
    <x v="6"/>
    <x v="22"/>
    <x v="5"/>
    <s v="Mexico"/>
    <x v="3"/>
    <x v="8"/>
    <n v="28379"/>
    <n v="22275"/>
  </r>
  <r>
    <s v="ORD04892"/>
    <d v="2025-02-11T00:00:00"/>
    <x v="6"/>
    <x v="29"/>
    <x v="0"/>
    <s v="Russia"/>
    <x v="19"/>
    <x v="25"/>
    <n v="31710"/>
    <n v="38983"/>
  </r>
  <r>
    <s v="ORD04893"/>
    <d v="2025-09-04T00:00:00"/>
    <x v="3"/>
    <x v="4"/>
    <x v="4"/>
    <s v="France"/>
    <x v="13"/>
    <x v="20"/>
    <n v="37429"/>
    <n v="46389"/>
  </r>
  <r>
    <s v="ORD04894"/>
    <d v="2025-07-31T00:00:00"/>
    <x v="0"/>
    <x v="12"/>
    <x v="1"/>
    <s v="Mexico"/>
    <x v="37"/>
    <x v="22"/>
    <n v="24101"/>
    <n v="27852"/>
  </r>
  <r>
    <s v="ORD04895"/>
    <d v="2025-06-27T00:00:00"/>
    <x v="5"/>
    <x v="36"/>
    <x v="3"/>
    <s v="Australia"/>
    <x v="5"/>
    <x v="20"/>
    <n v="19118"/>
    <n v="14190"/>
  </r>
  <r>
    <s v="ORD04896"/>
    <d v="2025-06-07T00:00:00"/>
    <x v="5"/>
    <x v="41"/>
    <x v="6"/>
    <s v="Italy"/>
    <x v="45"/>
    <x v="29"/>
    <n v="34668"/>
    <n v="42851"/>
  </r>
  <r>
    <s v="ORD04897"/>
    <d v="2025-03-06T00:00:00"/>
    <x v="9"/>
    <x v="35"/>
    <x v="5"/>
    <s v="UK"/>
    <x v="27"/>
    <x v="27"/>
    <n v="25734"/>
    <n v="19193"/>
  </r>
  <r>
    <s v="ORD04898"/>
    <d v="2025-10-06T00:00:00"/>
    <x v="4"/>
    <x v="45"/>
    <x v="4"/>
    <s v="Italy"/>
    <x v="33"/>
    <x v="8"/>
    <n v="35576"/>
    <n v="27727"/>
  </r>
  <r>
    <s v="ORD04899"/>
    <d v="2025-02-12T00:00:00"/>
    <x v="6"/>
    <x v="29"/>
    <x v="0"/>
    <s v="Mexico"/>
    <x v="17"/>
    <x v="2"/>
    <n v="18784"/>
    <n v="21233"/>
  </r>
  <r>
    <s v="ORD04900"/>
    <d v="2025-03-15T00:00:00"/>
    <x v="9"/>
    <x v="19"/>
    <x v="6"/>
    <s v="China"/>
    <x v="47"/>
    <x v="7"/>
    <n v="28667"/>
    <n v="36262"/>
  </r>
  <r>
    <s v="ORD04901"/>
    <d v="2025-08-01T00:00:00"/>
    <x v="11"/>
    <x v="12"/>
    <x v="5"/>
    <s v="Canada"/>
    <x v="30"/>
    <x v="7"/>
    <n v="35702"/>
    <n v="45973"/>
  </r>
  <r>
    <s v="ORD04902"/>
    <d v="2025-02-15T00:00:00"/>
    <x v="6"/>
    <x v="29"/>
    <x v="5"/>
    <s v="Mexico"/>
    <x v="33"/>
    <x v="7"/>
    <n v="22973"/>
    <n v="27780"/>
  </r>
  <r>
    <s v="ORD04903"/>
    <d v="2025-08-28T00:00:00"/>
    <x v="11"/>
    <x v="28"/>
    <x v="2"/>
    <s v="South Africa"/>
    <x v="6"/>
    <x v="8"/>
    <n v="31015"/>
    <n v="24154"/>
  </r>
  <r>
    <s v="ORD04904"/>
    <d v="2025-09-28T00:00:00"/>
    <x v="3"/>
    <x v="25"/>
    <x v="2"/>
    <s v="Singapore"/>
    <x v="43"/>
    <x v="6"/>
    <n v="19557"/>
    <n v="18441"/>
  </r>
  <r>
    <s v="ORD04905"/>
    <d v="2025-06-01T00:00:00"/>
    <x v="5"/>
    <x v="24"/>
    <x v="4"/>
    <s v="Brazil"/>
    <x v="16"/>
    <x v="13"/>
    <n v="35884"/>
    <n v="46501"/>
  </r>
  <r>
    <s v="ORD04906"/>
    <d v="2025-07-11T00:00:00"/>
    <x v="0"/>
    <x v="47"/>
    <x v="3"/>
    <s v="Malaysia"/>
    <x v="42"/>
    <x v="6"/>
    <n v="26485"/>
    <n v="31296"/>
  </r>
  <r>
    <s v="ORD04907"/>
    <d v="2025-08-27T00:00:00"/>
    <x v="11"/>
    <x v="28"/>
    <x v="2"/>
    <s v="Malaysia"/>
    <x v="49"/>
    <x v="24"/>
    <n v="34928"/>
    <n v="36137"/>
  </r>
  <r>
    <s v="ORD04908"/>
    <d v="2025-07-08T00:00:00"/>
    <x v="0"/>
    <x v="47"/>
    <x v="2"/>
    <s v="Canada"/>
    <x v="30"/>
    <x v="20"/>
    <n v="24343"/>
    <n v="18171"/>
  </r>
  <r>
    <s v="ORD04909"/>
    <d v="2025-08-27T00:00:00"/>
    <x v="11"/>
    <x v="28"/>
    <x v="4"/>
    <s v="Canada"/>
    <x v="49"/>
    <x v="13"/>
    <n v="33001"/>
    <n v="33814"/>
  </r>
  <r>
    <s v="ORD04910"/>
    <d v="2025-06-09T00:00:00"/>
    <x v="5"/>
    <x v="40"/>
    <x v="6"/>
    <s v="Japan"/>
    <x v="34"/>
    <x v="1"/>
    <n v="26063"/>
    <n v="29464"/>
  </r>
  <r>
    <s v="ORD04911"/>
    <d v="2025-08-24T00:00:00"/>
    <x v="11"/>
    <x v="46"/>
    <x v="4"/>
    <s v="Turkey"/>
    <x v="18"/>
    <x v="14"/>
    <n v="39408"/>
    <n v="42667"/>
  </r>
  <r>
    <s v="ORD04912"/>
    <d v="2025-03-17T00:00:00"/>
    <x v="9"/>
    <x v="39"/>
    <x v="6"/>
    <s v="China"/>
    <x v="0"/>
    <x v="14"/>
    <n v="31109"/>
    <n v="38738"/>
  </r>
  <r>
    <s v="ORD04913"/>
    <d v="2025-10-08T00:00:00"/>
    <x v="4"/>
    <x v="45"/>
    <x v="1"/>
    <s v="UAE"/>
    <x v="19"/>
    <x v="1"/>
    <n v="16246"/>
    <n v="19492"/>
  </r>
  <r>
    <s v="ORD04914"/>
    <d v="2025-06-30T00:00:00"/>
    <x v="5"/>
    <x v="37"/>
    <x v="1"/>
    <s v="Brazil"/>
    <x v="9"/>
    <x v="25"/>
    <n v="25057"/>
    <n v="31440"/>
  </r>
  <r>
    <s v="ORD04915"/>
    <d v="2025-07-25T00:00:00"/>
    <x v="0"/>
    <x v="0"/>
    <x v="3"/>
    <s v="Australia"/>
    <x v="12"/>
    <x v="25"/>
    <n v="17612"/>
    <n v="22673"/>
  </r>
  <r>
    <s v="ORD04916"/>
    <d v="2025-03-20T00:00:00"/>
    <x v="9"/>
    <x v="39"/>
    <x v="3"/>
    <s v="Mexico"/>
    <x v="45"/>
    <x v="12"/>
    <n v="26173"/>
    <n v="27722"/>
  </r>
  <r>
    <s v="ORD04917"/>
    <d v="2025-06-12T00:00:00"/>
    <x v="5"/>
    <x v="40"/>
    <x v="1"/>
    <s v="China"/>
    <x v="23"/>
    <x v="12"/>
    <n v="37580"/>
    <n v="33002"/>
  </r>
  <r>
    <s v="ORD04918"/>
    <d v="2025-03-04T00:00:00"/>
    <x v="9"/>
    <x v="35"/>
    <x v="5"/>
    <s v="Spain"/>
    <x v="34"/>
    <x v="11"/>
    <n v="35300"/>
    <n v="43629"/>
  </r>
  <r>
    <s v="ORD04919"/>
    <d v="2025-11-27T00:00:00"/>
    <x v="2"/>
    <x v="11"/>
    <x v="4"/>
    <s v="Canada"/>
    <x v="20"/>
    <x v="12"/>
    <n v="25838"/>
    <n v="24871"/>
  </r>
  <r>
    <s v="ORD04920"/>
    <d v="2025-09-24T00:00:00"/>
    <x v="3"/>
    <x v="25"/>
    <x v="2"/>
    <s v="UAE"/>
    <x v="45"/>
    <x v="16"/>
    <n v="33708"/>
    <n v="40256"/>
  </r>
  <r>
    <s v="ORD04921"/>
    <d v="2025-09-11T00:00:00"/>
    <x v="3"/>
    <x v="31"/>
    <x v="5"/>
    <s v="UAE"/>
    <x v="25"/>
    <x v="12"/>
    <n v="18489"/>
    <n v="20789"/>
  </r>
  <r>
    <s v="ORD04922"/>
    <d v="2025-03-02T00:00:00"/>
    <x v="9"/>
    <x v="22"/>
    <x v="3"/>
    <s v="Italy"/>
    <x v="30"/>
    <x v="27"/>
    <n v="24553"/>
    <n v="31815"/>
  </r>
  <r>
    <s v="ORD04923"/>
    <d v="2025-02-17T00:00:00"/>
    <x v="6"/>
    <x v="15"/>
    <x v="1"/>
    <s v="Australia"/>
    <x v="26"/>
    <x v="21"/>
    <n v="34299"/>
    <n v="34591"/>
  </r>
  <r>
    <s v="ORD04924"/>
    <d v="2025-10-29T00:00:00"/>
    <x v="4"/>
    <x v="2"/>
    <x v="1"/>
    <s v="South Africa"/>
    <x v="39"/>
    <x v="28"/>
    <n v="23846"/>
    <n v="27131"/>
  </r>
  <r>
    <s v="ORD04925"/>
    <d v="2025-03-22T00:00:00"/>
    <x v="9"/>
    <x v="39"/>
    <x v="6"/>
    <s v="Canada"/>
    <x v="10"/>
    <x v="17"/>
    <n v="24945"/>
    <n v="26561"/>
  </r>
  <r>
    <s v="ORD04926"/>
    <d v="2025-06-29T00:00:00"/>
    <x v="5"/>
    <x v="36"/>
    <x v="5"/>
    <s v="Mexico"/>
    <x v="18"/>
    <x v="2"/>
    <n v="25109"/>
    <n v="30215"/>
  </r>
  <r>
    <s v="ORD04927"/>
    <d v="2025-03-01T00:00:00"/>
    <x v="9"/>
    <x v="22"/>
    <x v="0"/>
    <s v="Australia"/>
    <x v="10"/>
    <x v="23"/>
    <n v="30533"/>
    <n v="24444"/>
  </r>
  <r>
    <s v="ORD04928"/>
    <d v="2025-09-14T00:00:00"/>
    <x v="3"/>
    <x v="31"/>
    <x v="4"/>
    <s v="South Africa"/>
    <x v="0"/>
    <x v="10"/>
    <n v="39186"/>
    <n v="30228"/>
  </r>
  <r>
    <s v="ORD04929"/>
    <d v="2025-06-18T00:00:00"/>
    <x v="5"/>
    <x v="13"/>
    <x v="5"/>
    <s v="Singapore"/>
    <x v="33"/>
    <x v="27"/>
    <n v="35110"/>
    <n v="42803"/>
  </r>
  <r>
    <s v="ORD04930"/>
    <d v="2025-08-23T00:00:00"/>
    <x v="11"/>
    <x v="46"/>
    <x v="6"/>
    <s v="UAE"/>
    <x v="31"/>
    <x v="27"/>
    <n v="34374"/>
    <n v="28121"/>
  </r>
  <r>
    <s v="ORD04931"/>
    <d v="2025-06-05T00:00:00"/>
    <x v="5"/>
    <x v="41"/>
    <x v="1"/>
    <s v="Spain"/>
    <x v="10"/>
    <x v="7"/>
    <n v="29601"/>
    <n v="27103"/>
  </r>
  <r>
    <s v="ORD04932"/>
    <d v="2025-10-13T00:00:00"/>
    <x v="4"/>
    <x v="10"/>
    <x v="3"/>
    <s v="USA"/>
    <x v="18"/>
    <x v="16"/>
    <n v="37065"/>
    <n v="32477"/>
  </r>
  <r>
    <s v="ORD04933"/>
    <d v="2025-02-04T00:00:00"/>
    <x v="6"/>
    <x v="48"/>
    <x v="1"/>
    <s v="UAE"/>
    <x v="49"/>
    <x v="17"/>
    <n v="33125"/>
    <n v="25518"/>
  </r>
  <r>
    <s v="ORD04934"/>
    <d v="2025-01-26T00:00:00"/>
    <x v="1"/>
    <x v="7"/>
    <x v="1"/>
    <s v="UK"/>
    <x v="10"/>
    <x v="11"/>
    <n v="34408"/>
    <n v="42225"/>
  </r>
  <r>
    <s v="ORD04935"/>
    <d v="2025-02-05T00:00:00"/>
    <x v="6"/>
    <x v="48"/>
    <x v="2"/>
    <s v="Italy"/>
    <x v="22"/>
    <x v="7"/>
    <n v="39333"/>
    <n v="38091"/>
  </r>
  <r>
    <s v="ORD04936"/>
    <d v="2025-01-24T00:00:00"/>
    <x v="1"/>
    <x v="7"/>
    <x v="4"/>
    <s v="Turkey"/>
    <x v="48"/>
    <x v="27"/>
    <n v="29167"/>
    <n v="21280"/>
  </r>
  <r>
    <s v="ORD04937"/>
    <d v="2025-08-16T00:00:00"/>
    <x v="11"/>
    <x v="30"/>
    <x v="6"/>
    <s v="Turkey"/>
    <x v="26"/>
    <x v="15"/>
    <n v="34698"/>
    <n v="29800"/>
  </r>
  <r>
    <s v="ORD04938"/>
    <d v="2025-03-02T00:00:00"/>
    <x v="9"/>
    <x v="22"/>
    <x v="5"/>
    <s v="South Africa"/>
    <x v="21"/>
    <x v="23"/>
    <n v="31013"/>
    <n v="39293"/>
  </r>
  <r>
    <s v="ORD04939"/>
    <d v="2025-04-29T00:00:00"/>
    <x v="7"/>
    <x v="27"/>
    <x v="5"/>
    <s v="Malaysia"/>
    <x v="47"/>
    <x v="14"/>
    <n v="16907"/>
    <n v="19119"/>
  </r>
  <r>
    <s v="ORD04940"/>
    <d v="2025-12-13T00:00:00"/>
    <x v="10"/>
    <x v="32"/>
    <x v="3"/>
    <s v="Italy"/>
    <x v="1"/>
    <x v="29"/>
    <n v="25545"/>
    <n v="29279"/>
  </r>
  <r>
    <s v="ORD04941"/>
    <d v="2025-11-08T00:00:00"/>
    <x v="2"/>
    <x v="51"/>
    <x v="3"/>
    <s v="Malaysia"/>
    <x v="33"/>
    <x v="26"/>
    <n v="38978"/>
    <n v="44062"/>
  </r>
  <r>
    <s v="ORD04942"/>
    <d v="2025-01-27T00:00:00"/>
    <x v="1"/>
    <x v="3"/>
    <x v="3"/>
    <s v="Spain"/>
    <x v="32"/>
    <x v="15"/>
    <n v="30831"/>
    <n v="25965"/>
  </r>
  <r>
    <s v="ORD04943"/>
    <d v="2025-07-24T00:00:00"/>
    <x v="0"/>
    <x v="0"/>
    <x v="5"/>
    <s v="Malaysia"/>
    <x v="40"/>
    <x v="25"/>
    <n v="20382"/>
    <n v="20259"/>
  </r>
  <r>
    <s v="ORD04944"/>
    <d v="2025-11-04T00:00:00"/>
    <x v="2"/>
    <x v="51"/>
    <x v="4"/>
    <s v="UK"/>
    <x v="5"/>
    <x v="3"/>
    <n v="29287"/>
    <n v="30070"/>
  </r>
  <r>
    <s v="ORD04945"/>
    <d v="2025-05-17T00:00:00"/>
    <x v="8"/>
    <x v="17"/>
    <x v="5"/>
    <s v="Germany"/>
    <x v="36"/>
    <x v="21"/>
    <n v="17455"/>
    <n v="16908"/>
  </r>
  <r>
    <s v="ORD04946"/>
    <d v="2025-01-03T00:00:00"/>
    <x v="1"/>
    <x v="5"/>
    <x v="5"/>
    <s v="USA"/>
    <x v="13"/>
    <x v="14"/>
    <n v="26460"/>
    <n v="28369"/>
  </r>
  <r>
    <s v="ORD04947"/>
    <d v="2025-05-18T00:00:00"/>
    <x v="8"/>
    <x v="17"/>
    <x v="2"/>
    <s v="Spain"/>
    <x v="29"/>
    <x v="4"/>
    <n v="27244"/>
    <n v="30049"/>
  </r>
  <r>
    <s v="ORD04948"/>
    <d v="2025-09-17T00:00:00"/>
    <x v="3"/>
    <x v="8"/>
    <x v="0"/>
    <s v="India"/>
    <x v="5"/>
    <x v="18"/>
    <n v="23897"/>
    <n v="19526"/>
  </r>
  <r>
    <s v="ORD04949"/>
    <d v="2025-06-06T00:00:00"/>
    <x v="5"/>
    <x v="41"/>
    <x v="4"/>
    <s v="Malaysia"/>
    <x v="1"/>
    <x v="4"/>
    <n v="27562"/>
    <n v="35758"/>
  </r>
  <r>
    <s v="ORD04950"/>
    <d v="2025-09-19T00:00:00"/>
    <x v="3"/>
    <x v="8"/>
    <x v="3"/>
    <s v="Singapore"/>
    <x v="42"/>
    <x v="7"/>
    <n v="22709"/>
    <n v="20756"/>
  </r>
  <r>
    <s v="ORD04951"/>
    <d v="2025-05-13T00:00:00"/>
    <x v="8"/>
    <x v="17"/>
    <x v="5"/>
    <s v="UK"/>
    <x v="34"/>
    <x v="21"/>
    <n v="36773"/>
    <n v="40413"/>
  </r>
  <r>
    <s v="ORD04952"/>
    <d v="2025-05-30T00:00:00"/>
    <x v="8"/>
    <x v="24"/>
    <x v="6"/>
    <s v="USA"/>
    <x v="47"/>
    <x v="26"/>
    <n v="38067"/>
    <n v="47843"/>
  </r>
  <r>
    <s v="ORD04953"/>
    <d v="2025-07-01T00:00:00"/>
    <x v="0"/>
    <x v="37"/>
    <x v="6"/>
    <s v="Singapore"/>
    <x v="33"/>
    <x v="28"/>
    <n v="16473"/>
    <n v="17601"/>
  </r>
  <r>
    <s v="ORD04954"/>
    <d v="2025-03-14T00:00:00"/>
    <x v="9"/>
    <x v="19"/>
    <x v="5"/>
    <s v="South Africa"/>
    <x v="27"/>
    <x v="24"/>
    <n v="38220"/>
    <n v="33951"/>
  </r>
  <r>
    <s v="ORD04955"/>
    <d v="2025-03-03T00:00:00"/>
    <x v="9"/>
    <x v="35"/>
    <x v="2"/>
    <s v="China"/>
    <x v="21"/>
    <x v="19"/>
    <n v="18167"/>
    <n v="21401"/>
  </r>
  <r>
    <s v="ORD04956"/>
    <d v="2025-05-13T00:00:00"/>
    <x v="8"/>
    <x v="17"/>
    <x v="4"/>
    <s v="Brazil"/>
    <x v="21"/>
    <x v="0"/>
    <n v="30163"/>
    <n v="25140"/>
  </r>
  <r>
    <s v="ORD04957"/>
    <d v="2025-01-24T00:00:00"/>
    <x v="1"/>
    <x v="7"/>
    <x v="0"/>
    <s v="Canada"/>
    <x v="5"/>
    <x v="18"/>
    <n v="32337"/>
    <n v="30763"/>
  </r>
  <r>
    <s v="ORD04958"/>
    <d v="2025-02-16T00:00:00"/>
    <x v="6"/>
    <x v="29"/>
    <x v="2"/>
    <s v="India"/>
    <x v="46"/>
    <x v="20"/>
    <n v="37211"/>
    <n v="30677"/>
  </r>
  <r>
    <s v="ORD04959"/>
    <d v="2025-09-06T00:00:00"/>
    <x v="3"/>
    <x v="4"/>
    <x v="0"/>
    <s v="USA"/>
    <x v="35"/>
    <x v="12"/>
    <n v="28267"/>
    <n v="32902"/>
  </r>
  <r>
    <s v="ORD04960"/>
    <d v="2025-04-26T00:00:00"/>
    <x v="7"/>
    <x v="38"/>
    <x v="5"/>
    <s v="UK"/>
    <x v="23"/>
    <x v="10"/>
    <n v="38976"/>
    <n v="33234"/>
  </r>
  <r>
    <s v="ORD04961"/>
    <d v="2025-01-11T00:00:00"/>
    <x v="1"/>
    <x v="6"/>
    <x v="6"/>
    <s v="Turkey"/>
    <x v="26"/>
    <x v="8"/>
    <n v="26146"/>
    <n v="28331"/>
  </r>
  <r>
    <s v="ORD04962"/>
    <d v="2025-10-02T00:00:00"/>
    <x v="4"/>
    <x v="49"/>
    <x v="6"/>
    <s v="Thailand"/>
    <x v="21"/>
    <x v="0"/>
    <n v="18512"/>
    <n v="21432"/>
  </r>
  <r>
    <s v="ORD04963"/>
    <d v="2025-05-13T00:00:00"/>
    <x v="8"/>
    <x v="17"/>
    <x v="4"/>
    <s v="UAE"/>
    <x v="7"/>
    <x v="20"/>
    <n v="35737"/>
    <n v="37929"/>
  </r>
  <r>
    <s v="ORD04964"/>
    <d v="2025-05-04T00:00:00"/>
    <x v="8"/>
    <x v="27"/>
    <x v="2"/>
    <s v="South Africa"/>
    <x v="16"/>
    <x v="2"/>
    <n v="36060"/>
    <n v="42723"/>
  </r>
  <r>
    <s v="ORD04965"/>
    <d v="2025-09-10T00:00:00"/>
    <x v="3"/>
    <x v="31"/>
    <x v="0"/>
    <s v="Japan"/>
    <x v="30"/>
    <x v="19"/>
    <n v="15919"/>
    <n v="16489"/>
  </r>
  <r>
    <s v="ORD04966"/>
    <d v="2025-12-04T00:00:00"/>
    <x v="10"/>
    <x v="43"/>
    <x v="4"/>
    <s v="Italy"/>
    <x v="15"/>
    <x v="7"/>
    <n v="26664"/>
    <n v="26008"/>
  </r>
  <r>
    <s v="ORD04967"/>
    <d v="2025-01-13T00:00:00"/>
    <x v="1"/>
    <x v="1"/>
    <x v="1"/>
    <s v="Germany"/>
    <x v="29"/>
    <x v="18"/>
    <n v="26449"/>
    <n v="21482"/>
  </r>
  <r>
    <s v="ORD04968"/>
    <d v="2025-04-26T00:00:00"/>
    <x v="7"/>
    <x v="38"/>
    <x v="5"/>
    <s v="India"/>
    <x v="4"/>
    <x v="26"/>
    <n v="34476"/>
    <n v="27597"/>
  </r>
  <r>
    <s v="ORD04969"/>
    <d v="2025-10-23T00:00:00"/>
    <x v="4"/>
    <x v="50"/>
    <x v="1"/>
    <s v="Italy"/>
    <x v="6"/>
    <x v="24"/>
    <n v="28667"/>
    <n v="30111"/>
  </r>
  <r>
    <s v="ORD04970"/>
    <d v="2025-05-01T00:00:00"/>
    <x v="8"/>
    <x v="27"/>
    <x v="5"/>
    <s v="Mexico"/>
    <x v="34"/>
    <x v="5"/>
    <n v="30518"/>
    <n v="26263"/>
  </r>
  <r>
    <s v="ORD04971"/>
    <d v="2025-04-07T00:00:00"/>
    <x v="7"/>
    <x v="16"/>
    <x v="4"/>
    <s v="Italy"/>
    <x v="17"/>
    <x v="19"/>
    <n v="25442"/>
    <n v="32563"/>
  </r>
  <r>
    <s v="ORD04972"/>
    <d v="2025-04-26T00:00:00"/>
    <x v="7"/>
    <x v="38"/>
    <x v="0"/>
    <s v="Russia"/>
    <x v="24"/>
    <x v="26"/>
    <n v="30435"/>
    <n v="34163"/>
  </r>
  <r>
    <s v="ORD04973"/>
    <d v="2025-12-29T00:00:00"/>
    <x v="10"/>
    <x v="5"/>
    <x v="6"/>
    <s v="Japan"/>
    <x v="7"/>
    <x v="29"/>
    <n v="19746"/>
    <n v="17351"/>
  </r>
  <r>
    <s v="ORD04974"/>
    <d v="2025-05-18T00:00:00"/>
    <x v="8"/>
    <x v="17"/>
    <x v="6"/>
    <s v="Singapore"/>
    <x v="27"/>
    <x v="15"/>
    <n v="26560"/>
    <n v="22680"/>
  </r>
  <r>
    <s v="ORD04975"/>
    <d v="2025-07-22T00:00:00"/>
    <x v="0"/>
    <x v="0"/>
    <x v="5"/>
    <s v="South Africa"/>
    <x v="30"/>
    <x v="2"/>
    <n v="31256"/>
    <n v="35817"/>
  </r>
  <r>
    <s v="ORD04976"/>
    <d v="2025-04-16T00:00:00"/>
    <x v="7"/>
    <x v="20"/>
    <x v="4"/>
    <s v="Spain"/>
    <x v="14"/>
    <x v="3"/>
    <n v="33480"/>
    <n v="31698"/>
  </r>
  <r>
    <s v="ORD04977"/>
    <d v="2025-07-14T00:00:00"/>
    <x v="0"/>
    <x v="14"/>
    <x v="1"/>
    <s v="Mexico"/>
    <x v="23"/>
    <x v="22"/>
    <n v="36804"/>
    <n v="38548"/>
  </r>
  <r>
    <s v="ORD04978"/>
    <d v="2025-03-03T00:00:00"/>
    <x v="9"/>
    <x v="35"/>
    <x v="5"/>
    <s v="Brazil"/>
    <x v="47"/>
    <x v="27"/>
    <n v="21235"/>
    <n v="17461"/>
  </r>
  <r>
    <s v="ORD04979"/>
    <d v="2025-03-04T00:00:00"/>
    <x v="9"/>
    <x v="35"/>
    <x v="5"/>
    <s v="USA"/>
    <x v="45"/>
    <x v="0"/>
    <n v="26778"/>
    <n v="32427"/>
  </r>
  <r>
    <s v="ORD04980"/>
    <d v="2025-07-23T00:00:00"/>
    <x v="0"/>
    <x v="0"/>
    <x v="4"/>
    <s v="South Africa"/>
    <x v="40"/>
    <x v="23"/>
    <n v="16391"/>
    <n v="12069"/>
  </r>
  <r>
    <s v="ORD04981"/>
    <d v="2025-03-11T00:00:00"/>
    <x v="9"/>
    <x v="19"/>
    <x v="0"/>
    <s v="UK"/>
    <x v="41"/>
    <x v="8"/>
    <n v="20633"/>
    <n v="22879"/>
  </r>
  <r>
    <s v="ORD04982"/>
    <d v="2025-04-09T00:00:00"/>
    <x v="7"/>
    <x v="16"/>
    <x v="4"/>
    <s v="France"/>
    <x v="39"/>
    <x v="21"/>
    <n v="38846"/>
    <n v="46404"/>
  </r>
  <r>
    <s v="ORD04983"/>
    <d v="2025-05-06T00:00:00"/>
    <x v="8"/>
    <x v="18"/>
    <x v="0"/>
    <s v="China"/>
    <x v="18"/>
    <x v="23"/>
    <n v="34391"/>
    <n v="28913"/>
  </r>
  <r>
    <s v="ORD04984"/>
    <d v="2025-05-17T00:00:00"/>
    <x v="8"/>
    <x v="17"/>
    <x v="2"/>
    <s v="Malaysia"/>
    <x v="12"/>
    <x v="15"/>
    <n v="22849"/>
    <n v="23872"/>
  </r>
  <r>
    <s v="ORD04985"/>
    <d v="2025-07-13T00:00:00"/>
    <x v="0"/>
    <x v="47"/>
    <x v="1"/>
    <s v="USA"/>
    <x v="45"/>
    <x v="18"/>
    <n v="33526"/>
    <n v="23578"/>
  </r>
  <r>
    <s v="ORD04986"/>
    <d v="2025-05-15T00:00:00"/>
    <x v="8"/>
    <x v="17"/>
    <x v="3"/>
    <s v="Russia"/>
    <x v="37"/>
    <x v="24"/>
    <n v="27442"/>
    <n v="24950"/>
  </r>
  <r>
    <s v="ORD04987"/>
    <d v="2025-09-15T00:00:00"/>
    <x v="3"/>
    <x v="8"/>
    <x v="6"/>
    <s v="Malaysia"/>
    <x v="42"/>
    <x v="23"/>
    <n v="28535"/>
    <n v="35487"/>
  </r>
  <r>
    <s v="ORD04988"/>
    <d v="2025-10-25T00:00:00"/>
    <x v="4"/>
    <x v="50"/>
    <x v="6"/>
    <s v="Brazil"/>
    <x v="41"/>
    <x v="28"/>
    <n v="21416"/>
    <n v="21575"/>
  </r>
  <r>
    <s v="ORD04989"/>
    <d v="2025-07-15T00:00:00"/>
    <x v="0"/>
    <x v="14"/>
    <x v="1"/>
    <s v="Spain"/>
    <x v="27"/>
    <x v="14"/>
    <n v="20309"/>
    <n v="22472"/>
  </r>
  <r>
    <s v="ORD04990"/>
    <d v="2025-04-28T00:00:00"/>
    <x v="7"/>
    <x v="27"/>
    <x v="3"/>
    <s v="Spain"/>
    <x v="44"/>
    <x v="24"/>
    <n v="30256"/>
    <n v="26197"/>
  </r>
  <r>
    <s v="ORD04991"/>
    <d v="2025-03-17T00:00:00"/>
    <x v="9"/>
    <x v="39"/>
    <x v="3"/>
    <s v="Australia"/>
    <x v="26"/>
    <x v="29"/>
    <n v="30517"/>
    <n v="24293"/>
  </r>
  <r>
    <s v="ORD04992"/>
    <d v="2025-07-14T00:00:00"/>
    <x v="0"/>
    <x v="14"/>
    <x v="4"/>
    <s v="Mexico"/>
    <x v="18"/>
    <x v="21"/>
    <n v="26349"/>
    <n v="32336"/>
  </r>
  <r>
    <s v="ORD04993"/>
    <d v="2025-11-03T00:00:00"/>
    <x v="2"/>
    <x v="51"/>
    <x v="0"/>
    <s v="Turkey"/>
    <x v="24"/>
    <x v="6"/>
    <n v="20516"/>
    <n v="25357"/>
  </r>
  <r>
    <s v="ORD04994"/>
    <d v="2025-01-23T00:00:00"/>
    <x v="1"/>
    <x v="7"/>
    <x v="6"/>
    <s v="USA"/>
    <x v="18"/>
    <x v="3"/>
    <n v="39883"/>
    <n v="41550"/>
  </r>
  <r>
    <s v="ORD04995"/>
    <d v="2025-03-17T00:00:00"/>
    <x v="9"/>
    <x v="39"/>
    <x v="6"/>
    <s v="Australia"/>
    <x v="49"/>
    <x v="11"/>
    <n v="29254"/>
    <n v="26578"/>
  </r>
  <r>
    <s v="ORD04996"/>
    <d v="2025-02-07T00:00:00"/>
    <x v="6"/>
    <x v="48"/>
    <x v="0"/>
    <s v="Russia"/>
    <x v="36"/>
    <x v="26"/>
    <n v="19982"/>
    <n v="15733"/>
  </r>
  <r>
    <s v="ORD04997"/>
    <d v="2025-11-26T00:00:00"/>
    <x v="2"/>
    <x v="11"/>
    <x v="2"/>
    <s v="Japan"/>
    <x v="17"/>
    <x v="20"/>
    <n v="28425"/>
    <n v="33534"/>
  </r>
  <r>
    <s v="ORD04998"/>
    <d v="2025-03-21T00:00:00"/>
    <x v="9"/>
    <x v="39"/>
    <x v="2"/>
    <s v="UK"/>
    <x v="5"/>
    <x v="26"/>
    <n v="27651"/>
    <n v="32218"/>
  </r>
  <r>
    <s v="ORD04999"/>
    <d v="2025-08-28T00:00:00"/>
    <x v="11"/>
    <x v="28"/>
    <x v="0"/>
    <s v="Australia"/>
    <x v="15"/>
    <x v="18"/>
    <n v="24117"/>
    <n v="29257"/>
  </r>
  <r>
    <s v="ORD05000"/>
    <d v="2025-02-09T00:00:00"/>
    <x v="6"/>
    <x v="48"/>
    <x v="3"/>
    <s v="Brazil"/>
    <x v="45"/>
    <x v="3"/>
    <n v="16143"/>
    <n v="12256"/>
  </r>
  <r>
    <s v="ORD05001"/>
    <d v="2025-01-31T00:00:00"/>
    <x v="1"/>
    <x v="3"/>
    <x v="5"/>
    <s v="USA"/>
    <x v="13"/>
    <x v="8"/>
    <n v="15053"/>
    <n v="11362"/>
  </r>
  <r>
    <s v="ORD05002"/>
    <d v="2025-01-07T00:00:00"/>
    <x v="1"/>
    <x v="6"/>
    <x v="4"/>
    <s v="Germany"/>
    <x v="23"/>
    <x v="13"/>
    <n v="15544"/>
    <n v="14662"/>
  </r>
  <r>
    <s v="ORD05003"/>
    <d v="2025-01-04T00:00:00"/>
    <x v="1"/>
    <x v="5"/>
    <x v="2"/>
    <s v="Singapore"/>
    <x v="19"/>
    <x v="13"/>
    <n v="26056"/>
    <n v="23483"/>
  </r>
  <r>
    <s v="ORD05004"/>
    <d v="2025-03-05T00:00:00"/>
    <x v="9"/>
    <x v="35"/>
    <x v="3"/>
    <s v="UAE"/>
    <x v="40"/>
    <x v="4"/>
    <n v="16393"/>
    <n v="20086"/>
  </r>
  <r>
    <s v="ORD05005"/>
    <d v="2025-02-14T00:00:00"/>
    <x v="6"/>
    <x v="29"/>
    <x v="2"/>
    <s v="India"/>
    <x v="36"/>
    <x v="3"/>
    <n v="27808"/>
    <n v="27491"/>
  </r>
  <r>
    <s v="ORD05006"/>
    <d v="2025-01-21T00:00:00"/>
    <x v="1"/>
    <x v="7"/>
    <x v="3"/>
    <s v="Germany"/>
    <x v="2"/>
    <x v="1"/>
    <n v="19110"/>
    <n v="17112"/>
  </r>
  <r>
    <s v="ORD05007"/>
    <d v="2025-03-15T00:00:00"/>
    <x v="9"/>
    <x v="19"/>
    <x v="3"/>
    <s v="Italy"/>
    <x v="22"/>
    <x v="19"/>
    <n v="36599"/>
    <n v="46836"/>
  </r>
  <r>
    <s v="ORD05008"/>
    <d v="2025-09-02T00:00:00"/>
    <x v="3"/>
    <x v="4"/>
    <x v="3"/>
    <s v="Canada"/>
    <x v="48"/>
    <x v="6"/>
    <n v="32167"/>
    <n v="40964"/>
  </r>
  <r>
    <s v="ORD05009"/>
    <d v="2025-05-30T00:00:00"/>
    <x v="8"/>
    <x v="24"/>
    <x v="0"/>
    <s v="UAE"/>
    <x v="15"/>
    <x v="6"/>
    <n v="35592"/>
    <n v="45220"/>
  </r>
  <r>
    <s v="ORD05010"/>
    <d v="2025-08-05T00:00:00"/>
    <x v="11"/>
    <x v="23"/>
    <x v="5"/>
    <s v="Italy"/>
    <x v="15"/>
    <x v="20"/>
    <n v="37805"/>
    <n v="35501"/>
  </r>
  <r>
    <s v="ORD05011"/>
    <d v="2025-03-02T00:00:00"/>
    <x v="9"/>
    <x v="22"/>
    <x v="5"/>
    <s v="Brazil"/>
    <x v="17"/>
    <x v="3"/>
    <n v="35773"/>
    <n v="40161"/>
  </r>
  <r>
    <s v="ORD05012"/>
    <d v="2025-08-12T00:00:00"/>
    <x v="11"/>
    <x v="30"/>
    <x v="1"/>
    <s v="Japan"/>
    <x v="19"/>
    <x v="1"/>
    <n v="25873"/>
    <n v="31350"/>
  </r>
  <r>
    <s v="ORD05013"/>
    <d v="2025-03-07T00:00:00"/>
    <x v="9"/>
    <x v="35"/>
    <x v="6"/>
    <s v="Italy"/>
    <x v="32"/>
    <x v="20"/>
    <n v="15641"/>
    <n v="14714"/>
  </r>
  <r>
    <s v="ORD05014"/>
    <d v="2025-04-13T00:00:00"/>
    <x v="7"/>
    <x v="16"/>
    <x v="2"/>
    <s v="Thailand"/>
    <x v="15"/>
    <x v="6"/>
    <n v="38904"/>
    <n v="38572"/>
  </r>
  <r>
    <s v="ORD05015"/>
    <d v="2025-12-18T00:00:00"/>
    <x v="10"/>
    <x v="21"/>
    <x v="2"/>
    <s v="India"/>
    <x v="22"/>
    <x v="7"/>
    <n v="31610"/>
    <n v="29839"/>
  </r>
  <r>
    <s v="ORD05016"/>
    <d v="2025-01-18T00:00:00"/>
    <x v="1"/>
    <x v="1"/>
    <x v="2"/>
    <s v="UAE"/>
    <x v="35"/>
    <x v="14"/>
    <n v="29378"/>
    <n v="30196"/>
  </r>
  <r>
    <s v="ORD05017"/>
    <d v="2025-05-29T00:00:00"/>
    <x v="8"/>
    <x v="24"/>
    <x v="6"/>
    <s v="UAE"/>
    <x v="1"/>
    <x v="19"/>
    <n v="16166"/>
    <n v="20800"/>
  </r>
  <r>
    <s v="ORD05018"/>
    <d v="2025-03-24T00:00:00"/>
    <x v="9"/>
    <x v="33"/>
    <x v="3"/>
    <s v="Australia"/>
    <x v="38"/>
    <x v="9"/>
    <n v="16109"/>
    <n v="12108"/>
  </r>
  <r>
    <s v="ORD05019"/>
    <d v="2025-06-23T00:00:00"/>
    <x v="5"/>
    <x v="36"/>
    <x v="2"/>
    <s v="Spain"/>
    <x v="32"/>
    <x v="10"/>
    <n v="37702"/>
    <n v="32112"/>
  </r>
  <r>
    <s v="ORD05020"/>
    <d v="2025-01-01T00:00:00"/>
    <x v="1"/>
    <x v="5"/>
    <x v="0"/>
    <s v="Singapore"/>
    <x v="38"/>
    <x v="14"/>
    <n v="27130"/>
    <n v="27422"/>
  </r>
  <r>
    <s v="ORD05021"/>
    <d v="2025-11-28T00:00:00"/>
    <x v="2"/>
    <x v="11"/>
    <x v="6"/>
    <s v="Australia"/>
    <x v="36"/>
    <x v="2"/>
    <n v="35676"/>
    <n v="28577"/>
  </r>
  <r>
    <s v="ORD05022"/>
    <d v="2025-05-02T00:00:00"/>
    <x v="8"/>
    <x v="27"/>
    <x v="3"/>
    <s v="China"/>
    <x v="34"/>
    <x v="16"/>
    <n v="17935"/>
    <n v="15794"/>
  </r>
  <r>
    <s v="ORD05023"/>
    <d v="2025-01-25T00:00:00"/>
    <x v="1"/>
    <x v="7"/>
    <x v="0"/>
    <s v="Japan"/>
    <x v="32"/>
    <x v="3"/>
    <n v="22059"/>
    <n v="24756"/>
  </r>
  <r>
    <s v="ORD05024"/>
    <d v="2025-11-14T00:00:00"/>
    <x v="2"/>
    <x v="44"/>
    <x v="6"/>
    <s v="Germany"/>
    <x v="2"/>
    <x v="25"/>
    <n v="17095"/>
    <n v="22149"/>
  </r>
  <r>
    <s v="ORD05025"/>
    <d v="2025-07-06T00:00:00"/>
    <x v="0"/>
    <x v="37"/>
    <x v="1"/>
    <s v="Canada"/>
    <x v="24"/>
    <x v="23"/>
    <n v="29396"/>
    <n v="30702"/>
  </r>
  <r>
    <s v="ORD05026"/>
    <d v="2025-01-11T00:00:00"/>
    <x v="1"/>
    <x v="6"/>
    <x v="1"/>
    <s v="Spain"/>
    <x v="29"/>
    <x v="7"/>
    <n v="18078"/>
    <n v="17035"/>
  </r>
  <r>
    <s v="ORD05027"/>
    <d v="2025-08-18T00:00:00"/>
    <x v="11"/>
    <x v="46"/>
    <x v="2"/>
    <s v="UK"/>
    <x v="22"/>
    <x v="20"/>
    <n v="39377"/>
    <n v="45533"/>
  </r>
  <r>
    <s v="ORD05028"/>
    <d v="2025-12-21T00:00:00"/>
    <x v="10"/>
    <x v="21"/>
    <x v="6"/>
    <s v="Italy"/>
    <x v="11"/>
    <x v="15"/>
    <n v="26316"/>
    <n v="30448"/>
  </r>
  <r>
    <s v="ORD05029"/>
    <d v="2025-09-06T00:00:00"/>
    <x v="3"/>
    <x v="4"/>
    <x v="0"/>
    <s v="Thailand"/>
    <x v="45"/>
    <x v="6"/>
    <n v="23547"/>
    <n v="20927"/>
  </r>
  <r>
    <s v="ORD05030"/>
    <d v="2025-11-13T00:00:00"/>
    <x v="2"/>
    <x v="44"/>
    <x v="4"/>
    <s v="France"/>
    <x v="16"/>
    <x v="14"/>
    <n v="29743"/>
    <n v="23947"/>
  </r>
  <r>
    <s v="ORD05031"/>
    <d v="2025-11-01T00:00:00"/>
    <x v="2"/>
    <x v="2"/>
    <x v="1"/>
    <s v="Japan"/>
    <x v="47"/>
    <x v="23"/>
    <n v="26439"/>
    <n v="30681"/>
  </r>
  <r>
    <s v="ORD05032"/>
    <d v="2025-10-31T00:00:00"/>
    <x v="4"/>
    <x v="2"/>
    <x v="4"/>
    <s v="Spain"/>
    <x v="11"/>
    <x v="8"/>
    <n v="33062"/>
    <n v="31789"/>
  </r>
  <r>
    <s v="ORD05033"/>
    <d v="2025-01-04T00:00:00"/>
    <x v="1"/>
    <x v="5"/>
    <x v="6"/>
    <s v="India"/>
    <x v="9"/>
    <x v="0"/>
    <n v="37233"/>
    <n v="27887"/>
  </r>
  <r>
    <s v="ORD05034"/>
    <d v="2025-01-06T00:00:00"/>
    <x v="1"/>
    <x v="6"/>
    <x v="4"/>
    <s v="UAE"/>
    <x v="26"/>
    <x v="0"/>
    <n v="39780"/>
    <n v="47740"/>
  </r>
  <r>
    <s v="ORD05035"/>
    <d v="2025-09-14T00:00:00"/>
    <x v="3"/>
    <x v="31"/>
    <x v="6"/>
    <s v="Singapore"/>
    <x v="22"/>
    <x v="17"/>
    <n v="34971"/>
    <n v="37705"/>
  </r>
  <r>
    <s v="ORD05036"/>
    <d v="2025-09-10T00:00:00"/>
    <x v="3"/>
    <x v="31"/>
    <x v="4"/>
    <s v="Thailand"/>
    <x v="43"/>
    <x v="28"/>
    <n v="38035"/>
    <n v="48808"/>
  </r>
  <r>
    <s v="ORD05037"/>
    <d v="2025-01-01T00:00:00"/>
    <x v="1"/>
    <x v="5"/>
    <x v="5"/>
    <s v="China"/>
    <x v="47"/>
    <x v="17"/>
    <n v="19567"/>
    <n v="22594"/>
  </r>
  <r>
    <s v="ORD05038"/>
    <d v="2025-07-01T00:00:00"/>
    <x v="0"/>
    <x v="37"/>
    <x v="4"/>
    <s v="UK"/>
    <x v="39"/>
    <x v="25"/>
    <n v="27028"/>
    <n v="35006"/>
  </r>
  <r>
    <s v="ORD05039"/>
    <d v="2025-12-19T00:00:00"/>
    <x v="10"/>
    <x v="21"/>
    <x v="0"/>
    <s v="Brazil"/>
    <x v="13"/>
    <x v="23"/>
    <n v="31210"/>
    <n v="22838"/>
  </r>
  <r>
    <s v="ORD05040"/>
    <d v="2025-02-28T00:00:00"/>
    <x v="6"/>
    <x v="22"/>
    <x v="0"/>
    <s v="Canada"/>
    <x v="28"/>
    <x v="18"/>
    <n v="39787"/>
    <n v="41384"/>
  </r>
  <r>
    <s v="ORD05041"/>
    <d v="2025-04-09T00:00:00"/>
    <x v="7"/>
    <x v="16"/>
    <x v="0"/>
    <s v="Germany"/>
    <x v="22"/>
    <x v="24"/>
    <n v="31955"/>
    <n v="36857"/>
  </r>
  <r>
    <s v="ORD05042"/>
    <d v="2025-02-23T00:00:00"/>
    <x v="6"/>
    <x v="15"/>
    <x v="0"/>
    <s v="Japan"/>
    <x v="36"/>
    <x v="20"/>
    <n v="25652"/>
    <n v="26967"/>
  </r>
  <r>
    <s v="ORD05043"/>
    <d v="2025-01-31T00:00:00"/>
    <x v="1"/>
    <x v="3"/>
    <x v="0"/>
    <s v="Singapore"/>
    <x v="11"/>
    <x v="21"/>
    <n v="30196"/>
    <n v="28500"/>
  </r>
  <r>
    <s v="ORD05044"/>
    <d v="2025-05-27T00:00:00"/>
    <x v="8"/>
    <x v="24"/>
    <x v="2"/>
    <s v="USA"/>
    <x v="0"/>
    <x v="20"/>
    <n v="23626"/>
    <n v="30540"/>
  </r>
  <r>
    <s v="ORD05045"/>
    <d v="2025-04-17T00:00:00"/>
    <x v="7"/>
    <x v="20"/>
    <x v="3"/>
    <s v="Japan"/>
    <x v="22"/>
    <x v="7"/>
    <n v="26031"/>
    <n v="19776"/>
  </r>
  <r>
    <s v="ORD05046"/>
    <d v="2025-10-28T00:00:00"/>
    <x v="4"/>
    <x v="2"/>
    <x v="4"/>
    <s v="China"/>
    <x v="11"/>
    <x v="1"/>
    <n v="32640"/>
    <n v="33833"/>
  </r>
  <r>
    <s v="ORD05047"/>
    <d v="2025-09-18T00:00:00"/>
    <x v="3"/>
    <x v="8"/>
    <x v="2"/>
    <s v="Singapore"/>
    <x v="25"/>
    <x v="12"/>
    <n v="16225"/>
    <n v="13150"/>
  </r>
  <r>
    <s v="ORD05048"/>
    <d v="2025-05-08T00:00:00"/>
    <x v="8"/>
    <x v="18"/>
    <x v="5"/>
    <s v="China"/>
    <x v="2"/>
    <x v="0"/>
    <n v="17983"/>
    <n v="16724"/>
  </r>
  <r>
    <s v="ORD05049"/>
    <d v="2025-08-30T00:00:00"/>
    <x v="11"/>
    <x v="28"/>
    <x v="5"/>
    <s v="USA"/>
    <x v="11"/>
    <x v="26"/>
    <n v="17520"/>
    <n v="19598"/>
  </r>
  <r>
    <s v="ORD05050"/>
    <d v="2025-12-16T00:00:00"/>
    <x v="10"/>
    <x v="21"/>
    <x v="0"/>
    <s v="Malaysia"/>
    <x v="8"/>
    <x v="13"/>
    <n v="36457"/>
    <n v="28462"/>
  </r>
  <r>
    <s v="ORD05051"/>
    <d v="2025-11-15T00:00:00"/>
    <x v="2"/>
    <x v="44"/>
    <x v="5"/>
    <s v="Singapore"/>
    <x v="14"/>
    <x v="4"/>
    <n v="28786"/>
    <n v="34693"/>
  </r>
  <r>
    <s v="ORD05052"/>
    <d v="2025-07-27T00:00:00"/>
    <x v="0"/>
    <x v="0"/>
    <x v="5"/>
    <s v="Brazil"/>
    <x v="33"/>
    <x v="19"/>
    <n v="17312"/>
    <n v="14718"/>
  </r>
  <r>
    <s v="ORD05053"/>
    <d v="2025-02-02T00:00:00"/>
    <x v="6"/>
    <x v="3"/>
    <x v="6"/>
    <s v="UK"/>
    <x v="1"/>
    <x v="18"/>
    <n v="31204"/>
    <n v="38688"/>
  </r>
  <r>
    <s v="ORD05054"/>
    <d v="2025-08-30T00:00:00"/>
    <x v="11"/>
    <x v="28"/>
    <x v="4"/>
    <s v="India"/>
    <x v="43"/>
    <x v="23"/>
    <n v="21239"/>
    <n v="25054"/>
  </r>
  <r>
    <s v="ORD05055"/>
    <d v="2025-12-14T00:00:00"/>
    <x v="10"/>
    <x v="32"/>
    <x v="2"/>
    <s v="Thailand"/>
    <x v="8"/>
    <x v="22"/>
    <n v="23508"/>
    <n v="28083"/>
  </r>
  <r>
    <s v="ORD05056"/>
    <d v="2025-09-17T00:00:00"/>
    <x v="3"/>
    <x v="8"/>
    <x v="0"/>
    <s v="Spain"/>
    <x v="21"/>
    <x v="6"/>
    <n v="17045"/>
    <n v="21231"/>
  </r>
  <r>
    <s v="ORD05057"/>
    <d v="2025-12-13T00:00:00"/>
    <x v="10"/>
    <x v="32"/>
    <x v="3"/>
    <s v="Thailand"/>
    <x v="37"/>
    <x v="26"/>
    <n v="21771"/>
    <n v="18801"/>
  </r>
  <r>
    <s v="ORD05058"/>
    <d v="2025-10-22T00:00:00"/>
    <x v="4"/>
    <x v="50"/>
    <x v="3"/>
    <s v="Russia"/>
    <x v="18"/>
    <x v="21"/>
    <n v="37772"/>
    <n v="26724"/>
  </r>
  <r>
    <s v="ORD05059"/>
    <d v="2025-07-18T00:00:00"/>
    <x v="0"/>
    <x v="14"/>
    <x v="3"/>
    <s v="USA"/>
    <x v="46"/>
    <x v="20"/>
    <n v="17420"/>
    <n v="15660"/>
  </r>
  <r>
    <s v="ORD05060"/>
    <d v="2025-02-27T00:00:00"/>
    <x v="6"/>
    <x v="22"/>
    <x v="1"/>
    <s v="Canada"/>
    <x v="14"/>
    <x v="2"/>
    <n v="34590"/>
    <n v="43212"/>
  </r>
  <r>
    <s v="ORD05061"/>
    <d v="2025-03-04T00:00:00"/>
    <x v="9"/>
    <x v="35"/>
    <x v="6"/>
    <s v="South Africa"/>
    <x v="24"/>
    <x v="6"/>
    <n v="25821"/>
    <n v="31829"/>
  </r>
  <r>
    <s v="ORD05062"/>
    <d v="2025-01-06T00:00:00"/>
    <x v="1"/>
    <x v="6"/>
    <x v="3"/>
    <s v="India"/>
    <x v="35"/>
    <x v="23"/>
    <n v="24113"/>
    <n v="20217"/>
  </r>
  <r>
    <s v="ORD05063"/>
    <d v="2025-08-08T00:00:00"/>
    <x v="11"/>
    <x v="23"/>
    <x v="1"/>
    <s v="UAE"/>
    <x v="29"/>
    <x v="5"/>
    <n v="15446"/>
    <n v="12204"/>
  </r>
  <r>
    <s v="ORD05064"/>
    <d v="2025-07-29T00:00:00"/>
    <x v="0"/>
    <x v="12"/>
    <x v="1"/>
    <s v="South Africa"/>
    <x v="2"/>
    <x v="15"/>
    <n v="18145"/>
    <n v="13662"/>
  </r>
  <r>
    <s v="ORD05065"/>
    <d v="2025-05-03T00:00:00"/>
    <x v="8"/>
    <x v="27"/>
    <x v="1"/>
    <s v="Turkey"/>
    <x v="19"/>
    <x v="8"/>
    <n v="35929"/>
    <n v="37923"/>
  </r>
  <r>
    <s v="ORD05066"/>
    <d v="2025-07-25T00:00:00"/>
    <x v="0"/>
    <x v="0"/>
    <x v="4"/>
    <s v="Italy"/>
    <x v="8"/>
    <x v="0"/>
    <n v="30686"/>
    <n v="29905"/>
  </r>
  <r>
    <s v="ORD05067"/>
    <d v="2025-03-07T00:00:00"/>
    <x v="9"/>
    <x v="35"/>
    <x v="2"/>
    <s v="Germany"/>
    <x v="29"/>
    <x v="29"/>
    <n v="39420"/>
    <n v="45939"/>
  </r>
  <r>
    <s v="ORD05068"/>
    <d v="2025-02-17T00:00:00"/>
    <x v="6"/>
    <x v="15"/>
    <x v="2"/>
    <s v="Brazil"/>
    <x v="21"/>
    <x v="20"/>
    <n v="36085"/>
    <n v="33099"/>
  </r>
  <r>
    <s v="ORD05069"/>
    <d v="2025-01-11T00:00:00"/>
    <x v="1"/>
    <x v="6"/>
    <x v="3"/>
    <s v="Spain"/>
    <x v="47"/>
    <x v="14"/>
    <n v="22451"/>
    <n v="23518"/>
  </r>
  <r>
    <s v="ORD05070"/>
    <d v="2025-07-07T00:00:00"/>
    <x v="0"/>
    <x v="47"/>
    <x v="5"/>
    <s v="Mexico"/>
    <x v="18"/>
    <x v="20"/>
    <n v="36538"/>
    <n v="37470"/>
  </r>
  <r>
    <s v="ORD05071"/>
    <d v="2025-12-16T00:00:00"/>
    <x v="10"/>
    <x v="21"/>
    <x v="5"/>
    <s v="Germany"/>
    <x v="0"/>
    <x v="25"/>
    <n v="16075"/>
    <n v="20395"/>
  </r>
  <r>
    <s v="ORD05072"/>
    <d v="2025-04-04T00:00:00"/>
    <x v="7"/>
    <x v="34"/>
    <x v="2"/>
    <s v="UAE"/>
    <x v="46"/>
    <x v="3"/>
    <n v="22017"/>
    <n v="21386"/>
  </r>
  <r>
    <s v="ORD05073"/>
    <d v="2025-09-01T00:00:00"/>
    <x v="3"/>
    <x v="4"/>
    <x v="5"/>
    <s v="Australia"/>
    <x v="19"/>
    <x v="4"/>
    <n v="23036"/>
    <n v="24483"/>
  </r>
  <r>
    <s v="ORD05074"/>
    <d v="2025-09-21T00:00:00"/>
    <x v="3"/>
    <x v="8"/>
    <x v="0"/>
    <s v="Mexico"/>
    <x v="22"/>
    <x v="25"/>
    <n v="29345"/>
    <n v="24202"/>
  </r>
  <r>
    <s v="ORD05075"/>
    <d v="2025-07-07T00:00:00"/>
    <x v="0"/>
    <x v="47"/>
    <x v="1"/>
    <s v="USA"/>
    <x v="7"/>
    <x v="27"/>
    <n v="21038"/>
    <n v="23910"/>
  </r>
  <r>
    <s v="ORD05076"/>
    <d v="2025-05-11T00:00:00"/>
    <x v="8"/>
    <x v="18"/>
    <x v="1"/>
    <s v="USA"/>
    <x v="12"/>
    <x v="25"/>
    <n v="28059"/>
    <n v="25695"/>
  </r>
  <r>
    <s v="ORD05077"/>
    <d v="2025-11-13T00:00:00"/>
    <x v="2"/>
    <x v="44"/>
    <x v="3"/>
    <s v="UAE"/>
    <x v="46"/>
    <x v="3"/>
    <n v="29341"/>
    <n v="36478"/>
  </r>
  <r>
    <s v="ORD05078"/>
    <d v="2025-01-08T00:00:00"/>
    <x v="1"/>
    <x v="6"/>
    <x v="4"/>
    <s v="Malaysia"/>
    <x v="27"/>
    <x v="7"/>
    <n v="15902"/>
    <n v="20482"/>
  </r>
  <r>
    <s v="ORD05079"/>
    <d v="2025-11-09T00:00:00"/>
    <x v="2"/>
    <x v="51"/>
    <x v="2"/>
    <s v="France"/>
    <x v="16"/>
    <x v="24"/>
    <n v="36574"/>
    <n v="44634"/>
  </r>
  <r>
    <s v="ORD05080"/>
    <d v="2025-01-15T00:00:00"/>
    <x v="1"/>
    <x v="1"/>
    <x v="0"/>
    <s v="Singapore"/>
    <x v="22"/>
    <x v="25"/>
    <n v="28516"/>
    <n v="36783"/>
  </r>
  <r>
    <s v="ORD05081"/>
    <d v="2025-10-22T00:00:00"/>
    <x v="4"/>
    <x v="50"/>
    <x v="5"/>
    <s v="USA"/>
    <x v="27"/>
    <x v="6"/>
    <n v="19845"/>
    <n v="15437"/>
  </r>
  <r>
    <s v="ORD05082"/>
    <d v="2025-04-10T00:00:00"/>
    <x v="7"/>
    <x v="16"/>
    <x v="4"/>
    <s v="France"/>
    <x v="48"/>
    <x v="5"/>
    <n v="32545"/>
    <n v="30377"/>
  </r>
  <r>
    <s v="ORD05083"/>
    <d v="2025-08-05T00:00:00"/>
    <x v="11"/>
    <x v="23"/>
    <x v="4"/>
    <s v="France"/>
    <x v="19"/>
    <x v="22"/>
    <n v="17428"/>
    <n v="14243"/>
  </r>
  <r>
    <s v="ORD05084"/>
    <d v="2025-05-04T00:00:00"/>
    <x v="8"/>
    <x v="27"/>
    <x v="5"/>
    <s v="Mexico"/>
    <x v="0"/>
    <x v="12"/>
    <n v="16539"/>
    <n v="19798"/>
  </r>
  <r>
    <s v="ORD05085"/>
    <d v="2025-10-05T00:00:00"/>
    <x v="4"/>
    <x v="49"/>
    <x v="5"/>
    <s v="China"/>
    <x v="11"/>
    <x v="16"/>
    <n v="30288"/>
    <n v="38653"/>
  </r>
  <r>
    <s v="ORD05086"/>
    <d v="2025-05-23T00:00:00"/>
    <x v="8"/>
    <x v="26"/>
    <x v="3"/>
    <s v="USA"/>
    <x v="3"/>
    <x v="8"/>
    <n v="24254"/>
    <n v="23107"/>
  </r>
  <r>
    <s v="ORD05087"/>
    <d v="2025-01-29T00:00:00"/>
    <x v="1"/>
    <x v="3"/>
    <x v="2"/>
    <s v="Japan"/>
    <x v="14"/>
    <x v="12"/>
    <n v="37528"/>
    <n v="29635"/>
  </r>
  <r>
    <s v="ORD05088"/>
    <d v="2025-06-30T00:00:00"/>
    <x v="5"/>
    <x v="37"/>
    <x v="6"/>
    <s v="Australia"/>
    <x v="2"/>
    <x v="11"/>
    <n v="30737"/>
    <n v="31599"/>
  </r>
  <r>
    <s v="ORD05089"/>
    <d v="2025-11-16T00:00:00"/>
    <x v="2"/>
    <x v="44"/>
    <x v="1"/>
    <s v="Brazil"/>
    <x v="16"/>
    <x v="15"/>
    <n v="26328"/>
    <n v="27633"/>
  </r>
  <r>
    <s v="ORD05090"/>
    <d v="2025-03-27T00:00:00"/>
    <x v="9"/>
    <x v="33"/>
    <x v="3"/>
    <s v="UK"/>
    <x v="22"/>
    <x v="3"/>
    <n v="29135"/>
    <n v="21599"/>
  </r>
  <r>
    <s v="ORD05091"/>
    <d v="2025-10-16T00:00:00"/>
    <x v="4"/>
    <x v="10"/>
    <x v="5"/>
    <s v="Brazil"/>
    <x v="15"/>
    <x v="22"/>
    <n v="28355"/>
    <n v="31626"/>
  </r>
  <r>
    <s v="ORD05092"/>
    <d v="2025-07-17T00:00:00"/>
    <x v="0"/>
    <x v="14"/>
    <x v="5"/>
    <s v="Italy"/>
    <x v="40"/>
    <x v="3"/>
    <n v="18056"/>
    <n v="16441"/>
  </r>
  <r>
    <s v="ORD05093"/>
    <d v="2025-07-24T00:00:00"/>
    <x v="0"/>
    <x v="0"/>
    <x v="4"/>
    <s v="South Africa"/>
    <x v="36"/>
    <x v="4"/>
    <n v="31940"/>
    <n v="26839"/>
  </r>
  <r>
    <s v="ORD05094"/>
    <d v="2025-12-10T00:00:00"/>
    <x v="10"/>
    <x v="32"/>
    <x v="4"/>
    <s v="UK"/>
    <x v="26"/>
    <x v="27"/>
    <n v="25074"/>
    <n v="20109"/>
  </r>
  <r>
    <s v="ORD05095"/>
    <d v="2025-01-04T00:00:00"/>
    <x v="1"/>
    <x v="5"/>
    <x v="3"/>
    <s v="Mexico"/>
    <x v="11"/>
    <x v="8"/>
    <n v="38744"/>
    <n v="30353"/>
  </r>
  <r>
    <s v="ORD05096"/>
    <d v="2025-11-14T00:00:00"/>
    <x v="2"/>
    <x v="44"/>
    <x v="1"/>
    <s v="India"/>
    <x v="2"/>
    <x v="3"/>
    <n v="37336"/>
    <n v="27859"/>
  </r>
  <r>
    <s v="ORD05097"/>
    <d v="2025-06-08T00:00:00"/>
    <x v="5"/>
    <x v="41"/>
    <x v="1"/>
    <s v="UAE"/>
    <x v="12"/>
    <x v="10"/>
    <n v="37531"/>
    <n v="46928"/>
  </r>
  <r>
    <s v="ORD05098"/>
    <d v="2025-03-24T00:00:00"/>
    <x v="9"/>
    <x v="33"/>
    <x v="5"/>
    <s v="India"/>
    <x v="16"/>
    <x v="27"/>
    <n v="28107"/>
    <n v="21742"/>
  </r>
  <r>
    <s v="ORD05099"/>
    <d v="2025-04-15T00:00:00"/>
    <x v="7"/>
    <x v="20"/>
    <x v="4"/>
    <s v="France"/>
    <x v="10"/>
    <x v="28"/>
    <n v="31328"/>
    <n v="23745"/>
  </r>
  <r>
    <s v="ORD05100"/>
    <d v="2025-01-13T00:00:00"/>
    <x v="1"/>
    <x v="1"/>
    <x v="5"/>
    <s v="India"/>
    <x v="46"/>
    <x v="12"/>
    <n v="39060"/>
    <n v="36918"/>
  </r>
  <r>
    <s v="ORD05101"/>
    <d v="2025-05-14T00:00:00"/>
    <x v="8"/>
    <x v="17"/>
    <x v="1"/>
    <s v="Japan"/>
    <x v="12"/>
    <x v="26"/>
    <n v="22065"/>
    <n v="28028"/>
  </r>
  <r>
    <s v="ORD05102"/>
    <d v="2025-11-20T00:00:00"/>
    <x v="2"/>
    <x v="9"/>
    <x v="6"/>
    <s v="Spain"/>
    <x v="44"/>
    <x v="25"/>
    <n v="39249"/>
    <n v="47942"/>
  </r>
  <r>
    <s v="ORD05103"/>
    <d v="2025-05-23T00:00:00"/>
    <x v="8"/>
    <x v="26"/>
    <x v="5"/>
    <s v="Thailand"/>
    <x v="43"/>
    <x v="19"/>
    <n v="15510"/>
    <n v="19975"/>
  </r>
  <r>
    <s v="ORD05104"/>
    <d v="2025-06-22T00:00:00"/>
    <x v="5"/>
    <x v="13"/>
    <x v="6"/>
    <s v="UAE"/>
    <x v="19"/>
    <x v="16"/>
    <n v="39086"/>
    <n v="37597"/>
  </r>
  <r>
    <s v="ORD05105"/>
    <d v="2025-06-18T00:00:00"/>
    <x v="5"/>
    <x v="13"/>
    <x v="0"/>
    <s v="USA"/>
    <x v="5"/>
    <x v="12"/>
    <n v="19032"/>
    <n v="18119"/>
  </r>
  <r>
    <s v="ORD05106"/>
    <d v="2025-03-17T00:00:00"/>
    <x v="9"/>
    <x v="39"/>
    <x v="6"/>
    <s v="Canada"/>
    <x v="2"/>
    <x v="23"/>
    <n v="17648"/>
    <n v="17897"/>
  </r>
  <r>
    <s v="ORD05107"/>
    <d v="2025-06-26T00:00:00"/>
    <x v="5"/>
    <x v="36"/>
    <x v="4"/>
    <s v="UK"/>
    <x v="25"/>
    <x v="17"/>
    <n v="18370"/>
    <n v="16563"/>
  </r>
  <r>
    <s v="ORD05108"/>
    <d v="2025-11-15T00:00:00"/>
    <x v="2"/>
    <x v="44"/>
    <x v="6"/>
    <s v="Brazil"/>
    <x v="16"/>
    <x v="6"/>
    <n v="31372"/>
    <n v="23662"/>
  </r>
  <r>
    <s v="ORD05109"/>
    <d v="2025-08-01T00:00:00"/>
    <x v="11"/>
    <x v="12"/>
    <x v="5"/>
    <s v="India"/>
    <x v="23"/>
    <x v="26"/>
    <n v="26202"/>
    <n v="20145"/>
  </r>
  <r>
    <s v="ORD05110"/>
    <d v="2025-12-02T00:00:00"/>
    <x v="10"/>
    <x v="43"/>
    <x v="1"/>
    <s v="Brazil"/>
    <x v="35"/>
    <x v="22"/>
    <n v="19129"/>
    <n v="18642"/>
  </r>
  <r>
    <s v="ORD05111"/>
    <d v="2025-11-15T00:00:00"/>
    <x v="2"/>
    <x v="44"/>
    <x v="5"/>
    <s v="UAE"/>
    <x v="10"/>
    <x v="8"/>
    <n v="39740"/>
    <n v="35317"/>
  </r>
  <r>
    <s v="ORD05112"/>
    <d v="2025-02-28T00:00:00"/>
    <x v="6"/>
    <x v="22"/>
    <x v="6"/>
    <s v="France"/>
    <x v="19"/>
    <x v="20"/>
    <n v="27913"/>
    <n v="19968"/>
  </r>
  <r>
    <s v="ORD05113"/>
    <d v="2025-11-12T00:00:00"/>
    <x v="2"/>
    <x v="44"/>
    <x v="0"/>
    <s v="Turkey"/>
    <x v="46"/>
    <x v="16"/>
    <n v="33739"/>
    <n v="29698"/>
  </r>
  <r>
    <s v="ORD05114"/>
    <d v="2025-08-30T00:00:00"/>
    <x v="11"/>
    <x v="28"/>
    <x v="4"/>
    <s v="Malaysia"/>
    <x v="49"/>
    <x v="28"/>
    <n v="28384"/>
    <n v="34184"/>
  </r>
  <r>
    <s v="ORD05115"/>
    <d v="2025-02-27T00:00:00"/>
    <x v="6"/>
    <x v="22"/>
    <x v="6"/>
    <s v="Australia"/>
    <x v="38"/>
    <x v="14"/>
    <n v="21220"/>
    <n v="24558"/>
  </r>
  <r>
    <s v="ORD05116"/>
    <d v="2025-04-07T00:00:00"/>
    <x v="7"/>
    <x v="16"/>
    <x v="4"/>
    <s v="China"/>
    <x v="27"/>
    <x v="9"/>
    <n v="38013"/>
    <n v="42694"/>
  </r>
  <r>
    <s v="ORD05117"/>
    <d v="2025-04-14T00:00:00"/>
    <x v="7"/>
    <x v="20"/>
    <x v="5"/>
    <s v="Malaysia"/>
    <x v="47"/>
    <x v="20"/>
    <n v="19217"/>
    <n v="22063"/>
  </r>
  <r>
    <s v="ORD05118"/>
    <d v="2025-12-21T00:00:00"/>
    <x v="10"/>
    <x v="21"/>
    <x v="5"/>
    <s v="UAE"/>
    <x v="0"/>
    <x v="14"/>
    <n v="30378"/>
    <n v="22064"/>
  </r>
  <r>
    <s v="ORD05119"/>
    <d v="2025-03-13T00:00:00"/>
    <x v="9"/>
    <x v="19"/>
    <x v="2"/>
    <s v="USA"/>
    <x v="26"/>
    <x v="9"/>
    <n v="30956"/>
    <n v="26453"/>
  </r>
  <r>
    <s v="ORD05120"/>
    <d v="2025-11-23T00:00:00"/>
    <x v="2"/>
    <x v="9"/>
    <x v="5"/>
    <s v="UK"/>
    <x v="6"/>
    <x v="4"/>
    <n v="15315"/>
    <n v="15644"/>
  </r>
  <r>
    <s v="ORD05121"/>
    <d v="2025-12-03T00:00:00"/>
    <x v="10"/>
    <x v="43"/>
    <x v="1"/>
    <s v="Thailand"/>
    <x v="15"/>
    <x v="21"/>
    <n v="16070"/>
    <n v="12060"/>
  </r>
  <r>
    <s v="ORD05122"/>
    <d v="2025-12-31T00:00:00"/>
    <x v="10"/>
    <x v="5"/>
    <x v="1"/>
    <s v="Spain"/>
    <x v="43"/>
    <x v="18"/>
    <n v="23624"/>
    <n v="23082"/>
  </r>
  <r>
    <s v="ORD05123"/>
    <d v="2025-04-20T00:00:00"/>
    <x v="7"/>
    <x v="20"/>
    <x v="0"/>
    <s v="India"/>
    <x v="14"/>
    <x v="18"/>
    <n v="35564"/>
    <n v="26886"/>
  </r>
  <r>
    <s v="ORD05124"/>
    <d v="2025-11-15T00:00:00"/>
    <x v="2"/>
    <x v="44"/>
    <x v="1"/>
    <s v="India"/>
    <x v="19"/>
    <x v="4"/>
    <n v="15904"/>
    <n v="18500"/>
  </r>
  <r>
    <s v="ORD05125"/>
    <d v="2025-12-01T00:00:00"/>
    <x v="10"/>
    <x v="43"/>
    <x v="4"/>
    <s v="France"/>
    <x v="17"/>
    <x v="26"/>
    <n v="34668"/>
    <n v="35432"/>
  </r>
  <r>
    <s v="ORD05126"/>
    <d v="2025-02-10T00:00:00"/>
    <x v="6"/>
    <x v="29"/>
    <x v="1"/>
    <s v="UAE"/>
    <x v="27"/>
    <x v="26"/>
    <n v="32654"/>
    <n v="29220"/>
  </r>
  <r>
    <s v="ORD05127"/>
    <d v="2025-09-16T00:00:00"/>
    <x v="3"/>
    <x v="8"/>
    <x v="5"/>
    <s v="Canada"/>
    <x v="33"/>
    <x v="6"/>
    <n v="20867"/>
    <n v="23978"/>
  </r>
  <r>
    <s v="ORD05128"/>
    <d v="2025-10-25T00:00:00"/>
    <x v="4"/>
    <x v="50"/>
    <x v="6"/>
    <s v="Germany"/>
    <x v="22"/>
    <x v="18"/>
    <n v="33352"/>
    <n v="34387"/>
  </r>
  <r>
    <s v="ORD05129"/>
    <d v="2025-02-08T00:00:00"/>
    <x v="6"/>
    <x v="48"/>
    <x v="2"/>
    <s v="Italy"/>
    <x v="27"/>
    <x v="11"/>
    <n v="31884"/>
    <n v="31728"/>
  </r>
  <r>
    <s v="ORD05130"/>
    <d v="2025-07-15T00:00:00"/>
    <x v="0"/>
    <x v="14"/>
    <x v="5"/>
    <s v="Turkey"/>
    <x v="31"/>
    <x v="2"/>
    <n v="19461"/>
    <n v="17795"/>
  </r>
  <r>
    <s v="ORD05131"/>
    <d v="2025-02-20T00:00:00"/>
    <x v="6"/>
    <x v="15"/>
    <x v="5"/>
    <s v="Italy"/>
    <x v="49"/>
    <x v="16"/>
    <n v="31524"/>
    <n v="30320"/>
  </r>
  <r>
    <s v="ORD05132"/>
    <d v="2025-10-03T00:00:00"/>
    <x v="4"/>
    <x v="49"/>
    <x v="0"/>
    <s v="China"/>
    <x v="25"/>
    <x v="13"/>
    <n v="21849"/>
    <n v="19980"/>
  </r>
  <r>
    <s v="ORD05133"/>
    <d v="2025-04-03T00:00:00"/>
    <x v="7"/>
    <x v="34"/>
    <x v="5"/>
    <s v="UAE"/>
    <x v="0"/>
    <x v="1"/>
    <n v="36584"/>
    <n v="47328"/>
  </r>
  <r>
    <s v="ORD05134"/>
    <d v="2025-12-23T00:00:00"/>
    <x v="10"/>
    <x v="42"/>
    <x v="6"/>
    <s v="Japan"/>
    <x v="37"/>
    <x v="4"/>
    <n v="31953"/>
    <n v="33901"/>
  </r>
  <r>
    <s v="ORD05135"/>
    <d v="2025-07-22T00:00:00"/>
    <x v="0"/>
    <x v="0"/>
    <x v="6"/>
    <s v="India"/>
    <x v="24"/>
    <x v="24"/>
    <n v="15656"/>
    <n v="18942"/>
  </r>
  <r>
    <s v="ORD05136"/>
    <d v="2025-04-21T00:00:00"/>
    <x v="7"/>
    <x v="38"/>
    <x v="6"/>
    <s v="UAE"/>
    <x v="41"/>
    <x v="29"/>
    <n v="20500"/>
    <n v="25821"/>
  </r>
  <r>
    <s v="ORD05137"/>
    <d v="2025-02-17T00:00:00"/>
    <x v="6"/>
    <x v="15"/>
    <x v="4"/>
    <s v="Italy"/>
    <x v="30"/>
    <x v="13"/>
    <n v="19091"/>
    <n v="23168"/>
  </r>
  <r>
    <s v="ORD05138"/>
    <d v="2025-08-10T00:00:00"/>
    <x v="11"/>
    <x v="23"/>
    <x v="3"/>
    <s v="Japan"/>
    <x v="36"/>
    <x v="17"/>
    <n v="35404"/>
    <n v="33433"/>
  </r>
  <r>
    <s v="ORD05139"/>
    <d v="2025-09-09T00:00:00"/>
    <x v="3"/>
    <x v="31"/>
    <x v="3"/>
    <s v="Malaysia"/>
    <x v="17"/>
    <x v="19"/>
    <n v="30356"/>
    <n v="36301"/>
  </r>
  <r>
    <s v="ORD05140"/>
    <d v="2025-05-15T00:00:00"/>
    <x v="8"/>
    <x v="17"/>
    <x v="6"/>
    <s v="Brazil"/>
    <x v="4"/>
    <x v="10"/>
    <n v="26251"/>
    <n v="33949"/>
  </r>
  <r>
    <s v="ORD05141"/>
    <d v="2025-04-26T00:00:00"/>
    <x v="7"/>
    <x v="38"/>
    <x v="6"/>
    <s v="UAE"/>
    <x v="13"/>
    <x v="12"/>
    <n v="17279"/>
    <n v="16230"/>
  </r>
  <r>
    <s v="ORD05142"/>
    <d v="2025-04-14T00:00:00"/>
    <x v="7"/>
    <x v="20"/>
    <x v="1"/>
    <s v="Australia"/>
    <x v="1"/>
    <x v="5"/>
    <n v="17030"/>
    <n v="12564"/>
  </r>
  <r>
    <s v="ORD05143"/>
    <d v="2025-10-09T00:00:00"/>
    <x v="4"/>
    <x v="45"/>
    <x v="3"/>
    <s v="Malaysia"/>
    <x v="34"/>
    <x v="12"/>
    <n v="19309"/>
    <n v="21808"/>
  </r>
  <r>
    <s v="ORD05144"/>
    <d v="2025-06-11T00:00:00"/>
    <x v="5"/>
    <x v="40"/>
    <x v="5"/>
    <s v="UK"/>
    <x v="47"/>
    <x v="24"/>
    <n v="21444"/>
    <n v="18198"/>
  </r>
  <r>
    <s v="ORD05145"/>
    <d v="2025-08-28T00:00:00"/>
    <x v="11"/>
    <x v="28"/>
    <x v="0"/>
    <s v="Mexico"/>
    <x v="36"/>
    <x v="1"/>
    <n v="29618"/>
    <n v="34565"/>
  </r>
  <r>
    <s v="ORD05146"/>
    <d v="2025-03-28T00:00:00"/>
    <x v="9"/>
    <x v="33"/>
    <x v="5"/>
    <s v="Japan"/>
    <x v="31"/>
    <x v="28"/>
    <n v="31982"/>
    <n v="36654"/>
  </r>
  <r>
    <s v="ORD05147"/>
    <d v="2025-01-23T00:00:00"/>
    <x v="1"/>
    <x v="7"/>
    <x v="3"/>
    <s v="Thailand"/>
    <x v="49"/>
    <x v="15"/>
    <n v="26528"/>
    <n v="29323"/>
  </r>
  <r>
    <s v="ORD05148"/>
    <d v="2025-03-20T00:00:00"/>
    <x v="9"/>
    <x v="39"/>
    <x v="0"/>
    <s v="Canada"/>
    <x v="19"/>
    <x v="18"/>
    <n v="28264"/>
    <n v="30437"/>
  </r>
  <r>
    <s v="ORD05149"/>
    <d v="2025-07-17T00:00:00"/>
    <x v="0"/>
    <x v="14"/>
    <x v="4"/>
    <s v="India"/>
    <x v="26"/>
    <x v="19"/>
    <n v="29057"/>
    <n v="21267"/>
  </r>
  <r>
    <s v="ORD05150"/>
    <d v="2025-08-08T00:00:00"/>
    <x v="11"/>
    <x v="23"/>
    <x v="4"/>
    <s v="China"/>
    <x v="35"/>
    <x v="17"/>
    <n v="32136"/>
    <n v="24255"/>
  </r>
  <r>
    <s v="ORD05151"/>
    <d v="2025-10-07T00:00:00"/>
    <x v="4"/>
    <x v="45"/>
    <x v="1"/>
    <s v="South Africa"/>
    <x v="0"/>
    <x v="11"/>
    <n v="21056"/>
    <n v="25449"/>
  </r>
  <r>
    <s v="ORD05152"/>
    <d v="2025-03-20T00:00:00"/>
    <x v="9"/>
    <x v="39"/>
    <x v="4"/>
    <s v="Russia"/>
    <x v="8"/>
    <x v="23"/>
    <n v="33082"/>
    <n v="31622"/>
  </r>
  <r>
    <s v="ORD05153"/>
    <d v="2025-10-03T00:00:00"/>
    <x v="4"/>
    <x v="49"/>
    <x v="1"/>
    <s v="UAE"/>
    <x v="11"/>
    <x v="12"/>
    <n v="39831"/>
    <n v="43058"/>
  </r>
  <r>
    <s v="ORD05154"/>
    <d v="2025-03-02T00:00:00"/>
    <x v="9"/>
    <x v="22"/>
    <x v="3"/>
    <s v="Russia"/>
    <x v="15"/>
    <x v="2"/>
    <n v="17296"/>
    <n v="15732"/>
  </r>
  <r>
    <s v="ORD05155"/>
    <d v="2025-02-15T00:00:00"/>
    <x v="6"/>
    <x v="29"/>
    <x v="0"/>
    <s v="Turkey"/>
    <x v="30"/>
    <x v="23"/>
    <n v="30906"/>
    <n v="24628"/>
  </r>
  <r>
    <s v="ORD05156"/>
    <d v="2025-12-03T00:00:00"/>
    <x v="10"/>
    <x v="43"/>
    <x v="1"/>
    <s v="Germany"/>
    <x v="35"/>
    <x v="22"/>
    <n v="18948"/>
    <n v="13286"/>
  </r>
  <r>
    <s v="ORD05157"/>
    <d v="2025-08-03T00:00:00"/>
    <x v="11"/>
    <x v="12"/>
    <x v="1"/>
    <s v="China"/>
    <x v="32"/>
    <x v="5"/>
    <n v="36937"/>
    <n v="27136"/>
  </r>
  <r>
    <s v="ORD05158"/>
    <d v="2025-06-12T00:00:00"/>
    <x v="5"/>
    <x v="40"/>
    <x v="1"/>
    <s v="Italy"/>
    <x v="5"/>
    <x v="23"/>
    <n v="24378"/>
    <n v="25716"/>
  </r>
  <r>
    <s v="ORD05159"/>
    <d v="2025-11-17T00:00:00"/>
    <x v="2"/>
    <x v="9"/>
    <x v="1"/>
    <s v="France"/>
    <x v="18"/>
    <x v="8"/>
    <n v="19669"/>
    <n v="23665"/>
  </r>
  <r>
    <s v="ORD05160"/>
    <d v="2025-09-19T00:00:00"/>
    <x v="3"/>
    <x v="8"/>
    <x v="0"/>
    <s v="USA"/>
    <x v="49"/>
    <x v="28"/>
    <n v="22697"/>
    <n v="20679"/>
  </r>
  <r>
    <s v="ORD05161"/>
    <d v="2025-11-25T00:00:00"/>
    <x v="2"/>
    <x v="11"/>
    <x v="0"/>
    <s v="India"/>
    <x v="46"/>
    <x v="19"/>
    <n v="39145"/>
    <n v="42946"/>
  </r>
  <r>
    <s v="ORD05162"/>
    <d v="2025-01-09T00:00:00"/>
    <x v="1"/>
    <x v="6"/>
    <x v="2"/>
    <s v="Italy"/>
    <x v="11"/>
    <x v="16"/>
    <n v="30513"/>
    <n v="37153"/>
  </r>
  <r>
    <s v="ORD05163"/>
    <d v="2025-12-11T00:00:00"/>
    <x v="10"/>
    <x v="32"/>
    <x v="4"/>
    <s v="USA"/>
    <x v="43"/>
    <x v="11"/>
    <n v="29130"/>
    <n v="35121"/>
  </r>
  <r>
    <s v="ORD05164"/>
    <d v="2025-03-25T00:00:00"/>
    <x v="9"/>
    <x v="33"/>
    <x v="1"/>
    <s v="South Africa"/>
    <x v="13"/>
    <x v="12"/>
    <n v="38701"/>
    <n v="38650"/>
  </r>
  <r>
    <s v="ORD05165"/>
    <d v="2025-01-27T00:00:00"/>
    <x v="1"/>
    <x v="3"/>
    <x v="5"/>
    <s v="Russia"/>
    <x v="19"/>
    <x v="29"/>
    <n v="15185"/>
    <n v="13636"/>
  </r>
  <r>
    <s v="ORD05166"/>
    <d v="2025-05-02T00:00:00"/>
    <x v="8"/>
    <x v="27"/>
    <x v="0"/>
    <s v="Thailand"/>
    <x v="37"/>
    <x v="23"/>
    <n v="39041"/>
    <n v="48328"/>
  </r>
  <r>
    <s v="ORD05167"/>
    <d v="2025-12-30T00:00:00"/>
    <x v="10"/>
    <x v="5"/>
    <x v="6"/>
    <s v="Australia"/>
    <x v="48"/>
    <x v="14"/>
    <n v="33796"/>
    <n v="27020"/>
  </r>
  <r>
    <s v="ORD05168"/>
    <d v="2025-04-25T00:00:00"/>
    <x v="7"/>
    <x v="38"/>
    <x v="3"/>
    <s v="Spain"/>
    <x v="41"/>
    <x v="17"/>
    <n v="34992"/>
    <n v="31932"/>
  </r>
  <r>
    <s v="ORD05169"/>
    <d v="2025-01-10T00:00:00"/>
    <x v="1"/>
    <x v="6"/>
    <x v="2"/>
    <s v="Malaysia"/>
    <x v="32"/>
    <x v="13"/>
    <n v="33431"/>
    <n v="34167"/>
  </r>
  <r>
    <s v="ORD05170"/>
    <d v="2025-03-25T00:00:00"/>
    <x v="9"/>
    <x v="33"/>
    <x v="4"/>
    <s v="Germany"/>
    <x v="1"/>
    <x v="17"/>
    <n v="27339"/>
    <n v="23733"/>
  </r>
  <r>
    <s v="ORD05171"/>
    <d v="2025-08-27T00:00:00"/>
    <x v="11"/>
    <x v="28"/>
    <x v="5"/>
    <s v="France"/>
    <x v="17"/>
    <x v="21"/>
    <n v="20087"/>
    <n v="21449"/>
  </r>
  <r>
    <s v="ORD05172"/>
    <d v="2025-12-21T00:00:00"/>
    <x v="10"/>
    <x v="21"/>
    <x v="5"/>
    <s v="Canada"/>
    <x v="22"/>
    <x v="13"/>
    <n v="23016"/>
    <n v="20157"/>
  </r>
  <r>
    <s v="ORD05173"/>
    <d v="2025-04-27T00:00:00"/>
    <x v="7"/>
    <x v="38"/>
    <x v="2"/>
    <s v="Spain"/>
    <x v="19"/>
    <x v="6"/>
    <n v="38864"/>
    <n v="41144"/>
  </r>
  <r>
    <s v="ORD05174"/>
    <d v="2025-04-30T00:00:00"/>
    <x v="7"/>
    <x v="27"/>
    <x v="2"/>
    <s v="Brazil"/>
    <x v="1"/>
    <x v="11"/>
    <n v="35110"/>
    <n v="28830"/>
  </r>
  <r>
    <s v="ORD05175"/>
    <d v="2025-01-02T00:00:00"/>
    <x v="1"/>
    <x v="5"/>
    <x v="6"/>
    <s v="China"/>
    <x v="1"/>
    <x v="11"/>
    <n v="19253"/>
    <n v="15969"/>
  </r>
  <r>
    <s v="ORD05176"/>
    <d v="2025-01-12T00:00:00"/>
    <x v="1"/>
    <x v="6"/>
    <x v="2"/>
    <s v="UK"/>
    <x v="43"/>
    <x v="1"/>
    <n v="39435"/>
    <n v="48768"/>
  </r>
  <r>
    <s v="ORD05177"/>
    <d v="2025-05-18T00:00:00"/>
    <x v="8"/>
    <x v="17"/>
    <x v="2"/>
    <s v="Malaysia"/>
    <x v="2"/>
    <x v="6"/>
    <n v="35561"/>
    <n v="32592"/>
  </r>
  <r>
    <s v="ORD05178"/>
    <d v="2025-09-29T00:00:00"/>
    <x v="3"/>
    <x v="49"/>
    <x v="4"/>
    <s v="Singapore"/>
    <x v="35"/>
    <x v="22"/>
    <n v="23247"/>
    <n v="25238"/>
  </r>
  <r>
    <s v="ORD05179"/>
    <d v="2025-10-07T00:00:00"/>
    <x v="4"/>
    <x v="45"/>
    <x v="6"/>
    <s v="Malaysia"/>
    <x v="42"/>
    <x v="0"/>
    <n v="24842"/>
    <n v="28961"/>
  </r>
  <r>
    <s v="ORD05180"/>
    <d v="2025-08-11T00:00:00"/>
    <x v="11"/>
    <x v="30"/>
    <x v="1"/>
    <s v="India"/>
    <x v="34"/>
    <x v="24"/>
    <n v="26739"/>
    <n v="32678"/>
  </r>
  <r>
    <s v="ORD05181"/>
    <d v="2025-03-21T00:00:00"/>
    <x v="9"/>
    <x v="39"/>
    <x v="2"/>
    <s v="Mexico"/>
    <x v="23"/>
    <x v="19"/>
    <n v="26230"/>
    <n v="25224"/>
  </r>
  <r>
    <s v="ORD05182"/>
    <d v="2025-11-16T00:00:00"/>
    <x v="2"/>
    <x v="44"/>
    <x v="4"/>
    <s v="UK"/>
    <x v="35"/>
    <x v="24"/>
    <n v="28076"/>
    <n v="25420"/>
  </r>
  <r>
    <s v="ORD05183"/>
    <d v="2025-05-16T00:00:00"/>
    <x v="8"/>
    <x v="17"/>
    <x v="2"/>
    <s v="Spain"/>
    <x v="4"/>
    <x v="7"/>
    <n v="16708"/>
    <n v="12616"/>
  </r>
  <r>
    <s v="ORD05184"/>
    <d v="2025-08-19T00:00:00"/>
    <x v="11"/>
    <x v="46"/>
    <x v="6"/>
    <s v="USA"/>
    <x v="31"/>
    <x v="28"/>
    <n v="24831"/>
    <n v="21735"/>
  </r>
  <r>
    <s v="ORD05185"/>
    <d v="2025-12-09T00:00:00"/>
    <x v="10"/>
    <x v="32"/>
    <x v="0"/>
    <s v="Australia"/>
    <x v="42"/>
    <x v="15"/>
    <n v="38110"/>
    <n v="34249"/>
  </r>
  <r>
    <s v="ORD05186"/>
    <d v="2025-11-12T00:00:00"/>
    <x v="2"/>
    <x v="44"/>
    <x v="3"/>
    <s v="Germany"/>
    <x v="48"/>
    <x v="27"/>
    <n v="20655"/>
    <n v="16592"/>
  </r>
  <r>
    <s v="ORD05187"/>
    <d v="2025-03-15T00:00:00"/>
    <x v="9"/>
    <x v="19"/>
    <x v="1"/>
    <s v="Thailand"/>
    <x v="21"/>
    <x v="18"/>
    <n v="33601"/>
    <n v="28637"/>
  </r>
  <r>
    <s v="ORD05188"/>
    <d v="2025-07-20T00:00:00"/>
    <x v="0"/>
    <x v="14"/>
    <x v="4"/>
    <s v="Turkey"/>
    <x v="39"/>
    <x v="18"/>
    <n v="26505"/>
    <n v="27416"/>
  </r>
  <r>
    <s v="ORD05189"/>
    <d v="2025-12-18T00:00:00"/>
    <x v="10"/>
    <x v="21"/>
    <x v="3"/>
    <s v="UAE"/>
    <x v="25"/>
    <x v="2"/>
    <n v="34677"/>
    <n v="36167"/>
  </r>
  <r>
    <s v="ORD05190"/>
    <d v="2025-04-19T00:00:00"/>
    <x v="7"/>
    <x v="20"/>
    <x v="5"/>
    <s v="Spain"/>
    <x v="47"/>
    <x v="22"/>
    <n v="27298"/>
    <n v="25345"/>
  </r>
  <r>
    <s v="ORD05191"/>
    <d v="2025-06-22T00:00:00"/>
    <x v="5"/>
    <x v="13"/>
    <x v="1"/>
    <s v="USA"/>
    <x v="20"/>
    <x v="25"/>
    <n v="18464"/>
    <n v="19319"/>
  </r>
  <r>
    <s v="ORD05192"/>
    <d v="2025-01-19T00:00:00"/>
    <x v="1"/>
    <x v="1"/>
    <x v="4"/>
    <s v="Russia"/>
    <x v="31"/>
    <x v="1"/>
    <n v="34865"/>
    <n v="36322"/>
  </r>
  <r>
    <s v="ORD05193"/>
    <d v="2025-10-11T00:00:00"/>
    <x v="4"/>
    <x v="45"/>
    <x v="2"/>
    <s v="Turkey"/>
    <x v="28"/>
    <x v="0"/>
    <n v="23860"/>
    <n v="20591"/>
  </r>
  <r>
    <s v="ORD05194"/>
    <d v="2025-10-09T00:00:00"/>
    <x v="4"/>
    <x v="45"/>
    <x v="0"/>
    <s v="Australia"/>
    <x v="10"/>
    <x v="28"/>
    <n v="26076"/>
    <n v="27401"/>
  </r>
  <r>
    <s v="ORD05195"/>
    <d v="2025-12-16T00:00:00"/>
    <x v="10"/>
    <x v="21"/>
    <x v="5"/>
    <s v="Australia"/>
    <x v="47"/>
    <x v="8"/>
    <n v="20740"/>
    <n v="26473"/>
  </r>
  <r>
    <s v="ORD05196"/>
    <d v="2025-11-07T00:00:00"/>
    <x v="2"/>
    <x v="51"/>
    <x v="0"/>
    <s v="Japan"/>
    <x v="7"/>
    <x v="13"/>
    <n v="37504"/>
    <n v="45693"/>
  </r>
  <r>
    <s v="ORD05197"/>
    <d v="2025-05-31T00:00:00"/>
    <x v="8"/>
    <x v="24"/>
    <x v="6"/>
    <s v="South Africa"/>
    <x v="7"/>
    <x v="26"/>
    <n v="30143"/>
    <n v="28734"/>
  </r>
  <r>
    <s v="ORD05198"/>
    <d v="2025-11-02T00:00:00"/>
    <x v="2"/>
    <x v="2"/>
    <x v="3"/>
    <s v="Spain"/>
    <x v="45"/>
    <x v="29"/>
    <n v="21147"/>
    <n v="15324"/>
  </r>
  <r>
    <s v="ORD05199"/>
    <d v="2025-11-28T00:00:00"/>
    <x v="2"/>
    <x v="11"/>
    <x v="5"/>
    <s v="Italy"/>
    <x v="13"/>
    <x v="4"/>
    <n v="28434"/>
    <n v="28187"/>
  </r>
  <r>
    <s v="ORD05200"/>
    <d v="2025-08-20T00:00:00"/>
    <x v="11"/>
    <x v="46"/>
    <x v="5"/>
    <s v="Canada"/>
    <x v="32"/>
    <x v="19"/>
    <n v="31297"/>
    <n v="31311"/>
  </r>
  <r>
    <s v="ORD05201"/>
    <d v="2025-09-24T00:00:00"/>
    <x v="3"/>
    <x v="25"/>
    <x v="0"/>
    <s v="Singapore"/>
    <x v="18"/>
    <x v="15"/>
    <n v="29098"/>
    <n v="23840"/>
  </r>
  <r>
    <s v="ORD05202"/>
    <d v="2025-10-09T00:00:00"/>
    <x v="4"/>
    <x v="45"/>
    <x v="1"/>
    <s v="Spain"/>
    <x v="13"/>
    <x v="25"/>
    <n v="15231"/>
    <n v="15153"/>
  </r>
  <r>
    <s v="ORD05203"/>
    <d v="2025-09-25T00:00:00"/>
    <x v="3"/>
    <x v="25"/>
    <x v="5"/>
    <s v="Singapore"/>
    <x v="13"/>
    <x v="21"/>
    <n v="27642"/>
    <n v="35159"/>
  </r>
  <r>
    <s v="ORD05204"/>
    <d v="2025-01-23T00:00:00"/>
    <x v="1"/>
    <x v="7"/>
    <x v="5"/>
    <s v="France"/>
    <x v="26"/>
    <x v="25"/>
    <n v="23999"/>
    <n v="22201"/>
  </r>
  <r>
    <s v="ORD05205"/>
    <d v="2025-09-20T00:00:00"/>
    <x v="3"/>
    <x v="8"/>
    <x v="5"/>
    <s v="Japan"/>
    <x v="33"/>
    <x v="21"/>
    <n v="33585"/>
    <n v="29776"/>
  </r>
  <r>
    <s v="ORD05206"/>
    <d v="2025-04-27T00:00:00"/>
    <x v="7"/>
    <x v="38"/>
    <x v="1"/>
    <s v="South Africa"/>
    <x v="6"/>
    <x v="14"/>
    <n v="35632"/>
    <n v="32749"/>
  </r>
  <r>
    <s v="ORD05207"/>
    <d v="2025-12-30T00:00:00"/>
    <x v="10"/>
    <x v="5"/>
    <x v="5"/>
    <s v="Japan"/>
    <x v="26"/>
    <x v="28"/>
    <n v="19066"/>
    <n v="24704"/>
  </r>
  <r>
    <s v="ORD05208"/>
    <d v="2025-01-24T00:00:00"/>
    <x v="1"/>
    <x v="7"/>
    <x v="1"/>
    <s v="France"/>
    <x v="19"/>
    <x v="25"/>
    <n v="25642"/>
    <n v="24712"/>
  </r>
  <r>
    <s v="ORD05209"/>
    <d v="2025-09-01T00:00:00"/>
    <x v="3"/>
    <x v="4"/>
    <x v="6"/>
    <s v="UK"/>
    <x v="4"/>
    <x v="11"/>
    <n v="17262"/>
    <n v="18675"/>
  </r>
  <r>
    <s v="ORD05210"/>
    <d v="2025-12-12T00:00:00"/>
    <x v="10"/>
    <x v="32"/>
    <x v="6"/>
    <s v="France"/>
    <x v="1"/>
    <x v="25"/>
    <n v="22273"/>
    <n v="23334"/>
  </r>
  <r>
    <s v="ORD05211"/>
    <d v="2025-02-06T00:00:00"/>
    <x v="6"/>
    <x v="48"/>
    <x v="6"/>
    <s v="Canada"/>
    <x v="37"/>
    <x v="18"/>
    <n v="27885"/>
    <n v="20773"/>
  </r>
  <r>
    <s v="ORD05212"/>
    <d v="2025-06-29T00:00:00"/>
    <x v="5"/>
    <x v="36"/>
    <x v="3"/>
    <s v="Japan"/>
    <x v="34"/>
    <x v="15"/>
    <n v="19619"/>
    <n v="15708"/>
  </r>
  <r>
    <s v="ORD05213"/>
    <d v="2025-05-23T00:00:00"/>
    <x v="8"/>
    <x v="26"/>
    <x v="1"/>
    <s v="Japan"/>
    <x v="25"/>
    <x v="11"/>
    <n v="19377"/>
    <n v="14671"/>
  </r>
  <r>
    <s v="ORD05214"/>
    <d v="2025-11-10T00:00:00"/>
    <x v="2"/>
    <x v="44"/>
    <x v="3"/>
    <s v="UAE"/>
    <x v="19"/>
    <x v="5"/>
    <n v="30031"/>
    <n v="36529"/>
  </r>
  <r>
    <s v="ORD05215"/>
    <d v="2025-07-30T00:00:00"/>
    <x v="0"/>
    <x v="12"/>
    <x v="0"/>
    <s v="Singapore"/>
    <x v="13"/>
    <x v="28"/>
    <n v="28541"/>
    <n v="35605"/>
  </r>
  <r>
    <s v="ORD05216"/>
    <d v="2025-12-01T00:00:00"/>
    <x v="10"/>
    <x v="43"/>
    <x v="5"/>
    <s v="Australia"/>
    <x v="36"/>
    <x v="13"/>
    <n v="19331"/>
    <n v="21981"/>
  </r>
  <r>
    <s v="ORD05217"/>
    <d v="2025-11-13T00:00:00"/>
    <x v="2"/>
    <x v="44"/>
    <x v="0"/>
    <s v="Singapore"/>
    <x v="48"/>
    <x v="3"/>
    <n v="34677"/>
    <n v="44777"/>
  </r>
  <r>
    <s v="ORD05218"/>
    <d v="2025-06-22T00:00:00"/>
    <x v="5"/>
    <x v="13"/>
    <x v="6"/>
    <s v="Australia"/>
    <x v="10"/>
    <x v="7"/>
    <n v="33844"/>
    <n v="32795"/>
  </r>
  <r>
    <s v="ORD05219"/>
    <d v="2025-12-09T00:00:00"/>
    <x v="10"/>
    <x v="32"/>
    <x v="3"/>
    <s v="Canada"/>
    <x v="44"/>
    <x v="8"/>
    <n v="25394"/>
    <n v="21601"/>
  </r>
  <r>
    <s v="ORD05220"/>
    <d v="2025-09-21T00:00:00"/>
    <x v="3"/>
    <x v="8"/>
    <x v="3"/>
    <s v="South Africa"/>
    <x v="38"/>
    <x v="26"/>
    <n v="30247"/>
    <n v="33180"/>
  </r>
  <r>
    <s v="ORD05221"/>
    <d v="2025-03-07T00:00:00"/>
    <x v="9"/>
    <x v="35"/>
    <x v="5"/>
    <s v="Russia"/>
    <x v="1"/>
    <x v="7"/>
    <n v="21729"/>
    <n v="26524"/>
  </r>
  <r>
    <s v="ORD05222"/>
    <d v="2025-07-04T00:00:00"/>
    <x v="0"/>
    <x v="37"/>
    <x v="2"/>
    <s v="Australia"/>
    <x v="33"/>
    <x v="11"/>
    <n v="22392"/>
    <n v="16444"/>
  </r>
  <r>
    <s v="ORD05223"/>
    <d v="2025-08-22T00:00:00"/>
    <x v="11"/>
    <x v="46"/>
    <x v="5"/>
    <s v="Japan"/>
    <x v="4"/>
    <x v="14"/>
    <n v="26089"/>
    <n v="21711"/>
  </r>
  <r>
    <s v="ORD05224"/>
    <d v="2025-08-23T00:00:00"/>
    <x v="11"/>
    <x v="46"/>
    <x v="0"/>
    <s v="Japan"/>
    <x v="32"/>
    <x v="10"/>
    <n v="24838"/>
    <n v="24721"/>
  </r>
  <r>
    <s v="ORD05225"/>
    <d v="2025-07-15T00:00:00"/>
    <x v="0"/>
    <x v="14"/>
    <x v="3"/>
    <s v="South Africa"/>
    <x v="22"/>
    <x v="28"/>
    <n v="38965"/>
    <n v="35732"/>
  </r>
  <r>
    <s v="ORD05226"/>
    <d v="2025-08-22T00:00:00"/>
    <x v="11"/>
    <x v="46"/>
    <x v="5"/>
    <s v="Mexico"/>
    <x v="27"/>
    <x v="1"/>
    <n v="32886"/>
    <n v="42361"/>
  </r>
  <r>
    <s v="ORD05227"/>
    <d v="2025-12-24T00:00:00"/>
    <x v="10"/>
    <x v="42"/>
    <x v="0"/>
    <s v="China"/>
    <x v="49"/>
    <x v="11"/>
    <n v="26082"/>
    <n v="18328"/>
  </r>
  <r>
    <s v="ORD05228"/>
    <d v="2025-07-17T00:00:00"/>
    <x v="0"/>
    <x v="14"/>
    <x v="5"/>
    <s v="Singapore"/>
    <x v="24"/>
    <x v="10"/>
    <n v="39356"/>
    <n v="38347"/>
  </r>
  <r>
    <s v="ORD05229"/>
    <d v="2025-02-09T00:00:00"/>
    <x v="6"/>
    <x v="48"/>
    <x v="6"/>
    <s v="France"/>
    <x v="22"/>
    <x v="0"/>
    <n v="33966"/>
    <n v="33136"/>
  </r>
  <r>
    <s v="ORD05230"/>
    <d v="2025-11-12T00:00:00"/>
    <x v="2"/>
    <x v="44"/>
    <x v="6"/>
    <s v="Germany"/>
    <x v="5"/>
    <x v="4"/>
    <n v="24104"/>
    <n v="22761"/>
  </r>
  <r>
    <s v="ORD05231"/>
    <d v="2025-08-22T00:00:00"/>
    <x v="11"/>
    <x v="46"/>
    <x v="0"/>
    <s v="UAE"/>
    <x v="35"/>
    <x v="17"/>
    <n v="28177"/>
    <n v="28102"/>
  </r>
  <r>
    <s v="ORD05232"/>
    <d v="2025-08-18T00:00:00"/>
    <x v="11"/>
    <x v="46"/>
    <x v="2"/>
    <s v="India"/>
    <x v="6"/>
    <x v="24"/>
    <n v="22625"/>
    <n v="20458"/>
  </r>
  <r>
    <s v="ORD05233"/>
    <d v="2025-08-30T00:00:00"/>
    <x v="11"/>
    <x v="28"/>
    <x v="5"/>
    <s v="Italy"/>
    <x v="31"/>
    <x v="0"/>
    <n v="27128"/>
    <n v="27714"/>
  </r>
  <r>
    <s v="ORD05234"/>
    <d v="2025-06-14T00:00:00"/>
    <x v="5"/>
    <x v="40"/>
    <x v="0"/>
    <s v="Thailand"/>
    <x v="36"/>
    <x v="19"/>
    <n v="25247"/>
    <n v="27000"/>
  </r>
  <r>
    <s v="ORD05235"/>
    <d v="2025-01-29T00:00:00"/>
    <x v="1"/>
    <x v="3"/>
    <x v="5"/>
    <s v="France"/>
    <x v="39"/>
    <x v="10"/>
    <n v="27011"/>
    <n v="19597"/>
  </r>
  <r>
    <s v="ORD05236"/>
    <d v="2025-03-17T00:00:00"/>
    <x v="9"/>
    <x v="39"/>
    <x v="4"/>
    <s v="UK"/>
    <x v="16"/>
    <x v="15"/>
    <n v="39930"/>
    <n v="43700"/>
  </r>
  <r>
    <s v="ORD05237"/>
    <d v="2025-05-08T00:00:00"/>
    <x v="8"/>
    <x v="18"/>
    <x v="6"/>
    <s v="Malaysia"/>
    <x v="37"/>
    <x v="1"/>
    <n v="24447"/>
    <n v="22780"/>
  </r>
  <r>
    <s v="ORD05238"/>
    <d v="2025-03-10T00:00:00"/>
    <x v="9"/>
    <x v="19"/>
    <x v="1"/>
    <s v="Russia"/>
    <x v="8"/>
    <x v="17"/>
    <n v="37118"/>
    <n v="46238"/>
  </r>
  <r>
    <s v="ORD05239"/>
    <d v="2025-04-27T00:00:00"/>
    <x v="7"/>
    <x v="38"/>
    <x v="1"/>
    <s v="UK"/>
    <x v="41"/>
    <x v="8"/>
    <n v="18823"/>
    <n v="17443"/>
  </r>
  <r>
    <s v="ORD05240"/>
    <d v="2025-05-25T00:00:00"/>
    <x v="8"/>
    <x v="26"/>
    <x v="3"/>
    <s v="Malaysia"/>
    <x v="1"/>
    <x v="19"/>
    <n v="24639"/>
    <n v="31463"/>
  </r>
  <r>
    <s v="ORD05241"/>
    <d v="2025-05-29T00:00:00"/>
    <x v="8"/>
    <x v="24"/>
    <x v="1"/>
    <s v="China"/>
    <x v="41"/>
    <x v="6"/>
    <n v="32644"/>
    <n v="31011"/>
  </r>
  <r>
    <s v="ORD05242"/>
    <d v="2025-06-18T00:00:00"/>
    <x v="5"/>
    <x v="13"/>
    <x v="3"/>
    <s v="Australia"/>
    <x v="20"/>
    <x v="12"/>
    <n v="26367"/>
    <n v="20466"/>
  </r>
  <r>
    <s v="ORD05243"/>
    <d v="2025-03-08T00:00:00"/>
    <x v="9"/>
    <x v="35"/>
    <x v="5"/>
    <s v="Mexico"/>
    <x v="37"/>
    <x v="3"/>
    <n v="27898"/>
    <n v="21933"/>
  </r>
  <r>
    <s v="ORD05244"/>
    <d v="2025-08-20T00:00:00"/>
    <x v="11"/>
    <x v="46"/>
    <x v="3"/>
    <s v="UAE"/>
    <x v="38"/>
    <x v="11"/>
    <n v="22903"/>
    <n v="27673"/>
  </r>
  <r>
    <s v="ORD05245"/>
    <d v="2025-08-29T00:00:00"/>
    <x v="11"/>
    <x v="28"/>
    <x v="5"/>
    <s v="Germany"/>
    <x v="43"/>
    <x v="6"/>
    <n v="35597"/>
    <n v="41316"/>
  </r>
  <r>
    <s v="ORD05246"/>
    <d v="2025-12-21T00:00:00"/>
    <x v="10"/>
    <x v="21"/>
    <x v="0"/>
    <s v="Germany"/>
    <x v="49"/>
    <x v="18"/>
    <n v="33925"/>
    <n v="37316"/>
  </r>
  <r>
    <s v="ORD05247"/>
    <d v="2025-06-11T00:00:00"/>
    <x v="5"/>
    <x v="40"/>
    <x v="6"/>
    <s v="Italy"/>
    <x v="41"/>
    <x v="23"/>
    <n v="30515"/>
    <n v="38144"/>
  </r>
  <r>
    <s v="ORD05248"/>
    <d v="2025-08-11T00:00:00"/>
    <x v="11"/>
    <x v="30"/>
    <x v="5"/>
    <s v="Australia"/>
    <x v="25"/>
    <x v="24"/>
    <n v="33664"/>
    <n v="34829"/>
  </r>
  <r>
    <s v="ORD05249"/>
    <d v="2025-05-03T00:00:00"/>
    <x v="8"/>
    <x v="27"/>
    <x v="5"/>
    <s v="Russia"/>
    <x v="5"/>
    <x v="21"/>
    <n v="22160"/>
    <n v="24354"/>
  </r>
  <r>
    <s v="ORD05250"/>
    <d v="2025-04-25T00:00:00"/>
    <x v="7"/>
    <x v="38"/>
    <x v="6"/>
    <s v="Spain"/>
    <x v="6"/>
    <x v="26"/>
    <n v="18998"/>
    <n v="21909"/>
  </r>
  <r>
    <s v="ORD05251"/>
    <d v="2025-11-18T00:00:00"/>
    <x v="2"/>
    <x v="9"/>
    <x v="6"/>
    <s v="Italy"/>
    <x v="7"/>
    <x v="5"/>
    <n v="31061"/>
    <n v="24713"/>
  </r>
  <r>
    <s v="ORD05252"/>
    <d v="2025-08-04T00:00:00"/>
    <x v="11"/>
    <x v="23"/>
    <x v="4"/>
    <s v="Singapore"/>
    <x v="40"/>
    <x v="29"/>
    <n v="29594"/>
    <n v="26686"/>
  </r>
  <r>
    <s v="ORD05253"/>
    <d v="2025-05-30T00:00:00"/>
    <x v="8"/>
    <x v="24"/>
    <x v="2"/>
    <s v="Russia"/>
    <x v="9"/>
    <x v="8"/>
    <n v="27342"/>
    <n v="32582"/>
  </r>
  <r>
    <s v="ORD05254"/>
    <d v="2025-12-12T00:00:00"/>
    <x v="10"/>
    <x v="32"/>
    <x v="6"/>
    <s v="Brazil"/>
    <x v="49"/>
    <x v="13"/>
    <n v="24066"/>
    <n v="20049"/>
  </r>
  <r>
    <s v="ORD05255"/>
    <d v="2025-12-22T00:00:00"/>
    <x v="10"/>
    <x v="42"/>
    <x v="1"/>
    <s v="Singapore"/>
    <x v="22"/>
    <x v="14"/>
    <n v="28792"/>
    <n v="32291"/>
  </r>
  <r>
    <s v="ORD05256"/>
    <d v="2025-03-26T00:00:00"/>
    <x v="9"/>
    <x v="33"/>
    <x v="1"/>
    <s v="Mexico"/>
    <x v="1"/>
    <x v="22"/>
    <n v="15952"/>
    <n v="16527"/>
  </r>
  <r>
    <s v="ORD05257"/>
    <d v="2025-09-20T00:00:00"/>
    <x v="3"/>
    <x v="8"/>
    <x v="1"/>
    <s v="UK"/>
    <x v="45"/>
    <x v="11"/>
    <n v="34987"/>
    <n v="27036"/>
  </r>
  <r>
    <s v="ORD05258"/>
    <d v="2025-12-05T00:00:00"/>
    <x v="10"/>
    <x v="43"/>
    <x v="5"/>
    <s v="Japan"/>
    <x v="7"/>
    <x v="8"/>
    <n v="25843"/>
    <n v="28452"/>
  </r>
  <r>
    <s v="ORD05259"/>
    <d v="2025-12-25T00:00:00"/>
    <x v="10"/>
    <x v="42"/>
    <x v="3"/>
    <s v="Singapore"/>
    <x v="47"/>
    <x v="23"/>
    <n v="35225"/>
    <n v="37892"/>
  </r>
  <r>
    <s v="ORD05260"/>
    <d v="2025-08-24T00:00:00"/>
    <x v="11"/>
    <x v="46"/>
    <x v="0"/>
    <s v="Singapore"/>
    <x v="15"/>
    <x v="21"/>
    <n v="25702"/>
    <n v="32136"/>
  </r>
  <r>
    <s v="ORD05261"/>
    <d v="2025-06-17T00:00:00"/>
    <x v="5"/>
    <x v="13"/>
    <x v="2"/>
    <s v="UAE"/>
    <x v="10"/>
    <x v="10"/>
    <n v="27051"/>
    <n v="26906"/>
  </r>
  <r>
    <s v="ORD05262"/>
    <d v="2025-01-22T00:00:00"/>
    <x v="1"/>
    <x v="7"/>
    <x v="4"/>
    <s v="UAE"/>
    <x v="31"/>
    <x v="9"/>
    <n v="15909"/>
    <n v="11719"/>
  </r>
  <r>
    <s v="ORD05263"/>
    <d v="2025-05-28T00:00:00"/>
    <x v="8"/>
    <x v="24"/>
    <x v="5"/>
    <s v="UK"/>
    <x v="12"/>
    <x v="16"/>
    <n v="22832"/>
    <n v="28523"/>
  </r>
  <r>
    <s v="ORD05264"/>
    <d v="2025-02-24T00:00:00"/>
    <x v="6"/>
    <x v="22"/>
    <x v="6"/>
    <s v="Singapore"/>
    <x v="11"/>
    <x v="17"/>
    <n v="18337"/>
    <n v="22842"/>
  </r>
  <r>
    <s v="ORD05265"/>
    <d v="2025-11-19T00:00:00"/>
    <x v="2"/>
    <x v="9"/>
    <x v="6"/>
    <s v="Russia"/>
    <x v="32"/>
    <x v="22"/>
    <n v="19845"/>
    <n v="24373"/>
  </r>
  <r>
    <s v="ORD05266"/>
    <d v="2025-07-07T00:00:00"/>
    <x v="0"/>
    <x v="47"/>
    <x v="1"/>
    <s v="Malaysia"/>
    <x v="3"/>
    <x v="9"/>
    <n v="15472"/>
    <n v="11603"/>
  </r>
  <r>
    <s v="ORD05267"/>
    <d v="2025-11-23T00:00:00"/>
    <x v="2"/>
    <x v="9"/>
    <x v="0"/>
    <s v="Mexico"/>
    <x v="0"/>
    <x v="9"/>
    <n v="25930"/>
    <n v="22047"/>
  </r>
  <r>
    <s v="ORD05268"/>
    <d v="2025-11-01T00:00:00"/>
    <x v="2"/>
    <x v="2"/>
    <x v="6"/>
    <s v="South Africa"/>
    <x v="4"/>
    <x v="22"/>
    <n v="17482"/>
    <n v="19976"/>
  </r>
  <r>
    <s v="ORD05269"/>
    <d v="2025-06-24T00:00:00"/>
    <x v="5"/>
    <x v="36"/>
    <x v="0"/>
    <s v="Germany"/>
    <x v="17"/>
    <x v="20"/>
    <n v="27656"/>
    <n v="24033"/>
  </r>
  <r>
    <s v="ORD05270"/>
    <d v="2025-01-23T00:00:00"/>
    <x v="1"/>
    <x v="7"/>
    <x v="2"/>
    <s v="France"/>
    <x v="27"/>
    <x v="20"/>
    <n v="23267"/>
    <n v="26851"/>
  </r>
  <r>
    <s v="ORD05271"/>
    <d v="2025-11-27T00:00:00"/>
    <x v="2"/>
    <x v="11"/>
    <x v="1"/>
    <s v="Germany"/>
    <x v="29"/>
    <x v="29"/>
    <n v="17486"/>
    <n v="21305"/>
  </r>
  <r>
    <s v="ORD05272"/>
    <d v="2025-01-07T00:00:00"/>
    <x v="1"/>
    <x v="6"/>
    <x v="5"/>
    <s v="Turkey"/>
    <x v="23"/>
    <x v="18"/>
    <n v="19798"/>
    <n v="23534"/>
  </r>
  <r>
    <s v="ORD05273"/>
    <d v="2025-03-02T00:00:00"/>
    <x v="9"/>
    <x v="22"/>
    <x v="3"/>
    <s v="Italy"/>
    <x v="43"/>
    <x v="4"/>
    <n v="18702"/>
    <n v="22711"/>
  </r>
  <r>
    <s v="ORD05274"/>
    <d v="2025-03-29T00:00:00"/>
    <x v="9"/>
    <x v="33"/>
    <x v="4"/>
    <s v="Spain"/>
    <x v="45"/>
    <x v="25"/>
    <n v="18238"/>
    <n v="15216"/>
  </r>
  <r>
    <s v="ORD05275"/>
    <d v="2025-11-21T00:00:00"/>
    <x v="2"/>
    <x v="9"/>
    <x v="3"/>
    <s v="USA"/>
    <x v="26"/>
    <x v="21"/>
    <n v="19708"/>
    <n v="23384"/>
  </r>
  <r>
    <s v="ORD05276"/>
    <d v="2025-02-22T00:00:00"/>
    <x v="6"/>
    <x v="15"/>
    <x v="5"/>
    <s v="Canada"/>
    <x v="26"/>
    <x v="23"/>
    <n v="20799"/>
    <n v="15303"/>
  </r>
  <r>
    <s v="ORD05277"/>
    <d v="2025-08-20T00:00:00"/>
    <x v="11"/>
    <x v="46"/>
    <x v="6"/>
    <s v="Brazil"/>
    <x v="6"/>
    <x v="14"/>
    <n v="36592"/>
    <n v="33278"/>
  </r>
  <r>
    <s v="ORD05278"/>
    <d v="2025-05-19T00:00:00"/>
    <x v="8"/>
    <x v="26"/>
    <x v="4"/>
    <s v="Spain"/>
    <x v="28"/>
    <x v="29"/>
    <n v="32894"/>
    <n v="24898"/>
  </r>
  <r>
    <s v="ORD05279"/>
    <d v="2025-09-22T00:00:00"/>
    <x v="3"/>
    <x v="25"/>
    <x v="2"/>
    <s v="South Africa"/>
    <x v="24"/>
    <x v="6"/>
    <n v="21927"/>
    <n v="23303"/>
  </r>
  <r>
    <s v="ORD05280"/>
    <d v="2025-09-29T00:00:00"/>
    <x v="3"/>
    <x v="49"/>
    <x v="6"/>
    <s v="Australia"/>
    <x v="48"/>
    <x v="29"/>
    <n v="19013"/>
    <n v="22439"/>
  </r>
  <r>
    <s v="ORD05281"/>
    <d v="2025-10-22T00:00:00"/>
    <x v="4"/>
    <x v="50"/>
    <x v="2"/>
    <s v="Canada"/>
    <x v="47"/>
    <x v="23"/>
    <n v="20099"/>
    <n v="23024"/>
  </r>
  <r>
    <s v="ORD05282"/>
    <d v="2025-05-08T00:00:00"/>
    <x v="8"/>
    <x v="18"/>
    <x v="2"/>
    <s v="France"/>
    <x v="4"/>
    <x v="8"/>
    <n v="26790"/>
    <n v="30578"/>
  </r>
  <r>
    <s v="ORD05283"/>
    <d v="2025-12-20T00:00:00"/>
    <x v="10"/>
    <x v="21"/>
    <x v="6"/>
    <s v="Turkey"/>
    <x v="44"/>
    <x v="23"/>
    <n v="18673"/>
    <n v="21993"/>
  </r>
  <r>
    <s v="ORD05284"/>
    <d v="2025-08-26T00:00:00"/>
    <x v="11"/>
    <x v="28"/>
    <x v="2"/>
    <s v="South Africa"/>
    <x v="23"/>
    <x v="0"/>
    <n v="31360"/>
    <n v="25100"/>
  </r>
  <r>
    <s v="ORD05285"/>
    <d v="2025-04-05T00:00:00"/>
    <x v="7"/>
    <x v="34"/>
    <x v="6"/>
    <s v="UAE"/>
    <x v="32"/>
    <x v="5"/>
    <n v="26597"/>
    <n v="26258"/>
  </r>
  <r>
    <s v="ORD05286"/>
    <d v="2025-01-04T00:00:00"/>
    <x v="1"/>
    <x v="5"/>
    <x v="0"/>
    <s v="France"/>
    <x v="5"/>
    <x v="16"/>
    <n v="23877"/>
    <n v="23343"/>
  </r>
  <r>
    <s v="ORD05287"/>
    <d v="2025-12-24T00:00:00"/>
    <x v="10"/>
    <x v="42"/>
    <x v="1"/>
    <s v="Russia"/>
    <x v="17"/>
    <x v="1"/>
    <n v="18875"/>
    <n v="20698"/>
  </r>
  <r>
    <s v="ORD05288"/>
    <d v="2025-11-04T00:00:00"/>
    <x v="2"/>
    <x v="51"/>
    <x v="1"/>
    <s v="Thailand"/>
    <x v="6"/>
    <x v="5"/>
    <n v="23731"/>
    <n v="20653"/>
  </r>
  <r>
    <s v="ORD05289"/>
    <d v="2025-06-19T00:00:00"/>
    <x v="5"/>
    <x v="13"/>
    <x v="6"/>
    <s v="Russia"/>
    <x v="31"/>
    <x v="12"/>
    <n v="31395"/>
    <n v="33153"/>
  </r>
  <r>
    <s v="ORD05290"/>
    <d v="2025-10-17T00:00:00"/>
    <x v="4"/>
    <x v="10"/>
    <x v="2"/>
    <s v="Thailand"/>
    <x v="27"/>
    <x v="29"/>
    <n v="37816"/>
    <n v="41012"/>
  </r>
  <r>
    <s v="ORD05291"/>
    <d v="2025-01-29T00:00:00"/>
    <x v="1"/>
    <x v="3"/>
    <x v="2"/>
    <s v="South Africa"/>
    <x v="5"/>
    <x v="9"/>
    <n v="37165"/>
    <n v="30410"/>
  </r>
  <r>
    <s v="ORD05292"/>
    <d v="2025-11-02T00:00:00"/>
    <x v="2"/>
    <x v="2"/>
    <x v="4"/>
    <s v="South Africa"/>
    <x v="48"/>
    <x v="9"/>
    <n v="24520"/>
    <n v="22489"/>
  </r>
  <r>
    <s v="ORD05293"/>
    <d v="2025-09-20T00:00:00"/>
    <x v="3"/>
    <x v="8"/>
    <x v="4"/>
    <s v="India"/>
    <x v="12"/>
    <x v="3"/>
    <n v="37791"/>
    <n v="28565"/>
  </r>
  <r>
    <s v="ORD05294"/>
    <d v="2025-06-09T00:00:00"/>
    <x v="5"/>
    <x v="40"/>
    <x v="1"/>
    <s v="China"/>
    <x v="27"/>
    <x v="1"/>
    <n v="32516"/>
    <n v="36783"/>
  </r>
  <r>
    <s v="ORD05295"/>
    <d v="2025-10-05T00:00:00"/>
    <x v="4"/>
    <x v="49"/>
    <x v="2"/>
    <s v="Spain"/>
    <x v="46"/>
    <x v="6"/>
    <n v="30426"/>
    <n v="34859"/>
  </r>
  <r>
    <s v="ORD05296"/>
    <d v="2025-12-13T00:00:00"/>
    <x v="10"/>
    <x v="32"/>
    <x v="5"/>
    <s v="France"/>
    <x v="44"/>
    <x v="17"/>
    <n v="20946"/>
    <n v="23348"/>
  </r>
  <r>
    <s v="ORD05297"/>
    <d v="2025-05-17T00:00:00"/>
    <x v="8"/>
    <x v="17"/>
    <x v="6"/>
    <s v="Germany"/>
    <x v="30"/>
    <x v="4"/>
    <n v="20480"/>
    <n v="24058"/>
  </r>
  <r>
    <s v="ORD05298"/>
    <d v="2025-05-18T00:00:00"/>
    <x v="8"/>
    <x v="17"/>
    <x v="5"/>
    <s v="Thailand"/>
    <x v="1"/>
    <x v="14"/>
    <n v="29660"/>
    <n v="22480"/>
  </r>
  <r>
    <s v="ORD05299"/>
    <d v="2025-10-18T00:00:00"/>
    <x v="4"/>
    <x v="10"/>
    <x v="0"/>
    <s v="Mexico"/>
    <x v="11"/>
    <x v="24"/>
    <n v="36487"/>
    <n v="38657"/>
  </r>
  <r>
    <s v="ORD05300"/>
    <d v="2025-05-09T00:00:00"/>
    <x v="8"/>
    <x v="18"/>
    <x v="6"/>
    <s v="UAE"/>
    <x v="12"/>
    <x v="28"/>
    <n v="21111"/>
    <n v="21069"/>
  </r>
  <r>
    <s v="ORD05301"/>
    <d v="2025-11-29T00:00:00"/>
    <x v="2"/>
    <x v="11"/>
    <x v="2"/>
    <s v="Japan"/>
    <x v="36"/>
    <x v="10"/>
    <n v="38723"/>
    <n v="48208"/>
  </r>
  <r>
    <s v="ORD05302"/>
    <d v="2025-01-11T00:00:00"/>
    <x v="1"/>
    <x v="6"/>
    <x v="2"/>
    <s v="Russia"/>
    <x v="22"/>
    <x v="6"/>
    <n v="19097"/>
    <n v="17930"/>
  </r>
  <r>
    <s v="ORD05303"/>
    <d v="2025-06-15T00:00:00"/>
    <x v="5"/>
    <x v="40"/>
    <x v="6"/>
    <s v="Thailand"/>
    <x v="24"/>
    <x v="18"/>
    <n v="36901"/>
    <n v="37433"/>
  </r>
  <r>
    <s v="ORD05304"/>
    <d v="2025-10-17T00:00:00"/>
    <x v="4"/>
    <x v="10"/>
    <x v="3"/>
    <s v="Mexico"/>
    <x v="33"/>
    <x v="2"/>
    <n v="22798"/>
    <n v="19204"/>
  </r>
  <r>
    <s v="ORD05305"/>
    <d v="2025-09-25T00:00:00"/>
    <x v="3"/>
    <x v="25"/>
    <x v="5"/>
    <s v="Thailand"/>
    <x v="46"/>
    <x v="19"/>
    <n v="18684"/>
    <n v="19497"/>
  </r>
  <r>
    <s v="ORD05306"/>
    <d v="2025-04-22T00:00:00"/>
    <x v="7"/>
    <x v="38"/>
    <x v="2"/>
    <s v="Australia"/>
    <x v="25"/>
    <x v="21"/>
    <n v="35061"/>
    <n v="32231"/>
  </r>
  <r>
    <s v="ORD05307"/>
    <d v="2025-10-25T00:00:00"/>
    <x v="4"/>
    <x v="50"/>
    <x v="2"/>
    <s v="China"/>
    <x v="38"/>
    <x v="1"/>
    <n v="27962"/>
    <n v="23372"/>
  </r>
  <r>
    <s v="ORD05308"/>
    <d v="2025-08-10T00:00:00"/>
    <x v="11"/>
    <x v="23"/>
    <x v="3"/>
    <s v="Mexico"/>
    <x v="29"/>
    <x v="0"/>
    <n v="15534"/>
    <n v="13300"/>
  </r>
  <r>
    <s v="ORD05309"/>
    <d v="2025-02-12T00:00:00"/>
    <x v="6"/>
    <x v="29"/>
    <x v="3"/>
    <s v="Brazil"/>
    <x v="20"/>
    <x v="29"/>
    <n v="18185"/>
    <n v="17757"/>
  </r>
  <r>
    <s v="ORD05310"/>
    <d v="2025-03-01T00:00:00"/>
    <x v="9"/>
    <x v="22"/>
    <x v="2"/>
    <s v="Russia"/>
    <x v="33"/>
    <x v="2"/>
    <n v="35672"/>
    <n v="34114"/>
  </r>
  <r>
    <s v="ORD05311"/>
    <d v="2025-10-16T00:00:00"/>
    <x v="4"/>
    <x v="10"/>
    <x v="0"/>
    <s v="Japan"/>
    <x v="11"/>
    <x v="15"/>
    <n v="37625"/>
    <n v="44378"/>
  </r>
  <r>
    <s v="ORD05312"/>
    <d v="2025-11-07T00:00:00"/>
    <x v="2"/>
    <x v="51"/>
    <x v="1"/>
    <s v="Russia"/>
    <x v="24"/>
    <x v="18"/>
    <n v="25249"/>
    <n v="28075"/>
  </r>
  <r>
    <s v="ORD05313"/>
    <d v="2025-12-23T00:00:00"/>
    <x v="10"/>
    <x v="42"/>
    <x v="4"/>
    <s v="South Africa"/>
    <x v="28"/>
    <x v="16"/>
    <n v="18643"/>
    <n v="23509"/>
  </r>
  <r>
    <s v="ORD05314"/>
    <d v="2025-11-06T00:00:00"/>
    <x v="2"/>
    <x v="51"/>
    <x v="5"/>
    <s v="Singapore"/>
    <x v="34"/>
    <x v="16"/>
    <n v="16152"/>
    <n v="14377"/>
  </r>
  <r>
    <s v="ORD05315"/>
    <d v="2025-11-22T00:00:00"/>
    <x v="2"/>
    <x v="9"/>
    <x v="1"/>
    <s v="Germany"/>
    <x v="20"/>
    <x v="2"/>
    <n v="29946"/>
    <n v="21112"/>
  </r>
  <r>
    <s v="ORD05316"/>
    <d v="2025-08-11T00:00:00"/>
    <x v="11"/>
    <x v="30"/>
    <x v="3"/>
    <s v="UK"/>
    <x v="24"/>
    <x v="21"/>
    <n v="39041"/>
    <n v="27785"/>
  </r>
  <r>
    <s v="ORD05317"/>
    <d v="2025-07-11T00:00:00"/>
    <x v="0"/>
    <x v="47"/>
    <x v="5"/>
    <s v="Brazil"/>
    <x v="10"/>
    <x v="0"/>
    <n v="26607"/>
    <n v="19519"/>
  </r>
  <r>
    <s v="ORD05318"/>
    <d v="2025-12-12T00:00:00"/>
    <x v="10"/>
    <x v="32"/>
    <x v="0"/>
    <s v="Germany"/>
    <x v="11"/>
    <x v="6"/>
    <n v="23495"/>
    <n v="19389"/>
  </r>
  <r>
    <s v="ORD05319"/>
    <d v="2025-12-29T00:00:00"/>
    <x v="10"/>
    <x v="5"/>
    <x v="2"/>
    <s v="France"/>
    <x v="27"/>
    <x v="1"/>
    <n v="17515"/>
    <n v="13349"/>
  </r>
  <r>
    <s v="ORD05320"/>
    <d v="2025-11-12T00:00:00"/>
    <x v="2"/>
    <x v="44"/>
    <x v="1"/>
    <s v="China"/>
    <x v="6"/>
    <x v="15"/>
    <n v="27211"/>
    <n v="23682"/>
  </r>
  <r>
    <s v="ORD05321"/>
    <d v="2025-02-12T00:00:00"/>
    <x v="6"/>
    <x v="29"/>
    <x v="6"/>
    <s v="India"/>
    <x v="40"/>
    <x v="17"/>
    <n v="23504"/>
    <n v="20980"/>
  </r>
  <r>
    <s v="ORD05322"/>
    <d v="2025-12-08T00:00:00"/>
    <x v="10"/>
    <x v="32"/>
    <x v="6"/>
    <s v="Canada"/>
    <x v="31"/>
    <x v="8"/>
    <n v="28228"/>
    <n v="33755"/>
  </r>
  <r>
    <s v="ORD05323"/>
    <d v="2025-10-24T00:00:00"/>
    <x v="4"/>
    <x v="50"/>
    <x v="1"/>
    <s v="Russia"/>
    <x v="48"/>
    <x v="5"/>
    <n v="39195"/>
    <n v="43076"/>
  </r>
  <r>
    <s v="ORD05324"/>
    <d v="2025-04-16T00:00:00"/>
    <x v="7"/>
    <x v="20"/>
    <x v="2"/>
    <s v="Canada"/>
    <x v="21"/>
    <x v="29"/>
    <n v="34784"/>
    <n v="29433"/>
  </r>
  <r>
    <s v="ORD05325"/>
    <d v="2025-11-10T00:00:00"/>
    <x v="2"/>
    <x v="44"/>
    <x v="4"/>
    <s v="Canada"/>
    <x v="18"/>
    <x v="24"/>
    <n v="15989"/>
    <n v="13052"/>
  </r>
  <r>
    <s v="ORD05326"/>
    <d v="2025-09-19T00:00:00"/>
    <x v="3"/>
    <x v="8"/>
    <x v="3"/>
    <s v="Italy"/>
    <x v="9"/>
    <x v="10"/>
    <n v="31936"/>
    <n v="40656"/>
  </r>
  <r>
    <s v="ORD05327"/>
    <d v="2025-05-16T00:00:00"/>
    <x v="8"/>
    <x v="17"/>
    <x v="3"/>
    <s v="USA"/>
    <x v="4"/>
    <x v="11"/>
    <n v="37762"/>
    <n v="42335"/>
  </r>
  <r>
    <s v="ORD05328"/>
    <d v="2025-07-23T00:00:00"/>
    <x v="0"/>
    <x v="0"/>
    <x v="3"/>
    <s v="Japan"/>
    <x v="13"/>
    <x v="15"/>
    <n v="26599"/>
    <n v="24498"/>
  </r>
  <r>
    <s v="ORD05329"/>
    <d v="2025-02-05T00:00:00"/>
    <x v="6"/>
    <x v="48"/>
    <x v="2"/>
    <s v="Australia"/>
    <x v="0"/>
    <x v="13"/>
    <n v="37733"/>
    <n v="32361"/>
  </r>
  <r>
    <s v="ORD05330"/>
    <d v="2025-02-16T00:00:00"/>
    <x v="6"/>
    <x v="29"/>
    <x v="1"/>
    <s v="Singapore"/>
    <x v="46"/>
    <x v="5"/>
    <n v="36957"/>
    <n v="32576"/>
  </r>
  <r>
    <s v="ORD05331"/>
    <d v="2025-04-12T00:00:00"/>
    <x v="7"/>
    <x v="16"/>
    <x v="4"/>
    <s v="Malaysia"/>
    <x v="22"/>
    <x v="29"/>
    <n v="23113"/>
    <n v="23520"/>
  </r>
  <r>
    <s v="ORD05332"/>
    <d v="2025-12-18T00:00:00"/>
    <x v="10"/>
    <x v="21"/>
    <x v="6"/>
    <s v="Japan"/>
    <x v="38"/>
    <x v="15"/>
    <n v="30115"/>
    <n v="27440"/>
  </r>
  <r>
    <s v="ORD05333"/>
    <d v="2025-11-16T00:00:00"/>
    <x v="2"/>
    <x v="44"/>
    <x v="4"/>
    <s v="Italy"/>
    <x v="47"/>
    <x v="13"/>
    <n v="20121"/>
    <n v="14500"/>
  </r>
  <r>
    <s v="ORD05334"/>
    <d v="2025-05-01T00:00:00"/>
    <x v="8"/>
    <x v="27"/>
    <x v="4"/>
    <s v="Australia"/>
    <x v="2"/>
    <x v="21"/>
    <n v="33566"/>
    <n v="31024"/>
  </r>
  <r>
    <s v="ORD05335"/>
    <d v="2025-12-12T00:00:00"/>
    <x v="10"/>
    <x v="32"/>
    <x v="6"/>
    <s v="Spain"/>
    <x v="6"/>
    <x v="5"/>
    <n v="21446"/>
    <n v="24867"/>
  </r>
  <r>
    <s v="ORD05336"/>
    <d v="2025-01-07T00:00:00"/>
    <x v="1"/>
    <x v="6"/>
    <x v="3"/>
    <s v="UAE"/>
    <x v="12"/>
    <x v="27"/>
    <n v="21900"/>
    <n v="27800"/>
  </r>
  <r>
    <s v="ORD05337"/>
    <d v="2025-08-24T00:00:00"/>
    <x v="11"/>
    <x v="46"/>
    <x v="3"/>
    <s v="Singapore"/>
    <x v="20"/>
    <x v="26"/>
    <n v="24789"/>
    <n v="25836"/>
  </r>
  <r>
    <s v="ORD05338"/>
    <d v="2025-06-30T00:00:00"/>
    <x v="5"/>
    <x v="37"/>
    <x v="0"/>
    <s v="Malaysia"/>
    <x v="15"/>
    <x v="17"/>
    <n v="38681"/>
    <n v="45728"/>
  </r>
  <r>
    <s v="ORD05339"/>
    <d v="2025-08-07T00:00:00"/>
    <x v="11"/>
    <x v="23"/>
    <x v="5"/>
    <s v="Australia"/>
    <x v="48"/>
    <x v="26"/>
    <n v="34932"/>
    <n v="29130"/>
  </r>
  <r>
    <s v="ORD05340"/>
    <d v="2025-02-18T00:00:00"/>
    <x v="6"/>
    <x v="15"/>
    <x v="6"/>
    <s v="UK"/>
    <x v="41"/>
    <x v="13"/>
    <n v="31165"/>
    <n v="29547"/>
  </r>
  <r>
    <s v="ORD05341"/>
    <d v="2025-10-26T00:00:00"/>
    <x v="4"/>
    <x v="50"/>
    <x v="1"/>
    <s v="UAE"/>
    <x v="10"/>
    <x v="13"/>
    <n v="21515"/>
    <n v="19978"/>
  </r>
  <r>
    <s v="ORD05342"/>
    <d v="2025-09-11T00:00:00"/>
    <x v="3"/>
    <x v="31"/>
    <x v="0"/>
    <s v="China"/>
    <x v="24"/>
    <x v="26"/>
    <n v="37455"/>
    <n v="45291"/>
  </r>
  <r>
    <s v="ORD05343"/>
    <d v="2025-05-26T00:00:00"/>
    <x v="8"/>
    <x v="24"/>
    <x v="5"/>
    <s v="France"/>
    <x v="20"/>
    <x v="15"/>
    <n v="24746"/>
    <n v="25642"/>
  </r>
  <r>
    <s v="ORD05344"/>
    <d v="2025-05-06T00:00:00"/>
    <x v="8"/>
    <x v="18"/>
    <x v="6"/>
    <s v="Mexico"/>
    <x v="5"/>
    <x v="28"/>
    <n v="38026"/>
    <n v="33787"/>
  </r>
  <r>
    <s v="ORD05345"/>
    <d v="2025-09-22T00:00:00"/>
    <x v="3"/>
    <x v="25"/>
    <x v="3"/>
    <s v="Italy"/>
    <x v="38"/>
    <x v="27"/>
    <n v="30248"/>
    <n v="35851"/>
  </r>
  <r>
    <s v="ORD05346"/>
    <d v="2025-04-25T00:00:00"/>
    <x v="7"/>
    <x v="38"/>
    <x v="6"/>
    <s v="India"/>
    <x v="46"/>
    <x v="26"/>
    <n v="26814"/>
    <n v="31735"/>
  </r>
  <r>
    <s v="ORD05347"/>
    <d v="2025-08-05T00:00:00"/>
    <x v="11"/>
    <x v="23"/>
    <x v="3"/>
    <s v="China"/>
    <x v="4"/>
    <x v="13"/>
    <n v="39590"/>
    <n v="48475"/>
  </r>
  <r>
    <s v="ORD05348"/>
    <d v="2025-03-05T00:00:00"/>
    <x v="9"/>
    <x v="35"/>
    <x v="5"/>
    <s v="Spain"/>
    <x v="23"/>
    <x v="4"/>
    <n v="28114"/>
    <n v="33009"/>
  </r>
  <r>
    <s v="ORD05349"/>
    <d v="2025-02-28T00:00:00"/>
    <x v="6"/>
    <x v="22"/>
    <x v="0"/>
    <s v="Germany"/>
    <x v="1"/>
    <x v="24"/>
    <n v="31634"/>
    <n v="28492"/>
  </r>
  <r>
    <s v="ORD05350"/>
    <d v="2025-06-07T00:00:00"/>
    <x v="5"/>
    <x v="41"/>
    <x v="1"/>
    <s v="Japan"/>
    <x v="38"/>
    <x v="28"/>
    <n v="33658"/>
    <n v="39160"/>
  </r>
  <r>
    <s v="ORD05351"/>
    <d v="2025-03-28T00:00:00"/>
    <x v="9"/>
    <x v="33"/>
    <x v="3"/>
    <s v="Thailand"/>
    <x v="34"/>
    <x v="19"/>
    <n v="38623"/>
    <n v="38632"/>
  </r>
  <r>
    <s v="ORD05352"/>
    <d v="2025-08-03T00:00:00"/>
    <x v="11"/>
    <x v="12"/>
    <x v="0"/>
    <s v="Turkey"/>
    <x v="21"/>
    <x v="5"/>
    <n v="35665"/>
    <n v="46047"/>
  </r>
  <r>
    <s v="ORD05353"/>
    <d v="2025-03-14T00:00:00"/>
    <x v="9"/>
    <x v="19"/>
    <x v="3"/>
    <s v="China"/>
    <x v="10"/>
    <x v="19"/>
    <n v="17188"/>
    <n v="13367"/>
  </r>
  <r>
    <s v="ORD05354"/>
    <d v="2025-09-05T00:00:00"/>
    <x v="3"/>
    <x v="4"/>
    <x v="3"/>
    <s v="Russia"/>
    <x v="47"/>
    <x v="21"/>
    <n v="31057"/>
    <n v="34391"/>
  </r>
  <r>
    <s v="ORD05355"/>
    <d v="2025-09-08T00:00:00"/>
    <x v="3"/>
    <x v="31"/>
    <x v="5"/>
    <s v="Turkey"/>
    <x v="2"/>
    <x v="13"/>
    <n v="37401"/>
    <n v="42336"/>
  </r>
  <r>
    <s v="ORD05356"/>
    <d v="2025-03-09T00:00:00"/>
    <x v="9"/>
    <x v="35"/>
    <x v="1"/>
    <s v="Turkey"/>
    <x v="15"/>
    <x v="5"/>
    <n v="32135"/>
    <n v="39084"/>
  </r>
  <r>
    <s v="ORD05357"/>
    <d v="2025-10-07T00:00:00"/>
    <x v="4"/>
    <x v="45"/>
    <x v="5"/>
    <s v="USA"/>
    <x v="7"/>
    <x v="2"/>
    <n v="16551"/>
    <n v="20545"/>
  </r>
  <r>
    <s v="ORD05358"/>
    <d v="2025-07-05T00:00:00"/>
    <x v="0"/>
    <x v="37"/>
    <x v="2"/>
    <s v="Japan"/>
    <x v="24"/>
    <x v="14"/>
    <n v="29299"/>
    <n v="28560"/>
  </r>
  <r>
    <s v="ORD05359"/>
    <d v="2025-09-23T00:00:00"/>
    <x v="3"/>
    <x v="25"/>
    <x v="6"/>
    <s v="Thailand"/>
    <x v="12"/>
    <x v="15"/>
    <n v="19179"/>
    <n v="21078"/>
  </r>
  <r>
    <s v="ORD05360"/>
    <d v="2025-01-03T00:00:00"/>
    <x v="1"/>
    <x v="5"/>
    <x v="6"/>
    <s v="UK"/>
    <x v="47"/>
    <x v="24"/>
    <n v="37717"/>
    <n v="42946"/>
  </r>
  <r>
    <s v="ORD05361"/>
    <d v="2025-10-18T00:00:00"/>
    <x v="4"/>
    <x v="10"/>
    <x v="0"/>
    <s v="Turkey"/>
    <x v="27"/>
    <x v="17"/>
    <n v="37160"/>
    <n v="26075"/>
  </r>
  <r>
    <s v="ORD05362"/>
    <d v="2025-12-22T00:00:00"/>
    <x v="10"/>
    <x v="42"/>
    <x v="3"/>
    <s v="France"/>
    <x v="20"/>
    <x v="22"/>
    <n v="27136"/>
    <n v="20556"/>
  </r>
  <r>
    <s v="ORD05363"/>
    <d v="2025-04-17T00:00:00"/>
    <x v="7"/>
    <x v="20"/>
    <x v="2"/>
    <s v="South Africa"/>
    <x v="46"/>
    <x v="7"/>
    <n v="24248"/>
    <n v="23540"/>
  </r>
  <r>
    <s v="ORD05364"/>
    <d v="2025-12-08T00:00:00"/>
    <x v="10"/>
    <x v="32"/>
    <x v="6"/>
    <s v="Thailand"/>
    <x v="47"/>
    <x v="1"/>
    <n v="17310"/>
    <n v="12390"/>
  </r>
  <r>
    <s v="ORD05365"/>
    <d v="2025-09-27T00:00:00"/>
    <x v="3"/>
    <x v="25"/>
    <x v="5"/>
    <s v="China"/>
    <x v="26"/>
    <x v="26"/>
    <n v="22532"/>
    <n v="16317"/>
  </r>
  <r>
    <s v="ORD05366"/>
    <d v="2025-02-01T00:00:00"/>
    <x v="6"/>
    <x v="3"/>
    <x v="4"/>
    <s v="UK"/>
    <x v="38"/>
    <x v="17"/>
    <n v="18714"/>
    <n v="21216"/>
  </r>
  <r>
    <s v="ORD05367"/>
    <d v="2025-09-12T00:00:00"/>
    <x v="3"/>
    <x v="31"/>
    <x v="1"/>
    <s v="Turkey"/>
    <x v="2"/>
    <x v="15"/>
    <n v="28829"/>
    <n v="34822"/>
  </r>
  <r>
    <s v="ORD05368"/>
    <d v="2025-06-07T00:00:00"/>
    <x v="5"/>
    <x v="41"/>
    <x v="2"/>
    <s v="Brazil"/>
    <x v="34"/>
    <x v="10"/>
    <n v="37020"/>
    <n v="33796"/>
  </r>
  <r>
    <s v="ORD05369"/>
    <d v="2025-07-11T00:00:00"/>
    <x v="0"/>
    <x v="47"/>
    <x v="6"/>
    <s v="South Africa"/>
    <x v="12"/>
    <x v="17"/>
    <n v="27711"/>
    <n v="28943"/>
  </r>
  <r>
    <s v="ORD05370"/>
    <d v="2025-01-16T00:00:00"/>
    <x v="1"/>
    <x v="1"/>
    <x v="3"/>
    <s v="Turkey"/>
    <x v="35"/>
    <x v="6"/>
    <n v="28299"/>
    <n v="21719"/>
  </r>
  <r>
    <s v="ORD05371"/>
    <d v="2025-01-14T00:00:00"/>
    <x v="1"/>
    <x v="1"/>
    <x v="2"/>
    <s v="Brazil"/>
    <x v="8"/>
    <x v="18"/>
    <n v="15624"/>
    <n v="17159"/>
  </r>
  <r>
    <s v="ORD05372"/>
    <d v="2025-03-01T00:00:00"/>
    <x v="9"/>
    <x v="22"/>
    <x v="0"/>
    <s v="India"/>
    <x v="39"/>
    <x v="8"/>
    <n v="34913"/>
    <n v="28763"/>
  </r>
  <r>
    <s v="ORD05373"/>
    <d v="2025-06-07T00:00:00"/>
    <x v="5"/>
    <x v="41"/>
    <x v="0"/>
    <s v="Singapore"/>
    <x v="12"/>
    <x v="7"/>
    <n v="26667"/>
    <n v="30025"/>
  </r>
  <r>
    <s v="ORD05374"/>
    <d v="2025-06-28T00:00:00"/>
    <x v="5"/>
    <x v="36"/>
    <x v="0"/>
    <s v="Italy"/>
    <x v="10"/>
    <x v="5"/>
    <n v="21486"/>
    <n v="23334"/>
  </r>
  <r>
    <s v="ORD05375"/>
    <d v="2025-02-17T00:00:00"/>
    <x v="6"/>
    <x v="15"/>
    <x v="6"/>
    <s v="Turkey"/>
    <x v="41"/>
    <x v="14"/>
    <n v="22482"/>
    <n v="27474"/>
  </r>
  <r>
    <s v="ORD05376"/>
    <d v="2025-03-21T00:00:00"/>
    <x v="9"/>
    <x v="39"/>
    <x v="3"/>
    <s v="Canada"/>
    <x v="35"/>
    <x v="3"/>
    <n v="20779"/>
    <n v="25671"/>
  </r>
  <r>
    <s v="ORD05377"/>
    <d v="2025-12-28T00:00:00"/>
    <x v="10"/>
    <x v="42"/>
    <x v="6"/>
    <s v="Mexico"/>
    <x v="4"/>
    <x v="19"/>
    <n v="35505"/>
    <n v="42550"/>
  </r>
  <r>
    <s v="ORD05378"/>
    <d v="2025-05-06T00:00:00"/>
    <x v="8"/>
    <x v="18"/>
    <x v="1"/>
    <s v="Singapore"/>
    <x v="29"/>
    <x v="18"/>
    <n v="21540"/>
    <n v="25111"/>
  </r>
  <r>
    <s v="ORD05379"/>
    <d v="2025-08-20T00:00:00"/>
    <x v="11"/>
    <x v="46"/>
    <x v="4"/>
    <s v="South Africa"/>
    <x v="1"/>
    <x v="7"/>
    <n v="16190"/>
    <n v="16064"/>
  </r>
  <r>
    <s v="ORD05380"/>
    <d v="2025-05-17T00:00:00"/>
    <x v="8"/>
    <x v="17"/>
    <x v="5"/>
    <s v="China"/>
    <x v="22"/>
    <x v="12"/>
    <n v="19111"/>
    <n v="17605"/>
  </r>
  <r>
    <s v="ORD05381"/>
    <d v="2025-08-10T00:00:00"/>
    <x v="11"/>
    <x v="23"/>
    <x v="3"/>
    <s v="Japan"/>
    <x v="35"/>
    <x v="29"/>
    <n v="19472"/>
    <n v="15378"/>
  </r>
  <r>
    <s v="ORD05382"/>
    <d v="2025-04-14T00:00:00"/>
    <x v="7"/>
    <x v="20"/>
    <x v="5"/>
    <s v="Brazil"/>
    <x v="20"/>
    <x v="10"/>
    <n v="23200"/>
    <n v="18997"/>
  </r>
  <r>
    <s v="ORD05383"/>
    <d v="2025-12-27T00:00:00"/>
    <x v="10"/>
    <x v="42"/>
    <x v="5"/>
    <s v="Germany"/>
    <x v="30"/>
    <x v="12"/>
    <n v="19475"/>
    <n v="15607"/>
  </r>
  <r>
    <s v="ORD05384"/>
    <d v="2025-07-25T00:00:00"/>
    <x v="0"/>
    <x v="0"/>
    <x v="1"/>
    <s v="Italy"/>
    <x v="15"/>
    <x v="21"/>
    <n v="18983"/>
    <n v="21547"/>
  </r>
  <r>
    <s v="ORD05385"/>
    <d v="2025-01-16T00:00:00"/>
    <x v="1"/>
    <x v="1"/>
    <x v="1"/>
    <s v="UK"/>
    <x v="6"/>
    <x v="4"/>
    <n v="18021"/>
    <n v="15283"/>
  </r>
  <r>
    <s v="ORD05386"/>
    <d v="2025-08-27T00:00:00"/>
    <x v="11"/>
    <x v="28"/>
    <x v="2"/>
    <s v="Brazil"/>
    <x v="6"/>
    <x v="29"/>
    <n v="22937"/>
    <n v="16366"/>
  </r>
  <r>
    <s v="ORD05387"/>
    <d v="2025-04-06T00:00:00"/>
    <x v="7"/>
    <x v="34"/>
    <x v="1"/>
    <s v="Australia"/>
    <x v="25"/>
    <x v="11"/>
    <n v="36997"/>
    <n v="41914"/>
  </r>
  <r>
    <s v="ORD05388"/>
    <d v="2025-06-29T00:00:00"/>
    <x v="5"/>
    <x v="36"/>
    <x v="2"/>
    <s v="South Africa"/>
    <x v="39"/>
    <x v="13"/>
    <n v="36500"/>
    <n v="37017"/>
  </r>
  <r>
    <s v="ORD05389"/>
    <d v="2025-10-11T00:00:00"/>
    <x v="4"/>
    <x v="45"/>
    <x v="2"/>
    <s v="Spain"/>
    <x v="11"/>
    <x v="2"/>
    <n v="31171"/>
    <n v="40020"/>
  </r>
  <r>
    <s v="ORD05390"/>
    <d v="2025-04-04T00:00:00"/>
    <x v="7"/>
    <x v="34"/>
    <x v="1"/>
    <s v="Australia"/>
    <x v="44"/>
    <x v="12"/>
    <n v="33891"/>
    <n v="36993"/>
  </r>
  <r>
    <s v="ORD05391"/>
    <d v="2025-08-07T00:00:00"/>
    <x v="11"/>
    <x v="23"/>
    <x v="4"/>
    <s v="China"/>
    <x v="7"/>
    <x v="3"/>
    <n v="39327"/>
    <n v="44957"/>
  </r>
  <r>
    <s v="ORD05392"/>
    <d v="2025-09-23T00:00:00"/>
    <x v="3"/>
    <x v="25"/>
    <x v="0"/>
    <s v="Malaysia"/>
    <x v="34"/>
    <x v="29"/>
    <n v="31973"/>
    <n v="36726"/>
  </r>
  <r>
    <s v="ORD05393"/>
    <d v="2025-01-15T00:00:00"/>
    <x v="1"/>
    <x v="1"/>
    <x v="3"/>
    <s v="Mexico"/>
    <x v="26"/>
    <x v="22"/>
    <n v="27589"/>
    <n v="25229"/>
  </r>
  <r>
    <s v="ORD05394"/>
    <d v="2025-01-28T00:00:00"/>
    <x v="1"/>
    <x v="3"/>
    <x v="5"/>
    <s v="Singapore"/>
    <x v="34"/>
    <x v="3"/>
    <n v="25603"/>
    <n v="31059"/>
  </r>
  <r>
    <s v="ORD05395"/>
    <d v="2025-11-12T00:00:00"/>
    <x v="2"/>
    <x v="44"/>
    <x v="5"/>
    <s v="Singapore"/>
    <x v="15"/>
    <x v="9"/>
    <n v="32643"/>
    <n v="35524"/>
  </r>
  <r>
    <s v="ORD05396"/>
    <d v="2025-08-06T00:00:00"/>
    <x v="11"/>
    <x v="23"/>
    <x v="4"/>
    <s v="Thailand"/>
    <x v="42"/>
    <x v="13"/>
    <n v="26162"/>
    <n v="33283"/>
  </r>
  <r>
    <s v="ORD05397"/>
    <d v="2025-04-04T00:00:00"/>
    <x v="7"/>
    <x v="34"/>
    <x v="4"/>
    <s v="Spain"/>
    <x v="39"/>
    <x v="4"/>
    <n v="33950"/>
    <n v="31681"/>
  </r>
  <r>
    <s v="ORD05398"/>
    <d v="2025-01-04T00:00:00"/>
    <x v="1"/>
    <x v="5"/>
    <x v="4"/>
    <s v="UAE"/>
    <x v="38"/>
    <x v="27"/>
    <n v="35172"/>
    <n v="42692"/>
  </r>
  <r>
    <s v="ORD05399"/>
    <d v="2025-02-05T00:00:00"/>
    <x v="6"/>
    <x v="48"/>
    <x v="2"/>
    <s v="Brazil"/>
    <x v="41"/>
    <x v="4"/>
    <n v="15052"/>
    <n v="15725"/>
  </r>
  <r>
    <s v="ORD05400"/>
    <d v="2025-04-24T00:00:00"/>
    <x v="7"/>
    <x v="38"/>
    <x v="6"/>
    <s v="UAE"/>
    <x v="26"/>
    <x v="13"/>
    <n v="22338"/>
    <n v="26276"/>
  </r>
  <r>
    <s v="ORD05401"/>
    <d v="2025-05-17T00:00:00"/>
    <x v="8"/>
    <x v="17"/>
    <x v="5"/>
    <s v="South Africa"/>
    <x v="20"/>
    <x v="10"/>
    <n v="19487"/>
    <n v="14122"/>
  </r>
  <r>
    <s v="ORD05402"/>
    <d v="2025-09-02T00:00:00"/>
    <x v="3"/>
    <x v="4"/>
    <x v="2"/>
    <s v="UAE"/>
    <x v="32"/>
    <x v="10"/>
    <n v="36684"/>
    <n v="46279"/>
  </r>
  <r>
    <s v="ORD05403"/>
    <d v="2025-09-15T00:00:00"/>
    <x v="3"/>
    <x v="8"/>
    <x v="4"/>
    <s v="Russia"/>
    <x v="26"/>
    <x v="3"/>
    <n v="29148"/>
    <n v="37196"/>
  </r>
  <r>
    <s v="ORD05404"/>
    <d v="2025-10-04T00:00:00"/>
    <x v="4"/>
    <x v="49"/>
    <x v="0"/>
    <s v="Mexico"/>
    <x v="36"/>
    <x v="8"/>
    <n v="15535"/>
    <n v="13450"/>
  </r>
  <r>
    <s v="ORD05405"/>
    <d v="2025-01-14T00:00:00"/>
    <x v="1"/>
    <x v="1"/>
    <x v="5"/>
    <s v="USA"/>
    <x v="19"/>
    <x v="16"/>
    <n v="21770"/>
    <n v="19261"/>
  </r>
  <r>
    <s v="ORD05406"/>
    <d v="2025-02-14T00:00:00"/>
    <x v="6"/>
    <x v="29"/>
    <x v="4"/>
    <s v="Italy"/>
    <x v="29"/>
    <x v="10"/>
    <n v="17773"/>
    <n v="18656"/>
  </r>
  <r>
    <s v="ORD05407"/>
    <d v="2025-01-22T00:00:00"/>
    <x v="1"/>
    <x v="7"/>
    <x v="4"/>
    <s v="Canada"/>
    <x v="33"/>
    <x v="27"/>
    <n v="19578"/>
    <n v="17879"/>
  </r>
  <r>
    <s v="ORD05408"/>
    <d v="2025-10-07T00:00:00"/>
    <x v="4"/>
    <x v="45"/>
    <x v="5"/>
    <s v="Mexico"/>
    <x v="1"/>
    <x v="0"/>
    <n v="36221"/>
    <n v="46331"/>
  </r>
  <r>
    <s v="ORD05409"/>
    <d v="2025-10-29T00:00:00"/>
    <x v="4"/>
    <x v="2"/>
    <x v="5"/>
    <s v="South Africa"/>
    <x v="1"/>
    <x v="3"/>
    <n v="30300"/>
    <n v="30888"/>
  </r>
  <r>
    <s v="ORD05410"/>
    <d v="2025-08-27T00:00:00"/>
    <x v="11"/>
    <x v="28"/>
    <x v="6"/>
    <s v="Germany"/>
    <x v="47"/>
    <x v="19"/>
    <n v="36212"/>
    <n v="35916"/>
  </r>
  <r>
    <s v="ORD05411"/>
    <d v="2025-07-14T00:00:00"/>
    <x v="0"/>
    <x v="14"/>
    <x v="0"/>
    <s v="Singapore"/>
    <x v="49"/>
    <x v="17"/>
    <n v="28174"/>
    <n v="26196"/>
  </r>
  <r>
    <s v="ORD05412"/>
    <d v="2025-04-28T00:00:00"/>
    <x v="7"/>
    <x v="27"/>
    <x v="4"/>
    <s v="USA"/>
    <x v="34"/>
    <x v="14"/>
    <n v="36299"/>
    <n v="42668"/>
  </r>
  <r>
    <s v="ORD05413"/>
    <d v="2025-02-05T00:00:00"/>
    <x v="6"/>
    <x v="48"/>
    <x v="6"/>
    <s v="UK"/>
    <x v="17"/>
    <x v="26"/>
    <n v="26035"/>
    <n v="20775"/>
  </r>
  <r>
    <s v="ORD05414"/>
    <d v="2025-07-19T00:00:00"/>
    <x v="0"/>
    <x v="14"/>
    <x v="1"/>
    <s v="China"/>
    <x v="36"/>
    <x v="17"/>
    <n v="36877"/>
    <n v="38393"/>
  </r>
  <r>
    <s v="ORD05415"/>
    <d v="2025-04-20T00:00:00"/>
    <x v="7"/>
    <x v="20"/>
    <x v="6"/>
    <s v="Singapore"/>
    <x v="14"/>
    <x v="3"/>
    <n v="33390"/>
    <n v="38814"/>
  </r>
  <r>
    <s v="ORD05416"/>
    <d v="2025-08-19T00:00:00"/>
    <x v="11"/>
    <x v="46"/>
    <x v="4"/>
    <s v="USA"/>
    <x v="46"/>
    <x v="23"/>
    <n v="19210"/>
    <n v="23226"/>
  </r>
  <r>
    <s v="ORD05417"/>
    <d v="2025-04-24T00:00:00"/>
    <x v="7"/>
    <x v="38"/>
    <x v="0"/>
    <s v="China"/>
    <x v="29"/>
    <x v="7"/>
    <n v="21003"/>
    <n v="17393"/>
  </r>
  <r>
    <s v="ORD05418"/>
    <d v="2025-06-26T00:00:00"/>
    <x v="5"/>
    <x v="36"/>
    <x v="2"/>
    <s v="Turkey"/>
    <x v="1"/>
    <x v="3"/>
    <n v="21294"/>
    <n v="24177"/>
  </r>
  <r>
    <s v="ORD05419"/>
    <d v="2025-01-23T00:00:00"/>
    <x v="1"/>
    <x v="7"/>
    <x v="3"/>
    <s v="India"/>
    <x v="42"/>
    <x v="6"/>
    <n v="34051"/>
    <n v="41288"/>
  </r>
  <r>
    <s v="ORD05420"/>
    <d v="2025-01-27T00:00:00"/>
    <x v="1"/>
    <x v="3"/>
    <x v="0"/>
    <s v="India"/>
    <x v="9"/>
    <x v="4"/>
    <n v="16449"/>
    <n v="13346"/>
  </r>
  <r>
    <s v="ORD05421"/>
    <d v="2025-02-24T00:00:00"/>
    <x v="6"/>
    <x v="22"/>
    <x v="4"/>
    <s v="Australia"/>
    <x v="10"/>
    <x v="16"/>
    <n v="20722"/>
    <n v="24925"/>
  </r>
  <r>
    <s v="ORD05422"/>
    <d v="2025-07-25T00:00:00"/>
    <x v="0"/>
    <x v="0"/>
    <x v="4"/>
    <s v="USA"/>
    <x v="9"/>
    <x v="7"/>
    <n v="18958"/>
    <n v="13578"/>
  </r>
  <r>
    <s v="ORD05423"/>
    <d v="2025-01-16T00:00:00"/>
    <x v="1"/>
    <x v="1"/>
    <x v="5"/>
    <s v="UK"/>
    <x v="41"/>
    <x v="21"/>
    <n v="31756"/>
    <n v="39201"/>
  </r>
  <r>
    <s v="ORD05424"/>
    <d v="2025-06-01T00:00:00"/>
    <x v="5"/>
    <x v="24"/>
    <x v="2"/>
    <s v="Turkey"/>
    <x v="8"/>
    <x v="13"/>
    <n v="25497"/>
    <n v="23670"/>
  </r>
  <r>
    <s v="ORD05425"/>
    <d v="2025-09-20T00:00:00"/>
    <x v="3"/>
    <x v="8"/>
    <x v="2"/>
    <s v="Japan"/>
    <x v="29"/>
    <x v="7"/>
    <n v="30320"/>
    <n v="27970"/>
  </r>
  <r>
    <s v="ORD05426"/>
    <d v="2025-11-07T00:00:00"/>
    <x v="2"/>
    <x v="51"/>
    <x v="2"/>
    <s v="Malaysia"/>
    <x v="21"/>
    <x v="2"/>
    <n v="21455"/>
    <n v="25798"/>
  </r>
  <r>
    <s v="ORD05427"/>
    <d v="2025-06-17T00:00:00"/>
    <x v="5"/>
    <x v="13"/>
    <x v="6"/>
    <s v="China"/>
    <x v="6"/>
    <x v="15"/>
    <n v="32036"/>
    <n v="31054"/>
  </r>
  <r>
    <s v="ORD05428"/>
    <d v="2025-08-15T00:00:00"/>
    <x v="11"/>
    <x v="30"/>
    <x v="2"/>
    <s v="Malaysia"/>
    <x v="5"/>
    <x v="4"/>
    <n v="22857"/>
    <n v="26977"/>
  </r>
  <r>
    <s v="ORD05429"/>
    <d v="2025-04-29T00:00:00"/>
    <x v="7"/>
    <x v="27"/>
    <x v="1"/>
    <s v="Brazil"/>
    <x v="12"/>
    <x v="19"/>
    <n v="32702"/>
    <n v="41967"/>
  </r>
  <r>
    <s v="ORD05430"/>
    <d v="2025-07-05T00:00:00"/>
    <x v="0"/>
    <x v="37"/>
    <x v="0"/>
    <s v="Mexico"/>
    <x v="33"/>
    <x v="7"/>
    <n v="39323"/>
    <n v="50617"/>
  </r>
  <r>
    <s v="ORD05431"/>
    <d v="2025-12-26T00:00:00"/>
    <x v="10"/>
    <x v="42"/>
    <x v="0"/>
    <s v="South Africa"/>
    <x v="30"/>
    <x v="15"/>
    <n v="35285"/>
    <n v="26387"/>
  </r>
  <r>
    <s v="ORD05432"/>
    <d v="2025-11-19T00:00:00"/>
    <x v="2"/>
    <x v="9"/>
    <x v="2"/>
    <s v="France"/>
    <x v="13"/>
    <x v="14"/>
    <n v="27593"/>
    <n v="31375"/>
  </r>
  <r>
    <s v="ORD05433"/>
    <d v="2025-01-06T00:00:00"/>
    <x v="1"/>
    <x v="6"/>
    <x v="4"/>
    <s v="Mexico"/>
    <x v="12"/>
    <x v="14"/>
    <n v="27968"/>
    <n v="22260"/>
  </r>
  <r>
    <s v="ORD05434"/>
    <d v="2025-09-09T00:00:00"/>
    <x v="3"/>
    <x v="31"/>
    <x v="3"/>
    <s v="China"/>
    <x v="33"/>
    <x v="8"/>
    <n v="17858"/>
    <n v="18495"/>
  </r>
  <r>
    <s v="ORD05435"/>
    <d v="2025-04-28T00:00:00"/>
    <x v="7"/>
    <x v="27"/>
    <x v="5"/>
    <s v="Malaysia"/>
    <x v="34"/>
    <x v="14"/>
    <n v="22426"/>
    <n v="16265"/>
  </r>
  <r>
    <s v="ORD05436"/>
    <d v="2025-03-31T00:00:00"/>
    <x v="9"/>
    <x v="34"/>
    <x v="3"/>
    <s v="UAE"/>
    <x v="23"/>
    <x v="15"/>
    <n v="21709"/>
    <n v="17661"/>
  </r>
  <r>
    <s v="ORD05437"/>
    <d v="2025-01-09T00:00:00"/>
    <x v="1"/>
    <x v="6"/>
    <x v="2"/>
    <s v="UAE"/>
    <x v="35"/>
    <x v="27"/>
    <n v="32205"/>
    <n v="26373"/>
  </r>
  <r>
    <s v="ORD05438"/>
    <d v="2025-10-03T00:00:00"/>
    <x v="4"/>
    <x v="49"/>
    <x v="3"/>
    <s v="Mexico"/>
    <x v="18"/>
    <x v="28"/>
    <n v="39581"/>
    <n v="39647"/>
  </r>
  <r>
    <s v="ORD05439"/>
    <d v="2025-04-15T00:00:00"/>
    <x v="7"/>
    <x v="20"/>
    <x v="0"/>
    <s v="Canada"/>
    <x v="18"/>
    <x v="26"/>
    <n v="25584"/>
    <n v="29923"/>
  </r>
  <r>
    <s v="ORD05440"/>
    <d v="2025-05-16T00:00:00"/>
    <x v="8"/>
    <x v="17"/>
    <x v="3"/>
    <s v="Singapore"/>
    <x v="32"/>
    <x v="1"/>
    <n v="28840"/>
    <n v="32003"/>
  </r>
  <r>
    <s v="ORD05441"/>
    <d v="2025-08-25T00:00:00"/>
    <x v="11"/>
    <x v="28"/>
    <x v="4"/>
    <s v="Singapore"/>
    <x v="13"/>
    <x v="9"/>
    <n v="34485"/>
    <n v="24816"/>
  </r>
  <r>
    <s v="ORD05442"/>
    <d v="2025-08-17T00:00:00"/>
    <x v="11"/>
    <x v="30"/>
    <x v="6"/>
    <s v="France"/>
    <x v="38"/>
    <x v="8"/>
    <n v="31788"/>
    <n v="30003"/>
  </r>
  <r>
    <s v="ORD05443"/>
    <d v="2025-07-31T00:00:00"/>
    <x v="0"/>
    <x v="12"/>
    <x v="2"/>
    <s v="UK"/>
    <x v="40"/>
    <x v="17"/>
    <n v="38402"/>
    <n v="30390"/>
  </r>
  <r>
    <s v="ORD05444"/>
    <d v="2025-08-19T00:00:00"/>
    <x v="11"/>
    <x v="46"/>
    <x v="3"/>
    <s v="France"/>
    <x v="16"/>
    <x v="7"/>
    <n v="35810"/>
    <n v="25232"/>
  </r>
  <r>
    <s v="ORD05445"/>
    <d v="2025-07-03T00:00:00"/>
    <x v="0"/>
    <x v="37"/>
    <x v="2"/>
    <s v="UK"/>
    <x v="16"/>
    <x v="24"/>
    <n v="17057"/>
    <n v="17494"/>
  </r>
  <r>
    <s v="ORD05446"/>
    <d v="2025-03-16T00:00:00"/>
    <x v="9"/>
    <x v="19"/>
    <x v="3"/>
    <s v="China"/>
    <x v="48"/>
    <x v="23"/>
    <n v="31951"/>
    <n v="34720"/>
  </r>
  <r>
    <s v="ORD05447"/>
    <d v="2025-09-03T00:00:00"/>
    <x v="3"/>
    <x v="4"/>
    <x v="6"/>
    <s v="Germany"/>
    <x v="16"/>
    <x v="27"/>
    <n v="25473"/>
    <n v="30564"/>
  </r>
  <r>
    <s v="ORD05448"/>
    <d v="2025-05-13T00:00:00"/>
    <x v="8"/>
    <x v="17"/>
    <x v="1"/>
    <s v="Mexico"/>
    <x v="39"/>
    <x v="4"/>
    <n v="35656"/>
    <n v="35587"/>
  </r>
  <r>
    <s v="ORD05449"/>
    <d v="2025-01-13T00:00:00"/>
    <x v="1"/>
    <x v="1"/>
    <x v="5"/>
    <s v="Australia"/>
    <x v="32"/>
    <x v="12"/>
    <n v="25994"/>
    <n v="22345"/>
  </r>
  <r>
    <s v="ORD05450"/>
    <d v="2025-08-09T00:00:00"/>
    <x v="11"/>
    <x v="23"/>
    <x v="3"/>
    <s v="Australia"/>
    <x v="42"/>
    <x v="18"/>
    <n v="24258"/>
    <n v="17856"/>
  </r>
  <r>
    <s v="ORD05451"/>
    <d v="2025-01-26T00:00:00"/>
    <x v="1"/>
    <x v="7"/>
    <x v="2"/>
    <s v="Thailand"/>
    <x v="10"/>
    <x v="23"/>
    <n v="37923"/>
    <n v="45423"/>
  </r>
  <r>
    <s v="ORD05452"/>
    <d v="2025-12-01T00:00:00"/>
    <x v="10"/>
    <x v="43"/>
    <x v="2"/>
    <s v="Russia"/>
    <x v="26"/>
    <x v="23"/>
    <n v="18783"/>
    <n v="16300"/>
  </r>
  <r>
    <s v="ORD05453"/>
    <d v="2025-06-26T00:00:00"/>
    <x v="5"/>
    <x v="36"/>
    <x v="2"/>
    <s v="UAE"/>
    <x v="16"/>
    <x v="10"/>
    <n v="25179"/>
    <n v="17904"/>
  </r>
  <r>
    <s v="ORD05454"/>
    <d v="2025-01-11T00:00:00"/>
    <x v="1"/>
    <x v="6"/>
    <x v="4"/>
    <s v="USA"/>
    <x v="25"/>
    <x v="5"/>
    <n v="37322"/>
    <n v="27856"/>
  </r>
  <r>
    <s v="ORD05455"/>
    <d v="2025-11-27T00:00:00"/>
    <x v="2"/>
    <x v="11"/>
    <x v="5"/>
    <s v="Brazil"/>
    <x v="36"/>
    <x v="11"/>
    <n v="31524"/>
    <n v="37896"/>
  </r>
  <r>
    <s v="ORD05456"/>
    <d v="2025-11-11T00:00:00"/>
    <x v="2"/>
    <x v="44"/>
    <x v="0"/>
    <s v="Australia"/>
    <x v="29"/>
    <x v="1"/>
    <n v="31212"/>
    <n v="36057"/>
  </r>
  <r>
    <s v="ORD05457"/>
    <d v="2025-09-03T00:00:00"/>
    <x v="3"/>
    <x v="4"/>
    <x v="6"/>
    <s v="Mexico"/>
    <x v="26"/>
    <x v="23"/>
    <n v="27256"/>
    <n v="27554"/>
  </r>
  <r>
    <s v="ORD05458"/>
    <d v="2025-08-27T00:00:00"/>
    <x v="11"/>
    <x v="28"/>
    <x v="5"/>
    <s v="Italy"/>
    <x v="26"/>
    <x v="9"/>
    <n v="24437"/>
    <n v="20456"/>
  </r>
  <r>
    <s v="ORD05459"/>
    <d v="2025-05-17T00:00:00"/>
    <x v="8"/>
    <x v="17"/>
    <x v="1"/>
    <s v="Canada"/>
    <x v="0"/>
    <x v="18"/>
    <n v="21198"/>
    <n v="22460"/>
  </r>
  <r>
    <s v="ORD05460"/>
    <d v="2025-07-14T00:00:00"/>
    <x v="0"/>
    <x v="14"/>
    <x v="5"/>
    <s v="USA"/>
    <x v="49"/>
    <x v="24"/>
    <n v="33861"/>
    <n v="27968"/>
  </r>
  <r>
    <s v="ORD05461"/>
    <d v="2025-06-11T00:00:00"/>
    <x v="5"/>
    <x v="40"/>
    <x v="6"/>
    <s v="UAE"/>
    <x v="3"/>
    <x v="19"/>
    <n v="38357"/>
    <n v="47633"/>
  </r>
  <r>
    <s v="ORD05462"/>
    <d v="2025-12-12T00:00:00"/>
    <x v="10"/>
    <x v="32"/>
    <x v="3"/>
    <s v="South Africa"/>
    <x v="43"/>
    <x v="26"/>
    <n v="26613"/>
    <n v="26666"/>
  </r>
  <r>
    <s v="ORD05463"/>
    <d v="2025-12-25T00:00:00"/>
    <x v="10"/>
    <x v="42"/>
    <x v="5"/>
    <s v="Italy"/>
    <x v="37"/>
    <x v="13"/>
    <n v="28413"/>
    <n v="36573"/>
  </r>
  <r>
    <s v="ORD05464"/>
    <d v="2025-02-20T00:00:00"/>
    <x v="6"/>
    <x v="15"/>
    <x v="3"/>
    <s v="Spain"/>
    <x v="5"/>
    <x v="28"/>
    <n v="29509"/>
    <n v="27879"/>
  </r>
  <r>
    <s v="ORD05465"/>
    <d v="2025-07-05T00:00:00"/>
    <x v="0"/>
    <x v="37"/>
    <x v="0"/>
    <s v="Turkey"/>
    <x v="10"/>
    <x v="24"/>
    <n v="15127"/>
    <n v="17958"/>
  </r>
  <r>
    <s v="ORD05466"/>
    <d v="2025-12-28T00:00:00"/>
    <x v="10"/>
    <x v="42"/>
    <x v="0"/>
    <s v="Malaysia"/>
    <x v="21"/>
    <x v="23"/>
    <n v="37545"/>
    <n v="32555"/>
  </r>
  <r>
    <s v="ORD05467"/>
    <d v="2025-03-18T00:00:00"/>
    <x v="9"/>
    <x v="39"/>
    <x v="4"/>
    <s v="Turkey"/>
    <x v="41"/>
    <x v="27"/>
    <n v="32674"/>
    <n v="26804"/>
  </r>
  <r>
    <s v="ORD05468"/>
    <d v="2025-09-04T00:00:00"/>
    <x v="3"/>
    <x v="4"/>
    <x v="4"/>
    <s v="France"/>
    <x v="30"/>
    <x v="3"/>
    <n v="31663"/>
    <n v="28042"/>
  </r>
  <r>
    <s v="ORD05469"/>
    <d v="2025-05-24T00:00:00"/>
    <x v="8"/>
    <x v="26"/>
    <x v="3"/>
    <s v="France"/>
    <x v="34"/>
    <x v="7"/>
    <n v="30360"/>
    <n v="27666"/>
  </r>
  <r>
    <s v="ORD05470"/>
    <d v="2025-02-06T00:00:00"/>
    <x v="6"/>
    <x v="48"/>
    <x v="6"/>
    <s v="Malaysia"/>
    <x v="39"/>
    <x v="15"/>
    <n v="25084"/>
    <n v="28319"/>
  </r>
  <r>
    <s v="ORD05471"/>
    <d v="2025-11-25T00:00:00"/>
    <x v="2"/>
    <x v="11"/>
    <x v="2"/>
    <s v="Germany"/>
    <x v="9"/>
    <x v="23"/>
    <n v="27483"/>
    <n v="31426"/>
  </r>
  <r>
    <s v="ORD05472"/>
    <d v="2025-01-04T00:00:00"/>
    <x v="1"/>
    <x v="5"/>
    <x v="3"/>
    <s v="UAE"/>
    <x v="33"/>
    <x v="10"/>
    <n v="34778"/>
    <n v="31978"/>
  </r>
  <r>
    <s v="ORD05473"/>
    <d v="2025-05-25T00:00:00"/>
    <x v="8"/>
    <x v="26"/>
    <x v="5"/>
    <s v="Singapore"/>
    <x v="12"/>
    <x v="24"/>
    <n v="19292"/>
    <n v="16285"/>
  </r>
  <r>
    <s v="ORD05474"/>
    <d v="2025-06-04T00:00:00"/>
    <x v="5"/>
    <x v="41"/>
    <x v="5"/>
    <s v="Germany"/>
    <x v="33"/>
    <x v="8"/>
    <n v="16219"/>
    <n v="17681"/>
  </r>
  <r>
    <s v="ORD05475"/>
    <d v="2025-07-15T00:00:00"/>
    <x v="0"/>
    <x v="14"/>
    <x v="3"/>
    <s v="China"/>
    <x v="10"/>
    <x v="25"/>
    <n v="35930"/>
    <n v="31643"/>
  </r>
  <r>
    <s v="ORD05476"/>
    <d v="2025-04-16T00:00:00"/>
    <x v="7"/>
    <x v="20"/>
    <x v="4"/>
    <s v="Canada"/>
    <x v="5"/>
    <x v="11"/>
    <n v="31630"/>
    <n v="32336"/>
  </r>
  <r>
    <s v="ORD05477"/>
    <d v="2025-01-24T00:00:00"/>
    <x v="1"/>
    <x v="7"/>
    <x v="5"/>
    <s v="UK"/>
    <x v="44"/>
    <x v="14"/>
    <n v="22257"/>
    <n v="17070"/>
  </r>
  <r>
    <s v="ORD05478"/>
    <d v="2025-05-05T00:00:00"/>
    <x v="8"/>
    <x v="18"/>
    <x v="4"/>
    <s v="Canada"/>
    <x v="15"/>
    <x v="1"/>
    <n v="24790"/>
    <n v="17720"/>
  </r>
  <r>
    <s v="ORD05479"/>
    <d v="2025-07-23T00:00:00"/>
    <x v="0"/>
    <x v="0"/>
    <x v="5"/>
    <s v="China"/>
    <x v="43"/>
    <x v="17"/>
    <n v="27668"/>
    <n v="22236"/>
  </r>
  <r>
    <s v="ORD05480"/>
    <d v="2025-05-06T00:00:00"/>
    <x v="8"/>
    <x v="18"/>
    <x v="6"/>
    <s v="Germany"/>
    <x v="26"/>
    <x v="18"/>
    <n v="36336"/>
    <n v="36862"/>
  </r>
  <r>
    <s v="ORD05481"/>
    <d v="2025-09-23T00:00:00"/>
    <x v="3"/>
    <x v="25"/>
    <x v="1"/>
    <s v="UAE"/>
    <x v="49"/>
    <x v="27"/>
    <n v="15821"/>
    <n v="15821"/>
  </r>
  <r>
    <s v="ORD05482"/>
    <d v="2025-08-16T00:00:00"/>
    <x v="11"/>
    <x v="30"/>
    <x v="3"/>
    <s v="Australia"/>
    <x v="26"/>
    <x v="12"/>
    <n v="28769"/>
    <n v="33843"/>
  </r>
  <r>
    <s v="ORD05483"/>
    <d v="2025-09-17T00:00:00"/>
    <x v="3"/>
    <x v="8"/>
    <x v="5"/>
    <s v="Canada"/>
    <x v="41"/>
    <x v="6"/>
    <n v="15365"/>
    <n v="13304"/>
  </r>
  <r>
    <s v="ORD05484"/>
    <d v="2025-01-02T00:00:00"/>
    <x v="1"/>
    <x v="5"/>
    <x v="3"/>
    <s v="Australia"/>
    <x v="32"/>
    <x v="19"/>
    <n v="27236"/>
    <n v="20006"/>
  </r>
  <r>
    <s v="ORD05485"/>
    <d v="2025-01-11T00:00:00"/>
    <x v="1"/>
    <x v="6"/>
    <x v="3"/>
    <s v="India"/>
    <x v="38"/>
    <x v="1"/>
    <n v="17997"/>
    <n v="17917"/>
  </r>
  <r>
    <s v="ORD05486"/>
    <d v="2025-12-30T00:00:00"/>
    <x v="10"/>
    <x v="5"/>
    <x v="4"/>
    <s v="Malaysia"/>
    <x v="18"/>
    <x v="22"/>
    <n v="17656"/>
    <n v="22554"/>
  </r>
  <r>
    <s v="ORD05487"/>
    <d v="2025-11-29T00:00:00"/>
    <x v="2"/>
    <x v="11"/>
    <x v="6"/>
    <s v="France"/>
    <x v="27"/>
    <x v="21"/>
    <n v="19477"/>
    <n v="16709"/>
  </r>
  <r>
    <s v="ORD05488"/>
    <d v="2025-06-08T00:00:00"/>
    <x v="5"/>
    <x v="41"/>
    <x v="3"/>
    <s v="France"/>
    <x v="45"/>
    <x v="17"/>
    <n v="15947"/>
    <n v="17543"/>
  </r>
  <r>
    <s v="ORD05489"/>
    <d v="2025-02-25T00:00:00"/>
    <x v="6"/>
    <x v="22"/>
    <x v="0"/>
    <s v="Australia"/>
    <x v="6"/>
    <x v="8"/>
    <n v="17558"/>
    <n v="21420"/>
  </r>
  <r>
    <s v="ORD05490"/>
    <d v="2025-08-18T00:00:00"/>
    <x v="11"/>
    <x v="46"/>
    <x v="3"/>
    <s v="India"/>
    <x v="47"/>
    <x v="29"/>
    <n v="26380"/>
    <n v="19942"/>
  </r>
  <r>
    <s v="ORD05491"/>
    <d v="2025-04-04T00:00:00"/>
    <x v="7"/>
    <x v="34"/>
    <x v="2"/>
    <s v="UAE"/>
    <x v="45"/>
    <x v="21"/>
    <n v="20603"/>
    <n v="22823"/>
  </r>
  <r>
    <s v="ORD05492"/>
    <d v="2025-03-15T00:00:00"/>
    <x v="9"/>
    <x v="19"/>
    <x v="4"/>
    <s v="Malaysia"/>
    <x v="20"/>
    <x v="0"/>
    <n v="16969"/>
    <n v="12133"/>
  </r>
  <r>
    <s v="ORD05493"/>
    <d v="2025-12-09T00:00:00"/>
    <x v="10"/>
    <x v="32"/>
    <x v="3"/>
    <s v="Australia"/>
    <x v="0"/>
    <x v="6"/>
    <n v="25199"/>
    <n v="31718"/>
  </r>
  <r>
    <s v="ORD05494"/>
    <d v="2025-01-20T00:00:00"/>
    <x v="1"/>
    <x v="7"/>
    <x v="3"/>
    <s v="Russia"/>
    <x v="16"/>
    <x v="8"/>
    <n v="29018"/>
    <n v="25801"/>
  </r>
  <r>
    <s v="ORD05495"/>
    <d v="2025-09-22T00:00:00"/>
    <x v="3"/>
    <x v="25"/>
    <x v="1"/>
    <s v="Russia"/>
    <x v="27"/>
    <x v="4"/>
    <n v="21646"/>
    <n v="22594"/>
  </r>
  <r>
    <s v="ORD05496"/>
    <d v="2025-03-15T00:00:00"/>
    <x v="9"/>
    <x v="19"/>
    <x v="2"/>
    <s v="India"/>
    <x v="0"/>
    <x v="15"/>
    <n v="36203"/>
    <n v="28789"/>
  </r>
  <r>
    <s v="ORD05497"/>
    <d v="2025-11-26T00:00:00"/>
    <x v="2"/>
    <x v="11"/>
    <x v="1"/>
    <s v="China"/>
    <x v="20"/>
    <x v="25"/>
    <n v="39346"/>
    <n v="45823"/>
  </r>
  <r>
    <s v="ORD05498"/>
    <d v="2025-10-06T00:00:00"/>
    <x v="4"/>
    <x v="45"/>
    <x v="5"/>
    <s v="Singapore"/>
    <x v="37"/>
    <x v="2"/>
    <n v="19603"/>
    <n v="16271"/>
  </r>
  <r>
    <s v="ORD05499"/>
    <d v="2025-09-15T00:00:00"/>
    <x v="3"/>
    <x v="8"/>
    <x v="4"/>
    <s v="South Africa"/>
    <x v="47"/>
    <x v="18"/>
    <n v="16899"/>
    <n v="19597"/>
  </r>
  <r>
    <s v="ORD05500"/>
    <d v="2025-05-11T00:00:00"/>
    <x v="8"/>
    <x v="18"/>
    <x v="0"/>
    <s v="France"/>
    <x v="11"/>
    <x v="16"/>
    <n v="20388"/>
    <n v="25392"/>
  </r>
  <r>
    <s v="ORD05501"/>
    <d v="2025-09-19T00:00:00"/>
    <x v="3"/>
    <x v="8"/>
    <x v="1"/>
    <s v="UAE"/>
    <x v="33"/>
    <x v="27"/>
    <n v="18468"/>
    <n v="23027"/>
  </r>
  <r>
    <s v="ORD05502"/>
    <d v="2025-05-29T00:00:00"/>
    <x v="8"/>
    <x v="24"/>
    <x v="2"/>
    <s v="Italy"/>
    <x v="5"/>
    <x v="8"/>
    <n v="25143"/>
    <n v="31678"/>
  </r>
  <r>
    <s v="ORD05503"/>
    <d v="2025-03-13T00:00:00"/>
    <x v="9"/>
    <x v="19"/>
    <x v="2"/>
    <s v="South Africa"/>
    <x v="30"/>
    <x v="2"/>
    <n v="38987"/>
    <n v="42114"/>
  </r>
  <r>
    <s v="ORD05504"/>
    <d v="2025-11-07T00:00:00"/>
    <x v="2"/>
    <x v="51"/>
    <x v="0"/>
    <s v="Russia"/>
    <x v="2"/>
    <x v="11"/>
    <n v="34631"/>
    <n v="40145"/>
  </r>
  <r>
    <s v="ORD05505"/>
    <d v="2025-01-25T00:00:00"/>
    <x v="1"/>
    <x v="7"/>
    <x v="4"/>
    <s v="Singapore"/>
    <x v="18"/>
    <x v="9"/>
    <n v="33980"/>
    <n v="26695"/>
  </r>
  <r>
    <s v="ORD05506"/>
    <d v="2025-07-04T00:00:00"/>
    <x v="0"/>
    <x v="37"/>
    <x v="2"/>
    <s v="Italy"/>
    <x v="6"/>
    <x v="25"/>
    <n v="17625"/>
    <n v="17388"/>
  </r>
  <r>
    <s v="ORD05507"/>
    <d v="2025-09-21T00:00:00"/>
    <x v="3"/>
    <x v="8"/>
    <x v="2"/>
    <s v="Italy"/>
    <x v="6"/>
    <x v="1"/>
    <n v="21219"/>
    <n v="21470"/>
  </r>
  <r>
    <s v="ORD05508"/>
    <d v="2025-10-04T00:00:00"/>
    <x v="4"/>
    <x v="49"/>
    <x v="0"/>
    <s v="Italy"/>
    <x v="25"/>
    <x v="11"/>
    <n v="27153"/>
    <n v="26307"/>
  </r>
  <r>
    <s v="ORD05509"/>
    <d v="2025-07-12T00:00:00"/>
    <x v="0"/>
    <x v="47"/>
    <x v="6"/>
    <s v="Malaysia"/>
    <x v="38"/>
    <x v="29"/>
    <n v="19219"/>
    <n v="24677"/>
  </r>
  <r>
    <s v="ORD05510"/>
    <d v="2025-07-11T00:00:00"/>
    <x v="0"/>
    <x v="47"/>
    <x v="0"/>
    <s v="Russia"/>
    <x v="20"/>
    <x v="12"/>
    <n v="39893"/>
    <n v="35226"/>
  </r>
  <r>
    <s v="ORD05511"/>
    <d v="2025-04-16T00:00:00"/>
    <x v="7"/>
    <x v="20"/>
    <x v="6"/>
    <s v="Turkey"/>
    <x v="21"/>
    <x v="2"/>
    <n v="15334"/>
    <n v="18976"/>
  </r>
  <r>
    <s v="ORD05512"/>
    <d v="2025-08-02T00:00:00"/>
    <x v="11"/>
    <x v="12"/>
    <x v="4"/>
    <s v="Brazil"/>
    <x v="19"/>
    <x v="25"/>
    <n v="16222"/>
    <n v="13028"/>
  </r>
  <r>
    <s v="ORD05513"/>
    <d v="2025-03-07T00:00:00"/>
    <x v="9"/>
    <x v="35"/>
    <x v="6"/>
    <s v="USA"/>
    <x v="42"/>
    <x v="26"/>
    <n v="25607"/>
    <n v="29557"/>
  </r>
  <r>
    <s v="ORD05514"/>
    <d v="2025-06-11T00:00:00"/>
    <x v="5"/>
    <x v="40"/>
    <x v="6"/>
    <s v="Singapore"/>
    <x v="1"/>
    <x v="1"/>
    <n v="35554"/>
    <n v="27447"/>
  </r>
  <r>
    <s v="ORD05515"/>
    <d v="2025-05-23T00:00:00"/>
    <x v="8"/>
    <x v="26"/>
    <x v="3"/>
    <s v="Canada"/>
    <x v="36"/>
    <x v="14"/>
    <n v="38280"/>
    <n v="33106"/>
  </r>
  <r>
    <s v="ORD05516"/>
    <d v="2025-11-28T00:00:00"/>
    <x v="2"/>
    <x v="11"/>
    <x v="2"/>
    <s v="Australia"/>
    <x v="28"/>
    <x v="3"/>
    <n v="28203"/>
    <n v="24445"/>
  </r>
  <r>
    <s v="ORD05517"/>
    <d v="2025-11-07T00:00:00"/>
    <x v="2"/>
    <x v="51"/>
    <x v="6"/>
    <s v="Germany"/>
    <x v="1"/>
    <x v="6"/>
    <n v="31736"/>
    <n v="37168"/>
  </r>
  <r>
    <s v="ORD05518"/>
    <d v="2025-06-28T00:00:00"/>
    <x v="5"/>
    <x v="36"/>
    <x v="0"/>
    <s v="USA"/>
    <x v="8"/>
    <x v="10"/>
    <n v="34089"/>
    <n v="35750"/>
  </r>
  <r>
    <s v="ORD05519"/>
    <d v="2025-11-09T00:00:00"/>
    <x v="2"/>
    <x v="51"/>
    <x v="2"/>
    <s v="Mexico"/>
    <x v="42"/>
    <x v="21"/>
    <n v="32966"/>
    <n v="32883"/>
  </r>
  <r>
    <s v="ORD05520"/>
    <d v="2025-02-03T00:00:00"/>
    <x v="6"/>
    <x v="48"/>
    <x v="5"/>
    <s v="Thailand"/>
    <x v="39"/>
    <x v="7"/>
    <n v="24070"/>
    <n v="23636"/>
  </r>
  <r>
    <s v="ORD05521"/>
    <d v="2025-09-30T00:00:00"/>
    <x v="3"/>
    <x v="49"/>
    <x v="4"/>
    <s v="Thailand"/>
    <x v="13"/>
    <x v="17"/>
    <n v="25669"/>
    <n v="24321"/>
  </r>
  <r>
    <s v="ORD05522"/>
    <d v="2025-05-05T00:00:00"/>
    <x v="8"/>
    <x v="18"/>
    <x v="2"/>
    <s v="Russia"/>
    <x v="14"/>
    <x v="15"/>
    <n v="36157"/>
    <n v="38185"/>
  </r>
  <r>
    <s v="ORD05523"/>
    <d v="2025-04-05T00:00:00"/>
    <x v="7"/>
    <x v="34"/>
    <x v="6"/>
    <s v="UK"/>
    <x v="23"/>
    <x v="23"/>
    <n v="39431"/>
    <n v="45290"/>
  </r>
  <r>
    <s v="ORD05524"/>
    <d v="2025-10-15T00:00:00"/>
    <x v="4"/>
    <x v="10"/>
    <x v="3"/>
    <s v="Spain"/>
    <x v="9"/>
    <x v="26"/>
    <n v="18485"/>
    <n v="20648"/>
  </r>
  <r>
    <s v="ORD05525"/>
    <d v="2025-03-18T00:00:00"/>
    <x v="9"/>
    <x v="39"/>
    <x v="0"/>
    <s v="Thailand"/>
    <x v="22"/>
    <x v="3"/>
    <n v="27927"/>
    <n v="33989"/>
  </r>
  <r>
    <s v="ORD05526"/>
    <d v="2025-11-14T00:00:00"/>
    <x v="2"/>
    <x v="44"/>
    <x v="1"/>
    <s v="Malaysia"/>
    <x v="4"/>
    <x v="15"/>
    <n v="29702"/>
    <n v="30009"/>
  </r>
  <r>
    <s v="ORD05527"/>
    <d v="2025-09-06T00:00:00"/>
    <x v="3"/>
    <x v="4"/>
    <x v="5"/>
    <s v="India"/>
    <x v="44"/>
    <x v="4"/>
    <n v="19390"/>
    <n v="16616"/>
  </r>
  <r>
    <s v="ORD05528"/>
    <d v="2025-08-22T00:00:00"/>
    <x v="11"/>
    <x v="46"/>
    <x v="4"/>
    <s v="Brazil"/>
    <x v="31"/>
    <x v="12"/>
    <n v="38422"/>
    <n v="35457"/>
  </r>
  <r>
    <s v="ORD05529"/>
    <d v="2025-09-03T00:00:00"/>
    <x v="3"/>
    <x v="4"/>
    <x v="5"/>
    <s v="UAE"/>
    <x v="33"/>
    <x v="25"/>
    <n v="33012"/>
    <n v="24733"/>
  </r>
  <r>
    <s v="ORD05530"/>
    <d v="2025-06-13T00:00:00"/>
    <x v="5"/>
    <x v="40"/>
    <x v="4"/>
    <s v="Thailand"/>
    <x v="34"/>
    <x v="2"/>
    <n v="17750"/>
    <n v="20888"/>
  </r>
  <r>
    <s v="ORD05531"/>
    <d v="2025-12-28T00:00:00"/>
    <x v="10"/>
    <x v="42"/>
    <x v="5"/>
    <s v="France"/>
    <x v="24"/>
    <x v="15"/>
    <n v="31746"/>
    <n v="35045"/>
  </r>
  <r>
    <s v="ORD05532"/>
    <d v="2025-12-31T00:00:00"/>
    <x v="10"/>
    <x v="5"/>
    <x v="4"/>
    <s v="Italy"/>
    <x v="18"/>
    <x v="13"/>
    <n v="16456"/>
    <n v="21334"/>
  </r>
  <r>
    <s v="ORD05533"/>
    <d v="2025-02-13T00:00:00"/>
    <x v="6"/>
    <x v="29"/>
    <x v="0"/>
    <s v="Brazil"/>
    <x v="33"/>
    <x v="25"/>
    <n v="16777"/>
    <n v="13149"/>
  </r>
  <r>
    <s v="ORD05534"/>
    <d v="2025-10-02T00:00:00"/>
    <x v="4"/>
    <x v="49"/>
    <x v="5"/>
    <s v="China"/>
    <x v="49"/>
    <x v="24"/>
    <n v="30754"/>
    <n v="30644"/>
  </r>
  <r>
    <s v="ORD05535"/>
    <d v="2025-01-05T00:00:00"/>
    <x v="1"/>
    <x v="5"/>
    <x v="4"/>
    <s v="India"/>
    <x v="43"/>
    <x v="14"/>
    <n v="35935"/>
    <n v="31588"/>
  </r>
  <r>
    <s v="ORD05536"/>
    <d v="2025-04-27T00:00:00"/>
    <x v="7"/>
    <x v="38"/>
    <x v="6"/>
    <s v="Singapore"/>
    <x v="18"/>
    <x v="12"/>
    <n v="21623"/>
    <n v="26231"/>
  </r>
  <r>
    <s v="ORD05537"/>
    <d v="2025-05-25T00:00:00"/>
    <x v="8"/>
    <x v="26"/>
    <x v="0"/>
    <s v="Mexico"/>
    <x v="30"/>
    <x v="21"/>
    <n v="35788"/>
    <n v="40720"/>
  </r>
  <r>
    <s v="ORD05538"/>
    <d v="2025-11-04T00:00:00"/>
    <x v="2"/>
    <x v="51"/>
    <x v="3"/>
    <s v="Japan"/>
    <x v="22"/>
    <x v="15"/>
    <n v="19369"/>
    <n v="20439"/>
  </r>
  <r>
    <s v="ORD05539"/>
    <d v="2025-08-29T00:00:00"/>
    <x v="11"/>
    <x v="28"/>
    <x v="3"/>
    <s v="Thailand"/>
    <x v="39"/>
    <x v="23"/>
    <n v="36755"/>
    <n v="31640"/>
  </r>
  <r>
    <s v="ORD05540"/>
    <d v="2025-07-19T00:00:00"/>
    <x v="0"/>
    <x v="14"/>
    <x v="4"/>
    <s v="Germany"/>
    <x v="41"/>
    <x v="8"/>
    <n v="39905"/>
    <n v="34500"/>
  </r>
  <r>
    <s v="ORD05541"/>
    <d v="2025-08-01T00:00:00"/>
    <x v="11"/>
    <x v="12"/>
    <x v="3"/>
    <s v="UK"/>
    <x v="28"/>
    <x v="2"/>
    <n v="38380"/>
    <n v="31489"/>
  </r>
  <r>
    <s v="ORD05542"/>
    <d v="2025-03-08T00:00:00"/>
    <x v="9"/>
    <x v="35"/>
    <x v="0"/>
    <s v="France"/>
    <x v="49"/>
    <x v="25"/>
    <n v="37823"/>
    <n v="40106"/>
  </r>
  <r>
    <s v="ORD05543"/>
    <d v="2025-09-27T00:00:00"/>
    <x v="3"/>
    <x v="25"/>
    <x v="5"/>
    <s v="Russia"/>
    <x v="35"/>
    <x v="3"/>
    <n v="23939"/>
    <n v="26642"/>
  </r>
  <r>
    <s v="ORD05544"/>
    <d v="2025-08-20T00:00:00"/>
    <x v="11"/>
    <x v="46"/>
    <x v="6"/>
    <s v="UAE"/>
    <x v="25"/>
    <x v="14"/>
    <n v="29006"/>
    <n v="36663"/>
  </r>
  <r>
    <s v="ORD05545"/>
    <d v="2025-09-27T00:00:00"/>
    <x v="3"/>
    <x v="25"/>
    <x v="2"/>
    <s v="UAE"/>
    <x v="3"/>
    <x v="21"/>
    <n v="28778"/>
    <n v="20371"/>
  </r>
  <r>
    <s v="ORD05546"/>
    <d v="2025-07-15T00:00:00"/>
    <x v="0"/>
    <x v="14"/>
    <x v="3"/>
    <s v="Canada"/>
    <x v="14"/>
    <x v="20"/>
    <n v="21218"/>
    <n v="20753"/>
  </r>
  <r>
    <s v="ORD05547"/>
    <d v="2025-09-22T00:00:00"/>
    <x v="3"/>
    <x v="25"/>
    <x v="3"/>
    <s v="USA"/>
    <x v="38"/>
    <x v="23"/>
    <n v="33046"/>
    <n v="41292"/>
  </r>
  <r>
    <s v="ORD05548"/>
    <d v="2025-03-27T00:00:00"/>
    <x v="9"/>
    <x v="33"/>
    <x v="0"/>
    <s v="Australia"/>
    <x v="37"/>
    <x v="28"/>
    <n v="31007"/>
    <n v="28418"/>
  </r>
  <r>
    <s v="ORD05549"/>
    <d v="2025-01-26T00:00:00"/>
    <x v="1"/>
    <x v="7"/>
    <x v="1"/>
    <s v="USA"/>
    <x v="13"/>
    <x v="18"/>
    <n v="36042"/>
    <n v="30733"/>
  </r>
  <r>
    <s v="ORD05550"/>
    <d v="2025-05-20T00:00:00"/>
    <x v="8"/>
    <x v="26"/>
    <x v="3"/>
    <s v="France"/>
    <x v="40"/>
    <x v="13"/>
    <n v="29000"/>
    <n v="37264"/>
  </r>
  <r>
    <s v="ORD05551"/>
    <d v="2025-12-23T00:00:00"/>
    <x v="10"/>
    <x v="42"/>
    <x v="2"/>
    <s v="Russia"/>
    <x v="43"/>
    <x v="4"/>
    <n v="36873"/>
    <n v="33966"/>
  </r>
  <r>
    <s v="ORD05552"/>
    <d v="2025-12-30T00:00:00"/>
    <x v="10"/>
    <x v="5"/>
    <x v="6"/>
    <s v="UAE"/>
    <x v="32"/>
    <x v="18"/>
    <n v="23823"/>
    <n v="24307"/>
  </r>
  <r>
    <s v="ORD05553"/>
    <d v="2025-12-01T00:00:00"/>
    <x v="10"/>
    <x v="43"/>
    <x v="5"/>
    <s v="USA"/>
    <x v="18"/>
    <x v="6"/>
    <n v="34575"/>
    <n v="26960"/>
  </r>
  <r>
    <s v="ORD05554"/>
    <d v="2025-12-29T00:00:00"/>
    <x v="10"/>
    <x v="5"/>
    <x v="5"/>
    <s v="Spain"/>
    <x v="14"/>
    <x v="11"/>
    <n v="16198"/>
    <n v="16285"/>
  </r>
  <r>
    <s v="ORD05555"/>
    <d v="2025-04-11T00:00:00"/>
    <x v="7"/>
    <x v="16"/>
    <x v="4"/>
    <s v="Malaysia"/>
    <x v="5"/>
    <x v="0"/>
    <n v="33778"/>
    <n v="28120"/>
  </r>
  <r>
    <s v="ORD05556"/>
    <d v="2025-12-28T00:00:00"/>
    <x v="10"/>
    <x v="42"/>
    <x v="0"/>
    <s v="France"/>
    <x v="20"/>
    <x v="28"/>
    <n v="29967"/>
    <n v="22365"/>
  </r>
  <r>
    <s v="ORD05557"/>
    <d v="2025-05-17T00:00:00"/>
    <x v="8"/>
    <x v="17"/>
    <x v="6"/>
    <s v="Singapore"/>
    <x v="39"/>
    <x v="18"/>
    <n v="37820"/>
    <n v="48455"/>
  </r>
  <r>
    <s v="ORD05558"/>
    <d v="2025-06-23T00:00:00"/>
    <x v="5"/>
    <x v="36"/>
    <x v="5"/>
    <s v="South Africa"/>
    <x v="44"/>
    <x v="19"/>
    <n v="25695"/>
    <n v="30776"/>
  </r>
  <r>
    <s v="ORD05559"/>
    <d v="2025-08-20T00:00:00"/>
    <x v="11"/>
    <x v="46"/>
    <x v="4"/>
    <s v="China"/>
    <x v="21"/>
    <x v="9"/>
    <n v="34880"/>
    <n v="31652"/>
  </r>
  <r>
    <s v="ORD05560"/>
    <d v="2025-01-18T00:00:00"/>
    <x v="1"/>
    <x v="1"/>
    <x v="0"/>
    <s v="Japan"/>
    <x v="38"/>
    <x v="22"/>
    <n v="36645"/>
    <n v="44660"/>
  </r>
  <r>
    <s v="ORD05561"/>
    <d v="2025-09-15T00:00:00"/>
    <x v="3"/>
    <x v="8"/>
    <x v="6"/>
    <s v="Malaysia"/>
    <x v="36"/>
    <x v="27"/>
    <n v="35336"/>
    <n v="32222"/>
  </r>
  <r>
    <s v="ORD05562"/>
    <d v="2025-03-17T00:00:00"/>
    <x v="9"/>
    <x v="39"/>
    <x v="3"/>
    <s v="UAE"/>
    <x v="43"/>
    <x v="7"/>
    <n v="23837"/>
    <n v="27966"/>
  </r>
  <r>
    <s v="ORD05563"/>
    <d v="2025-11-29T00:00:00"/>
    <x v="2"/>
    <x v="11"/>
    <x v="5"/>
    <s v="Australia"/>
    <x v="25"/>
    <x v="17"/>
    <n v="22154"/>
    <n v="24166"/>
  </r>
  <r>
    <s v="ORD05564"/>
    <d v="2025-04-28T00:00:00"/>
    <x v="7"/>
    <x v="27"/>
    <x v="5"/>
    <s v="China"/>
    <x v="23"/>
    <x v="7"/>
    <n v="25964"/>
    <n v="21586"/>
  </r>
  <r>
    <s v="ORD05565"/>
    <d v="2025-06-04T00:00:00"/>
    <x v="5"/>
    <x v="41"/>
    <x v="3"/>
    <s v="Canada"/>
    <x v="9"/>
    <x v="0"/>
    <n v="15458"/>
    <n v="15828"/>
  </r>
  <r>
    <s v="ORD05566"/>
    <d v="2025-12-05T00:00:00"/>
    <x v="10"/>
    <x v="43"/>
    <x v="4"/>
    <s v="Brazil"/>
    <x v="48"/>
    <x v="22"/>
    <n v="38841"/>
    <n v="38924"/>
  </r>
  <r>
    <s v="ORD05567"/>
    <d v="2025-10-17T00:00:00"/>
    <x v="4"/>
    <x v="10"/>
    <x v="4"/>
    <s v="Germany"/>
    <x v="24"/>
    <x v="4"/>
    <n v="38733"/>
    <n v="41411"/>
  </r>
  <r>
    <s v="ORD05568"/>
    <d v="2025-12-15T00:00:00"/>
    <x v="10"/>
    <x v="21"/>
    <x v="3"/>
    <s v="South Africa"/>
    <x v="36"/>
    <x v="16"/>
    <n v="34601"/>
    <n v="43080"/>
  </r>
  <r>
    <s v="ORD05569"/>
    <d v="2025-11-12T00:00:00"/>
    <x v="2"/>
    <x v="44"/>
    <x v="4"/>
    <s v="Turkey"/>
    <x v="16"/>
    <x v="9"/>
    <n v="32925"/>
    <n v="37940"/>
  </r>
  <r>
    <s v="ORD05570"/>
    <d v="2025-04-19T00:00:00"/>
    <x v="7"/>
    <x v="20"/>
    <x v="3"/>
    <s v="Russia"/>
    <x v="1"/>
    <x v="28"/>
    <n v="15301"/>
    <n v="12970"/>
  </r>
  <r>
    <s v="ORD05571"/>
    <d v="2025-05-09T00:00:00"/>
    <x v="8"/>
    <x v="18"/>
    <x v="2"/>
    <s v="Malaysia"/>
    <x v="36"/>
    <x v="9"/>
    <n v="30921"/>
    <n v="30397"/>
  </r>
  <r>
    <s v="ORD05572"/>
    <d v="2025-05-04T00:00:00"/>
    <x v="8"/>
    <x v="27"/>
    <x v="2"/>
    <s v="Italy"/>
    <x v="8"/>
    <x v="21"/>
    <n v="26934"/>
    <n v="20525"/>
  </r>
  <r>
    <s v="ORD05573"/>
    <d v="2025-04-28T00:00:00"/>
    <x v="7"/>
    <x v="27"/>
    <x v="4"/>
    <s v="Italy"/>
    <x v="31"/>
    <x v="4"/>
    <n v="29254"/>
    <n v="34383"/>
  </r>
  <r>
    <s v="ORD05574"/>
    <d v="2025-11-11T00:00:00"/>
    <x v="2"/>
    <x v="44"/>
    <x v="4"/>
    <s v="Australia"/>
    <x v="23"/>
    <x v="4"/>
    <n v="25727"/>
    <n v="23335"/>
  </r>
  <r>
    <s v="ORD05575"/>
    <d v="2025-03-04T00:00:00"/>
    <x v="9"/>
    <x v="35"/>
    <x v="6"/>
    <s v="USA"/>
    <x v="12"/>
    <x v="9"/>
    <n v="20957"/>
    <n v="16104"/>
  </r>
  <r>
    <s v="ORD05576"/>
    <d v="2025-11-10T00:00:00"/>
    <x v="2"/>
    <x v="44"/>
    <x v="1"/>
    <s v="USA"/>
    <x v="43"/>
    <x v="0"/>
    <n v="26292"/>
    <n v="19117"/>
  </r>
  <r>
    <s v="ORD05577"/>
    <d v="2025-04-02T00:00:00"/>
    <x v="7"/>
    <x v="34"/>
    <x v="2"/>
    <s v="UAE"/>
    <x v="3"/>
    <x v="24"/>
    <n v="17899"/>
    <n v="21007"/>
  </r>
  <r>
    <s v="ORD05578"/>
    <d v="2025-07-17T00:00:00"/>
    <x v="0"/>
    <x v="14"/>
    <x v="5"/>
    <s v="Turkey"/>
    <x v="40"/>
    <x v="5"/>
    <n v="33340"/>
    <n v="31398"/>
  </r>
  <r>
    <s v="ORD05579"/>
    <d v="2025-01-14T00:00:00"/>
    <x v="1"/>
    <x v="1"/>
    <x v="1"/>
    <s v="Spain"/>
    <x v="16"/>
    <x v="12"/>
    <n v="39328"/>
    <n v="31312"/>
  </r>
  <r>
    <s v="ORD05580"/>
    <d v="2025-05-25T00:00:00"/>
    <x v="8"/>
    <x v="26"/>
    <x v="6"/>
    <s v="UK"/>
    <x v="23"/>
    <x v="26"/>
    <n v="30784"/>
    <n v="35386"/>
  </r>
  <r>
    <s v="ORD05581"/>
    <d v="2025-08-28T00:00:00"/>
    <x v="11"/>
    <x v="28"/>
    <x v="1"/>
    <s v="Spain"/>
    <x v="38"/>
    <x v="24"/>
    <n v="30588"/>
    <n v="32557"/>
  </r>
  <r>
    <s v="ORD05582"/>
    <d v="2025-11-17T00:00:00"/>
    <x v="2"/>
    <x v="9"/>
    <x v="2"/>
    <s v="Russia"/>
    <x v="3"/>
    <x v="26"/>
    <n v="29480"/>
    <n v="24584"/>
  </r>
  <r>
    <s v="ORD05583"/>
    <d v="2025-08-05T00:00:00"/>
    <x v="11"/>
    <x v="23"/>
    <x v="2"/>
    <s v="Australia"/>
    <x v="4"/>
    <x v="16"/>
    <n v="37142"/>
    <n v="43884"/>
  </r>
  <r>
    <s v="ORD05584"/>
    <d v="2025-04-22T00:00:00"/>
    <x v="7"/>
    <x v="38"/>
    <x v="0"/>
    <s v="Germany"/>
    <x v="39"/>
    <x v="29"/>
    <n v="38014"/>
    <n v="34926"/>
  </r>
  <r>
    <s v="ORD05585"/>
    <d v="2025-05-04T00:00:00"/>
    <x v="8"/>
    <x v="27"/>
    <x v="2"/>
    <s v="Spain"/>
    <x v="43"/>
    <x v="29"/>
    <n v="34009"/>
    <n v="29393"/>
  </r>
  <r>
    <s v="ORD05586"/>
    <d v="2025-03-29T00:00:00"/>
    <x v="9"/>
    <x v="33"/>
    <x v="2"/>
    <s v="Turkey"/>
    <x v="14"/>
    <x v="20"/>
    <n v="15810"/>
    <n v="18433"/>
  </r>
  <r>
    <s v="ORD05587"/>
    <d v="2025-08-27T00:00:00"/>
    <x v="11"/>
    <x v="28"/>
    <x v="6"/>
    <s v="Mexico"/>
    <x v="7"/>
    <x v="7"/>
    <n v="24719"/>
    <n v="31063"/>
  </r>
  <r>
    <s v="ORD05588"/>
    <d v="2025-07-13T00:00:00"/>
    <x v="0"/>
    <x v="47"/>
    <x v="0"/>
    <s v="Germany"/>
    <x v="34"/>
    <x v="14"/>
    <n v="39293"/>
    <n v="50457"/>
  </r>
  <r>
    <s v="ORD05589"/>
    <d v="2025-11-30T00:00:00"/>
    <x v="2"/>
    <x v="11"/>
    <x v="0"/>
    <s v="Brazil"/>
    <x v="46"/>
    <x v="5"/>
    <n v="21405"/>
    <n v="24722"/>
  </r>
  <r>
    <s v="ORD05590"/>
    <d v="2025-08-13T00:00:00"/>
    <x v="11"/>
    <x v="30"/>
    <x v="6"/>
    <s v="Canada"/>
    <x v="44"/>
    <x v="20"/>
    <n v="36642"/>
    <n v="35714"/>
  </r>
  <r>
    <s v="ORD05591"/>
    <d v="2025-01-20T00:00:00"/>
    <x v="1"/>
    <x v="7"/>
    <x v="1"/>
    <s v="Mexico"/>
    <x v="17"/>
    <x v="27"/>
    <n v="19819"/>
    <n v="17881"/>
  </r>
  <r>
    <s v="ORD05592"/>
    <d v="2025-07-09T00:00:00"/>
    <x v="0"/>
    <x v="47"/>
    <x v="2"/>
    <s v="India"/>
    <x v="19"/>
    <x v="12"/>
    <n v="38706"/>
    <n v="36785"/>
  </r>
  <r>
    <s v="ORD05593"/>
    <d v="2025-04-19T00:00:00"/>
    <x v="7"/>
    <x v="20"/>
    <x v="3"/>
    <s v="India"/>
    <x v="5"/>
    <x v="16"/>
    <n v="35126"/>
    <n v="28059"/>
  </r>
  <r>
    <s v="ORD05594"/>
    <d v="2025-12-03T00:00:00"/>
    <x v="10"/>
    <x v="43"/>
    <x v="5"/>
    <s v="Russia"/>
    <x v="7"/>
    <x v="3"/>
    <n v="39602"/>
    <n v="48722"/>
  </r>
  <r>
    <s v="ORD05595"/>
    <d v="2025-11-26T00:00:00"/>
    <x v="2"/>
    <x v="11"/>
    <x v="1"/>
    <s v="USA"/>
    <x v="31"/>
    <x v="0"/>
    <n v="36806"/>
    <n v="29595"/>
  </r>
  <r>
    <s v="ORD05596"/>
    <d v="2025-05-04T00:00:00"/>
    <x v="8"/>
    <x v="27"/>
    <x v="1"/>
    <s v="Canada"/>
    <x v="44"/>
    <x v="10"/>
    <n v="33762"/>
    <n v="40735"/>
  </r>
  <r>
    <s v="ORD05597"/>
    <d v="2025-04-21T00:00:00"/>
    <x v="7"/>
    <x v="38"/>
    <x v="1"/>
    <s v="Brazil"/>
    <x v="10"/>
    <x v="5"/>
    <n v="38661"/>
    <n v="29029"/>
  </r>
  <r>
    <s v="ORD05598"/>
    <d v="2025-10-03T00:00:00"/>
    <x v="4"/>
    <x v="49"/>
    <x v="1"/>
    <s v="South Africa"/>
    <x v="43"/>
    <x v="27"/>
    <n v="33364"/>
    <n v="25701"/>
  </r>
  <r>
    <s v="ORD05599"/>
    <d v="2025-09-06T00:00:00"/>
    <x v="3"/>
    <x v="4"/>
    <x v="5"/>
    <s v="China"/>
    <x v="36"/>
    <x v="24"/>
    <n v="31867"/>
    <n v="25885"/>
  </r>
  <r>
    <s v="ORD05600"/>
    <d v="2025-02-08T00:00:00"/>
    <x v="6"/>
    <x v="48"/>
    <x v="6"/>
    <s v="Thailand"/>
    <x v="6"/>
    <x v="5"/>
    <n v="18145"/>
    <n v="15459"/>
  </r>
  <r>
    <s v="ORD05601"/>
    <d v="2025-07-24T00:00:00"/>
    <x v="0"/>
    <x v="0"/>
    <x v="5"/>
    <s v="Germany"/>
    <x v="41"/>
    <x v="11"/>
    <n v="36851"/>
    <n v="36634"/>
  </r>
  <r>
    <s v="ORD05602"/>
    <d v="2025-07-17T00:00:00"/>
    <x v="0"/>
    <x v="14"/>
    <x v="4"/>
    <s v="France"/>
    <x v="43"/>
    <x v="5"/>
    <n v="26872"/>
    <n v="23519"/>
  </r>
  <r>
    <s v="ORD05603"/>
    <d v="2025-10-22T00:00:00"/>
    <x v="4"/>
    <x v="50"/>
    <x v="6"/>
    <s v="Brazil"/>
    <x v="28"/>
    <x v="29"/>
    <n v="39314"/>
    <n v="48314"/>
  </r>
  <r>
    <s v="ORD05604"/>
    <d v="2025-06-26T00:00:00"/>
    <x v="5"/>
    <x v="36"/>
    <x v="6"/>
    <s v="Italy"/>
    <x v="16"/>
    <x v="1"/>
    <n v="25784"/>
    <n v="32832"/>
  </r>
  <r>
    <s v="ORD05605"/>
    <d v="2025-06-27T00:00:00"/>
    <x v="5"/>
    <x v="36"/>
    <x v="3"/>
    <s v="Brazil"/>
    <x v="19"/>
    <x v="16"/>
    <n v="32272"/>
    <n v="40357"/>
  </r>
  <r>
    <s v="ORD05606"/>
    <d v="2025-10-19T00:00:00"/>
    <x v="4"/>
    <x v="10"/>
    <x v="2"/>
    <s v="India"/>
    <x v="35"/>
    <x v="14"/>
    <n v="23912"/>
    <n v="20924"/>
  </r>
  <r>
    <s v="ORD05607"/>
    <d v="2025-11-25T00:00:00"/>
    <x v="2"/>
    <x v="11"/>
    <x v="3"/>
    <s v="Turkey"/>
    <x v="21"/>
    <x v="5"/>
    <n v="15714"/>
    <n v="16988"/>
  </r>
  <r>
    <s v="ORD05608"/>
    <d v="2025-12-27T00:00:00"/>
    <x v="10"/>
    <x v="42"/>
    <x v="0"/>
    <s v="France"/>
    <x v="30"/>
    <x v="20"/>
    <n v="37449"/>
    <n v="31784"/>
  </r>
  <r>
    <s v="ORD05609"/>
    <d v="2025-09-13T00:00:00"/>
    <x v="3"/>
    <x v="31"/>
    <x v="5"/>
    <s v="Thailand"/>
    <x v="7"/>
    <x v="6"/>
    <n v="16664"/>
    <n v="15631"/>
  </r>
  <r>
    <s v="ORD05610"/>
    <d v="2025-09-26T00:00:00"/>
    <x v="3"/>
    <x v="25"/>
    <x v="6"/>
    <s v="Malaysia"/>
    <x v="11"/>
    <x v="18"/>
    <n v="17390"/>
    <n v="17852"/>
  </r>
  <r>
    <s v="ORD05611"/>
    <d v="2025-01-04T00:00:00"/>
    <x v="1"/>
    <x v="5"/>
    <x v="6"/>
    <s v="Thailand"/>
    <x v="10"/>
    <x v="15"/>
    <n v="21562"/>
    <n v="23119"/>
  </r>
  <r>
    <s v="ORD05612"/>
    <d v="2025-02-28T00:00:00"/>
    <x v="6"/>
    <x v="22"/>
    <x v="6"/>
    <s v="Thailand"/>
    <x v="43"/>
    <x v="18"/>
    <n v="39817"/>
    <n v="48300"/>
  </r>
  <r>
    <s v="ORD05613"/>
    <d v="2025-02-10T00:00:00"/>
    <x v="6"/>
    <x v="29"/>
    <x v="1"/>
    <s v="Canada"/>
    <x v="7"/>
    <x v="11"/>
    <n v="37806"/>
    <n v="39724"/>
  </r>
  <r>
    <s v="ORD05614"/>
    <d v="2025-09-22T00:00:00"/>
    <x v="3"/>
    <x v="25"/>
    <x v="1"/>
    <s v="Thailand"/>
    <x v="32"/>
    <x v="17"/>
    <n v="32039"/>
    <n v="30873"/>
  </r>
  <r>
    <s v="ORD05615"/>
    <d v="2025-07-27T00:00:00"/>
    <x v="0"/>
    <x v="0"/>
    <x v="2"/>
    <s v="Malaysia"/>
    <x v="29"/>
    <x v="27"/>
    <n v="18069"/>
    <n v="22694"/>
  </r>
  <r>
    <s v="ORD05616"/>
    <d v="2025-06-27T00:00:00"/>
    <x v="5"/>
    <x v="36"/>
    <x v="1"/>
    <s v="Singapore"/>
    <x v="8"/>
    <x v="27"/>
    <n v="23631"/>
    <n v="20592"/>
  </r>
  <r>
    <s v="ORD05617"/>
    <d v="2025-04-25T00:00:00"/>
    <x v="7"/>
    <x v="38"/>
    <x v="0"/>
    <s v="Thailand"/>
    <x v="11"/>
    <x v="13"/>
    <n v="18282"/>
    <n v="18490"/>
  </r>
  <r>
    <s v="ORD05618"/>
    <d v="2025-11-03T00:00:00"/>
    <x v="2"/>
    <x v="51"/>
    <x v="2"/>
    <s v="China"/>
    <x v="34"/>
    <x v="2"/>
    <n v="17655"/>
    <n v="21179"/>
  </r>
  <r>
    <s v="ORD05619"/>
    <d v="2025-11-28T00:00:00"/>
    <x v="2"/>
    <x v="11"/>
    <x v="2"/>
    <s v="India"/>
    <x v="37"/>
    <x v="17"/>
    <n v="32830"/>
    <n v="38117"/>
  </r>
  <r>
    <s v="ORD05620"/>
    <d v="2025-08-31T00:00:00"/>
    <x v="11"/>
    <x v="28"/>
    <x v="4"/>
    <s v="UAE"/>
    <x v="15"/>
    <x v="26"/>
    <n v="17094"/>
    <n v="13398"/>
  </r>
  <r>
    <s v="ORD05621"/>
    <d v="2025-12-09T00:00:00"/>
    <x v="10"/>
    <x v="32"/>
    <x v="4"/>
    <s v="China"/>
    <x v="33"/>
    <x v="12"/>
    <n v="26649"/>
    <n v="21517"/>
  </r>
  <r>
    <s v="ORD05622"/>
    <d v="2025-08-13T00:00:00"/>
    <x v="11"/>
    <x v="30"/>
    <x v="1"/>
    <s v="China"/>
    <x v="22"/>
    <x v="16"/>
    <n v="16284"/>
    <n v="17394"/>
  </r>
  <r>
    <s v="ORD05623"/>
    <d v="2025-06-09T00:00:00"/>
    <x v="5"/>
    <x v="40"/>
    <x v="5"/>
    <s v="Japan"/>
    <x v="9"/>
    <x v="16"/>
    <n v="32095"/>
    <n v="33815"/>
  </r>
  <r>
    <s v="ORD05624"/>
    <d v="2025-03-05T00:00:00"/>
    <x v="9"/>
    <x v="35"/>
    <x v="2"/>
    <s v="Germany"/>
    <x v="41"/>
    <x v="15"/>
    <n v="35346"/>
    <n v="35838"/>
  </r>
  <r>
    <s v="ORD05625"/>
    <d v="2025-11-02T00:00:00"/>
    <x v="2"/>
    <x v="2"/>
    <x v="1"/>
    <s v="Thailand"/>
    <x v="26"/>
    <x v="15"/>
    <n v="18745"/>
    <n v="23706"/>
  </r>
  <r>
    <s v="ORD05626"/>
    <d v="2025-06-30T00:00:00"/>
    <x v="5"/>
    <x v="37"/>
    <x v="1"/>
    <s v="Singapore"/>
    <x v="32"/>
    <x v="9"/>
    <n v="28128"/>
    <n v="25429"/>
  </r>
  <r>
    <s v="ORD05627"/>
    <d v="2025-12-06T00:00:00"/>
    <x v="10"/>
    <x v="43"/>
    <x v="3"/>
    <s v="UAE"/>
    <x v="20"/>
    <x v="15"/>
    <n v="26721"/>
    <n v="32306"/>
  </r>
  <r>
    <s v="ORD05628"/>
    <d v="2025-07-14T00:00:00"/>
    <x v="0"/>
    <x v="14"/>
    <x v="4"/>
    <s v="Spain"/>
    <x v="38"/>
    <x v="27"/>
    <n v="16492"/>
    <n v="13525"/>
  </r>
  <r>
    <s v="ORD05629"/>
    <d v="2025-11-22T00:00:00"/>
    <x v="2"/>
    <x v="9"/>
    <x v="5"/>
    <s v="India"/>
    <x v="49"/>
    <x v="0"/>
    <n v="25917"/>
    <n v="27712"/>
  </r>
  <r>
    <s v="ORD05630"/>
    <d v="2025-05-07T00:00:00"/>
    <x v="8"/>
    <x v="18"/>
    <x v="6"/>
    <s v="Singapore"/>
    <x v="0"/>
    <x v="23"/>
    <n v="18699"/>
    <n v="16532"/>
  </r>
  <r>
    <s v="ORD05631"/>
    <d v="2025-10-16T00:00:00"/>
    <x v="4"/>
    <x v="10"/>
    <x v="3"/>
    <s v="Russia"/>
    <x v="44"/>
    <x v="26"/>
    <n v="32123"/>
    <n v="22835"/>
  </r>
  <r>
    <s v="ORD05632"/>
    <d v="2025-09-02T00:00:00"/>
    <x v="3"/>
    <x v="4"/>
    <x v="6"/>
    <s v="Thailand"/>
    <x v="44"/>
    <x v="0"/>
    <n v="22162"/>
    <n v="24644"/>
  </r>
  <r>
    <s v="ORD05633"/>
    <d v="2025-04-18T00:00:00"/>
    <x v="7"/>
    <x v="20"/>
    <x v="5"/>
    <s v="Japan"/>
    <x v="33"/>
    <x v="8"/>
    <n v="37368"/>
    <n v="35840"/>
  </r>
  <r>
    <s v="ORD05634"/>
    <d v="2025-05-02T00:00:00"/>
    <x v="8"/>
    <x v="27"/>
    <x v="3"/>
    <s v="Spain"/>
    <x v="2"/>
    <x v="21"/>
    <n v="26007"/>
    <n v="27206"/>
  </r>
  <r>
    <s v="ORD05635"/>
    <d v="2025-03-06T00:00:00"/>
    <x v="9"/>
    <x v="35"/>
    <x v="0"/>
    <s v="India"/>
    <x v="46"/>
    <x v="17"/>
    <n v="39948"/>
    <n v="38231"/>
  </r>
  <r>
    <s v="ORD05636"/>
    <d v="2025-04-11T00:00:00"/>
    <x v="7"/>
    <x v="16"/>
    <x v="1"/>
    <s v="Singapore"/>
    <x v="42"/>
    <x v="6"/>
    <n v="17622"/>
    <n v="18412"/>
  </r>
  <r>
    <s v="ORD05637"/>
    <d v="2025-01-18T00:00:00"/>
    <x v="1"/>
    <x v="1"/>
    <x v="4"/>
    <s v="Singapore"/>
    <x v="34"/>
    <x v="16"/>
    <n v="32741"/>
    <n v="35460"/>
  </r>
  <r>
    <s v="ORD05638"/>
    <d v="2025-03-19T00:00:00"/>
    <x v="9"/>
    <x v="39"/>
    <x v="2"/>
    <s v="India"/>
    <x v="21"/>
    <x v="21"/>
    <n v="21836"/>
    <n v="18858"/>
  </r>
  <r>
    <s v="ORD05639"/>
    <d v="2025-05-22T00:00:00"/>
    <x v="8"/>
    <x v="26"/>
    <x v="0"/>
    <s v="Germany"/>
    <x v="45"/>
    <x v="21"/>
    <n v="21467"/>
    <n v="24173"/>
  </r>
  <r>
    <s v="ORD05640"/>
    <d v="2025-06-24T00:00:00"/>
    <x v="5"/>
    <x v="36"/>
    <x v="5"/>
    <s v="Singapore"/>
    <x v="20"/>
    <x v="19"/>
    <n v="15225"/>
    <n v="17043"/>
  </r>
  <r>
    <s v="ORD05641"/>
    <d v="2025-12-07T00:00:00"/>
    <x v="10"/>
    <x v="43"/>
    <x v="4"/>
    <s v="UK"/>
    <x v="30"/>
    <x v="20"/>
    <n v="36191"/>
    <n v="34091"/>
  </r>
  <r>
    <s v="ORD05642"/>
    <d v="2025-03-10T00:00:00"/>
    <x v="9"/>
    <x v="19"/>
    <x v="2"/>
    <s v="Mexico"/>
    <x v="43"/>
    <x v="7"/>
    <n v="30736"/>
    <n v="25325"/>
  </r>
  <r>
    <s v="ORD05643"/>
    <d v="2025-07-02T00:00:00"/>
    <x v="0"/>
    <x v="37"/>
    <x v="3"/>
    <s v="Germany"/>
    <x v="3"/>
    <x v="0"/>
    <n v="18343"/>
    <n v="18386"/>
  </r>
  <r>
    <s v="ORD05644"/>
    <d v="2025-07-29T00:00:00"/>
    <x v="0"/>
    <x v="12"/>
    <x v="0"/>
    <s v="Italy"/>
    <x v="40"/>
    <x v="2"/>
    <n v="24044"/>
    <n v="28004"/>
  </r>
  <r>
    <s v="ORD05645"/>
    <d v="2025-03-29T00:00:00"/>
    <x v="9"/>
    <x v="33"/>
    <x v="2"/>
    <s v="France"/>
    <x v="48"/>
    <x v="19"/>
    <n v="27458"/>
    <n v="20292"/>
  </r>
  <r>
    <s v="ORD05646"/>
    <d v="2025-06-17T00:00:00"/>
    <x v="5"/>
    <x v="13"/>
    <x v="4"/>
    <s v="USA"/>
    <x v="48"/>
    <x v="24"/>
    <n v="29154"/>
    <n v="21744"/>
  </r>
  <r>
    <s v="ORD05647"/>
    <d v="2025-09-22T00:00:00"/>
    <x v="3"/>
    <x v="25"/>
    <x v="1"/>
    <s v="Brazil"/>
    <x v="18"/>
    <x v="13"/>
    <n v="35754"/>
    <n v="45935"/>
  </r>
  <r>
    <s v="ORD05648"/>
    <d v="2025-06-24T00:00:00"/>
    <x v="5"/>
    <x v="36"/>
    <x v="5"/>
    <s v="Thailand"/>
    <x v="13"/>
    <x v="29"/>
    <n v="39684"/>
    <n v="48297"/>
  </r>
  <r>
    <s v="ORD05649"/>
    <d v="2025-05-22T00:00:00"/>
    <x v="8"/>
    <x v="26"/>
    <x v="2"/>
    <s v="Italy"/>
    <x v="27"/>
    <x v="21"/>
    <n v="20524"/>
    <n v="20468"/>
  </r>
  <r>
    <s v="ORD05650"/>
    <d v="2025-07-07T00:00:00"/>
    <x v="0"/>
    <x v="47"/>
    <x v="1"/>
    <s v="Russia"/>
    <x v="9"/>
    <x v="22"/>
    <n v="34144"/>
    <n v="26391"/>
  </r>
  <r>
    <s v="ORD05651"/>
    <d v="2025-10-06T00:00:00"/>
    <x v="4"/>
    <x v="45"/>
    <x v="6"/>
    <s v="Brazil"/>
    <x v="31"/>
    <x v="11"/>
    <n v="28792"/>
    <n v="22982"/>
  </r>
  <r>
    <s v="ORD05652"/>
    <d v="2025-03-21T00:00:00"/>
    <x v="9"/>
    <x v="39"/>
    <x v="2"/>
    <s v="UAE"/>
    <x v="14"/>
    <x v="10"/>
    <n v="15620"/>
    <n v="19174"/>
  </r>
  <r>
    <s v="ORD05653"/>
    <d v="2025-06-11T00:00:00"/>
    <x v="5"/>
    <x v="40"/>
    <x v="0"/>
    <s v="Mexico"/>
    <x v="22"/>
    <x v="22"/>
    <n v="16355"/>
    <n v="19145"/>
  </r>
  <r>
    <s v="ORD05654"/>
    <d v="2025-11-14T00:00:00"/>
    <x v="2"/>
    <x v="44"/>
    <x v="2"/>
    <s v="China"/>
    <x v="44"/>
    <x v="4"/>
    <n v="32901"/>
    <n v="39663"/>
  </r>
  <r>
    <s v="ORD05655"/>
    <d v="2025-09-30T00:00:00"/>
    <x v="3"/>
    <x v="49"/>
    <x v="0"/>
    <s v="Japan"/>
    <x v="25"/>
    <x v="4"/>
    <n v="24544"/>
    <n v="25402"/>
  </r>
  <r>
    <s v="ORD05656"/>
    <d v="2025-09-11T00:00:00"/>
    <x v="3"/>
    <x v="31"/>
    <x v="2"/>
    <s v="Germany"/>
    <x v="22"/>
    <x v="24"/>
    <n v="36949"/>
    <n v="32560"/>
  </r>
  <r>
    <s v="ORD05657"/>
    <d v="2025-09-08T00:00:00"/>
    <x v="3"/>
    <x v="31"/>
    <x v="5"/>
    <s v="China"/>
    <x v="1"/>
    <x v="13"/>
    <n v="24530"/>
    <n v="27458"/>
  </r>
  <r>
    <s v="ORD05658"/>
    <d v="2025-01-04T00:00:00"/>
    <x v="1"/>
    <x v="5"/>
    <x v="3"/>
    <s v="Thailand"/>
    <x v="49"/>
    <x v="22"/>
    <n v="38751"/>
    <n v="49077"/>
  </r>
  <r>
    <s v="ORD05659"/>
    <d v="2025-02-15T00:00:00"/>
    <x v="6"/>
    <x v="29"/>
    <x v="3"/>
    <s v="China"/>
    <x v="33"/>
    <x v="5"/>
    <n v="31544"/>
    <n v="27320"/>
  </r>
  <r>
    <s v="ORD05660"/>
    <d v="2025-04-17T00:00:00"/>
    <x v="7"/>
    <x v="20"/>
    <x v="6"/>
    <s v="Brazil"/>
    <x v="15"/>
    <x v="9"/>
    <n v="20614"/>
    <n v="26096"/>
  </r>
  <r>
    <s v="ORD05661"/>
    <d v="2025-01-17T00:00:00"/>
    <x v="1"/>
    <x v="1"/>
    <x v="3"/>
    <s v="Thailand"/>
    <x v="26"/>
    <x v="6"/>
    <n v="32859"/>
    <n v="34303"/>
  </r>
  <r>
    <s v="ORD05662"/>
    <d v="2025-08-06T00:00:00"/>
    <x v="11"/>
    <x v="23"/>
    <x v="3"/>
    <s v="Germany"/>
    <x v="15"/>
    <x v="21"/>
    <n v="23375"/>
    <n v="18432"/>
  </r>
  <r>
    <s v="ORD05663"/>
    <d v="2025-03-07T00:00:00"/>
    <x v="9"/>
    <x v="35"/>
    <x v="5"/>
    <s v="India"/>
    <x v="42"/>
    <x v="12"/>
    <n v="17587"/>
    <n v="20032"/>
  </r>
  <r>
    <s v="ORD05664"/>
    <d v="2025-07-16T00:00:00"/>
    <x v="0"/>
    <x v="14"/>
    <x v="3"/>
    <s v="UAE"/>
    <x v="43"/>
    <x v="10"/>
    <n v="20252"/>
    <n v="17044"/>
  </r>
  <r>
    <s v="ORD05665"/>
    <d v="2025-09-07T00:00:00"/>
    <x v="3"/>
    <x v="4"/>
    <x v="1"/>
    <s v="UK"/>
    <x v="28"/>
    <x v="7"/>
    <n v="22040"/>
    <n v="15645"/>
  </r>
  <r>
    <s v="ORD05666"/>
    <d v="2025-01-31T00:00:00"/>
    <x v="1"/>
    <x v="3"/>
    <x v="4"/>
    <s v="France"/>
    <x v="16"/>
    <x v="22"/>
    <n v="20598"/>
    <n v="21884"/>
  </r>
  <r>
    <s v="ORD05667"/>
    <d v="2025-02-03T00:00:00"/>
    <x v="6"/>
    <x v="48"/>
    <x v="5"/>
    <s v="Russia"/>
    <x v="44"/>
    <x v="16"/>
    <n v="35982"/>
    <n v="27525"/>
  </r>
  <r>
    <s v="ORD05668"/>
    <d v="2025-06-26T00:00:00"/>
    <x v="5"/>
    <x v="36"/>
    <x v="2"/>
    <s v="France"/>
    <x v="20"/>
    <x v="24"/>
    <n v="19798"/>
    <n v="14595"/>
  </r>
  <r>
    <s v="ORD05669"/>
    <d v="2025-02-18T00:00:00"/>
    <x v="6"/>
    <x v="15"/>
    <x v="1"/>
    <s v="Australia"/>
    <x v="10"/>
    <x v="6"/>
    <n v="15956"/>
    <n v="11974"/>
  </r>
  <r>
    <s v="ORD05670"/>
    <d v="2025-03-22T00:00:00"/>
    <x v="9"/>
    <x v="39"/>
    <x v="5"/>
    <s v="France"/>
    <x v="5"/>
    <x v="4"/>
    <n v="25853"/>
    <n v="27569"/>
  </r>
  <r>
    <s v="ORD05671"/>
    <d v="2025-06-07T00:00:00"/>
    <x v="5"/>
    <x v="41"/>
    <x v="5"/>
    <s v="Spain"/>
    <x v="24"/>
    <x v="27"/>
    <n v="29547"/>
    <n v="32392"/>
  </r>
  <r>
    <s v="ORD05672"/>
    <d v="2025-10-09T00:00:00"/>
    <x v="4"/>
    <x v="45"/>
    <x v="5"/>
    <s v="China"/>
    <x v="23"/>
    <x v="21"/>
    <n v="26765"/>
    <n v="19511"/>
  </r>
  <r>
    <s v="ORD05673"/>
    <d v="2025-03-14T00:00:00"/>
    <x v="9"/>
    <x v="19"/>
    <x v="1"/>
    <s v="Malaysia"/>
    <x v="37"/>
    <x v="17"/>
    <n v="33165"/>
    <n v="33655"/>
  </r>
  <r>
    <s v="ORD05674"/>
    <d v="2025-12-20T00:00:00"/>
    <x v="10"/>
    <x v="21"/>
    <x v="1"/>
    <s v="South Africa"/>
    <x v="44"/>
    <x v="16"/>
    <n v="24267"/>
    <n v="20702"/>
  </r>
  <r>
    <s v="ORD05675"/>
    <d v="2025-09-27T00:00:00"/>
    <x v="3"/>
    <x v="25"/>
    <x v="2"/>
    <s v="Mexico"/>
    <x v="9"/>
    <x v="0"/>
    <n v="34919"/>
    <n v="39935"/>
  </r>
  <r>
    <s v="ORD05676"/>
    <d v="2025-11-26T00:00:00"/>
    <x v="2"/>
    <x v="11"/>
    <x v="2"/>
    <s v="Australia"/>
    <x v="39"/>
    <x v="7"/>
    <n v="31137"/>
    <n v="24290"/>
  </r>
  <r>
    <s v="ORD05677"/>
    <d v="2025-09-02T00:00:00"/>
    <x v="3"/>
    <x v="4"/>
    <x v="0"/>
    <s v="Japan"/>
    <x v="26"/>
    <x v="14"/>
    <n v="36923"/>
    <n v="35050"/>
  </r>
  <r>
    <s v="ORD05678"/>
    <d v="2025-12-01T00:00:00"/>
    <x v="10"/>
    <x v="43"/>
    <x v="3"/>
    <s v="Thailand"/>
    <x v="8"/>
    <x v="11"/>
    <n v="32467"/>
    <n v="40996"/>
  </r>
  <r>
    <s v="ORD05679"/>
    <d v="2025-12-28T00:00:00"/>
    <x v="10"/>
    <x v="42"/>
    <x v="0"/>
    <s v="France"/>
    <x v="23"/>
    <x v="7"/>
    <n v="27291"/>
    <n v="21556"/>
  </r>
  <r>
    <s v="ORD05680"/>
    <d v="2025-10-31T00:00:00"/>
    <x v="4"/>
    <x v="2"/>
    <x v="6"/>
    <s v="Malaysia"/>
    <x v="20"/>
    <x v="26"/>
    <n v="34040"/>
    <n v="40067"/>
  </r>
  <r>
    <s v="ORD05681"/>
    <d v="2025-05-18T00:00:00"/>
    <x v="8"/>
    <x v="17"/>
    <x v="4"/>
    <s v="South Africa"/>
    <x v="5"/>
    <x v="15"/>
    <n v="32199"/>
    <n v="24025"/>
  </r>
  <r>
    <s v="ORD05682"/>
    <d v="2025-05-26T00:00:00"/>
    <x v="8"/>
    <x v="24"/>
    <x v="6"/>
    <s v="South Africa"/>
    <x v="15"/>
    <x v="11"/>
    <n v="17677"/>
    <n v="20806"/>
  </r>
  <r>
    <s v="ORD05683"/>
    <d v="2025-06-30T00:00:00"/>
    <x v="5"/>
    <x v="37"/>
    <x v="4"/>
    <s v="Italy"/>
    <x v="5"/>
    <x v="21"/>
    <n v="30083"/>
    <n v="22875"/>
  </r>
  <r>
    <s v="ORD05684"/>
    <d v="2025-08-18T00:00:00"/>
    <x v="11"/>
    <x v="46"/>
    <x v="0"/>
    <s v="Canada"/>
    <x v="35"/>
    <x v="7"/>
    <n v="38281"/>
    <n v="38891"/>
  </r>
  <r>
    <s v="ORD05685"/>
    <d v="2025-05-24T00:00:00"/>
    <x v="8"/>
    <x v="26"/>
    <x v="6"/>
    <s v="USA"/>
    <x v="40"/>
    <x v="6"/>
    <n v="25777"/>
    <n v="18238"/>
  </r>
  <r>
    <s v="ORD05686"/>
    <d v="2025-12-01T00:00:00"/>
    <x v="10"/>
    <x v="43"/>
    <x v="2"/>
    <s v="Turkey"/>
    <x v="45"/>
    <x v="3"/>
    <n v="32242"/>
    <n v="31003"/>
  </r>
  <r>
    <s v="ORD05687"/>
    <d v="2025-04-15T00:00:00"/>
    <x v="7"/>
    <x v="20"/>
    <x v="0"/>
    <s v="Italy"/>
    <x v="22"/>
    <x v="6"/>
    <n v="23357"/>
    <n v="23814"/>
  </r>
  <r>
    <s v="ORD05688"/>
    <d v="2025-10-04T00:00:00"/>
    <x v="4"/>
    <x v="49"/>
    <x v="4"/>
    <s v="Spain"/>
    <x v="33"/>
    <x v="19"/>
    <n v="22260"/>
    <n v="18282"/>
  </r>
  <r>
    <s v="ORD05689"/>
    <d v="2025-09-02T00:00:00"/>
    <x v="3"/>
    <x v="4"/>
    <x v="5"/>
    <s v="Italy"/>
    <x v="38"/>
    <x v="24"/>
    <n v="31419"/>
    <n v="24349"/>
  </r>
  <r>
    <s v="ORD05690"/>
    <d v="2025-08-17T00:00:00"/>
    <x v="11"/>
    <x v="30"/>
    <x v="3"/>
    <s v="South Africa"/>
    <x v="18"/>
    <x v="28"/>
    <n v="33952"/>
    <n v="38544"/>
  </r>
  <r>
    <s v="ORD05691"/>
    <d v="2025-12-03T00:00:00"/>
    <x v="10"/>
    <x v="43"/>
    <x v="4"/>
    <s v="France"/>
    <x v="47"/>
    <x v="26"/>
    <n v="17629"/>
    <n v="13994"/>
  </r>
  <r>
    <s v="ORD05692"/>
    <d v="2025-02-28T00:00:00"/>
    <x v="6"/>
    <x v="22"/>
    <x v="6"/>
    <s v="Brazil"/>
    <x v="30"/>
    <x v="21"/>
    <n v="39984"/>
    <n v="33059"/>
  </r>
  <r>
    <s v="ORD05693"/>
    <d v="2025-06-13T00:00:00"/>
    <x v="5"/>
    <x v="40"/>
    <x v="4"/>
    <s v="South Africa"/>
    <x v="48"/>
    <x v="4"/>
    <n v="39814"/>
    <n v="50664"/>
  </r>
  <r>
    <s v="ORD05694"/>
    <d v="2025-12-09T00:00:00"/>
    <x v="10"/>
    <x v="32"/>
    <x v="2"/>
    <s v="UAE"/>
    <x v="42"/>
    <x v="16"/>
    <n v="33083"/>
    <n v="27040"/>
  </r>
  <r>
    <s v="ORD05695"/>
    <d v="2025-11-02T00:00:00"/>
    <x v="2"/>
    <x v="2"/>
    <x v="4"/>
    <s v="Spain"/>
    <x v="11"/>
    <x v="29"/>
    <n v="28359"/>
    <n v="21381"/>
  </r>
  <r>
    <s v="ORD05696"/>
    <d v="2025-09-06T00:00:00"/>
    <x v="3"/>
    <x v="4"/>
    <x v="3"/>
    <s v="UAE"/>
    <x v="40"/>
    <x v="26"/>
    <n v="32175"/>
    <n v="30730"/>
  </r>
  <r>
    <s v="ORD05697"/>
    <d v="2025-09-27T00:00:00"/>
    <x v="3"/>
    <x v="25"/>
    <x v="1"/>
    <s v="Brazil"/>
    <x v="21"/>
    <x v="17"/>
    <n v="38795"/>
    <n v="29437"/>
  </r>
  <r>
    <s v="ORD05698"/>
    <d v="2025-09-26T00:00:00"/>
    <x v="3"/>
    <x v="25"/>
    <x v="3"/>
    <s v="South Africa"/>
    <x v="36"/>
    <x v="8"/>
    <n v="35052"/>
    <n v="39069"/>
  </r>
  <r>
    <s v="ORD05699"/>
    <d v="2025-12-22T00:00:00"/>
    <x v="10"/>
    <x v="42"/>
    <x v="6"/>
    <s v="India"/>
    <x v="7"/>
    <x v="27"/>
    <n v="33183"/>
    <n v="30785"/>
  </r>
  <r>
    <s v="ORD05700"/>
    <d v="2025-12-26T00:00:00"/>
    <x v="10"/>
    <x v="42"/>
    <x v="6"/>
    <s v="Thailand"/>
    <x v="38"/>
    <x v="29"/>
    <n v="31905"/>
    <n v="30747"/>
  </r>
  <r>
    <s v="ORD05701"/>
    <d v="2025-01-29T00:00:00"/>
    <x v="1"/>
    <x v="3"/>
    <x v="0"/>
    <s v="Mexico"/>
    <x v="13"/>
    <x v="0"/>
    <n v="17781"/>
    <n v="16591"/>
  </r>
  <r>
    <s v="ORD05702"/>
    <d v="2025-04-21T00:00:00"/>
    <x v="7"/>
    <x v="38"/>
    <x v="4"/>
    <s v="Turkey"/>
    <x v="49"/>
    <x v="19"/>
    <n v="32084"/>
    <n v="29171"/>
  </r>
  <r>
    <s v="ORD05703"/>
    <d v="2025-12-14T00:00:00"/>
    <x v="10"/>
    <x v="32"/>
    <x v="0"/>
    <s v="Thailand"/>
    <x v="27"/>
    <x v="25"/>
    <n v="37562"/>
    <n v="43356"/>
  </r>
  <r>
    <s v="ORD05704"/>
    <d v="2025-11-27T00:00:00"/>
    <x v="2"/>
    <x v="11"/>
    <x v="3"/>
    <s v="Australia"/>
    <x v="25"/>
    <x v="21"/>
    <n v="37794"/>
    <n v="40517"/>
  </r>
  <r>
    <s v="ORD05705"/>
    <d v="2025-07-24T00:00:00"/>
    <x v="0"/>
    <x v="0"/>
    <x v="5"/>
    <s v="UK"/>
    <x v="38"/>
    <x v="10"/>
    <n v="29442"/>
    <n v="23547"/>
  </r>
  <r>
    <s v="ORD05706"/>
    <d v="2025-03-08T00:00:00"/>
    <x v="9"/>
    <x v="35"/>
    <x v="4"/>
    <s v="USA"/>
    <x v="35"/>
    <x v="15"/>
    <n v="24290"/>
    <n v="20265"/>
  </r>
  <r>
    <s v="ORD05707"/>
    <d v="2025-11-21T00:00:00"/>
    <x v="2"/>
    <x v="9"/>
    <x v="5"/>
    <s v="UAE"/>
    <x v="27"/>
    <x v="12"/>
    <n v="24128"/>
    <n v="25095"/>
  </r>
  <r>
    <s v="ORD05708"/>
    <d v="2025-12-23T00:00:00"/>
    <x v="10"/>
    <x v="42"/>
    <x v="6"/>
    <s v="China"/>
    <x v="32"/>
    <x v="16"/>
    <n v="22620"/>
    <n v="21135"/>
  </r>
  <r>
    <s v="ORD05709"/>
    <d v="2025-10-05T00:00:00"/>
    <x v="4"/>
    <x v="49"/>
    <x v="6"/>
    <s v="Singapore"/>
    <x v="21"/>
    <x v="7"/>
    <n v="30924"/>
    <n v="28767"/>
  </r>
  <r>
    <s v="ORD05710"/>
    <d v="2025-02-16T00:00:00"/>
    <x v="6"/>
    <x v="29"/>
    <x v="3"/>
    <s v="Canada"/>
    <x v="47"/>
    <x v="25"/>
    <n v="32530"/>
    <n v="39660"/>
  </r>
  <r>
    <s v="ORD05711"/>
    <d v="2025-07-03T00:00:00"/>
    <x v="0"/>
    <x v="37"/>
    <x v="1"/>
    <s v="Spain"/>
    <x v="5"/>
    <x v="19"/>
    <n v="24749"/>
    <n v="28755"/>
  </r>
  <r>
    <s v="ORD05712"/>
    <d v="2025-05-04T00:00:00"/>
    <x v="8"/>
    <x v="27"/>
    <x v="1"/>
    <s v="Thailand"/>
    <x v="29"/>
    <x v="0"/>
    <n v="38312"/>
    <n v="45012"/>
  </r>
  <r>
    <s v="ORD05713"/>
    <d v="2025-12-12T00:00:00"/>
    <x v="10"/>
    <x v="32"/>
    <x v="4"/>
    <s v="USA"/>
    <x v="43"/>
    <x v="18"/>
    <n v="27678"/>
    <n v="24675"/>
  </r>
  <r>
    <s v="ORD05714"/>
    <d v="2025-09-21T00:00:00"/>
    <x v="3"/>
    <x v="8"/>
    <x v="5"/>
    <s v="Canada"/>
    <x v="48"/>
    <x v="1"/>
    <n v="16806"/>
    <n v="16431"/>
  </r>
  <r>
    <s v="ORD05715"/>
    <d v="2025-11-20T00:00:00"/>
    <x v="2"/>
    <x v="9"/>
    <x v="0"/>
    <s v="Turkey"/>
    <x v="21"/>
    <x v="21"/>
    <n v="26292"/>
    <n v="25431"/>
  </r>
  <r>
    <s v="ORD05716"/>
    <d v="2025-09-07T00:00:00"/>
    <x v="3"/>
    <x v="4"/>
    <x v="2"/>
    <s v="South Africa"/>
    <x v="37"/>
    <x v="26"/>
    <n v="38518"/>
    <n v="33212"/>
  </r>
  <r>
    <s v="ORD05717"/>
    <d v="2025-08-29T00:00:00"/>
    <x v="11"/>
    <x v="28"/>
    <x v="1"/>
    <s v="India"/>
    <x v="22"/>
    <x v="26"/>
    <n v="28183"/>
    <n v="25886"/>
  </r>
  <r>
    <s v="ORD05718"/>
    <d v="2025-04-27T00:00:00"/>
    <x v="7"/>
    <x v="38"/>
    <x v="3"/>
    <s v="Germany"/>
    <x v="27"/>
    <x v="24"/>
    <n v="26357"/>
    <n v="21882"/>
  </r>
  <r>
    <s v="ORD05719"/>
    <d v="2025-12-10T00:00:00"/>
    <x v="10"/>
    <x v="32"/>
    <x v="6"/>
    <s v="Italy"/>
    <x v="43"/>
    <x v="20"/>
    <n v="39516"/>
    <n v="46441"/>
  </r>
  <r>
    <s v="ORD05720"/>
    <d v="2025-02-16T00:00:00"/>
    <x v="6"/>
    <x v="29"/>
    <x v="4"/>
    <s v="South Africa"/>
    <x v="22"/>
    <x v="7"/>
    <n v="18373"/>
    <n v="13208"/>
  </r>
  <r>
    <s v="ORD05721"/>
    <d v="2025-02-26T00:00:00"/>
    <x v="6"/>
    <x v="22"/>
    <x v="2"/>
    <s v="South Africa"/>
    <x v="26"/>
    <x v="1"/>
    <n v="32572"/>
    <n v="31203"/>
  </r>
  <r>
    <s v="ORD05722"/>
    <d v="2025-07-04T00:00:00"/>
    <x v="0"/>
    <x v="37"/>
    <x v="3"/>
    <s v="Japan"/>
    <x v="38"/>
    <x v="27"/>
    <n v="15297"/>
    <n v="18960"/>
  </r>
  <r>
    <s v="ORD05723"/>
    <d v="2025-03-06T00:00:00"/>
    <x v="9"/>
    <x v="35"/>
    <x v="5"/>
    <s v="Singapore"/>
    <x v="14"/>
    <x v="11"/>
    <n v="28649"/>
    <n v="29620"/>
  </r>
  <r>
    <s v="ORD05724"/>
    <d v="2025-11-03T00:00:00"/>
    <x v="2"/>
    <x v="51"/>
    <x v="0"/>
    <s v="India"/>
    <x v="41"/>
    <x v="16"/>
    <n v="16861"/>
    <n v="13600"/>
  </r>
  <r>
    <s v="ORD05725"/>
    <d v="2025-07-25T00:00:00"/>
    <x v="0"/>
    <x v="0"/>
    <x v="3"/>
    <s v="Germany"/>
    <x v="28"/>
    <x v="1"/>
    <n v="30155"/>
    <n v="25566"/>
  </r>
  <r>
    <s v="ORD05726"/>
    <d v="2025-10-15T00:00:00"/>
    <x v="4"/>
    <x v="10"/>
    <x v="0"/>
    <s v="France"/>
    <x v="42"/>
    <x v="19"/>
    <n v="38374"/>
    <n v="48904"/>
  </r>
  <r>
    <s v="ORD05727"/>
    <d v="2025-03-28T00:00:00"/>
    <x v="9"/>
    <x v="33"/>
    <x v="2"/>
    <s v="Malaysia"/>
    <x v="42"/>
    <x v="6"/>
    <n v="16864"/>
    <n v="17252"/>
  </r>
  <r>
    <s v="ORD05728"/>
    <d v="2025-05-28T00:00:00"/>
    <x v="8"/>
    <x v="24"/>
    <x v="1"/>
    <s v="UK"/>
    <x v="47"/>
    <x v="20"/>
    <n v="36487"/>
    <n v="31970"/>
  </r>
  <r>
    <s v="ORD05729"/>
    <d v="2025-07-06T00:00:00"/>
    <x v="0"/>
    <x v="37"/>
    <x v="5"/>
    <s v="Italy"/>
    <x v="44"/>
    <x v="9"/>
    <n v="22212"/>
    <n v="22893"/>
  </r>
  <r>
    <s v="ORD05730"/>
    <d v="2025-06-04T00:00:00"/>
    <x v="5"/>
    <x v="41"/>
    <x v="2"/>
    <s v="Singapore"/>
    <x v="40"/>
    <x v="18"/>
    <n v="35713"/>
    <n v="26466"/>
  </r>
  <r>
    <s v="ORD05731"/>
    <d v="2025-01-12T00:00:00"/>
    <x v="1"/>
    <x v="6"/>
    <x v="6"/>
    <s v="China"/>
    <x v="36"/>
    <x v="24"/>
    <n v="31231"/>
    <n v="28618"/>
  </r>
  <r>
    <s v="ORD05732"/>
    <d v="2025-06-05T00:00:00"/>
    <x v="5"/>
    <x v="41"/>
    <x v="3"/>
    <s v="Turkey"/>
    <x v="40"/>
    <x v="14"/>
    <n v="39016"/>
    <n v="41064"/>
  </r>
  <r>
    <s v="ORD05733"/>
    <d v="2025-01-12T00:00:00"/>
    <x v="1"/>
    <x v="6"/>
    <x v="1"/>
    <s v="Germany"/>
    <x v="13"/>
    <x v="21"/>
    <n v="37784"/>
    <n v="40855"/>
  </r>
  <r>
    <s v="ORD05734"/>
    <d v="2025-06-18T00:00:00"/>
    <x v="5"/>
    <x v="13"/>
    <x v="5"/>
    <s v="USA"/>
    <x v="29"/>
    <x v="7"/>
    <n v="25164"/>
    <n v="32198"/>
  </r>
  <r>
    <s v="ORD05735"/>
    <d v="2025-12-01T00:00:00"/>
    <x v="10"/>
    <x v="43"/>
    <x v="3"/>
    <s v="Mexico"/>
    <x v="31"/>
    <x v="28"/>
    <n v="25360"/>
    <n v="25871"/>
  </r>
  <r>
    <s v="ORD05736"/>
    <d v="2025-06-26T00:00:00"/>
    <x v="5"/>
    <x v="36"/>
    <x v="0"/>
    <s v="China"/>
    <x v="16"/>
    <x v="22"/>
    <n v="29006"/>
    <n v="29355"/>
  </r>
  <r>
    <s v="ORD05737"/>
    <d v="2025-12-13T00:00:00"/>
    <x v="10"/>
    <x v="32"/>
    <x v="6"/>
    <s v="USA"/>
    <x v="40"/>
    <x v="21"/>
    <n v="36560"/>
    <n v="28868"/>
  </r>
  <r>
    <s v="ORD05738"/>
    <d v="2025-12-18T00:00:00"/>
    <x v="10"/>
    <x v="21"/>
    <x v="0"/>
    <s v="Canada"/>
    <x v="37"/>
    <x v="7"/>
    <n v="18186"/>
    <n v="17150"/>
  </r>
  <r>
    <s v="ORD05739"/>
    <d v="2025-05-02T00:00:00"/>
    <x v="8"/>
    <x v="27"/>
    <x v="6"/>
    <s v="Spain"/>
    <x v="47"/>
    <x v="24"/>
    <n v="26292"/>
    <n v="22102"/>
  </r>
  <r>
    <s v="ORD05740"/>
    <d v="2025-10-30T00:00:00"/>
    <x v="4"/>
    <x v="2"/>
    <x v="0"/>
    <s v="Australia"/>
    <x v="16"/>
    <x v="15"/>
    <n v="21260"/>
    <n v="26836"/>
  </r>
  <r>
    <s v="ORD05741"/>
    <d v="2025-10-18T00:00:00"/>
    <x v="4"/>
    <x v="10"/>
    <x v="0"/>
    <s v="Australia"/>
    <x v="36"/>
    <x v="28"/>
    <n v="15397"/>
    <n v="11692"/>
  </r>
  <r>
    <s v="ORD05742"/>
    <d v="2025-07-01T00:00:00"/>
    <x v="0"/>
    <x v="37"/>
    <x v="5"/>
    <s v="Germany"/>
    <x v="41"/>
    <x v="1"/>
    <n v="36115"/>
    <n v="32762"/>
  </r>
  <r>
    <s v="ORD05743"/>
    <d v="2025-12-20T00:00:00"/>
    <x v="10"/>
    <x v="21"/>
    <x v="1"/>
    <s v="Singapore"/>
    <x v="47"/>
    <x v="15"/>
    <n v="21660"/>
    <n v="15662"/>
  </r>
  <r>
    <s v="ORD05744"/>
    <d v="2025-04-07T00:00:00"/>
    <x v="7"/>
    <x v="16"/>
    <x v="5"/>
    <s v="Australia"/>
    <x v="22"/>
    <x v="2"/>
    <n v="20865"/>
    <n v="23917"/>
  </r>
  <r>
    <s v="ORD05745"/>
    <d v="2025-07-11T00:00:00"/>
    <x v="0"/>
    <x v="47"/>
    <x v="4"/>
    <s v="China"/>
    <x v="19"/>
    <x v="15"/>
    <n v="24191"/>
    <n v="30777"/>
  </r>
  <r>
    <s v="ORD05746"/>
    <d v="2025-09-30T00:00:00"/>
    <x v="3"/>
    <x v="49"/>
    <x v="1"/>
    <s v="Mexico"/>
    <x v="13"/>
    <x v="6"/>
    <n v="31083"/>
    <n v="33002"/>
  </r>
  <r>
    <s v="ORD05747"/>
    <d v="2025-12-19T00:00:00"/>
    <x v="10"/>
    <x v="21"/>
    <x v="0"/>
    <s v="Russia"/>
    <x v="7"/>
    <x v="6"/>
    <n v="36122"/>
    <n v="45036"/>
  </r>
  <r>
    <s v="ORD05748"/>
    <d v="2025-07-26T00:00:00"/>
    <x v="0"/>
    <x v="0"/>
    <x v="0"/>
    <s v="Singapore"/>
    <x v="13"/>
    <x v="22"/>
    <n v="32601"/>
    <n v="36217"/>
  </r>
  <r>
    <s v="ORD05749"/>
    <d v="2025-10-27T00:00:00"/>
    <x v="4"/>
    <x v="2"/>
    <x v="3"/>
    <s v="Turkey"/>
    <x v="1"/>
    <x v="17"/>
    <n v="24810"/>
    <n v="23823"/>
  </r>
  <r>
    <s v="ORD05750"/>
    <d v="2025-06-19T00:00:00"/>
    <x v="5"/>
    <x v="13"/>
    <x v="4"/>
    <s v="Brazil"/>
    <x v="4"/>
    <x v="8"/>
    <n v="38573"/>
    <n v="44939"/>
  </r>
  <r>
    <s v="ORD05751"/>
    <d v="2025-01-25T00:00:00"/>
    <x v="1"/>
    <x v="7"/>
    <x v="5"/>
    <s v="Singapore"/>
    <x v="28"/>
    <x v="4"/>
    <n v="32348"/>
    <n v="34364"/>
  </r>
  <r>
    <s v="ORD05752"/>
    <d v="2025-05-20T00:00:00"/>
    <x v="8"/>
    <x v="26"/>
    <x v="4"/>
    <s v="Brazil"/>
    <x v="16"/>
    <x v="15"/>
    <n v="37329"/>
    <n v="37585"/>
  </r>
  <r>
    <s v="ORD05753"/>
    <d v="2025-01-16T00:00:00"/>
    <x v="1"/>
    <x v="1"/>
    <x v="4"/>
    <s v="Canada"/>
    <x v="47"/>
    <x v="26"/>
    <n v="32166"/>
    <n v="29934"/>
  </r>
  <r>
    <s v="ORD05754"/>
    <d v="2025-04-13T00:00:00"/>
    <x v="7"/>
    <x v="16"/>
    <x v="4"/>
    <s v="India"/>
    <x v="40"/>
    <x v="5"/>
    <n v="22785"/>
    <n v="17925"/>
  </r>
  <r>
    <s v="ORD05755"/>
    <d v="2025-10-20T00:00:00"/>
    <x v="4"/>
    <x v="50"/>
    <x v="2"/>
    <s v="Brazil"/>
    <x v="16"/>
    <x v="14"/>
    <n v="31070"/>
    <n v="27854"/>
  </r>
  <r>
    <s v="ORD05756"/>
    <d v="2025-02-07T00:00:00"/>
    <x v="6"/>
    <x v="48"/>
    <x v="0"/>
    <s v="Spain"/>
    <x v="29"/>
    <x v="20"/>
    <n v="33706"/>
    <n v="36462"/>
  </r>
  <r>
    <s v="ORD05757"/>
    <d v="2025-08-22T00:00:00"/>
    <x v="11"/>
    <x v="46"/>
    <x v="0"/>
    <s v="Turkey"/>
    <x v="17"/>
    <x v="9"/>
    <n v="18195"/>
    <n v="18633"/>
  </r>
  <r>
    <s v="ORD05758"/>
    <d v="2025-12-30T00:00:00"/>
    <x v="10"/>
    <x v="5"/>
    <x v="0"/>
    <s v="Brazil"/>
    <x v="23"/>
    <x v="26"/>
    <n v="22028"/>
    <n v="23892"/>
  </r>
  <r>
    <s v="ORD05759"/>
    <d v="2025-01-24T00:00:00"/>
    <x v="1"/>
    <x v="7"/>
    <x v="2"/>
    <s v="Canada"/>
    <x v="41"/>
    <x v="19"/>
    <n v="21420"/>
    <n v="26415"/>
  </r>
  <r>
    <s v="ORD05760"/>
    <d v="2025-07-10T00:00:00"/>
    <x v="0"/>
    <x v="47"/>
    <x v="5"/>
    <s v="Italy"/>
    <x v="38"/>
    <x v="21"/>
    <n v="16715"/>
    <n v="17942"/>
  </r>
  <r>
    <s v="ORD05761"/>
    <d v="2025-08-10T00:00:00"/>
    <x v="11"/>
    <x v="23"/>
    <x v="4"/>
    <s v="Malaysia"/>
    <x v="31"/>
    <x v="15"/>
    <n v="16114"/>
    <n v="17802"/>
  </r>
  <r>
    <s v="ORD05762"/>
    <d v="2025-01-02T00:00:00"/>
    <x v="1"/>
    <x v="5"/>
    <x v="1"/>
    <s v="Malaysia"/>
    <x v="1"/>
    <x v="18"/>
    <n v="39996"/>
    <n v="40490"/>
  </r>
  <r>
    <s v="ORD05763"/>
    <d v="2025-07-29T00:00:00"/>
    <x v="0"/>
    <x v="12"/>
    <x v="2"/>
    <s v="Russia"/>
    <x v="13"/>
    <x v="16"/>
    <n v="19978"/>
    <n v="24499"/>
  </r>
  <r>
    <s v="ORD05764"/>
    <d v="2025-07-05T00:00:00"/>
    <x v="0"/>
    <x v="37"/>
    <x v="1"/>
    <s v="UAE"/>
    <x v="30"/>
    <x v="17"/>
    <n v="29274"/>
    <n v="24694"/>
  </r>
  <r>
    <s v="ORD05765"/>
    <d v="2025-06-01T00:00:00"/>
    <x v="5"/>
    <x v="24"/>
    <x v="4"/>
    <s v="France"/>
    <x v="35"/>
    <x v="5"/>
    <n v="26084"/>
    <n v="30952"/>
  </r>
  <r>
    <s v="ORD05766"/>
    <d v="2025-02-05T00:00:00"/>
    <x v="6"/>
    <x v="48"/>
    <x v="0"/>
    <s v="Brazil"/>
    <x v="26"/>
    <x v="9"/>
    <n v="24802"/>
    <n v="20345"/>
  </r>
  <r>
    <s v="ORD05767"/>
    <d v="2025-06-02T00:00:00"/>
    <x v="5"/>
    <x v="41"/>
    <x v="0"/>
    <s v="France"/>
    <x v="3"/>
    <x v="27"/>
    <n v="27360"/>
    <n v="28330"/>
  </r>
  <r>
    <s v="ORD05768"/>
    <d v="2025-07-20T00:00:00"/>
    <x v="0"/>
    <x v="14"/>
    <x v="0"/>
    <s v="UK"/>
    <x v="38"/>
    <x v="3"/>
    <n v="28542"/>
    <n v="35454"/>
  </r>
  <r>
    <s v="ORD05769"/>
    <d v="2025-03-23T00:00:00"/>
    <x v="9"/>
    <x v="39"/>
    <x v="3"/>
    <s v="India"/>
    <x v="42"/>
    <x v="26"/>
    <n v="33567"/>
    <n v="39618"/>
  </r>
  <r>
    <s v="ORD05770"/>
    <d v="2025-10-02T00:00:00"/>
    <x v="4"/>
    <x v="49"/>
    <x v="2"/>
    <s v="Russia"/>
    <x v="15"/>
    <x v="0"/>
    <n v="34777"/>
    <n v="29575"/>
  </r>
  <r>
    <s v="ORD05771"/>
    <d v="2025-03-20T00:00:00"/>
    <x v="9"/>
    <x v="39"/>
    <x v="2"/>
    <s v="Italy"/>
    <x v="31"/>
    <x v="5"/>
    <n v="37600"/>
    <n v="30344"/>
  </r>
  <r>
    <s v="ORD05772"/>
    <d v="2025-11-26T00:00:00"/>
    <x v="2"/>
    <x v="11"/>
    <x v="0"/>
    <s v="USA"/>
    <x v="4"/>
    <x v="21"/>
    <n v="20120"/>
    <n v="15315"/>
  </r>
  <r>
    <s v="ORD05773"/>
    <d v="2025-08-13T00:00:00"/>
    <x v="11"/>
    <x v="30"/>
    <x v="3"/>
    <s v="Mexico"/>
    <x v="38"/>
    <x v="6"/>
    <n v="21447"/>
    <n v="26860"/>
  </r>
  <r>
    <s v="ORD05774"/>
    <d v="2025-10-19T00:00:00"/>
    <x v="4"/>
    <x v="10"/>
    <x v="4"/>
    <s v="China"/>
    <x v="36"/>
    <x v="22"/>
    <n v="19247"/>
    <n v="24430"/>
  </r>
  <r>
    <s v="ORD05775"/>
    <d v="2025-11-29T00:00:00"/>
    <x v="2"/>
    <x v="11"/>
    <x v="0"/>
    <s v="Spain"/>
    <x v="10"/>
    <x v="26"/>
    <n v="22643"/>
    <n v="18213"/>
  </r>
  <r>
    <s v="ORD05776"/>
    <d v="2025-08-02T00:00:00"/>
    <x v="11"/>
    <x v="12"/>
    <x v="5"/>
    <s v="Singapore"/>
    <x v="16"/>
    <x v="26"/>
    <n v="20758"/>
    <n v="16786"/>
  </r>
  <r>
    <s v="ORD05777"/>
    <d v="2025-10-30T00:00:00"/>
    <x v="4"/>
    <x v="2"/>
    <x v="1"/>
    <s v="Canada"/>
    <x v="12"/>
    <x v="26"/>
    <n v="29790"/>
    <n v="37600"/>
  </r>
  <r>
    <s v="ORD05778"/>
    <d v="2025-07-23T00:00:00"/>
    <x v="0"/>
    <x v="0"/>
    <x v="4"/>
    <s v="UAE"/>
    <x v="25"/>
    <x v="18"/>
    <n v="30046"/>
    <n v="24885"/>
  </r>
  <r>
    <s v="ORD05779"/>
    <d v="2025-12-24T00:00:00"/>
    <x v="10"/>
    <x v="42"/>
    <x v="5"/>
    <s v="Brazil"/>
    <x v="21"/>
    <x v="2"/>
    <n v="17309"/>
    <n v="20654"/>
  </r>
  <r>
    <s v="ORD05780"/>
    <d v="2025-07-01T00:00:00"/>
    <x v="0"/>
    <x v="37"/>
    <x v="3"/>
    <s v="Malaysia"/>
    <x v="1"/>
    <x v="15"/>
    <n v="22015"/>
    <n v="16096"/>
  </r>
  <r>
    <s v="ORD05781"/>
    <d v="2025-05-23T00:00:00"/>
    <x v="8"/>
    <x v="26"/>
    <x v="5"/>
    <s v="UK"/>
    <x v="1"/>
    <x v="3"/>
    <n v="16679"/>
    <n v="13859"/>
  </r>
  <r>
    <s v="ORD05782"/>
    <d v="2025-09-05T00:00:00"/>
    <x v="3"/>
    <x v="4"/>
    <x v="2"/>
    <s v="Malaysia"/>
    <x v="11"/>
    <x v="0"/>
    <n v="17483"/>
    <n v="17429"/>
  </r>
  <r>
    <s v="ORD05783"/>
    <d v="2025-07-18T00:00:00"/>
    <x v="0"/>
    <x v="14"/>
    <x v="2"/>
    <s v="Canada"/>
    <x v="15"/>
    <x v="17"/>
    <n v="33409"/>
    <n v="39457"/>
  </r>
  <r>
    <s v="ORD05784"/>
    <d v="2025-09-14T00:00:00"/>
    <x v="3"/>
    <x v="31"/>
    <x v="3"/>
    <s v="India"/>
    <x v="31"/>
    <x v="15"/>
    <n v="23108"/>
    <n v="19714"/>
  </r>
  <r>
    <s v="ORD05785"/>
    <d v="2025-11-19T00:00:00"/>
    <x v="2"/>
    <x v="9"/>
    <x v="5"/>
    <s v="France"/>
    <x v="22"/>
    <x v="5"/>
    <n v="34113"/>
    <n v="33631"/>
  </r>
  <r>
    <s v="ORD05786"/>
    <d v="2025-03-29T00:00:00"/>
    <x v="9"/>
    <x v="33"/>
    <x v="1"/>
    <s v="Mexico"/>
    <x v="11"/>
    <x v="10"/>
    <n v="18321"/>
    <n v="18883"/>
  </r>
  <r>
    <s v="ORD05787"/>
    <d v="2025-02-01T00:00:00"/>
    <x v="6"/>
    <x v="3"/>
    <x v="1"/>
    <s v="Italy"/>
    <x v="22"/>
    <x v="3"/>
    <n v="15154"/>
    <n v="12381"/>
  </r>
  <r>
    <s v="ORD05788"/>
    <d v="2025-11-28T00:00:00"/>
    <x v="2"/>
    <x v="11"/>
    <x v="6"/>
    <s v="UK"/>
    <x v="26"/>
    <x v="4"/>
    <n v="32787"/>
    <n v="23596"/>
  </r>
  <r>
    <s v="ORD05789"/>
    <d v="2025-05-24T00:00:00"/>
    <x v="8"/>
    <x v="26"/>
    <x v="3"/>
    <s v="UK"/>
    <x v="14"/>
    <x v="2"/>
    <n v="21841"/>
    <n v="22070"/>
  </r>
  <r>
    <s v="ORD05790"/>
    <d v="2025-08-18T00:00:00"/>
    <x v="11"/>
    <x v="46"/>
    <x v="4"/>
    <s v="Italy"/>
    <x v="22"/>
    <x v="28"/>
    <n v="22050"/>
    <n v="24654"/>
  </r>
  <r>
    <s v="ORD05791"/>
    <d v="2025-10-04T00:00:00"/>
    <x v="4"/>
    <x v="49"/>
    <x v="3"/>
    <s v="South Africa"/>
    <x v="32"/>
    <x v="24"/>
    <n v="18529"/>
    <n v="23323"/>
  </r>
  <r>
    <s v="ORD05792"/>
    <d v="2025-10-11T00:00:00"/>
    <x v="4"/>
    <x v="45"/>
    <x v="1"/>
    <s v="Spain"/>
    <x v="3"/>
    <x v="29"/>
    <n v="33986"/>
    <n v="32866"/>
  </r>
  <r>
    <s v="ORD05793"/>
    <d v="2025-09-07T00:00:00"/>
    <x v="3"/>
    <x v="4"/>
    <x v="6"/>
    <s v="UAE"/>
    <x v="31"/>
    <x v="20"/>
    <n v="22541"/>
    <n v="18929"/>
  </r>
  <r>
    <s v="ORD05794"/>
    <d v="2025-04-28T00:00:00"/>
    <x v="7"/>
    <x v="27"/>
    <x v="3"/>
    <s v="Brazil"/>
    <x v="26"/>
    <x v="18"/>
    <n v="39315"/>
    <n v="30143"/>
  </r>
  <r>
    <s v="ORD05795"/>
    <d v="2025-08-08T00:00:00"/>
    <x v="11"/>
    <x v="23"/>
    <x v="3"/>
    <s v="Italy"/>
    <x v="28"/>
    <x v="16"/>
    <n v="24138"/>
    <n v="27434"/>
  </r>
  <r>
    <s v="ORD05796"/>
    <d v="2025-06-30T00:00:00"/>
    <x v="5"/>
    <x v="37"/>
    <x v="6"/>
    <s v="India"/>
    <x v="40"/>
    <x v="27"/>
    <n v="22727"/>
    <n v="18734"/>
  </r>
  <r>
    <s v="ORD05797"/>
    <d v="2025-02-10T00:00:00"/>
    <x v="6"/>
    <x v="29"/>
    <x v="2"/>
    <s v="France"/>
    <x v="28"/>
    <x v="13"/>
    <n v="20966"/>
    <n v="17421"/>
  </r>
  <r>
    <s v="ORD05798"/>
    <d v="2025-12-19T00:00:00"/>
    <x v="10"/>
    <x v="21"/>
    <x v="0"/>
    <s v="UAE"/>
    <x v="27"/>
    <x v="23"/>
    <n v="23707"/>
    <n v="17063"/>
  </r>
  <r>
    <s v="ORD05799"/>
    <d v="2025-12-20T00:00:00"/>
    <x v="10"/>
    <x v="21"/>
    <x v="6"/>
    <s v="France"/>
    <x v="40"/>
    <x v="2"/>
    <n v="27521"/>
    <n v="32326"/>
  </r>
  <r>
    <s v="ORD05800"/>
    <d v="2025-10-30T00:00:00"/>
    <x v="4"/>
    <x v="2"/>
    <x v="6"/>
    <s v="Italy"/>
    <x v="45"/>
    <x v="3"/>
    <n v="26501"/>
    <n v="29754"/>
  </r>
  <r>
    <s v="ORD05801"/>
    <d v="2025-07-22T00:00:00"/>
    <x v="0"/>
    <x v="0"/>
    <x v="5"/>
    <s v="Turkey"/>
    <x v="43"/>
    <x v="29"/>
    <n v="30946"/>
    <n v="38490"/>
  </r>
  <r>
    <s v="ORD05802"/>
    <d v="2025-11-20T00:00:00"/>
    <x v="2"/>
    <x v="9"/>
    <x v="5"/>
    <s v="South Africa"/>
    <x v="29"/>
    <x v="29"/>
    <n v="18287"/>
    <n v="14684"/>
  </r>
  <r>
    <s v="ORD05803"/>
    <d v="2025-06-14T00:00:00"/>
    <x v="5"/>
    <x v="40"/>
    <x v="2"/>
    <s v="Singapore"/>
    <x v="37"/>
    <x v="21"/>
    <n v="15702"/>
    <n v="12805"/>
  </r>
  <r>
    <s v="ORD05804"/>
    <d v="2025-10-21T00:00:00"/>
    <x v="4"/>
    <x v="50"/>
    <x v="5"/>
    <s v="South Africa"/>
    <x v="21"/>
    <x v="12"/>
    <n v="18998"/>
    <n v="15961"/>
  </r>
  <r>
    <s v="ORD05805"/>
    <d v="2025-09-24T00:00:00"/>
    <x v="3"/>
    <x v="25"/>
    <x v="3"/>
    <s v="Russia"/>
    <x v="18"/>
    <x v="16"/>
    <n v="22285"/>
    <n v="23234"/>
  </r>
  <r>
    <s v="ORD05806"/>
    <d v="2025-07-10T00:00:00"/>
    <x v="0"/>
    <x v="47"/>
    <x v="6"/>
    <s v="Singapore"/>
    <x v="43"/>
    <x v="17"/>
    <n v="38896"/>
    <n v="32321"/>
  </r>
  <r>
    <s v="ORD05807"/>
    <d v="2025-01-20T00:00:00"/>
    <x v="1"/>
    <x v="7"/>
    <x v="6"/>
    <s v="Italy"/>
    <x v="23"/>
    <x v="4"/>
    <n v="21203"/>
    <n v="17319"/>
  </r>
  <r>
    <s v="ORD05808"/>
    <d v="2025-06-04T00:00:00"/>
    <x v="5"/>
    <x v="41"/>
    <x v="5"/>
    <s v="China"/>
    <x v="3"/>
    <x v="29"/>
    <n v="19067"/>
    <n v="24726"/>
  </r>
  <r>
    <s v="ORD05809"/>
    <d v="2025-05-08T00:00:00"/>
    <x v="8"/>
    <x v="18"/>
    <x v="2"/>
    <s v="Turkey"/>
    <x v="47"/>
    <x v="24"/>
    <n v="39042"/>
    <n v="46551"/>
  </r>
  <r>
    <s v="ORD05810"/>
    <d v="2025-06-13T00:00:00"/>
    <x v="5"/>
    <x v="40"/>
    <x v="4"/>
    <s v="USA"/>
    <x v="10"/>
    <x v="28"/>
    <n v="22305"/>
    <n v="17882"/>
  </r>
  <r>
    <s v="ORD05811"/>
    <d v="2025-04-05T00:00:00"/>
    <x v="7"/>
    <x v="34"/>
    <x v="2"/>
    <s v="China"/>
    <x v="6"/>
    <x v="11"/>
    <n v="37494"/>
    <n v="45811"/>
  </r>
  <r>
    <s v="ORD05812"/>
    <d v="2025-04-23T00:00:00"/>
    <x v="7"/>
    <x v="38"/>
    <x v="4"/>
    <s v="Germany"/>
    <x v="10"/>
    <x v="28"/>
    <n v="36460"/>
    <n v="26011"/>
  </r>
  <r>
    <s v="ORD05813"/>
    <d v="2025-06-08T00:00:00"/>
    <x v="5"/>
    <x v="41"/>
    <x v="5"/>
    <s v="Japan"/>
    <x v="21"/>
    <x v="13"/>
    <n v="17327"/>
    <n v="18970"/>
  </r>
  <r>
    <s v="ORD05814"/>
    <d v="2025-11-30T00:00:00"/>
    <x v="2"/>
    <x v="11"/>
    <x v="3"/>
    <s v="Turkey"/>
    <x v="38"/>
    <x v="22"/>
    <n v="36930"/>
    <n v="28610"/>
  </r>
  <r>
    <s v="ORD05815"/>
    <d v="2025-06-04T00:00:00"/>
    <x v="5"/>
    <x v="41"/>
    <x v="1"/>
    <s v="UAE"/>
    <x v="6"/>
    <x v="14"/>
    <n v="29794"/>
    <n v="21510"/>
  </r>
  <r>
    <s v="ORD05816"/>
    <d v="2025-12-13T00:00:00"/>
    <x v="10"/>
    <x v="32"/>
    <x v="4"/>
    <s v="Malaysia"/>
    <x v="3"/>
    <x v="21"/>
    <n v="33199"/>
    <n v="41819"/>
  </r>
  <r>
    <s v="ORD05817"/>
    <d v="2025-06-22T00:00:00"/>
    <x v="5"/>
    <x v="13"/>
    <x v="6"/>
    <s v="Brazil"/>
    <x v="6"/>
    <x v="17"/>
    <n v="22991"/>
    <n v="24415"/>
  </r>
  <r>
    <s v="ORD05818"/>
    <d v="2025-12-16T00:00:00"/>
    <x v="10"/>
    <x v="21"/>
    <x v="1"/>
    <s v="South Africa"/>
    <x v="39"/>
    <x v="24"/>
    <n v="19094"/>
    <n v="16389"/>
  </r>
  <r>
    <s v="ORD05819"/>
    <d v="2025-12-25T00:00:00"/>
    <x v="10"/>
    <x v="42"/>
    <x v="5"/>
    <s v="Malaysia"/>
    <x v="8"/>
    <x v="22"/>
    <n v="30790"/>
    <n v="33367"/>
  </r>
  <r>
    <s v="ORD05820"/>
    <d v="2025-09-30T00:00:00"/>
    <x v="3"/>
    <x v="49"/>
    <x v="4"/>
    <s v="Singapore"/>
    <x v="5"/>
    <x v="29"/>
    <n v="27413"/>
    <n v="27962"/>
  </r>
  <r>
    <s v="ORD05821"/>
    <d v="2025-08-27T00:00:00"/>
    <x v="11"/>
    <x v="28"/>
    <x v="2"/>
    <s v="Germany"/>
    <x v="22"/>
    <x v="14"/>
    <n v="36739"/>
    <n v="45083"/>
  </r>
  <r>
    <s v="ORD05822"/>
    <d v="2025-08-02T00:00:00"/>
    <x v="11"/>
    <x v="12"/>
    <x v="2"/>
    <s v="Russia"/>
    <x v="2"/>
    <x v="29"/>
    <n v="29296"/>
    <n v="23269"/>
  </r>
  <r>
    <s v="ORD05823"/>
    <d v="2025-01-27T00:00:00"/>
    <x v="1"/>
    <x v="3"/>
    <x v="0"/>
    <s v="Australia"/>
    <x v="8"/>
    <x v="11"/>
    <n v="20769"/>
    <n v="24773"/>
  </r>
  <r>
    <s v="ORD05824"/>
    <d v="2025-01-11T00:00:00"/>
    <x v="1"/>
    <x v="6"/>
    <x v="2"/>
    <s v="Australia"/>
    <x v="48"/>
    <x v="9"/>
    <n v="21429"/>
    <n v="27082"/>
  </r>
  <r>
    <s v="ORD05825"/>
    <d v="2025-03-06T00:00:00"/>
    <x v="9"/>
    <x v="35"/>
    <x v="1"/>
    <s v="France"/>
    <x v="29"/>
    <x v="14"/>
    <n v="30280"/>
    <n v="34199"/>
  </r>
  <r>
    <s v="ORD05826"/>
    <d v="2025-12-30T00:00:00"/>
    <x v="10"/>
    <x v="5"/>
    <x v="6"/>
    <s v="Turkey"/>
    <x v="21"/>
    <x v="29"/>
    <n v="39552"/>
    <n v="42031"/>
  </r>
  <r>
    <s v="ORD05827"/>
    <d v="2025-04-20T00:00:00"/>
    <x v="7"/>
    <x v="20"/>
    <x v="6"/>
    <s v="USA"/>
    <x v="40"/>
    <x v="21"/>
    <n v="19766"/>
    <n v="16135"/>
  </r>
  <r>
    <s v="ORD05828"/>
    <d v="2025-12-01T00:00:00"/>
    <x v="10"/>
    <x v="43"/>
    <x v="1"/>
    <s v="Malaysia"/>
    <x v="48"/>
    <x v="21"/>
    <n v="18664"/>
    <n v="22252"/>
  </r>
  <r>
    <s v="ORD05829"/>
    <d v="2025-05-07T00:00:00"/>
    <x v="8"/>
    <x v="18"/>
    <x v="5"/>
    <s v="USA"/>
    <x v="33"/>
    <x v="19"/>
    <n v="17601"/>
    <n v="21802"/>
  </r>
  <r>
    <s v="ORD05830"/>
    <d v="2025-11-01T00:00:00"/>
    <x v="2"/>
    <x v="2"/>
    <x v="0"/>
    <s v="UAE"/>
    <x v="3"/>
    <x v="23"/>
    <n v="16457"/>
    <n v="14039"/>
  </r>
  <r>
    <s v="ORD05831"/>
    <d v="2025-01-30T00:00:00"/>
    <x v="1"/>
    <x v="3"/>
    <x v="4"/>
    <s v="China"/>
    <x v="4"/>
    <x v="6"/>
    <n v="15785"/>
    <n v="16002"/>
  </r>
  <r>
    <s v="ORD05832"/>
    <d v="2025-06-10T00:00:00"/>
    <x v="5"/>
    <x v="40"/>
    <x v="6"/>
    <s v="Mexico"/>
    <x v="39"/>
    <x v="23"/>
    <n v="15484"/>
    <n v="16420"/>
  </r>
  <r>
    <s v="ORD05833"/>
    <d v="2025-07-14T00:00:00"/>
    <x v="0"/>
    <x v="14"/>
    <x v="1"/>
    <s v="USA"/>
    <x v="29"/>
    <x v="17"/>
    <n v="39608"/>
    <n v="34475"/>
  </r>
  <r>
    <s v="ORD05834"/>
    <d v="2025-11-05T00:00:00"/>
    <x v="2"/>
    <x v="51"/>
    <x v="5"/>
    <s v="France"/>
    <x v="21"/>
    <x v="17"/>
    <n v="24153"/>
    <n v="20588"/>
  </r>
  <r>
    <s v="ORD05835"/>
    <d v="2025-08-20T00:00:00"/>
    <x v="11"/>
    <x v="46"/>
    <x v="3"/>
    <s v="South Africa"/>
    <x v="32"/>
    <x v="0"/>
    <n v="17495"/>
    <n v="17147"/>
  </r>
  <r>
    <s v="ORD05836"/>
    <d v="2025-01-18T00:00:00"/>
    <x v="1"/>
    <x v="1"/>
    <x v="6"/>
    <s v="Russia"/>
    <x v="37"/>
    <x v="16"/>
    <n v="29667"/>
    <n v="26837"/>
  </r>
  <r>
    <s v="ORD05837"/>
    <d v="2025-12-18T00:00:00"/>
    <x v="10"/>
    <x v="21"/>
    <x v="1"/>
    <s v="Russia"/>
    <x v="35"/>
    <x v="4"/>
    <n v="19535"/>
    <n v="16725"/>
  </r>
  <r>
    <s v="ORD05838"/>
    <d v="2025-01-19T00:00:00"/>
    <x v="1"/>
    <x v="1"/>
    <x v="5"/>
    <s v="Canada"/>
    <x v="21"/>
    <x v="19"/>
    <n v="33936"/>
    <n v="43192"/>
  </r>
  <r>
    <s v="ORD05839"/>
    <d v="2025-03-13T00:00:00"/>
    <x v="9"/>
    <x v="19"/>
    <x v="4"/>
    <s v="Spain"/>
    <x v="33"/>
    <x v="13"/>
    <n v="28698"/>
    <n v="30823"/>
  </r>
  <r>
    <s v="ORD05840"/>
    <d v="2025-02-08T00:00:00"/>
    <x v="6"/>
    <x v="48"/>
    <x v="0"/>
    <s v="India"/>
    <x v="14"/>
    <x v="5"/>
    <n v="34771"/>
    <n v="44979"/>
  </r>
  <r>
    <s v="ORD05841"/>
    <d v="2025-01-08T00:00:00"/>
    <x v="1"/>
    <x v="6"/>
    <x v="3"/>
    <s v="Thailand"/>
    <x v="7"/>
    <x v="2"/>
    <n v="38874"/>
    <n v="32969"/>
  </r>
  <r>
    <s v="ORD05842"/>
    <d v="2025-06-07T00:00:00"/>
    <x v="5"/>
    <x v="41"/>
    <x v="2"/>
    <s v="UK"/>
    <x v="20"/>
    <x v="18"/>
    <n v="37018"/>
    <n v="33062"/>
  </r>
  <r>
    <s v="ORD05843"/>
    <d v="2025-10-04T00:00:00"/>
    <x v="4"/>
    <x v="49"/>
    <x v="0"/>
    <s v="Canada"/>
    <x v="16"/>
    <x v="25"/>
    <n v="20409"/>
    <n v="16442"/>
  </r>
  <r>
    <s v="ORD05844"/>
    <d v="2025-12-08T00:00:00"/>
    <x v="10"/>
    <x v="32"/>
    <x v="1"/>
    <s v="USA"/>
    <x v="41"/>
    <x v="29"/>
    <n v="21579"/>
    <n v="16721"/>
  </r>
  <r>
    <s v="ORD05845"/>
    <d v="2025-11-03T00:00:00"/>
    <x v="2"/>
    <x v="51"/>
    <x v="5"/>
    <s v="Germany"/>
    <x v="23"/>
    <x v="28"/>
    <n v="15407"/>
    <n v="11549"/>
  </r>
  <r>
    <s v="ORD05846"/>
    <d v="2025-01-19T00:00:00"/>
    <x v="1"/>
    <x v="1"/>
    <x v="3"/>
    <s v="Malaysia"/>
    <x v="22"/>
    <x v="18"/>
    <n v="33174"/>
    <n v="40833"/>
  </r>
  <r>
    <s v="ORD05847"/>
    <d v="2025-08-25T00:00:00"/>
    <x v="11"/>
    <x v="28"/>
    <x v="5"/>
    <s v="Mexico"/>
    <x v="2"/>
    <x v="18"/>
    <n v="36969"/>
    <n v="35140"/>
  </r>
  <r>
    <s v="ORD05848"/>
    <d v="2025-08-22T00:00:00"/>
    <x v="11"/>
    <x v="46"/>
    <x v="0"/>
    <s v="Brazil"/>
    <x v="18"/>
    <x v="2"/>
    <n v="21191"/>
    <n v="24017"/>
  </r>
  <r>
    <s v="ORD05849"/>
    <d v="2025-06-11T00:00:00"/>
    <x v="5"/>
    <x v="40"/>
    <x v="6"/>
    <s v="Brazil"/>
    <x v="40"/>
    <x v="20"/>
    <n v="16025"/>
    <n v="12899"/>
  </r>
  <r>
    <s v="ORD05850"/>
    <d v="2025-05-12T00:00:00"/>
    <x v="8"/>
    <x v="17"/>
    <x v="6"/>
    <s v="India"/>
    <x v="24"/>
    <x v="11"/>
    <n v="21761"/>
    <n v="25703"/>
  </r>
  <r>
    <s v="ORD05851"/>
    <d v="2025-08-20T00:00:00"/>
    <x v="11"/>
    <x v="46"/>
    <x v="5"/>
    <s v="Russia"/>
    <x v="9"/>
    <x v="29"/>
    <n v="38275"/>
    <n v="41468"/>
  </r>
  <r>
    <s v="ORD05852"/>
    <d v="2025-10-21T00:00:00"/>
    <x v="4"/>
    <x v="50"/>
    <x v="5"/>
    <s v="Japan"/>
    <x v="40"/>
    <x v="9"/>
    <n v="36981"/>
    <n v="38756"/>
  </r>
  <r>
    <s v="ORD05853"/>
    <d v="2025-11-17T00:00:00"/>
    <x v="2"/>
    <x v="9"/>
    <x v="5"/>
    <s v="Mexico"/>
    <x v="48"/>
    <x v="24"/>
    <n v="28663"/>
    <n v="34357"/>
  </r>
  <r>
    <s v="ORD05854"/>
    <d v="2025-05-26T00:00:00"/>
    <x v="8"/>
    <x v="24"/>
    <x v="2"/>
    <s v="Thailand"/>
    <x v="8"/>
    <x v="15"/>
    <n v="20507"/>
    <n v="22954"/>
  </r>
  <r>
    <s v="ORD05855"/>
    <d v="2025-05-29T00:00:00"/>
    <x v="8"/>
    <x v="24"/>
    <x v="1"/>
    <s v="Japan"/>
    <x v="22"/>
    <x v="26"/>
    <n v="23437"/>
    <n v="24826"/>
  </r>
  <r>
    <s v="ORD05856"/>
    <d v="2025-08-14T00:00:00"/>
    <x v="11"/>
    <x v="30"/>
    <x v="6"/>
    <s v="Turkey"/>
    <x v="47"/>
    <x v="9"/>
    <n v="31341"/>
    <n v="24304"/>
  </r>
  <r>
    <s v="ORD05857"/>
    <d v="2025-11-06T00:00:00"/>
    <x v="2"/>
    <x v="51"/>
    <x v="4"/>
    <s v="Germany"/>
    <x v="41"/>
    <x v="23"/>
    <n v="16257"/>
    <n v="18080"/>
  </r>
  <r>
    <s v="ORD05858"/>
    <d v="2025-03-09T00:00:00"/>
    <x v="9"/>
    <x v="35"/>
    <x v="2"/>
    <s v="Thailand"/>
    <x v="13"/>
    <x v="28"/>
    <n v="15175"/>
    <n v="12990"/>
  </r>
  <r>
    <s v="ORD05859"/>
    <d v="2025-08-25T00:00:00"/>
    <x v="11"/>
    <x v="28"/>
    <x v="2"/>
    <s v="France"/>
    <x v="13"/>
    <x v="24"/>
    <n v="37492"/>
    <n v="28826"/>
  </r>
  <r>
    <s v="ORD05860"/>
    <d v="2025-02-05T00:00:00"/>
    <x v="6"/>
    <x v="48"/>
    <x v="1"/>
    <s v="France"/>
    <x v="43"/>
    <x v="2"/>
    <n v="22419"/>
    <n v="17416"/>
  </r>
  <r>
    <s v="ORD05861"/>
    <d v="2025-02-04T00:00:00"/>
    <x v="6"/>
    <x v="48"/>
    <x v="5"/>
    <s v="Mexico"/>
    <x v="49"/>
    <x v="26"/>
    <n v="20241"/>
    <n v="18345"/>
  </r>
  <r>
    <s v="ORD05862"/>
    <d v="2025-04-03T00:00:00"/>
    <x v="7"/>
    <x v="34"/>
    <x v="6"/>
    <s v="USA"/>
    <x v="2"/>
    <x v="28"/>
    <n v="39174"/>
    <n v="42780"/>
  </r>
  <r>
    <s v="ORD05863"/>
    <d v="2025-04-03T00:00:00"/>
    <x v="7"/>
    <x v="34"/>
    <x v="2"/>
    <s v="South Africa"/>
    <x v="9"/>
    <x v="21"/>
    <n v="22865"/>
    <n v="19212"/>
  </r>
  <r>
    <s v="ORD05864"/>
    <d v="2025-03-18T00:00:00"/>
    <x v="9"/>
    <x v="39"/>
    <x v="6"/>
    <s v="Japan"/>
    <x v="25"/>
    <x v="0"/>
    <n v="37517"/>
    <n v="33555"/>
  </r>
  <r>
    <s v="ORD05865"/>
    <d v="2025-06-24T00:00:00"/>
    <x v="5"/>
    <x v="36"/>
    <x v="6"/>
    <s v="Mexico"/>
    <x v="6"/>
    <x v="29"/>
    <n v="22283"/>
    <n v="21054"/>
  </r>
  <r>
    <s v="ORD05866"/>
    <d v="2025-02-04T00:00:00"/>
    <x v="6"/>
    <x v="48"/>
    <x v="1"/>
    <s v="Turkey"/>
    <x v="32"/>
    <x v="23"/>
    <n v="18715"/>
    <n v="17350"/>
  </r>
  <r>
    <s v="ORD05867"/>
    <d v="2025-04-24T00:00:00"/>
    <x v="7"/>
    <x v="38"/>
    <x v="1"/>
    <s v="Brazil"/>
    <x v="14"/>
    <x v="21"/>
    <n v="17257"/>
    <n v="21626"/>
  </r>
  <r>
    <s v="ORD05868"/>
    <d v="2025-12-03T00:00:00"/>
    <x v="10"/>
    <x v="43"/>
    <x v="2"/>
    <s v="Thailand"/>
    <x v="40"/>
    <x v="6"/>
    <n v="37328"/>
    <n v="28388"/>
  </r>
  <r>
    <s v="ORD05869"/>
    <d v="2025-01-21T00:00:00"/>
    <x v="1"/>
    <x v="7"/>
    <x v="3"/>
    <s v="USA"/>
    <x v="13"/>
    <x v="22"/>
    <n v="36993"/>
    <n v="34161"/>
  </r>
  <r>
    <s v="ORD05870"/>
    <d v="2025-09-19T00:00:00"/>
    <x v="3"/>
    <x v="8"/>
    <x v="4"/>
    <s v="France"/>
    <x v="10"/>
    <x v="14"/>
    <n v="19250"/>
    <n v="24604"/>
  </r>
  <r>
    <s v="ORD05871"/>
    <d v="2025-08-21T00:00:00"/>
    <x v="11"/>
    <x v="46"/>
    <x v="1"/>
    <s v="Mexico"/>
    <x v="22"/>
    <x v="2"/>
    <n v="31255"/>
    <n v="40546"/>
  </r>
  <r>
    <s v="ORD05872"/>
    <d v="2025-07-02T00:00:00"/>
    <x v="0"/>
    <x v="37"/>
    <x v="5"/>
    <s v="Brazil"/>
    <x v="9"/>
    <x v="4"/>
    <n v="21485"/>
    <n v="20523"/>
  </r>
  <r>
    <s v="ORD05873"/>
    <d v="2025-11-26T00:00:00"/>
    <x v="2"/>
    <x v="11"/>
    <x v="6"/>
    <s v="Thailand"/>
    <x v="44"/>
    <x v="14"/>
    <n v="20684"/>
    <n v="15227"/>
  </r>
  <r>
    <s v="ORD05874"/>
    <d v="2025-09-26T00:00:00"/>
    <x v="3"/>
    <x v="25"/>
    <x v="2"/>
    <s v="Spain"/>
    <x v="24"/>
    <x v="10"/>
    <n v="25471"/>
    <n v="25146"/>
  </r>
  <r>
    <s v="ORD05875"/>
    <d v="2025-05-09T00:00:00"/>
    <x v="8"/>
    <x v="18"/>
    <x v="4"/>
    <s v="Mexico"/>
    <x v="36"/>
    <x v="8"/>
    <n v="35899"/>
    <n v="43766"/>
  </r>
  <r>
    <s v="ORD05876"/>
    <d v="2025-08-13T00:00:00"/>
    <x v="11"/>
    <x v="30"/>
    <x v="1"/>
    <s v="Italy"/>
    <x v="42"/>
    <x v="0"/>
    <n v="18141"/>
    <n v="23224"/>
  </r>
  <r>
    <s v="ORD05877"/>
    <d v="2025-07-15T00:00:00"/>
    <x v="0"/>
    <x v="14"/>
    <x v="4"/>
    <s v="South Africa"/>
    <x v="10"/>
    <x v="16"/>
    <n v="15532"/>
    <n v="11406"/>
  </r>
  <r>
    <s v="ORD05878"/>
    <d v="2025-05-10T00:00:00"/>
    <x v="8"/>
    <x v="18"/>
    <x v="2"/>
    <s v="Russia"/>
    <x v="40"/>
    <x v="2"/>
    <n v="37088"/>
    <n v="47246"/>
  </r>
  <r>
    <s v="ORD05879"/>
    <d v="2025-10-05T00:00:00"/>
    <x v="4"/>
    <x v="49"/>
    <x v="3"/>
    <s v="India"/>
    <x v="48"/>
    <x v="27"/>
    <n v="38602"/>
    <n v="27338"/>
  </r>
  <r>
    <s v="ORD05880"/>
    <d v="2025-11-03T00:00:00"/>
    <x v="2"/>
    <x v="51"/>
    <x v="1"/>
    <s v="Germany"/>
    <x v="19"/>
    <x v="16"/>
    <n v="35076"/>
    <n v="37427"/>
  </r>
  <r>
    <s v="ORD05881"/>
    <d v="2025-12-29T00:00:00"/>
    <x v="10"/>
    <x v="5"/>
    <x v="5"/>
    <s v="Turkey"/>
    <x v="28"/>
    <x v="6"/>
    <n v="37130"/>
    <n v="45596"/>
  </r>
  <r>
    <s v="ORD05882"/>
    <d v="2025-07-08T00:00:00"/>
    <x v="0"/>
    <x v="47"/>
    <x v="0"/>
    <s v="USA"/>
    <x v="33"/>
    <x v="20"/>
    <n v="33700"/>
    <n v="38438"/>
  </r>
  <r>
    <s v="ORD05883"/>
    <d v="2025-01-05T00:00:00"/>
    <x v="1"/>
    <x v="5"/>
    <x v="4"/>
    <s v="UAE"/>
    <x v="39"/>
    <x v="5"/>
    <n v="25091"/>
    <n v="32608"/>
  </r>
  <r>
    <s v="ORD05884"/>
    <d v="2025-06-03T00:00:00"/>
    <x v="5"/>
    <x v="41"/>
    <x v="1"/>
    <s v="Italy"/>
    <x v="47"/>
    <x v="27"/>
    <n v="33798"/>
    <n v="29693"/>
  </r>
  <r>
    <s v="ORD05885"/>
    <d v="2025-04-23T00:00:00"/>
    <x v="7"/>
    <x v="38"/>
    <x v="0"/>
    <s v="UK"/>
    <x v="36"/>
    <x v="11"/>
    <n v="19572"/>
    <n v="21920"/>
  </r>
  <r>
    <s v="ORD05886"/>
    <d v="2025-07-22T00:00:00"/>
    <x v="0"/>
    <x v="0"/>
    <x v="2"/>
    <s v="Spain"/>
    <x v="44"/>
    <x v="22"/>
    <n v="30980"/>
    <n v="35526"/>
  </r>
  <r>
    <s v="ORD05887"/>
    <d v="2025-12-24T00:00:00"/>
    <x v="10"/>
    <x v="42"/>
    <x v="2"/>
    <s v="Australia"/>
    <x v="29"/>
    <x v="27"/>
    <n v="39973"/>
    <n v="40318"/>
  </r>
  <r>
    <s v="ORD05888"/>
    <d v="2025-01-10T00:00:00"/>
    <x v="1"/>
    <x v="6"/>
    <x v="3"/>
    <s v="USA"/>
    <x v="21"/>
    <x v="18"/>
    <n v="33596"/>
    <n v="42231"/>
  </r>
  <r>
    <s v="ORD05889"/>
    <d v="2025-06-29T00:00:00"/>
    <x v="5"/>
    <x v="36"/>
    <x v="1"/>
    <s v="China"/>
    <x v="6"/>
    <x v="0"/>
    <n v="21707"/>
    <n v="26843"/>
  </r>
  <r>
    <s v="ORD05890"/>
    <d v="2025-09-22T00:00:00"/>
    <x v="3"/>
    <x v="25"/>
    <x v="5"/>
    <s v="UK"/>
    <x v="45"/>
    <x v="4"/>
    <n v="28804"/>
    <n v="36971"/>
  </r>
  <r>
    <s v="ORD05891"/>
    <d v="2025-07-14T00:00:00"/>
    <x v="0"/>
    <x v="14"/>
    <x v="5"/>
    <s v="South Africa"/>
    <x v="20"/>
    <x v="28"/>
    <n v="18195"/>
    <n v="15511"/>
  </r>
  <r>
    <s v="ORD05892"/>
    <d v="2025-04-08T00:00:00"/>
    <x v="7"/>
    <x v="16"/>
    <x v="4"/>
    <s v="UK"/>
    <x v="22"/>
    <x v="7"/>
    <n v="16795"/>
    <n v="19468"/>
  </r>
  <r>
    <s v="ORD05893"/>
    <d v="2025-02-06T00:00:00"/>
    <x v="6"/>
    <x v="48"/>
    <x v="1"/>
    <s v="Turkey"/>
    <x v="46"/>
    <x v="11"/>
    <n v="35466"/>
    <n v="45527"/>
  </r>
  <r>
    <s v="ORD05894"/>
    <d v="2025-07-25T00:00:00"/>
    <x v="0"/>
    <x v="0"/>
    <x v="5"/>
    <s v="UK"/>
    <x v="8"/>
    <x v="23"/>
    <n v="19248"/>
    <n v="16196"/>
  </r>
  <r>
    <s v="ORD05895"/>
    <d v="2025-09-15T00:00:00"/>
    <x v="3"/>
    <x v="8"/>
    <x v="5"/>
    <s v="South Africa"/>
    <x v="37"/>
    <x v="14"/>
    <n v="26001"/>
    <n v="22275"/>
  </r>
  <r>
    <s v="ORD05896"/>
    <d v="2025-01-26T00:00:00"/>
    <x v="1"/>
    <x v="7"/>
    <x v="6"/>
    <s v="UAE"/>
    <x v="19"/>
    <x v="26"/>
    <n v="26358"/>
    <n v="25001"/>
  </r>
  <r>
    <s v="ORD05897"/>
    <d v="2025-04-28T00:00:00"/>
    <x v="7"/>
    <x v="27"/>
    <x v="1"/>
    <s v="Japan"/>
    <x v="39"/>
    <x v="4"/>
    <n v="36544"/>
    <n v="46585"/>
  </r>
  <r>
    <s v="ORD05898"/>
    <d v="2025-02-12T00:00:00"/>
    <x v="6"/>
    <x v="29"/>
    <x v="6"/>
    <s v="Singapore"/>
    <x v="14"/>
    <x v="12"/>
    <n v="39222"/>
    <n v="32776"/>
  </r>
  <r>
    <s v="ORD05899"/>
    <d v="2025-12-15T00:00:00"/>
    <x v="10"/>
    <x v="21"/>
    <x v="4"/>
    <s v="China"/>
    <x v="40"/>
    <x v="24"/>
    <n v="22797"/>
    <n v="21436"/>
  </r>
  <r>
    <s v="ORD05900"/>
    <d v="2025-12-31T00:00:00"/>
    <x v="10"/>
    <x v="5"/>
    <x v="1"/>
    <s v="China"/>
    <x v="2"/>
    <x v="8"/>
    <n v="33742"/>
    <n v="41128"/>
  </r>
  <r>
    <s v="ORD05901"/>
    <d v="2025-11-07T00:00:00"/>
    <x v="2"/>
    <x v="51"/>
    <x v="4"/>
    <s v="UAE"/>
    <x v="30"/>
    <x v="6"/>
    <n v="19004"/>
    <n v="15227"/>
  </r>
  <r>
    <s v="ORD05902"/>
    <d v="2025-11-23T00:00:00"/>
    <x v="2"/>
    <x v="9"/>
    <x v="4"/>
    <s v="Germany"/>
    <x v="2"/>
    <x v="11"/>
    <n v="32992"/>
    <n v="30304"/>
  </r>
  <r>
    <s v="ORD05903"/>
    <d v="2025-03-03T00:00:00"/>
    <x v="9"/>
    <x v="35"/>
    <x v="4"/>
    <s v="South Africa"/>
    <x v="27"/>
    <x v="6"/>
    <n v="23186"/>
    <n v="19274"/>
  </r>
  <r>
    <s v="ORD05904"/>
    <d v="2025-09-15T00:00:00"/>
    <x v="3"/>
    <x v="8"/>
    <x v="4"/>
    <s v="China"/>
    <x v="11"/>
    <x v="7"/>
    <n v="23139"/>
    <n v="28265"/>
  </r>
  <r>
    <s v="ORD05905"/>
    <d v="2025-09-29T00:00:00"/>
    <x v="3"/>
    <x v="49"/>
    <x v="0"/>
    <s v="UAE"/>
    <x v="4"/>
    <x v="11"/>
    <n v="22564"/>
    <n v="25421"/>
  </r>
  <r>
    <s v="ORD05906"/>
    <d v="2025-08-15T00:00:00"/>
    <x v="11"/>
    <x v="30"/>
    <x v="0"/>
    <s v="Australia"/>
    <x v="18"/>
    <x v="24"/>
    <n v="25829"/>
    <n v="29206"/>
  </r>
  <r>
    <s v="ORD05907"/>
    <d v="2025-10-25T00:00:00"/>
    <x v="4"/>
    <x v="50"/>
    <x v="4"/>
    <s v="Australia"/>
    <x v="42"/>
    <x v="1"/>
    <n v="34546"/>
    <n v="36775"/>
  </r>
  <r>
    <s v="ORD05908"/>
    <d v="2025-07-08T00:00:00"/>
    <x v="0"/>
    <x v="47"/>
    <x v="6"/>
    <s v="Brazil"/>
    <x v="12"/>
    <x v="9"/>
    <n v="26498"/>
    <n v="23591"/>
  </r>
  <r>
    <s v="ORD05909"/>
    <d v="2025-03-21T00:00:00"/>
    <x v="9"/>
    <x v="39"/>
    <x v="5"/>
    <s v="Thailand"/>
    <x v="38"/>
    <x v="1"/>
    <n v="30464"/>
    <n v="28573"/>
  </r>
  <r>
    <s v="ORD05910"/>
    <d v="2025-08-24T00:00:00"/>
    <x v="11"/>
    <x v="46"/>
    <x v="6"/>
    <s v="France"/>
    <x v="14"/>
    <x v="4"/>
    <n v="19948"/>
    <n v="16814"/>
  </r>
  <r>
    <s v="ORD05911"/>
    <d v="2025-08-24T00:00:00"/>
    <x v="11"/>
    <x v="46"/>
    <x v="6"/>
    <s v="Malaysia"/>
    <x v="28"/>
    <x v="19"/>
    <n v="20240"/>
    <n v="25074"/>
  </r>
  <r>
    <s v="ORD05912"/>
    <d v="2025-03-28T00:00:00"/>
    <x v="9"/>
    <x v="33"/>
    <x v="2"/>
    <s v="UK"/>
    <x v="3"/>
    <x v="26"/>
    <n v="32140"/>
    <n v="37865"/>
  </r>
  <r>
    <s v="ORD05913"/>
    <d v="2025-01-19T00:00:00"/>
    <x v="1"/>
    <x v="1"/>
    <x v="5"/>
    <s v="Germany"/>
    <x v="35"/>
    <x v="27"/>
    <n v="17724"/>
    <n v="17240"/>
  </r>
  <r>
    <s v="ORD05914"/>
    <d v="2025-08-04T00:00:00"/>
    <x v="11"/>
    <x v="23"/>
    <x v="5"/>
    <s v="USA"/>
    <x v="24"/>
    <x v="12"/>
    <n v="17112"/>
    <n v="14466"/>
  </r>
  <r>
    <s v="ORD05915"/>
    <d v="2025-10-11T00:00:00"/>
    <x v="4"/>
    <x v="45"/>
    <x v="1"/>
    <s v="USA"/>
    <x v="6"/>
    <x v="16"/>
    <n v="31457"/>
    <n v="39903"/>
  </r>
  <r>
    <s v="ORD05916"/>
    <d v="2025-03-18T00:00:00"/>
    <x v="9"/>
    <x v="39"/>
    <x v="5"/>
    <s v="Australia"/>
    <x v="37"/>
    <x v="1"/>
    <n v="38626"/>
    <n v="37280"/>
  </r>
  <r>
    <s v="ORD05917"/>
    <d v="2025-05-12T00:00:00"/>
    <x v="8"/>
    <x v="17"/>
    <x v="5"/>
    <s v="Italy"/>
    <x v="20"/>
    <x v="0"/>
    <n v="28839"/>
    <n v="31255"/>
  </r>
  <r>
    <s v="ORD05918"/>
    <d v="2025-07-18T00:00:00"/>
    <x v="0"/>
    <x v="14"/>
    <x v="6"/>
    <s v="Australia"/>
    <x v="49"/>
    <x v="0"/>
    <n v="33991"/>
    <n v="29431"/>
  </r>
  <r>
    <s v="ORD05919"/>
    <d v="2025-04-20T00:00:00"/>
    <x v="7"/>
    <x v="20"/>
    <x v="5"/>
    <s v="Mexico"/>
    <x v="29"/>
    <x v="0"/>
    <n v="36757"/>
    <n v="31176"/>
  </r>
  <r>
    <s v="ORD05920"/>
    <d v="2025-02-22T00:00:00"/>
    <x v="6"/>
    <x v="15"/>
    <x v="6"/>
    <s v="Russia"/>
    <x v="34"/>
    <x v="20"/>
    <n v="27325"/>
    <n v="19238"/>
  </r>
  <r>
    <s v="ORD05921"/>
    <d v="2025-04-11T00:00:00"/>
    <x v="7"/>
    <x v="16"/>
    <x v="4"/>
    <s v="Germany"/>
    <x v="32"/>
    <x v="7"/>
    <n v="30034"/>
    <n v="37831"/>
  </r>
  <r>
    <s v="ORD05922"/>
    <d v="2025-03-25T00:00:00"/>
    <x v="9"/>
    <x v="33"/>
    <x v="5"/>
    <s v="Russia"/>
    <x v="33"/>
    <x v="29"/>
    <n v="39178"/>
    <n v="32290"/>
  </r>
  <r>
    <s v="ORD05923"/>
    <d v="2025-10-31T00:00:00"/>
    <x v="4"/>
    <x v="2"/>
    <x v="2"/>
    <s v="Brazil"/>
    <x v="35"/>
    <x v="7"/>
    <n v="38478"/>
    <n v="44663"/>
  </r>
  <r>
    <s v="ORD05924"/>
    <d v="2025-12-06T00:00:00"/>
    <x v="10"/>
    <x v="43"/>
    <x v="3"/>
    <s v="Mexico"/>
    <x v="22"/>
    <x v="15"/>
    <n v="24037"/>
    <n v="27216"/>
  </r>
  <r>
    <s v="ORD05925"/>
    <d v="2025-08-13T00:00:00"/>
    <x v="11"/>
    <x v="30"/>
    <x v="3"/>
    <s v="UAE"/>
    <x v="7"/>
    <x v="17"/>
    <n v="17695"/>
    <n v="14337"/>
  </r>
  <r>
    <s v="ORD05926"/>
    <d v="2025-12-04T00:00:00"/>
    <x v="10"/>
    <x v="43"/>
    <x v="0"/>
    <s v="Canada"/>
    <x v="41"/>
    <x v="17"/>
    <n v="37958"/>
    <n v="37421"/>
  </r>
  <r>
    <s v="ORD05927"/>
    <d v="2025-11-16T00:00:00"/>
    <x v="2"/>
    <x v="44"/>
    <x v="1"/>
    <s v="UK"/>
    <x v="13"/>
    <x v="4"/>
    <n v="26341"/>
    <n v="27965"/>
  </r>
  <r>
    <s v="ORD05928"/>
    <d v="2025-05-29T00:00:00"/>
    <x v="8"/>
    <x v="24"/>
    <x v="1"/>
    <s v="Russia"/>
    <x v="42"/>
    <x v="0"/>
    <n v="29305"/>
    <n v="36692"/>
  </r>
  <r>
    <s v="ORD05929"/>
    <d v="2025-06-11T00:00:00"/>
    <x v="5"/>
    <x v="40"/>
    <x v="4"/>
    <s v="South Africa"/>
    <x v="48"/>
    <x v="20"/>
    <n v="20341"/>
    <n v="19425"/>
  </r>
  <r>
    <s v="ORD05930"/>
    <d v="2025-09-17T00:00:00"/>
    <x v="3"/>
    <x v="8"/>
    <x v="3"/>
    <s v="Russia"/>
    <x v="48"/>
    <x v="27"/>
    <n v="39893"/>
    <n v="43779"/>
  </r>
  <r>
    <s v="ORD05931"/>
    <d v="2025-06-25T00:00:00"/>
    <x v="5"/>
    <x v="36"/>
    <x v="0"/>
    <s v="Italy"/>
    <x v="47"/>
    <x v="24"/>
    <n v="23323"/>
    <n v="17783"/>
  </r>
  <r>
    <s v="ORD05932"/>
    <d v="2025-07-17T00:00:00"/>
    <x v="0"/>
    <x v="14"/>
    <x v="5"/>
    <s v="Brazil"/>
    <x v="6"/>
    <x v="12"/>
    <n v="30594"/>
    <n v="23188"/>
  </r>
  <r>
    <s v="ORD05933"/>
    <d v="2025-11-08T00:00:00"/>
    <x v="2"/>
    <x v="51"/>
    <x v="1"/>
    <s v="Russia"/>
    <x v="36"/>
    <x v="15"/>
    <n v="24723"/>
    <n v="21314"/>
  </r>
  <r>
    <s v="ORD05934"/>
    <d v="2025-12-05T00:00:00"/>
    <x v="10"/>
    <x v="43"/>
    <x v="2"/>
    <s v="USA"/>
    <x v="27"/>
    <x v="8"/>
    <n v="17023"/>
    <n v="18723"/>
  </r>
  <r>
    <s v="ORD05935"/>
    <d v="2025-12-16T00:00:00"/>
    <x v="10"/>
    <x v="21"/>
    <x v="5"/>
    <s v="Brazil"/>
    <x v="30"/>
    <x v="8"/>
    <n v="27205"/>
    <n v="22323"/>
  </r>
  <r>
    <s v="ORD05936"/>
    <d v="2025-10-09T00:00:00"/>
    <x v="4"/>
    <x v="45"/>
    <x v="5"/>
    <s v="Canada"/>
    <x v="29"/>
    <x v="15"/>
    <n v="29256"/>
    <n v="28604"/>
  </r>
  <r>
    <s v="ORD05937"/>
    <d v="2025-09-01T00:00:00"/>
    <x v="3"/>
    <x v="4"/>
    <x v="3"/>
    <s v="Germany"/>
    <x v="27"/>
    <x v="2"/>
    <n v="20674"/>
    <n v="25389"/>
  </r>
  <r>
    <s v="ORD05938"/>
    <d v="2025-08-24T00:00:00"/>
    <x v="11"/>
    <x v="46"/>
    <x v="0"/>
    <s v="Turkey"/>
    <x v="46"/>
    <x v="15"/>
    <n v="27588"/>
    <n v="35476"/>
  </r>
  <r>
    <s v="ORD05939"/>
    <d v="2025-09-01T00:00:00"/>
    <x v="3"/>
    <x v="4"/>
    <x v="5"/>
    <s v="USA"/>
    <x v="10"/>
    <x v="4"/>
    <n v="34549"/>
    <n v="39420"/>
  </r>
  <r>
    <s v="ORD05940"/>
    <d v="2025-06-13T00:00:00"/>
    <x v="5"/>
    <x v="40"/>
    <x v="2"/>
    <s v="Italy"/>
    <x v="49"/>
    <x v="29"/>
    <n v="30023"/>
    <n v="28718"/>
  </r>
  <r>
    <s v="ORD05941"/>
    <d v="2025-10-26T00:00:00"/>
    <x v="4"/>
    <x v="50"/>
    <x v="0"/>
    <s v="USA"/>
    <x v="17"/>
    <x v="26"/>
    <n v="36960"/>
    <n v="25972"/>
  </r>
  <r>
    <s v="ORD05942"/>
    <d v="2025-08-06T00:00:00"/>
    <x v="11"/>
    <x v="23"/>
    <x v="5"/>
    <s v="Japan"/>
    <x v="7"/>
    <x v="15"/>
    <n v="15605"/>
    <n v="19881"/>
  </r>
  <r>
    <s v="ORD05943"/>
    <d v="2025-07-11T00:00:00"/>
    <x v="0"/>
    <x v="47"/>
    <x v="4"/>
    <s v="Japan"/>
    <x v="43"/>
    <x v="23"/>
    <n v="38982"/>
    <n v="33264"/>
  </r>
  <r>
    <s v="ORD05944"/>
    <d v="2025-12-23T00:00:00"/>
    <x v="10"/>
    <x v="42"/>
    <x v="0"/>
    <s v="South Africa"/>
    <x v="33"/>
    <x v="10"/>
    <n v="21836"/>
    <n v="20238"/>
  </r>
  <r>
    <s v="ORD05945"/>
    <d v="2025-08-31T00:00:00"/>
    <x v="11"/>
    <x v="28"/>
    <x v="0"/>
    <s v="Japan"/>
    <x v="40"/>
    <x v="16"/>
    <n v="22994"/>
    <n v="28656"/>
  </r>
  <r>
    <s v="ORD05946"/>
    <d v="2025-09-02T00:00:00"/>
    <x v="3"/>
    <x v="4"/>
    <x v="6"/>
    <s v="USA"/>
    <x v="41"/>
    <x v="19"/>
    <n v="33714"/>
    <n v="30813"/>
  </r>
  <r>
    <s v="ORD05947"/>
    <d v="2025-11-07T00:00:00"/>
    <x v="2"/>
    <x v="51"/>
    <x v="2"/>
    <s v="USA"/>
    <x v="25"/>
    <x v="19"/>
    <n v="39714"/>
    <n v="38611"/>
  </r>
  <r>
    <s v="ORD05948"/>
    <d v="2025-08-13T00:00:00"/>
    <x v="11"/>
    <x v="30"/>
    <x v="6"/>
    <s v="UAE"/>
    <x v="28"/>
    <x v="26"/>
    <n v="36677"/>
    <n v="27957"/>
  </r>
  <r>
    <s v="ORD05949"/>
    <d v="2025-11-21T00:00:00"/>
    <x v="2"/>
    <x v="9"/>
    <x v="1"/>
    <s v="Australia"/>
    <x v="0"/>
    <x v="5"/>
    <n v="34212"/>
    <n v="26451"/>
  </r>
  <r>
    <s v="ORD05950"/>
    <d v="2025-11-27T00:00:00"/>
    <x v="2"/>
    <x v="11"/>
    <x v="5"/>
    <s v="Spain"/>
    <x v="5"/>
    <x v="27"/>
    <n v="35483"/>
    <n v="36623"/>
  </r>
  <r>
    <s v="ORD05951"/>
    <d v="2025-03-12T00:00:00"/>
    <x v="9"/>
    <x v="19"/>
    <x v="5"/>
    <s v="India"/>
    <x v="0"/>
    <x v="20"/>
    <n v="22437"/>
    <n v="22806"/>
  </r>
  <r>
    <s v="ORD05952"/>
    <d v="2025-03-23T00:00:00"/>
    <x v="9"/>
    <x v="39"/>
    <x v="5"/>
    <s v="Italy"/>
    <x v="16"/>
    <x v="19"/>
    <n v="17982"/>
    <n v="16213"/>
  </r>
  <r>
    <s v="ORD05953"/>
    <d v="2025-09-13T00:00:00"/>
    <x v="3"/>
    <x v="31"/>
    <x v="3"/>
    <s v="Russia"/>
    <x v="0"/>
    <x v="9"/>
    <n v="37865"/>
    <n v="38276"/>
  </r>
  <r>
    <s v="ORD05954"/>
    <d v="2025-08-18T00:00:00"/>
    <x v="11"/>
    <x v="46"/>
    <x v="4"/>
    <s v="Mexico"/>
    <x v="41"/>
    <x v="29"/>
    <n v="15589"/>
    <n v="15799"/>
  </r>
  <r>
    <s v="ORD05955"/>
    <d v="2025-05-13T00:00:00"/>
    <x v="8"/>
    <x v="17"/>
    <x v="1"/>
    <s v="Russia"/>
    <x v="40"/>
    <x v="10"/>
    <n v="15515"/>
    <n v="13033"/>
  </r>
  <r>
    <s v="ORD05956"/>
    <d v="2025-12-08T00:00:00"/>
    <x v="10"/>
    <x v="32"/>
    <x v="3"/>
    <s v="Mexico"/>
    <x v="37"/>
    <x v="5"/>
    <n v="24234"/>
    <n v="21794"/>
  </r>
  <r>
    <s v="ORD05957"/>
    <d v="2025-10-28T00:00:00"/>
    <x v="4"/>
    <x v="2"/>
    <x v="6"/>
    <s v="USA"/>
    <x v="48"/>
    <x v="14"/>
    <n v="22448"/>
    <n v="21371"/>
  </r>
  <r>
    <s v="ORD05958"/>
    <d v="2025-03-21T00:00:00"/>
    <x v="9"/>
    <x v="39"/>
    <x v="5"/>
    <s v="Spain"/>
    <x v="16"/>
    <x v="13"/>
    <n v="23413"/>
    <n v="18017"/>
  </r>
  <r>
    <s v="ORD05959"/>
    <d v="2025-12-19T00:00:00"/>
    <x v="10"/>
    <x v="21"/>
    <x v="5"/>
    <s v="South Africa"/>
    <x v="0"/>
    <x v="6"/>
    <n v="39707"/>
    <n v="28186"/>
  </r>
  <r>
    <s v="ORD05960"/>
    <d v="2025-10-18T00:00:00"/>
    <x v="4"/>
    <x v="10"/>
    <x v="5"/>
    <s v="Australia"/>
    <x v="20"/>
    <x v="10"/>
    <n v="15862"/>
    <n v="14958"/>
  </r>
  <r>
    <s v="ORD05961"/>
    <d v="2025-02-28T00:00:00"/>
    <x v="6"/>
    <x v="22"/>
    <x v="3"/>
    <s v="Malaysia"/>
    <x v="44"/>
    <x v="8"/>
    <n v="36423"/>
    <n v="40613"/>
  </r>
  <r>
    <s v="ORD05962"/>
    <d v="2025-02-01T00:00:00"/>
    <x v="6"/>
    <x v="3"/>
    <x v="6"/>
    <s v="China"/>
    <x v="32"/>
    <x v="11"/>
    <n v="26823"/>
    <n v="26172"/>
  </r>
  <r>
    <s v="ORD05963"/>
    <d v="2025-08-14T00:00:00"/>
    <x v="11"/>
    <x v="30"/>
    <x v="3"/>
    <s v="France"/>
    <x v="16"/>
    <x v="27"/>
    <n v="31039"/>
    <n v="38129"/>
  </r>
  <r>
    <s v="ORD05964"/>
    <d v="2025-12-16T00:00:00"/>
    <x v="10"/>
    <x v="21"/>
    <x v="5"/>
    <s v="Spain"/>
    <x v="31"/>
    <x v="2"/>
    <n v="19480"/>
    <n v="20139"/>
  </r>
  <r>
    <s v="ORD05965"/>
    <d v="2025-12-23T00:00:00"/>
    <x v="10"/>
    <x v="42"/>
    <x v="0"/>
    <s v="France"/>
    <x v="43"/>
    <x v="23"/>
    <n v="35676"/>
    <n v="28342"/>
  </r>
  <r>
    <s v="ORD05966"/>
    <d v="2025-05-16T00:00:00"/>
    <x v="8"/>
    <x v="17"/>
    <x v="2"/>
    <s v="France"/>
    <x v="31"/>
    <x v="20"/>
    <n v="28070"/>
    <n v="23222"/>
  </r>
  <r>
    <s v="ORD05967"/>
    <d v="2025-04-03T00:00:00"/>
    <x v="7"/>
    <x v="34"/>
    <x v="5"/>
    <s v="Turkey"/>
    <x v="37"/>
    <x v="23"/>
    <n v="20562"/>
    <n v="25230"/>
  </r>
  <r>
    <s v="ORD05968"/>
    <d v="2025-06-26T00:00:00"/>
    <x v="5"/>
    <x v="36"/>
    <x v="0"/>
    <s v="Brazil"/>
    <x v="8"/>
    <x v="11"/>
    <n v="34595"/>
    <n v="34862"/>
  </r>
  <r>
    <s v="ORD05969"/>
    <d v="2025-02-20T00:00:00"/>
    <x v="6"/>
    <x v="15"/>
    <x v="4"/>
    <s v="Brazil"/>
    <x v="20"/>
    <x v="23"/>
    <n v="20952"/>
    <n v="15222"/>
  </r>
  <r>
    <s v="ORD05970"/>
    <d v="2025-12-05T00:00:00"/>
    <x v="10"/>
    <x v="43"/>
    <x v="1"/>
    <s v="Turkey"/>
    <x v="5"/>
    <x v="8"/>
    <n v="17830"/>
    <n v="22368"/>
  </r>
  <r>
    <s v="ORD05971"/>
    <d v="2025-01-25T00:00:00"/>
    <x v="1"/>
    <x v="7"/>
    <x v="5"/>
    <s v="India"/>
    <x v="26"/>
    <x v="1"/>
    <n v="29816"/>
    <n v="37977"/>
  </r>
  <r>
    <s v="ORD05972"/>
    <d v="2025-03-10T00:00:00"/>
    <x v="9"/>
    <x v="19"/>
    <x v="5"/>
    <s v="Italy"/>
    <x v="18"/>
    <x v="9"/>
    <n v="19388"/>
    <n v="15802"/>
  </r>
  <r>
    <s v="ORD05973"/>
    <d v="2025-01-28T00:00:00"/>
    <x v="1"/>
    <x v="3"/>
    <x v="4"/>
    <s v="Brazil"/>
    <x v="39"/>
    <x v="21"/>
    <n v="24129"/>
    <n v="22199"/>
  </r>
  <r>
    <s v="ORD05974"/>
    <d v="2025-04-09T00:00:00"/>
    <x v="7"/>
    <x v="16"/>
    <x v="0"/>
    <s v="Spain"/>
    <x v="34"/>
    <x v="17"/>
    <n v="36241"/>
    <n v="31172"/>
  </r>
  <r>
    <s v="ORD05975"/>
    <d v="2025-05-01T00:00:00"/>
    <x v="8"/>
    <x v="27"/>
    <x v="2"/>
    <s v="India"/>
    <x v="1"/>
    <x v="10"/>
    <n v="21137"/>
    <n v="22630"/>
  </r>
  <r>
    <s v="ORD05976"/>
    <d v="2025-01-02T00:00:00"/>
    <x v="1"/>
    <x v="5"/>
    <x v="1"/>
    <s v="UAE"/>
    <x v="20"/>
    <x v="4"/>
    <n v="30437"/>
    <n v="22082"/>
  </r>
  <r>
    <s v="ORD05977"/>
    <d v="2025-08-03T00:00:00"/>
    <x v="11"/>
    <x v="12"/>
    <x v="3"/>
    <s v="Turkey"/>
    <x v="6"/>
    <x v="2"/>
    <n v="25182"/>
    <n v="30049"/>
  </r>
  <r>
    <s v="ORD05978"/>
    <d v="2025-07-06T00:00:00"/>
    <x v="0"/>
    <x v="37"/>
    <x v="0"/>
    <s v="Canada"/>
    <x v="34"/>
    <x v="25"/>
    <n v="19299"/>
    <n v="15678"/>
  </r>
  <r>
    <s v="ORD05979"/>
    <d v="2025-06-21T00:00:00"/>
    <x v="5"/>
    <x v="13"/>
    <x v="5"/>
    <s v="Thailand"/>
    <x v="14"/>
    <x v="22"/>
    <n v="15417"/>
    <n v="15731"/>
  </r>
  <r>
    <s v="ORD05980"/>
    <d v="2025-01-01T00:00:00"/>
    <x v="1"/>
    <x v="5"/>
    <x v="0"/>
    <s v="Russia"/>
    <x v="17"/>
    <x v="4"/>
    <n v="26414"/>
    <n v="21268"/>
  </r>
  <r>
    <s v="ORD05981"/>
    <d v="2025-08-28T00:00:00"/>
    <x v="11"/>
    <x v="28"/>
    <x v="2"/>
    <s v="UAE"/>
    <x v="29"/>
    <x v="11"/>
    <n v="39187"/>
    <n v="43145"/>
  </r>
  <r>
    <s v="ORD05982"/>
    <d v="2025-06-19T00:00:00"/>
    <x v="5"/>
    <x v="13"/>
    <x v="3"/>
    <s v="Brazil"/>
    <x v="38"/>
    <x v="29"/>
    <n v="34113"/>
    <n v="39785"/>
  </r>
  <r>
    <s v="ORD05983"/>
    <d v="2025-03-12T00:00:00"/>
    <x v="9"/>
    <x v="19"/>
    <x v="2"/>
    <s v="Germany"/>
    <x v="14"/>
    <x v="7"/>
    <n v="15437"/>
    <n v="13360"/>
  </r>
  <r>
    <s v="ORD05984"/>
    <d v="2025-01-15T00:00:00"/>
    <x v="1"/>
    <x v="1"/>
    <x v="6"/>
    <s v="South Africa"/>
    <x v="39"/>
    <x v="17"/>
    <n v="28129"/>
    <n v="30568"/>
  </r>
  <r>
    <s v="ORD05985"/>
    <d v="2025-06-20T00:00:00"/>
    <x v="5"/>
    <x v="13"/>
    <x v="5"/>
    <s v="Canada"/>
    <x v="46"/>
    <x v="15"/>
    <n v="26267"/>
    <n v="31510"/>
  </r>
  <r>
    <s v="ORD05986"/>
    <d v="2025-04-03T00:00:00"/>
    <x v="7"/>
    <x v="34"/>
    <x v="6"/>
    <s v="Malaysia"/>
    <x v="8"/>
    <x v="23"/>
    <n v="23499"/>
    <n v="28351"/>
  </r>
  <r>
    <s v="ORD05987"/>
    <d v="2025-02-09T00:00:00"/>
    <x v="6"/>
    <x v="48"/>
    <x v="4"/>
    <s v="Thailand"/>
    <x v="4"/>
    <x v="3"/>
    <n v="28644"/>
    <n v="32725"/>
  </r>
  <r>
    <s v="ORD05988"/>
    <d v="2025-08-23T00:00:00"/>
    <x v="11"/>
    <x v="46"/>
    <x v="1"/>
    <s v="Spain"/>
    <x v="46"/>
    <x v="28"/>
    <n v="24474"/>
    <n v="29741"/>
  </r>
  <r>
    <s v="ORD05989"/>
    <d v="2025-12-10T00:00:00"/>
    <x v="10"/>
    <x v="32"/>
    <x v="2"/>
    <s v="Brazil"/>
    <x v="40"/>
    <x v="9"/>
    <n v="35108"/>
    <n v="26658"/>
  </r>
  <r>
    <s v="ORD05990"/>
    <d v="2025-03-23T00:00:00"/>
    <x v="9"/>
    <x v="39"/>
    <x v="6"/>
    <s v="Spain"/>
    <x v="44"/>
    <x v="12"/>
    <n v="17437"/>
    <n v="18798"/>
  </r>
  <r>
    <s v="ORD05991"/>
    <d v="2025-10-02T00:00:00"/>
    <x v="4"/>
    <x v="49"/>
    <x v="1"/>
    <s v="Germany"/>
    <x v="29"/>
    <x v="13"/>
    <n v="35206"/>
    <n v="38253"/>
  </r>
  <r>
    <s v="ORD05992"/>
    <d v="2025-09-04T00:00:00"/>
    <x v="3"/>
    <x v="4"/>
    <x v="0"/>
    <s v="China"/>
    <x v="2"/>
    <x v="5"/>
    <n v="16626"/>
    <n v="20988"/>
  </r>
  <r>
    <s v="ORD05993"/>
    <d v="2025-02-11T00:00:00"/>
    <x v="6"/>
    <x v="29"/>
    <x v="5"/>
    <s v="Malaysia"/>
    <x v="10"/>
    <x v="26"/>
    <n v="26779"/>
    <n v="25579"/>
  </r>
  <r>
    <s v="ORD05994"/>
    <d v="2025-11-26T00:00:00"/>
    <x v="2"/>
    <x v="11"/>
    <x v="0"/>
    <s v="France"/>
    <x v="38"/>
    <x v="22"/>
    <n v="30882"/>
    <n v="38539"/>
  </r>
  <r>
    <s v="ORD05995"/>
    <d v="2025-10-20T00:00:00"/>
    <x v="4"/>
    <x v="50"/>
    <x v="4"/>
    <s v="India"/>
    <x v="16"/>
    <x v="9"/>
    <n v="25043"/>
    <n v="26223"/>
  </r>
  <r>
    <s v="ORD05996"/>
    <d v="2025-10-23T00:00:00"/>
    <x v="4"/>
    <x v="50"/>
    <x v="0"/>
    <s v="Mexico"/>
    <x v="35"/>
    <x v="11"/>
    <n v="18728"/>
    <n v="21782"/>
  </r>
  <r>
    <s v="ORD05997"/>
    <d v="2025-02-01T00:00:00"/>
    <x v="6"/>
    <x v="3"/>
    <x v="4"/>
    <s v="India"/>
    <x v="44"/>
    <x v="13"/>
    <n v="34743"/>
    <n v="42700"/>
  </r>
  <r>
    <s v="ORD05998"/>
    <d v="2025-06-14T00:00:00"/>
    <x v="5"/>
    <x v="40"/>
    <x v="3"/>
    <s v="France"/>
    <x v="34"/>
    <x v="27"/>
    <n v="29875"/>
    <n v="32953"/>
  </r>
  <r>
    <s v="ORD05999"/>
    <d v="2025-11-24T00:00:00"/>
    <x v="2"/>
    <x v="11"/>
    <x v="5"/>
    <s v="Canada"/>
    <x v="7"/>
    <x v="19"/>
    <n v="23794"/>
    <n v="27206"/>
  </r>
  <r>
    <s v="ORD06000"/>
    <d v="2025-12-24T00:00:00"/>
    <x v="10"/>
    <x v="42"/>
    <x v="0"/>
    <s v="India"/>
    <x v="14"/>
    <x v="21"/>
    <n v="26548"/>
    <n v="33478"/>
  </r>
  <r>
    <s v="ORD06001"/>
    <d v="2025-06-19T00:00:00"/>
    <x v="5"/>
    <x v="13"/>
    <x v="1"/>
    <s v="Russia"/>
    <x v="44"/>
    <x v="0"/>
    <n v="15102"/>
    <n v="12196"/>
  </r>
  <r>
    <s v="ORD06002"/>
    <d v="2025-07-13T00:00:00"/>
    <x v="0"/>
    <x v="47"/>
    <x v="2"/>
    <s v="France"/>
    <x v="46"/>
    <x v="18"/>
    <n v="20398"/>
    <n v="19029"/>
  </r>
  <r>
    <s v="ORD06003"/>
    <d v="2025-01-23T00:00:00"/>
    <x v="1"/>
    <x v="7"/>
    <x v="0"/>
    <s v="UAE"/>
    <x v="33"/>
    <x v="13"/>
    <n v="16321"/>
    <n v="20677"/>
  </r>
  <r>
    <s v="ORD06004"/>
    <d v="2025-10-12T00:00:00"/>
    <x v="4"/>
    <x v="45"/>
    <x v="0"/>
    <s v="UAE"/>
    <x v="35"/>
    <x v="2"/>
    <n v="34191"/>
    <n v="34648"/>
  </r>
  <r>
    <s v="ORD06005"/>
    <d v="2025-04-27T00:00:00"/>
    <x v="7"/>
    <x v="38"/>
    <x v="2"/>
    <s v="Germany"/>
    <x v="4"/>
    <x v="24"/>
    <n v="35704"/>
    <n v="34005"/>
  </r>
  <r>
    <s v="ORD06006"/>
    <d v="2025-09-25T00:00:00"/>
    <x v="3"/>
    <x v="25"/>
    <x v="4"/>
    <s v="Germany"/>
    <x v="4"/>
    <x v="5"/>
    <n v="38693"/>
    <n v="48644"/>
  </r>
  <r>
    <s v="ORD06007"/>
    <d v="2025-09-17T00:00:00"/>
    <x v="3"/>
    <x v="8"/>
    <x v="3"/>
    <s v="Italy"/>
    <x v="5"/>
    <x v="9"/>
    <n v="31584"/>
    <n v="38833"/>
  </r>
  <r>
    <s v="ORD06008"/>
    <d v="2025-07-03T00:00:00"/>
    <x v="0"/>
    <x v="37"/>
    <x v="4"/>
    <s v="Malaysia"/>
    <x v="22"/>
    <x v="20"/>
    <n v="16818"/>
    <n v="12425"/>
  </r>
  <r>
    <s v="ORD06009"/>
    <d v="2025-07-02T00:00:00"/>
    <x v="0"/>
    <x v="37"/>
    <x v="2"/>
    <s v="Thailand"/>
    <x v="5"/>
    <x v="20"/>
    <n v="33101"/>
    <n v="41563"/>
  </r>
  <r>
    <s v="ORD06010"/>
    <d v="2025-01-11T00:00:00"/>
    <x v="1"/>
    <x v="6"/>
    <x v="1"/>
    <s v="Australia"/>
    <x v="44"/>
    <x v="11"/>
    <n v="38076"/>
    <n v="32452"/>
  </r>
  <r>
    <s v="ORD06011"/>
    <d v="2025-10-04T00:00:00"/>
    <x v="4"/>
    <x v="49"/>
    <x v="1"/>
    <s v="France"/>
    <x v="27"/>
    <x v="10"/>
    <n v="19982"/>
    <n v="23244"/>
  </r>
  <r>
    <s v="ORD06012"/>
    <d v="2025-01-02T00:00:00"/>
    <x v="1"/>
    <x v="5"/>
    <x v="6"/>
    <s v="Australia"/>
    <x v="24"/>
    <x v="7"/>
    <n v="19848"/>
    <n v="24891"/>
  </r>
  <r>
    <s v="ORD06013"/>
    <d v="2025-10-08T00:00:00"/>
    <x v="4"/>
    <x v="45"/>
    <x v="6"/>
    <s v="Mexico"/>
    <x v="25"/>
    <x v="8"/>
    <n v="39703"/>
    <n v="31534"/>
  </r>
  <r>
    <s v="ORD06014"/>
    <d v="2025-12-05T00:00:00"/>
    <x v="10"/>
    <x v="43"/>
    <x v="2"/>
    <s v="UAE"/>
    <x v="30"/>
    <x v="2"/>
    <n v="21663"/>
    <n v="15175"/>
  </r>
  <r>
    <s v="ORD06015"/>
    <d v="2025-11-09T00:00:00"/>
    <x v="2"/>
    <x v="51"/>
    <x v="3"/>
    <s v="Mexico"/>
    <x v="25"/>
    <x v="13"/>
    <n v="32790"/>
    <n v="39826"/>
  </r>
  <r>
    <s v="ORD06016"/>
    <d v="2025-01-06T00:00:00"/>
    <x v="1"/>
    <x v="6"/>
    <x v="3"/>
    <s v="South Africa"/>
    <x v="44"/>
    <x v="5"/>
    <n v="30768"/>
    <n v="33479"/>
  </r>
  <r>
    <s v="ORD06017"/>
    <d v="2025-05-11T00:00:00"/>
    <x v="8"/>
    <x v="18"/>
    <x v="0"/>
    <s v="India"/>
    <x v="46"/>
    <x v="18"/>
    <n v="15619"/>
    <n v="16255"/>
  </r>
  <r>
    <s v="ORD06018"/>
    <d v="2025-11-20T00:00:00"/>
    <x v="2"/>
    <x v="9"/>
    <x v="0"/>
    <s v="Brazil"/>
    <x v="17"/>
    <x v="17"/>
    <n v="18824"/>
    <n v="24041"/>
  </r>
  <r>
    <s v="ORD06019"/>
    <d v="2025-09-16T00:00:00"/>
    <x v="3"/>
    <x v="8"/>
    <x v="2"/>
    <s v="Australia"/>
    <x v="39"/>
    <x v="0"/>
    <n v="19373"/>
    <n v="17123"/>
  </r>
  <r>
    <s v="ORD06020"/>
    <d v="2025-12-19T00:00:00"/>
    <x v="10"/>
    <x v="21"/>
    <x v="0"/>
    <s v="South Africa"/>
    <x v="29"/>
    <x v="4"/>
    <n v="27980"/>
    <n v="19737"/>
  </r>
  <r>
    <s v="ORD06021"/>
    <d v="2025-12-02T00:00:00"/>
    <x v="10"/>
    <x v="43"/>
    <x v="3"/>
    <s v="India"/>
    <x v="45"/>
    <x v="11"/>
    <n v="19881"/>
    <n v="24186"/>
  </r>
  <r>
    <s v="ORD06022"/>
    <d v="2025-08-17T00:00:00"/>
    <x v="11"/>
    <x v="30"/>
    <x v="3"/>
    <s v="South Africa"/>
    <x v="46"/>
    <x v="2"/>
    <n v="33051"/>
    <n v="41846"/>
  </r>
  <r>
    <s v="ORD06023"/>
    <d v="2025-01-01T00:00:00"/>
    <x v="1"/>
    <x v="5"/>
    <x v="5"/>
    <s v="Turkey"/>
    <x v="21"/>
    <x v="13"/>
    <n v="23465"/>
    <n v="22232"/>
  </r>
  <r>
    <s v="ORD06024"/>
    <d v="2025-03-27T00:00:00"/>
    <x v="9"/>
    <x v="33"/>
    <x v="3"/>
    <s v="China"/>
    <x v="3"/>
    <x v="7"/>
    <n v="25168"/>
    <n v="22105"/>
  </r>
  <r>
    <s v="ORD06025"/>
    <d v="2025-11-13T00:00:00"/>
    <x v="2"/>
    <x v="44"/>
    <x v="4"/>
    <s v="Russia"/>
    <x v="28"/>
    <x v="29"/>
    <n v="24914"/>
    <n v="25246"/>
  </r>
  <r>
    <s v="ORD06026"/>
    <d v="2025-08-30T00:00:00"/>
    <x v="11"/>
    <x v="28"/>
    <x v="4"/>
    <s v="South Africa"/>
    <x v="16"/>
    <x v="6"/>
    <n v="36483"/>
    <n v="42086"/>
  </r>
  <r>
    <s v="ORD06027"/>
    <d v="2025-01-20T00:00:00"/>
    <x v="1"/>
    <x v="7"/>
    <x v="2"/>
    <s v="Singapore"/>
    <x v="34"/>
    <x v="16"/>
    <n v="20957"/>
    <n v="26085"/>
  </r>
  <r>
    <s v="ORD06028"/>
    <d v="2025-04-30T00:00:00"/>
    <x v="7"/>
    <x v="27"/>
    <x v="1"/>
    <s v="USA"/>
    <x v="47"/>
    <x v="18"/>
    <n v="35468"/>
    <n v="31056"/>
  </r>
  <r>
    <s v="ORD06029"/>
    <d v="2025-02-16T00:00:00"/>
    <x v="6"/>
    <x v="29"/>
    <x v="4"/>
    <s v="Japan"/>
    <x v="29"/>
    <x v="28"/>
    <n v="15626"/>
    <n v="11311"/>
  </r>
  <r>
    <s v="ORD06030"/>
    <d v="2025-08-08T00:00:00"/>
    <x v="11"/>
    <x v="23"/>
    <x v="2"/>
    <s v="UAE"/>
    <x v="32"/>
    <x v="24"/>
    <n v="28484"/>
    <n v="31025"/>
  </r>
  <r>
    <s v="ORD06031"/>
    <d v="2025-05-06T00:00:00"/>
    <x v="8"/>
    <x v="18"/>
    <x v="0"/>
    <s v="Malaysia"/>
    <x v="34"/>
    <x v="19"/>
    <n v="20678"/>
    <n v="23662"/>
  </r>
  <r>
    <s v="ORD06032"/>
    <d v="2025-05-29T00:00:00"/>
    <x v="8"/>
    <x v="24"/>
    <x v="5"/>
    <s v="Germany"/>
    <x v="14"/>
    <x v="13"/>
    <n v="31356"/>
    <n v="28839"/>
  </r>
  <r>
    <s v="ORD06033"/>
    <d v="2025-04-25T00:00:00"/>
    <x v="7"/>
    <x v="38"/>
    <x v="5"/>
    <s v="UAE"/>
    <x v="44"/>
    <x v="11"/>
    <n v="19143"/>
    <n v="19915"/>
  </r>
  <r>
    <s v="ORD06034"/>
    <d v="2025-08-16T00:00:00"/>
    <x v="11"/>
    <x v="30"/>
    <x v="2"/>
    <s v="Canada"/>
    <x v="15"/>
    <x v="12"/>
    <n v="26047"/>
    <n v="21780"/>
  </r>
  <r>
    <s v="ORD06035"/>
    <d v="2025-04-22T00:00:00"/>
    <x v="7"/>
    <x v="38"/>
    <x v="4"/>
    <s v="France"/>
    <x v="13"/>
    <x v="1"/>
    <n v="36981"/>
    <n v="30795"/>
  </r>
  <r>
    <s v="ORD06036"/>
    <d v="2025-04-27T00:00:00"/>
    <x v="7"/>
    <x v="38"/>
    <x v="3"/>
    <s v="Australia"/>
    <x v="44"/>
    <x v="13"/>
    <n v="36123"/>
    <n v="44848"/>
  </r>
  <r>
    <s v="ORD06037"/>
    <d v="2025-06-02T00:00:00"/>
    <x v="5"/>
    <x v="41"/>
    <x v="6"/>
    <s v="France"/>
    <x v="0"/>
    <x v="29"/>
    <n v="19127"/>
    <n v="18086"/>
  </r>
  <r>
    <s v="ORD06038"/>
    <d v="2025-07-01T00:00:00"/>
    <x v="0"/>
    <x v="37"/>
    <x v="2"/>
    <s v="Germany"/>
    <x v="6"/>
    <x v="28"/>
    <n v="39458"/>
    <n v="39200"/>
  </r>
  <r>
    <s v="ORD06039"/>
    <d v="2025-08-31T00:00:00"/>
    <x v="11"/>
    <x v="28"/>
    <x v="4"/>
    <s v="Germany"/>
    <x v="8"/>
    <x v="16"/>
    <n v="23874"/>
    <n v="28446"/>
  </r>
  <r>
    <s v="ORD06040"/>
    <d v="2025-08-22T00:00:00"/>
    <x v="11"/>
    <x v="46"/>
    <x v="3"/>
    <s v="Italy"/>
    <x v="22"/>
    <x v="17"/>
    <n v="16762"/>
    <n v="13471"/>
  </r>
  <r>
    <s v="ORD06041"/>
    <d v="2025-06-29T00:00:00"/>
    <x v="5"/>
    <x v="36"/>
    <x v="5"/>
    <s v="Russia"/>
    <x v="13"/>
    <x v="4"/>
    <n v="33563"/>
    <n v="42934"/>
  </r>
  <r>
    <s v="ORD06042"/>
    <d v="2025-04-06T00:00:00"/>
    <x v="7"/>
    <x v="34"/>
    <x v="4"/>
    <s v="Turkey"/>
    <x v="0"/>
    <x v="28"/>
    <n v="39205"/>
    <n v="44440"/>
  </r>
  <r>
    <s v="ORD06043"/>
    <d v="2025-12-31T00:00:00"/>
    <x v="10"/>
    <x v="5"/>
    <x v="2"/>
    <s v="India"/>
    <x v="0"/>
    <x v="25"/>
    <n v="33564"/>
    <n v="24959"/>
  </r>
  <r>
    <s v="ORD06044"/>
    <d v="2025-05-13T00:00:00"/>
    <x v="8"/>
    <x v="17"/>
    <x v="1"/>
    <s v="Singapore"/>
    <x v="43"/>
    <x v="12"/>
    <n v="27002"/>
    <n v="33117"/>
  </r>
  <r>
    <s v="ORD06045"/>
    <d v="2025-02-28T00:00:00"/>
    <x v="6"/>
    <x v="22"/>
    <x v="1"/>
    <s v="Singapore"/>
    <x v="26"/>
    <x v="4"/>
    <n v="37819"/>
    <n v="43507"/>
  </r>
  <r>
    <s v="ORD06046"/>
    <d v="2025-02-14T00:00:00"/>
    <x v="6"/>
    <x v="29"/>
    <x v="0"/>
    <s v="Italy"/>
    <x v="49"/>
    <x v="28"/>
    <n v="26672"/>
    <n v="21949"/>
  </r>
  <r>
    <s v="ORD06047"/>
    <d v="2025-10-28T00:00:00"/>
    <x v="4"/>
    <x v="2"/>
    <x v="6"/>
    <s v="China"/>
    <x v="1"/>
    <x v="28"/>
    <n v="16177"/>
    <n v="15843"/>
  </r>
  <r>
    <s v="ORD06048"/>
    <d v="2025-05-09T00:00:00"/>
    <x v="8"/>
    <x v="18"/>
    <x v="1"/>
    <s v="China"/>
    <x v="13"/>
    <x v="1"/>
    <n v="19179"/>
    <n v="18029"/>
  </r>
  <r>
    <s v="ORD06049"/>
    <d v="2025-01-28T00:00:00"/>
    <x v="1"/>
    <x v="3"/>
    <x v="0"/>
    <s v="UAE"/>
    <x v="41"/>
    <x v="23"/>
    <n v="26734"/>
    <n v="21351"/>
  </r>
  <r>
    <s v="ORD06050"/>
    <d v="2025-04-13T00:00:00"/>
    <x v="7"/>
    <x v="16"/>
    <x v="3"/>
    <s v="UK"/>
    <x v="49"/>
    <x v="25"/>
    <n v="15429"/>
    <n v="13058"/>
  </r>
  <r>
    <s v="ORD06051"/>
    <d v="2025-01-18T00:00:00"/>
    <x v="1"/>
    <x v="1"/>
    <x v="0"/>
    <s v="South Africa"/>
    <x v="27"/>
    <x v="3"/>
    <n v="17521"/>
    <n v="13137"/>
  </r>
  <r>
    <s v="ORD06052"/>
    <d v="2025-12-21T00:00:00"/>
    <x v="10"/>
    <x v="21"/>
    <x v="3"/>
    <s v="UK"/>
    <x v="15"/>
    <x v="21"/>
    <n v="21300"/>
    <n v="24055"/>
  </r>
  <r>
    <s v="ORD06053"/>
    <d v="2025-10-08T00:00:00"/>
    <x v="4"/>
    <x v="45"/>
    <x v="6"/>
    <s v="Australia"/>
    <x v="22"/>
    <x v="2"/>
    <n v="36185"/>
    <n v="38608"/>
  </r>
  <r>
    <s v="ORD06054"/>
    <d v="2025-03-08T00:00:00"/>
    <x v="9"/>
    <x v="35"/>
    <x v="4"/>
    <s v="Thailand"/>
    <x v="3"/>
    <x v="8"/>
    <n v="28628"/>
    <n v="27747"/>
  </r>
  <r>
    <s v="ORD06055"/>
    <d v="2025-10-01T00:00:00"/>
    <x v="4"/>
    <x v="49"/>
    <x v="5"/>
    <s v="USA"/>
    <x v="46"/>
    <x v="28"/>
    <n v="29472"/>
    <n v="20996"/>
  </r>
  <r>
    <s v="ORD06056"/>
    <d v="2025-09-03T00:00:00"/>
    <x v="3"/>
    <x v="4"/>
    <x v="5"/>
    <s v="Germany"/>
    <x v="44"/>
    <x v="8"/>
    <n v="33230"/>
    <n v="26227"/>
  </r>
  <r>
    <s v="ORD06057"/>
    <d v="2025-11-19T00:00:00"/>
    <x v="2"/>
    <x v="9"/>
    <x v="3"/>
    <s v="Canada"/>
    <x v="15"/>
    <x v="18"/>
    <n v="25296"/>
    <n v="31214"/>
  </r>
  <r>
    <s v="ORD06058"/>
    <d v="2025-11-05T00:00:00"/>
    <x v="2"/>
    <x v="51"/>
    <x v="3"/>
    <s v="South Africa"/>
    <x v="20"/>
    <x v="26"/>
    <n v="16108"/>
    <n v="15956"/>
  </r>
  <r>
    <s v="ORD06059"/>
    <d v="2025-02-12T00:00:00"/>
    <x v="6"/>
    <x v="29"/>
    <x v="5"/>
    <s v="Japan"/>
    <x v="46"/>
    <x v="25"/>
    <n v="33808"/>
    <n v="25837"/>
  </r>
  <r>
    <s v="ORD06060"/>
    <d v="2025-03-13T00:00:00"/>
    <x v="9"/>
    <x v="19"/>
    <x v="2"/>
    <s v="South Africa"/>
    <x v="43"/>
    <x v="12"/>
    <n v="16565"/>
    <n v="21431"/>
  </r>
  <r>
    <s v="ORD06061"/>
    <d v="2025-08-24T00:00:00"/>
    <x v="11"/>
    <x v="46"/>
    <x v="4"/>
    <s v="Italy"/>
    <x v="34"/>
    <x v="12"/>
    <n v="34941"/>
    <n v="25990"/>
  </r>
  <r>
    <s v="ORD06062"/>
    <d v="2025-01-01T00:00:00"/>
    <x v="1"/>
    <x v="5"/>
    <x v="4"/>
    <s v="Thailand"/>
    <x v="23"/>
    <x v="13"/>
    <n v="33370"/>
    <n v="38836"/>
  </r>
  <r>
    <s v="ORD06063"/>
    <d v="2025-12-31T00:00:00"/>
    <x v="10"/>
    <x v="5"/>
    <x v="2"/>
    <s v="Spain"/>
    <x v="27"/>
    <x v="3"/>
    <n v="31514"/>
    <n v="33699"/>
  </r>
  <r>
    <s v="ORD06064"/>
    <d v="2025-07-22T00:00:00"/>
    <x v="0"/>
    <x v="0"/>
    <x v="0"/>
    <s v="USA"/>
    <x v="35"/>
    <x v="21"/>
    <n v="26418"/>
    <n v="31330"/>
  </r>
  <r>
    <s v="ORD06065"/>
    <d v="2025-12-09T00:00:00"/>
    <x v="10"/>
    <x v="32"/>
    <x v="3"/>
    <s v="Thailand"/>
    <x v="43"/>
    <x v="1"/>
    <n v="17279"/>
    <n v="20631"/>
  </r>
  <r>
    <s v="ORD06066"/>
    <d v="2025-01-10T00:00:00"/>
    <x v="1"/>
    <x v="6"/>
    <x v="4"/>
    <s v="China"/>
    <x v="31"/>
    <x v="4"/>
    <n v="22799"/>
    <n v="22084"/>
  </r>
  <r>
    <s v="ORD06067"/>
    <d v="2025-12-13T00:00:00"/>
    <x v="10"/>
    <x v="32"/>
    <x v="2"/>
    <s v="Mexico"/>
    <x v="7"/>
    <x v="3"/>
    <n v="25311"/>
    <n v="22394"/>
  </r>
  <r>
    <s v="ORD06068"/>
    <d v="2025-01-01T00:00:00"/>
    <x v="1"/>
    <x v="5"/>
    <x v="2"/>
    <s v="India"/>
    <x v="32"/>
    <x v="16"/>
    <n v="28515"/>
    <n v="27397"/>
  </r>
  <r>
    <s v="ORD06069"/>
    <d v="2025-08-06T00:00:00"/>
    <x v="11"/>
    <x v="23"/>
    <x v="6"/>
    <s v="Canada"/>
    <x v="24"/>
    <x v="5"/>
    <n v="15421"/>
    <n v="19850"/>
  </r>
  <r>
    <s v="ORD06070"/>
    <d v="2025-10-28T00:00:00"/>
    <x v="4"/>
    <x v="2"/>
    <x v="6"/>
    <s v="USA"/>
    <x v="8"/>
    <x v="21"/>
    <n v="25405"/>
    <n v="29727"/>
  </r>
  <r>
    <s v="ORD06071"/>
    <d v="2025-11-10T00:00:00"/>
    <x v="2"/>
    <x v="44"/>
    <x v="5"/>
    <s v="Japan"/>
    <x v="41"/>
    <x v="15"/>
    <n v="34705"/>
    <n v="26844"/>
  </r>
  <r>
    <s v="ORD06072"/>
    <d v="2025-11-22T00:00:00"/>
    <x v="2"/>
    <x v="9"/>
    <x v="1"/>
    <s v="UK"/>
    <x v="36"/>
    <x v="22"/>
    <n v="22212"/>
    <n v="16903"/>
  </r>
  <r>
    <s v="ORD06073"/>
    <d v="2025-02-01T00:00:00"/>
    <x v="6"/>
    <x v="3"/>
    <x v="6"/>
    <s v="Japan"/>
    <x v="27"/>
    <x v="13"/>
    <n v="34746"/>
    <n v="42511"/>
  </r>
  <r>
    <s v="ORD06074"/>
    <d v="2025-06-07T00:00:00"/>
    <x v="5"/>
    <x v="41"/>
    <x v="0"/>
    <s v="South Africa"/>
    <x v="41"/>
    <x v="19"/>
    <n v="15878"/>
    <n v="13002"/>
  </r>
  <r>
    <s v="ORD06075"/>
    <d v="2025-06-03T00:00:00"/>
    <x v="5"/>
    <x v="41"/>
    <x v="0"/>
    <s v="Russia"/>
    <x v="39"/>
    <x v="11"/>
    <n v="15183"/>
    <n v="16102"/>
  </r>
  <r>
    <s v="ORD06076"/>
    <d v="2025-06-12T00:00:00"/>
    <x v="5"/>
    <x v="40"/>
    <x v="2"/>
    <s v="Malaysia"/>
    <x v="28"/>
    <x v="18"/>
    <n v="23467"/>
    <n v="29671"/>
  </r>
  <r>
    <s v="ORD06077"/>
    <d v="2025-05-13T00:00:00"/>
    <x v="8"/>
    <x v="17"/>
    <x v="3"/>
    <s v="China"/>
    <x v="27"/>
    <x v="25"/>
    <n v="27221"/>
    <n v="34059"/>
  </r>
  <r>
    <s v="ORD06078"/>
    <d v="2025-09-09T00:00:00"/>
    <x v="3"/>
    <x v="31"/>
    <x v="0"/>
    <s v="Australia"/>
    <x v="13"/>
    <x v="1"/>
    <n v="36865"/>
    <n v="26269"/>
  </r>
  <r>
    <s v="ORD06079"/>
    <d v="2025-05-08T00:00:00"/>
    <x v="8"/>
    <x v="18"/>
    <x v="0"/>
    <s v="Malaysia"/>
    <x v="45"/>
    <x v="26"/>
    <n v="25526"/>
    <n v="21394"/>
  </r>
  <r>
    <s v="ORD06080"/>
    <d v="2025-03-09T00:00:00"/>
    <x v="9"/>
    <x v="35"/>
    <x v="4"/>
    <s v="Australia"/>
    <x v="36"/>
    <x v="20"/>
    <n v="31260"/>
    <n v="35107"/>
  </r>
  <r>
    <s v="ORD06081"/>
    <d v="2025-05-25T00:00:00"/>
    <x v="8"/>
    <x v="26"/>
    <x v="5"/>
    <s v="China"/>
    <x v="39"/>
    <x v="4"/>
    <n v="39968"/>
    <n v="47480"/>
  </r>
  <r>
    <s v="ORD06082"/>
    <d v="2025-09-06T00:00:00"/>
    <x v="3"/>
    <x v="4"/>
    <x v="0"/>
    <s v="South Africa"/>
    <x v="12"/>
    <x v="21"/>
    <n v="39825"/>
    <n v="42874"/>
  </r>
  <r>
    <s v="ORD06083"/>
    <d v="2025-05-08T00:00:00"/>
    <x v="8"/>
    <x v="18"/>
    <x v="1"/>
    <s v="France"/>
    <x v="26"/>
    <x v="27"/>
    <n v="26908"/>
    <n v="30031"/>
  </r>
  <r>
    <s v="ORD06084"/>
    <d v="2025-12-10T00:00:00"/>
    <x v="10"/>
    <x v="32"/>
    <x v="4"/>
    <s v="Brazil"/>
    <x v="6"/>
    <x v="11"/>
    <n v="19167"/>
    <n v="21210"/>
  </r>
  <r>
    <s v="ORD06085"/>
    <d v="2025-11-01T00:00:00"/>
    <x v="2"/>
    <x v="2"/>
    <x v="2"/>
    <s v="Australia"/>
    <x v="5"/>
    <x v="13"/>
    <n v="23178"/>
    <n v="23031"/>
  </r>
  <r>
    <s v="ORD06086"/>
    <d v="2025-06-21T00:00:00"/>
    <x v="5"/>
    <x v="13"/>
    <x v="1"/>
    <s v="France"/>
    <x v="22"/>
    <x v="16"/>
    <n v="22072"/>
    <n v="27843"/>
  </r>
  <r>
    <s v="ORD06087"/>
    <d v="2025-06-12T00:00:00"/>
    <x v="5"/>
    <x v="40"/>
    <x v="1"/>
    <s v="Mexico"/>
    <x v="17"/>
    <x v="10"/>
    <n v="15340"/>
    <n v="12406"/>
  </r>
  <r>
    <s v="ORD06088"/>
    <d v="2025-09-29T00:00:00"/>
    <x v="3"/>
    <x v="49"/>
    <x v="4"/>
    <s v="Italy"/>
    <x v="22"/>
    <x v="18"/>
    <n v="37222"/>
    <n v="30119"/>
  </r>
  <r>
    <s v="ORD06089"/>
    <d v="2025-03-03T00:00:00"/>
    <x v="9"/>
    <x v="35"/>
    <x v="2"/>
    <s v="Spain"/>
    <x v="31"/>
    <x v="2"/>
    <n v="37758"/>
    <n v="45188"/>
  </r>
  <r>
    <s v="ORD06090"/>
    <d v="2025-08-19T00:00:00"/>
    <x v="11"/>
    <x v="46"/>
    <x v="3"/>
    <s v="Russia"/>
    <x v="36"/>
    <x v="29"/>
    <n v="22016"/>
    <n v="27473"/>
  </r>
  <r>
    <s v="ORD06091"/>
    <d v="2025-07-10T00:00:00"/>
    <x v="0"/>
    <x v="47"/>
    <x v="6"/>
    <s v="Singapore"/>
    <x v="22"/>
    <x v="6"/>
    <n v="37911"/>
    <n v="46730"/>
  </r>
  <r>
    <s v="ORD06092"/>
    <d v="2025-12-04T00:00:00"/>
    <x v="10"/>
    <x v="43"/>
    <x v="0"/>
    <s v="Turkey"/>
    <x v="16"/>
    <x v="12"/>
    <n v="15645"/>
    <n v="14941"/>
  </r>
  <r>
    <s v="ORD06093"/>
    <d v="2025-02-12T00:00:00"/>
    <x v="6"/>
    <x v="29"/>
    <x v="0"/>
    <s v="Singapore"/>
    <x v="20"/>
    <x v="26"/>
    <n v="22769"/>
    <n v="17088"/>
  </r>
  <r>
    <s v="ORD06094"/>
    <d v="2025-01-03T00:00:00"/>
    <x v="1"/>
    <x v="5"/>
    <x v="2"/>
    <s v="India"/>
    <x v="4"/>
    <x v="27"/>
    <n v="19309"/>
    <n v="17694"/>
  </r>
  <r>
    <s v="ORD06095"/>
    <d v="2025-08-18T00:00:00"/>
    <x v="11"/>
    <x v="46"/>
    <x v="6"/>
    <s v="Turkey"/>
    <x v="14"/>
    <x v="19"/>
    <n v="24527"/>
    <n v="19669"/>
  </r>
  <r>
    <s v="ORD06096"/>
    <d v="2025-08-31T00:00:00"/>
    <x v="11"/>
    <x v="28"/>
    <x v="2"/>
    <s v="USA"/>
    <x v="11"/>
    <x v="26"/>
    <n v="35890"/>
    <n v="34583"/>
  </r>
  <r>
    <s v="ORD06097"/>
    <d v="2025-11-10T00:00:00"/>
    <x v="2"/>
    <x v="44"/>
    <x v="5"/>
    <s v="Germany"/>
    <x v="31"/>
    <x v="9"/>
    <n v="19342"/>
    <n v="15135"/>
  </r>
  <r>
    <s v="ORD06098"/>
    <d v="2025-08-30T00:00:00"/>
    <x v="11"/>
    <x v="28"/>
    <x v="1"/>
    <s v="Australia"/>
    <x v="3"/>
    <x v="11"/>
    <n v="17854"/>
    <n v="13077"/>
  </r>
  <r>
    <s v="ORD06099"/>
    <d v="2025-12-13T00:00:00"/>
    <x v="10"/>
    <x v="32"/>
    <x v="5"/>
    <s v="Mexico"/>
    <x v="43"/>
    <x v="10"/>
    <n v="34509"/>
    <n v="28975"/>
  </r>
  <r>
    <s v="ORD06100"/>
    <d v="2025-06-22T00:00:00"/>
    <x v="5"/>
    <x v="13"/>
    <x v="1"/>
    <s v="UK"/>
    <x v="40"/>
    <x v="14"/>
    <n v="27326"/>
    <n v="30486"/>
  </r>
  <r>
    <s v="ORD06101"/>
    <d v="2025-07-24T00:00:00"/>
    <x v="0"/>
    <x v="0"/>
    <x v="1"/>
    <s v="Spain"/>
    <x v="13"/>
    <x v="19"/>
    <n v="18809"/>
    <n v="22815"/>
  </r>
  <r>
    <s v="ORD06102"/>
    <d v="2025-07-28T00:00:00"/>
    <x v="0"/>
    <x v="12"/>
    <x v="0"/>
    <s v="Germany"/>
    <x v="9"/>
    <x v="21"/>
    <n v="38017"/>
    <n v="37685"/>
  </r>
  <r>
    <s v="ORD06103"/>
    <d v="2025-09-14T00:00:00"/>
    <x v="3"/>
    <x v="31"/>
    <x v="1"/>
    <s v="Brazil"/>
    <x v="7"/>
    <x v="13"/>
    <n v="34502"/>
    <n v="31403"/>
  </r>
  <r>
    <s v="ORD06104"/>
    <d v="2025-06-03T00:00:00"/>
    <x v="5"/>
    <x v="41"/>
    <x v="6"/>
    <s v="Japan"/>
    <x v="14"/>
    <x v="18"/>
    <n v="37133"/>
    <n v="43342"/>
  </r>
  <r>
    <s v="ORD06105"/>
    <d v="2025-09-26T00:00:00"/>
    <x v="3"/>
    <x v="25"/>
    <x v="1"/>
    <s v="Malaysia"/>
    <x v="38"/>
    <x v="28"/>
    <n v="19021"/>
    <n v="14120"/>
  </r>
  <r>
    <s v="ORD06106"/>
    <d v="2025-08-03T00:00:00"/>
    <x v="11"/>
    <x v="12"/>
    <x v="2"/>
    <s v="Singapore"/>
    <x v="26"/>
    <x v="21"/>
    <n v="23584"/>
    <n v="28990"/>
  </r>
  <r>
    <s v="ORD06107"/>
    <d v="2025-02-19T00:00:00"/>
    <x v="6"/>
    <x v="15"/>
    <x v="4"/>
    <s v="France"/>
    <x v="43"/>
    <x v="0"/>
    <n v="30066"/>
    <n v="31752"/>
  </r>
  <r>
    <s v="ORD06108"/>
    <d v="2025-12-28T00:00:00"/>
    <x v="10"/>
    <x v="42"/>
    <x v="3"/>
    <s v="South Africa"/>
    <x v="31"/>
    <x v="18"/>
    <n v="25037"/>
    <n v="22620"/>
  </r>
  <r>
    <s v="ORD06109"/>
    <d v="2025-06-23T00:00:00"/>
    <x v="5"/>
    <x v="36"/>
    <x v="4"/>
    <s v="UK"/>
    <x v="6"/>
    <x v="7"/>
    <n v="28567"/>
    <n v="29310"/>
  </r>
  <r>
    <s v="ORD06110"/>
    <d v="2025-07-22T00:00:00"/>
    <x v="0"/>
    <x v="0"/>
    <x v="0"/>
    <s v="UK"/>
    <x v="24"/>
    <x v="11"/>
    <n v="24235"/>
    <n v="17405"/>
  </r>
  <r>
    <s v="ORD06111"/>
    <d v="2025-12-08T00:00:00"/>
    <x v="10"/>
    <x v="32"/>
    <x v="0"/>
    <s v="UK"/>
    <x v="39"/>
    <x v="3"/>
    <n v="15364"/>
    <n v="16064"/>
  </r>
  <r>
    <s v="ORD06112"/>
    <d v="2025-06-13T00:00:00"/>
    <x v="5"/>
    <x v="40"/>
    <x v="4"/>
    <s v="Canada"/>
    <x v="9"/>
    <x v="7"/>
    <n v="23111"/>
    <n v="24463"/>
  </r>
  <r>
    <s v="ORD06113"/>
    <d v="2025-08-08T00:00:00"/>
    <x v="11"/>
    <x v="23"/>
    <x v="2"/>
    <s v="Australia"/>
    <x v="32"/>
    <x v="27"/>
    <n v="20660"/>
    <n v="15208"/>
  </r>
  <r>
    <s v="ORD06114"/>
    <d v="2025-03-29T00:00:00"/>
    <x v="9"/>
    <x v="33"/>
    <x v="2"/>
    <s v="Turkey"/>
    <x v="47"/>
    <x v="22"/>
    <n v="28597"/>
    <n v="21579"/>
  </r>
  <r>
    <s v="ORD06115"/>
    <d v="2025-09-24T00:00:00"/>
    <x v="3"/>
    <x v="25"/>
    <x v="2"/>
    <s v="USA"/>
    <x v="36"/>
    <x v="8"/>
    <n v="35827"/>
    <n v="42423"/>
  </r>
  <r>
    <s v="ORD06116"/>
    <d v="2025-05-31T00:00:00"/>
    <x v="8"/>
    <x v="24"/>
    <x v="6"/>
    <s v="Spain"/>
    <x v="6"/>
    <x v="18"/>
    <n v="21034"/>
    <n v="14769"/>
  </r>
  <r>
    <s v="ORD06117"/>
    <d v="2025-09-15T00:00:00"/>
    <x v="3"/>
    <x v="8"/>
    <x v="5"/>
    <s v="UAE"/>
    <x v="15"/>
    <x v="24"/>
    <n v="21664"/>
    <n v="27143"/>
  </r>
  <r>
    <s v="ORD06118"/>
    <d v="2025-08-12T00:00:00"/>
    <x v="11"/>
    <x v="30"/>
    <x v="3"/>
    <s v="Australia"/>
    <x v="30"/>
    <x v="2"/>
    <n v="34973"/>
    <n v="32066"/>
  </r>
  <r>
    <s v="ORD06119"/>
    <d v="2025-08-02T00:00:00"/>
    <x v="11"/>
    <x v="12"/>
    <x v="1"/>
    <s v="Malaysia"/>
    <x v="18"/>
    <x v="19"/>
    <n v="34881"/>
    <n v="36579"/>
  </r>
  <r>
    <s v="ORD06120"/>
    <d v="2025-04-02T00:00:00"/>
    <x v="7"/>
    <x v="34"/>
    <x v="5"/>
    <s v="Brazil"/>
    <x v="19"/>
    <x v="26"/>
    <n v="16969"/>
    <n v="16781"/>
  </r>
  <r>
    <s v="ORD06121"/>
    <d v="2025-07-23T00:00:00"/>
    <x v="0"/>
    <x v="0"/>
    <x v="2"/>
    <s v="China"/>
    <x v="29"/>
    <x v="12"/>
    <n v="38815"/>
    <n v="31984"/>
  </r>
  <r>
    <s v="ORD06122"/>
    <d v="2025-12-25T00:00:00"/>
    <x v="10"/>
    <x v="42"/>
    <x v="2"/>
    <s v="Turkey"/>
    <x v="44"/>
    <x v="12"/>
    <n v="16394"/>
    <n v="17022"/>
  </r>
  <r>
    <s v="ORD06123"/>
    <d v="2025-03-08T00:00:00"/>
    <x v="9"/>
    <x v="35"/>
    <x v="2"/>
    <s v="Italy"/>
    <x v="13"/>
    <x v="15"/>
    <n v="33743"/>
    <n v="42682"/>
  </r>
  <r>
    <s v="ORD06124"/>
    <d v="2025-11-01T00:00:00"/>
    <x v="2"/>
    <x v="2"/>
    <x v="1"/>
    <s v="China"/>
    <x v="5"/>
    <x v="15"/>
    <n v="39023"/>
    <n v="47269"/>
  </r>
  <r>
    <s v="ORD06125"/>
    <d v="2025-05-29T00:00:00"/>
    <x v="8"/>
    <x v="24"/>
    <x v="2"/>
    <s v="Singapore"/>
    <x v="47"/>
    <x v="6"/>
    <n v="25226"/>
    <n v="19694"/>
  </r>
  <r>
    <s v="ORD06126"/>
    <d v="2025-04-17T00:00:00"/>
    <x v="7"/>
    <x v="20"/>
    <x v="5"/>
    <s v="Malaysia"/>
    <x v="20"/>
    <x v="12"/>
    <n v="20151"/>
    <n v="24606"/>
  </r>
  <r>
    <s v="ORD06127"/>
    <d v="2025-03-30T00:00:00"/>
    <x v="9"/>
    <x v="33"/>
    <x v="1"/>
    <s v="India"/>
    <x v="40"/>
    <x v="21"/>
    <n v="36987"/>
    <n v="45245"/>
  </r>
  <r>
    <s v="ORD06128"/>
    <d v="2025-01-26T00:00:00"/>
    <x v="1"/>
    <x v="7"/>
    <x v="3"/>
    <s v="UAE"/>
    <x v="36"/>
    <x v="13"/>
    <n v="27578"/>
    <n v="26936"/>
  </r>
  <r>
    <s v="ORD06129"/>
    <d v="2025-05-06T00:00:00"/>
    <x v="8"/>
    <x v="18"/>
    <x v="2"/>
    <s v="Mexico"/>
    <x v="6"/>
    <x v="14"/>
    <n v="36917"/>
    <n v="27727"/>
  </r>
  <r>
    <s v="ORD06130"/>
    <d v="2025-07-29T00:00:00"/>
    <x v="0"/>
    <x v="12"/>
    <x v="4"/>
    <s v="Turkey"/>
    <x v="33"/>
    <x v="7"/>
    <n v="33582"/>
    <n v="32576"/>
  </r>
  <r>
    <s v="ORD06131"/>
    <d v="2025-06-20T00:00:00"/>
    <x v="5"/>
    <x v="13"/>
    <x v="4"/>
    <s v="Spain"/>
    <x v="17"/>
    <x v="18"/>
    <n v="25147"/>
    <n v="22830"/>
  </r>
  <r>
    <s v="ORD06132"/>
    <d v="2025-10-20T00:00:00"/>
    <x v="4"/>
    <x v="50"/>
    <x v="2"/>
    <s v="Italy"/>
    <x v="5"/>
    <x v="11"/>
    <n v="22626"/>
    <n v="17960"/>
  </r>
  <r>
    <s v="ORD06133"/>
    <d v="2025-01-19T00:00:00"/>
    <x v="1"/>
    <x v="1"/>
    <x v="0"/>
    <s v="Russia"/>
    <x v="19"/>
    <x v="4"/>
    <n v="38274"/>
    <n v="35041"/>
  </r>
  <r>
    <s v="ORD06134"/>
    <d v="2025-01-15T00:00:00"/>
    <x v="1"/>
    <x v="1"/>
    <x v="0"/>
    <s v="Canada"/>
    <x v="41"/>
    <x v="26"/>
    <n v="34065"/>
    <n v="35822"/>
  </r>
  <r>
    <s v="ORD06135"/>
    <d v="2025-01-17T00:00:00"/>
    <x v="1"/>
    <x v="1"/>
    <x v="4"/>
    <s v="India"/>
    <x v="43"/>
    <x v="27"/>
    <n v="24286"/>
    <n v="23080"/>
  </r>
  <r>
    <s v="ORD06136"/>
    <d v="2025-05-21T00:00:00"/>
    <x v="8"/>
    <x v="26"/>
    <x v="6"/>
    <s v="UAE"/>
    <x v="38"/>
    <x v="19"/>
    <n v="20782"/>
    <n v="18847"/>
  </r>
  <r>
    <s v="ORD06137"/>
    <d v="2025-07-07T00:00:00"/>
    <x v="0"/>
    <x v="47"/>
    <x v="5"/>
    <s v="Canada"/>
    <x v="41"/>
    <x v="7"/>
    <n v="37579"/>
    <n v="31474"/>
  </r>
  <r>
    <s v="ORD06138"/>
    <d v="2025-05-19T00:00:00"/>
    <x v="8"/>
    <x v="26"/>
    <x v="6"/>
    <s v="UAE"/>
    <x v="25"/>
    <x v="25"/>
    <n v="17635"/>
    <n v="22674"/>
  </r>
  <r>
    <s v="ORD06139"/>
    <d v="2025-07-24T00:00:00"/>
    <x v="0"/>
    <x v="0"/>
    <x v="5"/>
    <s v="South Africa"/>
    <x v="49"/>
    <x v="9"/>
    <n v="28463"/>
    <n v="21112"/>
  </r>
  <r>
    <s v="ORD06140"/>
    <d v="2025-03-09T00:00:00"/>
    <x v="9"/>
    <x v="35"/>
    <x v="3"/>
    <s v="UAE"/>
    <x v="26"/>
    <x v="1"/>
    <n v="37615"/>
    <n v="29713"/>
  </r>
  <r>
    <s v="ORD06141"/>
    <d v="2025-03-09T00:00:00"/>
    <x v="9"/>
    <x v="35"/>
    <x v="5"/>
    <s v="Spain"/>
    <x v="30"/>
    <x v="7"/>
    <n v="37594"/>
    <n v="30506"/>
  </r>
  <r>
    <s v="ORD06142"/>
    <d v="2025-08-24T00:00:00"/>
    <x v="11"/>
    <x v="46"/>
    <x v="3"/>
    <s v="Mexico"/>
    <x v="15"/>
    <x v="9"/>
    <n v="35885"/>
    <n v="34800"/>
  </r>
  <r>
    <s v="ORD06143"/>
    <d v="2025-10-10T00:00:00"/>
    <x v="4"/>
    <x v="45"/>
    <x v="4"/>
    <s v="China"/>
    <x v="26"/>
    <x v="26"/>
    <n v="36321"/>
    <n v="43653"/>
  </r>
  <r>
    <s v="ORD06144"/>
    <d v="2025-08-07T00:00:00"/>
    <x v="11"/>
    <x v="23"/>
    <x v="5"/>
    <s v="Italy"/>
    <x v="47"/>
    <x v="1"/>
    <n v="15541"/>
    <n v="16436"/>
  </r>
  <r>
    <s v="ORD06145"/>
    <d v="2025-12-28T00:00:00"/>
    <x v="10"/>
    <x v="42"/>
    <x v="4"/>
    <s v="Canada"/>
    <x v="9"/>
    <x v="0"/>
    <n v="32103"/>
    <n v="31726"/>
  </r>
  <r>
    <s v="ORD06146"/>
    <d v="2025-06-01T00:00:00"/>
    <x v="5"/>
    <x v="24"/>
    <x v="6"/>
    <s v="China"/>
    <x v="49"/>
    <x v="7"/>
    <n v="34175"/>
    <n v="30064"/>
  </r>
  <r>
    <s v="ORD06147"/>
    <d v="2025-03-21T00:00:00"/>
    <x v="9"/>
    <x v="39"/>
    <x v="1"/>
    <s v="France"/>
    <x v="33"/>
    <x v="18"/>
    <n v="16320"/>
    <n v="17779"/>
  </r>
  <r>
    <s v="ORD06148"/>
    <d v="2025-11-20T00:00:00"/>
    <x v="2"/>
    <x v="9"/>
    <x v="2"/>
    <s v="Thailand"/>
    <x v="17"/>
    <x v="28"/>
    <n v="39378"/>
    <n v="48791"/>
  </r>
  <r>
    <s v="ORD06149"/>
    <d v="2025-06-05T00:00:00"/>
    <x v="5"/>
    <x v="41"/>
    <x v="2"/>
    <s v="Canada"/>
    <x v="35"/>
    <x v="23"/>
    <n v="33411"/>
    <n v="37840"/>
  </r>
  <r>
    <s v="ORD06150"/>
    <d v="2025-07-09T00:00:00"/>
    <x v="0"/>
    <x v="47"/>
    <x v="4"/>
    <s v="Germany"/>
    <x v="9"/>
    <x v="17"/>
    <n v="17496"/>
    <n v="15609"/>
  </r>
  <r>
    <s v="ORD06151"/>
    <d v="2025-09-07T00:00:00"/>
    <x v="3"/>
    <x v="4"/>
    <x v="1"/>
    <s v="Canada"/>
    <x v="39"/>
    <x v="14"/>
    <n v="27052"/>
    <n v="25407"/>
  </r>
  <r>
    <s v="ORD06152"/>
    <d v="2025-09-19T00:00:00"/>
    <x v="3"/>
    <x v="8"/>
    <x v="0"/>
    <s v="UAE"/>
    <x v="4"/>
    <x v="16"/>
    <n v="26483"/>
    <n v="23984"/>
  </r>
  <r>
    <s v="ORD06153"/>
    <d v="2025-10-01T00:00:00"/>
    <x v="4"/>
    <x v="49"/>
    <x v="5"/>
    <s v="Thailand"/>
    <x v="1"/>
    <x v="0"/>
    <n v="25864"/>
    <n v="28515"/>
  </r>
  <r>
    <s v="ORD06154"/>
    <d v="2025-06-14T00:00:00"/>
    <x v="5"/>
    <x v="40"/>
    <x v="1"/>
    <s v="Malaysia"/>
    <x v="19"/>
    <x v="16"/>
    <n v="39199"/>
    <n v="48414"/>
  </r>
  <r>
    <s v="ORD06155"/>
    <d v="2025-03-05T00:00:00"/>
    <x v="9"/>
    <x v="35"/>
    <x v="0"/>
    <s v="Australia"/>
    <x v="5"/>
    <x v="7"/>
    <n v="35021"/>
    <n v="33038"/>
  </r>
  <r>
    <s v="ORD06156"/>
    <d v="2025-12-10T00:00:00"/>
    <x v="10"/>
    <x v="32"/>
    <x v="3"/>
    <s v="Canada"/>
    <x v="36"/>
    <x v="18"/>
    <n v="22962"/>
    <n v="17776"/>
  </r>
  <r>
    <s v="ORD06157"/>
    <d v="2025-12-16T00:00:00"/>
    <x v="10"/>
    <x v="21"/>
    <x v="0"/>
    <s v="Japan"/>
    <x v="42"/>
    <x v="20"/>
    <n v="38505"/>
    <n v="27763"/>
  </r>
  <r>
    <s v="ORD06158"/>
    <d v="2025-07-25T00:00:00"/>
    <x v="0"/>
    <x v="0"/>
    <x v="5"/>
    <s v="India"/>
    <x v="35"/>
    <x v="22"/>
    <n v="16046"/>
    <n v="14933"/>
  </r>
  <r>
    <s v="ORD06159"/>
    <d v="2025-09-20T00:00:00"/>
    <x v="3"/>
    <x v="8"/>
    <x v="5"/>
    <s v="India"/>
    <x v="5"/>
    <x v="24"/>
    <n v="27172"/>
    <n v="28433"/>
  </r>
  <r>
    <s v="ORD06160"/>
    <d v="2025-12-17T00:00:00"/>
    <x v="10"/>
    <x v="21"/>
    <x v="6"/>
    <s v="Spain"/>
    <x v="16"/>
    <x v="24"/>
    <n v="27330"/>
    <n v="31534"/>
  </r>
  <r>
    <s v="ORD06161"/>
    <d v="2025-10-18T00:00:00"/>
    <x v="4"/>
    <x v="10"/>
    <x v="6"/>
    <s v="Malaysia"/>
    <x v="48"/>
    <x v="13"/>
    <n v="34620"/>
    <n v="44436"/>
  </r>
  <r>
    <s v="ORD06162"/>
    <d v="2025-06-30T00:00:00"/>
    <x v="5"/>
    <x v="37"/>
    <x v="6"/>
    <s v="Japan"/>
    <x v="11"/>
    <x v="16"/>
    <n v="33976"/>
    <n v="30453"/>
  </r>
  <r>
    <s v="ORD06163"/>
    <d v="2025-01-30T00:00:00"/>
    <x v="1"/>
    <x v="3"/>
    <x v="6"/>
    <s v="Spain"/>
    <x v="18"/>
    <x v="26"/>
    <n v="24282"/>
    <n v="19260"/>
  </r>
  <r>
    <s v="ORD06164"/>
    <d v="2025-07-10T00:00:00"/>
    <x v="0"/>
    <x v="47"/>
    <x v="5"/>
    <s v="South Africa"/>
    <x v="48"/>
    <x v="0"/>
    <n v="21046"/>
    <n v="23454"/>
  </r>
  <r>
    <s v="ORD06165"/>
    <d v="2025-10-18T00:00:00"/>
    <x v="4"/>
    <x v="10"/>
    <x v="1"/>
    <s v="Australia"/>
    <x v="43"/>
    <x v="4"/>
    <n v="25320"/>
    <n v="27502"/>
  </r>
  <r>
    <s v="ORD06166"/>
    <d v="2025-03-19T00:00:00"/>
    <x v="9"/>
    <x v="39"/>
    <x v="0"/>
    <s v="Turkey"/>
    <x v="36"/>
    <x v="11"/>
    <n v="31532"/>
    <n v="35923"/>
  </r>
  <r>
    <s v="ORD06167"/>
    <d v="2025-07-28T00:00:00"/>
    <x v="0"/>
    <x v="12"/>
    <x v="5"/>
    <s v="South Africa"/>
    <x v="49"/>
    <x v="2"/>
    <n v="31980"/>
    <n v="31918"/>
  </r>
  <r>
    <s v="ORD06168"/>
    <d v="2025-01-28T00:00:00"/>
    <x v="1"/>
    <x v="3"/>
    <x v="1"/>
    <s v="Mexico"/>
    <x v="43"/>
    <x v="14"/>
    <n v="15827"/>
    <n v="14769"/>
  </r>
  <r>
    <s v="ORD06169"/>
    <d v="2025-05-11T00:00:00"/>
    <x v="8"/>
    <x v="18"/>
    <x v="0"/>
    <s v="Australia"/>
    <x v="15"/>
    <x v="23"/>
    <n v="23745"/>
    <n v="19183"/>
  </r>
  <r>
    <s v="ORD06170"/>
    <d v="2025-04-08T00:00:00"/>
    <x v="7"/>
    <x v="16"/>
    <x v="5"/>
    <s v="UK"/>
    <x v="26"/>
    <x v="20"/>
    <n v="31265"/>
    <n v="30692"/>
  </r>
  <r>
    <s v="ORD06171"/>
    <d v="2025-06-30T00:00:00"/>
    <x v="5"/>
    <x v="37"/>
    <x v="6"/>
    <s v="UAE"/>
    <x v="13"/>
    <x v="4"/>
    <n v="18776"/>
    <n v="16887"/>
  </r>
  <r>
    <s v="ORD06172"/>
    <d v="2025-10-05T00:00:00"/>
    <x v="4"/>
    <x v="49"/>
    <x v="2"/>
    <s v="South Africa"/>
    <x v="14"/>
    <x v="15"/>
    <n v="37204"/>
    <n v="39432"/>
  </r>
  <r>
    <s v="ORD06173"/>
    <d v="2025-06-08T00:00:00"/>
    <x v="5"/>
    <x v="41"/>
    <x v="3"/>
    <s v="Malaysia"/>
    <x v="2"/>
    <x v="14"/>
    <n v="22159"/>
    <n v="28460"/>
  </r>
  <r>
    <s v="ORD06174"/>
    <d v="2025-10-04T00:00:00"/>
    <x v="4"/>
    <x v="49"/>
    <x v="3"/>
    <s v="Italy"/>
    <x v="28"/>
    <x v="1"/>
    <n v="25703"/>
    <n v="22171"/>
  </r>
  <r>
    <s v="ORD06175"/>
    <d v="2025-12-07T00:00:00"/>
    <x v="10"/>
    <x v="43"/>
    <x v="0"/>
    <s v="Russia"/>
    <x v="19"/>
    <x v="17"/>
    <n v="18770"/>
    <n v="13437"/>
  </r>
  <r>
    <s v="ORD06176"/>
    <d v="2025-03-01T00:00:00"/>
    <x v="9"/>
    <x v="22"/>
    <x v="4"/>
    <s v="UK"/>
    <x v="20"/>
    <x v="15"/>
    <n v="22469"/>
    <n v="22826"/>
  </r>
  <r>
    <s v="ORD06177"/>
    <d v="2025-10-05T00:00:00"/>
    <x v="4"/>
    <x v="49"/>
    <x v="0"/>
    <s v="Canada"/>
    <x v="0"/>
    <x v="13"/>
    <n v="16205"/>
    <n v="19616"/>
  </r>
  <r>
    <s v="ORD06178"/>
    <d v="2025-05-16T00:00:00"/>
    <x v="8"/>
    <x v="17"/>
    <x v="3"/>
    <s v="Malaysia"/>
    <x v="27"/>
    <x v="4"/>
    <n v="30818"/>
    <n v="28207"/>
  </r>
  <r>
    <s v="ORD06179"/>
    <d v="2025-05-01T00:00:00"/>
    <x v="8"/>
    <x v="27"/>
    <x v="6"/>
    <s v="Canada"/>
    <x v="26"/>
    <x v="9"/>
    <n v="25317"/>
    <n v="30179"/>
  </r>
  <r>
    <s v="ORD06180"/>
    <d v="2025-05-01T00:00:00"/>
    <x v="8"/>
    <x v="27"/>
    <x v="4"/>
    <s v="Spain"/>
    <x v="8"/>
    <x v="14"/>
    <n v="38536"/>
    <n v="39994"/>
  </r>
  <r>
    <s v="ORD06181"/>
    <d v="2025-06-05T00:00:00"/>
    <x v="5"/>
    <x v="41"/>
    <x v="1"/>
    <s v="Thailand"/>
    <x v="7"/>
    <x v="11"/>
    <n v="35965"/>
    <n v="30893"/>
  </r>
  <r>
    <s v="ORD06182"/>
    <d v="2025-01-20T00:00:00"/>
    <x v="1"/>
    <x v="7"/>
    <x v="0"/>
    <s v="Italy"/>
    <x v="18"/>
    <x v="16"/>
    <n v="21637"/>
    <n v="22596"/>
  </r>
  <r>
    <s v="ORD06183"/>
    <d v="2025-07-25T00:00:00"/>
    <x v="0"/>
    <x v="0"/>
    <x v="1"/>
    <s v="Thailand"/>
    <x v="28"/>
    <x v="2"/>
    <n v="25313"/>
    <n v="24822"/>
  </r>
  <r>
    <s v="ORD06184"/>
    <d v="2025-10-09T00:00:00"/>
    <x v="4"/>
    <x v="45"/>
    <x v="0"/>
    <s v="Mexico"/>
    <x v="41"/>
    <x v="1"/>
    <n v="37623"/>
    <n v="35333"/>
  </r>
  <r>
    <s v="ORD06185"/>
    <d v="2025-07-24T00:00:00"/>
    <x v="0"/>
    <x v="0"/>
    <x v="1"/>
    <s v="USA"/>
    <x v="48"/>
    <x v="26"/>
    <n v="18677"/>
    <n v="23686"/>
  </r>
  <r>
    <s v="ORD06186"/>
    <d v="2025-03-02T00:00:00"/>
    <x v="9"/>
    <x v="22"/>
    <x v="1"/>
    <s v="Malaysia"/>
    <x v="37"/>
    <x v="26"/>
    <n v="27025"/>
    <n v="19965"/>
  </r>
  <r>
    <s v="ORD06187"/>
    <d v="2025-05-08T00:00:00"/>
    <x v="8"/>
    <x v="18"/>
    <x v="0"/>
    <s v="Italy"/>
    <x v="34"/>
    <x v="12"/>
    <n v="37754"/>
    <n v="41944"/>
  </r>
  <r>
    <s v="ORD06188"/>
    <d v="2025-07-15T00:00:00"/>
    <x v="0"/>
    <x v="14"/>
    <x v="5"/>
    <s v="Singapore"/>
    <x v="11"/>
    <x v="9"/>
    <n v="15468"/>
    <n v="20076"/>
  </r>
  <r>
    <s v="ORD06189"/>
    <d v="2025-07-30T00:00:00"/>
    <x v="0"/>
    <x v="12"/>
    <x v="0"/>
    <s v="Italy"/>
    <x v="20"/>
    <x v="20"/>
    <n v="19205"/>
    <n v="21684"/>
  </r>
  <r>
    <s v="ORD06190"/>
    <d v="2025-03-02T00:00:00"/>
    <x v="9"/>
    <x v="22"/>
    <x v="4"/>
    <s v="Thailand"/>
    <x v="43"/>
    <x v="19"/>
    <n v="17074"/>
    <n v="15838"/>
  </r>
  <r>
    <s v="ORD06191"/>
    <d v="2025-03-15T00:00:00"/>
    <x v="9"/>
    <x v="19"/>
    <x v="4"/>
    <s v="Canada"/>
    <x v="15"/>
    <x v="25"/>
    <n v="26671"/>
    <n v="30864"/>
  </r>
  <r>
    <s v="ORD06192"/>
    <d v="2025-11-08T00:00:00"/>
    <x v="2"/>
    <x v="51"/>
    <x v="0"/>
    <s v="China"/>
    <x v="9"/>
    <x v="12"/>
    <n v="20501"/>
    <n v="24953"/>
  </r>
  <r>
    <s v="ORD06193"/>
    <d v="2025-09-29T00:00:00"/>
    <x v="3"/>
    <x v="49"/>
    <x v="5"/>
    <s v="Mexico"/>
    <x v="20"/>
    <x v="18"/>
    <n v="31287"/>
    <n v="32817"/>
  </r>
  <r>
    <s v="ORD06194"/>
    <d v="2025-07-28T00:00:00"/>
    <x v="0"/>
    <x v="12"/>
    <x v="3"/>
    <s v="USA"/>
    <x v="38"/>
    <x v="20"/>
    <n v="36645"/>
    <n v="44367"/>
  </r>
  <r>
    <s v="ORD06195"/>
    <d v="2025-12-07T00:00:00"/>
    <x v="10"/>
    <x v="43"/>
    <x v="1"/>
    <s v="UAE"/>
    <x v="20"/>
    <x v="14"/>
    <n v="23640"/>
    <n v="21928"/>
  </r>
  <r>
    <s v="ORD06196"/>
    <d v="2025-05-27T00:00:00"/>
    <x v="8"/>
    <x v="24"/>
    <x v="5"/>
    <s v="Japan"/>
    <x v="23"/>
    <x v="15"/>
    <n v="25972"/>
    <n v="33594"/>
  </r>
  <r>
    <s v="ORD06197"/>
    <d v="2025-09-21T00:00:00"/>
    <x v="3"/>
    <x v="8"/>
    <x v="3"/>
    <s v="Australia"/>
    <x v="43"/>
    <x v="10"/>
    <n v="32865"/>
    <n v="27126"/>
  </r>
  <r>
    <s v="ORD06198"/>
    <d v="2025-12-13T00:00:00"/>
    <x v="10"/>
    <x v="32"/>
    <x v="2"/>
    <s v="Turkey"/>
    <x v="17"/>
    <x v="13"/>
    <n v="19910"/>
    <n v="23957"/>
  </r>
  <r>
    <s v="ORD06199"/>
    <d v="2025-08-25T00:00:00"/>
    <x v="11"/>
    <x v="28"/>
    <x v="5"/>
    <s v="Germany"/>
    <x v="5"/>
    <x v="13"/>
    <n v="27357"/>
    <n v="22560"/>
  </r>
  <r>
    <s v="ORD06200"/>
    <d v="2025-02-05T00:00:00"/>
    <x v="6"/>
    <x v="48"/>
    <x v="5"/>
    <s v="Germany"/>
    <x v="19"/>
    <x v="26"/>
    <n v="34406"/>
    <n v="39177"/>
  </r>
  <r>
    <s v="ORD06201"/>
    <d v="2025-05-03T00:00:00"/>
    <x v="8"/>
    <x v="27"/>
    <x v="1"/>
    <s v="Turkey"/>
    <x v="40"/>
    <x v="7"/>
    <n v="15030"/>
    <n v="14534"/>
  </r>
  <r>
    <s v="ORD06202"/>
    <d v="2025-02-08T00:00:00"/>
    <x v="6"/>
    <x v="48"/>
    <x v="2"/>
    <s v="Malaysia"/>
    <x v="16"/>
    <x v="7"/>
    <n v="23902"/>
    <n v="30964"/>
  </r>
  <r>
    <s v="ORD06203"/>
    <d v="2025-06-23T00:00:00"/>
    <x v="5"/>
    <x v="36"/>
    <x v="3"/>
    <s v="Japan"/>
    <x v="30"/>
    <x v="13"/>
    <n v="25206"/>
    <n v="31847"/>
  </r>
  <r>
    <s v="ORD06204"/>
    <d v="2025-01-30T00:00:00"/>
    <x v="1"/>
    <x v="3"/>
    <x v="3"/>
    <s v="Mexico"/>
    <x v="11"/>
    <x v="25"/>
    <n v="17905"/>
    <n v="17766"/>
  </r>
  <r>
    <s v="ORD06205"/>
    <d v="2025-03-16T00:00:00"/>
    <x v="9"/>
    <x v="19"/>
    <x v="5"/>
    <s v="South Africa"/>
    <x v="48"/>
    <x v="25"/>
    <n v="32370"/>
    <n v="34022"/>
  </r>
  <r>
    <s v="ORD06206"/>
    <d v="2025-05-02T00:00:00"/>
    <x v="8"/>
    <x v="27"/>
    <x v="0"/>
    <s v="China"/>
    <x v="31"/>
    <x v="25"/>
    <n v="38007"/>
    <n v="47599"/>
  </r>
  <r>
    <s v="ORD06207"/>
    <d v="2025-05-06T00:00:00"/>
    <x v="8"/>
    <x v="18"/>
    <x v="1"/>
    <s v="Mexico"/>
    <x v="44"/>
    <x v="6"/>
    <n v="36603"/>
    <n v="37962"/>
  </r>
  <r>
    <s v="ORD06208"/>
    <d v="2025-11-11T00:00:00"/>
    <x v="2"/>
    <x v="44"/>
    <x v="6"/>
    <s v="Singapore"/>
    <x v="13"/>
    <x v="23"/>
    <n v="20004"/>
    <n v="23813"/>
  </r>
  <r>
    <s v="ORD06209"/>
    <d v="2025-12-11T00:00:00"/>
    <x v="10"/>
    <x v="32"/>
    <x v="6"/>
    <s v="Malaysia"/>
    <x v="6"/>
    <x v="11"/>
    <n v="35670"/>
    <n v="33045"/>
  </r>
  <r>
    <s v="ORD06210"/>
    <d v="2025-01-11T00:00:00"/>
    <x v="1"/>
    <x v="6"/>
    <x v="6"/>
    <s v="Thailand"/>
    <x v="23"/>
    <x v="28"/>
    <n v="37497"/>
    <n v="36954"/>
  </r>
  <r>
    <s v="ORD06211"/>
    <d v="2025-01-11T00:00:00"/>
    <x v="1"/>
    <x v="6"/>
    <x v="3"/>
    <s v="Thailand"/>
    <x v="36"/>
    <x v="24"/>
    <n v="21995"/>
    <n v="23712"/>
  </r>
  <r>
    <s v="ORD06212"/>
    <d v="2025-05-02T00:00:00"/>
    <x v="8"/>
    <x v="27"/>
    <x v="3"/>
    <s v="UAE"/>
    <x v="31"/>
    <x v="25"/>
    <n v="27270"/>
    <n v="34645"/>
  </r>
  <r>
    <s v="ORD06213"/>
    <d v="2025-05-06T00:00:00"/>
    <x v="8"/>
    <x v="18"/>
    <x v="3"/>
    <s v="Malaysia"/>
    <x v="12"/>
    <x v="13"/>
    <n v="19326"/>
    <n v="20597"/>
  </r>
  <r>
    <s v="ORD06214"/>
    <d v="2025-07-11T00:00:00"/>
    <x v="0"/>
    <x v="47"/>
    <x v="0"/>
    <s v="Spain"/>
    <x v="11"/>
    <x v="16"/>
    <n v="30787"/>
    <n v="32827"/>
  </r>
  <r>
    <s v="ORD06215"/>
    <d v="2025-12-03T00:00:00"/>
    <x v="10"/>
    <x v="43"/>
    <x v="3"/>
    <s v="Turkey"/>
    <x v="25"/>
    <x v="5"/>
    <n v="22758"/>
    <n v="16679"/>
  </r>
  <r>
    <s v="ORD06216"/>
    <d v="2025-02-19T00:00:00"/>
    <x v="6"/>
    <x v="15"/>
    <x v="6"/>
    <s v="UAE"/>
    <x v="37"/>
    <x v="9"/>
    <n v="34198"/>
    <n v="39574"/>
  </r>
  <r>
    <s v="ORD06217"/>
    <d v="2025-06-18T00:00:00"/>
    <x v="5"/>
    <x v="13"/>
    <x v="3"/>
    <s v="Japan"/>
    <x v="47"/>
    <x v="13"/>
    <n v="31235"/>
    <n v="29212"/>
  </r>
  <r>
    <s v="ORD06218"/>
    <d v="2025-09-22T00:00:00"/>
    <x v="3"/>
    <x v="25"/>
    <x v="3"/>
    <s v="Turkey"/>
    <x v="13"/>
    <x v="2"/>
    <n v="18328"/>
    <n v="22070"/>
  </r>
  <r>
    <s v="ORD06219"/>
    <d v="2025-07-27T00:00:00"/>
    <x v="0"/>
    <x v="0"/>
    <x v="6"/>
    <s v="Russia"/>
    <x v="1"/>
    <x v="24"/>
    <n v="26651"/>
    <n v="25083"/>
  </r>
  <r>
    <s v="ORD06220"/>
    <d v="2025-10-27T00:00:00"/>
    <x v="4"/>
    <x v="2"/>
    <x v="4"/>
    <s v="Turkey"/>
    <x v="10"/>
    <x v="15"/>
    <n v="36842"/>
    <n v="31528"/>
  </r>
  <r>
    <s v="ORD06221"/>
    <d v="2025-03-27T00:00:00"/>
    <x v="9"/>
    <x v="33"/>
    <x v="0"/>
    <s v="UAE"/>
    <x v="16"/>
    <x v="5"/>
    <n v="23951"/>
    <n v="26615"/>
  </r>
  <r>
    <s v="ORD06222"/>
    <d v="2025-11-30T00:00:00"/>
    <x v="2"/>
    <x v="11"/>
    <x v="5"/>
    <s v="China"/>
    <x v="45"/>
    <x v="19"/>
    <n v="22833"/>
    <n v="17127"/>
  </r>
  <r>
    <s v="ORD06223"/>
    <d v="2025-05-04T00:00:00"/>
    <x v="8"/>
    <x v="27"/>
    <x v="6"/>
    <s v="Turkey"/>
    <x v="20"/>
    <x v="9"/>
    <n v="33563"/>
    <n v="25068"/>
  </r>
  <r>
    <s v="ORD06224"/>
    <d v="2025-10-30T00:00:00"/>
    <x v="4"/>
    <x v="2"/>
    <x v="0"/>
    <s v="South Africa"/>
    <x v="28"/>
    <x v="27"/>
    <n v="34901"/>
    <n v="32439"/>
  </r>
  <r>
    <s v="ORD06225"/>
    <d v="2025-03-05T00:00:00"/>
    <x v="9"/>
    <x v="35"/>
    <x v="4"/>
    <s v="Australia"/>
    <x v="48"/>
    <x v="6"/>
    <n v="26584"/>
    <n v="21598"/>
  </r>
  <r>
    <s v="ORD06226"/>
    <d v="2025-01-18T00:00:00"/>
    <x v="1"/>
    <x v="1"/>
    <x v="5"/>
    <s v="Brazil"/>
    <x v="7"/>
    <x v="11"/>
    <n v="18977"/>
    <n v="21099"/>
  </r>
  <r>
    <s v="ORD06227"/>
    <d v="2025-10-04T00:00:00"/>
    <x v="4"/>
    <x v="49"/>
    <x v="4"/>
    <s v="Spain"/>
    <x v="28"/>
    <x v="23"/>
    <n v="36334"/>
    <n v="32649"/>
  </r>
  <r>
    <s v="ORD06228"/>
    <d v="2025-03-28T00:00:00"/>
    <x v="9"/>
    <x v="33"/>
    <x v="2"/>
    <s v="Thailand"/>
    <x v="20"/>
    <x v="18"/>
    <n v="24049"/>
    <n v="28250"/>
  </r>
  <r>
    <s v="ORD06229"/>
    <d v="2025-08-27T00:00:00"/>
    <x v="11"/>
    <x v="28"/>
    <x v="1"/>
    <s v="Japan"/>
    <x v="49"/>
    <x v="2"/>
    <n v="24229"/>
    <n v="16963"/>
  </r>
  <r>
    <s v="ORD06230"/>
    <d v="2025-07-28T00:00:00"/>
    <x v="0"/>
    <x v="12"/>
    <x v="6"/>
    <s v="UAE"/>
    <x v="20"/>
    <x v="24"/>
    <n v="24222"/>
    <n v="18019"/>
  </r>
  <r>
    <s v="ORD06231"/>
    <d v="2025-06-18T00:00:00"/>
    <x v="5"/>
    <x v="13"/>
    <x v="3"/>
    <s v="China"/>
    <x v="27"/>
    <x v="27"/>
    <n v="21678"/>
    <n v="16112"/>
  </r>
  <r>
    <s v="ORD06232"/>
    <d v="2025-02-02T00:00:00"/>
    <x v="6"/>
    <x v="3"/>
    <x v="0"/>
    <s v="Mexico"/>
    <x v="17"/>
    <x v="8"/>
    <n v="18616"/>
    <n v="13893"/>
  </r>
  <r>
    <s v="ORD06233"/>
    <d v="2025-06-07T00:00:00"/>
    <x v="5"/>
    <x v="41"/>
    <x v="6"/>
    <s v="Germany"/>
    <x v="46"/>
    <x v="21"/>
    <n v="17893"/>
    <n v="21870"/>
  </r>
  <r>
    <s v="ORD06234"/>
    <d v="2025-10-14T00:00:00"/>
    <x v="4"/>
    <x v="10"/>
    <x v="6"/>
    <s v="South Africa"/>
    <x v="29"/>
    <x v="22"/>
    <n v="33600"/>
    <n v="39965"/>
  </r>
  <r>
    <s v="ORD06235"/>
    <d v="2025-10-07T00:00:00"/>
    <x v="4"/>
    <x v="45"/>
    <x v="6"/>
    <s v="UAE"/>
    <x v="48"/>
    <x v="19"/>
    <n v="28060"/>
    <n v="22261"/>
  </r>
  <r>
    <s v="ORD06236"/>
    <d v="2025-12-28T00:00:00"/>
    <x v="10"/>
    <x v="42"/>
    <x v="3"/>
    <s v="Canada"/>
    <x v="16"/>
    <x v="4"/>
    <n v="33173"/>
    <n v="23368"/>
  </r>
  <r>
    <s v="ORD06237"/>
    <d v="2025-10-03T00:00:00"/>
    <x v="4"/>
    <x v="49"/>
    <x v="1"/>
    <s v="Malaysia"/>
    <x v="0"/>
    <x v="24"/>
    <n v="19073"/>
    <n v="16836"/>
  </r>
  <r>
    <s v="ORD06238"/>
    <d v="2025-02-03T00:00:00"/>
    <x v="6"/>
    <x v="48"/>
    <x v="5"/>
    <s v="USA"/>
    <x v="42"/>
    <x v="4"/>
    <n v="33575"/>
    <n v="24279"/>
  </r>
  <r>
    <s v="ORD06239"/>
    <d v="2025-02-02T00:00:00"/>
    <x v="6"/>
    <x v="3"/>
    <x v="1"/>
    <s v="UAE"/>
    <x v="31"/>
    <x v="15"/>
    <n v="34766"/>
    <n v="32039"/>
  </r>
  <r>
    <s v="ORD06240"/>
    <d v="2025-02-15T00:00:00"/>
    <x v="6"/>
    <x v="29"/>
    <x v="4"/>
    <s v="Italy"/>
    <x v="16"/>
    <x v="28"/>
    <n v="24283"/>
    <n v="25397"/>
  </r>
  <r>
    <s v="ORD06241"/>
    <d v="2025-06-29T00:00:00"/>
    <x v="5"/>
    <x v="36"/>
    <x v="4"/>
    <s v="Singapore"/>
    <x v="6"/>
    <x v="22"/>
    <n v="31491"/>
    <n v="39215"/>
  </r>
  <r>
    <s v="ORD06242"/>
    <d v="2025-04-20T00:00:00"/>
    <x v="7"/>
    <x v="20"/>
    <x v="3"/>
    <s v="Turkey"/>
    <x v="13"/>
    <x v="16"/>
    <n v="36752"/>
    <n v="41946"/>
  </r>
  <r>
    <s v="ORD06243"/>
    <d v="2025-12-19T00:00:00"/>
    <x v="10"/>
    <x v="21"/>
    <x v="3"/>
    <s v="Thailand"/>
    <x v="49"/>
    <x v="26"/>
    <n v="22418"/>
    <n v="25901"/>
  </r>
  <r>
    <s v="ORD06244"/>
    <d v="2025-09-11T00:00:00"/>
    <x v="3"/>
    <x v="31"/>
    <x v="5"/>
    <s v="Singapore"/>
    <x v="46"/>
    <x v="17"/>
    <n v="26944"/>
    <n v="21368"/>
  </r>
  <r>
    <s v="ORD06245"/>
    <d v="2025-02-03T00:00:00"/>
    <x v="6"/>
    <x v="48"/>
    <x v="6"/>
    <s v="Turkey"/>
    <x v="27"/>
    <x v="24"/>
    <n v="32446"/>
    <n v="32912"/>
  </r>
  <r>
    <s v="ORD06246"/>
    <d v="2025-12-09T00:00:00"/>
    <x v="10"/>
    <x v="32"/>
    <x v="1"/>
    <s v="Canada"/>
    <x v="36"/>
    <x v="28"/>
    <n v="30138"/>
    <n v="38264"/>
  </r>
  <r>
    <s v="ORD06247"/>
    <d v="2025-12-24T00:00:00"/>
    <x v="10"/>
    <x v="42"/>
    <x v="4"/>
    <s v="UK"/>
    <x v="21"/>
    <x v="6"/>
    <n v="32848"/>
    <n v="41998"/>
  </r>
  <r>
    <s v="ORD06248"/>
    <d v="2025-12-04T00:00:00"/>
    <x v="10"/>
    <x v="43"/>
    <x v="1"/>
    <s v="Brazil"/>
    <x v="22"/>
    <x v="8"/>
    <n v="20027"/>
    <n v="20526"/>
  </r>
  <r>
    <s v="ORD06249"/>
    <d v="2025-12-23T00:00:00"/>
    <x v="10"/>
    <x v="42"/>
    <x v="6"/>
    <s v="Singapore"/>
    <x v="12"/>
    <x v="26"/>
    <n v="30290"/>
    <n v="36508"/>
  </r>
  <r>
    <s v="ORD06250"/>
    <d v="2025-09-03T00:00:00"/>
    <x v="3"/>
    <x v="4"/>
    <x v="6"/>
    <s v="USA"/>
    <x v="13"/>
    <x v="23"/>
    <n v="33308"/>
    <n v="32276"/>
  </r>
  <r>
    <s v="ORD06251"/>
    <d v="2025-11-16T00:00:00"/>
    <x v="2"/>
    <x v="44"/>
    <x v="6"/>
    <s v="Germany"/>
    <x v="22"/>
    <x v="20"/>
    <n v="25617"/>
    <n v="22164"/>
  </r>
  <r>
    <s v="ORD06252"/>
    <d v="2025-04-30T00:00:00"/>
    <x v="7"/>
    <x v="27"/>
    <x v="6"/>
    <s v="Turkey"/>
    <x v="13"/>
    <x v="21"/>
    <n v="26707"/>
    <n v="24153"/>
  </r>
  <r>
    <s v="ORD06253"/>
    <d v="2025-02-27T00:00:00"/>
    <x v="6"/>
    <x v="22"/>
    <x v="2"/>
    <s v="Russia"/>
    <x v="2"/>
    <x v="27"/>
    <n v="36211"/>
    <n v="40545"/>
  </r>
  <r>
    <s v="ORD06254"/>
    <d v="2025-05-20T00:00:00"/>
    <x v="8"/>
    <x v="26"/>
    <x v="6"/>
    <s v="Thailand"/>
    <x v="6"/>
    <x v="0"/>
    <n v="28556"/>
    <n v="29429"/>
  </r>
  <r>
    <s v="ORD06255"/>
    <d v="2025-04-11T00:00:00"/>
    <x v="7"/>
    <x v="16"/>
    <x v="5"/>
    <s v="France"/>
    <x v="33"/>
    <x v="21"/>
    <n v="17984"/>
    <n v="21379"/>
  </r>
  <r>
    <s v="ORD06256"/>
    <d v="2025-05-09T00:00:00"/>
    <x v="8"/>
    <x v="18"/>
    <x v="5"/>
    <s v="India"/>
    <x v="4"/>
    <x v="20"/>
    <n v="16658"/>
    <n v="12587"/>
  </r>
  <r>
    <s v="ORD06257"/>
    <d v="2025-09-12T00:00:00"/>
    <x v="3"/>
    <x v="31"/>
    <x v="1"/>
    <s v="South Africa"/>
    <x v="38"/>
    <x v="23"/>
    <n v="31016"/>
    <n v="29395"/>
  </r>
  <r>
    <s v="ORD06258"/>
    <d v="2025-01-11T00:00:00"/>
    <x v="1"/>
    <x v="6"/>
    <x v="3"/>
    <s v="UAE"/>
    <x v="18"/>
    <x v="14"/>
    <n v="18359"/>
    <n v="18665"/>
  </r>
  <r>
    <s v="ORD06259"/>
    <d v="2025-02-03T00:00:00"/>
    <x v="6"/>
    <x v="48"/>
    <x v="1"/>
    <s v="Australia"/>
    <x v="30"/>
    <x v="22"/>
    <n v="34126"/>
    <n v="42200"/>
  </r>
  <r>
    <s v="ORD06260"/>
    <d v="2025-04-22T00:00:00"/>
    <x v="7"/>
    <x v="38"/>
    <x v="5"/>
    <s v="Thailand"/>
    <x v="13"/>
    <x v="6"/>
    <n v="30937"/>
    <n v="30639"/>
  </r>
  <r>
    <s v="ORD06261"/>
    <d v="2025-03-04T00:00:00"/>
    <x v="9"/>
    <x v="35"/>
    <x v="0"/>
    <s v="India"/>
    <x v="13"/>
    <x v="5"/>
    <n v="25210"/>
    <n v="29012"/>
  </r>
  <r>
    <s v="ORD06262"/>
    <d v="2025-10-27T00:00:00"/>
    <x v="4"/>
    <x v="2"/>
    <x v="5"/>
    <s v="Brazil"/>
    <x v="11"/>
    <x v="10"/>
    <n v="24721"/>
    <n v="26653"/>
  </r>
  <r>
    <s v="ORD06263"/>
    <d v="2025-01-26T00:00:00"/>
    <x v="1"/>
    <x v="7"/>
    <x v="2"/>
    <s v="France"/>
    <x v="49"/>
    <x v="15"/>
    <n v="17007"/>
    <n v="14016"/>
  </r>
  <r>
    <s v="ORD06264"/>
    <d v="2025-12-10T00:00:00"/>
    <x v="10"/>
    <x v="32"/>
    <x v="6"/>
    <s v="UAE"/>
    <x v="24"/>
    <x v="28"/>
    <n v="21110"/>
    <n v="25251"/>
  </r>
  <r>
    <s v="ORD06265"/>
    <d v="2025-05-21T00:00:00"/>
    <x v="8"/>
    <x v="26"/>
    <x v="6"/>
    <s v="China"/>
    <x v="17"/>
    <x v="14"/>
    <n v="35449"/>
    <n v="29763"/>
  </r>
  <r>
    <s v="ORD06266"/>
    <d v="2025-04-23T00:00:00"/>
    <x v="7"/>
    <x v="38"/>
    <x v="2"/>
    <s v="India"/>
    <x v="20"/>
    <x v="4"/>
    <n v="38822"/>
    <n v="30212"/>
  </r>
  <r>
    <s v="ORD06267"/>
    <d v="2025-02-11T00:00:00"/>
    <x v="6"/>
    <x v="29"/>
    <x v="2"/>
    <s v="China"/>
    <x v="46"/>
    <x v="1"/>
    <n v="18620"/>
    <n v="14513"/>
  </r>
  <r>
    <s v="ORD06268"/>
    <d v="2025-07-16T00:00:00"/>
    <x v="0"/>
    <x v="14"/>
    <x v="5"/>
    <s v="Malaysia"/>
    <x v="20"/>
    <x v="21"/>
    <n v="18842"/>
    <n v="23395"/>
  </r>
  <r>
    <s v="ORD06269"/>
    <d v="2025-01-13T00:00:00"/>
    <x v="1"/>
    <x v="1"/>
    <x v="3"/>
    <s v="South Africa"/>
    <x v="27"/>
    <x v="5"/>
    <n v="30207"/>
    <n v="34122"/>
  </r>
  <r>
    <s v="ORD06270"/>
    <d v="2025-02-01T00:00:00"/>
    <x v="6"/>
    <x v="3"/>
    <x v="3"/>
    <s v="Japan"/>
    <x v="28"/>
    <x v="29"/>
    <n v="24931"/>
    <n v="19690"/>
  </r>
  <r>
    <s v="ORD06271"/>
    <d v="2025-09-09T00:00:00"/>
    <x v="3"/>
    <x v="31"/>
    <x v="4"/>
    <s v="USA"/>
    <x v="39"/>
    <x v="19"/>
    <n v="21510"/>
    <n v="21142"/>
  </r>
  <r>
    <s v="ORD06272"/>
    <d v="2025-07-04T00:00:00"/>
    <x v="0"/>
    <x v="37"/>
    <x v="2"/>
    <s v="Malaysia"/>
    <x v="22"/>
    <x v="7"/>
    <n v="37084"/>
    <n v="35683"/>
  </r>
  <r>
    <s v="ORD06273"/>
    <d v="2025-12-02T00:00:00"/>
    <x v="10"/>
    <x v="43"/>
    <x v="5"/>
    <s v="Germany"/>
    <x v="24"/>
    <x v="3"/>
    <n v="33460"/>
    <n v="40680"/>
  </r>
  <r>
    <s v="ORD06274"/>
    <d v="2025-10-18T00:00:00"/>
    <x v="4"/>
    <x v="10"/>
    <x v="4"/>
    <s v="Japan"/>
    <x v="28"/>
    <x v="14"/>
    <n v="23451"/>
    <n v="22370"/>
  </r>
  <r>
    <s v="ORD06275"/>
    <d v="2025-04-01T00:00:00"/>
    <x v="7"/>
    <x v="34"/>
    <x v="5"/>
    <s v="Thailand"/>
    <x v="11"/>
    <x v="8"/>
    <n v="22155"/>
    <n v="22275"/>
  </r>
  <r>
    <s v="ORD06276"/>
    <d v="2025-12-04T00:00:00"/>
    <x v="10"/>
    <x v="43"/>
    <x v="1"/>
    <s v="China"/>
    <x v="18"/>
    <x v="9"/>
    <n v="35151"/>
    <n v="43871"/>
  </r>
  <r>
    <s v="ORD06277"/>
    <d v="2025-10-25T00:00:00"/>
    <x v="4"/>
    <x v="50"/>
    <x v="5"/>
    <s v="France"/>
    <x v="15"/>
    <x v="29"/>
    <n v="32898"/>
    <n v="28110"/>
  </r>
  <r>
    <s v="ORD06278"/>
    <d v="2025-02-10T00:00:00"/>
    <x v="6"/>
    <x v="29"/>
    <x v="5"/>
    <s v="Brazil"/>
    <x v="21"/>
    <x v="6"/>
    <n v="37766"/>
    <n v="47612"/>
  </r>
  <r>
    <s v="ORD06279"/>
    <d v="2025-04-29T00:00:00"/>
    <x v="7"/>
    <x v="27"/>
    <x v="4"/>
    <s v="South Africa"/>
    <x v="1"/>
    <x v="28"/>
    <n v="15305"/>
    <n v="17008"/>
  </r>
  <r>
    <s v="ORD06280"/>
    <d v="2025-03-04T00:00:00"/>
    <x v="9"/>
    <x v="35"/>
    <x v="2"/>
    <s v="Malaysia"/>
    <x v="1"/>
    <x v="19"/>
    <n v="17339"/>
    <n v="14314"/>
  </r>
  <r>
    <s v="ORD06281"/>
    <d v="2025-06-16T00:00:00"/>
    <x v="5"/>
    <x v="13"/>
    <x v="6"/>
    <s v="Russia"/>
    <x v="18"/>
    <x v="10"/>
    <n v="30684"/>
    <n v="22313"/>
  </r>
  <r>
    <s v="ORD06282"/>
    <d v="2025-05-06T00:00:00"/>
    <x v="8"/>
    <x v="18"/>
    <x v="2"/>
    <s v="Mexico"/>
    <x v="17"/>
    <x v="22"/>
    <n v="23183"/>
    <n v="27626"/>
  </r>
  <r>
    <s v="ORD06283"/>
    <d v="2025-03-08T00:00:00"/>
    <x v="9"/>
    <x v="35"/>
    <x v="3"/>
    <s v="Mexico"/>
    <x v="14"/>
    <x v="11"/>
    <n v="31001"/>
    <n v="22289"/>
  </r>
  <r>
    <s v="ORD06284"/>
    <d v="2025-11-01T00:00:00"/>
    <x v="2"/>
    <x v="2"/>
    <x v="6"/>
    <s v="Brazil"/>
    <x v="10"/>
    <x v="25"/>
    <n v="19674"/>
    <n v="22590"/>
  </r>
  <r>
    <s v="ORD06285"/>
    <d v="2025-03-04T00:00:00"/>
    <x v="9"/>
    <x v="35"/>
    <x v="0"/>
    <s v="Spain"/>
    <x v="14"/>
    <x v="6"/>
    <n v="28088"/>
    <n v="35252"/>
  </r>
  <r>
    <s v="ORD06286"/>
    <d v="2025-01-06T00:00:00"/>
    <x v="1"/>
    <x v="6"/>
    <x v="0"/>
    <s v="France"/>
    <x v="22"/>
    <x v="14"/>
    <n v="34001"/>
    <n v="31388"/>
  </r>
  <r>
    <s v="ORD06287"/>
    <d v="2025-07-20T00:00:00"/>
    <x v="0"/>
    <x v="14"/>
    <x v="5"/>
    <s v="Singapore"/>
    <x v="18"/>
    <x v="25"/>
    <n v="15423"/>
    <n v="19336"/>
  </r>
  <r>
    <s v="ORD06288"/>
    <d v="2025-09-10T00:00:00"/>
    <x v="3"/>
    <x v="31"/>
    <x v="1"/>
    <s v="UAE"/>
    <x v="33"/>
    <x v="10"/>
    <n v="16316"/>
    <n v="17237"/>
  </r>
  <r>
    <s v="ORD06289"/>
    <d v="2025-10-17T00:00:00"/>
    <x v="4"/>
    <x v="10"/>
    <x v="5"/>
    <s v="UAE"/>
    <x v="37"/>
    <x v="0"/>
    <n v="21278"/>
    <n v="19742"/>
  </r>
  <r>
    <s v="ORD06290"/>
    <d v="2025-08-19T00:00:00"/>
    <x v="11"/>
    <x v="46"/>
    <x v="1"/>
    <s v="France"/>
    <x v="46"/>
    <x v="15"/>
    <n v="17326"/>
    <n v="17690"/>
  </r>
  <r>
    <s v="ORD06291"/>
    <d v="2025-04-20T00:00:00"/>
    <x v="7"/>
    <x v="20"/>
    <x v="6"/>
    <s v="Canada"/>
    <x v="12"/>
    <x v="17"/>
    <n v="17879"/>
    <n v="21943"/>
  </r>
  <r>
    <s v="ORD06292"/>
    <d v="2025-09-15T00:00:00"/>
    <x v="3"/>
    <x v="8"/>
    <x v="4"/>
    <s v="Spain"/>
    <x v="30"/>
    <x v="7"/>
    <n v="32421"/>
    <n v="25631"/>
  </r>
  <r>
    <s v="ORD06293"/>
    <d v="2025-05-21T00:00:00"/>
    <x v="8"/>
    <x v="26"/>
    <x v="2"/>
    <s v="Spain"/>
    <x v="21"/>
    <x v="7"/>
    <n v="22876"/>
    <n v="18613"/>
  </r>
  <r>
    <s v="ORD06294"/>
    <d v="2025-12-05T00:00:00"/>
    <x v="10"/>
    <x v="43"/>
    <x v="0"/>
    <s v="Italy"/>
    <x v="5"/>
    <x v="18"/>
    <n v="27896"/>
    <n v="28063"/>
  </r>
  <r>
    <s v="ORD06295"/>
    <d v="2025-09-06T00:00:00"/>
    <x v="3"/>
    <x v="4"/>
    <x v="0"/>
    <s v="Malaysia"/>
    <x v="30"/>
    <x v="18"/>
    <n v="26587"/>
    <n v="24246"/>
  </r>
  <r>
    <s v="ORD06296"/>
    <d v="2025-02-15T00:00:00"/>
    <x v="6"/>
    <x v="29"/>
    <x v="4"/>
    <s v="Russia"/>
    <x v="7"/>
    <x v="12"/>
    <n v="22303"/>
    <n v="20684"/>
  </r>
  <r>
    <s v="ORD06297"/>
    <d v="2025-02-25T00:00:00"/>
    <x v="6"/>
    <x v="22"/>
    <x v="0"/>
    <s v="China"/>
    <x v="31"/>
    <x v="25"/>
    <n v="34798"/>
    <n v="39267"/>
  </r>
  <r>
    <s v="ORD06298"/>
    <d v="2025-01-08T00:00:00"/>
    <x v="1"/>
    <x v="6"/>
    <x v="3"/>
    <s v="Japan"/>
    <x v="23"/>
    <x v="17"/>
    <n v="31674"/>
    <n v="37994"/>
  </r>
  <r>
    <s v="ORD06299"/>
    <d v="2025-03-30T00:00:00"/>
    <x v="9"/>
    <x v="33"/>
    <x v="3"/>
    <s v="Australia"/>
    <x v="48"/>
    <x v="27"/>
    <n v="28666"/>
    <n v="31700"/>
  </r>
  <r>
    <s v="ORD06300"/>
    <d v="2025-04-06T00:00:00"/>
    <x v="7"/>
    <x v="34"/>
    <x v="5"/>
    <s v="Japan"/>
    <x v="12"/>
    <x v="13"/>
    <n v="37903"/>
    <n v="30721"/>
  </r>
  <r>
    <s v="ORD06301"/>
    <d v="2025-06-06T00:00:00"/>
    <x v="5"/>
    <x v="41"/>
    <x v="6"/>
    <s v="South Africa"/>
    <x v="9"/>
    <x v="11"/>
    <n v="18882"/>
    <n v="16198"/>
  </r>
  <r>
    <s v="ORD06302"/>
    <d v="2025-10-24T00:00:00"/>
    <x v="4"/>
    <x v="50"/>
    <x v="5"/>
    <s v="Brazil"/>
    <x v="19"/>
    <x v="14"/>
    <n v="21856"/>
    <n v="16252"/>
  </r>
  <r>
    <s v="ORD06303"/>
    <d v="2025-10-31T00:00:00"/>
    <x v="4"/>
    <x v="2"/>
    <x v="4"/>
    <s v="Spain"/>
    <x v="19"/>
    <x v="13"/>
    <n v="28002"/>
    <n v="29508"/>
  </r>
  <r>
    <s v="ORD06304"/>
    <d v="2025-07-01T00:00:00"/>
    <x v="0"/>
    <x v="37"/>
    <x v="4"/>
    <s v="Thailand"/>
    <x v="45"/>
    <x v="11"/>
    <n v="29078"/>
    <n v="22982"/>
  </r>
  <r>
    <s v="ORD06305"/>
    <d v="2025-07-11T00:00:00"/>
    <x v="0"/>
    <x v="47"/>
    <x v="2"/>
    <s v="Russia"/>
    <x v="19"/>
    <x v="13"/>
    <n v="26439"/>
    <n v="24957"/>
  </r>
  <r>
    <s v="ORD06306"/>
    <d v="2025-04-15T00:00:00"/>
    <x v="7"/>
    <x v="20"/>
    <x v="2"/>
    <s v="USA"/>
    <x v="30"/>
    <x v="10"/>
    <n v="39137"/>
    <n v="39688"/>
  </r>
  <r>
    <s v="ORD06307"/>
    <d v="2025-07-20T00:00:00"/>
    <x v="0"/>
    <x v="14"/>
    <x v="1"/>
    <s v="Italy"/>
    <x v="7"/>
    <x v="29"/>
    <n v="25951"/>
    <n v="30608"/>
  </r>
  <r>
    <s v="ORD06308"/>
    <d v="2025-09-26T00:00:00"/>
    <x v="3"/>
    <x v="25"/>
    <x v="6"/>
    <s v="France"/>
    <x v="37"/>
    <x v="4"/>
    <n v="21643"/>
    <n v="19842"/>
  </r>
  <r>
    <s v="ORD06309"/>
    <d v="2025-11-08T00:00:00"/>
    <x v="2"/>
    <x v="51"/>
    <x v="3"/>
    <s v="China"/>
    <x v="15"/>
    <x v="24"/>
    <n v="17352"/>
    <n v="22116"/>
  </r>
  <r>
    <s v="ORD06310"/>
    <d v="2025-07-14T00:00:00"/>
    <x v="0"/>
    <x v="14"/>
    <x v="6"/>
    <s v="UAE"/>
    <x v="11"/>
    <x v="3"/>
    <n v="17369"/>
    <n v="21207"/>
  </r>
  <r>
    <s v="ORD06311"/>
    <d v="2025-12-09T00:00:00"/>
    <x v="10"/>
    <x v="32"/>
    <x v="3"/>
    <s v="France"/>
    <x v="22"/>
    <x v="27"/>
    <n v="34742"/>
    <n v="28127"/>
  </r>
  <r>
    <s v="ORD06312"/>
    <d v="2025-11-03T00:00:00"/>
    <x v="2"/>
    <x v="51"/>
    <x v="3"/>
    <s v="Turkey"/>
    <x v="29"/>
    <x v="12"/>
    <n v="35295"/>
    <n v="31948"/>
  </r>
  <r>
    <s v="ORD06313"/>
    <d v="2025-04-08T00:00:00"/>
    <x v="7"/>
    <x v="16"/>
    <x v="3"/>
    <s v="France"/>
    <x v="19"/>
    <x v="26"/>
    <n v="21292"/>
    <n v="22488"/>
  </r>
  <r>
    <s v="ORD06314"/>
    <d v="2025-11-11T00:00:00"/>
    <x v="2"/>
    <x v="44"/>
    <x v="3"/>
    <s v="Malaysia"/>
    <x v="17"/>
    <x v="29"/>
    <n v="38011"/>
    <n v="32494"/>
  </r>
  <r>
    <s v="ORD06315"/>
    <d v="2025-02-20T00:00:00"/>
    <x v="6"/>
    <x v="15"/>
    <x v="3"/>
    <s v="UK"/>
    <x v="36"/>
    <x v="19"/>
    <n v="39804"/>
    <n v="37475"/>
  </r>
  <r>
    <s v="ORD06316"/>
    <d v="2025-09-18T00:00:00"/>
    <x v="3"/>
    <x v="8"/>
    <x v="4"/>
    <s v="Russia"/>
    <x v="9"/>
    <x v="6"/>
    <n v="28663"/>
    <n v="34685"/>
  </r>
  <r>
    <s v="ORD06317"/>
    <d v="2025-06-11T00:00:00"/>
    <x v="5"/>
    <x v="40"/>
    <x v="1"/>
    <s v="USA"/>
    <x v="29"/>
    <x v="17"/>
    <n v="39758"/>
    <n v="49551"/>
  </r>
  <r>
    <s v="ORD06318"/>
    <d v="2025-04-25T00:00:00"/>
    <x v="7"/>
    <x v="38"/>
    <x v="2"/>
    <s v="Thailand"/>
    <x v="4"/>
    <x v="4"/>
    <n v="21725"/>
    <n v="16224"/>
  </r>
  <r>
    <s v="ORD06319"/>
    <d v="2025-06-04T00:00:00"/>
    <x v="5"/>
    <x v="41"/>
    <x v="4"/>
    <s v="Singapore"/>
    <x v="42"/>
    <x v="3"/>
    <n v="39598"/>
    <n v="37137"/>
  </r>
  <r>
    <s v="ORD06320"/>
    <d v="2025-04-06T00:00:00"/>
    <x v="7"/>
    <x v="34"/>
    <x v="5"/>
    <s v="UAE"/>
    <x v="47"/>
    <x v="4"/>
    <n v="33117"/>
    <n v="25357"/>
  </r>
  <r>
    <s v="ORD06321"/>
    <d v="2025-07-30T00:00:00"/>
    <x v="0"/>
    <x v="12"/>
    <x v="4"/>
    <s v="India"/>
    <x v="24"/>
    <x v="20"/>
    <n v="36848"/>
    <n v="28100"/>
  </r>
  <r>
    <s v="ORD06322"/>
    <d v="2025-04-19T00:00:00"/>
    <x v="7"/>
    <x v="20"/>
    <x v="5"/>
    <s v="Russia"/>
    <x v="18"/>
    <x v="23"/>
    <n v="21820"/>
    <n v="21999"/>
  </r>
  <r>
    <s v="ORD06323"/>
    <d v="2025-02-27T00:00:00"/>
    <x v="6"/>
    <x v="22"/>
    <x v="6"/>
    <s v="Japan"/>
    <x v="14"/>
    <x v="16"/>
    <n v="26150"/>
    <n v="20677"/>
  </r>
  <r>
    <s v="ORD06324"/>
    <d v="2025-02-02T00:00:00"/>
    <x v="6"/>
    <x v="3"/>
    <x v="6"/>
    <s v="USA"/>
    <x v="36"/>
    <x v="14"/>
    <n v="32181"/>
    <n v="41382"/>
  </r>
  <r>
    <s v="ORD06325"/>
    <d v="2025-04-16T00:00:00"/>
    <x v="7"/>
    <x v="20"/>
    <x v="4"/>
    <s v="South Africa"/>
    <x v="36"/>
    <x v="21"/>
    <n v="39710"/>
    <n v="48024"/>
  </r>
  <r>
    <s v="ORD06326"/>
    <d v="2025-12-21T00:00:00"/>
    <x v="10"/>
    <x v="21"/>
    <x v="5"/>
    <s v="Turkey"/>
    <x v="3"/>
    <x v="11"/>
    <n v="24675"/>
    <n v="26948"/>
  </r>
  <r>
    <s v="ORD06327"/>
    <d v="2025-10-18T00:00:00"/>
    <x v="4"/>
    <x v="10"/>
    <x v="3"/>
    <s v="Spain"/>
    <x v="39"/>
    <x v="18"/>
    <n v="25685"/>
    <n v="21297"/>
  </r>
  <r>
    <s v="ORD06328"/>
    <d v="2025-01-20T00:00:00"/>
    <x v="1"/>
    <x v="7"/>
    <x v="0"/>
    <s v="France"/>
    <x v="15"/>
    <x v="29"/>
    <n v="18737"/>
    <n v="18828"/>
  </r>
  <r>
    <s v="ORD06329"/>
    <d v="2025-01-12T00:00:00"/>
    <x v="1"/>
    <x v="6"/>
    <x v="5"/>
    <s v="Singapore"/>
    <x v="23"/>
    <x v="22"/>
    <n v="18995"/>
    <n v="18711"/>
  </r>
  <r>
    <s v="ORD06330"/>
    <d v="2025-09-09T00:00:00"/>
    <x v="3"/>
    <x v="31"/>
    <x v="3"/>
    <s v="India"/>
    <x v="13"/>
    <x v="12"/>
    <n v="26868"/>
    <n v="29553"/>
  </r>
  <r>
    <s v="ORD06331"/>
    <d v="2025-06-30T00:00:00"/>
    <x v="5"/>
    <x v="37"/>
    <x v="2"/>
    <s v="Spain"/>
    <x v="9"/>
    <x v="28"/>
    <n v="23008"/>
    <n v="25431"/>
  </r>
  <r>
    <s v="ORD06332"/>
    <d v="2025-08-16T00:00:00"/>
    <x v="11"/>
    <x v="30"/>
    <x v="6"/>
    <s v="Turkey"/>
    <x v="20"/>
    <x v="8"/>
    <n v="22356"/>
    <n v="19410"/>
  </r>
  <r>
    <s v="ORD06333"/>
    <d v="2025-07-06T00:00:00"/>
    <x v="0"/>
    <x v="37"/>
    <x v="4"/>
    <s v="Australia"/>
    <x v="30"/>
    <x v="6"/>
    <n v="35492"/>
    <n v="41062"/>
  </r>
  <r>
    <s v="ORD06334"/>
    <d v="2025-01-19T00:00:00"/>
    <x v="1"/>
    <x v="1"/>
    <x v="5"/>
    <s v="Australia"/>
    <x v="40"/>
    <x v="3"/>
    <n v="24280"/>
    <n v="18354"/>
  </r>
  <r>
    <s v="ORD06335"/>
    <d v="2025-01-15T00:00:00"/>
    <x v="1"/>
    <x v="1"/>
    <x v="6"/>
    <s v="Germany"/>
    <x v="19"/>
    <x v="18"/>
    <n v="29739"/>
    <n v="30832"/>
  </r>
  <r>
    <s v="ORD06336"/>
    <d v="2025-07-05T00:00:00"/>
    <x v="0"/>
    <x v="37"/>
    <x v="2"/>
    <s v="Australia"/>
    <x v="20"/>
    <x v="23"/>
    <n v="23353"/>
    <n v="26671"/>
  </r>
  <r>
    <s v="ORD06337"/>
    <d v="2025-06-13T00:00:00"/>
    <x v="5"/>
    <x v="40"/>
    <x v="3"/>
    <s v="Thailand"/>
    <x v="33"/>
    <x v="10"/>
    <n v="27836"/>
    <n v="34611"/>
  </r>
  <r>
    <s v="ORD06338"/>
    <d v="2025-05-11T00:00:00"/>
    <x v="8"/>
    <x v="18"/>
    <x v="3"/>
    <s v="India"/>
    <x v="13"/>
    <x v="9"/>
    <n v="38975"/>
    <n v="32073"/>
  </r>
  <r>
    <s v="ORD06339"/>
    <d v="2025-03-11T00:00:00"/>
    <x v="9"/>
    <x v="19"/>
    <x v="4"/>
    <s v="China"/>
    <x v="40"/>
    <x v="29"/>
    <n v="21009"/>
    <n v="20659"/>
  </r>
  <r>
    <s v="ORD06340"/>
    <d v="2025-01-26T00:00:00"/>
    <x v="1"/>
    <x v="7"/>
    <x v="3"/>
    <s v="Mexico"/>
    <x v="37"/>
    <x v="8"/>
    <n v="24387"/>
    <n v="30352"/>
  </r>
  <r>
    <s v="ORD06341"/>
    <d v="2025-04-06T00:00:00"/>
    <x v="7"/>
    <x v="34"/>
    <x v="5"/>
    <s v="Mexico"/>
    <x v="7"/>
    <x v="20"/>
    <n v="26950"/>
    <n v="22251"/>
  </r>
  <r>
    <s v="ORD06342"/>
    <d v="2025-10-06T00:00:00"/>
    <x v="4"/>
    <x v="45"/>
    <x v="5"/>
    <s v="Germany"/>
    <x v="48"/>
    <x v="23"/>
    <n v="33057"/>
    <n v="38892"/>
  </r>
  <r>
    <s v="ORD06343"/>
    <d v="2025-08-06T00:00:00"/>
    <x v="11"/>
    <x v="23"/>
    <x v="3"/>
    <s v="Japan"/>
    <x v="18"/>
    <x v="17"/>
    <n v="33437"/>
    <n v="26024"/>
  </r>
  <r>
    <s v="ORD06344"/>
    <d v="2025-09-10T00:00:00"/>
    <x v="3"/>
    <x v="31"/>
    <x v="4"/>
    <s v="USA"/>
    <x v="34"/>
    <x v="8"/>
    <n v="21528"/>
    <n v="25666"/>
  </r>
  <r>
    <s v="ORD06345"/>
    <d v="2025-08-27T00:00:00"/>
    <x v="11"/>
    <x v="28"/>
    <x v="5"/>
    <s v="Canada"/>
    <x v="28"/>
    <x v="9"/>
    <n v="18574"/>
    <n v="23530"/>
  </r>
  <r>
    <s v="ORD06346"/>
    <d v="2025-09-30T00:00:00"/>
    <x v="3"/>
    <x v="49"/>
    <x v="6"/>
    <s v="Australia"/>
    <x v="38"/>
    <x v="7"/>
    <n v="18505"/>
    <n v="17381"/>
  </r>
  <r>
    <s v="ORD06347"/>
    <d v="2025-08-06T00:00:00"/>
    <x v="11"/>
    <x v="23"/>
    <x v="1"/>
    <s v="Thailand"/>
    <x v="44"/>
    <x v="8"/>
    <n v="26299"/>
    <n v="31155"/>
  </r>
  <r>
    <s v="ORD06348"/>
    <d v="2025-10-30T00:00:00"/>
    <x v="4"/>
    <x v="2"/>
    <x v="5"/>
    <s v="Russia"/>
    <x v="47"/>
    <x v="15"/>
    <n v="29011"/>
    <n v="20837"/>
  </r>
  <r>
    <s v="ORD06349"/>
    <d v="2025-11-21T00:00:00"/>
    <x v="2"/>
    <x v="9"/>
    <x v="1"/>
    <s v="UK"/>
    <x v="16"/>
    <x v="16"/>
    <n v="31758"/>
    <n v="24868"/>
  </r>
  <r>
    <s v="ORD06350"/>
    <d v="2025-01-15T00:00:00"/>
    <x v="1"/>
    <x v="1"/>
    <x v="1"/>
    <s v="UAE"/>
    <x v="6"/>
    <x v="21"/>
    <n v="28549"/>
    <n v="36697"/>
  </r>
  <r>
    <s v="ORD06351"/>
    <d v="2025-01-05T00:00:00"/>
    <x v="1"/>
    <x v="5"/>
    <x v="2"/>
    <s v="Spain"/>
    <x v="26"/>
    <x v="4"/>
    <n v="33622"/>
    <n v="30981"/>
  </r>
  <r>
    <s v="ORD06352"/>
    <d v="2025-04-03T00:00:00"/>
    <x v="7"/>
    <x v="34"/>
    <x v="0"/>
    <s v="Mexico"/>
    <x v="6"/>
    <x v="8"/>
    <n v="24522"/>
    <n v="27022"/>
  </r>
  <r>
    <s v="ORD06353"/>
    <d v="2025-12-30T00:00:00"/>
    <x v="10"/>
    <x v="5"/>
    <x v="4"/>
    <s v="Brazil"/>
    <x v="0"/>
    <x v="14"/>
    <n v="19794"/>
    <n v="14656"/>
  </r>
  <r>
    <s v="ORD06354"/>
    <d v="2025-04-26T00:00:00"/>
    <x v="7"/>
    <x v="38"/>
    <x v="2"/>
    <s v="Turkey"/>
    <x v="26"/>
    <x v="28"/>
    <n v="23408"/>
    <n v="18433"/>
  </r>
  <r>
    <s v="ORD06355"/>
    <d v="2025-01-23T00:00:00"/>
    <x v="1"/>
    <x v="7"/>
    <x v="4"/>
    <s v="South Africa"/>
    <x v="38"/>
    <x v="7"/>
    <n v="35062"/>
    <n v="31334"/>
  </r>
  <r>
    <s v="ORD06356"/>
    <d v="2025-05-09T00:00:00"/>
    <x v="8"/>
    <x v="18"/>
    <x v="4"/>
    <s v="Japan"/>
    <x v="20"/>
    <x v="10"/>
    <n v="30339"/>
    <n v="37218"/>
  </r>
  <r>
    <s v="ORD06357"/>
    <d v="2025-11-01T00:00:00"/>
    <x v="2"/>
    <x v="2"/>
    <x v="3"/>
    <s v="Singapore"/>
    <x v="31"/>
    <x v="17"/>
    <n v="39689"/>
    <n v="46404"/>
  </r>
  <r>
    <s v="ORD06358"/>
    <d v="2025-12-10T00:00:00"/>
    <x v="10"/>
    <x v="32"/>
    <x v="4"/>
    <s v="South Africa"/>
    <x v="0"/>
    <x v="14"/>
    <n v="37150"/>
    <n v="42025"/>
  </r>
  <r>
    <s v="ORD06359"/>
    <d v="2025-08-11T00:00:00"/>
    <x v="11"/>
    <x v="30"/>
    <x v="6"/>
    <s v="Japan"/>
    <x v="40"/>
    <x v="29"/>
    <n v="28561"/>
    <n v="23188"/>
  </r>
  <r>
    <s v="ORD06360"/>
    <d v="2025-02-17T00:00:00"/>
    <x v="6"/>
    <x v="15"/>
    <x v="6"/>
    <s v="Brazil"/>
    <x v="20"/>
    <x v="17"/>
    <n v="29350"/>
    <n v="36776"/>
  </r>
  <r>
    <s v="ORD06361"/>
    <d v="2025-05-26T00:00:00"/>
    <x v="8"/>
    <x v="24"/>
    <x v="6"/>
    <s v="Spain"/>
    <x v="18"/>
    <x v="3"/>
    <n v="29379"/>
    <n v="24039"/>
  </r>
  <r>
    <s v="ORD06362"/>
    <d v="2025-10-09T00:00:00"/>
    <x v="4"/>
    <x v="45"/>
    <x v="1"/>
    <s v="UAE"/>
    <x v="41"/>
    <x v="6"/>
    <n v="16968"/>
    <n v="14096"/>
  </r>
  <r>
    <s v="ORD06363"/>
    <d v="2025-07-01T00:00:00"/>
    <x v="0"/>
    <x v="37"/>
    <x v="6"/>
    <s v="UAE"/>
    <x v="0"/>
    <x v="11"/>
    <n v="19588"/>
    <n v="16614"/>
  </r>
  <r>
    <s v="ORD06364"/>
    <d v="2025-11-25T00:00:00"/>
    <x v="2"/>
    <x v="11"/>
    <x v="6"/>
    <s v="Singapore"/>
    <x v="13"/>
    <x v="4"/>
    <n v="19683"/>
    <n v="23662"/>
  </r>
  <r>
    <s v="ORD06365"/>
    <d v="2025-10-13T00:00:00"/>
    <x v="4"/>
    <x v="10"/>
    <x v="2"/>
    <s v="South Africa"/>
    <x v="43"/>
    <x v="5"/>
    <n v="35317"/>
    <n v="26099"/>
  </r>
  <r>
    <s v="ORD06366"/>
    <d v="2025-08-08T00:00:00"/>
    <x v="11"/>
    <x v="23"/>
    <x v="5"/>
    <s v="Spain"/>
    <x v="45"/>
    <x v="5"/>
    <n v="33650"/>
    <n v="27826"/>
  </r>
  <r>
    <s v="ORD06367"/>
    <d v="2025-08-27T00:00:00"/>
    <x v="11"/>
    <x v="28"/>
    <x v="6"/>
    <s v="Italy"/>
    <x v="30"/>
    <x v="20"/>
    <n v="35662"/>
    <n v="32251"/>
  </r>
  <r>
    <s v="ORD06368"/>
    <d v="2025-06-29T00:00:00"/>
    <x v="5"/>
    <x v="36"/>
    <x v="2"/>
    <s v="Russia"/>
    <x v="14"/>
    <x v="24"/>
    <n v="16426"/>
    <n v="18223"/>
  </r>
  <r>
    <s v="ORD06369"/>
    <d v="2025-01-02T00:00:00"/>
    <x v="1"/>
    <x v="5"/>
    <x v="1"/>
    <s v="UAE"/>
    <x v="23"/>
    <x v="17"/>
    <n v="30436"/>
    <n v="36358"/>
  </r>
  <r>
    <s v="ORD06370"/>
    <d v="2025-06-21T00:00:00"/>
    <x v="5"/>
    <x v="13"/>
    <x v="0"/>
    <s v="Germany"/>
    <x v="4"/>
    <x v="18"/>
    <n v="25661"/>
    <n v="20709"/>
  </r>
  <r>
    <s v="ORD06371"/>
    <d v="2025-05-23T00:00:00"/>
    <x v="8"/>
    <x v="26"/>
    <x v="5"/>
    <s v="Canada"/>
    <x v="21"/>
    <x v="14"/>
    <n v="25617"/>
    <n v="25484"/>
  </r>
  <r>
    <s v="ORD06372"/>
    <d v="2025-01-30T00:00:00"/>
    <x v="1"/>
    <x v="3"/>
    <x v="2"/>
    <s v="Italy"/>
    <x v="15"/>
    <x v="1"/>
    <n v="23659"/>
    <n v="28657"/>
  </r>
  <r>
    <s v="ORD06373"/>
    <d v="2025-07-19T00:00:00"/>
    <x v="0"/>
    <x v="14"/>
    <x v="4"/>
    <s v="Australia"/>
    <x v="10"/>
    <x v="25"/>
    <n v="27654"/>
    <n v="19918"/>
  </r>
  <r>
    <s v="ORD06374"/>
    <d v="2025-04-13T00:00:00"/>
    <x v="7"/>
    <x v="16"/>
    <x v="2"/>
    <s v="China"/>
    <x v="13"/>
    <x v="11"/>
    <n v="37475"/>
    <n v="36590"/>
  </r>
  <r>
    <s v="ORD06375"/>
    <d v="2025-06-08T00:00:00"/>
    <x v="5"/>
    <x v="41"/>
    <x v="2"/>
    <s v="Turkey"/>
    <x v="26"/>
    <x v="27"/>
    <n v="27816"/>
    <n v="33035"/>
  </r>
  <r>
    <s v="ORD06376"/>
    <d v="2025-05-10T00:00:00"/>
    <x v="8"/>
    <x v="18"/>
    <x v="0"/>
    <s v="UAE"/>
    <x v="7"/>
    <x v="26"/>
    <n v="34756"/>
    <n v="34541"/>
  </r>
  <r>
    <s v="ORD06377"/>
    <d v="2025-12-10T00:00:00"/>
    <x v="10"/>
    <x v="32"/>
    <x v="1"/>
    <s v="USA"/>
    <x v="44"/>
    <x v="21"/>
    <n v="38864"/>
    <n v="34149"/>
  </r>
  <r>
    <s v="ORD06378"/>
    <d v="2025-06-30T00:00:00"/>
    <x v="5"/>
    <x v="37"/>
    <x v="4"/>
    <s v="France"/>
    <x v="28"/>
    <x v="14"/>
    <n v="25683"/>
    <n v="31335"/>
  </r>
  <r>
    <s v="ORD06379"/>
    <d v="2025-02-01T00:00:00"/>
    <x v="6"/>
    <x v="3"/>
    <x v="4"/>
    <s v="Germany"/>
    <x v="12"/>
    <x v="28"/>
    <n v="21525"/>
    <n v="19299"/>
  </r>
  <r>
    <s v="ORD06380"/>
    <d v="2025-04-12T00:00:00"/>
    <x v="7"/>
    <x v="16"/>
    <x v="6"/>
    <s v="India"/>
    <x v="35"/>
    <x v="19"/>
    <n v="26044"/>
    <n v="25348"/>
  </r>
  <r>
    <s v="ORD06381"/>
    <d v="2025-12-26T00:00:00"/>
    <x v="10"/>
    <x v="42"/>
    <x v="6"/>
    <s v="UAE"/>
    <x v="44"/>
    <x v="9"/>
    <n v="31454"/>
    <n v="34400"/>
  </r>
  <r>
    <s v="ORD06382"/>
    <d v="2025-02-01T00:00:00"/>
    <x v="6"/>
    <x v="3"/>
    <x v="2"/>
    <s v="Russia"/>
    <x v="46"/>
    <x v="0"/>
    <n v="17406"/>
    <n v="20119"/>
  </r>
  <r>
    <s v="ORD06383"/>
    <d v="2025-03-14T00:00:00"/>
    <x v="9"/>
    <x v="19"/>
    <x v="3"/>
    <s v="USA"/>
    <x v="16"/>
    <x v="25"/>
    <n v="17121"/>
    <n v="12802"/>
  </r>
  <r>
    <s v="ORD06384"/>
    <d v="2025-05-31T00:00:00"/>
    <x v="8"/>
    <x v="24"/>
    <x v="6"/>
    <s v="UAE"/>
    <x v="40"/>
    <x v="12"/>
    <n v="33253"/>
    <n v="29606"/>
  </r>
  <r>
    <s v="ORD06385"/>
    <d v="2025-10-31T00:00:00"/>
    <x v="4"/>
    <x v="2"/>
    <x v="3"/>
    <s v="Singapore"/>
    <x v="45"/>
    <x v="11"/>
    <n v="26412"/>
    <n v="19758"/>
  </r>
  <r>
    <s v="ORD06386"/>
    <d v="2025-04-07T00:00:00"/>
    <x v="7"/>
    <x v="16"/>
    <x v="5"/>
    <s v="China"/>
    <x v="34"/>
    <x v="11"/>
    <n v="32106"/>
    <n v="34429"/>
  </r>
  <r>
    <s v="ORD06387"/>
    <d v="2025-09-17T00:00:00"/>
    <x v="3"/>
    <x v="8"/>
    <x v="2"/>
    <s v="Australia"/>
    <x v="11"/>
    <x v="11"/>
    <n v="38361"/>
    <n v="27200"/>
  </r>
  <r>
    <s v="ORD06388"/>
    <d v="2025-04-26T00:00:00"/>
    <x v="7"/>
    <x v="38"/>
    <x v="1"/>
    <s v="Canada"/>
    <x v="27"/>
    <x v="17"/>
    <n v="22186"/>
    <n v="26337"/>
  </r>
  <r>
    <s v="ORD06389"/>
    <d v="2025-11-09T00:00:00"/>
    <x v="2"/>
    <x v="51"/>
    <x v="1"/>
    <s v="Italy"/>
    <x v="7"/>
    <x v="9"/>
    <n v="17128"/>
    <n v="18164"/>
  </r>
  <r>
    <s v="ORD06390"/>
    <d v="2025-05-21T00:00:00"/>
    <x v="8"/>
    <x v="26"/>
    <x v="4"/>
    <s v="Mexico"/>
    <x v="37"/>
    <x v="28"/>
    <n v="33022"/>
    <n v="40591"/>
  </r>
  <r>
    <s v="ORD06391"/>
    <d v="2025-07-23T00:00:00"/>
    <x v="0"/>
    <x v="0"/>
    <x v="1"/>
    <s v="USA"/>
    <x v="13"/>
    <x v="16"/>
    <n v="16669"/>
    <n v="18345"/>
  </r>
  <r>
    <s v="ORD06392"/>
    <d v="2025-01-19T00:00:00"/>
    <x v="1"/>
    <x v="1"/>
    <x v="2"/>
    <s v="Australia"/>
    <x v="49"/>
    <x v="4"/>
    <n v="17930"/>
    <n v="15971"/>
  </r>
  <r>
    <s v="ORD06393"/>
    <d v="2025-02-13T00:00:00"/>
    <x v="6"/>
    <x v="29"/>
    <x v="5"/>
    <s v="South Africa"/>
    <x v="6"/>
    <x v="27"/>
    <n v="31442"/>
    <n v="33703"/>
  </r>
  <r>
    <s v="ORD06394"/>
    <d v="2025-05-31T00:00:00"/>
    <x v="8"/>
    <x v="24"/>
    <x v="0"/>
    <s v="Australia"/>
    <x v="44"/>
    <x v="9"/>
    <n v="30078"/>
    <n v="38087"/>
  </r>
  <r>
    <s v="ORD06395"/>
    <d v="2025-09-15T00:00:00"/>
    <x v="3"/>
    <x v="8"/>
    <x v="3"/>
    <s v="India"/>
    <x v="46"/>
    <x v="1"/>
    <n v="16075"/>
    <n v="12659"/>
  </r>
  <r>
    <s v="ORD06396"/>
    <d v="2025-02-01T00:00:00"/>
    <x v="6"/>
    <x v="3"/>
    <x v="0"/>
    <s v="Canada"/>
    <x v="36"/>
    <x v="17"/>
    <n v="34302"/>
    <n v="44370"/>
  </r>
  <r>
    <s v="ORD06397"/>
    <d v="2025-12-19T00:00:00"/>
    <x v="10"/>
    <x v="21"/>
    <x v="6"/>
    <s v="Germany"/>
    <x v="13"/>
    <x v="15"/>
    <n v="26703"/>
    <n v="27311"/>
  </r>
  <r>
    <s v="ORD06398"/>
    <d v="2025-05-28T00:00:00"/>
    <x v="8"/>
    <x v="24"/>
    <x v="4"/>
    <s v="Brazil"/>
    <x v="48"/>
    <x v="15"/>
    <n v="22219"/>
    <n v="22837"/>
  </r>
  <r>
    <s v="ORD06399"/>
    <d v="2025-11-11T00:00:00"/>
    <x v="2"/>
    <x v="44"/>
    <x v="0"/>
    <s v="USA"/>
    <x v="17"/>
    <x v="17"/>
    <n v="32425"/>
    <n v="32113"/>
  </r>
  <r>
    <s v="ORD06400"/>
    <d v="2025-05-04T00:00:00"/>
    <x v="8"/>
    <x v="27"/>
    <x v="5"/>
    <s v="Singapore"/>
    <x v="27"/>
    <x v="21"/>
    <n v="33542"/>
    <n v="27390"/>
  </r>
  <r>
    <s v="ORD06401"/>
    <d v="2025-02-03T00:00:00"/>
    <x v="6"/>
    <x v="48"/>
    <x v="4"/>
    <s v="Turkey"/>
    <x v="36"/>
    <x v="11"/>
    <n v="24689"/>
    <n v="24875"/>
  </r>
  <r>
    <s v="ORD06402"/>
    <d v="2025-08-25T00:00:00"/>
    <x v="11"/>
    <x v="28"/>
    <x v="2"/>
    <s v="Brazil"/>
    <x v="11"/>
    <x v="27"/>
    <n v="36306"/>
    <n v="32024"/>
  </r>
  <r>
    <s v="ORD06403"/>
    <d v="2025-09-22T00:00:00"/>
    <x v="3"/>
    <x v="25"/>
    <x v="3"/>
    <s v="USA"/>
    <x v="16"/>
    <x v="18"/>
    <n v="39107"/>
    <n v="44679"/>
  </r>
  <r>
    <s v="ORD06404"/>
    <d v="2025-01-08T00:00:00"/>
    <x v="1"/>
    <x v="6"/>
    <x v="3"/>
    <s v="Russia"/>
    <x v="26"/>
    <x v="24"/>
    <n v="35401"/>
    <n v="25882"/>
  </r>
  <r>
    <s v="ORD06405"/>
    <d v="2025-07-01T00:00:00"/>
    <x v="0"/>
    <x v="37"/>
    <x v="1"/>
    <s v="Brazil"/>
    <x v="28"/>
    <x v="29"/>
    <n v="33370"/>
    <n v="23427"/>
  </r>
  <r>
    <s v="ORD06406"/>
    <d v="2025-07-03T00:00:00"/>
    <x v="0"/>
    <x v="37"/>
    <x v="1"/>
    <s v="Italy"/>
    <x v="1"/>
    <x v="24"/>
    <n v="17498"/>
    <n v="18245"/>
  </r>
  <r>
    <s v="ORD06407"/>
    <d v="2025-08-29T00:00:00"/>
    <x v="11"/>
    <x v="28"/>
    <x v="2"/>
    <s v="Italy"/>
    <x v="31"/>
    <x v="23"/>
    <n v="21938"/>
    <n v="16477"/>
  </r>
  <r>
    <s v="ORD06408"/>
    <d v="2025-09-06T00:00:00"/>
    <x v="3"/>
    <x v="4"/>
    <x v="2"/>
    <s v="India"/>
    <x v="15"/>
    <x v="26"/>
    <n v="29338"/>
    <n v="24991"/>
  </r>
  <r>
    <s v="ORD06409"/>
    <d v="2025-08-26T00:00:00"/>
    <x v="11"/>
    <x v="28"/>
    <x v="6"/>
    <s v="Russia"/>
    <x v="12"/>
    <x v="6"/>
    <n v="24977"/>
    <n v="31473"/>
  </r>
  <r>
    <s v="ORD06410"/>
    <d v="2025-09-24T00:00:00"/>
    <x v="3"/>
    <x v="25"/>
    <x v="6"/>
    <s v="Singapore"/>
    <x v="2"/>
    <x v="2"/>
    <n v="17602"/>
    <n v="22179"/>
  </r>
  <r>
    <s v="ORD06411"/>
    <d v="2025-01-12T00:00:00"/>
    <x v="1"/>
    <x v="6"/>
    <x v="3"/>
    <s v="Australia"/>
    <x v="30"/>
    <x v="5"/>
    <n v="19585"/>
    <n v="21711"/>
  </r>
  <r>
    <s v="ORD06412"/>
    <d v="2025-11-29T00:00:00"/>
    <x v="2"/>
    <x v="11"/>
    <x v="6"/>
    <s v="Russia"/>
    <x v="36"/>
    <x v="6"/>
    <n v="16129"/>
    <n v="16656"/>
  </r>
  <r>
    <s v="ORD06413"/>
    <d v="2025-10-28T00:00:00"/>
    <x v="4"/>
    <x v="2"/>
    <x v="2"/>
    <s v="Malaysia"/>
    <x v="30"/>
    <x v="29"/>
    <n v="30554"/>
    <n v="37538"/>
  </r>
  <r>
    <s v="ORD06414"/>
    <d v="2025-09-28T00:00:00"/>
    <x v="3"/>
    <x v="25"/>
    <x v="0"/>
    <s v="Thailand"/>
    <x v="34"/>
    <x v="4"/>
    <n v="36092"/>
    <n v="45637"/>
  </r>
  <r>
    <s v="ORD06415"/>
    <d v="2025-12-31T00:00:00"/>
    <x v="10"/>
    <x v="5"/>
    <x v="4"/>
    <s v="Brazil"/>
    <x v="35"/>
    <x v="6"/>
    <n v="19033"/>
    <n v="16367"/>
  </r>
  <r>
    <s v="ORD06416"/>
    <d v="2025-09-15T00:00:00"/>
    <x v="3"/>
    <x v="8"/>
    <x v="5"/>
    <s v="Canada"/>
    <x v="17"/>
    <x v="16"/>
    <n v="25289"/>
    <n v="23530"/>
  </r>
  <r>
    <s v="ORD06417"/>
    <d v="2025-08-07T00:00:00"/>
    <x v="11"/>
    <x v="23"/>
    <x v="1"/>
    <s v="Germany"/>
    <x v="24"/>
    <x v="20"/>
    <n v="32088"/>
    <n v="40004"/>
  </r>
  <r>
    <s v="ORD06418"/>
    <d v="2025-08-29T00:00:00"/>
    <x v="11"/>
    <x v="28"/>
    <x v="1"/>
    <s v="Spain"/>
    <x v="8"/>
    <x v="11"/>
    <n v="23693"/>
    <n v="25744"/>
  </r>
  <r>
    <s v="ORD06419"/>
    <d v="2025-06-30T00:00:00"/>
    <x v="5"/>
    <x v="37"/>
    <x v="4"/>
    <s v="Singapore"/>
    <x v="40"/>
    <x v="0"/>
    <n v="30982"/>
    <n v="35977"/>
  </r>
  <r>
    <s v="ORD06420"/>
    <d v="2025-11-20T00:00:00"/>
    <x v="2"/>
    <x v="9"/>
    <x v="0"/>
    <s v="UAE"/>
    <x v="32"/>
    <x v="23"/>
    <n v="30934"/>
    <n v="30536"/>
  </r>
  <r>
    <s v="ORD06421"/>
    <d v="2025-05-06T00:00:00"/>
    <x v="8"/>
    <x v="18"/>
    <x v="5"/>
    <s v="Thailand"/>
    <x v="8"/>
    <x v="22"/>
    <n v="39190"/>
    <n v="47259"/>
  </r>
  <r>
    <s v="ORD06422"/>
    <d v="2025-05-12T00:00:00"/>
    <x v="8"/>
    <x v="17"/>
    <x v="3"/>
    <s v="France"/>
    <x v="14"/>
    <x v="0"/>
    <n v="15970"/>
    <n v="12877"/>
  </r>
  <r>
    <s v="ORD06423"/>
    <d v="2025-04-15T00:00:00"/>
    <x v="7"/>
    <x v="20"/>
    <x v="0"/>
    <s v="Spain"/>
    <x v="11"/>
    <x v="15"/>
    <n v="38342"/>
    <n v="43254"/>
  </r>
  <r>
    <s v="ORD06424"/>
    <d v="2025-05-16T00:00:00"/>
    <x v="8"/>
    <x v="17"/>
    <x v="4"/>
    <s v="Italy"/>
    <x v="20"/>
    <x v="13"/>
    <n v="17503"/>
    <n v="14062"/>
  </r>
  <r>
    <s v="ORD06425"/>
    <d v="2025-10-23T00:00:00"/>
    <x v="4"/>
    <x v="50"/>
    <x v="3"/>
    <s v="Canada"/>
    <x v="11"/>
    <x v="2"/>
    <n v="26592"/>
    <n v="29741"/>
  </r>
  <r>
    <s v="ORD06426"/>
    <d v="2025-12-09T00:00:00"/>
    <x v="10"/>
    <x v="32"/>
    <x v="6"/>
    <s v="Mexico"/>
    <x v="23"/>
    <x v="23"/>
    <n v="30908"/>
    <n v="31318"/>
  </r>
  <r>
    <s v="ORD06427"/>
    <d v="2025-04-28T00:00:00"/>
    <x v="7"/>
    <x v="27"/>
    <x v="6"/>
    <s v="Malaysia"/>
    <x v="28"/>
    <x v="17"/>
    <n v="39787"/>
    <n v="37696"/>
  </r>
  <r>
    <s v="ORD06428"/>
    <d v="2025-02-05T00:00:00"/>
    <x v="6"/>
    <x v="48"/>
    <x v="5"/>
    <s v="Russia"/>
    <x v="31"/>
    <x v="29"/>
    <n v="21548"/>
    <n v="25773"/>
  </r>
  <r>
    <s v="ORD06429"/>
    <d v="2025-02-09T00:00:00"/>
    <x v="6"/>
    <x v="48"/>
    <x v="3"/>
    <s v="Italy"/>
    <x v="21"/>
    <x v="10"/>
    <n v="22428"/>
    <n v="21944"/>
  </r>
  <r>
    <s v="ORD06430"/>
    <d v="2025-04-18T00:00:00"/>
    <x v="7"/>
    <x v="20"/>
    <x v="5"/>
    <s v="Brazil"/>
    <x v="6"/>
    <x v="16"/>
    <n v="15889"/>
    <n v="17668"/>
  </r>
  <r>
    <s v="ORD06431"/>
    <d v="2025-07-16T00:00:00"/>
    <x v="0"/>
    <x v="14"/>
    <x v="1"/>
    <s v="Canada"/>
    <x v="46"/>
    <x v="5"/>
    <n v="28231"/>
    <n v="33229"/>
  </r>
  <r>
    <s v="ORD06432"/>
    <d v="2025-08-15T00:00:00"/>
    <x v="11"/>
    <x v="30"/>
    <x v="5"/>
    <s v="Spain"/>
    <x v="34"/>
    <x v="9"/>
    <n v="38619"/>
    <n v="37178"/>
  </r>
  <r>
    <s v="ORD06433"/>
    <d v="2025-03-19T00:00:00"/>
    <x v="9"/>
    <x v="39"/>
    <x v="5"/>
    <s v="Australia"/>
    <x v="35"/>
    <x v="21"/>
    <n v="39692"/>
    <n v="46997"/>
  </r>
  <r>
    <s v="ORD06434"/>
    <d v="2025-05-07T00:00:00"/>
    <x v="8"/>
    <x v="18"/>
    <x v="5"/>
    <s v="Italy"/>
    <x v="49"/>
    <x v="6"/>
    <n v="35576"/>
    <n v="37951"/>
  </r>
  <r>
    <s v="ORD06435"/>
    <d v="2025-03-17T00:00:00"/>
    <x v="9"/>
    <x v="39"/>
    <x v="5"/>
    <s v="Turkey"/>
    <x v="10"/>
    <x v="0"/>
    <n v="33303"/>
    <n v="31732"/>
  </r>
  <r>
    <s v="ORD06436"/>
    <d v="2025-06-28T00:00:00"/>
    <x v="5"/>
    <x v="36"/>
    <x v="1"/>
    <s v="Australia"/>
    <x v="31"/>
    <x v="9"/>
    <n v="19176"/>
    <n v="19327"/>
  </r>
  <r>
    <s v="ORD06437"/>
    <d v="2025-02-05T00:00:00"/>
    <x v="6"/>
    <x v="48"/>
    <x v="6"/>
    <s v="China"/>
    <x v="36"/>
    <x v="13"/>
    <n v="32776"/>
    <n v="31832"/>
  </r>
  <r>
    <s v="ORD06438"/>
    <d v="2025-04-01T00:00:00"/>
    <x v="7"/>
    <x v="34"/>
    <x v="5"/>
    <s v="Japan"/>
    <x v="30"/>
    <x v="2"/>
    <n v="33953"/>
    <n v="24984"/>
  </r>
  <r>
    <s v="ORD06439"/>
    <d v="2025-05-25T00:00:00"/>
    <x v="8"/>
    <x v="26"/>
    <x v="5"/>
    <s v="Malaysia"/>
    <x v="31"/>
    <x v="14"/>
    <n v="23313"/>
    <n v="18958"/>
  </r>
  <r>
    <s v="ORD06440"/>
    <d v="2025-04-05T00:00:00"/>
    <x v="7"/>
    <x v="34"/>
    <x v="4"/>
    <s v="UAE"/>
    <x v="4"/>
    <x v="0"/>
    <n v="22108"/>
    <n v="18820"/>
  </r>
  <r>
    <s v="ORD06441"/>
    <d v="2025-09-30T00:00:00"/>
    <x v="3"/>
    <x v="49"/>
    <x v="6"/>
    <s v="Malaysia"/>
    <x v="45"/>
    <x v="10"/>
    <n v="17645"/>
    <n v="20055"/>
  </r>
  <r>
    <s v="ORD06442"/>
    <d v="2025-06-13T00:00:00"/>
    <x v="5"/>
    <x v="40"/>
    <x v="6"/>
    <s v="Japan"/>
    <x v="21"/>
    <x v="28"/>
    <n v="23294"/>
    <n v="25644"/>
  </r>
  <r>
    <s v="ORD06443"/>
    <d v="2025-09-09T00:00:00"/>
    <x v="3"/>
    <x v="31"/>
    <x v="1"/>
    <s v="South Africa"/>
    <x v="37"/>
    <x v="16"/>
    <n v="36225"/>
    <n v="37418"/>
  </r>
  <r>
    <s v="ORD06444"/>
    <d v="2025-01-26T00:00:00"/>
    <x v="1"/>
    <x v="7"/>
    <x v="3"/>
    <s v="Italy"/>
    <x v="37"/>
    <x v="8"/>
    <n v="31697"/>
    <n v="39063"/>
  </r>
  <r>
    <s v="ORD06445"/>
    <d v="2025-12-04T00:00:00"/>
    <x v="10"/>
    <x v="43"/>
    <x v="4"/>
    <s v="Thailand"/>
    <x v="24"/>
    <x v="16"/>
    <n v="31421"/>
    <n v="27290"/>
  </r>
  <r>
    <s v="ORD06446"/>
    <d v="2025-08-16T00:00:00"/>
    <x v="11"/>
    <x v="30"/>
    <x v="1"/>
    <s v="UK"/>
    <x v="4"/>
    <x v="13"/>
    <n v="35881"/>
    <n v="26273"/>
  </r>
  <r>
    <s v="ORD06447"/>
    <d v="2025-04-26T00:00:00"/>
    <x v="7"/>
    <x v="38"/>
    <x v="4"/>
    <s v="Spain"/>
    <x v="44"/>
    <x v="6"/>
    <n v="22415"/>
    <n v="19373"/>
  </r>
  <r>
    <s v="ORD06448"/>
    <d v="2025-09-12T00:00:00"/>
    <x v="3"/>
    <x v="31"/>
    <x v="3"/>
    <s v="Brazil"/>
    <x v="24"/>
    <x v="26"/>
    <n v="25327"/>
    <n v="28842"/>
  </r>
  <r>
    <s v="ORD06449"/>
    <d v="2025-04-14T00:00:00"/>
    <x v="7"/>
    <x v="20"/>
    <x v="4"/>
    <s v="France"/>
    <x v="0"/>
    <x v="7"/>
    <n v="19509"/>
    <n v="13665"/>
  </r>
  <r>
    <s v="ORD06450"/>
    <d v="2025-10-28T00:00:00"/>
    <x v="4"/>
    <x v="2"/>
    <x v="0"/>
    <s v="Germany"/>
    <x v="9"/>
    <x v="10"/>
    <n v="35449"/>
    <n v="41008"/>
  </r>
  <r>
    <s v="ORD06451"/>
    <d v="2025-11-25T00:00:00"/>
    <x v="2"/>
    <x v="11"/>
    <x v="5"/>
    <s v="France"/>
    <x v="1"/>
    <x v="21"/>
    <n v="15911"/>
    <n v="16075"/>
  </r>
  <r>
    <s v="ORD06452"/>
    <d v="2025-04-08T00:00:00"/>
    <x v="7"/>
    <x v="16"/>
    <x v="6"/>
    <s v="Mexico"/>
    <x v="12"/>
    <x v="21"/>
    <n v="23973"/>
    <n v="18537"/>
  </r>
  <r>
    <s v="ORD06453"/>
    <d v="2025-09-28T00:00:00"/>
    <x v="3"/>
    <x v="25"/>
    <x v="2"/>
    <s v="Turkey"/>
    <x v="32"/>
    <x v="7"/>
    <n v="26533"/>
    <n v="29895"/>
  </r>
  <r>
    <s v="ORD06454"/>
    <d v="2025-12-07T00:00:00"/>
    <x v="10"/>
    <x v="43"/>
    <x v="3"/>
    <s v="Brazil"/>
    <x v="29"/>
    <x v="26"/>
    <n v="20549"/>
    <n v="15683"/>
  </r>
  <r>
    <s v="ORD06455"/>
    <d v="2025-06-13T00:00:00"/>
    <x v="5"/>
    <x v="40"/>
    <x v="2"/>
    <s v="Brazil"/>
    <x v="25"/>
    <x v="2"/>
    <n v="21072"/>
    <n v="25690"/>
  </r>
  <r>
    <s v="ORD06456"/>
    <d v="2025-12-06T00:00:00"/>
    <x v="10"/>
    <x v="43"/>
    <x v="3"/>
    <s v="Turkey"/>
    <x v="25"/>
    <x v="2"/>
    <n v="35979"/>
    <n v="25544"/>
  </r>
  <r>
    <s v="ORD06457"/>
    <d v="2025-07-07T00:00:00"/>
    <x v="0"/>
    <x v="47"/>
    <x v="0"/>
    <s v="UAE"/>
    <x v="40"/>
    <x v="27"/>
    <n v="17303"/>
    <n v="18120"/>
  </r>
  <r>
    <s v="ORD06458"/>
    <d v="2025-10-09T00:00:00"/>
    <x v="4"/>
    <x v="45"/>
    <x v="4"/>
    <s v="Italy"/>
    <x v="9"/>
    <x v="5"/>
    <n v="28206"/>
    <n v="24365"/>
  </r>
  <r>
    <s v="ORD06459"/>
    <d v="2025-03-03T00:00:00"/>
    <x v="9"/>
    <x v="35"/>
    <x v="3"/>
    <s v="UAE"/>
    <x v="42"/>
    <x v="4"/>
    <n v="38834"/>
    <n v="41113"/>
  </r>
  <r>
    <s v="ORD06460"/>
    <d v="2025-12-01T00:00:00"/>
    <x v="10"/>
    <x v="43"/>
    <x v="2"/>
    <s v="Mexico"/>
    <x v="34"/>
    <x v="8"/>
    <n v="34298"/>
    <n v="24334"/>
  </r>
  <r>
    <s v="ORD06461"/>
    <d v="2025-03-07T00:00:00"/>
    <x v="9"/>
    <x v="35"/>
    <x v="1"/>
    <s v="Russia"/>
    <x v="11"/>
    <x v="17"/>
    <n v="18089"/>
    <n v="18821"/>
  </r>
  <r>
    <s v="ORD06462"/>
    <d v="2025-01-17T00:00:00"/>
    <x v="1"/>
    <x v="1"/>
    <x v="0"/>
    <s v="Spain"/>
    <x v="33"/>
    <x v="13"/>
    <n v="25724"/>
    <n v="25292"/>
  </r>
  <r>
    <s v="ORD06463"/>
    <d v="2025-02-04T00:00:00"/>
    <x v="6"/>
    <x v="48"/>
    <x v="2"/>
    <s v="Japan"/>
    <x v="41"/>
    <x v="26"/>
    <n v="26438"/>
    <n v="18648"/>
  </r>
  <r>
    <s v="ORD06464"/>
    <d v="2025-12-29T00:00:00"/>
    <x v="10"/>
    <x v="5"/>
    <x v="1"/>
    <s v="Thailand"/>
    <x v="32"/>
    <x v="27"/>
    <n v="27873"/>
    <n v="33037"/>
  </r>
  <r>
    <s v="ORD06465"/>
    <d v="2025-06-25T00:00:00"/>
    <x v="5"/>
    <x v="36"/>
    <x v="4"/>
    <s v="USA"/>
    <x v="20"/>
    <x v="0"/>
    <n v="27831"/>
    <n v="27331"/>
  </r>
  <r>
    <s v="ORD06466"/>
    <d v="2025-12-12T00:00:00"/>
    <x v="10"/>
    <x v="32"/>
    <x v="2"/>
    <s v="Mexico"/>
    <x v="44"/>
    <x v="3"/>
    <n v="23317"/>
    <n v="28311"/>
  </r>
  <r>
    <s v="ORD06467"/>
    <d v="2025-09-10T00:00:00"/>
    <x v="3"/>
    <x v="31"/>
    <x v="3"/>
    <s v="Australia"/>
    <x v="8"/>
    <x v="7"/>
    <n v="21693"/>
    <n v="15243"/>
  </r>
  <r>
    <s v="ORD06468"/>
    <d v="2025-07-11T00:00:00"/>
    <x v="0"/>
    <x v="47"/>
    <x v="4"/>
    <s v="South Africa"/>
    <x v="29"/>
    <x v="5"/>
    <n v="37214"/>
    <n v="47291"/>
  </r>
  <r>
    <s v="ORD06469"/>
    <d v="2025-06-17T00:00:00"/>
    <x v="5"/>
    <x v="13"/>
    <x v="6"/>
    <s v="Singapore"/>
    <x v="0"/>
    <x v="8"/>
    <n v="37379"/>
    <n v="44486"/>
  </r>
  <r>
    <s v="ORD06470"/>
    <d v="2025-08-16T00:00:00"/>
    <x v="11"/>
    <x v="30"/>
    <x v="4"/>
    <s v="Turkey"/>
    <x v="12"/>
    <x v="8"/>
    <n v="34636"/>
    <n v="34169"/>
  </r>
  <r>
    <s v="ORD06471"/>
    <d v="2025-08-17T00:00:00"/>
    <x v="11"/>
    <x v="30"/>
    <x v="2"/>
    <s v="Turkey"/>
    <x v="25"/>
    <x v="5"/>
    <n v="34392"/>
    <n v="30808"/>
  </r>
  <r>
    <s v="ORD06472"/>
    <d v="2025-08-11T00:00:00"/>
    <x v="11"/>
    <x v="30"/>
    <x v="4"/>
    <s v="Thailand"/>
    <x v="6"/>
    <x v="14"/>
    <n v="36468"/>
    <n v="30915"/>
  </r>
  <r>
    <s v="ORD06473"/>
    <d v="2025-06-18T00:00:00"/>
    <x v="5"/>
    <x v="13"/>
    <x v="5"/>
    <s v="USA"/>
    <x v="32"/>
    <x v="0"/>
    <n v="19417"/>
    <n v="21943"/>
  </r>
  <r>
    <s v="ORD06474"/>
    <d v="2025-01-16T00:00:00"/>
    <x v="1"/>
    <x v="1"/>
    <x v="1"/>
    <s v="Brazil"/>
    <x v="20"/>
    <x v="13"/>
    <n v="33653"/>
    <n v="27018"/>
  </r>
  <r>
    <s v="ORD06475"/>
    <d v="2025-09-26T00:00:00"/>
    <x v="3"/>
    <x v="25"/>
    <x v="4"/>
    <s v="France"/>
    <x v="9"/>
    <x v="12"/>
    <n v="25154"/>
    <n v="23422"/>
  </r>
  <r>
    <s v="ORD06476"/>
    <d v="2025-04-22T00:00:00"/>
    <x v="7"/>
    <x v="38"/>
    <x v="5"/>
    <s v="Australia"/>
    <x v="34"/>
    <x v="13"/>
    <n v="38814"/>
    <n v="33299"/>
  </r>
  <r>
    <s v="ORD06477"/>
    <d v="2025-10-24T00:00:00"/>
    <x v="4"/>
    <x v="50"/>
    <x v="0"/>
    <s v="Australia"/>
    <x v="45"/>
    <x v="6"/>
    <n v="26490"/>
    <n v="28675"/>
  </r>
  <r>
    <s v="ORD06478"/>
    <d v="2025-06-06T00:00:00"/>
    <x v="5"/>
    <x v="41"/>
    <x v="2"/>
    <s v="Italy"/>
    <x v="32"/>
    <x v="26"/>
    <n v="18852"/>
    <n v="20448"/>
  </r>
  <r>
    <s v="ORD06479"/>
    <d v="2025-07-26T00:00:00"/>
    <x v="0"/>
    <x v="0"/>
    <x v="1"/>
    <s v="Italy"/>
    <x v="35"/>
    <x v="10"/>
    <n v="23287"/>
    <n v="20963"/>
  </r>
  <r>
    <s v="ORD06480"/>
    <d v="2025-08-01T00:00:00"/>
    <x v="11"/>
    <x v="12"/>
    <x v="5"/>
    <s v="UK"/>
    <x v="22"/>
    <x v="26"/>
    <n v="36906"/>
    <n v="34682"/>
  </r>
  <r>
    <s v="ORD06481"/>
    <d v="2025-12-01T00:00:00"/>
    <x v="10"/>
    <x v="43"/>
    <x v="5"/>
    <s v="Singapore"/>
    <x v="20"/>
    <x v="21"/>
    <n v="33793"/>
    <n v="25458"/>
  </r>
  <r>
    <s v="ORD06482"/>
    <d v="2025-06-09T00:00:00"/>
    <x v="5"/>
    <x v="40"/>
    <x v="1"/>
    <s v="Germany"/>
    <x v="16"/>
    <x v="8"/>
    <n v="18502"/>
    <n v="23200"/>
  </r>
  <r>
    <s v="ORD06483"/>
    <d v="2025-01-16T00:00:00"/>
    <x v="1"/>
    <x v="1"/>
    <x v="6"/>
    <s v="China"/>
    <x v="22"/>
    <x v="29"/>
    <n v="17249"/>
    <n v="18241"/>
  </r>
  <r>
    <s v="ORD06484"/>
    <d v="2025-12-07T00:00:00"/>
    <x v="10"/>
    <x v="43"/>
    <x v="4"/>
    <s v="Thailand"/>
    <x v="35"/>
    <x v="12"/>
    <n v="21095"/>
    <n v="22562"/>
  </r>
  <r>
    <s v="ORD06485"/>
    <d v="2025-01-08T00:00:00"/>
    <x v="1"/>
    <x v="6"/>
    <x v="5"/>
    <s v="Turkey"/>
    <x v="43"/>
    <x v="11"/>
    <n v="38642"/>
    <n v="48199"/>
  </r>
  <r>
    <s v="ORD06486"/>
    <d v="2025-12-21T00:00:00"/>
    <x v="10"/>
    <x v="21"/>
    <x v="3"/>
    <s v="South Africa"/>
    <x v="41"/>
    <x v="26"/>
    <n v="18474"/>
    <n v="16543"/>
  </r>
  <r>
    <s v="ORD06487"/>
    <d v="2025-11-30T00:00:00"/>
    <x v="2"/>
    <x v="11"/>
    <x v="2"/>
    <s v="Germany"/>
    <x v="31"/>
    <x v="15"/>
    <n v="28093"/>
    <n v="26980"/>
  </r>
  <r>
    <s v="ORD06488"/>
    <d v="2025-12-19T00:00:00"/>
    <x v="10"/>
    <x v="21"/>
    <x v="3"/>
    <s v="USA"/>
    <x v="21"/>
    <x v="28"/>
    <n v="28717"/>
    <n v="32538"/>
  </r>
  <r>
    <s v="ORD06489"/>
    <d v="2025-03-16T00:00:00"/>
    <x v="9"/>
    <x v="19"/>
    <x v="3"/>
    <s v="China"/>
    <x v="27"/>
    <x v="23"/>
    <n v="18289"/>
    <n v="20936"/>
  </r>
  <r>
    <s v="ORD06490"/>
    <d v="2025-03-20T00:00:00"/>
    <x v="9"/>
    <x v="39"/>
    <x v="5"/>
    <s v="Turkey"/>
    <x v="3"/>
    <x v="16"/>
    <n v="29389"/>
    <n v="33423"/>
  </r>
  <r>
    <s v="ORD06491"/>
    <d v="2025-01-04T00:00:00"/>
    <x v="1"/>
    <x v="5"/>
    <x v="3"/>
    <s v="France"/>
    <x v="40"/>
    <x v="16"/>
    <n v="28626"/>
    <n v="29353"/>
  </r>
  <r>
    <s v="ORD06492"/>
    <d v="2025-02-28T00:00:00"/>
    <x v="6"/>
    <x v="22"/>
    <x v="3"/>
    <s v="Thailand"/>
    <x v="9"/>
    <x v="26"/>
    <n v="22241"/>
    <n v="19031"/>
  </r>
  <r>
    <s v="ORD06493"/>
    <d v="2025-12-12T00:00:00"/>
    <x v="10"/>
    <x v="32"/>
    <x v="2"/>
    <s v="Japan"/>
    <x v="5"/>
    <x v="19"/>
    <n v="33182"/>
    <n v="26879"/>
  </r>
  <r>
    <s v="ORD06494"/>
    <d v="2025-03-08T00:00:00"/>
    <x v="9"/>
    <x v="35"/>
    <x v="1"/>
    <s v="Brazil"/>
    <x v="47"/>
    <x v="26"/>
    <n v="19544"/>
    <n v="17065"/>
  </r>
  <r>
    <s v="ORD06495"/>
    <d v="2025-02-09T00:00:00"/>
    <x v="6"/>
    <x v="48"/>
    <x v="2"/>
    <s v="Australia"/>
    <x v="47"/>
    <x v="13"/>
    <n v="22463"/>
    <n v="28876"/>
  </r>
  <r>
    <s v="ORD06496"/>
    <d v="2025-01-01T00:00:00"/>
    <x v="1"/>
    <x v="5"/>
    <x v="5"/>
    <s v="China"/>
    <x v="9"/>
    <x v="11"/>
    <n v="30989"/>
    <n v="22945"/>
  </r>
  <r>
    <s v="ORD06497"/>
    <d v="2025-05-27T00:00:00"/>
    <x v="8"/>
    <x v="24"/>
    <x v="4"/>
    <s v="China"/>
    <x v="10"/>
    <x v="19"/>
    <n v="17547"/>
    <n v="14250"/>
  </r>
  <r>
    <s v="ORD06498"/>
    <d v="2025-06-21T00:00:00"/>
    <x v="5"/>
    <x v="13"/>
    <x v="4"/>
    <s v="South Africa"/>
    <x v="1"/>
    <x v="25"/>
    <n v="21430"/>
    <n v="19088"/>
  </r>
  <r>
    <s v="ORD06499"/>
    <d v="2025-03-01T00:00:00"/>
    <x v="9"/>
    <x v="22"/>
    <x v="5"/>
    <s v="UK"/>
    <x v="23"/>
    <x v="11"/>
    <n v="31167"/>
    <n v="38342"/>
  </r>
  <r>
    <s v="ORD06500"/>
    <d v="2025-10-03T00:00:00"/>
    <x v="4"/>
    <x v="49"/>
    <x v="2"/>
    <s v="France"/>
    <x v="3"/>
    <x v="21"/>
    <n v="18408"/>
    <n v="15252"/>
  </r>
  <r>
    <s v="ORD06501"/>
    <d v="2025-01-13T00:00:00"/>
    <x v="1"/>
    <x v="1"/>
    <x v="2"/>
    <s v="India"/>
    <x v="34"/>
    <x v="25"/>
    <n v="33178"/>
    <n v="24797"/>
  </r>
  <r>
    <s v="ORD06502"/>
    <d v="2025-07-30T00:00:00"/>
    <x v="0"/>
    <x v="12"/>
    <x v="5"/>
    <s v="India"/>
    <x v="24"/>
    <x v="18"/>
    <n v="21858"/>
    <n v="21963"/>
  </r>
  <r>
    <s v="ORD06503"/>
    <d v="2025-10-28T00:00:00"/>
    <x v="4"/>
    <x v="2"/>
    <x v="0"/>
    <s v="Mexico"/>
    <x v="41"/>
    <x v="20"/>
    <n v="18621"/>
    <n v="21491"/>
  </r>
  <r>
    <s v="ORD06504"/>
    <d v="2025-08-30T00:00:00"/>
    <x v="11"/>
    <x v="28"/>
    <x v="0"/>
    <s v="Japan"/>
    <x v="21"/>
    <x v="21"/>
    <n v="26565"/>
    <n v="20726"/>
  </r>
  <r>
    <s v="ORD06505"/>
    <d v="2025-05-19T00:00:00"/>
    <x v="8"/>
    <x v="26"/>
    <x v="6"/>
    <s v="China"/>
    <x v="12"/>
    <x v="21"/>
    <n v="26419"/>
    <n v="24990"/>
  </r>
  <r>
    <s v="ORD06506"/>
    <d v="2025-03-13T00:00:00"/>
    <x v="9"/>
    <x v="19"/>
    <x v="0"/>
    <s v="USA"/>
    <x v="37"/>
    <x v="22"/>
    <n v="25058"/>
    <n v="25994"/>
  </r>
  <r>
    <s v="ORD06507"/>
    <d v="2025-01-06T00:00:00"/>
    <x v="1"/>
    <x v="6"/>
    <x v="5"/>
    <s v="UAE"/>
    <x v="1"/>
    <x v="15"/>
    <n v="26624"/>
    <n v="31827"/>
  </r>
  <r>
    <s v="ORD06508"/>
    <d v="2025-03-26T00:00:00"/>
    <x v="9"/>
    <x v="33"/>
    <x v="0"/>
    <s v="Australia"/>
    <x v="46"/>
    <x v="11"/>
    <n v="32121"/>
    <n v="37177"/>
  </r>
  <r>
    <s v="ORD06509"/>
    <d v="2025-05-30T00:00:00"/>
    <x v="8"/>
    <x v="24"/>
    <x v="6"/>
    <s v="Malaysia"/>
    <x v="44"/>
    <x v="26"/>
    <n v="35169"/>
    <n v="35326"/>
  </r>
  <r>
    <s v="ORD06510"/>
    <d v="2025-04-20T00:00:00"/>
    <x v="7"/>
    <x v="20"/>
    <x v="2"/>
    <s v="UK"/>
    <x v="6"/>
    <x v="12"/>
    <n v="32269"/>
    <n v="37776"/>
  </r>
  <r>
    <s v="ORD06511"/>
    <d v="2025-10-07T00:00:00"/>
    <x v="4"/>
    <x v="45"/>
    <x v="1"/>
    <s v="Spain"/>
    <x v="7"/>
    <x v="1"/>
    <n v="32256"/>
    <n v="34240"/>
  </r>
  <r>
    <s v="ORD06512"/>
    <d v="2025-06-21T00:00:00"/>
    <x v="5"/>
    <x v="13"/>
    <x v="5"/>
    <s v="Brazil"/>
    <x v="1"/>
    <x v="25"/>
    <n v="34318"/>
    <n v="44286"/>
  </r>
  <r>
    <s v="ORD06513"/>
    <d v="2025-06-15T00:00:00"/>
    <x v="5"/>
    <x v="40"/>
    <x v="4"/>
    <s v="South Africa"/>
    <x v="48"/>
    <x v="28"/>
    <n v="21338"/>
    <n v="20656"/>
  </r>
  <r>
    <s v="ORD06514"/>
    <d v="2025-10-23T00:00:00"/>
    <x v="4"/>
    <x v="50"/>
    <x v="4"/>
    <s v="Japan"/>
    <x v="32"/>
    <x v="29"/>
    <n v="39516"/>
    <n v="40509"/>
  </r>
  <r>
    <s v="ORD06515"/>
    <d v="2025-05-10T00:00:00"/>
    <x v="8"/>
    <x v="18"/>
    <x v="5"/>
    <s v="Turkey"/>
    <x v="6"/>
    <x v="0"/>
    <n v="38597"/>
    <n v="30302"/>
  </r>
  <r>
    <s v="ORD06516"/>
    <d v="2025-12-31T00:00:00"/>
    <x v="10"/>
    <x v="5"/>
    <x v="3"/>
    <s v="South Africa"/>
    <x v="12"/>
    <x v="17"/>
    <n v="27331"/>
    <n v="20545"/>
  </r>
  <r>
    <s v="ORD06517"/>
    <d v="2025-09-01T00:00:00"/>
    <x v="3"/>
    <x v="4"/>
    <x v="3"/>
    <s v="Singapore"/>
    <x v="31"/>
    <x v="26"/>
    <n v="27381"/>
    <n v="24370"/>
  </r>
  <r>
    <s v="ORD06518"/>
    <d v="2025-01-19T00:00:00"/>
    <x v="1"/>
    <x v="1"/>
    <x v="3"/>
    <s v="Italy"/>
    <x v="28"/>
    <x v="26"/>
    <n v="23811"/>
    <n v="24011"/>
  </r>
  <r>
    <s v="ORD06519"/>
    <d v="2025-07-02T00:00:00"/>
    <x v="0"/>
    <x v="37"/>
    <x v="4"/>
    <s v="China"/>
    <x v="11"/>
    <x v="19"/>
    <n v="39042"/>
    <n v="40224"/>
  </r>
  <r>
    <s v="ORD06520"/>
    <d v="2025-11-01T00:00:00"/>
    <x v="2"/>
    <x v="2"/>
    <x v="2"/>
    <s v="Italy"/>
    <x v="16"/>
    <x v="20"/>
    <n v="39526"/>
    <n v="29067"/>
  </r>
  <r>
    <s v="ORD06521"/>
    <d v="2025-10-02T00:00:00"/>
    <x v="4"/>
    <x v="49"/>
    <x v="0"/>
    <s v="Brazil"/>
    <x v="19"/>
    <x v="19"/>
    <n v="31943"/>
    <n v="27471"/>
  </r>
  <r>
    <s v="ORD06522"/>
    <d v="2025-11-20T00:00:00"/>
    <x v="2"/>
    <x v="9"/>
    <x v="3"/>
    <s v="Turkey"/>
    <x v="5"/>
    <x v="29"/>
    <n v="36765"/>
    <n v="38134"/>
  </r>
  <r>
    <s v="ORD06523"/>
    <d v="2025-12-22T00:00:00"/>
    <x v="10"/>
    <x v="42"/>
    <x v="2"/>
    <s v="Canada"/>
    <x v="33"/>
    <x v="23"/>
    <n v="27487"/>
    <n v="24752"/>
  </r>
  <r>
    <s v="ORD06524"/>
    <d v="2025-06-15T00:00:00"/>
    <x v="5"/>
    <x v="40"/>
    <x v="3"/>
    <s v="Malaysia"/>
    <x v="24"/>
    <x v="3"/>
    <n v="21910"/>
    <n v="18328"/>
  </r>
  <r>
    <s v="ORD06525"/>
    <d v="2025-04-01T00:00:00"/>
    <x v="7"/>
    <x v="34"/>
    <x v="4"/>
    <s v="India"/>
    <x v="26"/>
    <x v="5"/>
    <n v="17953"/>
    <n v="14529"/>
  </r>
  <r>
    <s v="ORD06526"/>
    <d v="2025-05-23T00:00:00"/>
    <x v="8"/>
    <x v="26"/>
    <x v="3"/>
    <s v="Singapore"/>
    <x v="26"/>
    <x v="26"/>
    <n v="22619"/>
    <n v="20795"/>
  </r>
  <r>
    <s v="ORD06527"/>
    <d v="2025-08-15T00:00:00"/>
    <x v="11"/>
    <x v="30"/>
    <x v="5"/>
    <s v="Mexico"/>
    <x v="20"/>
    <x v="3"/>
    <n v="37953"/>
    <n v="31624"/>
  </r>
  <r>
    <s v="ORD06528"/>
    <d v="2025-06-10T00:00:00"/>
    <x v="5"/>
    <x v="40"/>
    <x v="4"/>
    <s v="Turkey"/>
    <x v="19"/>
    <x v="3"/>
    <n v="24702"/>
    <n v="26223"/>
  </r>
  <r>
    <s v="ORD06529"/>
    <d v="2025-11-18T00:00:00"/>
    <x v="2"/>
    <x v="9"/>
    <x v="2"/>
    <s v="USA"/>
    <x v="34"/>
    <x v="24"/>
    <n v="25600"/>
    <n v="24276"/>
  </r>
  <r>
    <s v="ORD06530"/>
    <d v="2025-04-25T00:00:00"/>
    <x v="7"/>
    <x v="38"/>
    <x v="2"/>
    <s v="Italy"/>
    <x v="22"/>
    <x v="25"/>
    <n v="24259"/>
    <n v="23748"/>
  </r>
  <r>
    <s v="ORD06531"/>
    <d v="2025-10-01T00:00:00"/>
    <x v="4"/>
    <x v="49"/>
    <x v="4"/>
    <s v="Thailand"/>
    <x v="2"/>
    <x v="10"/>
    <n v="35564"/>
    <n v="29313"/>
  </r>
  <r>
    <s v="ORD06532"/>
    <d v="2025-11-23T00:00:00"/>
    <x v="2"/>
    <x v="9"/>
    <x v="3"/>
    <s v="Germany"/>
    <x v="22"/>
    <x v="13"/>
    <n v="24485"/>
    <n v="27044"/>
  </r>
  <r>
    <s v="ORD06533"/>
    <d v="2025-11-29T00:00:00"/>
    <x v="2"/>
    <x v="11"/>
    <x v="5"/>
    <s v="Singapore"/>
    <x v="22"/>
    <x v="11"/>
    <n v="19528"/>
    <n v="20452"/>
  </r>
  <r>
    <s v="ORD06534"/>
    <d v="2025-10-08T00:00:00"/>
    <x v="4"/>
    <x v="45"/>
    <x v="6"/>
    <s v="Italy"/>
    <x v="13"/>
    <x v="1"/>
    <n v="32332"/>
    <n v="36433"/>
  </r>
  <r>
    <s v="ORD06535"/>
    <d v="2025-09-08T00:00:00"/>
    <x v="3"/>
    <x v="31"/>
    <x v="0"/>
    <s v="South Africa"/>
    <x v="48"/>
    <x v="10"/>
    <n v="26039"/>
    <n v="31741"/>
  </r>
  <r>
    <s v="ORD06536"/>
    <d v="2025-06-10T00:00:00"/>
    <x v="5"/>
    <x v="40"/>
    <x v="1"/>
    <s v="Italy"/>
    <x v="24"/>
    <x v="13"/>
    <n v="19510"/>
    <n v="15374"/>
  </r>
  <r>
    <s v="ORD06537"/>
    <d v="2025-09-09T00:00:00"/>
    <x v="3"/>
    <x v="31"/>
    <x v="6"/>
    <s v="Germany"/>
    <x v="9"/>
    <x v="28"/>
    <n v="39541"/>
    <n v="42376"/>
  </r>
  <r>
    <s v="ORD06538"/>
    <d v="2025-12-27T00:00:00"/>
    <x v="10"/>
    <x v="42"/>
    <x v="2"/>
    <s v="China"/>
    <x v="32"/>
    <x v="8"/>
    <n v="27624"/>
    <n v="25182"/>
  </r>
  <r>
    <s v="ORD06539"/>
    <d v="2025-05-08T00:00:00"/>
    <x v="8"/>
    <x v="18"/>
    <x v="6"/>
    <s v="India"/>
    <x v="2"/>
    <x v="23"/>
    <n v="19108"/>
    <n v="17419"/>
  </r>
  <r>
    <s v="ORD06540"/>
    <d v="2025-07-29T00:00:00"/>
    <x v="0"/>
    <x v="12"/>
    <x v="3"/>
    <s v="Turkey"/>
    <x v="10"/>
    <x v="13"/>
    <n v="27255"/>
    <n v="19581"/>
  </r>
  <r>
    <s v="ORD06541"/>
    <d v="2025-03-24T00:00:00"/>
    <x v="9"/>
    <x v="33"/>
    <x v="0"/>
    <s v="Japan"/>
    <x v="42"/>
    <x v="0"/>
    <n v="33670"/>
    <n v="40325"/>
  </r>
  <r>
    <s v="ORD06542"/>
    <d v="2025-01-08T00:00:00"/>
    <x v="1"/>
    <x v="6"/>
    <x v="4"/>
    <s v="South Africa"/>
    <x v="11"/>
    <x v="29"/>
    <n v="17047"/>
    <n v="16383"/>
  </r>
  <r>
    <s v="ORD06543"/>
    <d v="2025-05-07T00:00:00"/>
    <x v="8"/>
    <x v="18"/>
    <x v="4"/>
    <s v="Canada"/>
    <x v="11"/>
    <x v="25"/>
    <n v="38844"/>
    <n v="32041"/>
  </r>
  <r>
    <s v="ORD06544"/>
    <d v="2025-03-11T00:00:00"/>
    <x v="9"/>
    <x v="19"/>
    <x v="1"/>
    <s v="China"/>
    <x v="46"/>
    <x v="8"/>
    <n v="21199"/>
    <n v="17766"/>
  </r>
  <r>
    <s v="ORD06545"/>
    <d v="2025-01-22T00:00:00"/>
    <x v="1"/>
    <x v="7"/>
    <x v="1"/>
    <s v="UAE"/>
    <x v="12"/>
    <x v="5"/>
    <n v="31876"/>
    <n v="26966"/>
  </r>
  <r>
    <s v="ORD06546"/>
    <d v="2025-08-25T00:00:00"/>
    <x v="11"/>
    <x v="28"/>
    <x v="5"/>
    <s v="China"/>
    <x v="25"/>
    <x v="25"/>
    <n v="25288"/>
    <n v="29284"/>
  </r>
  <r>
    <s v="ORD06547"/>
    <d v="2025-05-23T00:00:00"/>
    <x v="8"/>
    <x v="26"/>
    <x v="2"/>
    <s v="South Africa"/>
    <x v="2"/>
    <x v="24"/>
    <n v="39084"/>
    <n v="40140"/>
  </r>
  <r>
    <s v="ORD06548"/>
    <d v="2025-06-09T00:00:00"/>
    <x v="5"/>
    <x v="40"/>
    <x v="5"/>
    <s v="Canada"/>
    <x v="26"/>
    <x v="2"/>
    <n v="25315"/>
    <n v="26207"/>
  </r>
  <r>
    <s v="ORD06549"/>
    <d v="2025-03-22T00:00:00"/>
    <x v="9"/>
    <x v="39"/>
    <x v="3"/>
    <s v="Russia"/>
    <x v="30"/>
    <x v="12"/>
    <n v="33870"/>
    <n v="38820"/>
  </r>
  <r>
    <s v="ORD06550"/>
    <d v="2025-03-02T00:00:00"/>
    <x v="9"/>
    <x v="22"/>
    <x v="1"/>
    <s v="Germany"/>
    <x v="4"/>
    <x v="19"/>
    <n v="38548"/>
    <n v="36457"/>
  </r>
  <r>
    <s v="ORD06551"/>
    <d v="2025-08-18T00:00:00"/>
    <x v="11"/>
    <x v="46"/>
    <x v="1"/>
    <s v="Canada"/>
    <x v="7"/>
    <x v="2"/>
    <n v="20742"/>
    <n v="20120"/>
  </r>
  <r>
    <s v="ORD06552"/>
    <d v="2025-09-03T00:00:00"/>
    <x v="3"/>
    <x v="4"/>
    <x v="5"/>
    <s v="South Africa"/>
    <x v="49"/>
    <x v="16"/>
    <n v="25511"/>
    <n v="27199"/>
  </r>
  <r>
    <s v="ORD06553"/>
    <d v="2025-11-05T00:00:00"/>
    <x v="2"/>
    <x v="51"/>
    <x v="0"/>
    <s v="India"/>
    <x v="49"/>
    <x v="23"/>
    <n v="15382"/>
    <n v="14215"/>
  </r>
  <r>
    <s v="ORD06554"/>
    <d v="2025-05-11T00:00:00"/>
    <x v="8"/>
    <x v="18"/>
    <x v="1"/>
    <s v="Spain"/>
    <x v="36"/>
    <x v="12"/>
    <n v="16865"/>
    <n v="13790"/>
  </r>
  <r>
    <s v="ORD06555"/>
    <d v="2025-01-20T00:00:00"/>
    <x v="1"/>
    <x v="7"/>
    <x v="3"/>
    <s v="India"/>
    <x v="19"/>
    <x v="2"/>
    <n v="22832"/>
    <n v="27338"/>
  </r>
  <r>
    <s v="ORD06556"/>
    <d v="2025-11-07T00:00:00"/>
    <x v="2"/>
    <x v="51"/>
    <x v="4"/>
    <s v="Japan"/>
    <x v="3"/>
    <x v="7"/>
    <n v="35397"/>
    <n v="44287"/>
  </r>
  <r>
    <s v="ORD06557"/>
    <d v="2025-08-05T00:00:00"/>
    <x v="11"/>
    <x v="23"/>
    <x v="6"/>
    <s v="Canada"/>
    <x v="30"/>
    <x v="26"/>
    <n v="38919"/>
    <n v="33471"/>
  </r>
  <r>
    <s v="ORD06558"/>
    <d v="2025-12-21T00:00:00"/>
    <x v="10"/>
    <x v="21"/>
    <x v="4"/>
    <s v="China"/>
    <x v="7"/>
    <x v="8"/>
    <n v="29483"/>
    <n v="28139"/>
  </r>
  <r>
    <s v="ORD06559"/>
    <d v="2025-07-31T00:00:00"/>
    <x v="0"/>
    <x v="12"/>
    <x v="1"/>
    <s v="France"/>
    <x v="3"/>
    <x v="29"/>
    <n v="19918"/>
    <n v="23522"/>
  </r>
  <r>
    <s v="ORD06560"/>
    <d v="2025-06-27T00:00:00"/>
    <x v="5"/>
    <x v="36"/>
    <x v="3"/>
    <s v="Canada"/>
    <x v="5"/>
    <x v="1"/>
    <n v="16869"/>
    <n v="18759"/>
  </r>
  <r>
    <s v="ORD06561"/>
    <d v="2025-08-17T00:00:00"/>
    <x v="11"/>
    <x v="30"/>
    <x v="0"/>
    <s v="UK"/>
    <x v="16"/>
    <x v="2"/>
    <n v="25563"/>
    <n v="23160"/>
  </r>
  <r>
    <s v="ORD06562"/>
    <d v="2025-02-18T00:00:00"/>
    <x v="6"/>
    <x v="15"/>
    <x v="4"/>
    <s v="Germany"/>
    <x v="18"/>
    <x v="18"/>
    <n v="35109"/>
    <n v="42830"/>
  </r>
  <r>
    <s v="ORD06563"/>
    <d v="2025-06-08T00:00:00"/>
    <x v="5"/>
    <x v="41"/>
    <x v="5"/>
    <s v="UAE"/>
    <x v="30"/>
    <x v="24"/>
    <n v="25650"/>
    <n v="28573"/>
  </r>
  <r>
    <s v="ORD06564"/>
    <d v="2025-05-14T00:00:00"/>
    <x v="8"/>
    <x v="17"/>
    <x v="6"/>
    <s v="Italy"/>
    <x v="3"/>
    <x v="6"/>
    <n v="26082"/>
    <n v="21435"/>
  </r>
  <r>
    <s v="ORD06565"/>
    <d v="2025-09-22T00:00:00"/>
    <x v="3"/>
    <x v="25"/>
    <x v="3"/>
    <s v="South Africa"/>
    <x v="22"/>
    <x v="1"/>
    <n v="33747"/>
    <n v="32251"/>
  </r>
  <r>
    <s v="ORD06566"/>
    <d v="2025-04-17T00:00:00"/>
    <x v="7"/>
    <x v="20"/>
    <x v="4"/>
    <s v="Thailand"/>
    <x v="42"/>
    <x v="0"/>
    <n v="27339"/>
    <n v="28667"/>
  </r>
  <r>
    <s v="ORD06567"/>
    <d v="2025-12-08T00:00:00"/>
    <x v="10"/>
    <x v="32"/>
    <x v="5"/>
    <s v="Thailand"/>
    <x v="36"/>
    <x v="25"/>
    <n v="22464"/>
    <n v="26964"/>
  </r>
  <r>
    <s v="ORD06568"/>
    <d v="2025-09-09T00:00:00"/>
    <x v="3"/>
    <x v="31"/>
    <x v="4"/>
    <s v="India"/>
    <x v="2"/>
    <x v="9"/>
    <n v="34312"/>
    <n v="34284"/>
  </r>
  <r>
    <s v="ORD06569"/>
    <d v="2025-03-08T00:00:00"/>
    <x v="9"/>
    <x v="35"/>
    <x v="3"/>
    <s v="Canada"/>
    <x v="14"/>
    <x v="0"/>
    <n v="38162"/>
    <n v="49607"/>
  </r>
  <r>
    <s v="ORD06570"/>
    <d v="2025-11-16T00:00:00"/>
    <x v="2"/>
    <x v="44"/>
    <x v="6"/>
    <s v="South Africa"/>
    <x v="15"/>
    <x v="23"/>
    <n v="17919"/>
    <n v="14879"/>
  </r>
  <r>
    <s v="ORD06571"/>
    <d v="2025-07-17T00:00:00"/>
    <x v="0"/>
    <x v="14"/>
    <x v="6"/>
    <s v="Malaysia"/>
    <x v="20"/>
    <x v="27"/>
    <n v="39682"/>
    <n v="39972"/>
  </r>
  <r>
    <s v="ORD06572"/>
    <d v="2025-02-18T00:00:00"/>
    <x v="6"/>
    <x v="15"/>
    <x v="3"/>
    <s v="China"/>
    <x v="4"/>
    <x v="29"/>
    <n v="19727"/>
    <n v="24054"/>
  </r>
  <r>
    <s v="ORD06573"/>
    <d v="2025-02-05T00:00:00"/>
    <x v="6"/>
    <x v="48"/>
    <x v="3"/>
    <s v="UK"/>
    <x v="34"/>
    <x v="2"/>
    <n v="37594"/>
    <n v="27618"/>
  </r>
  <r>
    <s v="ORD06574"/>
    <d v="2025-12-17T00:00:00"/>
    <x v="10"/>
    <x v="21"/>
    <x v="5"/>
    <s v="Australia"/>
    <x v="35"/>
    <x v="20"/>
    <n v="32165"/>
    <n v="30643"/>
  </r>
  <r>
    <s v="ORD06575"/>
    <d v="2025-11-13T00:00:00"/>
    <x v="2"/>
    <x v="44"/>
    <x v="3"/>
    <s v="India"/>
    <x v="7"/>
    <x v="26"/>
    <n v="39367"/>
    <n v="42212"/>
  </r>
  <r>
    <s v="ORD06576"/>
    <d v="2025-03-30T00:00:00"/>
    <x v="9"/>
    <x v="33"/>
    <x v="2"/>
    <s v="UAE"/>
    <x v="25"/>
    <x v="10"/>
    <n v="20332"/>
    <n v="24413"/>
  </r>
  <r>
    <s v="ORD06577"/>
    <d v="2025-09-25T00:00:00"/>
    <x v="3"/>
    <x v="25"/>
    <x v="6"/>
    <s v="Germany"/>
    <x v="46"/>
    <x v="20"/>
    <n v="22988"/>
    <n v="17340"/>
  </r>
  <r>
    <s v="ORD06578"/>
    <d v="2025-08-02T00:00:00"/>
    <x v="11"/>
    <x v="12"/>
    <x v="4"/>
    <s v="Canada"/>
    <x v="32"/>
    <x v="5"/>
    <n v="25620"/>
    <n v="21274"/>
  </r>
  <r>
    <s v="ORD06579"/>
    <d v="2025-05-21T00:00:00"/>
    <x v="8"/>
    <x v="26"/>
    <x v="6"/>
    <s v="Japan"/>
    <x v="11"/>
    <x v="4"/>
    <n v="22796"/>
    <n v="20289"/>
  </r>
  <r>
    <s v="ORD06580"/>
    <d v="2025-01-20T00:00:00"/>
    <x v="1"/>
    <x v="7"/>
    <x v="3"/>
    <s v="Russia"/>
    <x v="1"/>
    <x v="22"/>
    <n v="37817"/>
    <n v="39154"/>
  </r>
  <r>
    <s v="ORD06581"/>
    <d v="2025-08-16T00:00:00"/>
    <x v="11"/>
    <x v="30"/>
    <x v="2"/>
    <s v="Germany"/>
    <x v="31"/>
    <x v="28"/>
    <n v="23878"/>
    <n v="28610"/>
  </r>
  <r>
    <s v="ORD06582"/>
    <d v="2025-01-27T00:00:00"/>
    <x v="1"/>
    <x v="3"/>
    <x v="1"/>
    <s v="UK"/>
    <x v="1"/>
    <x v="22"/>
    <n v="20501"/>
    <n v="25722"/>
  </r>
  <r>
    <s v="ORD06583"/>
    <d v="2025-03-30T00:00:00"/>
    <x v="9"/>
    <x v="33"/>
    <x v="2"/>
    <s v="UAE"/>
    <x v="40"/>
    <x v="18"/>
    <n v="36938"/>
    <n v="47822"/>
  </r>
  <r>
    <s v="ORD06584"/>
    <d v="2025-08-13T00:00:00"/>
    <x v="11"/>
    <x v="30"/>
    <x v="3"/>
    <s v="Italy"/>
    <x v="38"/>
    <x v="16"/>
    <n v="31773"/>
    <n v="37649"/>
  </r>
  <r>
    <s v="ORD06585"/>
    <d v="2025-07-11T00:00:00"/>
    <x v="0"/>
    <x v="47"/>
    <x v="1"/>
    <s v="Italy"/>
    <x v="20"/>
    <x v="19"/>
    <n v="33692"/>
    <n v="32967"/>
  </r>
  <r>
    <s v="ORD06586"/>
    <d v="2025-10-13T00:00:00"/>
    <x v="4"/>
    <x v="10"/>
    <x v="5"/>
    <s v="Germany"/>
    <x v="34"/>
    <x v="21"/>
    <n v="34857"/>
    <n v="44615"/>
  </r>
  <r>
    <s v="ORD06587"/>
    <d v="2025-09-17T00:00:00"/>
    <x v="3"/>
    <x v="8"/>
    <x v="5"/>
    <s v="UK"/>
    <x v="37"/>
    <x v="17"/>
    <n v="23203"/>
    <n v="24918"/>
  </r>
  <r>
    <s v="ORD06588"/>
    <d v="2025-08-18T00:00:00"/>
    <x v="11"/>
    <x v="46"/>
    <x v="3"/>
    <s v="South Africa"/>
    <x v="45"/>
    <x v="23"/>
    <n v="33453"/>
    <n v="28129"/>
  </r>
  <r>
    <s v="ORD06589"/>
    <d v="2025-10-20T00:00:00"/>
    <x v="4"/>
    <x v="50"/>
    <x v="6"/>
    <s v="Brazil"/>
    <x v="20"/>
    <x v="1"/>
    <n v="21155"/>
    <n v="17338"/>
  </r>
  <r>
    <s v="ORD06590"/>
    <d v="2025-01-21T00:00:00"/>
    <x v="1"/>
    <x v="7"/>
    <x v="5"/>
    <s v="Germany"/>
    <x v="42"/>
    <x v="1"/>
    <n v="23009"/>
    <n v="23741"/>
  </r>
  <r>
    <s v="ORD06591"/>
    <d v="2025-10-05T00:00:00"/>
    <x v="4"/>
    <x v="49"/>
    <x v="0"/>
    <s v="Russia"/>
    <x v="37"/>
    <x v="9"/>
    <n v="17250"/>
    <n v="15014"/>
  </r>
  <r>
    <s v="ORD06592"/>
    <d v="2025-03-11T00:00:00"/>
    <x v="9"/>
    <x v="19"/>
    <x v="1"/>
    <s v="China"/>
    <x v="13"/>
    <x v="4"/>
    <n v="34859"/>
    <n v="37162"/>
  </r>
  <r>
    <s v="ORD06593"/>
    <d v="2025-10-23T00:00:00"/>
    <x v="4"/>
    <x v="50"/>
    <x v="3"/>
    <s v="Russia"/>
    <x v="35"/>
    <x v="27"/>
    <n v="30034"/>
    <n v="22213"/>
  </r>
  <r>
    <s v="ORD06594"/>
    <d v="2025-09-04T00:00:00"/>
    <x v="3"/>
    <x v="4"/>
    <x v="4"/>
    <s v="Brazil"/>
    <x v="16"/>
    <x v="28"/>
    <n v="17093"/>
    <n v="15313"/>
  </r>
  <r>
    <s v="ORD06595"/>
    <d v="2025-05-14T00:00:00"/>
    <x v="8"/>
    <x v="17"/>
    <x v="4"/>
    <s v="UK"/>
    <x v="10"/>
    <x v="29"/>
    <n v="15891"/>
    <n v="17127"/>
  </r>
  <r>
    <s v="ORD06596"/>
    <d v="2025-05-27T00:00:00"/>
    <x v="8"/>
    <x v="24"/>
    <x v="3"/>
    <s v="Germany"/>
    <x v="24"/>
    <x v="27"/>
    <n v="19737"/>
    <n v="17928"/>
  </r>
  <r>
    <s v="ORD06597"/>
    <d v="2025-11-29T00:00:00"/>
    <x v="2"/>
    <x v="11"/>
    <x v="1"/>
    <s v="UK"/>
    <x v="42"/>
    <x v="16"/>
    <n v="19733"/>
    <n v="19867"/>
  </r>
  <r>
    <s v="ORD06598"/>
    <d v="2025-05-22T00:00:00"/>
    <x v="8"/>
    <x v="26"/>
    <x v="2"/>
    <s v="Mexico"/>
    <x v="0"/>
    <x v="10"/>
    <n v="33162"/>
    <n v="42322"/>
  </r>
  <r>
    <s v="ORD06599"/>
    <d v="2025-03-17T00:00:00"/>
    <x v="9"/>
    <x v="39"/>
    <x v="6"/>
    <s v="Canada"/>
    <x v="42"/>
    <x v="3"/>
    <n v="31884"/>
    <n v="37635"/>
  </r>
  <r>
    <s v="ORD06600"/>
    <d v="2025-09-25T00:00:00"/>
    <x v="3"/>
    <x v="25"/>
    <x v="6"/>
    <s v="Malaysia"/>
    <x v="29"/>
    <x v="4"/>
    <n v="34991"/>
    <n v="41959"/>
  </r>
  <r>
    <s v="ORD06601"/>
    <d v="2025-04-17T00:00:00"/>
    <x v="7"/>
    <x v="20"/>
    <x v="6"/>
    <s v="Germany"/>
    <x v="20"/>
    <x v="6"/>
    <n v="34097"/>
    <n v="36628"/>
  </r>
  <r>
    <s v="ORD06602"/>
    <d v="2025-01-05T00:00:00"/>
    <x v="1"/>
    <x v="5"/>
    <x v="4"/>
    <s v="Canada"/>
    <x v="7"/>
    <x v="9"/>
    <n v="31816"/>
    <n v="25494"/>
  </r>
  <r>
    <s v="ORD06603"/>
    <d v="2025-01-18T00:00:00"/>
    <x v="1"/>
    <x v="1"/>
    <x v="3"/>
    <s v="France"/>
    <x v="15"/>
    <x v="24"/>
    <n v="35534"/>
    <n v="35126"/>
  </r>
  <r>
    <s v="ORD06604"/>
    <d v="2025-09-14T00:00:00"/>
    <x v="3"/>
    <x v="31"/>
    <x v="6"/>
    <s v="Turkey"/>
    <x v="17"/>
    <x v="16"/>
    <n v="38080"/>
    <n v="44318"/>
  </r>
  <r>
    <s v="ORD06605"/>
    <d v="2025-05-25T00:00:00"/>
    <x v="8"/>
    <x v="26"/>
    <x v="0"/>
    <s v="UK"/>
    <x v="5"/>
    <x v="15"/>
    <n v="15462"/>
    <n v="18895"/>
  </r>
  <r>
    <s v="ORD06606"/>
    <d v="2025-11-25T00:00:00"/>
    <x v="2"/>
    <x v="11"/>
    <x v="4"/>
    <s v="Mexico"/>
    <x v="47"/>
    <x v="29"/>
    <n v="21473"/>
    <n v="19358"/>
  </r>
  <r>
    <s v="ORD06607"/>
    <d v="2025-07-08T00:00:00"/>
    <x v="0"/>
    <x v="47"/>
    <x v="0"/>
    <s v="UK"/>
    <x v="18"/>
    <x v="23"/>
    <n v="25613"/>
    <n v="28767"/>
  </r>
  <r>
    <s v="ORD06608"/>
    <d v="2025-06-03T00:00:00"/>
    <x v="5"/>
    <x v="41"/>
    <x v="4"/>
    <s v="Canada"/>
    <x v="15"/>
    <x v="27"/>
    <n v="26620"/>
    <n v="25447"/>
  </r>
  <r>
    <s v="ORD06609"/>
    <d v="2025-04-05T00:00:00"/>
    <x v="7"/>
    <x v="34"/>
    <x v="4"/>
    <s v="South Africa"/>
    <x v="5"/>
    <x v="9"/>
    <n v="38472"/>
    <n v="29760"/>
  </r>
  <r>
    <s v="ORD06610"/>
    <d v="2025-05-27T00:00:00"/>
    <x v="8"/>
    <x v="24"/>
    <x v="6"/>
    <s v="Germany"/>
    <x v="32"/>
    <x v="15"/>
    <n v="32530"/>
    <n v="38477"/>
  </r>
  <r>
    <s v="ORD06611"/>
    <d v="2025-01-22T00:00:00"/>
    <x v="1"/>
    <x v="7"/>
    <x v="3"/>
    <s v="Germany"/>
    <x v="5"/>
    <x v="22"/>
    <n v="33518"/>
    <n v="28903"/>
  </r>
  <r>
    <s v="ORD06612"/>
    <d v="2025-05-14T00:00:00"/>
    <x v="8"/>
    <x v="17"/>
    <x v="6"/>
    <s v="Canada"/>
    <x v="48"/>
    <x v="26"/>
    <n v="35363"/>
    <n v="37927"/>
  </r>
  <r>
    <s v="ORD06613"/>
    <d v="2025-03-21T00:00:00"/>
    <x v="9"/>
    <x v="39"/>
    <x v="6"/>
    <s v="Canada"/>
    <x v="10"/>
    <x v="0"/>
    <n v="39342"/>
    <n v="28287"/>
  </r>
  <r>
    <s v="ORD06614"/>
    <d v="2025-12-21T00:00:00"/>
    <x v="10"/>
    <x v="21"/>
    <x v="0"/>
    <s v="Spain"/>
    <x v="0"/>
    <x v="14"/>
    <n v="21326"/>
    <n v="25595"/>
  </r>
  <r>
    <s v="ORD06615"/>
    <d v="2025-01-08T00:00:00"/>
    <x v="1"/>
    <x v="6"/>
    <x v="6"/>
    <s v="Australia"/>
    <x v="34"/>
    <x v="6"/>
    <n v="35404"/>
    <n v="32213"/>
  </r>
  <r>
    <s v="ORD06616"/>
    <d v="2025-11-20T00:00:00"/>
    <x v="2"/>
    <x v="9"/>
    <x v="2"/>
    <s v="Australia"/>
    <x v="3"/>
    <x v="16"/>
    <n v="31536"/>
    <n v="39789"/>
  </r>
  <r>
    <s v="ORD06617"/>
    <d v="2025-07-18T00:00:00"/>
    <x v="0"/>
    <x v="14"/>
    <x v="0"/>
    <s v="Canada"/>
    <x v="8"/>
    <x v="16"/>
    <n v="33600"/>
    <n v="28559"/>
  </r>
  <r>
    <s v="ORD06618"/>
    <d v="2025-07-25T00:00:00"/>
    <x v="0"/>
    <x v="0"/>
    <x v="2"/>
    <s v="Canada"/>
    <x v="19"/>
    <x v="13"/>
    <n v="30443"/>
    <n v="26494"/>
  </r>
  <r>
    <s v="ORD06619"/>
    <d v="2025-12-02T00:00:00"/>
    <x v="10"/>
    <x v="43"/>
    <x v="5"/>
    <s v="Brazil"/>
    <x v="27"/>
    <x v="19"/>
    <n v="25063"/>
    <n v="32545"/>
  </r>
  <r>
    <s v="ORD06620"/>
    <d v="2025-08-20T00:00:00"/>
    <x v="11"/>
    <x v="46"/>
    <x v="5"/>
    <s v="Italy"/>
    <x v="40"/>
    <x v="19"/>
    <n v="24659"/>
    <n v="30100"/>
  </r>
  <r>
    <s v="ORD06621"/>
    <d v="2025-02-13T00:00:00"/>
    <x v="6"/>
    <x v="29"/>
    <x v="1"/>
    <s v="Germany"/>
    <x v="10"/>
    <x v="28"/>
    <n v="23899"/>
    <n v="26350"/>
  </r>
  <r>
    <s v="ORD06622"/>
    <d v="2025-06-26T00:00:00"/>
    <x v="5"/>
    <x v="36"/>
    <x v="4"/>
    <s v="Spain"/>
    <x v="7"/>
    <x v="13"/>
    <n v="27923"/>
    <n v="22871"/>
  </r>
  <r>
    <s v="ORD06623"/>
    <d v="2025-08-11T00:00:00"/>
    <x v="11"/>
    <x v="30"/>
    <x v="2"/>
    <s v="China"/>
    <x v="16"/>
    <x v="2"/>
    <n v="17703"/>
    <n v="16944"/>
  </r>
  <r>
    <s v="ORD06624"/>
    <d v="2025-09-11T00:00:00"/>
    <x v="3"/>
    <x v="31"/>
    <x v="3"/>
    <s v="UK"/>
    <x v="36"/>
    <x v="15"/>
    <n v="18359"/>
    <n v="13036"/>
  </r>
  <r>
    <s v="ORD06625"/>
    <d v="2025-06-23T00:00:00"/>
    <x v="5"/>
    <x v="36"/>
    <x v="3"/>
    <s v="Germany"/>
    <x v="7"/>
    <x v="4"/>
    <n v="33790"/>
    <n v="27845"/>
  </r>
  <r>
    <s v="ORD06626"/>
    <d v="2025-05-15T00:00:00"/>
    <x v="8"/>
    <x v="17"/>
    <x v="0"/>
    <s v="USA"/>
    <x v="3"/>
    <x v="10"/>
    <n v="33484"/>
    <n v="28024"/>
  </r>
  <r>
    <s v="ORD06627"/>
    <d v="2025-05-26T00:00:00"/>
    <x v="8"/>
    <x v="24"/>
    <x v="3"/>
    <s v="Malaysia"/>
    <x v="22"/>
    <x v="5"/>
    <n v="31925"/>
    <n v="35758"/>
  </r>
  <r>
    <s v="ORD06628"/>
    <d v="2025-10-25T00:00:00"/>
    <x v="4"/>
    <x v="50"/>
    <x v="0"/>
    <s v="Brazil"/>
    <x v="2"/>
    <x v="18"/>
    <n v="29559"/>
    <n v="33351"/>
  </r>
  <r>
    <s v="ORD06629"/>
    <d v="2025-04-06T00:00:00"/>
    <x v="7"/>
    <x v="34"/>
    <x v="1"/>
    <s v="France"/>
    <x v="39"/>
    <x v="17"/>
    <n v="36427"/>
    <n v="34815"/>
  </r>
  <r>
    <s v="ORD06630"/>
    <d v="2025-03-15T00:00:00"/>
    <x v="9"/>
    <x v="19"/>
    <x v="0"/>
    <s v="Spain"/>
    <x v="33"/>
    <x v="2"/>
    <n v="18093"/>
    <n v="13777"/>
  </r>
  <r>
    <s v="ORD06631"/>
    <d v="2025-09-27T00:00:00"/>
    <x v="3"/>
    <x v="25"/>
    <x v="6"/>
    <s v="Germany"/>
    <x v="44"/>
    <x v="9"/>
    <n v="34400"/>
    <n v="30572"/>
  </r>
  <r>
    <s v="ORD06632"/>
    <d v="2025-05-29T00:00:00"/>
    <x v="8"/>
    <x v="24"/>
    <x v="3"/>
    <s v="Mexico"/>
    <x v="35"/>
    <x v="7"/>
    <n v="21746"/>
    <n v="16638"/>
  </r>
  <r>
    <s v="ORD06633"/>
    <d v="2025-03-18T00:00:00"/>
    <x v="9"/>
    <x v="39"/>
    <x v="3"/>
    <s v="USA"/>
    <x v="17"/>
    <x v="10"/>
    <n v="25070"/>
    <n v="20459"/>
  </r>
  <r>
    <s v="ORD06634"/>
    <d v="2025-07-02T00:00:00"/>
    <x v="0"/>
    <x v="37"/>
    <x v="0"/>
    <s v="Brazil"/>
    <x v="44"/>
    <x v="0"/>
    <n v="38294"/>
    <n v="48851"/>
  </r>
  <r>
    <s v="ORD06635"/>
    <d v="2025-10-11T00:00:00"/>
    <x v="4"/>
    <x v="45"/>
    <x v="1"/>
    <s v="Brazil"/>
    <x v="11"/>
    <x v="3"/>
    <n v="21368"/>
    <n v="16663"/>
  </r>
  <r>
    <s v="ORD06636"/>
    <d v="2025-05-13T00:00:00"/>
    <x v="8"/>
    <x v="17"/>
    <x v="6"/>
    <s v="Brazil"/>
    <x v="13"/>
    <x v="14"/>
    <n v="32321"/>
    <n v="39560"/>
  </r>
  <r>
    <s v="ORD06637"/>
    <d v="2025-10-26T00:00:00"/>
    <x v="4"/>
    <x v="50"/>
    <x v="3"/>
    <s v="Brazil"/>
    <x v="46"/>
    <x v="16"/>
    <n v="30879"/>
    <n v="24339"/>
  </r>
  <r>
    <s v="ORD06638"/>
    <d v="2025-07-15T00:00:00"/>
    <x v="0"/>
    <x v="14"/>
    <x v="2"/>
    <s v="Malaysia"/>
    <x v="10"/>
    <x v="25"/>
    <n v="38246"/>
    <n v="49715"/>
  </r>
  <r>
    <s v="ORD06639"/>
    <d v="2025-09-08T00:00:00"/>
    <x v="3"/>
    <x v="31"/>
    <x v="1"/>
    <s v="Germany"/>
    <x v="44"/>
    <x v="4"/>
    <n v="28178"/>
    <n v="36541"/>
  </r>
  <r>
    <s v="ORD06640"/>
    <d v="2025-11-08T00:00:00"/>
    <x v="2"/>
    <x v="51"/>
    <x v="5"/>
    <s v="Germany"/>
    <x v="46"/>
    <x v="27"/>
    <n v="25794"/>
    <n v="26298"/>
  </r>
  <r>
    <s v="ORD06641"/>
    <d v="2025-05-14T00:00:00"/>
    <x v="8"/>
    <x v="17"/>
    <x v="5"/>
    <s v="Russia"/>
    <x v="37"/>
    <x v="19"/>
    <n v="19499"/>
    <n v="21465"/>
  </r>
  <r>
    <s v="ORD06642"/>
    <d v="2025-09-23T00:00:00"/>
    <x v="3"/>
    <x v="25"/>
    <x v="1"/>
    <s v="Italy"/>
    <x v="32"/>
    <x v="1"/>
    <n v="17311"/>
    <n v="16039"/>
  </r>
  <r>
    <s v="ORD06643"/>
    <d v="2025-08-03T00:00:00"/>
    <x v="11"/>
    <x v="12"/>
    <x v="4"/>
    <s v="Singapore"/>
    <x v="17"/>
    <x v="25"/>
    <n v="15038"/>
    <n v="13628"/>
  </r>
  <r>
    <s v="ORD06644"/>
    <d v="2025-01-30T00:00:00"/>
    <x v="1"/>
    <x v="3"/>
    <x v="6"/>
    <s v="Turkey"/>
    <x v="28"/>
    <x v="3"/>
    <n v="24562"/>
    <n v="28012"/>
  </r>
  <r>
    <s v="ORD06645"/>
    <d v="2025-01-04T00:00:00"/>
    <x v="1"/>
    <x v="5"/>
    <x v="0"/>
    <s v="UK"/>
    <x v="33"/>
    <x v="13"/>
    <n v="25853"/>
    <n v="22890"/>
  </r>
  <r>
    <s v="ORD06646"/>
    <d v="2025-07-19T00:00:00"/>
    <x v="0"/>
    <x v="14"/>
    <x v="0"/>
    <s v="Canada"/>
    <x v="24"/>
    <x v="4"/>
    <n v="36572"/>
    <n v="33857"/>
  </r>
  <r>
    <s v="ORD06647"/>
    <d v="2025-03-25T00:00:00"/>
    <x v="9"/>
    <x v="33"/>
    <x v="4"/>
    <s v="France"/>
    <x v="14"/>
    <x v="13"/>
    <n v="21073"/>
    <n v="18596"/>
  </r>
  <r>
    <s v="ORD06648"/>
    <d v="2025-10-30T00:00:00"/>
    <x v="4"/>
    <x v="2"/>
    <x v="0"/>
    <s v="China"/>
    <x v="6"/>
    <x v="11"/>
    <n v="25503"/>
    <n v="28158"/>
  </r>
  <r>
    <s v="ORD06649"/>
    <d v="2025-08-27T00:00:00"/>
    <x v="11"/>
    <x v="28"/>
    <x v="5"/>
    <s v="Italy"/>
    <x v="7"/>
    <x v="23"/>
    <n v="20842"/>
    <n v="21608"/>
  </r>
  <r>
    <s v="ORD06650"/>
    <d v="2025-07-09T00:00:00"/>
    <x v="0"/>
    <x v="47"/>
    <x v="6"/>
    <s v="Russia"/>
    <x v="20"/>
    <x v="25"/>
    <n v="24129"/>
    <n v="18208"/>
  </r>
  <r>
    <s v="ORD06651"/>
    <d v="2025-06-18T00:00:00"/>
    <x v="5"/>
    <x v="13"/>
    <x v="3"/>
    <s v="Spain"/>
    <x v="33"/>
    <x v="23"/>
    <n v="29032"/>
    <n v="35155"/>
  </r>
  <r>
    <s v="ORD06652"/>
    <d v="2025-01-29T00:00:00"/>
    <x v="1"/>
    <x v="3"/>
    <x v="0"/>
    <s v="Singapore"/>
    <x v="35"/>
    <x v="8"/>
    <n v="25135"/>
    <n v="20994"/>
  </r>
  <r>
    <s v="ORD06653"/>
    <d v="2025-09-10T00:00:00"/>
    <x v="3"/>
    <x v="31"/>
    <x v="6"/>
    <s v="Turkey"/>
    <x v="28"/>
    <x v="10"/>
    <n v="34545"/>
    <n v="30817"/>
  </r>
  <r>
    <s v="ORD06654"/>
    <d v="2025-09-27T00:00:00"/>
    <x v="3"/>
    <x v="25"/>
    <x v="0"/>
    <s v="Spain"/>
    <x v="30"/>
    <x v="16"/>
    <n v="17109"/>
    <n v="19791"/>
  </r>
  <r>
    <s v="ORD06655"/>
    <d v="2025-12-21T00:00:00"/>
    <x v="10"/>
    <x v="21"/>
    <x v="1"/>
    <s v="Mexico"/>
    <x v="8"/>
    <x v="16"/>
    <n v="25361"/>
    <n v="25808"/>
  </r>
  <r>
    <s v="ORD06656"/>
    <d v="2025-02-06T00:00:00"/>
    <x v="6"/>
    <x v="48"/>
    <x v="3"/>
    <s v="China"/>
    <x v="22"/>
    <x v="15"/>
    <n v="23744"/>
    <n v="19911"/>
  </r>
  <r>
    <s v="ORD06657"/>
    <d v="2025-12-17T00:00:00"/>
    <x v="10"/>
    <x v="21"/>
    <x v="1"/>
    <s v="UK"/>
    <x v="40"/>
    <x v="1"/>
    <n v="25064"/>
    <n v="25114"/>
  </r>
  <r>
    <s v="ORD06658"/>
    <d v="2025-09-26T00:00:00"/>
    <x v="3"/>
    <x v="25"/>
    <x v="3"/>
    <s v="France"/>
    <x v="15"/>
    <x v="24"/>
    <n v="17655"/>
    <n v="15682"/>
  </r>
  <r>
    <s v="ORD06659"/>
    <d v="2025-11-19T00:00:00"/>
    <x v="2"/>
    <x v="9"/>
    <x v="4"/>
    <s v="Spain"/>
    <x v="14"/>
    <x v="28"/>
    <n v="37782"/>
    <n v="47765"/>
  </r>
  <r>
    <s v="ORD06660"/>
    <d v="2025-06-04T00:00:00"/>
    <x v="5"/>
    <x v="41"/>
    <x v="1"/>
    <s v="Australia"/>
    <x v="12"/>
    <x v="17"/>
    <n v="31416"/>
    <n v="25613"/>
  </r>
  <r>
    <s v="ORD06661"/>
    <d v="2025-09-09T00:00:00"/>
    <x v="3"/>
    <x v="31"/>
    <x v="3"/>
    <s v="UK"/>
    <x v="28"/>
    <x v="25"/>
    <n v="36728"/>
    <n v="35694"/>
  </r>
  <r>
    <s v="ORD06662"/>
    <d v="2025-12-27T00:00:00"/>
    <x v="10"/>
    <x v="42"/>
    <x v="3"/>
    <s v="USA"/>
    <x v="21"/>
    <x v="22"/>
    <n v="27100"/>
    <n v="33548"/>
  </r>
  <r>
    <s v="ORD06663"/>
    <d v="2025-12-28T00:00:00"/>
    <x v="10"/>
    <x v="42"/>
    <x v="4"/>
    <s v="UAE"/>
    <x v="1"/>
    <x v="6"/>
    <n v="32965"/>
    <n v="24923"/>
  </r>
  <r>
    <s v="ORD06664"/>
    <d v="2025-09-07T00:00:00"/>
    <x v="3"/>
    <x v="4"/>
    <x v="0"/>
    <s v="Russia"/>
    <x v="6"/>
    <x v="21"/>
    <n v="27124"/>
    <n v="28315"/>
  </r>
  <r>
    <s v="ORD06665"/>
    <d v="2025-08-14T00:00:00"/>
    <x v="11"/>
    <x v="30"/>
    <x v="3"/>
    <s v="Malaysia"/>
    <x v="17"/>
    <x v="27"/>
    <n v="20157"/>
    <n v="16763"/>
  </r>
  <r>
    <s v="ORD06666"/>
    <d v="2025-02-24T00:00:00"/>
    <x v="6"/>
    <x v="22"/>
    <x v="2"/>
    <s v="UAE"/>
    <x v="37"/>
    <x v="17"/>
    <n v="39640"/>
    <n v="46060"/>
  </r>
  <r>
    <s v="ORD06667"/>
    <d v="2025-01-18T00:00:00"/>
    <x v="1"/>
    <x v="1"/>
    <x v="3"/>
    <s v="Mexico"/>
    <x v="35"/>
    <x v="22"/>
    <n v="21153"/>
    <n v="20640"/>
  </r>
  <r>
    <s v="ORD06668"/>
    <d v="2025-07-29T00:00:00"/>
    <x v="0"/>
    <x v="12"/>
    <x v="5"/>
    <s v="Thailand"/>
    <x v="40"/>
    <x v="8"/>
    <n v="17882"/>
    <n v="16474"/>
  </r>
  <r>
    <s v="ORD06669"/>
    <d v="2025-03-30T00:00:00"/>
    <x v="9"/>
    <x v="33"/>
    <x v="3"/>
    <s v="Brazil"/>
    <x v="13"/>
    <x v="26"/>
    <n v="33914"/>
    <n v="40153"/>
  </r>
  <r>
    <s v="ORD06670"/>
    <d v="2025-08-05T00:00:00"/>
    <x v="11"/>
    <x v="23"/>
    <x v="2"/>
    <s v="Thailand"/>
    <x v="14"/>
    <x v="19"/>
    <n v="28955"/>
    <n v="23942"/>
  </r>
  <r>
    <s v="ORD06671"/>
    <d v="2025-02-20T00:00:00"/>
    <x v="6"/>
    <x v="15"/>
    <x v="4"/>
    <s v="Germany"/>
    <x v="5"/>
    <x v="7"/>
    <n v="28229"/>
    <n v="33462"/>
  </r>
  <r>
    <s v="ORD06672"/>
    <d v="2025-07-26T00:00:00"/>
    <x v="0"/>
    <x v="0"/>
    <x v="3"/>
    <s v="Russia"/>
    <x v="30"/>
    <x v="28"/>
    <n v="20397"/>
    <n v="25939"/>
  </r>
  <r>
    <s v="ORD06673"/>
    <d v="2025-07-13T00:00:00"/>
    <x v="0"/>
    <x v="47"/>
    <x v="4"/>
    <s v="UAE"/>
    <x v="5"/>
    <x v="4"/>
    <n v="18079"/>
    <n v="19409"/>
  </r>
  <r>
    <s v="ORD06674"/>
    <d v="2025-05-25T00:00:00"/>
    <x v="8"/>
    <x v="26"/>
    <x v="6"/>
    <s v="France"/>
    <x v="29"/>
    <x v="8"/>
    <n v="26627"/>
    <n v="19124"/>
  </r>
  <r>
    <s v="ORD06675"/>
    <d v="2025-03-07T00:00:00"/>
    <x v="9"/>
    <x v="35"/>
    <x v="3"/>
    <s v="Turkey"/>
    <x v="7"/>
    <x v="18"/>
    <n v="37380"/>
    <n v="38839"/>
  </r>
  <r>
    <s v="ORD06676"/>
    <d v="2025-01-08T00:00:00"/>
    <x v="1"/>
    <x v="6"/>
    <x v="3"/>
    <s v="France"/>
    <x v="18"/>
    <x v="7"/>
    <n v="36849"/>
    <n v="30766"/>
  </r>
  <r>
    <s v="ORD06677"/>
    <d v="2025-03-13T00:00:00"/>
    <x v="9"/>
    <x v="19"/>
    <x v="6"/>
    <s v="UK"/>
    <x v="1"/>
    <x v="24"/>
    <n v="26755"/>
    <n v="20181"/>
  </r>
  <r>
    <s v="ORD06678"/>
    <d v="2025-01-21T00:00:00"/>
    <x v="1"/>
    <x v="7"/>
    <x v="2"/>
    <s v="France"/>
    <x v="41"/>
    <x v="25"/>
    <n v="21945"/>
    <n v="19176"/>
  </r>
  <r>
    <s v="ORD06679"/>
    <d v="2025-12-23T00:00:00"/>
    <x v="10"/>
    <x v="42"/>
    <x v="4"/>
    <s v="Turkey"/>
    <x v="7"/>
    <x v="11"/>
    <n v="39496"/>
    <n v="45650"/>
  </r>
  <r>
    <s v="ORD06680"/>
    <d v="2025-03-26T00:00:00"/>
    <x v="9"/>
    <x v="33"/>
    <x v="5"/>
    <s v="Italy"/>
    <x v="10"/>
    <x v="16"/>
    <n v="26443"/>
    <n v="24208"/>
  </r>
  <r>
    <s v="ORD06681"/>
    <d v="2025-05-25T00:00:00"/>
    <x v="8"/>
    <x v="26"/>
    <x v="2"/>
    <s v="Thailand"/>
    <x v="31"/>
    <x v="27"/>
    <n v="25782"/>
    <n v="30539"/>
  </r>
  <r>
    <s v="ORD06682"/>
    <d v="2025-04-05T00:00:00"/>
    <x v="7"/>
    <x v="34"/>
    <x v="5"/>
    <s v="UAE"/>
    <x v="35"/>
    <x v="19"/>
    <n v="38607"/>
    <n v="30233"/>
  </r>
  <r>
    <s v="ORD06683"/>
    <d v="2025-09-17T00:00:00"/>
    <x v="3"/>
    <x v="8"/>
    <x v="1"/>
    <s v="UAE"/>
    <x v="36"/>
    <x v="5"/>
    <n v="30051"/>
    <n v="24411"/>
  </r>
  <r>
    <s v="ORD06684"/>
    <d v="2025-04-07T00:00:00"/>
    <x v="7"/>
    <x v="16"/>
    <x v="4"/>
    <s v="Brazil"/>
    <x v="38"/>
    <x v="24"/>
    <n v="24688"/>
    <n v="31822"/>
  </r>
  <r>
    <s v="ORD06685"/>
    <d v="2025-12-08T00:00:00"/>
    <x v="10"/>
    <x v="32"/>
    <x v="2"/>
    <s v="Australia"/>
    <x v="38"/>
    <x v="27"/>
    <n v="30048"/>
    <n v="37645"/>
  </r>
  <r>
    <s v="ORD06686"/>
    <d v="2025-06-20T00:00:00"/>
    <x v="5"/>
    <x v="13"/>
    <x v="0"/>
    <s v="India"/>
    <x v="46"/>
    <x v="4"/>
    <n v="23348"/>
    <n v="21554"/>
  </r>
  <r>
    <s v="ORD06687"/>
    <d v="2025-12-24T00:00:00"/>
    <x v="10"/>
    <x v="42"/>
    <x v="5"/>
    <s v="Spain"/>
    <x v="9"/>
    <x v="28"/>
    <n v="18876"/>
    <n v="14151"/>
  </r>
  <r>
    <s v="ORD06688"/>
    <d v="2025-05-14T00:00:00"/>
    <x v="8"/>
    <x v="17"/>
    <x v="2"/>
    <s v="Mexico"/>
    <x v="0"/>
    <x v="13"/>
    <n v="16063"/>
    <n v="18705"/>
  </r>
  <r>
    <s v="ORD06689"/>
    <d v="2025-10-07T00:00:00"/>
    <x v="4"/>
    <x v="45"/>
    <x v="1"/>
    <s v="France"/>
    <x v="23"/>
    <x v="27"/>
    <n v="22865"/>
    <n v="20715"/>
  </r>
  <r>
    <s v="ORD06690"/>
    <d v="2025-09-06T00:00:00"/>
    <x v="3"/>
    <x v="4"/>
    <x v="5"/>
    <s v="India"/>
    <x v="0"/>
    <x v="3"/>
    <n v="23194"/>
    <n v="21944"/>
  </r>
  <r>
    <s v="ORD06691"/>
    <d v="2025-01-17T00:00:00"/>
    <x v="1"/>
    <x v="1"/>
    <x v="5"/>
    <s v="USA"/>
    <x v="17"/>
    <x v="9"/>
    <n v="23161"/>
    <n v="23765"/>
  </r>
  <r>
    <s v="ORD06692"/>
    <d v="2025-08-10T00:00:00"/>
    <x v="11"/>
    <x v="23"/>
    <x v="5"/>
    <s v="India"/>
    <x v="19"/>
    <x v="20"/>
    <n v="17054"/>
    <n v="22027"/>
  </r>
  <r>
    <s v="ORD06693"/>
    <d v="2025-09-21T00:00:00"/>
    <x v="3"/>
    <x v="8"/>
    <x v="5"/>
    <s v="Japan"/>
    <x v="38"/>
    <x v="24"/>
    <n v="17604"/>
    <n v="18593"/>
  </r>
  <r>
    <s v="ORD06694"/>
    <d v="2025-03-30T00:00:00"/>
    <x v="9"/>
    <x v="33"/>
    <x v="4"/>
    <s v="Canada"/>
    <x v="9"/>
    <x v="17"/>
    <n v="29721"/>
    <n v="25276"/>
  </r>
  <r>
    <s v="ORD06695"/>
    <d v="2025-07-23T00:00:00"/>
    <x v="0"/>
    <x v="0"/>
    <x v="1"/>
    <s v="Australia"/>
    <x v="5"/>
    <x v="12"/>
    <n v="17449"/>
    <n v="17385"/>
  </r>
  <r>
    <s v="ORD06696"/>
    <d v="2025-01-02T00:00:00"/>
    <x v="1"/>
    <x v="5"/>
    <x v="2"/>
    <s v="China"/>
    <x v="47"/>
    <x v="4"/>
    <n v="21369"/>
    <n v="23359"/>
  </r>
  <r>
    <s v="ORD06697"/>
    <d v="2025-09-02T00:00:00"/>
    <x v="3"/>
    <x v="4"/>
    <x v="1"/>
    <s v="Malaysia"/>
    <x v="26"/>
    <x v="18"/>
    <n v="33061"/>
    <n v="35802"/>
  </r>
  <r>
    <s v="ORD06698"/>
    <d v="2025-01-31T00:00:00"/>
    <x v="1"/>
    <x v="3"/>
    <x v="3"/>
    <s v="South Africa"/>
    <x v="0"/>
    <x v="9"/>
    <n v="29834"/>
    <n v="27763"/>
  </r>
  <r>
    <s v="ORD06699"/>
    <d v="2025-02-10T00:00:00"/>
    <x v="6"/>
    <x v="29"/>
    <x v="6"/>
    <s v="Turkey"/>
    <x v="20"/>
    <x v="13"/>
    <n v="34991"/>
    <n v="29148"/>
  </r>
  <r>
    <s v="ORD06700"/>
    <d v="2025-04-20T00:00:00"/>
    <x v="7"/>
    <x v="20"/>
    <x v="6"/>
    <s v="USA"/>
    <x v="33"/>
    <x v="28"/>
    <n v="16434"/>
    <n v="12031"/>
  </r>
  <r>
    <s v="ORD06701"/>
    <d v="2025-06-09T00:00:00"/>
    <x v="5"/>
    <x v="40"/>
    <x v="3"/>
    <s v="UK"/>
    <x v="28"/>
    <x v="27"/>
    <n v="28936"/>
    <n v="29139"/>
  </r>
  <r>
    <s v="ORD06702"/>
    <d v="2025-07-05T00:00:00"/>
    <x v="0"/>
    <x v="37"/>
    <x v="3"/>
    <s v="Germany"/>
    <x v="0"/>
    <x v="0"/>
    <n v="24020"/>
    <n v="23689"/>
  </r>
  <r>
    <s v="ORD06703"/>
    <d v="2025-12-08T00:00:00"/>
    <x v="10"/>
    <x v="32"/>
    <x v="4"/>
    <s v="Singapore"/>
    <x v="48"/>
    <x v="23"/>
    <n v="27145"/>
    <n v="23282"/>
  </r>
  <r>
    <s v="ORD06704"/>
    <d v="2025-10-15T00:00:00"/>
    <x v="4"/>
    <x v="10"/>
    <x v="2"/>
    <s v="Australia"/>
    <x v="26"/>
    <x v="29"/>
    <n v="39308"/>
    <n v="46804"/>
  </r>
  <r>
    <s v="ORD06705"/>
    <d v="2025-11-12T00:00:00"/>
    <x v="2"/>
    <x v="44"/>
    <x v="5"/>
    <s v="Germany"/>
    <x v="10"/>
    <x v="17"/>
    <n v="34326"/>
    <n v="42230"/>
  </r>
  <r>
    <s v="ORD06706"/>
    <d v="2025-06-24T00:00:00"/>
    <x v="5"/>
    <x v="36"/>
    <x v="0"/>
    <s v="India"/>
    <x v="36"/>
    <x v="16"/>
    <n v="19167"/>
    <n v="22524"/>
  </r>
  <r>
    <s v="ORD06707"/>
    <d v="2025-06-02T00:00:00"/>
    <x v="5"/>
    <x v="41"/>
    <x v="1"/>
    <s v="Thailand"/>
    <x v="20"/>
    <x v="17"/>
    <n v="37623"/>
    <n v="31575"/>
  </r>
  <r>
    <s v="ORD06708"/>
    <d v="2025-04-17T00:00:00"/>
    <x v="7"/>
    <x v="20"/>
    <x v="6"/>
    <s v="Russia"/>
    <x v="33"/>
    <x v="26"/>
    <n v="28447"/>
    <n v="33926"/>
  </r>
  <r>
    <s v="ORD06709"/>
    <d v="2025-05-11T00:00:00"/>
    <x v="8"/>
    <x v="18"/>
    <x v="5"/>
    <s v="Italy"/>
    <x v="20"/>
    <x v="0"/>
    <n v="21754"/>
    <n v="17026"/>
  </r>
  <r>
    <s v="ORD06710"/>
    <d v="2025-10-24T00:00:00"/>
    <x v="4"/>
    <x v="50"/>
    <x v="1"/>
    <s v="Japan"/>
    <x v="32"/>
    <x v="16"/>
    <n v="19634"/>
    <n v="17601"/>
  </r>
  <r>
    <s v="ORD06711"/>
    <d v="2025-04-01T00:00:00"/>
    <x v="7"/>
    <x v="34"/>
    <x v="0"/>
    <s v="Malaysia"/>
    <x v="7"/>
    <x v="22"/>
    <n v="21490"/>
    <n v="17856"/>
  </r>
  <r>
    <s v="ORD06712"/>
    <d v="2025-07-01T00:00:00"/>
    <x v="0"/>
    <x v="37"/>
    <x v="2"/>
    <s v="UK"/>
    <x v="27"/>
    <x v="14"/>
    <n v="15675"/>
    <n v="18218"/>
  </r>
  <r>
    <s v="ORD06713"/>
    <d v="2025-07-07T00:00:00"/>
    <x v="0"/>
    <x v="47"/>
    <x v="6"/>
    <s v="China"/>
    <x v="41"/>
    <x v="9"/>
    <n v="38848"/>
    <n v="37952"/>
  </r>
  <r>
    <s v="ORD06714"/>
    <d v="2025-01-02T00:00:00"/>
    <x v="1"/>
    <x v="5"/>
    <x v="6"/>
    <s v="India"/>
    <x v="5"/>
    <x v="5"/>
    <n v="28885"/>
    <n v="31440"/>
  </r>
  <r>
    <s v="ORD06715"/>
    <d v="2025-05-14T00:00:00"/>
    <x v="8"/>
    <x v="17"/>
    <x v="2"/>
    <s v="Spain"/>
    <x v="26"/>
    <x v="28"/>
    <n v="39635"/>
    <n v="43643"/>
  </r>
  <r>
    <s v="ORD06716"/>
    <d v="2025-09-09T00:00:00"/>
    <x v="3"/>
    <x v="31"/>
    <x v="3"/>
    <s v="Russia"/>
    <x v="46"/>
    <x v="20"/>
    <n v="24685"/>
    <n v="19079"/>
  </r>
  <r>
    <s v="ORD06717"/>
    <d v="2025-07-12T00:00:00"/>
    <x v="0"/>
    <x v="47"/>
    <x v="6"/>
    <s v="Australia"/>
    <x v="13"/>
    <x v="19"/>
    <n v="31888"/>
    <n v="39710"/>
  </r>
  <r>
    <s v="ORD06718"/>
    <d v="2025-08-26T00:00:00"/>
    <x v="11"/>
    <x v="28"/>
    <x v="6"/>
    <s v="Malaysia"/>
    <x v="9"/>
    <x v="20"/>
    <n v="25955"/>
    <n v="18468"/>
  </r>
  <r>
    <s v="ORD06719"/>
    <d v="2025-11-10T00:00:00"/>
    <x v="2"/>
    <x v="44"/>
    <x v="1"/>
    <s v="Thailand"/>
    <x v="15"/>
    <x v="21"/>
    <n v="36364"/>
    <n v="41900"/>
  </r>
  <r>
    <s v="ORD06720"/>
    <d v="2025-02-25T00:00:00"/>
    <x v="6"/>
    <x v="22"/>
    <x v="4"/>
    <s v="Turkey"/>
    <x v="13"/>
    <x v="3"/>
    <n v="36908"/>
    <n v="28922"/>
  </r>
  <r>
    <s v="ORD06721"/>
    <d v="2025-08-14T00:00:00"/>
    <x v="11"/>
    <x v="30"/>
    <x v="1"/>
    <s v="South Africa"/>
    <x v="40"/>
    <x v="27"/>
    <n v="29894"/>
    <n v="37544"/>
  </r>
  <r>
    <s v="ORD06722"/>
    <d v="2025-02-26T00:00:00"/>
    <x v="6"/>
    <x v="22"/>
    <x v="5"/>
    <s v="South Africa"/>
    <x v="8"/>
    <x v="3"/>
    <n v="39013"/>
    <n v="30173"/>
  </r>
  <r>
    <s v="ORD06723"/>
    <d v="2025-09-13T00:00:00"/>
    <x v="3"/>
    <x v="31"/>
    <x v="3"/>
    <s v="Mexico"/>
    <x v="33"/>
    <x v="19"/>
    <n v="26116"/>
    <n v="26198"/>
  </r>
  <r>
    <s v="ORD06724"/>
    <d v="2025-10-01T00:00:00"/>
    <x v="4"/>
    <x v="49"/>
    <x v="3"/>
    <s v="Canada"/>
    <x v="37"/>
    <x v="5"/>
    <n v="27883"/>
    <n v="31566"/>
  </r>
  <r>
    <s v="ORD06725"/>
    <d v="2025-02-18T00:00:00"/>
    <x v="6"/>
    <x v="15"/>
    <x v="2"/>
    <s v="France"/>
    <x v="42"/>
    <x v="4"/>
    <n v="30615"/>
    <n v="30162"/>
  </r>
  <r>
    <s v="ORD06726"/>
    <d v="2025-07-05T00:00:00"/>
    <x v="0"/>
    <x v="37"/>
    <x v="5"/>
    <s v="Russia"/>
    <x v="11"/>
    <x v="7"/>
    <n v="28993"/>
    <n v="32233"/>
  </r>
  <r>
    <s v="ORD06727"/>
    <d v="2025-07-31T00:00:00"/>
    <x v="0"/>
    <x v="12"/>
    <x v="3"/>
    <s v="Canada"/>
    <x v="22"/>
    <x v="10"/>
    <n v="36197"/>
    <n v="39697"/>
  </r>
  <r>
    <s v="ORD06728"/>
    <d v="2025-10-08T00:00:00"/>
    <x v="4"/>
    <x v="45"/>
    <x v="1"/>
    <s v="Japan"/>
    <x v="37"/>
    <x v="23"/>
    <n v="19905"/>
    <n v="22111"/>
  </r>
  <r>
    <s v="ORD06729"/>
    <d v="2025-08-23T00:00:00"/>
    <x v="11"/>
    <x v="46"/>
    <x v="4"/>
    <s v="Turkey"/>
    <x v="13"/>
    <x v="20"/>
    <n v="17665"/>
    <n v="16132"/>
  </r>
  <r>
    <s v="ORD06730"/>
    <d v="2025-06-21T00:00:00"/>
    <x v="5"/>
    <x v="13"/>
    <x v="6"/>
    <s v="Australia"/>
    <x v="41"/>
    <x v="13"/>
    <n v="24605"/>
    <n v="20462"/>
  </r>
  <r>
    <s v="ORD06731"/>
    <d v="2025-02-27T00:00:00"/>
    <x v="6"/>
    <x v="22"/>
    <x v="6"/>
    <s v="Malaysia"/>
    <x v="40"/>
    <x v="27"/>
    <n v="30977"/>
    <n v="36320"/>
  </r>
  <r>
    <s v="ORD06732"/>
    <d v="2025-01-18T00:00:00"/>
    <x v="1"/>
    <x v="1"/>
    <x v="1"/>
    <s v="Canada"/>
    <x v="37"/>
    <x v="1"/>
    <n v="20264"/>
    <n v="25271"/>
  </r>
  <r>
    <s v="ORD06733"/>
    <d v="2025-01-21T00:00:00"/>
    <x v="1"/>
    <x v="7"/>
    <x v="4"/>
    <s v="Australia"/>
    <x v="47"/>
    <x v="7"/>
    <n v="23507"/>
    <n v="22446"/>
  </r>
  <r>
    <s v="ORD06734"/>
    <d v="2025-06-13T00:00:00"/>
    <x v="5"/>
    <x v="40"/>
    <x v="3"/>
    <s v="Italy"/>
    <x v="10"/>
    <x v="19"/>
    <n v="18179"/>
    <n v="15481"/>
  </r>
  <r>
    <s v="ORD06735"/>
    <d v="2025-02-12T00:00:00"/>
    <x v="6"/>
    <x v="29"/>
    <x v="1"/>
    <s v="Australia"/>
    <x v="47"/>
    <x v="13"/>
    <n v="27817"/>
    <n v="31405"/>
  </r>
  <r>
    <s v="ORD06736"/>
    <d v="2025-12-31T00:00:00"/>
    <x v="10"/>
    <x v="5"/>
    <x v="5"/>
    <s v="India"/>
    <x v="4"/>
    <x v="6"/>
    <n v="28932"/>
    <n v="21783"/>
  </r>
  <r>
    <s v="ORD06737"/>
    <d v="2025-12-25T00:00:00"/>
    <x v="10"/>
    <x v="42"/>
    <x v="1"/>
    <s v="Singapore"/>
    <x v="45"/>
    <x v="3"/>
    <n v="25269"/>
    <n v="29548"/>
  </r>
  <r>
    <s v="ORD06738"/>
    <d v="2025-03-12T00:00:00"/>
    <x v="9"/>
    <x v="19"/>
    <x v="2"/>
    <s v="Italy"/>
    <x v="24"/>
    <x v="13"/>
    <n v="24303"/>
    <n v="18189"/>
  </r>
  <r>
    <s v="ORD06739"/>
    <d v="2025-02-19T00:00:00"/>
    <x v="6"/>
    <x v="15"/>
    <x v="0"/>
    <s v="Malaysia"/>
    <x v="48"/>
    <x v="15"/>
    <n v="32105"/>
    <n v="34283"/>
  </r>
  <r>
    <s v="ORD06740"/>
    <d v="2025-06-29T00:00:00"/>
    <x v="5"/>
    <x v="36"/>
    <x v="2"/>
    <s v="UAE"/>
    <x v="2"/>
    <x v="28"/>
    <n v="17616"/>
    <n v="19451"/>
  </r>
  <r>
    <s v="ORD06741"/>
    <d v="2025-01-13T00:00:00"/>
    <x v="1"/>
    <x v="1"/>
    <x v="4"/>
    <s v="China"/>
    <x v="8"/>
    <x v="23"/>
    <n v="24600"/>
    <n v="25957"/>
  </r>
  <r>
    <s v="ORD06742"/>
    <d v="2025-06-11T00:00:00"/>
    <x v="5"/>
    <x v="40"/>
    <x v="1"/>
    <s v="Japan"/>
    <x v="33"/>
    <x v="5"/>
    <n v="15288"/>
    <n v="18826"/>
  </r>
  <r>
    <s v="ORD06743"/>
    <d v="2025-09-27T00:00:00"/>
    <x v="3"/>
    <x v="25"/>
    <x v="4"/>
    <s v="Spain"/>
    <x v="19"/>
    <x v="21"/>
    <n v="30702"/>
    <n v="34002"/>
  </r>
  <r>
    <s v="ORD06744"/>
    <d v="2025-07-20T00:00:00"/>
    <x v="0"/>
    <x v="14"/>
    <x v="1"/>
    <s v="Japan"/>
    <x v="33"/>
    <x v="23"/>
    <n v="27449"/>
    <n v="31331"/>
  </r>
  <r>
    <s v="ORD06745"/>
    <d v="2025-04-17T00:00:00"/>
    <x v="7"/>
    <x v="20"/>
    <x v="5"/>
    <s v="UAE"/>
    <x v="19"/>
    <x v="24"/>
    <n v="23388"/>
    <n v="29754"/>
  </r>
  <r>
    <s v="ORD06746"/>
    <d v="2025-06-25T00:00:00"/>
    <x v="5"/>
    <x v="36"/>
    <x v="4"/>
    <s v="India"/>
    <x v="43"/>
    <x v="19"/>
    <n v="16942"/>
    <n v="12751"/>
  </r>
  <r>
    <s v="ORD06747"/>
    <d v="2025-03-23T00:00:00"/>
    <x v="9"/>
    <x v="39"/>
    <x v="5"/>
    <s v="Brazil"/>
    <x v="22"/>
    <x v="6"/>
    <n v="23318"/>
    <n v="24802"/>
  </r>
  <r>
    <s v="ORD06748"/>
    <d v="2025-01-24T00:00:00"/>
    <x v="1"/>
    <x v="7"/>
    <x v="1"/>
    <s v="UAE"/>
    <x v="35"/>
    <x v="27"/>
    <n v="23753"/>
    <n v="23756"/>
  </r>
  <r>
    <s v="ORD06749"/>
    <d v="2025-07-17T00:00:00"/>
    <x v="0"/>
    <x v="14"/>
    <x v="6"/>
    <s v="India"/>
    <x v="0"/>
    <x v="4"/>
    <n v="36125"/>
    <n v="32841"/>
  </r>
  <r>
    <s v="ORD06750"/>
    <d v="2025-12-19T00:00:00"/>
    <x v="10"/>
    <x v="21"/>
    <x v="1"/>
    <s v="Malaysia"/>
    <x v="40"/>
    <x v="27"/>
    <n v="26763"/>
    <n v="31001"/>
  </r>
  <r>
    <s v="ORD06751"/>
    <d v="2025-07-20T00:00:00"/>
    <x v="0"/>
    <x v="14"/>
    <x v="6"/>
    <s v="USA"/>
    <x v="4"/>
    <x v="12"/>
    <n v="20076"/>
    <n v="16025"/>
  </r>
  <r>
    <s v="ORD06752"/>
    <d v="2025-04-30T00:00:00"/>
    <x v="7"/>
    <x v="27"/>
    <x v="2"/>
    <s v="China"/>
    <x v="47"/>
    <x v="21"/>
    <n v="15415"/>
    <n v="17736"/>
  </r>
  <r>
    <s v="ORD06753"/>
    <d v="2025-02-19T00:00:00"/>
    <x v="6"/>
    <x v="15"/>
    <x v="1"/>
    <s v="China"/>
    <x v="22"/>
    <x v="2"/>
    <n v="24316"/>
    <n v="29414"/>
  </r>
  <r>
    <s v="ORD06754"/>
    <d v="2025-05-11T00:00:00"/>
    <x v="8"/>
    <x v="18"/>
    <x v="1"/>
    <s v="Singapore"/>
    <x v="7"/>
    <x v="29"/>
    <n v="17370"/>
    <n v="22244"/>
  </r>
  <r>
    <s v="ORD06755"/>
    <d v="2025-04-02T00:00:00"/>
    <x v="7"/>
    <x v="34"/>
    <x v="5"/>
    <s v="India"/>
    <x v="44"/>
    <x v="18"/>
    <n v="38610"/>
    <n v="38062"/>
  </r>
  <r>
    <s v="ORD06756"/>
    <d v="2025-10-07T00:00:00"/>
    <x v="4"/>
    <x v="45"/>
    <x v="3"/>
    <s v="UAE"/>
    <x v="22"/>
    <x v="4"/>
    <n v="24902"/>
    <n v="32311"/>
  </r>
  <r>
    <s v="ORD06757"/>
    <d v="2025-10-26T00:00:00"/>
    <x v="4"/>
    <x v="50"/>
    <x v="6"/>
    <s v="UK"/>
    <x v="9"/>
    <x v="20"/>
    <n v="19003"/>
    <n v="23365"/>
  </r>
  <r>
    <s v="ORD06758"/>
    <d v="2025-08-30T00:00:00"/>
    <x v="11"/>
    <x v="28"/>
    <x v="3"/>
    <s v="Germany"/>
    <x v="31"/>
    <x v="2"/>
    <n v="19310"/>
    <n v="24523"/>
  </r>
  <r>
    <s v="ORD06759"/>
    <d v="2025-04-20T00:00:00"/>
    <x v="7"/>
    <x v="20"/>
    <x v="0"/>
    <s v="Thailand"/>
    <x v="10"/>
    <x v="11"/>
    <n v="26304"/>
    <n v="29332"/>
  </r>
  <r>
    <s v="ORD06760"/>
    <d v="2025-01-27T00:00:00"/>
    <x v="1"/>
    <x v="3"/>
    <x v="2"/>
    <s v="Russia"/>
    <x v="11"/>
    <x v="26"/>
    <n v="39609"/>
    <n v="36733"/>
  </r>
  <r>
    <s v="ORD06761"/>
    <d v="2025-04-14T00:00:00"/>
    <x v="7"/>
    <x v="20"/>
    <x v="4"/>
    <s v="Germany"/>
    <x v="17"/>
    <x v="12"/>
    <n v="20265"/>
    <n v="24308"/>
  </r>
  <r>
    <s v="ORD06762"/>
    <d v="2025-10-16T00:00:00"/>
    <x v="4"/>
    <x v="10"/>
    <x v="2"/>
    <s v="Thailand"/>
    <x v="27"/>
    <x v="25"/>
    <n v="30871"/>
    <n v="22333"/>
  </r>
  <r>
    <s v="ORD06763"/>
    <d v="2025-12-28T00:00:00"/>
    <x v="10"/>
    <x v="42"/>
    <x v="0"/>
    <s v="Mexico"/>
    <x v="4"/>
    <x v="0"/>
    <n v="35898"/>
    <n v="37592"/>
  </r>
  <r>
    <s v="ORD06764"/>
    <d v="2025-06-15T00:00:00"/>
    <x v="5"/>
    <x v="40"/>
    <x v="5"/>
    <s v="Thailand"/>
    <x v="10"/>
    <x v="2"/>
    <n v="20406"/>
    <n v="25726"/>
  </r>
  <r>
    <s v="ORD06765"/>
    <d v="2025-04-03T00:00:00"/>
    <x v="7"/>
    <x v="34"/>
    <x v="5"/>
    <s v="Mexico"/>
    <x v="12"/>
    <x v="8"/>
    <n v="15048"/>
    <n v="13483"/>
  </r>
  <r>
    <s v="ORD06766"/>
    <d v="2025-02-13T00:00:00"/>
    <x v="6"/>
    <x v="29"/>
    <x v="0"/>
    <s v="UK"/>
    <x v="14"/>
    <x v="16"/>
    <n v="39519"/>
    <n v="28275"/>
  </r>
  <r>
    <s v="ORD06767"/>
    <d v="2025-06-01T00:00:00"/>
    <x v="5"/>
    <x v="24"/>
    <x v="4"/>
    <s v="Thailand"/>
    <x v="26"/>
    <x v="25"/>
    <n v="28576"/>
    <n v="33348"/>
  </r>
  <r>
    <s v="ORD06768"/>
    <d v="2025-12-12T00:00:00"/>
    <x v="10"/>
    <x v="32"/>
    <x v="5"/>
    <s v="UAE"/>
    <x v="39"/>
    <x v="0"/>
    <n v="31172"/>
    <n v="24717"/>
  </r>
  <r>
    <s v="ORD06769"/>
    <d v="2025-06-07T00:00:00"/>
    <x v="5"/>
    <x v="41"/>
    <x v="4"/>
    <s v="Spain"/>
    <x v="9"/>
    <x v="19"/>
    <n v="29177"/>
    <n v="37597"/>
  </r>
  <r>
    <s v="ORD06770"/>
    <d v="2025-07-29T00:00:00"/>
    <x v="0"/>
    <x v="12"/>
    <x v="2"/>
    <s v="USA"/>
    <x v="14"/>
    <x v="23"/>
    <n v="23239"/>
    <n v="29954"/>
  </r>
  <r>
    <s v="ORD06771"/>
    <d v="2025-01-23T00:00:00"/>
    <x v="1"/>
    <x v="7"/>
    <x v="5"/>
    <s v="UK"/>
    <x v="39"/>
    <x v="22"/>
    <n v="20111"/>
    <n v="16025"/>
  </r>
  <r>
    <s v="ORD06772"/>
    <d v="2025-08-03T00:00:00"/>
    <x v="11"/>
    <x v="12"/>
    <x v="0"/>
    <s v="Turkey"/>
    <x v="37"/>
    <x v="15"/>
    <n v="39051"/>
    <n v="36692"/>
  </r>
  <r>
    <s v="ORD06773"/>
    <d v="2025-12-21T00:00:00"/>
    <x v="10"/>
    <x v="21"/>
    <x v="0"/>
    <s v="Malaysia"/>
    <x v="20"/>
    <x v="1"/>
    <n v="33836"/>
    <n v="39193"/>
  </r>
  <r>
    <s v="ORD06774"/>
    <d v="2025-02-24T00:00:00"/>
    <x v="6"/>
    <x v="22"/>
    <x v="5"/>
    <s v="Malaysia"/>
    <x v="36"/>
    <x v="28"/>
    <n v="18165"/>
    <n v="13490"/>
  </r>
  <r>
    <s v="ORD06775"/>
    <d v="2025-12-04T00:00:00"/>
    <x v="10"/>
    <x v="43"/>
    <x v="0"/>
    <s v="UAE"/>
    <x v="41"/>
    <x v="6"/>
    <n v="21457"/>
    <n v="18719"/>
  </r>
  <r>
    <s v="ORD06776"/>
    <d v="2025-03-08T00:00:00"/>
    <x v="9"/>
    <x v="35"/>
    <x v="4"/>
    <s v="Russia"/>
    <x v="29"/>
    <x v="15"/>
    <n v="32074"/>
    <n v="29726"/>
  </r>
  <r>
    <s v="ORD06777"/>
    <d v="2025-11-29T00:00:00"/>
    <x v="2"/>
    <x v="11"/>
    <x v="4"/>
    <s v="South Africa"/>
    <x v="23"/>
    <x v="6"/>
    <n v="16694"/>
    <n v="12567"/>
  </r>
  <r>
    <s v="ORD06778"/>
    <d v="2025-03-30T00:00:00"/>
    <x v="9"/>
    <x v="33"/>
    <x v="2"/>
    <s v="USA"/>
    <x v="22"/>
    <x v="5"/>
    <n v="32347"/>
    <n v="39136"/>
  </r>
  <r>
    <s v="ORD06779"/>
    <d v="2025-01-05T00:00:00"/>
    <x v="1"/>
    <x v="5"/>
    <x v="4"/>
    <s v="Brazil"/>
    <x v="37"/>
    <x v="21"/>
    <n v="35896"/>
    <n v="40625"/>
  </r>
  <r>
    <s v="ORD06780"/>
    <d v="2025-05-16T00:00:00"/>
    <x v="8"/>
    <x v="17"/>
    <x v="0"/>
    <s v="USA"/>
    <x v="44"/>
    <x v="6"/>
    <n v="15051"/>
    <n v="16743"/>
  </r>
  <r>
    <s v="ORD06781"/>
    <d v="2025-12-15T00:00:00"/>
    <x v="10"/>
    <x v="21"/>
    <x v="1"/>
    <s v="Australia"/>
    <x v="24"/>
    <x v="5"/>
    <n v="19662"/>
    <n v="19326"/>
  </r>
  <r>
    <s v="ORD06782"/>
    <d v="2025-09-16T00:00:00"/>
    <x v="3"/>
    <x v="8"/>
    <x v="4"/>
    <s v="Russia"/>
    <x v="10"/>
    <x v="24"/>
    <n v="36918"/>
    <n v="45207"/>
  </r>
  <r>
    <s v="ORD06783"/>
    <d v="2025-07-20T00:00:00"/>
    <x v="0"/>
    <x v="14"/>
    <x v="2"/>
    <s v="France"/>
    <x v="41"/>
    <x v="27"/>
    <n v="21517"/>
    <n v="19795"/>
  </r>
  <r>
    <s v="ORD06784"/>
    <d v="2025-04-22T00:00:00"/>
    <x v="7"/>
    <x v="38"/>
    <x v="3"/>
    <s v="Japan"/>
    <x v="15"/>
    <x v="21"/>
    <n v="27244"/>
    <n v="25614"/>
  </r>
  <r>
    <s v="ORD06785"/>
    <d v="2025-11-27T00:00:00"/>
    <x v="2"/>
    <x v="11"/>
    <x v="2"/>
    <s v="Russia"/>
    <x v="23"/>
    <x v="0"/>
    <n v="15917"/>
    <n v="12147"/>
  </r>
  <r>
    <s v="ORD06786"/>
    <d v="2025-02-26T00:00:00"/>
    <x v="6"/>
    <x v="22"/>
    <x v="2"/>
    <s v="Spain"/>
    <x v="4"/>
    <x v="17"/>
    <n v="35144"/>
    <n v="41019"/>
  </r>
  <r>
    <s v="ORD06787"/>
    <d v="2025-09-11T00:00:00"/>
    <x v="3"/>
    <x v="31"/>
    <x v="6"/>
    <s v="Canada"/>
    <x v="7"/>
    <x v="19"/>
    <n v="29248"/>
    <n v="28632"/>
  </r>
  <r>
    <s v="ORD06788"/>
    <d v="2025-03-02T00:00:00"/>
    <x v="9"/>
    <x v="22"/>
    <x v="2"/>
    <s v="Italy"/>
    <x v="31"/>
    <x v="25"/>
    <n v="30123"/>
    <n v="33632"/>
  </r>
  <r>
    <s v="ORD06789"/>
    <d v="2025-08-18T00:00:00"/>
    <x v="11"/>
    <x v="46"/>
    <x v="4"/>
    <s v="Malaysia"/>
    <x v="25"/>
    <x v="11"/>
    <n v="37219"/>
    <n v="45958"/>
  </r>
  <r>
    <s v="ORD06790"/>
    <d v="2025-12-20T00:00:00"/>
    <x v="10"/>
    <x v="21"/>
    <x v="4"/>
    <s v="France"/>
    <x v="23"/>
    <x v="6"/>
    <n v="26669"/>
    <n v="25133"/>
  </r>
  <r>
    <s v="ORD06791"/>
    <d v="2025-01-11T00:00:00"/>
    <x v="1"/>
    <x v="6"/>
    <x v="5"/>
    <s v="Turkey"/>
    <x v="25"/>
    <x v="10"/>
    <n v="37856"/>
    <n v="34051"/>
  </r>
  <r>
    <s v="ORD06792"/>
    <d v="2025-09-02T00:00:00"/>
    <x v="3"/>
    <x v="4"/>
    <x v="5"/>
    <s v="UK"/>
    <x v="30"/>
    <x v="12"/>
    <n v="34630"/>
    <n v="29862"/>
  </r>
  <r>
    <s v="ORD06793"/>
    <d v="2025-06-21T00:00:00"/>
    <x v="5"/>
    <x v="13"/>
    <x v="3"/>
    <s v="Turkey"/>
    <x v="4"/>
    <x v="20"/>
    <n v="24080"/>
    <n v="17030"/>
  </r>
  <r>
    <s v="ORD06794"/>
    <d v="2025-11-19T00:00:00"/>
    <x v="2"/>
    <x v="9"/>
    <x v="3"/>
    <s v="South Africa"/>
    <x v="13"/>
    <x v="27"/>
    <n v="26997"/>
    <n v="26285"/>
  </r>
  <r>
    <s v="ORD06795"/>
    <d v="2025-09-26T00:00:00"/>
    <x v="3"/>
    <x v="25"/>
    <x v="0"/>
    <s v="Australia"/>
    <x v="11"/>
    <x v="4"/>
    <n v="21786"/>
    <n v="20458"/>
  </r>
  <r>
    <s v="ORD06796"/>
    <d v="2025-02-09T00:00:00"/>
    <x v="6"/>
    <x v="48"/>
    <x v="3"/>
    <s v="South Africa"/>
    <x v="1"/>
    <x v="18"/>
    <n v="37101"/>
    <n v="46295"/>
  </r>
  <r>
    <s v="ORD06797"/>
    <d v="2025-07-22T00:00:00"/>
    <x v="0"/>
    <x v="0"/>
    <x v="6"/>
    <s v="Malaysia"/>
    <x v="23"/>
    <x v="29"/>
    <n v="20519"/>
    <n v="16919"/>
  </r>
  <r>
    <s v="ORD06798"/>
    <d v="2025-12-19T00:00:00"/>
    <x v="10"/>
    <x v="21"/>
    <x v="2"/>
    <s v="Mexico"/>
    <x v="9"/>
    <x v="1"/>
    <n v="27831"/>
    <n v="27995"/>
  </r>
  <r>
    <s v="ORD06799"/>
    <d v="2025-09-29T00:00:00"/>
    <x v="3"/>
    <x v="49"/>
    <x v="2"/>
    <s v="UK"/>
    <x v="46"/>
    <x v="18"/>
    <n v="38704"/>
    <n v="32941"/>
  </r>
  <r>
    <s v="ORD06800"/>
    <d v="2025-07-13T00:00:00"/>
    <x v="0"/>
    <x v="47"/>
    <x v="6"/>
    <s v="Singapore"/>
    <x v="26"/>
    <x v="9"/>
    <n v="26646"/>
    <n v="21552"/>
  </r>
  <r>
    <s v="ORD06801"/>
    <d v="2025-01-08T00:00:00"/>
    <x v="1"/>
    <x v="6"/>
    <x v="4"/>
    <s v="Japan"/>
    <x v="14"/>
    <x v="17"/>
    <n v="18823"/>
    <n v="22646"/>
  </r>
  <r>
    <s v="ORD06802"/>
    <d v="2025-11-04T00:00:00"/>
    <x v="2"/>
    <x v="51"/>
    <x v="5"/>
    <s v="Russia"/>
    <x v="1"/>
    <x v="4"/>
    <n v="39962"/>
    <n v="50762"/>
  </r>
  <r>
    <s v="ORD06803"/>
    <d v="2025-08-02T00:00:00"/>
    <x v="11"/>
    <x v="12"/>
    <x v="5"/>
    <s v="France"/>
    <x v="11"/>
    <x v="28"/>
    <n v="38641"/>
    <n v="28755"/>
  </r>
  <r>
    <s v="ORD06804"/>
    <d v="2025-12-18T00:00:00"/>
    <x v="10"/>
    <x v="21"/>
    <x v="3"/>
    <s v="France"/>
    <x v="8"/>
    <x v="3"/>
    <n v="24480"/>
    <n v="21746"/>
  </r>
  <r>
    <s v="ORD06805"/>
    <d v="2025-12-19T00:00:00"/>
    <x v="10"/>
    <x v="21"/>
    <x v="6"/>
    <s v="Mexico"/>
    <x v="30"/>
    <x v="1"/>
    <n v="34251"/>
    <n v="32781"/>
  </r>
  <r>
    <s v="ORD06806"/>
    <d v="2025-04-11T00:00:00"/>
    <x v="7"/>
    <x v="16"/>
    <x v="2"/>
    <s v="UK"/>
    <x v="24"/>
    <x v="15"/>
    <n v="15196"/>
    <n v="13866"/>
  </r>
  <r>
    <s v="ORD06807"/>
    <d v="2025-01-22T00:00:00"/>
    <x v="1"/>
    <x v="7"/>
    <x v="0"/>
    <s v="Australia"/>
    <x v="8"/>
    <x v="2"/>
    <n v="15774"/>
    <n v="13754"/>
  </r>
  <r>
    <s v="ORD06808"/>
    <d v="2025-09-06T00:00:00"/>
    <x v="3"/>
    <x v="4"/>
    <x v="5"/>
    <s v="Singapore"/>
    <x v="21"/>
    <x v="5"/>
    <n v="24722"/>
    <n v="19289"/>
  </r>
  <r>
    <s v="ORD06809"/>
    <d v="2025-06-18T00:00:00"/>
    <x v="5"/>
    <x v="13"/>
    <x v="3"/>
    <s v="USA"/>
    <x v="26"/>
    <x v="11"/>
    <n v="29034"/>
    <n v="34437"/>
  </r>
  <r>
    <s v="ORD06810"/>
    <d v="2025-09-29T00:00:00"/>
    <x v="3"/>
    <x v="49"/>
    <x v="4"/>
    <s v="Brazil"/>
    <x v="3"/>
    <x v="18"/>
    <n v="25290"/>
    <n v="20540"/>
  </r>
  <r>
    <s v="ORD06811"/>
    <d v="2025-08-17T00:00:00"/>
    <x v="11"/>
    <x v="30"/>
    <x v="5"/>
    <s v="South Africa"/>
    <x v="1"/>
    <x v="2"/>
    <n v="29679"/>
    <n v="26756"/>
  </r>
  <r>
    <s v="ORD06812"/>
    <d v="2025-12-09T00:00:00"/>
    <x v="10"/>
    <x v="32"/>
    <x v="4"/>
    <s v="China"/>
    <x v="47"/>
    <x v="15"/>
    <n v="32767"/>
    <n v="42567"/>
  </r>
  <r>
    <s v="ORD06813"/>
    <d v="2025-09-05T00:00:00"/>
    <x v="3"/>
    <x v="4"/>
    <x v="3"/>
    <s v="UAE"/>
    <x v="24"/>
    <x v="25"/>
    <n v="19875"/>
    <n v="17299"/>
  </r>
  <r>
    <s v="ORD06814"/>
    <d v="2025-08-16T00:00:00"/>
    <x v="11"/>
    <x v="30"/>
    <x v="3"/>
    <s v="France"/>
    <x v="32"/>
    <x v="11"/>
    <n v="16136"/>
    <n v="11775"/>
  </r>
  <r>
    <s v="ORD06815"/>
    <d v="2025-02-01T00:00:00"/>
    <x v="6"/>
    <x v="3"/>
    <x v="3"/>
    <s v="Canada"/>
    <x v="15"/>
    <x v="25"/>
    <n v="16098"/>
    <n v="19381"/>
  </r>
  <r>
    <s v="ORD06816"/>
    <d v="2025-11-18T00:00:00"/>
    <x v="2"/>
    <x v="9"/>
    <x v="6"/>
    <s v="Russia"/>
    <x v="21"/>
    <x v="28"/>
    <n v="29042"/>
    <n v="33748"/>
  </r>
  <r>
    <s v="ORD06817"/>
    <d v="2025-10-26T00:00:00"/>
    <x v="4"/>
    <x v="50"/>
    <x v="5"/>
    <s v="Canada"/>
    <x v="15"/>
    <x v="17"/>
    <n v="15970"/>
    <n v="12958"/>
  </r>
  <r>
    <s v="ORD06818"/>
    <d v="2025-01-16T00:00:00"/>
    <x v="1"/>
    <x v="1"/>
    <x v="5"/>
    <s v="India"/>
    <x v="47"/>
    <x v="28"/>
    <n v="28341"/>
    <n v="31404"/>
  </r>
  <r>
    <s v="ORD06819"/>
    <d v="2025-09-06T00:00:00"/>
    <x v="3"/>
    <x v="4"/>
    <x v="0"/>
    <s v="France"/>
    <x v="40"/>
    <x v="2"/>
    <n v="36677"/>
    <n v="32178"/>
  </r>
  <r>
    <s v="ORD06820"/>
    <d v="2025-10-27T00:00:00"/>
    <x v="4"/>
    <x v="2"/>
    <x v="2"/>
    <s v="Canada"/>
    <x v="1"/>
    <x v="9"/>
    <n v="36151"/>
    <n v="26342"/>
  </r>
  <r>
    <s v="ORD06821"/>
    <d v="2025-03-30T00:00:00"/>
    <x v="9"/>
    <x v="33"/>
    <x v="1"/>
    <s v="Thailand"/>
    <x v="26"/>
    <x v="17"/>
    <n v="26397"/>
    <n v="24214"/>
  </r>
  <r>
    <s v="ORD06822"/>
    <d v="2025-02-22T00:00:00"/>
    <x v="6"/>
    <x v="15"/>
    <x v="5"/>
    <s v="Turkey"/>
    <x v="23"/>
    <x v="14"/>
    <n v="34300"/>
    <n v="39402"/>
  </r>
  <r>
    <s v="ORD06823"/>
    <d v="2025-04-15T00:00:00"/>
    <x v="7"/>
    <x v="20"/>
    <x v="3"/>
    <s v="Germany"/>
    <x v="17"/>
    <x v="20"/>
    <n v="27474"/>
    <n v="28119"/>
  </r>
  <r>
    <s v="ORD06824"/>
    <d v="2025-02-26T00:00:00"/>
    <x v="6"/>
    <x v="22"/>
    <x v="6"/>
    <s v="Australia"/>
    <x v="10"/>
    <x v="19"/>
    <n v="29595"/>
    <n v="29325"/>
  </r>
  <r>
    <s v="ORD06825"/>
    <d v="2025-07-22T00:00:00"/>
    <x v="0"/>
    <x v="0"/>
    <x v="3"/>
    <s v="UAE"/>
    <x v="20"/>
    <x v="18"/>
    <n v="38733"/>
    <n v="33676"/>
  </r>
  <r>
    <s v="ORD06826"/>
    <d v="2025-04-06T00:00:00"/>
    <x v="7"/>
    <x v="34"/>
    <x v="4"/>
    <s v="Australia"/>
    <x v="36"/>
    <x v="8"/>
    <n v="31628"/>
    <n v="29729"/>
  </r>
  <r>
    <s v="ORD06827"/>
    <d v="2025-09-05T00:00:00"/>
    <x v="3"/>
    <x v="4"/>
    <x v="6"/>
    <s v="USA"/>
    <x v="13"/>
    <x v="24"/>
    <n v="38578"/>
    <n v="37798"/>
  </r>
  <r>
    <s v="ORD06828"/>
    <d v="2025-11-08T00:00:00"/>
    <x v="2"/>
    <x v="51"/>
    <x v="6"/>
    <s v="Germany"/>
    <x v="17"/>
    <x v="18"/>
    <n v="19410"/>
    <n v="24034"/>
  </r>
  <r>
    <s v="ORD06829"/>
    <d v="2025-02-04T00:00:00"/>
    <x v="6"/>
    <x v="48"/>
    <x v="5"/>
    <s v="UAE"/>
    <x v="33"/>
    <x v="27"/>
    <n v="36065"/>
    <n v="35405"/>
  </r>
  <r>
    <s v="ORD06830"/>
    <d v="2025-11-27T00:00:00"/>
    <x v="2"/>
    <x v="11"/>
    <x v="1"/>
    <s v="Germany"/>
    <x v="30"/>
    <x v="10"/>
    <n v="15709"/>
    <n v="14231"/>
  </r>
  <r>
    <s v="ORD06831"/>
    <d v="2025-05-24T00:00:00"/>
    <x v="8"/>
    <x v="26"/>
    <x v="6"/>
    <s v="UK"/>
    <x v="3"/>
    <x v="29"/>
    <n v="16860"/>
    <n v="12879"/>
  </r>
  <r>
    <s v="ORD06832"/>
    <d v="2025-07-13T00:00:00"/>
    <x v="0"/>
    <x v="47"/>
    <x v="6"/>
    <s v="USA"/>
    <x v="10"/>
    <x v="16"/>
    <n v="16767"/>
    <n v="12149"/>
  </r>
  <r>
    <s v="ORD06833"/>
    <d v="2025-06-10T00:00:00"/>
    <x v="5"/>
    <x v="40"/>
    <x v="1"/>
    <s v="France"/>
    <x v="2"/>
    <x v="7"/>
    <n v="16822"/>
    <n v="20220"/>
  </r>
  <r>
    <s v="ORD06834"/>
    <d v="2025-11-26T00:00:00"/>
    <x v="2"/>
    <x v="11"/>
    <x v="0"/>
    <s v="UK"/>
    <x v="29"/>
    <x v="0"/>
    <n v="32301"/>
    <n v="35555"/>
  </r>
  <r>
    <s v="ORD06835"/>
    <d v="2025-02-01T00:00:00"/>
    <x v="6"/>
    <x v="3"/>
    <x v="2"/>
    <s v="Australia"/>
    <x v="47"/>
    <x v="7"/>
    <n v="30213"/>
    <n v="38131"/>
  </r>
  <r>
    <s v="ORD06836"/>
    <d v="2025-06-13T00:00:00"/>
    <x v="5"/>
    <x v="40"/>
    <x v="0"/>
    <s v="France"/>
    <x v="37"/>
    <x v="0"/>
    <n v="39978"/>
    <n v="40510"/>
  </r>
  <r>
    <s v="ORD06837"/>
    <d v="2025-12-14T00:00:00"/>
    <x v="10"/>
    <x v="32"/>
    <x v="5"/>
    <s v="Thailand"/>
    <x v="16"/>
    <x v="29"/>
    <n v="29056"/>
    <n v="33718"/>
  </r>
  <r>
    <s v="ORD06838"/>
    <d v="2025-07-22T00:00:00"/>
    <x v="0"/>
    <x v="0"/>
    <x v="0"/>
    <s v="Australia"/>
    <x v="18"/>
    <x v="6"/>
    <n v="33195"/>
    <n v="26173"/>
  </r>
  <r>
    <s v="ORD06839"/>
    <d v="2025-12-09T00:00:00"/>
    <x v="10"/>
    <x v="32"/>
    <x v="2"/>
    <s v="South Africa"/>
    <x v="32"/>
    <x v="25"/>
    <n v="29220"/>
    <n v="32753"/>
  </r>
  <r>
    <s v="ORD06840"/>
    <d v="2025-03-27T00:00:00"/>
    <x v="9"/>
    <x v="33"/>
    <x v="2"/>
    <s v="UK"/>
    <x v="42"/>
    <x v="9"/>
    <n v="15594"/>
    <n v="18401"/>
  </r>
  <r>
    <s v="ORD06841"/>
    <d v="2025-08-04T00:00:00"/>
    <x v="11"/>
    <x v="23"/>
    <x v="3"/>
    <s v="Canada"/>
    <x v="33"/>
    <x v="0"/>
    <n v="22033"/>
    <n v="27518"/>
  </r>
  <r>
    <s v="ORD06842"/>
    <d v="2025-07-15T00:00:00"/>
    <x v="0"/>
    <x v="14"/>
    <x v="5"/>
    <s v="Germany"/>
    <x v="31"/>
    <x v="14"/>
    <n v="33884"/>
    <n v="42457"/>
  </r>
  <r>
    <s v="ORD06843"/>
    <d v="2025-04-28T00:00:00"/>
    <x v="7"/>
    <x v="27"/>
    <x v="2"/>
    <s v="Canada"/>
    <x v="48"/>
    <x v="22"/>
    <n v="36485"/>
    <n v="45620"/>
  </r>
  <r>
    <s v="ORD06844"/>
    <d v="2025-10-23T00:00:00"/>
    <x v="4"/>
    <x v="50"/>
    <x v="4"/>
    <s v="India"/>
    <x v="0"/>
    <x v="26"/>
    <n v="21666"/>
    <n v="27575"/>
  </r>
  <r>
    <s v="ORD06845"/>
    <d v="2025-10-01T00:00:00"/>
    <x v="4"/>
    <x v="49"/>
    <x v="2"/>
    <s v="Thailand"/>
    <x v="39"/>
    <x v="15"/>
    <n v="33198"/>
    <n v="25048"/>
  </r>
  <r>
    <s v="ORD06846"/>
    <d v="2025-09-04T00:00:00"/>
    <x v="3"/>
    <x v="4"/>
    <x v="1"/>
    <s v="Canada"/>
    <x v="9"/>
    <x v="29"/>
    <n v="22959"/>
    <n v="22192"/>
  </r>
  <r>
    <s v="ORD06847"/>
    <d v="2025-11-30T00:00:00"/>
    <x v="2"/>
    <x v="11"/>
    <x v="4"/>
    <s v="Malaysia"/>
    <x v="33"/>
    <x v="6"/>
    <n v="29460"/>
    <n v="32371"/>
  </r>
  <r>
    <s v="ORD06848"/>
    <d v="2025-09-05T00:00:00"/>
    <x v="3"/>
    <x v="4"/>
    <x v="6"/>
    <s v="Malaysia"/>
    <x v="48"/>
    <x v="14"/>
    <n v="21282"/>
    <n v="21022"/>
  </r>
  <r>
    <s v="ORD06849"/>
    <d v="2025-10-18T00:00:00"/>
    <x v="4"/>
    <x v="10"/>
    <x v="4"/>
    <s v="UK"/>
    <x v="49"/>
    <x v="21"/>
    <n v="34778"/>
    <n v="43222"/>
  </r>
  <r>
    <s v="ORD06850"/>
    <d v="2025-03-06T00:00:00"/>
    <x v="9"/>
    <x v="35"/>
    <x v="2"/>
    <s v="Germany"/>
    <x v="9"/>
    <x v="8"/>
    <n v="17165"/>
    <n v="20877"/>
  </r>
  <r>
    <s v="ORD06851"/>
    <d v="2025-12-30T00:00:00"/>
    <x v="10"/>
    <x v="5"/>
    <x v="4"/>
    <s v="Australia"/>
    <x v="3"/>
    <x v="14"/>
    <n v="26584"/>
    <n v="32192"/>
  </r>
  <r>
    <s v="ORD06852"/>
    <d v="2025-07-09T00:00:00"/>
    <x v="0"/>
    <x v="47"/>
    <x v="0"/>
    <s v="Mexico"/>
    <x v="26"/>
    <x v="29"/>
    <n v="38592"/>
    <n v="39268"/>
  </r>
  <r>
    <s v="ORD06853"/>
    <d v="2025-08-08T00:00:00"/>
    <x v="11"/>
    <x v="23"/>
    <x v="3"/>
    <s v="UK"/>
    <x v="28"/>
    <x v="26"/>
    <n v="36922"/>
    <n v="31477"/>
  </r>
  <r>
    <s v="ORD06854"/>
    <d v="2025-04-09T00:00:00"/>
    <x v="7"/>
    <x v="16"/>
    <x v="4"/>
    <s v="Germany"/>
    <x v="49"/>
    <x v="5"/>
    <n v="26160"/>
    <n v="19847"/>
  </r>
  <r>
    <s v="ORD06855"/>
    <d v="2025-05-12T00:00:00"/>
    <x v="8"/>
    <x v="17"/>
    <x v="3"/>
    <s v="India"/>
    <x v="41"/>
    <x v="2"/>
    <n v="33545"/>
    <n v="25716"/>
  </r>
  <r>
    <s v="ORD06856"/>
    <d v="2025-07-06T00:00:00"/>
    <x v="0"/>
    <x v="37"/>
    <x v="0"/>
    <s v="Spain"/>
    <x v="11"/>
    <x v="14"/>
    <n v="35304"/>
    <n v="28827"/>
  </r>
  <r>
    <s v="ORD06857"/>
    <d v="2025-04-12T00:00:00"/>
    <x v="7"/>
    <x v="16"/>
    <x v="5"/>
    <s v="Canada"/>
    <x v="1"/>
    <x v="15"/>
    <n v="26368"/>
    <n v="24206"/>
  </r>
  <r>
    <s v="ORD06858"/>
    <d v="2025-03-06T00:00:00"/>
    <x v="9"/>
    <x v="35"/>
    <x v="4"/>
    <s v="Singapore"/>
    <x v="49"/>
    <x v="20"/>
    <n v="33429"/>
    <n v="27242"/>
  </r>
  <r>
    <s v="ORD06859"/>
    <d v="2025-03-22T00:00:00"/>
    <x v="9"/>
    <x v="39"/>
    <x v="6"/>
    <s v="Japan"/>
    <x v="31"/>
    <x v="20"/>
    <n v="26890"/>
    <n v="24628"/>
  </r>
  <r>
    <s v="ORD06860"/>
    <d v="2025-02-08T00:00:00"/>
    <x v="6"/>
    <x v="48"/>
    <x v="1"/>
    <s v="South Africa"/>
    <x v="31"/>
    <x v="7"/>
    <n v="37081"/>
    <n v="31355"/>
  </r>
  <r>
    <s v="ORD06861"/>
    <d v="2025-07-23T00:00:00"/>
    <x v="0"/>
    <x v="0"/>
    <x v="5"/>
    <s v="France"/>
    <x v="30"/>
    <x v="2"/>
    <n v="22729"/>
    <n v="29001"/>
  </r>
  <r>
    <s v="ORD06862"/>
    <d v="2025-12-23T00:00:00"/>
    <x v="10"/>
    <x v="42"/>
    <x v="3"/>
    <s v="UK"/>
    <x v="2"/>
    <x v="24"/>
    <n v="32792"/>
    <n v="33835"/>
  </r>
  <r>
    <s v="ORD06863"/>
    <d v="2025-03-28T00:00:00"/>
    <x v="9"/>
    <x v="33"/>
    <x v="4"/>
    <s v="France"/>
    <x v="36"/>
    <x v="4"/>
    <n v="18466"/>
    <n v="19583"/>
  </r>
  <r>
    <s v="ORD06864"/>
    <d v="2025-03-16T00:00:00"/>
    <x v="9"/>
    <x v="19"/>
    <x v="0"/>
    <s v="Spain"/>
    <x v="38"/>
    <x v="15"/>
    <n v="27300"/>
    <n v="34157"/>
  </r>
  <r>
    <s v="ORD06865"/>
    <d v="2025-12-05T00:00:00"/>
    <x v="10"/>
    <x v="43"/>
    <x v="4"/>
    <s v="USA"/>
    <x v="29"/>
    <x v="1"/>
    <n v="20330"/>
    <n v="18559"/>
  </r>
  <r>
    <s v="ORD06866"/>
    <d v="2025-04-28T00:00:00"/>
    <x v="7"/>
    <x v="27"/>
    <x v="3"/>
    <s v="Canada"/>
    <x v="23"/>
    <x v="16"/>
    <n v="32889"/>
    <n v="34757"/>
  </r>
  <r>
    <s v="ORD06867"/>
    <d v="2025-12-02T00:00:00"/>
    <x v="10"/>
    <x v="43"/>
    <x v="4"/>
    <s v="China"/>
    <x v="23"/>
    <x v="20"/>
    <n v="16543"/>
    <n v="12568"/>
  </r>
  <r>
    <s v="ORD06868"/>
    <d v="2025-01-21T00:00:00"/>
    <x v="1"/>
    <x v="7"/>
    <x v="3"/>
    <s v="France"/>
    <x v="45"/>
    <x v="29"/>
    <n v="24300"/>
    <n v="27763"/>
  </r>
  <r>
    <s v="ORD06869"/>
    <d v="2025-12-13T00:00:00"/>
    <x v="10"/>
    <x v="32"/>
    <x v="1"/>
    <s v="Turkey"/>
    <x v="39"/>
    <x v="23"/>
    <n v="26080"/>
    <n v="20952"/>
  </r>
  <r>
    <s v="ORD06870"/>
    <d v="2025-05-14T00:00:00"/>
    <x v="8"/>
    <x v="17"/>
    <x v="1"/>
    <s v="Germany"/>
    <x v="25"/>
    <x v="23"/>
    <n v="35217"/>
    <n v="27407"/>
  </r>
  <r>
    <s v="ORD06871"/>
    <d v="2025-01-21T00:00:00"/>
    <x v="1"/>
    <x v="7"/>
    <x v="0"/>
    <s v="UK"/>
    <x v="24"/>
    <x v="21"/>
    <n v="38043"/>
    <n v="46992"/>
  </r>
  <r>
    <s v="ORD06872"/>
    <d v="2025-12-31T00:00:00"/>
    <x v="10"/>
    <x v="5"/>
    <x v="6"/>
    <s v="Mexico"/>
    <x v="19"/>
    <x v="20"/>
    <n v="38088"/>
    <n v="40736"/>
  </r>
  <r>
    <s v="ORD06873"/>
    <d v="2025-03-15T00:00:00"/>
    <x v="9"/>
    <x v="19"/>
    <x v="5"/>
    <s v="India"/>
    <x v="1"/>
    <x v="26"/>
    <n v="38333"/>
    <n v="33161"/>
  </r>
  <r>
    <s v="ORD06874"/>
    <d v="2025-11-10T00:00:00"/>
    <x v="2"/>
    <x v="44"/>
    <x v="4"/>
    <s v="Spain"/>
    <x v="30"/>
    <x v="8"/>
    <n v="33424"/>
    <n v="23793"/>
  </r>
  <r>
    <s v="ORD06875"/>
    <d v="2025-09-27T00:00:00"/>
    <x v="3"/>
    <x v="25"/>
    <x v="6"/>
    <s v="Canada"/>
    <x v="8"/>
    <x v="25"/>
    <n v="31911"/>
    <n v="26585"/>
  </r>
  <r>
    <s v="ORD06876"/>
    <d v="2025-04-27T00:00:00"/>
    <x v="7"/>
    <x v="38"/>
    <x v="6"/>
    <s v="South Africa"/>
    <x v="30"/>
    <x v="20"/>
    <n v="38961"/>
    <n v="46021"/>
  </r>
  <r>
    <s v="ORD06877"/>
    <d v="2025-07-19T00:00:00"/>
    <x v="0"/>
    <x v="14"/>
    <x v="3"/>
    <s v="Japan"/>
    <x v="1"/>
    <x v="24"/>
    <n v="25782"/>
    <n v="32685"/>
  </r>
  <r>
    <s v="ORD06878"/>
    <d v="2025-09-04T00:00:00"/>
    <x v="3"/>
    <x v="4"/>
    <x v="1"/>
    <s v="Thailand"/>
    <x v="32"/>
    <x v="20"/>
    <n v="27093"/>
    <n v="23135"/>
  </r>
  <r>
    <s v="ORD06879"/>
    <d v="2025-06-13T00:00:00"/>
    <x v="5"/>
    <x v="40"/>
    <x v="1"/>
    <s v="South Africa"/>
    <x v="1"/>
    <x v="5"/>
    <n v="31322"/>
    <n v="39774"/>
  </r>
  <r>
    <s v="ORD06880"/>
    <d v="2025-03-09T00:00:00"/>
    <x v="9"/>
    <x v="35"/>
    <x v="5"/>
    <s v="UAE"/>
    <x v="48"/>
    <x v="12"/>
    <n v="21561"/>
    <n v="26947"/>
  </r>
  <r>
    <s v="ORD06881"/>
    <d v="2025-09-15T00:00:00"/>
    <x v="3"/>
    <x v="8"/>
    <x v="4"/>
    <s v="Germany"/>
    <x v="1"/>
    <x v="10"/>
    <n v="16332"/>
    <n v="14001"/>
  </r>
  <r>
    <s v="ORD06882"/>
    <d v="2025-01-08T00:00:00"/>
    <x v="1"/>
    <x v="6"/>
    <x v="4"/>
    <s v="France"/>
    <x v="46"/>
    <x v="6"/>
    <n v="18167"/>
    <n v="14699"/>
  </r>
  <r>
    <s v="ORD06883"/>
    <d v="2025-05-30T00:00:00"/>
    <x v="8"/>
    <x v="24"/>
    <x v="4"/>
    <s v="Australia"/>
    <x v="33"/>
    <x v="29"/>
    <n v="38867"/>
    <n v="36941"/>
  </r>
  <r>
    <s v="ORD06884"/>
    <d v="2025-03-20T00:00:00"/>
    <x v="9"/>
    <x v="39"/>
    <x v="5"/>
    <s v="Thailand"/>
    <x v="6"/>
    <x v="24"/>
    <n v="18283"/>
    <n v="12911"/>
  </r>
  <r>
    <s v="ORD06885"/>
    <d v="2025-06-03T00:00:00"/>
    <x v="5"/>
    <x v="41"/>
    <x v="4"/>
    <s v="Turkey"/>
    <x v="1"/>
    <x v="7"/>
    <n v="20518"/>
    <n v="17342"/>
  </r>
  <r>
    <s v="ORD06886"/>
    <d v="2025-07-11T00:00:00"/>
    <x v="0"/>
    <x v="47"/>
    <x v="0"/>
    <s v="USA"/>
    <x v="1"/>
    <x v="19"/>
    <n v="24489"/>
    <n v="25968"/>
  </r>
  <r>
    <s v="ORD06887"/>
    <d v="2025-04-30T00:00:00"/>
    <x v="7"/>
    <x v="27"/>
    <x v="1"/>
    <s v="India"/>
    <x v="31"/>
    <x v="22"/>
    <n v="26690"/>
    <n v="29178"/>
  </r>
  <r>
    <s v="ORD06888"/>
    <d v="2025-09-15T00:00:00"/>
    <x v="3"/>
    <x v="8"/>
    <x v="5"/>
    <s v="Turkey"/>
    <x v="1"/>
    <x v="5"/>
    <n v="30246"/>
    <n v="36721"/>
  </r>
  <r>
    <s v="ORD06889"/>
    <d v="2025-10-29T00:00:00"/>
    <x v="4"/>
    <x v="2"/>
    <x v="2"/>
    <s v="Australia"/>
    <x v="16"/>
    <x v="19"/>
    <n v="37554"/>
    <n v="32505"/>
  </r>
  <r>
    <s v="ORD06890"/>
    <d v="2025-12-14T00:00:00"/>
    <x v="10"/>
    <x v="32"/>
    <x v="0"/>
    <s v="Japan"/>
    <x v="3"/>
    <x v="7"/>
    <n v="26223"/>
    <n v="19058"/>
  </r>
  <r>
    <s v="ORD06891"/>
    <d v="2025-01-28T00:00:00"/>
    <x v="1"/>
    <x v="3"/>
    <x v="3"/>
    <s v="UK"/>
    <x v="27"/>
    <x v="11"/>
    <n v="19753"/>
    <n v="23873"/>
  </r>
  <r>
    <s v="ORD06892"/>
    <d v="2025-09-06T00:00:00"/>
    <x v="3"/>
    <x v="4"/>
    <x v="1"/>
    <s v="South Africa"/>
    <x v="7"/>
    <x v="26"/>
    <n v="18707"/>
    <n v="20196"/>
  </r>
  <r>
    <s v="ORD06893"/>
    <d v="2025-08-03T00:00:00"/>
    <x v="11"/>
    <x v="12"/>
    <x v="0"/>
    <s v="Turkey"/>
    <x v="44"/>
    <x v="7"/>
    <n v="25304"/>
    <n v="22850"/>
  </r>
  <r>
    <s v="ORD06894"/>
    <d v="2025-02-28T00:00:00"/>
    <x v="6"/>
    <x v="22"/>
    <x v="3"/>
    <s v="Malaysia"/>
    <x v="25"/>
    <x v="21"/>
    <n v="37090"/>
    <n v="26589"/>
  </r>
  <r>
    <s v="ORD06895"/>
    <d v="2025-05-29T00:00:00"/>
    <x v="8"/>
    <x v="24"/>
    <x v="4"/>
    <s v="Brazil"/>
    <x v="34"/>
    <x v="21"/>
    <n v="15705"/>
    <n v="15726"/>
  </r>
  <r>
    <s v="ORD06896"/>
    <d v="2025-05-11T00:00:00"/>
    <x v="8"/>
    <x v="18"/>
    <x v="4"/>
    <s v="South Africa"/>
    <x v="42"/>
    <x v="15"/>
    <n v="23337"/>
    <n v="16807"/>
  </r>
  <r>
    <s v="ORD06897"/>
    <d v="2025-05-17T00:00:00"/>
    <x v="8"/>
    <x v="17"/>
    <x v="4"/>
    <s v="Turkey"/>
    <x v="39"/>
    <x v="0"/>
    <n v="19671"/>
    <n v="15189"/>
  </r>
  <r>
    <s v="ORD06898"/>
    <d v="2025-08-04T00:00:00"/>
    <x v="11"/>
    <x v="23"/>
    <x v="2"/>
    <s v="India"/>
    <x v="22"/>
    <x v="23"/>
    <n v="37941"/>
    <n v="29253"/>
  </r>
  <r>
    <s v="ORD06899"/>
    <d v="2025-02-05T00:00:00"/>
    <x v="6"/>
    <x v="48"/>
    <x v="0"/>
    <s v="France"/>
    <x v="30"/>
    <x v="10"/>
    <n v="20738"/>
    <n v="26199"/>
  </r>
  <r>
    <s v="ORD06900"/>
    <d v="2025-10-20T00:00:00"/>
    <x v="4"/>
    <x v="50"/>
    <x v="1"/>
    <s v="Russia"/>
    <x v="45"/>
    <x v="17"/>
    <n v="31360"/>
    <n v="22383"/>
  </r>
  <r>
    <s v="ORD06901"/>
    <d v="2025-07-10T00:00:00"/>
    <x v="0"/>
    <x v="47"/>
    <x v="6"/>
    <s v="Germany"/>
    <x v="27"/>
    <x v="12"/>
    <n v="18300"/>
    <n v="20304"/>
  </r>
  <r>
    <s v="ORD06902"/>
    <d v="2025-05-05T00:00:00"/>
    <x v="8"/>
    <x v="18"/>
    <x v="4"/>
    <s v="UK"/>
    <x v="46"/>
    <x v="18"/>
    <n v="20491"/>
    <n v="15233"/>
  </r>
  <r>
    <s v="ORD06903"/>
    <d v="2025-10-26T00:00:00"/>
    <x v="4"/>
    <x v="50"/>
    <x v="3"/>
    <s v="Thailand"/>
    <x v="11"/>
    <x v="13"/>
    <n v="16333"/>
    <n v="14523"/>
  </r>
  <r>
    <s v="ORD06904"/>
    <d v="2025-03-13T00:00:00"/>
    <x v="9"/>
    <x v="19"/>
    <x v="2"/>
    <s v="USA"/>
    <x v="13"/>
    <x v="15"/>
    <n v="35321"/>
    <n v="27341"/>
  </r>
  <r>
    <s v="ORD06905"/>
    <d v="2025-02-23T00:00:00"/>
    <x v="6"/>
    <x v="15"/>
    <x v="5"/>
    <s v="China"/>
    <x v="34"/>
    <x v="21"/>
    <n v="28532"/>
    <n v="23072"/>
  </r>
  <r>
    <s v="ORD06906"/>
    <d v="2025-12-14T00:00:00"/>
    <x v="10"/>
    <x v="32"/>
    <x v="2"/>
    <s v="UK"/>
    <x v="34"/>
    <x v="18"/>
    <n v="15934"/>
    <n v="15497"/>
  </r>
  <r>
    <s v="ORD06907"/>
    <d v="2025-09-16T00:00:00"/>
    <x v="3"/>
    <x v="8"/>
    <x v="6"/>
    <s v="UAE"/>
    <x v="48"/>
    <x v="19"/>
    <n v="38412"/>
    <n v="43140"/>
  </r>
  <r>
    <s v="ORD06908"/>
    <d v="2025-08-02T00:00:00"/>
    <x v="11"/>
    <x v="12"/>
    <x v="1"/>
    <s v="China"/>
    <x v="24"/>
    <x v="29"/>
    <n v="21435"/>
    <n v="26468"/>
  </r>
  <r>
    <s v="ORD06909"/>
    <d v="2025-07-16T00:00:00"/>
    <x v="0"/>
    <x v="14"/>
    <x v="3"/>
    <s v="Mexico"/>
    <x v="11"/>
    <x v="15"/>
    <n v="31402"/>
    <n v="37296"/>
  </r>
  <r>
    <s v="ORD06910"/>
    <d v="2025-04-27T00:00:00"/>
    <x v="7"/>
    <x v="38"/>
    <x v="4"/>
    <s v="Brazil"/>
    <x v="48"/>
    <x v="16"/>
    <n v="25566"/>
    <n v="32155"/>
  </r>
  <r>
    <s v="ORD06911"/>
    <d v="2025-01-23T00:00:00"/>
    <x v="1"/>
    <x v="7"/>
    <x v="2"/>
    <s v="Canada"/>
    <x v="17"/>
    <x v="15"/>
    <n v="26664"/>
    <n v="23771"/>
  </r>
  <r>
    <s v="ORD06912"/>
    <d v="2025-03-07T00:00:00"/>
    <x v="9"/>
    <x v="35"/>
    <x v="0"/>
    <s v="UK"/>
    <x v="16"/>
    <x v="6"/>
    <n v="38743"/>
    <n v="36251"/>
  </r>
  <r>
    <s v="ORD06913"/>
    <d v="2025-07-06T00:00:00"/>
    <x v="0"/>
    <x v="37"/>
    <x v="2"/>
    <s v="China"/>
    <x v="1"/>
    <x v="16"/>
    <n v="31816"/>
    <n v="33278"/>
  </r>
  <r>
    <s v="ORD06914"/>
    <d v="2025-04-06T00:00:00"/>
    <x v="7"/>
    <x v="34"/>
    <x v="1"/>
    <s v="Thailand"/>
    <x v="19"/>
    <x v="3"/>
    <n v="17308"/>
    <n v="12170"/>
  </r>
  <r>
    <s v="ORD06915"/>
    <d v="2025-08-17T00:00:00"/>
    <x v="11"/>
    <x v="30"/>
    <x v="3"/>
    <s v="China"/>
    <x v="36"/>
    <x v="2"/>
    <n v="31011"/>
    <n v="38584"/>
  </r>
  <r>
    <s v="ORD06916"/>
    <d v="2025-09-27T00:00:00"/>
    <x v="3"/>
    <x v="25"/>
    <x v="6"/>
    <s v="Malaysia"/>
    <x v="16"/>
    <x v="19"/>
    <n v="23843"/>
    <n v="18900"/>
  </r>
  <r>
    <s v="ORD06917"/>
    <d v="2025-08-23T00:00:00"/>
    <x v="11"/>
    <x v="46"/>
    <x v="2"/>
    <s v="UK"/>
    <x v="27"/>
    <x v="23"/>
    <n v="35807"/>
    <n v="38182"/>
  </r>
  <r>
    <s v="ORD06918"/>
    <d v="2025-05-14T00:00:00"/>
    <x v="8"/>
    <x v="17"/>
    <x v="2"/>
    <s v="Germany"/>
    <x v="12"/>
    <x v="7"/>
    <n v="15951"/>
    <n v="19456"/>
  </r>
  <r>
    <s v="ORD06919"/>
    <d v="2025-06-12T00:00:00"/>
    <x v="5"/>
    <x v="40"/>
    <x v="6"/>
    <s v="France"/>
    <x v="18"/>
    <x v="24"/>
    <n v="32389"/>
    <n v="40338"/>
  </r>
  <r>
    <s v="ORD06920"/>
    <d v="2025-10-05T00:00:00"/>
    <x v="4"/>
    <x v="49"/>
    <x v="1"/>
    <s v="Germany"/>
    <x v="38"/>
    <x v="6"/>
    <n v="16913"/>
    <n v="13274"/>
  </r>
  <r>
    <s v="ORD06921"/>
    <d v="2025-11-09T00:00:00"/>
    <x v="2"/>
    <x v="51"/>
    <x v="0"/>
    <s v="Canada"/>
    <x v="33"/>
    <x v="8"/>
    <n v="20980"/>
    <n v="21938"/>
  </r>
  <r>
    <s v="ORD06922"/>
    <d v="2025-08-03T00:00:00"/>
    <x v="11"/>
    <x v="12"/>
    <x v="6"/>
    <s v="South Africa"/>
    <x v="36"/>
    <x v="18"/>
    <n v="38082"/>
    <n v="45847"/>
  </r>
  <r>
    <s v="ORD06923"/>
    <d v="2025-11-20T00:00:00"/>
    <x v="2"/>
    <x v="9"/>
    <x v="6"/>
    <s v="Russia"/>
    <x v="34"/>
    <x v="20"/>
    <n v="35508"/>
    <n v="34098"/>
  </r>
  <r>
    <s v="ORD06924"/>
    <d v="2025-07-18T00:00:00"/>
    <x v="0"/>
    <x v="14"/>
    <x v="4"/>
    <s v="Japan"/>
    <x v="1"/>
    <x v="12"/>
    <n v="24271"/>
    <n v="19274"/>
  </r>
  <r>
    <s v="ORD06925"/>
    <d v="2025-10-04T00:00:00"/>
    <x v="4"/>
    <x v="49"/>
    <x v="2"/>
    <s v="UAE"/>
    <x v="7"/>
    <x v="14"/>
    <n v="34053"/>
    <n v="35334"/>
  </r>
  <r>
    <s v="ORD06926"/>
    <d v="2025-09-27T00:00:00"/>
    <x v="3"/>
    <x v="25"/>
    <x v="6"/>
    <s v="Thailand"/>
    <x v="30"/>
    <x v="16"/>
    <n v="23429"/>
    <n v="17028"/>
  </r>
  <r>
    <s v="ORD06927"/>
    <d v="2025-09-25T00:00:00"/>
    <x v="3"/>
    <x v="25"/>
    <x v="3"/>
    <s v="Australia"/>
    <x v="1"/>
    <x v="14"/>
    <n v="31793"/>
    <n v="40363"/>
  </r>
  <r>
    <s v="ORD06928"/>
    <d v="2025-11-27T00:00:00"/>
    <x v="2"/>
    <x v="11"/>
    <x v="0"/>
    <s v="Italy"/>
    <x v="48"/>
    <x v="2"/>
    <n v="38145"/>
    <n v="38253"/>
  </r>
  <r>
    <s v="ORD06929"/>
    <d v="2025-05-11T00:00:00"/>
    <x v="8"/>
    <x v="18"/>
    <x v="1"/>
    <s v="Japan"/>
    <x v="19"/>
    <x v="21"/>
    <n v="20651"/>
    <n v="23967"/>
  </r>
  <r>
    <s v="ORD06930"/>
    <d v="2025-01-24T00:00:00"/>
    <x v="1"/>
    <x v="7"/>
    <x v="5"/>
    <s v="Singapore"/>
    <x v="1"/>
    <x v="16"/>
    <n v="39785"/>
    <n v="41664"/>
  </r>
  <r>
    <s v="ORD06931"/>
    <d v="2025-11-01T00:00:00"/>
    <x v="2"/>
    <x v="2"/>
    <x v="1"/>
    <s v="Canada"/>
    <x v="38"/>
    <x v="13"/>
    <n v="22567"/>
    <n v="16017"/>
  </r>
  <r>
    <s v="ORD06932"/>
    <d v="2025-02-08T00:00:00"/>
    <x v="6"/>
    <x v="48"/>
    <x v="4"/>
    <s v="Russia"/>
    <x v="21"/>
    <x v="2"/>
    <n v="17518"/>
    <n v="14741"/>
  </r>
  <r>
    <s v="ORD06933"/>
    <d v="2025-03-31T00:00:00"/>
    <x v="9"/>
    <x v="34"/>
    <x v="6"/>
    <s v="Malaysia"/>
    <x v="29"/>
    <x v="15"/>
    <n v="34379"/>
    <n v="34338"/>
  </r>
  <r>
    <s v="ORD06934"/>
    <d v="2025-10-19T00:00:00"/>
    <x v="4"/>
    <x v="10"/>
    <x v="1"/>
    <s v="Malaysia"/>
    <x v="40"/>
    <x v="27"/>
    <n v="20442"/>
    <n v="22304"/>
  </r>
  <r>
    <s v="ORD06935"/>
    <d v="2025-06-09T00:00:00"/>
    <x v="5"/>
    <x v="40"/>
    <x v="1"/>
    <s v="Thailand"/>
    <x v="30"/>
    <x v="22"/>
    <n v="36319"/>
    <n v="37837"/>
  </r>
  <r>
    <s v="ORD06936"/>
    <d v="2025-04-10T00:00:00"/>
    <x v="7"/>
    <x v="16"/>
    <x v="2"/>
    <s v="Italy"/>
    <x v="15"/>
    <x v="0"/>
    <n v="31940"/>
    <n v="24706"/>
  </r>
  <r>
    <s v="ORD06937"/>
    <d v="2025-12-08T00:00:00"/>
    <x v="10"/>
    <x v="32"/>
    <x v="4"/>
    <s v="Australia"/>
    <x v="36"/>
    <x v="1"/>
    <n v="39707"/>
    <n v="36373"/>
  </r>
  <r>
    <s v="ORD06938"/>
    <d v="2025-08-27T00:00:00"/>
    <x v="11"/>
    <x v="28"/>
    <x v="6"/>
    <s v="Brazil"/>
    <x v="33"/>
    <x v="10"/>
    <n v="39344"/>
    <n v="42861"/>
  </r>
  <r>
    <s v="ORD06939"/>
    <d v="2025-10-02T00:00:00"/>
    <x v="4"/>
    <x v="49"/>
    <x v="2"/>
    <s v="UK"/>
    <x v="23"/>
    <x v="0"/>
    <n v="38297"/>
    <n v="39040"/>
  </r>
  <r>
    <s v="ORD06940"/>
    <d v="2025-01-03T00:00:00"/>
    <x v="1"/>
    <x v="5"/>
    <x v="6"/>
    <s v="Mexico"/>
    <x v="39"/>
    <x v="20"/>
    <n v="19743"/>
    <n v="16569"/>
  </r>
  <r>
    <s v="ORD06941"/>
    <d v="2025-10-21T00:00:00"/>
    <x v="4"/>
    <x v="50"/>
    <x v="5"/>
    <s v="UAE"/>
    <x v="22"/>
    <x v="15"/>
    <n v="17111"/>
    <n v="20931"/>
  </r>
  <r>
    <s v="ORD06942"/>
    <d v="2025-06-28T00:00:00"/>
    <x v="5"/>
    <x v="36"/>
    <x v="5"/>
    <s v="India"/>
    <x v="46"/>
    <x v="13"/>
    <n v="35122"/>
    <n v="38432"/>
  </r>
  <r>
    <s v="ORD06943"/>
    <d v="2025-04-11T00:00:00"/>
    <x v="7"/>
    <x v="16"/>
    <x v="4"/>
    <s v="China"/>
    <x v="2"/>
    <x v="5"/>
    <n v="34556"/>
    <n v="36815"/>
  </r>
  <r>
    <s v="ORD06944"/>
    <d v="2025-08-03T00:00:00"/>
    <x v="11"/>
    <x v="12"/>
    <x v="4"/>
    <s v="Brazil"/>
    <x v="45"/>
    <x v="6"/>
    <n v="18563"/>
    <n v="22020"/>
  </r>
  <r>
    <s v="ORD06945"/>
    <d v="2025-04-06T00:00:00"/>
    <x v="7"/>
    <x v="34"/>
    <x v="3"/>
    <s v="Brazil"/>
    <x v="35"/>
    <x v="26"/>
    <n v="31595"/>
    <n v="40390"/>
  </r>
  <r>
    <s v="ORD06946"/>
    <d v="2025-02-13T00:00:00"/>
    <x v="6"/>
    <x v="29"/>
    <x v="3"/>
    <s v="Brazil"/>
    <x v="36"/>
    <x v="2"/>
    <n v="27706"/>
    <n v="24238"/>
  </r>
  <r>
    <s v="ORD06947"/>
    <d v="2025-12-30T00:00:00"/>
    <x v="10"/>
    <x v="5"/>
    <x v="5"/>
    <s v="Germany"/>
    <x v="44"/>
    <x v="2"/>
    <n v="36448"/>
    <n v="34354"/>
  </r>
  <r>
    <s v="ORD06948"/>
    <d v="2025-06-06T00:00:00"/>
    <x v="5"/>
    <x v="41"/>
    <x v="4"/>
    <s v="UK"/>
    <x v="37"/>
    <x v="6"/>
    <n v="32407"/>
    <n v="39169"/>
  </r>
  <r>
    <s v="ORD06949"/>
    <d v="2025-09-07T00:00:00"/>
    <x v="3"/>
    <x v="4"/>
    <x v="1"/>
    <s v="Spain"/>
    <x v="14"/>
    <x v="17"/>
    <n v="22380"/>
    <n v="28188"/>
  </r>
  <r>
    <s v="ORD06950"/>
    <d v="2025-07-29T00:00:00"/>
    <x v="0"/>
    <x v="12"/>
    <x v="6"/>
    <s v="USA"/>
    <x v="8"/>
    <x v="25"/>
    <n v="29919"/>
    <n v="26739"/>
  </r>
  <r>
    <s v="ORD06951"/>
    <d v="2025-01-20T00:00:00"/>
    <x v="1"/>
    <x v="7"/>
    <x v="6"/>
    <s v="France"/>
    <x v="35"/>
    <x v="29"/>
    <n v="27558"/>
    <n v="31254"/>
  </r>
  <r>
    <s v="ORD06952"/>
    <d v="2025-08-25T00:00:00"/>
    <x v="11"/>
    <x v="28"/>
    <x v="3"/>
    <s v="Italy"/>
    <x v="34"/>
    <x v="7"/>
    <n v="27547"/>
    <n v="28959"/>
  </r>
  <r>
    <s v="ORD06953"/>
    <d v="2025-10-17T00:00:00"/>
    <x v="4"/>
    <x v="10"/>
    <x v="3"/>
    <s v="Japan"/>
    <x v="26"/>
    <x v="12"/>
    <n v="38329"/>
    <n v="42870"/>
  </r>
  <r>
    <s v="ORD06954"/>
    <d v="2025-07-12T00:00:00"/>
    <x v="0"/>
    <x v="47"/>
    <x v="4"/>
    <s v="USA"/>
    <x v="46"/>
    <x v="25"/>
    <n v="30137"/>
    <n v="29860"/>
  </r>
  <r>
    <s v="ORD06955"/>
    <d v="2025-02-17T00:00:00"/>
    <x v="6"/>
    <x v="15"/>
    <x v="2"/>
    <s v="USA"/>
    <x v="31"/>
    <x v="8"/>
    <n v="36915"/>
    <n v="41682"/>
  </r>
  <r>
    <s v="ORD06956"/>
    <d v="2025-06-14T00:00:00"/>
    <x v="5"/>
    <x v="40"/>
    <x v="0"/>
    <s v="France"/>
    <x v="20"/>
    <x v="15"/>
    <n v="37730"/>
    <n v="41113"/>
  </r>
  <r>
    <s v="ORD06957"/>
    <d v="2025-03-02T00:00:00"/>
    <x v="9"/>
    <x v="22"/>
    <x v="2"/>
    <s v="Russia"/>
    <x v="16"/>
    <x v="2"/>
    <n v="29499"/>
    <n v="28251"/>
  </r>
  <r>
    <s v="ORD06958"/>
    <d v="2025-02-24T00:00:00"/>
    <x v="6"/>
    <x v="22"/>
    <x v="6"/>
    <s v="Germany"/>
    <x v="43"/>
    <x v="11"/>
    <n v="25651"/>
    <n v="22805"/>
  </r>
  <r>
    <s v="ORD06959"/>
    <d v="2025-01-24T00:00:00"/>
    <x v="1"/>
    <x v="7"/>
    <x v="5"/>
    <s v="Turkey"/>
    <x v="2"/>
    <x v="28"/>
    <n v="33948"/>
    <n v="28904"/>
  </r>
  <r>
    <s v="ORD06960"/>
    <d v="2025-08-03T00:00:00"/>
    <x v="11"/>
    <x v="12"/>
    <x v="1"/>
    <s v="Canada"/>
    <x v="47"/>
    <x v="26"/>
    <n v="28875"/>
    <n v="28457"/>
  </r>
  <r>
    <s v="ORD06961"/>
    <d v="2025-09-14T00:00:00"/>
    <x v="3"/>
    <x v="31"/>
    <x v="1"/>
    <s v="Russia"/>
    <x v="0"/>
    <x v="10"/>
    <n v="28439"/>
    <n v="36868"/>
  </r>
  <r>
    <s v="ORD06962"/>
    <d v="2025-09-23T00:00:00"/>
    <x v="3"/>
    <x v="25"/>
    <x v="4"/>
    <s v="Turkey"/>
    <x v="46"/>
    <x v="15"/>
    <n v="19637"/>
    <n v="15819"/>
  </r>
  <r>
    <s v="ORD06963"/>
    <d v="2025-04-07T00:00:00"/>
    <x v="7"/>
    <x v="16"/>
    <x v="0"/>
    <s v="Japan"/>
    <x v="12"/>
    <x v="27"/>
    <n v="22362"/>
    <n v="16831"/>
  </r>
  <r>
    <s v="ORD06964"/>
    <d v="2025-07-11T00:00:00"/>
    <x v="0"/>
    <x v="47"/>
    <x v="3"/>
    <s v="UAE"/>
    <x v="24"/>
    <x v="24"/>
    <n v="38528"/>
    <n v="42661"/>
  </r>
  <r>
    <s v="ORD06965"/>
    <d v="2025-08-28T00:00:00"/>
    <x v="11"/>
    <x v="28"/>
    <x v="3"/>
    <s v="Spain"/>
    <x v="24"/>
    <x v="16"/>
    <n v="38951"/>
    <n v="46661"/>
  </r>
  <r>
    <s v="ORD06966"/>
    <d v="2025-10-07T00:00:00"/>
    <x v="4"/>
    <x v="45"/>
    <x v="0"/>
    <s v="Japan"/>
    <x v="35"/>
    <x v="1"/>
    <n v="24759"/>
    <n v="26905"/>
  </r>
  <r>
    <s v="ORD06967"/>
    <d v="2025-06-15T00:00:00"/>
    <x v="5"/>
    <x v="40"/>
    <x v="3"/>
    <s v="India"/>
    <x v="23"/>
    <x v="17"/>
    <n v="25180"/>
    <n v="23795"/>
  </r>
  <r>
    <s v="ORD06968"/>
    <d v="2025-11-04T00:00:00"/>
    <x v="2"/>
    <x v="51"/>
    <x v="3"/>
    <s v="Malaysia"/>
    <x v="18"/>
    <x v="27"/>
    <n v="26991"/>
    <n v="22254"/>
  </r>
  <r>
    <s v="ORD06969"/>
    <d v="2025-05-28T00:00:00"/>
    <x v="8"/>
    <x v="24"/>
    <x v="4"/>
    <s v="Mexico"/>
    <x v="19"/>
    <x v="21"/>
    <n v="39576"/>
    <n v="44193"/>
  </r>
  <r>
    <s v="ORD06970"/>
    <d v="2025-01-07T00:00:00"/>
    <x v="1"/>
    <x v="6"/>
    <x v="3"/>
    <s v="Italy"/>
    <x v="37"/>
    <x v="9"/>
    <n v="25392"/>
    <n v="17913"/>
  </r>
  <r>
    <s v="ORD06971"/>
    <d v="2025-02-23T00:00:00"/>
    <x v="6"/>
    <x v="15"/>
    <x v="3"/>
    <s v="USA"/>
    <x v="36"/>
    <x v="5"/>
    <n v="22658"/>
    <n v="24644"/>
  </r>
  <r>
    <s v="ORD06972"/>
    <d v="2025-07-06T00:00:00"/>
    <x v="0"/>
    <x v="37"/>
    <x v="2"/>
    <s v="India"/>
    <x v="38"/>
    <x v="4"/>
    <n v="35548"/>
    <n v="28739"/>
  </r>
  <r>
    <s v="ORD06973"/>
    <d v="2025-04-18T00:00:00"/>
    <x v="7"/>
    <x v="20"/>
    <x v="5"/>
    <s v="USA"/>
    <x v="36"/>
    <x v="27"/>
    <n v="25251"/>
    <n v="29106"/>
  </r>
  <r>
    <s v="ORD06974"/>
    <d v="2025-07-15T00:00:00"/>
    <x v="0"/>
    <x v="14"/>
    <x v="6"/>
    <s v="Italy"/>
    <x v="49"/>
    <x v="7"/>
    <n v="21699"/>
    <n v="24528"/>
  </r>
  <r>
    <s v="ORD06975"/>
    <d v="2025-06-11T00:00:00"/>
    <x v="5"/>
    <x v="40"/>
    <x v="1"/>
    <s v="China"/>
    <x v="0"/>
    <x v="24"/>
    <n v="23085"/>
    <n v="25451"/>
  </r>
  <r>
    <s v="ORD06976"/>
    <d v="2025-02-07T00:00:00"/>
    <x v="6"/>
    <x v="48"/>
    <x v="6"/>
    <s v="France"/>
    <x v="47"/>
    <x v="21"/>
    <n v="21760"/>
    <n v="27124"/>
  </r>
  <r>
    <s v="ORD06977"/>
    <d v="2025-06-17T00:00:00"/>
    <x v="5"/>
    <x v="13"/>
    <x v="2"/>
    <s v="Malaysia"/>
    <x v="9"/>
    <x v="24"/>
    <n v="18356"/>
    <n v="18203"/>
  </r>
  <r>
    <s v="ORD06978"/>
    <d v="2025-02-23T00:00:00"/>
    <x v="6"/>
    <x v="15"/>
    <x v="6"/>
    <s v="India"/>
    <x v="36"/>
    <x v="28"/>
    <n v="32719"/>
    <n v="40109"/>
  </r>
  <r>
    <s v="ORD06979"/>
    <d v="2025-03-05T00:00:00"/>
    <x v="9"/>
    <x v="35"/>
    <x v="5"/>
    <s v="UAE"/>
    <x v="20"/>
    <x v="26"/>
    <n v="29630"/>
    <n v="21355"/>
  </r>
  <r>
    <s v="ORD06980"/>
    <d v="2025-12-08T00:00:00"/>
    <x v="10"/>
    <x v="32"/>
    <x v="0"/>
    <s v="Russia"/>
    <x v="18"/>
    <x v="7"/>
    <n v="27554"/>
    <n v="27188"/>
  </r>
  <r>
    <s v="ORD06981"/>
    <d v="2025-08-26T00:00:00"/>
    <x v="11"/>
    <x v="28"/>
    <x v="6"/>
    <s v="Malaysia"/>
    <x v="5"/>
    <x v="6"/>
    <n v="38472"/>
    <n v="29546"/>
  </r>
  <r>
    <s v="ORD06982"/>
    <d v="2025-12-07T00:00:00"/>
    <x v="10"/>
    <x v="43"/>
    <x v="2"/>
    <s v="Italy"/>
    <x v="24"/>
    <x v="17"/>
    <n v="25810"/>
    <n v="19152"/>
  </r>
  <r>
    <s v="ORD06983"/>
    <d v="2025-04-17T00:00:00"/>
    <x v="7"/>
    <x v="20"/>
    <x v="6"/>
    <s v="South Africa"/>
    <x v="30"/>
    <x v="21"/>
    <n v="39921"/>
    <n v="42115"/>
  </r>
  <r>
    <s v="ORD06984"/>
    <d v="2025-06-19T00:00:00"/>
    <x v="5"/>
    <x v="13"/>
    <x v="1"/>
    <s v="USA"/>
    <x v="49"/>
    <x v="11"/>
    <n v="33486"/>
    <n v="39316"/>
  </r>
  <r>
    <s v="ORD06985"/>
    <d v="2025-07-12T00:00:00"/>
    <x v="0"/>
    <x v="47"/>
    <x v="1"/>
    <s v="Thailand"/>
    <x v="15"/>
    <x v="5"/>
    <n v="29899"/>
    <n v="22887"/>
  </r>
  <r>
    <s v="ORD06986"/>
    <d v="2025-08-12T00:00:00"/>
    <x v="11"/>
    <x v="30"/>
    <x v="1"/>
    <s v="South Africa"/>
    <x v="6"/>
    <x v="9"/>
    <n v="15834"/>
    <n v="15389"/>
  </r>
  <r>
    <s v="ORD06987"/>
    <d v="2025-02-06T00:00:00"/>
    <x v="6"/>
    <x v="48"/>
    <x v="4"/>
    <s v="Turkey"/>
    <x v="12"/>
    <x v="17"/>
    <n v="16095"/>
    <n v="13625"/>
  </r>
  <r>
    <s v="ORD06988"/>
    <d v="2025-06-12T00:00:00"/>
    <x v="5"/>
    <x v="40"/>
    <x v="2"/>
    <s v="Thailand"/>
    <x v="20"/>
    <x v="0"/>
    <n v="18732"/>
    <n v="13947"/>
  </r>
  <r>
    <s v="ORD06989"/>
    <d v="2025-03-24T00:00:00"/>
    <x v="9"/>
    <x v="33"/>
    <x v="2"/>
    <s v="France"/>
    <x v="32"/>
    <x v="29"/>
    <n v="31243"/>
    <n v="29138"/>
  </r>
  <r>
    <s v="ORD06990"/>
    <d v="2025-03-29T00:00:00"/>
    <x v="9"/>
    <x v="33"/>
    <x v="3"/>
    <s v="Malaysia"/>
    <x v="4"/>
    <x v="18"/>
    <n v="39462"/>
    <n v="43091"/>
  </r>
  <r>
    <s v="ORD06991"/>
    <d v="2025-04-07T00:00:00"/>
    <x v="7"/>
    <x v="16"/>
    <x v="6"/>
    <s v="Malaysia"/>
    <x v="5"/>
    <x v="16"/>
    <n v="20917"/>
    <n v="26467"/>
  </r>
  <r>
    <s v="ORD06992"/>
    <d v="2025-01-23T00:00:00"/>
    <x v="1"/>
    <x v="7"/>
    <x v="1"/>
    <s v="Brazil"/>
    <x v="36"/>
    <x v="24"/>
    <n v="39733"/>
    <n v="47644"/>
  </r>
  <r>
    <s v="ORD06993"/>
    <d v="2025-06-06T00:00:00"/>
    <x v="5"/>
    <x v="41"/>
    <x v="6"/>
    <s v="Malaysia"/>
    <x v="19"/>
    <x v="10"/>
    <n v="28501"/>
    <n v="36357"/>
  </r>
  <r>
    <s v="ORD06994"/>
    <d v="2025-07-17T00:00:00"/>
    <x v="0"/>
    <x v="14"/>
    <x v="5"/>
    <s v="Japan"/>
    <x v="44"/>
    <x v="19"/>
    <n v="15953"/>
    <n v="14126"/>
  </r>
  <r>
    <s v="ORD06995"/>
    <d v="2025-07-22T00:00:00"/>
    <x v="0"/>
    <x v="0"/>
    <x v="0"/>
    <s v="Italy"/>
    <x v="38"/>
    <x v="13"/>
    <n v="37796"/>
    <n v="30787"/>
  </r>
  <r>
    <s v="ORD06996"/>
    <d v="2025-06-10T00:00:00"/>
    <x v="5"/>
    <x v="40"/>
    <x v="3"/>
    <s v="Russia"/>
    <x v="0"/>
    <x v="5"/>
    <n v="32603"/>
    <n v="30415"/>
  </r>
  <r>
    <s v="ORD06997"/>
    <d v="2025-04-14T00:00:00"/>
    <x v="7"/>
    <x v="20"/>
    <x v="4"/>
    <s v="UAE"/>
    <x v="42"/>
    <x v="17"/>
    <n v="20244"/>
    <n v="21148"/>
  </r>
  <r>
    <s v="ORD06998"/>
    <d v="2025-09-28T00:00:00"/>
    <x v="3"/>
    <x v="25"/>
    <x v="3"/>
    <s v="India"/>
    <x v="5"/>
    <x v="28"/>
    <n v="22046"/>
    <n v="23011"/>
  </r>
  <r>
    <s v="ORD06999"/>
    <d v="2025-05-04T00:00:00"/>
    <x v="8"/>
    <x v="27"/>
    <x v="5"/>
    <s v="Spain"/>
    <x v="31"/>
    <x v="7"/>
    <n v="32897"/>
    <n v="29580"/>
  </r>
  <r>
    <s v="ORD07000"/>
    <d v="2025-04-24T00:00:00"/>
    <x v="7"/>
    <x v="38"/>
    <x v="0"/>
    <s v="France"/>
    <x v="33"/>
    <x v="16"/>
    <n v="28779"/>
    <n v="24835"/>
  </r>
  <r>
    <s v="ORD07001"/>
    <d v="2025-05-10T00:00:00"/>
    <x v="8"/>
    <x v="18"/>
    <x v="2"/>
    <s v="Italy"/>
    <x v="48"/>
    <x v="19"/>
    <n v="32690"/>
    <n v="41021"/>
  </r>
  <r>
    <s v="ORD07002"/>
    <d v="2025-09-03T00:00:00"/>
    <x v="3"/>
    <x v="4"/>
    <x v="4"/>
    <s v="Australia"/>
    <x v="49"/>
    <x v="22"/>
    <n v="29139"/>
    <n v="37627"/>
  </r>
  <r>
    <s v="ORD07003"/>
    <d v="2025-02-02T00:00:00"/>
    <x v="6"/>
    <x v="3"/>
    <x v="1"/>
    <s v="Brazil"/>
    <x v="27"/>
    <x v="1"/>
    <n v="38563"/>
    <n v="49470"/>
  </r>
  <r>
    <s v="ORD07004"/>
    <d v="2025-01-15T00:00:00"/>
    <x v="1"/>
    <x v="1"/>
    <x v="0"/>
    <s v="Singapore"/>
    <x v="12"/>
    <x v="28"/>
    <n v="16739"/>
    <n v="21749"/>
  </r>
  <r>
    <s v="ORD07005"/>
    <d v="2025-09-07T00:00:00"/>
    <x v="3"/>
    <x v="4"/>
    <x v="1"/>
    <s v="Germany"/>
    <x v="35"/>
    <x v="10"/>
    <n v="35276"/>
    <n v="44183"/>
  </r>
  <r>
    <s v="ORD07006"/>
    <d v="2025-07-16T00:00:00"/>
    <x v="0"/>
    <x v="14"/>
    <x v="4"/>
    <s v="Turkey"/>
    <x v="28"/>
    <x v="5"/>
    <n v="36417"/>
    <n v="29600"/>
  </r>
  <r>
    <s v="ORD07007"/>
    <d v="2025-02-11T00:00:00"/>
    <x v="6"/>
    <x v="29"/>
    <x v="5"/>
    <s v="Turkey"/>
    <x v="34"/>
    <x v="8"/>
    <n v="20602"/>
    <n v="22614"/>
  </r>
  <r>
    <s v="ORD07008"/>
    <d v="2025-09-03T00:00:00"/>
    <x v="3"/>
    <x v="4"/>
    <x v="0"/>
    <s v="USA"/>
    <x v="26"/>
    <x v="1"/>
    <n v="38436"/>
    <n v="41820"/>
  </r>
  <r>
    <s v="ORD07009"/>
    <d v="2025-11-28T00:00:00"/>
    <x v="2"/>
    <x v="11"/>
    <x v="0"/>
    <s v="Brazil"/>
    <x v="42"/>
    <x v="8"/>
    <n v="16861"/>
    <n v="18692"/>
  </r>
  <r>
    <s v="ORD07010"/>
    <d v="2025-04-12T00:00:00"/>
    <x v="7"/>
    <x v="16"/>
    <x v="5"/>
    <s v="Spain"/>
    <x v="41"/>
    <x v="19"/>
    <n v="15832"/>
    <n v="17388"/>
  </r>
  <r>
    <s v="ORD07011"/>
    <d v="2025-03-05T00:00:00"/>
    <x v="9"/>
    <x v="35"/>
    <x v="4"/>
    <s v="Russia"/>
    <x v="41"/>
    <x v="13"/>
    <n v="27420"/>
    <n v="25775"/>
  </r>
  <r>
    <s v="ORD07012"/>
    <d v="2025-10-01T00:00:00"/>
    <x v="4"/>
    <x v="49"/>
    <x v="3"/>
    <s v="Italy"/>
    <x v="42"/>
    <x v="8"/>
    <n v="32975"/>
    <n v="25889"/>
  </r>
  <r>
    <s v="ORD07013"/>
    <d v="2025-09-20T00:00:00"/>
    <x v="3"/>
    <x v="8"/>
    <x v="5"/>
    <s v="Italy"/>
    <x v="1"/>
    <x v="29"/>
    <n v="39171"/>
    <n v="42414"/>
  </r>
  <r>
    <s v="ORD07014"/>
    <d v="2025-07-07T00:00:00"/>
    <x v="0"/>
    <x v="47"/>
    <x v="3"/>
    <s v="UAE"/>
    <x v="41"/>
    <x v="14"/>
    <n v="23115"/>
    <n v="28768"/>
  </r>
  <r>
    <s v="ORD07015"/>
    <d v="2025-05-12T00:00:00"/>
    <x v="8"/>
    <x v="17"/>
    <x v="3"/>
    <s v="Singapore"/>
    <x v="2"/>
    <x v="21"/>
    <n v="26234"/>
    <n v="22544"/>
  </r>
  <r>
    <s v="ORD07016"/>
    <d v="2025-04-26T00:00:00"/>
    <x v="7"/>
    <x v="38"/>
    <x v="0"/>
    <s v="Malaysia"/>
    <x v="24"/>
    <x v="20"/>
    <n v="30389"/>
    <n v="32617"/>
  </r>
  <r>
    <s v="ORD07017"/>
    <d v="2025-05-26T00:00:00"/>
    <x v="8"/>
    <x v="24"/>
    <x v="6"/>
    <s v="South Africa"/>
    <x v="38"/>
    <x v="19"/>
    <n v="24688"/>
    <n v="22864"/>
  </r>
  <r>
    <s v="ORD07018"/>
    <d v="2025-12-04T00:00:00"/>
    <x v="10"/>
    <x v="43"/>
    <x v="0"/>
    <s v="Brazil"/>
    <x v="14"/>
    <x v="4"/>
    <n v="37748"/>
    <n v="41903"/>
  </r>
  <r>
    <s v="ORD07019"/>
    <d v="2025-03-08T00:00:00"/>
    <x v="9"/>
    <x v="35"/>
    <x v="1"/>
    <s v="Turkey"/>
    <x v="27"/>
    <x v="12"/>
    <n v="33492"/>
    <n v="39985"/>
  </r>
  <r>
    <s v="ORD07020"/>
    <d v="2025-05-19T00:00:00"/>
    <x v="8"/>
    <x v="26"/>
    <x v="6"/>
    <s v="Malaysia"/>
    <x v="46"/>
    <x v="4"/>
    <n v="20962"/>
    <n v="18958"/>
  </r>
  <r>
    <s v="ORD07021"/>
    <d v="2025-07-27T00:00:00"/>
    <x v="0"/>
    <x v="0"/>
    <x v="5"/>
    <s v="Japan"/>
    <x v="20"/>
    <x v="15"/>
    <n v="26354"/>
    <n v="21848"/>
  </r>
  <r>
    <s v="ORD07022"/>
    <d v="2025-08-13T00:00:00"/>
    <x v="11"/>
    <x v="30"/>
    <x v="3"/>
    <s v="Australia"/>
    <x v="35"/>
    <x v="14"/>
    <n v="27793"/>
    <n v="31928"/>
  </r>
  <r>
    <s v="ORD07023"/>
    <d v="2025-01-12T00:00:00"/>
    <x v="1"/>
    <x v="6"/>
    <x v="3"/>
    <s v="Australia"/>
    <x v="0"/>
    <x v="20"/>
    <n v="18666"/>
    <n v="17707"/>
  </r>
  <r>
    <s v="ORD07024"/>
    <d v="2025-11-29T00:00:00"/>
    <x v="2"/>
    <x v="11"/>
    <x v="6"/>
    <s v="UK"/>
    <x v="28"/>
    <x v="16"/>
    <n v="29009"/>
    <n v="30201"/>
  </r>
  <r>
    <s v="ORD07025"/>
    <d v="2025-09-29T00:00:00"/>
    <x v="3"/>
    <x v="49"/>
    <x v="5"/>
    <s v="Brazil"/>
    <x v="45"/>
    <x v="7"/>
    <n v="33291"/>
    <n v="38812"/>
  </r>
  <r>
    <s v="ORD07026"/>
    <d v="2025-07-04T00:00:00"/>
    <x v="0"/>
    <x v="37"/>
    <x v="6"/>
    <s v="Italy"/>
    <x v="48"/>
    <x v="29"/>
    <n v="26066"/>
    <n v="25265"/>
  </r>
  <r>
    <s v="ORD07027"/>
    <d v="2025-09-10T00:00:00"/>
    <x v="3"/>
    <x v="31"/>
    <x v="1"/>
    <s v="Spain"/>
    <x v="33"/>
    <x v="15"/>
    <n v="15605"/>
    <n v="17222"/>
  </r>
  <r>
    <s v="ORD07028"/>
    <d v="2025-08-24T00:00:00"/>
    <x v="11"/>
    <x v="46"/>
    <x v="6"/>
    <s v="Canada"/>
    <x v="28"/>
    <x v="16"/>
    <n v="34224"/>
    <n v="35249"/>
  </r>
  <r>
    <s v="ORD07029"/>
    <d v="2025-09-13T00:00:00"/>
    <x v="3"/>
    <x v="31"/>
    <x v="2"/>
    <s v="Turkey"/>
    <x v="32"/>
    <x v="4"/>
    <n v="16939"/>
    <n v="16651"/>
  </r>
  <r>
    <s v="ORD07030"/>
    <d v="2025-02-19T00:00:00"/>
    <x v="6"/>
    <x v="15"/>
    <x v="6"/>
    <s v="USA"/>
    <x v="18"/>
    <x v="28"/>
    <n v="39198"/>
    <n v="29447"/>
  </r>
  <r>
    <s v="ORD07031"/>
    <d v="2025-05-26T00:00:00"/>
    <x v="8"/>
    <x v="24"/>
    <x v="1"/>
    <s v="Japan"/>
    <x v="1"/>
    <x v="4"/>
    <n v="15341"/>
    <n v="13685"/>
  </r>
  <r>
    <s v="ORD07032"/>
    <d v="2025-12-23T00:00:00"/>
    <x v="10"/>
    <x v="42"/>
    <x v="1"/>
    <s v="China"/>
    <x v="6"/>
    <x v="5"/>
    <n v="33628"/>
    <n v="30223"/>
  </r>
  <r>
    <s v="ORD07033"/>
    <d v="2025-10-05T00:00:00"/>
    <x v="4"/>
    <x v="49"/>
    <x v="5"/>
    <s v="South Africa"/>
    <x v="37"/>
    <x v="21"/>
    <n v="33367"/>
    <n v="38590"/>
  </r>
  <r>
    <s v="ORD07034"/>
    <d v="2025-12-09T00:00:00"/>
    <x v="10"/>
    <x v="32"/>
    <x v="3"/>
    <s v="UK"/>
    <x v="6"/>
    <x v="19"/>
    <n v="34663"/>
    <n v="38387"/>
  </r>
  <r>
    <s v="ORD07035"/>
    <d v="2025-05-17T00:00:00"/>
    <x v="8"/>
    <x v="17"/>
    <x v="6"/>
    <s v="UAE"/>
    <x v="49"/>
    <x v="6"/>
    <n v="25324"/>
    <n v="21152"/>
  </r>
  <r>
    <s v="ORD07036"/>
    <d v="2025-12-06T00:00:00"/>
    <x v="10"/>
    <x v="43"/>
    <x v="1"/>
    <s v="UK"/>
    <x v="17"/>
    <x v="14"/>
    <n v="30203"/>
    <n v="30269"/>
  </r>
  <r>
    <s v="ORD07037"/>
    <d v="2025-05-05T00:00:00"/>
    <x v="8"/>
    <x v="18"/>
    <x v="6"/>
    <s v="Malaysia"/>
    <x v="21"/>
    <x v="4"/>
    <n v="20835"/>
    <n v="26285"/>
  </r>
  <r>
    <s v="ORD07038"/>
    <d v="2025-07-27T00:00:00"/>
    <x v="0"/>
    <x v="0"/>
    <x v="2"/>
    <s v="Spain"/>
    <x v="16"/>
    <x v="14"/>
    <n v="36337"/>
    <n v="37486"/>
  </r>
  <r>
    <s v="ORD07039"/>
    <d v="2025-11-17T00:00:00"/>
    <x v="2"/>
    <x v="9"/>
    <x v="4"/>
    <s v="Turkey"/>
    <x v="3"/>
    <x v="13"/>
    <n v="30115"/>
    <n v="28511"/>
  </r>
  <r>
    <s v="ORD07040"/>
    <d v="2025-01-31T00:00:00"/>
    <x v="1"/>
    <x v="3"/>
    <x v="6"/>
    <s v="UAE"/>
    <x v="26"/>
    <x v="8"/>
    <n v="19308"/>
    <n v="22663"/>
  </r>
  <r>
    <s v="ORD07041"/>
    <d v="2025-07-26T00:00:00"/>
    <x v="0"/>
    <x v="0"/>
    <x v="1"/>
    <s v="Canada"/>
    <x v="4"/>
    <x v="2"/>
    <n v="26209"/>
    <n v="30673"/>
  </r>
  <r>
    <s v="ORD07042"/>
    <d v="2025-04-09T00:00:00"/>
    <x v="7"/>
    <x v="16"/>
    <x v="5"/>
    <s v="Thailand"/>
    <x v="5"/>
    <x v="25"/>
    <n v="24238"/>
    <n v="16984"/>
  </r>
  <r>
    <s v="ORD07043"/>
    <d v="2025-11-15T00:00:00"/>
    <x v="2"/>
    <x v="44"/>
    <x v="2"/>
    <s v="Canada"/>
    <x v="1"/>
    <x v="16"/>
    <n v="38460"/>
    <n v="48708"/>
  </r>
  <r>
    <s v="ORD07044"/>
    <d v="2025-04-25T00:00:00"/>
    <x v="7"/>
    <x v="38"/>
    <x v="3"/>
    <s v="Turkey"/>
    <x v="11"/>
    <x v="0"/>
    <n v="18257"/>
    <n v="21547"/>
  </r>
  <r>
    <s v="ORD07045"/>
    <d v="2025-12-02T00:00:00"/>
    <x v="10"/>
    <x v="43"/>
    <x v="0"/>
    <s v="Australia"/>
    <x v="21"/>
    <x v="13"/>
    <n v="25986"/>
    <n v="23658"/>
  </r>
  <r>
    <s v="ORD07046"/>
    <d v="2025-06-27T00:00:00"/>
    <x v="5"/>
    <x v="36"/>
    <x v="2"/>
    <s v="South Africa"/>
    <x v="38"/>
    <x v="26"/>
    <n v="33248"/>
    <n v="24163"/>
  </r>
  <r>
    <s v="ORD07047"/>
    <d v="2025-07-26T00:00:00"/>
    <x v="0"/>
    <x v="0"/>
    <x v="6"/>
    <s v="Russia"/>
    <x v="31"/>
    <x v="4"/>
    <n v="16435"/>
    <n v="19840"/>
  </r>
  <r>
    <s v="ORD07048"/>
    <d v="2025-07-25T00:00:00"/>
    <x v="0"/>
    <x v="0"/>
    <x v="3"/>
    <s v="Mexico"/>
    <x v="27"/>
    <x v="7"/>
    <n v="26426"/>
    <n v="24317"/>
  </r>
  <r>
    <s v="ORD07049"/>
    <d v="2025-07-10T00:00:00"/>
    <x v="0"/>
    <x v="47"/>
    <x v="4"/>
    <s v="Australia"/>
    <x v="25"/>
    <x v="27"/>
    <n v="17357"/>
    <n v="18460"/>
  </r>
  <r>
    <s v="ORD07050"/>
    <d v="2025-11-24T00:00:00"/>
    <x v="2"/>
    <x v="11"/>
    <x v="0"/>
    <s v="UAE"/>
    <x v="46"/>
    <x v="3"/>
    <n v="22978"/>
    <n v="17250"/>
  </r>
  <r>
    <s v="ORD07051"/>
    <d v="2025-03-26T00:00:00"/>
    <x v="9"/>
    <x v="33"/>
    <x v="0"/>
    <s v="China"/>
    <x v="21"/>
    <x v="1"/>
    <n v="19812"/>
    <n v="18110"/>
  </r>
  <r>
    <s v="ORD07052"/>
    <d v="2025-08-22T00:00:00"/>
    <x v="11"/>
    <x v="46"/>
    <x v="1"/>
    <s v="Spain"/>
    <x v="3"/>
    <x v="5"/>
    <n v="28038"/>
    <n v="21527"/>
  </r>
  <r>
    <s v="ORD07053"/>
    <d v="2025-12-24T00:00:00"/>
    <x v="10"/>
    <x v="42"/>
    <x v="4"/>
    <s v="Russia"/>
    <x v="28"/>
    <x v="18"/>
    <n v="31781"/>
    <n v="39485"/>
  </r>
  <r>
    <s v="ORD07054"/>
    <d v="2025-09-07T00:00:00"/>
    <x v="3"/>
    <x v="4"/>
    <x v="6"/>
    <s v="South Africa"/>
    <x v="11"/>
    <x v="27"/>
    <n v="21287"/>
    <n v="19349"/>
  </r>
  <r>
    <s v="ORD07055"/>
    <d v="2025-02-15T00:00:00"/>
    <x v="6"/>
    <x v="29"/>
    <x v="3"/>
    <s v="India"/>
    <x v="38"/>
    <x v="27"/>
    <n v="17011"/>
    <n v="15152"/>
  </r>
  <r>
    <s v="ORD07056"/>
    <d v="2025-04-19T00:00:00"/>
    <x v="7"/>
    <x v="20"/>
    <x v="4"/>
    <s v="UK"/>
    <x v="21"/>
    <x v="14"/>
    <n v="24248"/>
    <n v="25234"/>
  </r>
  <r>
    <s v="ORD07057"/>
    <d v="2025-06-12T00:00:00"/>
    <x v="5"/>
    <x v="40"/>
    <x v="5"/>
    <s v="Mexico"/>
    <x v="12"/>
    <x v="16"/>
    <n v="22971"/>
    <n v="28627"/>
  </r>
  <r>
    <s v="ORD07058"/>
    <d v="2025-08-15T00:00:00"/>
    <x v="11"/>
    <x v="30"/>
    <x v="3"/>
    <s v="USA"/>
    <x v="14"/>
    <x v="8"/>
    <n v="28668"/>
    <n v="26741"/>
  </r>
  <r>
    <s v="ORD07059"/>
    <d v="2025-06-12T00:00:00"/>
    <x v="5"/>
    <x v="40"/>
    <x v="5"/>
    <s v="Japan"/>
    <x v="1"/>
    <x v="3"/>
    <n v="23081"/>
    <n v="29854"/>
  </r>
  <r>
    <s v="ORD07060"/>
    <d v="2025-05-18T00:00:00"/>
    <x v="8"/>
    <x v="17"/>
    <x v="0"/>
    <s v="Brazil"/>
    <x v="24"/>
    <x v="7"/>
    <n v="34679"/>
    <n v="31261"/>
  </r>
  <r>
    <s v="ORD07061"/>
    <d v="2025-09-15T00:00:00"/>
    <x v="3"/>
    <x v="8"/>
    <x v="2"/>
    <s v="UAE"/>
    <x v="6"/>
    <x v="13"/>
    <n v="30783"/>
    <n v="38094"/>
  </r>
  <r>
    <s v="ORD07062"/>
    <d v="2025-10-07T00:00:00"/>
    <x v="4"/>
    <x v="45"/>
    <x v="6"/>
    <s v="Russia"/>
    <x v="47"/>
    <x v="6"/>
    <n v="34499"/>
    <n v="26239"/>
  </r>
  <r>
    <s v="ORD07063"/>
    <d v="2025-10-25T00:00:00"/>
    <x v="4"/>
    <x v="50"/>
    <x v="2"/>
    <s v="France"/>
    <x v="13"/>
    <x v="4"/>
    <n v="37724"/>
    <n v="35742"/>
  </r>
  <r>
    <s v="ORD07064"/>
    <d v="2025-03-17T00:00:00"/>
    <x v="9"/>
    <x v="39"/>
    <x v="5"/>
    <s v="UK"/>
    <x v="17"/>
    <x v="22"/>
    <n v="30147"/>
    <n v="23355"/>
  </r>
  <r>
    <s v="ORD07065"/>
    <d v="2025-01-13T00:00:00"/>
    <x v="1"/>
    <x v="1"/>
    <x v="1"/>
    <s v="Germany"/>
    <x v="28"/>
    <x v="26"/>
    <n v="38164"/>
    <n v="27876"/>
  </r>
  <r>
    <s v="ORD07066"/>
    <d v="2025-07-15T00:00:00"/>
    <x v="0"/>
    <x v="14"/>
    <x v="6"/>
    <s v="Australia"/>
    <x v="6"/>
    <x v="3"/>
    <n v="33058"/>
    <n v="26512"/>
  </r>
  <r>
    <s v="ORD07067"/>
    <d v="2025-05-07T00:00:00"/>
    <x v="8"/>
    <x v="18"/>
    <x v="3"/>
    <s v="India"/>
    <x v="31"/>
    <x v="15"/>
    <n v="31946"/>
    <n v="41015"/>
  </r>
  <r>
    <s v="ORD07068"/>
    <d v="2025-09-03T00:00:00"/>
    <x v="3"/>
    <x v="4"/>
    <x v="5"/>
    <s v="Spain"/>
    <x v="19"/>
    <x v="28"/>
    <n v="29952"/>
    <n v="30096"/>
  </r>
  <r>
    <s v="ORD07069"/>
    <d v="2025-05-08T00:00:00"/>
    <x v="8"/>
    <x v="18"/>
    <x v="6"/>
    <s v="South Africa"/>
    <x v="33"/>
    <x v="26"/>
    <n v="33219"/>
    <n v="26128"/>
  </r>
  <r>
    <s v="ORD07070"/>
    <d v="2025-01-11T00:00:00"/>
    <x v="1"/>
    <x v="6"/>
    <x v="5"/>
    <s v="Germany"/>
    <x v="17"/>
    <x v="24"/>
    <n v="37107"/>
    <n v="28159"/>
  </r>
  <r>
    <s v="ORD07071"/>
    <d v="2025-03-06T00:00:00"/>
    <x v="9"/>
    <x v="35"/>
    <x v="2"/>
    <s v="Spain"/>
    <x v="41"/>
    <x v="4"/>
    <n v="22693"/>
    <n v="23823"/>
  </r>
  <r>
    <s v="ORD07072"/>
    <d v="2025-05-27T00:00:00"/>
    <x v="8"/>
    <x v="24"/>
    <x v="5"/>
    <s v="Turkey"/>
    <x v="17"/>
    <x v="0"/>
    <n v="26273"/>
    <n v="30692"/>
  </r>
  <r>
    <s v="ORD07073"/>
    <d v="2025-09-27T00:00:00"/>
    <x v="3"/>
    <x v="25"/>
    <x v="5"/>
    <s v="Mexico"/>
    <x v="36"/>
    <x v="25"/>
    <n v="24641"/>
    <n v="29004"/>
  </r>
  <r>
    <s v="ORD07074"/>
    <d v="2025-06-13T00:00:00"/>
    <x v="5"/>
    <x v="40"/>
    <x v="5"/>
    <s v="Spain"/>
    <x v="27"/>
    <x v="10"/>
    <n v="18819"/>
    <n v="14885"/>
  </r>
  <r>
    <s v="ORD07075"/>
    <d v="2025-05-08T00:00:00"/>
    <x v="8"/>
    <x v="18"/>
    <x v="1"/>
    <s v="Malaysia"/>
    <x v="42"/>
    <x v="1"/>
    <n v="26416"/>
    <n v="23198"/>
  </r>
  <r>
    <s v="ORD07076"/>
    <d v="2025-10-05T00:00:00"/>
    <x v="4"/>
    <x v="49"/>
    <x v="5"/>
    <s v="China"/>
    <x v="9"/>
    <x v="16"/>
    <n v="26783"/>
    <n v="25578"/>
  </r>
  <r>
    <s v="ORD07077"/>
    <d v="2025-06-18T00:00:00"/>
    <x v="5"/>
    <x v="13"/>
    <x v="5"/>
    <s v="South Africa"/>
    <x v="24"/>
    <x v="13"/>
    <n v="30825"/>
    <n v="27974"/>
  </r>
  <r>
    <s v="ORD07078"/>
    <d v="2025-01-30T00:00:00"/>
    <x v="1"/>
    <x v="3"/>
    <x v="5"/>
    <s v="Mexico"/>
    <x v="27"/>
    <x v="20"/>
    <n v="28141"/>
    <n v="31472"/>
  </r>
  <r>
    <s v="ORD07079"/>
    <d v="2025-06-14T00:00:00"/>
    <x v="5"/>
    <x v="40"/>
    <x v="4"/>
    <s v="Italy"/>
    <x v="47"/>
    <x v="18"/>
    <n v="34257"/>
    <n v="30560"/>
  </r>
  <r>
    <s v="ORD07080"/>
    <d v="2025-01-14T00:00:00"/>
    <x v="1"/>
    <x v="1"/>
    <x v="2"/>
    <s v="Japan"/>
    <x v="44"/>
    <x v="3"/>
    <n v="20351"/>
    <n v="18961"/>
  </r>
  <r>
    <s v="ORD07081"/>
    <d v="2025-11-05T00:00:00"/>
    <x v="2"/>
    <x v="51"/>
    <x v="6"/>
    <s v="USA"/>
    <x v="1"/>
    <x v="26"/>
    <n v="24397"/>
    <n v="27828"/>
  </r>
  <r>
    <s v="ORD07082"/>
    <d v="2025-01-11T00:00:00"/>
    <x v="1"/>
    <x v="6"/>
    <x v="1"/>
    <s v="South Africa"/>
    <x v="49"/>
    <x v="7"/>
    <n v="27308"/>
    <n v="24183"/>
  </r>
  <r>
    <s v="ORD07083"/>
    <d v="2025-03-08T00:00:00"/>
    <x v="9"/>
    <x v="35"/>
    <x v="0"/>
    <s v="Italy"/>
    <x v="21"/>
    <x v="10"/>
    <n v="18469"/>
    <n v="20126"/>
  </r>
  <r>
    <s v="ORD07084"/>
    <d v="2025-07-02T00:00:00"/>
    <x v="0"/>
    <x v="37"/>
    <x v="0"/>
    <s v="France"/>
    <x v="23"/>
    <x v="24"/>
    <n v="22079"/>
    <n v="20740"/>
  </r>
  <r>
    <s v="ORD07085"/>
    <d v="2025-01-08T00:00:00"/>
    <x v="1"/>
    <x v="6"/>
    <x v="1"/>
    <s v="France"/>
    <x v="40"/>
    <x v="28"/>
    <n v="21020"/>
    <n v="22065"/>
  </r>
  <r>
    <s v="ORD07086"/>
    <d v="2025-02-27T00:00:00"/>
    <x v="6"/>
    <x v="22"/>
    <x v="0"/>
    <s v="Japan"/>
    <x v="22"/>
    <x v="11"/>
    <n v="18232"/>
    <n v="15223"/>
  </r>
  <r>
    <s v="ORD07087"/>
    <d v="2025-08-12T00:00:00"/>
    <x v="11"/>
    <x v="30"/>
    <x v="1"/>
    <s v="UAE"/>
    <x v="34"/>
    <x v="7"/>
    <n v="21576"/>
    <n v="22617"/>
  </r>
  <r>
    <s v="ORD07088"/>
    <d v="2025-12-11T00:00:00"/>
    <x v="10"/>
    <x v="32"/>
    <x v="4"/>
    <s v="Canada"/>
    <x v="8"/>
    <x v="8"/>
    <n v="20141"/>
    <n v="24946"/>
  </r>
  <r>
    <s v="ORD07089"/>
    <d v="2025-03-30T00:00:00"/>
    <x v="9"/>
    <x v="33"/>
    <x v="1"/>
    <s v="Russia"/>
    <x v="40"/>
    <x v="4"/>
    <n v="15821"/>
    <n v="15644"/>
  </r>
  <r>
    <s v="ORD07090"/>
    <d v="2025-12-14T00:00:00"/>
    <x v="10"/>
    <x v="32"/>
    <x v="5"/>
    <s v="Italy"/>
    <x v="6"/>
    <x v="11"/>
    <n v="18370"/>
    <n v="17884"/>
  </r>
  <r>
    <s v="ORD07091"/>
    <d v="2025-01-10T00:00:00"/>
    <x v="1"/>
    <x v="6"/>
    <x v="6"/>
    <s v="Singapore"/>
    <x v="32"/>
    <x v="15"/>
    <n v="34226"/>
    <n v="42126"/>
  </r>
  <r>
    <s v="ORD07092"/>
    <d v="2025-04-28T00:00:00"/>
    <x v="7"/>
    <x v="27"/>
    <x v="5"/>
    <s v="Thailand"/>
    <x v="8"/>
    <x v="8"/>
    <n v="38742"/>
    <n v="38763"/>
  </r>
  <r>
    <s v="ORD07093"/>
    <d v="2025-04-11T00:00:00"/>
    <x v="7"/>
    <x v="16"/>
    <x v="2"/>
    <s v="Australia"/>
    <x v="23"/>
    <x v="19"/>
    <n v="26802"/>
    <n v="32002"/>
  </r>
  <r>
    <s v="ORD07094"/>
    <d v="2025-09-18T00:00:00"/>
    <x v="3"/>
    <x v="8"/>
    <x v="6"/>
    <s v="Malaysia"/>
    <x v="21"/>
    <x v="1"/>
    <n v="19727"/>
    <n v="13840"/>
  </r>
  <r>
    <s v="ORD07095"/>
    <d v="2025-05-21T00:00:00"/>
    <x v="8"/>
    <x v="26"/>
    <x v="0"/>
    <s v="Australia"/>
    <x v="24"/>
    <x v="29"/>
    <n v="29467"/>
    <n v="34325"/>
  </r>
  <r>
    <s v="ORD07096"/>
    <d v="2025-09-24T00:00:00"/>
    <x v="3"/>
    <x v="25"/>
    <x v="0"/>
    <s v="Malaysia"/>
    <x v="44"/>
    <x v="9"/>
    <n v="16748"/>
    <n v="13827"/>
  </r>
  <r>
    <s v="ORD07097"/>
    <d v="2025-08-08T00:00:00"/>
    <x v="11"/>
    <x v="23"/>
    <x v="6"/>
    <s v="USA"/>
    <x v="21"/>
    <x v="28"/>
    <n v="17158"/>
    <n v="20227"/>
  </r>
  <r>
    <s v="ORD07098"/>
    <d v="2025-09-17T00:00:00"/>
    <x v="3"/>
    <x v="8"/>
    <x v="4"/>
    <s v="Russia"/>
    <x v="46"/>
    <x v="14"/>
    <n v="29396"/>
    <n v="36849"/>
  </r>
  <r>
    <s v="ORD07099"/>
    <d v="2025-05-09T00:00:00"/>
    <x v="8"/>
    <x v="18"/>
    <x v="3"/>
    <s v="France"/>
    <x v="20"/>
    <x v="2"/>
    <n v="26043"/>
    <n v="28063"/>
  </r>
  <r>
    <s v="ORD07100"/>
    <d v="2025-06-29T00:00:00"/>
    <x v="5"/>
    <x v="36"/>
    <x v="4"/>
    <s v="UAE"/>
    <x v="47"/>
    <x v="0"/>
    <n v="27949"/>
    <n v="29121"/>
  </r>
  <r>
    <s v="ORD07101"/>
    <d v="2025-08-03T00:00:00"/>
    <x v="11"/>
    <x v="12"/>
    <x v="1"/>
    <s v="Turkey"/>
    <x v="2"/>
    <x v="8"/>
    <n v="17138"/>
    <n v="15250"/>
  </r>
  <r>
    <s v="ORD07102"/>
    <d v="2025-10-15T00:00:00"/>
    <x v="4"/>
    <x v="10"/>
    <x v="6"/>
    <s v="India"/>
    <x v="32"/>
    <x v="23"/>
    <n v="37523"/>
    <n v="30914"/>
  </r>
  <r>
    <s v="ORD07103"/>
    <d v="2025-01-19T00:00:00"/>
    <x v="1"/>
    <x v="1"/>
    <x v="3"/>
    <s v="India"/>
    <x v="49"/>
    <x v="28"/>
    <n v="30574"/>
    <n v="34698"/>
  </r>
  <r>
    <s v="ORD07104"/>
    <d v="2025-02-28T00:00:00"/>
    <x v="6"/>
    <x v="22"/>
    <x v="5"/>
    <s v="Australia"/>
    <x v="18"/>
    <x v="20"/>
    <n v="31714"/>
    <n v="32799"/>
  </r>
  <r>
    <s v="ORD07105"/>
    <d v="2025-03-12T00:00:00"/>
    <x v="9"/>
    <x v="19"/>
    <x v="4"/>
    <s v="India"/>
    <x v="34"/>
    <x v="2"/>
    <n v="18705"/>
    <n v="23175"/>
  </r>
  <r>
    <s v="ORD07106"/>
    <d v="2025-02-01T00:00:00"/>
    <x v="6"/>
    <x v="3"/>
    <x v="4"/>
    <s v="Mexico"/>
    <x v="47"/>
    <x v="20"/>
    <n v="20141"/>
    <n v="17971"/>
  </r>
  <r>
    <s v="ORD07107"/>
    <d v="2025-01-19T00:00:00"/>
    <x v="1"/>
    <x v="1"/>
    <x v="6"/>
    <s v="Germany"/>
    <x v="10"/>
    <x v="10"/>
    <n v="28776"/>
    <n v="32658"/>
  </r>
  <r>
    <s v="ORD07108"/>
    <d v="2025-09-06T00:00:00"/>
    <x v="3"/>
    <x v="4"/>
    <x v="6"/>
    <s v="USA"/>
    <x v="18"/>
    <x v="8"/>
    <n v="30441"/>
    <n v="25155"/>
  </r>
  <r>
    <s v="ORD07109"/>
    <d v="2025-08-30T00:00:00"/>
    <x v="11"/>
    <x v="28"/>
    <x v="3"/>
    <s v="Turkey"/>
    <x v="46"/>
    <x v="11"/>
    <n v="31688"/>
    <n v="41165"/>
  </r>
  <r>
    <s v="ORD07110"/>
    <d v="2025-07-05T00:00:00"/>
    <x v="0"/>
    <x v="37"/>
    <x v="3"/>
    <s v="Turkey"/>
    <x v="41"/>
    <x v="2"/>
    <n v="29896"/>
    <n v="22627"/>
  </r>
  <r>
    <s v="ORD07111"/>
    <d v="2025-06-15T00:00:00"/>
    <x v="5"/>
    <x v="40"/>
    <x v="2"/>
    <s v="UK"/>
    <x v="36"/>
    <x v="20"/>
    <n v="17783"/>
    <n v="13027"/>
  </r>
  <r>
    <s v="ORD07112"/>
    <d v="2025-08-11T00:00:00"/>
    <x v="11"/>
    <x v="30"/>
    <x v="6"/>
    <s v="Brazil"/>
    <x v="39"/>
    <x v="12"/>
    <n v="37270"/>
    <n v="43261"/>
  </r>
  <r>
    <s v="ORD07113"/>
    <d v="2025-04-25T00:00:00"/>
    <x v="7"/>
    <x v="38"/>
    <x v="1"/>
    <s v="Canada"/>
    <x v="3"/>
    <x v="2"/>
    <n v="24205"/>
    <n v="28945"/>
  </r>
  <r>
    <s v="ORD07114"/>
    <d v="2025-04-01T00:00:00"/>
    <x v="7"/>
    <x v="34"/>
    <x v="4"/>
    <s v="USA"/>
    <x v="36"/>
    <x v="23"/>
    <n v="29488"/>
    <n v="34101"/>
  </r>
  <r>
    <s v="ORD07115"/>
    <d v="2025-05-05T00:00:00"/>
    <x v="8"/>
    <x v="18"/>
    <x v="1"/>
    <s v="UAE"/>
    <x v="11"/>
    <x v="12"/>
    <n v="25231"/>
    <n v="22231"/>
  </r>
  <r>
    <s v="ORD07116"/>
    <d v="2025-05-30T00:00:00"/>
    <x v="8"/>
    <x v="24"/>
    <x v="2"/>
    <s v="Thailand"/>
    <x v="21"/>
    <x v="22"/>
    <n v="26958"/>
    <n v="19789"/>
  </r>
  <r>
    <s v="ORD07117"/>
    <d v="2025-09-11T00:00:00"/>
    <x v="3"/>
    <x v="31"/>
    <x v="0"/>
    <s v="India"/>
    <x v="36"/>
    <x v="3"/>
    <n v="28533"/>
    <n v="24396"/>
  </r>
  <r>
    <s v="ORD07118"/>
    <d v="2025-10-22T00:00:00"/>
    <x v="4"/>
    <x v="50"/>
    <x v="0"/>
    <s v="Singapore"/>
    <x v="47"/>
    <x v="29"/>
    <n v="15938"/>
    <n v="19031"/>
  </r>
  <r>
    <s v="ORD07119"/>
    <d v="2025-08-14T00:00:00"/>
    <x v="11"/>
    <x v="30"/>
    <x v="3"/>
    <s v="China"/>
    <x v="11"/>
    <x v="22"/>
    <n v="30313"/>
    <n v="26879"/>
  </r>
  <r>
    <s v="ORD07120"/>
    <d v="2025-06-25T00:00:00"/>
    <x v="5"/>
    <x v="36"/>
    <x v="4"/>
    <s v="Japan"/>
    <x v="16"/>
    <x v="22"/>
    <n v="32777"/>
    <n v="31049"/>
  </r>
  <r>
    <s v="ORD07121"/>
    <d v="2025-10-18T00:00:00"/>
    <x v="4"/>
    <x v="10"/>
    <x v="1"/>
    <s v="Germany"/>
    <x v="41"/>
    <x v="18"/>
    <n v="19008"/>
    <n v="24529"/>
  </r>
  <r>
    <s v="ORD07122"/>
    <d v="2025-07-16T00:00:00"/>
    <x v="0"/>
    <x v="14"/>
    <x v="2"/>
    <s v="UAE"/>
    <x v="2"/>
    <x v="24"/>
    <n v="32257"/>
    <n v="28728"/>
  </r>
  <r>
    <s v="ORD07123"/>
    <d v="2025-09-22T00:00:00"/>
    <x v="3"/>
    <x v="25"/>
    <x v="6"/>
    <s v="Brazil"/>
    <x v="1"/>
    <x v="20"/>
    <n v="21450"/>
    <n v="23500"/>
  </r>
  <r>
    <s v="ORD07124"/>
    <d v="2025-05-10T00:00:00"/>
    <x v="8"/>
    <x v="18"/>
    <x v="5"/>
    <s v="Italy"/>
    <x v="46"/>
    <x v="23"/>
    <n v="30692"/>
    <n v="31314"/>
  </r>
  <r>
    <s v="ORD07125"/>
    <d v="2025-10-08T00:00:00"/>
    <x v="4"/>
    <x v="45"/>
    <x v="0"/>
    <s v="Thailand"/>
    <x v="6"/>
    <x v="27"/>
    <n v="33510"/>
    <n v="27854"/>
  </r>
  <r>
    <s v="ORD07126"/>
    <d v="2025-04-15T00:00:00"/>
    <x v="7"/>
    <x v="20"/>
    <x v="6"/>
    <s v="Thailand"/>
    <x v="1"/>
    <x v="1"/>
    <n v="25362"/>
    <n v="23195"/>
  </r>
  <r>
    <s v="ORD07127"/>
    <d v="2025-12-19T00:00:00"/>
    <x v="10"/>
    <x v="21"/>
    <x v="2"/>
    <s v="Brazil"/>
    <x v="25"/>
    <x v="2"/>
    <n v="34463"/>
    <n v="38395"/>
  </r>
  <r>
    <s v="ORD07128"/>
    <d v="2025-01-09T00:00:00"/>
    <x v="1"/>
    <x v="6"/>
    <x v="2"/>
    <s v="Japan"/>
    <x v="5"/>
    <x v="25"/>
    <n v="18227"/>
    <n v="12897"/>
  </r>
  <r>
    <s v="ORD07129"/>
    <d v="2025-10-11T00:00:00"/>
    <x v="4"/>
    <x v="45"/>
    <x v="4"/>
    <s v="Spain"/>
    <x v="4"/>
    <x v="28"/>
    <n v="32425"/>
    <n v="25377"/>
  </r>
  <r>
    <s v="ORD07130"/>
    <d v="2025-09-27T00:00:00"/>
    <x v="3"/>
    <x v="25"/>
    <x v="5"/>
    <s v="Spain"/>
    <x v="11"/>
    <x v="24"/>
    <n v="24616"/>
    <n v="25553"/>
  </r>
  <r>
    <s v="ORD07131"/>
    <d v="2025-05-03T00:00:00"/>
    <x v="8"/>
    <x v="27"/>
    <x v="5"/>
    <s v="France"/>
    <x v="38"/>
    <x v="25"/>
    <n v="29298"/>
    <n v="30192"/>
  </r>
  <r>
    <s v="ORD07132"/>
    <d v="2025-07-06T00:00:00"/>
    <x v="0"/>
    <x v="37"/>
    <x v="2"/>
    <s v="Turkey"/>
    <x v="31"/>
    <x v="15"/>
    <n v="29797"/>
    <n v="38436"/>
  </r>
  <r>
    <s v="ORD07133"/>
    <d v="2025-04-02T00:00:00"/>
    <x v="7"/>
    <x v="34"/>
    <x v="5"/>
    <s v="UAE"/>
    <x v="49"/>
    <x v="20"/>
    <n v="29104"/>
    <n v="23419"/>
  </r>
  <r>
    <s v="ORD07134"/>
    <d v="2025-01-19T00:00:00"/>
    <x v="1"/>
    <x v="1"/>
    <x v="3"/>
    <s v="Spain"/>
    <x v="40"/>
    <x v="13"/>
    <n v="29863"/>
    <n v="23731"/>
  </r>
  <r>
    <s v="ORD07135"/>
    <d v="2025-07-31T00:00:00"/>
    <x v="0"/>
    <x v="12"/>
    <x v="0"/>
    <s v="France"/>
    <x v="33"/>
    <x v="26"/>
    <n v="31783"/>
    <n v="36173"/>
  </r>
  <r>
    <s v="ORD07136"/>
    <d v="2025-08-22T00:00:00"/>
    <x v="11"/>
    <x v="46"/>
    <x v="6"/>
    <s v="China"/>
    <x v="46"/>
    <x v="1"/>
    <n v="31417"/>
    <n v="23918"/>
  </r>
  <r>
    <s v="ORD07137"/>
    <d v="2025-03-20T00:00:00"/>
    <x v="9"/>
    <x v="39"/>
    <x v="1"/>
    <s v="Thailand"/>
    <x v="27"/>
    <x v="7"/>
    <n v="32905"/>
    <n v="33542"/>
  </r>
  <r>
    <s v="ORD07138"/>
    <d v="2025-06-12T00:00:00"/>
    <x v="5"/>
    <x v="40"/>
    <x v="1"/>
    <s v="UK"/>
    <x v="35"/>
    <x v="7"/>
    <n v="18184"/>
    <n v="21151"/>
  </r>
  <r>
    <s v="ORD07139"/>
    <d v="2025-08-31T00:00:00"/>
    <x v="11"/>
    <x v="28"/>
    <x v="3"/>
    <s v="Russia"/>
    <x v="5"/>
    <x v="11"/>
    <n v="20018"/>
    <n v="20673"/>
  </r>
  <r>
    <s v="ORD07140"/>
    <d v="2025-07-22T00:00:00"/>
    <x v="0"/>
    <x v="0"/>
    <x v="4"/>
    <s v="Spain"/>
    <x v="36"/>
    <x v="23"/>
    <n v="33964"/>
    <n v="41602"/>
  </r>
  <r>
    <s v="ORD07141"/>
    <d v="2025-11-23T00:00:00"/>
    <x v="2"/>
    <x v="9"/>
    <x v="6"/>
    <s v="Germany"/>
    <x v="20"/>
    <x v="4"/>
    <n v="24725"/>
    <n v="19575"/>
  </r>
  <r>
    <s v="ORD07142"/>
    <d v="2025-04-10T00:00:00"/>
    <x v="7"/>
    <x v="16"/>
    <x v="4"/>
    <s v="Malaysia"/>
    <x v="42"/>
    <x v="28"/>
    <n v="39322"/>
    <n v="28486"/>
  </r>
  <r>
    <s v="ORD07143"/>
    <d v="2025-05-02T00:00:00"/>
    <x v="8"/>
    <x v="27"/>
    <x v="1"/>
    <s v="China"/>
    <x v="28"/>
    <x v="1"/>
    <n v="20484"/>
    <n v="19085"/>
  </r>
  <r>
    <s v="ORD07144"/>
    <d v="2025-05-04T00:00:00"/>
    <x v="8"/>
    <x v="27"/>
    <x v="0"/>
    <s v="China"/>
    <x v="33"/>
    <x v="15"/>
    <n v="22563"/>
    <n v="24364"/>
  </r>
  <r>
    <s v="ORD07145"/>
    <d v="2025-11-13T00:00:00"/>
    <x v="2"/>
    <x v="44"/>
    <x v="6"/>
    <s v="Turkey"/>
    <x v="1"/>
    <x v="13"/>
    <n v="34905"/>
    <n v="32947"/>
  </r>
  <r>
    <s v="ORD07146"/>
    <d v="2025-01-13T00:00:00"/>
    <x v="1"/>
    <x v="1"/>
    <x v="1"/>
    <s v="Spain"/>
    <x v="16"/>
    <x v="15"/>
    <n v="32514"/>
    <n v="40313"/>
  </r>
  <r>
    <s v="ORD07147"/>
    <d v="2025-11-01T00:00:00"/>
    <x v="2"/>
    <x v="2"/>
    <x v="0"/>
    <s v="Italy"/>
    <x v="29"/>
    <x v="23"/>
    <n v="27930"/>
    <n v="19723"/>
  </r>
  <r>
    <s v="ORD07148"/>
    <d v="2025-11-06T00:00:00"/>
    <x v="2"/>
    <x v="51"/>
    <x v="1"/>
    <s v="Russia"/>
    <x v="44"/>
    <x v="24"/>
    <n v="33555"/>
    <n v="29758"/>
  </r>
  <r>
    <s v="ORD07149"/>
    <d v="2025-03-31T00:00:00"/>
    <x v="9"/>
    <x v="34"/>
    <x v="0"/>
    <s v="Mexico"/>
    <x v="34"/>
    <x v="8"/>
    <n v="23670"/>
    <n v="29942"/>
  </r>
  <r>
    <s v="ORD07150"/>
    <d v="2025-01-07T00:00:00"/>
    <x v="1"/>
    <x v="6"/>
    <x v="1"/>
    <s v="USA"/>
    <x v="7"/>
    <x v="29"/>
    <n v="20782"/>
    <n v="23071"/>
  </r>
  <r>
    <s v="ORD07151"/>
    <d v="2025-11-03T00:00:00"/>
    <x v="2"/>
    <x v="51"/>
    <x v="2"/>
    <s v="Malaysia"/>
    <x v="24"/>
    <x v="27"/>
    <n v="27283"/>
    <n v="32516"/>
  </r>
  <r>
    <s v="ORD07152"/>
    <d v="2025-11-22T00:00:00"/>
    <x v="2"/>
    <x v="9"/>
    <x v="3"/>
    <s v="China"/>
    <x v="47"/>
    <x v="24"/>
    <n v="23489"/>
    <n v="24370"/>
  </r>
  <r>
    <s v="ORD07153"/>
    <d v="2025-07-08T00:00:00"/>
    <x v="0"/>
    <x v="47"/>
    <x v="4"/>
    <s v="Germany"/>
    <x v="27"/>
    <x v="29"/>
    <n v="29165"/>
    <n v="34120"/>
  </r>
  <r>
    <s v="ORD07154"/>
    <d v="2025-09-22T00:00:00"/>
    <x v="3"/>
    <x v="25"/>
    <x v="6"/>
    <s v="Russia"/>
    <x v="28"/>
    <x v="8"/>
    <n v="28698"/>
    <n v="36763"/>
  </r>
  <r>
    <s v="ORD07155"/>
    <d v="2025-03-31T00:00:00"/>
    <x v="9"/>
    <x v="34"/>
    <x v="5"/>
    <s v="Canada"/>
    <x v="11"/>
    <x v="8"/>
    <n v="21401"/>
    <n v="22414"/>
  </r>
  <r>
    <s v="ORD07156"/>
    <d v="2025-12-24T00:00:00"/>
    <x v="10"/>
    <x v="42"/>
    <x v="2"/>
    <s v="China"/>
    <x v="43"/>
    <x v="10"/>
    <n v="28378"/>
    <n v="24351"/>
  </r>
  <r>
    <s v="ORD07157"/>
    <d v="2025-10-16T00:00:00"/>
    <x v="4"/>
    <x v="10"/>
    <x v="2"/>
    <s v="Thailand"/>
    <x v="35"/>
    <x v="6"/>
    <n v="29330"/>
    <n v="29963"/>
  </r>
  <r>
    <s v="ORD07158"/>
    <d v="2025-04-02T00:00:00"/>
    <x v="7"/>
    <x v="34"/>
    <x v="5"/>
    <s v="Singapore"/>
    <x v="16"/>
    <x v="27"/>
    <n v="18938"/>
    <n v="13959"/>
  </r>
  <r>
    <s v="ORD07159"/>
    <d v="2025-06-20T00:00:00"/>
    <x v="5"/>
    <x v="13"/>
    <x v="4"/>
    <s v="Spain"/>
    <x v="7"/>
    <x v="6"/>
    <n v="15498"/>
    <n v="19312"/>
  </r>
  <r>
    <s v="ORD07160"/>
    <d v="2025-12-12T00:00:00"/>
    <x v="10"/>
    <x v="32"/>
    <x v="2"/>
    <s v="Singapore"/>
    <x v="17"/>
    <x v="9"/>
    <n v="34514"/>
    <n v="41926"/>
  </r>
  <r>
    <s v="ORD07161"/>
    <d v="2025-06-28T00:00:00"/>
    <x v="5"/>
    <x v="36"/>
    <x v="1"/>
    <s v="Brazil"/>
    <x v="16"/>
    <x v="28"/>
    <n v="24219"/>
    <n v="31109"/>
  </r>
  <r>
    <s v="ORD07162"/>
    <d v="2025-04-11T00:00:00"/>
    <x v="7"/>
    <x v="16"/>
    <x v="3"/>
    <s v="Malaysia"/>
    <x v="6"/>
    <x v="2"/>
    <n v="18181"/>
    <n v="17873"/>
  </r>
  <r>
    <s v="ORD07163"/>
    <d v="2025-02-13T00:00:00"/>
    <x v="6"/>
    <x v="29"/>
    <x v="4"/>
    <s v="Turkey"/>
    <x v="43"/>
    <x v="3"/>
    <n v="36830"/>
    <n v="27261"/>
  </r>
  <r>
    <s v="ORD07164"/>
    <d v="2025-04-14T00:00:00"/>
    <x v="7"/>
    <x v="20"/>
    <x v="4"/>
    <s v="Spain"/>
    <x v="47"/>
    <x v="23"/>
    <n v="22071"/>
    <n v="20022"/>
  </r>
  <r>
    <s v="ORD07165"/>
    <d v="2025-01-03T00:00:00"/>
    <x v="1"/>
    <x v="5"/>
    <x v="4"/>
    <s v="Mexico"/>
    <x v="6"/>
    <x v="13"/>
    <n v="20108"/>
    <n v="17821"/>
  </r>
  <r>
    <s v="ORD07166"/>
    <d v="2025-05-05T00:00:00"/>
    <x v="8"/>
    <x v="18"/>
    <x v="5"/>
    <s v="UK"/>
    <x v="26"/>
    <x v="13"/>
    <n v="24185"/>
    <n v="29886"/>
  </r>
  <r>
    <s v="ORD07167"/>
    <d v="2025-05-27T00:00:00"/>
    <x v="8"/>
    <x v="24"/>
    <x v="1"/>
    <s v="South Africa"/>
    <x v="36"/>
    <x v="19"/>
    <n v="32679"/>
    <n v="33800"/>
  </r>
  <r>
    <s v="ORD07168"/>
    <d v="2025-05-28T00:00:00"/>
    <x v="8"/>
    <x v="24"/>
    <x v="6"/>
    <s v="India"/>
    <x v="11"/>
    <x v="11"/>
    <n v="32868"/>
    <n v="41516"/>
  </r>
  <r>
    <s v="ORD07169"/>
    <d v="2025-08-09T00:00:00"/>
    <x v="11"/>
    <x v="23"/>
    <x v="3"/>
    <s v="India"/>
    <x v="10"/>
    <x v="1"/>
    <n v="28176"/>
    <n v="26473"/>
  </r>
  <r>
    <s v="ORD07170"/>
    <d v="2025-07-27T00:00:00"/>
    <x v="0"/>
    <x v="0"/>
    <x v="3"/>
    <s v="China"/>
    <x v="49"/>
    <x v="27"/>
    <n v="38704"/>
    <n v="31661"/>
  </r>
  <r>
    <s v="ORD07171"/>
    <d v="2025-07-22T00:00:00"/>
    <x v="0"/>
    <x v="0"/>
    <x v="1"/>
    <s v="France"/>
    <x v="19"/>
    <x v="26"/>
    <n v="21407"/>
    <n v="21823"/>
  </r>
  <r>
    <s v="ORD07172"/>
    <d v="2025-04-11T00:00:00"/>
    <x v="7"/>
    <x v="16"/>
    <x v="4"/>
    <s v="China"/>
    <x v="34"/>
    <x v="16"/>
    <n v="18407"/>
    <n v="16436"/>
  </r>
  <r>
    <s v="ORD07173"/>
    <d v="2025-03-08T00:00:00"/>
    <x v="9"/>
    <x v="35"/>
    <x v="4"/>
    <s v="Italy"/>
    <x v="7"/>
    <x v="11"/>
    <n v="34286"/>
    <n v="33408"/>
  </r>
  <r>
    <s v="ORD07174"/>
    <d v="2025-01-13T00:00:00"/>
    <x v="1"/>
    <x v="1"/>
    <x v="6"/>
    <s v="USA"/>
    <x v="9"/>
    <x v="1"/>
    <n v="36141"/>
    <n v="25972"/>
  </r>
  <r>
    <s v="ORD07175"/>
    <d v="2025-12-04T00:00:00"/>
    <x v="10"/>
    <x v="43"/>
    <x v="4"/>
    <s v="France"/>
    <x v="30"/>
    <x v="12"/>
    <n v="23033"/>
    <n v="28011"/>
  </r>
  <r>
    <s v="ORD07176"/>
    <d v="2025-06-29T00:00:00"/>
    <x v="5"/>
    <x v="36"/>
    <x v="0"/>
    <s v="South Africa"/>
    <x v="1"/>
    <x v="3"/>
    <n v="16267"/>
    <n v="16574"/>
  </r>
  <r>
    <s v="ORD07177"/>
    <d v="2025-12-29T00:00:00"/>
    <x v="10"/>
    <x v="5"/>
    <x v="4"/>
    <s v="USA"/>
    <x v="15"/>
    <x v="19"/>
    <n v="27000"/>
    <n v="24672"/>
  </r>
  <r>
    <s v="ORD07178"/>
    <d v="2025-07-03T00:00:00"/>
    <x v="0"/>
    <x v="37"/>
    <x v="3"/>
    <s v="USA"/>
    <x v="3"/>
    <x v="26"/>
    <n v="17296"/>
    <n v="16498"/>
  </r>
  <r>
    <s v="ORD07179"/>
    <d v="2025-07-02T00:00:00"/>
    <x v="0"/>
    <x v="37"/>
    <x v="4"/>
    <s v="Spain"/>
    <x v="2"/>
    <x v="18"/>
    <n v="25174"/>
    <n v="18657"/>
  </r>
  <r>
    <s v="ORD07180"/>
    <d v="2025-03-30T00:00:00"/>
    <x v="9"/>
    <x v="33"/>
    <x v="6"/>
    <s v="Australia"/>
    <x v="46"/>
    <x v="5"/>
    <n v="37625"/>
    <n v="33667"/>
  </r>
  <r>
    <s v="ORD07181"/>
    <d v="2025-10-31T00:00:00"/>
    <x v="4"/>
    <x v="2"/>
    <x v="1"/>
    <s v="Japan"/>
    <x v="43"/>
    <x v="2"/>
    <n v="21014"/>
    <n v="23136"/>
  </r>
  <r>
    <s v="ORD07182"/>
    <d v="2025-09-22T00:00:00"/>
    <x v="3"/>
    <x v="25"/>
    <x v="6"/>
    <s v="UK"/>
    <x v="11"/>
    <x v="13"/>
    <n v="32813"/>
    <n v="40479"/>
  </r>
  <r>
    <s v="ORD07183"/>
    <d v="2025-11-13T00:00:00"/>
    <x v="2"/>
    <x v="44"/>
    <x v="4"/>
    <s v="USA"/>
    <x v="7"/>
    <x v="22"/>
    <n v="17914"/>
    <n v="19206"/>
  </r>
  <r>
    <s v="ORD07184"/>
    <d v="2025-12-07T00:00:00"/>
    <x v="10"/>
    <x v="43"/>
    <x v="2"/>
    <s v="China"/>
    <x v="22"/>
    <x v="29"/>
    <n v="26284"/>
    <n v="19892"/>
  </r>
  <r>
    <s v="ORD07185"/>
    <d v="2025-10-23T00:00:00"/>
    <x v="4"/>
    <x v="50"/>
    <x v="1"/>
    <s v="Australia"/>
    <x v="16"/>
    <x v="16"/>
    <n v="35438"/>
    <n v="34737"/>
  </r>
  <r>
    <s v="ORD07186"/>
    <d v="2025-02-07T00:00:00"/>
    <x v="6"/>
    <x v="48"/>
    <x v="4"/>
    <s v="UAE"/>
    <x v="12"/>
    <x v="10"/>
    <n v="39201"/>
    <n v="41171"/>
  </r>
  <r>
    <s v="ORD07187"/>
    <d v="2025-07-28T00:00:00"/>
    <x v="0"/>
    <x v="12"/>
    <x v="0"/>
    <s v="UK"/>
    <x v="14"/>
    <x v="25"/>
    <n v="33855"/>
    <n v="27979"/>
  </r>
  <r>
    <s v="ORD07188"/>
    <d v="2025-02-16T00:00:00"/>
    <x v="6"/>
    <x v="29"/>
    <x v="2"/>
    <s v="Italy"/>
    <x v="11"/>
    <x v="14"/>
    <n v="38721"/>
    <n v="28769"/>
  </r>
  <r>
    <s v="ORD07189"/>
    <d v="2025-03-10T00:00:00"/>
    <x v="9"/>
    <x v="19"/>
    <x v="6"/>
    <s v="Mexico"/>
    <x v="23"/>
    <x v="11"/>
    <n v="30070"/>
    <n v="26711"/>
  </r>
  <r>
    <s v="ORD07190"/>
    <d v="2025-06-12T00:00:00"/>
    <x v="5"/>
    <x v="40"/>
    <x v="5"/>
    <s v="UAE"/>
    <x v="4"/>
    <x v="1"/>
    <n v="19582"/>
    <n v="24137"/>
  </r>
  <r>
    <s v="ORD07191"/>
    <d v="2025-12-23T00:00:00"/>
    <x v="10"/>
    <x v="42"/>
    <x v="6"/>
    <s v="Canada"/>
    <x v="42"/>
    <x v="4"/>
    <n v="36613"/>
    <n v="30011"/>
  </r>
  <r>
    <s v="ORD07192"/>
    <d v="2025-02-04T00:00:00"/>
    <x v="6"/>
    <x v="48"/>
    <x v="3"/>
    <s v="Russia"/>
    <x v="25"/>
    <x v="5"/>
    <n v="17737"/>
    <n v="15805"/>
  </r>
  <r>
    <s v="ORD07193"/>
    <d v="2025-09-05T00:00:00"/>
    <x v="3"/>
    <x v="4"/>
    <x v="1"/>
    <s v="Australia"/>
    <x v="13"/>
    <x v="3"/>
    <n v="26878"/>
    <n v="32302"/>
  </r>
  <r>
    <s v="ORD07194"/>
    <d v="2025-04-13T00:00:00"/>
    <x v="7"/>
    <x v="16"/>
    <x v="4"/>
    <s v="Thailand"/>
    <x v="15"/>
    <x v="3"/>
    <n v="24064"/>
    <n v="27247"/>
  </r>
  <r>
    <s v="ORD07195"/>
    <d v="2025-10-31T00:00:00"/>
    <x v="4"/>
    <x v="2"/>
    <x v="4"/>
    <s v="UK"/>
    <x v="11"/>
    <x v="7"/>
    <n v="17332"/>
    <n v="12637"/>
  </r>
  <r>
    <s v="ORD07196"/>
    <d v="2025-10-02T00:00:00"/>
    <x v="4"/>
    <x v="49"/>
    <x v="5"/>
    <s v="China"/>
    <x v="15"/>
    <x v="0"/>
    <n v="36167"/>
    <n v="30806"/>
  </r>
  <r>
    <s v="ORD07197"/>
    <d v="2025-10-04T00:00:00"/>
    <x v="4"/>
    <x v="49"/>
    <x v="2"/>
    <s v="Singapore"/>
    <x v="32"/>
    <x v="3"/>
    <n v="15700"/>
    <n v="13131"/>
  </r>
  <r>
    <s v="ORD07198"/>
    <d v="2025-05-22T00:00:00"/>
    <x v="8"/>
    <x v="26"/>
    <x v="0"/>
    <s v="UAE"/>
    <x v="23"/>
    <x v="20"/>
    <n v="28578"/>
    <n v="31617"/>
  </r>
  <r>
    <s v="ORD07199"/>
    <d v="2025-01-13T00:00:00"/>
    <x v="1"/>
    <x v="1"/>
    <x v="6"/>
    <s v="Australia"/>
    <x v="13"/>
    <x v="0"/>
    <n v="23448"/>
    <n v="20444"/>
  </r>
  <r>
    <s v="ORD07200"/>
    <d v="2025-03-29T00:00:00"/>
    <x v="9"/>
    <x v="33"/>
    <x v="4"/>
    <s v="Australia"/>
    <x v="49"/>
    <x v="1"/>
    <n v="23676"/>
    <n v="20260"/>
  </r>
  <r>
    <s v="ORD07201"/>
    <d v="2025-06-22T00:00:00"/>
    <x v="5"/>
    <x v="13"/>
    <x v="1"/>
    <s v="Germany"/>
    <x v="8"/>
    <x v="27"/>
    <n v="29992"/>
    <n v="24571"/>
  </r>
  <r>
    <s v="ORD07202"/>
    <d v="2025-02-08T00:00:00"/>
    <x v="6"/>
    <x v="48"/>
    <x v="5"/>
    <s v="Canada"/>
    <x v="32"/>
    <x v="5"/>
    <n v="24778"/>
    <n v="29422"/>
  </r>
  <r>
    <s v="ORD07203"/>
    <d v="2025-11-03T00:00:00"/>
    <x v="2"/>
    <x v="51"/>
    <x v="6"/>
    <s v="Italy"/>
    <x v="9"/>
    <x v="12"/>
    <n v="15545"/>
    <n v="13685"/>
  </r>
  <r>
    <s v="ORD07204"/>
    <d v="2025-07-19T00:00:00"/>
    <x v="0"/>
    <x v="14"/>
    <x v="2"/>
    <s v="Malaysia"/>
    <x v="10"/>
    <x v="18"/>
    <n v="31629"/>
    <n v="27046"/>
  </r>
  <r>
    <s v="ORD07205"/>
    <d v="2025-02-23T00:00:00"/>
    <x v="6"/>
    <x v="15"/>
    <x v="2"/>
    <s v="China"/>
    <x v="6"/>
    <x v="9"/>
    <n v="38858"/>
    <n v="31900"/>
  </r>
  <r>
    <s v="ORD07206"/>
    <d v="2025-04-03T00:00:00"/>
    <x v="7"/>
    <x v="34"/>
    <x v="0"/>
    <s v="Spain"/>
    <x v="14"/>
    <x v="14"/>
    <n v="21012"/>
    <n v="17487"/>
  </r>
  <r>
    <s v="ORD07207"/>
    <d v="2025-02-08T00:00:00"/>
    <x v="6"/>
    <x v="48"/>
    <x v="6"/>
    <s v="Singapore"/>
    <x v="27"/>
    <x v="23"/>
    <n v="20218"/>
    <n v="25533"/>
  </r>
  <r>
    <s v="ORD07208"/>
    <d v="2025-04-16T00:00:00"/>
    <x v="7"/>
    <x v="20"/>
    <x v="1"/>
    <s v="France"/>
    <x v="38"/>
    <x v="1"/>
    <n v="25315"/>
    <n v="18437"/>
  </r>
  <r>
    <s v="ORD07209"/>
    <d v="2025-07-14T00:00:00"/>
    <x v="0"/>
    <x v="14"/>
    <x v="0"/>
    <s v="Russia"/>
    <x v="11"/>
    <x v="24"/>
    <n v="29743"/>
    <n v="23220"/>
  </r>
  <r>
    <s v="ORD07210"/>
    <d v="2025-12-25T00:00:00"/>
    <x v="10"/>
    <x v="42"/>
    <x v="5"/>
    <s v="Japan"/>
    <x v="3"/>
    <x v="3"/>
    <n v="18761"/>
    <n v="14719"/>
  </r>
  <r>
    <s v="ORD07211"/>
    <d v="2025-11-23T00:00:00"/>
    <x v="2"/>
    <x v="9"/>
    <x v="3"/>
    <s v="Brazil"/>
    <x v="49"/>
    <x v="17"/>
    <n v="20558"/>
    <n v="18412"/>
  </r>
  <r>
    <s v="ORD07212"/>
    <d v="2025-09-28T00:00:00"/>
    <x v="3"/>
    <x v="25"/>
    <x v="1"/>
    <s v="Japan"/>
    <x v="33"/>
    <x v="22"/>
    <n v="35124"/>
    <n v="29155"/>
  </r>
  <r>
    <s v="ORD07213"/>
    <d v="2025-02-27T00:00:00"/>
    <x v="6"/>
    <x v="22"/>
    <x v="2"/>
    <s v="Mexico"/>
    <x v="33"/>
    <x v="15"/>
    <n v="39121"/>
    <n v="35878"/>
  </r>
  <r>
    <s v="ORD07214"/>
    <d v="2025-09-10T00:00:00"/>
    <x v="3"/>
    <x v="31"/>
    <x v="5"/>
    <s v="Italy"/>
    <x v="26"/>
    <x v="24"/>
    <n v="27755"/>
    <n v="27460"/>
  </r>
  <r>
    <s v="ORD07215"/>
    <d v="2025-12-28T00:00:00"/>
    <x v="10"/>
    <x v="42"/>
    <x v="3"/>
    <s v="UK"/>
    <x v="49"/>
    <x v="27"/>
    <n v="34718"/>
    <n v="35741"/>
  </r>
  <r>
    <s v="ORD07216"/>
    <d v="2025-03-10T00:00:00"/>
    <x v="9"/>
    <x v="19"/>
    <x v="3"/>
    <s v="Singapore"/>
    <x v="48"/>
    <x v="2"/>
    <n v="30728"/>
    <n v="37304"/>
  </r>
  <r>
    <s v="ORD07217"/>
    <d v="2025-01-21T00:00:00"/>
    <x v="1"/>
    <x v="7"/>
    <x v="1"/>
    <s v="Thailand"/>
    <x v="11"/>
    <x v="4"/>
    <n v="31771"/>
    <n v="27285"/>
  </r>
  <r>
    <s v="ORD07218"/>
    <d v="2025-03-13T00:00:00"/>
    <x v="9"/>
    <x v="19"/>
    <x v="4"/>
    <s v="UK"/>
    <x v="16"/>
    <x v="2"/>
    <n v="27109"/>
    <n v="31896"/>
  </r>
  <r>
    <s v="ORD07219"/>
    <d v="2025-02-21T00:00:00"/>
    <x v="6"/>
    <x v="15"/>
    <x v="1"/>
    <s v="Canada"/>
    <x v="48"/>
    <x v="3"/>
    <n v="23188"/>
    <n v="24396"/>
  </r>
  <r>
    <s v="ORD07220"/>
    <d v="2025-09-09T00:00:00"/>
    <x v="3"/>
    <x v="31"/>
    <x v="5"/>
    <s v="Brazil"/>
    <x v="23"/>
    <x v="14"/>
    <n v="21559"/>
    <n v="17590"/>
  </r>
  <r>
    <s v="ORD07221"/>
    <d v="2025-12-29T00:00:00"/>
    <x v="10"/>
    <x v="5"/>
    <x v="4"/>
    <s v="Spain"/>
    <x v="44"/>
    <x v="15"/>
    <n v="31843"/>
    <n v="28279"/>
  </r>
  <r>
    <s v="ORD07222"/>
    <d v="2025-12-31T00:00:00"/>
    <x v="10"/>
    <x v="5"/>
    <x v="4"/>
    <s v="Russia"/>
    <x v="8"/>
    <x v="12"/>
    <n v="17078"/>
    <n v="12351"/>
  </r>
  <r>
    <s v="ORD07223"/>
    <d v="2025-05-04T00:00:00"/>
    <x v="8"/>
    <x v="27"/>
    <x v="2"/>
    <s v="Russia"/>
    <x v="30"/>
    <x v="23"/>
    <n v="33085"/>
    <n v="40046"/>
  </r>
  <r>
    <s v="ORD07224"/>
    <d v="2025-06-17T00:00:00"/>
    <x v="5"/>
    <x v="13"/>
    <x v="0"/>
    <s v="UK"/>
    <x v="44"/>
    <x v="6"/>
    <n v="17540"/>
    <n v="22442"/>
  </r>
  <r>
    <s v="ORD07225"/>
    <d v="2025-12-15T00:00:00"/>
    <x v="10"/>
    <x v="21"/>
    <x v="4"/>
    <s v="Italy"/>
    <x v="19"/>
    <x v="17"/>
    <n v="15115"/>
    <n v="18350"/>
  </r>
  <r>
    <s v="ORD07226"/>
    <d v="2025-12-07T00:00:00"/>
    <x v="10"/>
    <x v="43"/>
    <x v="1"/>
    <s v="Malaysia"/>
    <x v="2"/>
    <x v="17"/>
    <n v="39052"/>
    <n v="35071"/>
  </r>
  <r>
    <s v="ORD07227"/>
    <d v="2025-06-26T00:00:00"/>
    <x v="5"/>
    <x v="36"/>
    <x v="5"/>
    <s v="Japan"/>
    <x v="2"/>
    <x v="15"/>
    <n v="37973"/>
    <n v="40887"/>
  </r>
  <r>
    <s v="ORD07228"/>
    <d v="2025-06-17T00:00:00"/>
    <x v="5"/>
    <x v="13"/>
    <x v="4"/>
    <s v="USA"/>
    <x v="48"/>
    <x v="26"/>
    <n v="18641"/>
    <n v="16604"/>
  </r>
  <r>
    <s v="ORD07229"/>
    <d v="2025-04-10T00:00:00"/>
    <x v="7"/>
    <x v="16"/>
    <x v="6"/>
    <s v="Brazil"/>
    <x v="11"/>
    <x v="23"/>
    <n v="33644"/>
    <n v="33299"/>
  </r>
  <r>
    <s v="ORD07230"/>
    <d v="2025-05-21T00:00:00"/>
    <x v="8"/>
    <x v="26"/>
    <x v="6"/>
    <s v="France"/>
    <x v="36"/>
    <x v="19"/>
    <n v="33037"/>
    <n v="42783"/>
  </r>
  <r>
    <s v="ORD07231"/>
    <d v="2025-08-16T00:00:00"/>
    <x v="11"/>
    <x v="30"/>
    <x v="1"/>
    <s v="Brazil"/>
    <x v="20"/>
    <x v="2"/>
    <n v="15617"/>
    <n v="15106"/>
  </r>
  <r>
    <s v="ORD07232"/>
    <d v="2025-04-02T00:00:00"/>
    <x v="7"/>
    <x v="34"/>
    <x v="4"/>
    <s v="Thailand"/>
    <x v="14"/>
    <x v="8"/>
    <n v="31853"/>
    <n v="39365"/>
  </r>
  <r>
    <s v="ORD07233"/>
    <d v="2025-01-02T00:00:00"/>
    <x v="1"/>
    <x v="5"/>
    <x v="3"/>
    <s v="Singapore"/>
    <x v="42"/>
    <x v="15"/>
    <n v="21456"/>
    <n v="19912"/>
  </r>
  <r>
    <s v="ORD07234"/>
    <d v="2025-10-21T00:00:00"/>
    <x v="4"/>
    <x v="50"/>
    <x v="3"/>
    <s v="Germany"/>
    <x v="45"/>
    <x v="27"/>
    <n v="23565"/>
    <n v="18288"/>
  </r>
  <r>
    <s v="ORD07235"/>
    <d v="2025-06-04T00:00:00"/>
    <x v="5"/>
    <x v="41"/>
    <x v="0"/>
    <s v="USA"/>
    <x v="41"/>
    <x v="14"/>
    <n v="25028"/>
    <n v="24413"/>
  </r>
  <r>
    <s v="ORD07236"/>
    <d v="2025-08-08T00:00:00"/>
    <x v="11"/>
    <x v="23"/>
    <x v="2"/>
    <s v="Germany"/>
    <x v="41"/>
    <x v="7"/>
    <n v="25047"/>
    <n v="31411"/>
  </r>
  <r>
    <s v="ORD07237"/>
    <d v="2025-12-18T00:00:00"/>
    <x v="10"/>
    <x v="21"/>
    <x v="1"/>
    <s v="Thailand"/>
    <x v="26"/>
    <x v="5"/>
    <n v="22544"/>
    <n v="17572"/>
  </r>
  <r>
    <s v="ORD07238"/>
    <d v="2025-11-09T00:00:00"/>
    <x v="2"/>
    <x v="51"/>
    <x v="0"/>
    <s v="Canada"/>
    <x v="23"/>
    <x v="0"/>
    <n v="24000"/>
    <n v="21343"/>
  </r>
  <r>
    <s v="ORD07239"/>
    <d v="2025-08-20T00:00:00"/>
    <x v="11"/>
    <x v="46"/>
    <x v="5"/>
    <s v="Canada"/>
    <x v="42"/>
    <x v="9"/>
    <n v="30718"/>
    <n v="23996"/>
  </r>
  <r>
    <s v="ORD07240"/>
    <d v="2025-12-18T00:00:00"/>
    <x v="10"/>
    <x v="21"/>
    <x v="5"/>
    <s v="Thailand"/>
    <x v="10"/>
    <x v="24"/>
    <n v="16172"/>
    <n v="12163"/>
  </r>
  <r>
    <s v="ORD07241"/>
    <d v="2025-07-08T00:00:00"/>
    <x v="0"/>
    <x v="47"/>
    <x v="4"/>
    <s v="France"/>
    <x v="47"/>
    <x v="27"/>
    <n v="39028"/>
    <n v="36055"/>
  </r>
  <r>
    <s v="ORD07242"/>
    <d v="2025-05-27T00:00:00"/>
    <x v="8"/>
    <x v="24"/>
    <x v="4"/>
    <s v="Singapore"/>
    <x v="39"/>
    <x v="6"/>
    <n v="39321"/>
    <n v="48073"/>
  </r>
  <r>
    <s v="ORD07243"/>
    <d v="2025-03-29T00:00:00"/>
    <x v="9"/>
    <x v="33"/>
    <x v="4"/>
    <s v="France"/>
    <x v="46"/>
    <x v="0"/>
    <n v="25337"/>
    <n v="18148"/>
  </r>
  <r>
    <s v="ORD07244"/>
    <d v="2025-07-28T00:00:00"/>
    <x v="0"/>
    <x v="12"/>
    <x v="5"/>
    <s v="UK"/>
    <x v="47"/>
    <x v="16"/>
    <n v="23794"/>
    <n v="18387"/>
  </r>
  <r>
    <s v="ORD07245"/>
    <d v="2025-01-15T00:00:00"/>
    <x v="1"/>
    <x v="1"/>
    <x v="6"/>
    <s v="China"/>
    <x v="15"/>
    <x v="11"/>
    <n v="36744"/>
    <n v="45313"/>
  </r>
  <r>
    <s v="ORD07246"/>
    <d v="2025-05-10T00:00:00"/>
    <x v="8"/>
    <x v="18"/>
    <x v="2"/>
    <s v="Spain"/>
    <x v="11"/>
    <x v="27"/>
    <n v="37785"/>
    <n v="34512"/>
  </r>
  <r>
    <s v="ORD07247"/>
    <d v="2025-11-29T00:00:00"/>
    <x v="2"/>
    <x v="11"/>
    <x v="3"/>
    <s v="Spain"/>
    <x v="16"/>
    <x v="26"/>
    <n v="18522"/>
    <n v="20059"/>
  </r>
  <r>
    <s v="ORD07248"/>
    <d v="2025-10-10T00:00:00"/>
    <x v="4"/>
    <x v="45"/>
    <x v="6"/>
    <s v="USA"/>
    <x v="11"/>
    <x v="1"/>
    <n v="27255"/>
    <n v="27203"/>
  </r>
  <r>
    <s v="ORD07249"/>
    <d v="2025-06-15T00:00:00"/>
    <x v="5"/>
    <x v="40"/>
    <x v="4"/>
    <s v="China"/>
    <x v="0"/>
    <x v="25"/>
    <n v="22251"/>
    <n v="26810"/>
  </r>
  <r>
    <s v="ORD07250"/>
    <d v="2025-02-24T00:00:00"/>
    <x v="6"/>
    <x v="22"/>
    <x v="6"/>
    <s v="UAE"/>
    <x v="13"/>
    <x v="29"/>
    <n v="28702"/>
    <n v="35497"/>
  </r>
  <r>
    <s v="ORD07251"/>
    <d v="2025-09-28T00:00:00"/>
    <x v="3"/>
    <x v="25"/>
    <x v="1"/>
    <s v="Turkey"/>
    <x v="33"/>
    <x v="18"/>
    <n v="28934"/>
    <n v="25109"/>
  </r>
  <r>
    <s v="ORD07252"/>
    <d v="2025-08-06T00:00:00"/>
    <x v="11"/>
    <x v="23"/>
    <x v="2"/>
    <s v="Malaysia"/>
    <x v="26"/>
    <x v="0"/>
    <n v="17725"/>
    <n v="16072"/>
  </r>
  <r>
    <s v="ORD07253"/>
    <d v="2025-02-14T00:00:00"/>
    <x v="6"/>
    <x v="29"/>
    <x v="5"/>
    <s v="Turkey"/>
    <x v="17"/>
    <x v="29"/>
    <n v="38812"/>
    <n v="33257"/>
  </r>
  <r>
    <s v="ORD07254"/>
    <d v="2025-06-27T00:00:00"/>
    <x v="5"/>
    <x v="36"/>
    <x v="5"/>
    <s v="South Africa"/>
    <x v="17"/>
    <x v="12"/>
    <n v="26578"/>
    <n v="29060"/>
  </r>
  <r>
    <s v="ORD07255"/>
    <d v="2025-11-20T00:00:00"/>
    <x v="2"/>
    <x v="9"/>
    <x v="3"/>
    <s v="Brazil"/>
    <x v="16"/>
    <x v="6"/>
    <n v="25354"/>
    <n v="22283"/>
  </r>
  <r>
    <s v="ORD07256"/>
    <d v="2025-01-10T00:00:00"/>
    <x v="1"/>
    <x v="6"/>
    <x v="2"/>
    <s v="Japan"/>
    <x v="27"/>
    <x v="5"/>
    <n v="39972"/>
    <n v="34672"/>
  </r>
  <r>
    <s v="ORD07257"/>
    <d v="2025-07-28T00:00:00"/>
    <x v="0"/>
    <x v="12"/>
    <x v="1"/>
    <s v="South Africa"/>
    <x v="44"/>
    <x v="3"/>
    <n v="34049"/>
    <n v="39332"/>
  </r>
  <r>
    <s v="ORD07258"/>
    <d v="2025-04-19T00:00:00"/>
    <x v="7"/>
    <x v="20"/>
    <x v="1"/>
    <s v="France"/>
    <x v="34"/>
    <x v="10"/>
    <n v="38375"/>
    <n v="30218"/>
  </r>
  <r>
    <s v="ORD07259"/>
    <d v="2025-08-20T00:00:00"/>
    <x v="11"/>
    <x v="46"/>
    <x v="4"/>
    <s v="Brazil"/>
    <x v="3"/>
    <x v="12"/>
    <n v="30531"/>
    <n v="30353"/>
  </r>
  <r>
    <s v="ORD07260"/>
    <d v="2025-04-05T00:00:00"/>
    <x v="7"/>
    <x v="34"/>
    <x v="4"/>
    <s v="Singapore"/>
    <x v="49"/>
    <x v="10"/>
    <n v="27584"/>
    <n v="24455"/>
  </r>
  <r>
    <s v="ORD07261"/>
    <d v="2025-11-22T00:00:00"/>
    <x v="2"/>
    <x v="9"/>
    <x v="6"/>
    <s v="UAE"/>
    <x v="21"/>
    <x v="29"/>
    <n v="31683"/>
    <n v="30604"/>
  </r>
  <r>
    <s v="ORD07262"/>
    <d v="2025-07-07T00:00:00"/>
    <x v="0"/>
    <x v="47"/>
    <x v="3"/>
    <s v="Brazil"/>
    <x v="41"/>
    <x v="7"/>
    <n v="23611"/>
    <n v="27111"/>
  </r>
  <r>
    <s v="ORD07263"/>
    <d v="2025-12-20T00:00:00"/>
    <x v="10"/>
    <x v="21"/>
    <x v="0"/>
    <s v="Singapore"/>
    <x v="40"/>
    <x v="27"/>
    <n v="39391"/>
    <n v="35186"/>
  </r>
  <r>
    <s v="ORD07264"/>
    <d v="2025-07-27T00:00:00"/>
    <x v="0"/>
    <x v="0"/>
    <x v="0"/>
    <s v="Turkey"/>
    <x v="10"/>
    <x v="14"/>
    <n v="34537"/>
    <n v="42638"/>
  </r>
  <r>
    <s v="ORD07265"/>
    <d v="2025-03-03T00:00:00"/>
    <x v="9"/>
    <x v="35"/>
    <x v="4"/>
    <s v="UAE"/>
    <x v="38"/>
    <x v="2"/>
    <n v="22289"/>
    <n v="20944"/>
  </r>
  <r>
    <s v="ORD07266"/>
    <d v="2025-05-18T00:00:00"/>
    <x v="8"/>
    <x v="17"/>
    <x v="4"/>
    <s v="USA"/>
    <x v="4"/>
    <x v="10"/>
    <n v="22615"/>
    <n v="23900"/>
  </r>
  <r>
    <s v="ORD07267"/>
    <d v="2025-03-27T00:00:00"/>
    <x v="9"/>
    <x v="33"/>
    <x v="3"/>
    <s v="Spain"/>
    <x v="32"/>
    <x v="23"/>
    <n v="16441"/>
    <n v="16640"/>
  </r>
  <r>
    <s v="ORD07268"/>
    <d v="2025-03-18T00:00:00"/>
    <x v="9"/>
    <x v="39"/>
    <x v="6"/>
    <s v="South Africa"/>
    <x v="4"/>
    <x v="2"/>
    <n v="22097"/>
    <n v="22124"/>
  </r>
  <r>
    <s v="ORD07269"/>
    <d v="2025-09-10T00:00:00"/>
    <x v="3"/>
    <x v="31"/>
    <x v="2"/>
    <s v="Brazil"/>
    <x v="3"/>
    <x v="23"/>
    <n v="27352"/>
    <n v="34710"/>
  </r>
  <r>
    <s v="ORD07270"/>
    <d v="2025-06-25T00:00:00"/>
    <x v="5"/>
    <x v="36"/>
    <x v="2"/>
    <s v="Germany"/>
    <x v="40"/>
    <x v="5"/>
    <n v="16361"/>
    <n v="12079"/>
  </r>
  <r>
    <s v="ORD07271"/>
    <d v="2025-08-26T00:00:00"/>
    <x v="11"/>
    <x v="28"/>
    <x v="6"/>
    <s v="Spain"/>
    <x v="24"/>
    <x v="2"/>
    <n v="20050"/>
    <n v="16831"/>
  </r>
  <r>
    <s v="ORD07272"/>
    <d v="2025-12-31T00:00:00"/>
    <x v="10"/>
    <x v="5"/>
    <x v="2"/>
    <s v="Turkey"/>
    <x v="4"/>
    <x v="8"/>
    <n v="23298"/>
    <n v="17481"/>
  </r>
  <r>
    <s v="ORD07273"/>
    <d v="2025-08-14T00:00:00"/>
    <x v="11"/>
    <x v="30"/>
    <x v="3"/>
    <s v="Italy"/>
    <x v="30"/>
    <x v="19"/>
    <n v="22080"/>
    <n v="18574"/>
  </r>
  <r>
    <s v="ORD07274"/>
    <d v="2025-09-27T00:00:00"/>
    <x v="3"/>
    <x v="25"/>
    <x v="6"/>
    <s v="Singapore"/>
    <x v="40"/>
    <x v="17"/>
    <n v="15099"/>
    <n v="10847"/>
  </r>
  <r>
    <s v="ORD07275"/>
    <d v="2025-03-25T00:00:00"/>
    <x v="9"/>
    <x v="33"/>
    <x v="4"/>
    <s v="Japan"/>
    <x v="22"/>
    <x v="2"/>
    <n v="34305"/>
    <n v="41067"/>
  </r>
  <r>
    <s v="ORD07276"/>
    <d v="2025-11-29T00:00:00"/>
    <x v="2"/>
    <x v="11"/>
    <x v="2"/>
    <s v="Mexico"/>
    <x v="11"/>
    <x v="11"/>
    <n v="35912"/>
    <n v="37530"/>
  </r>
  <r>
    <s v="ORD07277"/>
    <d v="2025-11-07T00:00:00"/>
    <x v="2"/>
    <x v="51"/>
    <x v="2"/>
    <s v="France"/>
    <x v="2"/>
    <x v="9"/>
    <n v="34683"/>
    <n v="37078"/>
  </r>
  <r>
    <s v="ORD07278"/>
    <d v="2025-12-06T00:00:00"/>
    <x v="10"/>
    <x v="43"/>
    <x v="5"/>
    <s v="Germany"/>
    <x v="43"/>
    <x v="16"/>
    <n v="20216"/>
    <n v="18708"/>
  </r>
  <r>
    <s v="ORD07279"/>
    <d v="2025-02-27T00:00:00"/>
    <x v="6"/>
    <x v="22"/>
    <x v="4"/>
    <s v="Australia"/>
    <x v="37"/>
    <x v="12"/>
    <n v="15558"/>
    <n v="11119"/>
  </r>
  <r>
    <s v="ORD07280"/>
    <d v="2025-08-30T00:00:00"/>
    <x v="11"/>
    <x v="28"/>
    <x v="3"/>
    <s v="China"/>
    <x v="19"/>
    <x v="2"/>
    <n v="33845"/>
    <n v="25464"/>
  </r>
  <r>
    <s v="ORD07281"/>
    <d v="2025-07-01T00:00:00"/>
    <x v="0"/>
    <x v="37"/>
    <x v="0"/>
    <s v="Russia"/>
    <x v="24"/>
    <x v="5"/>
    <n v="29809"/>
    <n v="35496"/>
  </r>
  <r>
    <s v="ORD07282"/>
    <d v="2025-01-20T00:00:00"/>
    <x v="1"/>
    <x v="7"/>
    <x v="5"/>
    <s v="Mexico"/>
    <x v="11"/>
    <x v="27"/>
    <n v="21993"/>
    <n v="15946"/>
  </r>
  <r>
    <s v="ORD07283"/>
    <d v="2025-02-25T00:00:00"/>
    <x v="6"/>
    <x v="22"/>
    <x v="3"/>
    <s v="Mexico"/>
    <x v="10"/>
    <x v="21"/>
    <n v="21100"/>
    <n v="20902"/>
  </r>
  <r>
    <s v="ORD07284"/>
    <d v="2025-09-14T00:00:00"/>
    <x v="3"/>
    <x v="31"/>
    <x v="1"/>
    <s v="France"/>
    <x v="13"/>
    <x v="18"/>
    <n v="31077"/>
    <n v="30292"/>
  </r>
  <r>
    <s v="ORD07285"/>
    <d v="2025-06-28T00:00:00"/>
    <x v="5"/>
    <x v="36"/>
    <x v="0"/>
    <s v="Thailand"/>
    <x v="29"/>
    <x v="26"/>
    <n v="34287"/>
    <n v="35286"/>
  </r>
  <r>
    <s v="ORD07286"/>
    <d v="2025-03-05T00:00:00"/>
    <x v="9"/>
    <x v="35"/>
    <x v="0"/>
    <s v="UAE"/>
    <x v="7"/>
    <x v="21"/>
    <n v="37399"/>
    <n v="47006"/>
  </r>
  <r>
    <s v="ORD07287"/>
    <d v="2025-12-09T00:00:00"/>
    <x v="10"/>
    <x v="32"/>
    <x v="3"/>
    <s v="USA"/>
    <x v="10"/>
    <x v="2"/>
    <n v="17271"/>
    <n v="18618"/>
  </r>
  <r>
    <s v="ORD07288"/>
    <d v="2025-02-22T00:00:00"/>
    <x v="6"/>
    <x v="15"/>
    <x v="6"/>
    <s v="Canada"/>
    <x v="48"/>
    <x v="0"/>
    <n v="15500"/>
    <n v="18665"/>
  </r>
  <r>
    <s v="ORD07289"/>
    <d v="2025-10-14T00:00:00"/>
    <x v="4"/>
    <x v="10"/>
    <x v="2"/>
    <s v="Italy"/>
    <x v="22"/>
    <x v="14"/>
    <n v="33767"/>
    <n v="43659"/>
  </r>
  <r>
    <s v="ORD07290"/>
    <d v="2025-05-24T00:00:00"/>
    <x v="8"/>
    <x v="26"/>
    <x v="3"/>
    <s v="Malaysia"/>
    <x v="30"/>
    <x v="28"/>
    <n v="17693"/>
    <n v="20042"/>
  </r>
  <r>
    <s v="ORD07291"/>
    <d v="2025-05-20T00:00:00"/>
    <x v="8"/>
    <x v="26"/>
    <x v="4"/>
    <s v="Russia"/>
    <x v="42"/>
    <x v="5"/>
    <n v="35053"/>
    <n v="32972"/>
  </r>
  <r>
    <s v="ORD07292"/>
    <d v="2025-03-13T00:00:00"/>
    <x v="9"/>
    <x v="19"/>
    <x v="6"/>
    <s v="Russia"/>
    <x v="23"/>
    <x v="17"/>
    <n v="25678"/>
    <n v="32360"/>
  </r>
  <r>
    <s v="ORD07293"/>
    <d v="2025-12-07T00:00:00"/>
    <x v="10"/>
    <x v="43"/>
    <x v="6"/>
    <s v="Italy"/>
    <x v="20"/>
    <x v="29"/>
    <n v="36055"/>
    <n v="29457"/>
  </r>
  <r>
    <s v="ORD07294"/>
    <d v="2025-02-08T00:00:00"/>
    <x v="6"/>
    <x v="48"/>
    <x v="0"/>
    <s v="Russia"/>
    <x v="24"/>
    <x v="22"/>
    <n v="21726"/>
    <n v="17332"/>
  </r>
  <r>
    <s v="ORD07295"/>
    <d v="2025-01-03T00:00:00"/>
    <x v="1"/>
    <x v="5"/>
    <x v="3"/>
    <s v="Italy"/>
    <x v="44"/>
    <x v="1"/>
    <n v="31794"/>
    <n v="38841"/>
  </r>
  <r>
    <s v="ORD07296"/>
    <d v="2025-09-30T00:00:00"/>
    <x v="3"/>
    <x v="49"/>
    <x v="2"/>
    <s v="Brazil"/>
    <x v="7"/>
    <x v="14"/>
    <n v="32053"/>
    <n v="32492"/>
  </r>
  <r>
    <s v="ORD07297"/>
    <d v="2025-07-19T00:00:00"/>
    <x v="0"/>
    <x v="14"/>
    <x v="0"/>
    <s v="Russia"/>
    <x v="45"/>
    <x v="26"/>
    <n v="16879"/>
    <n v="21719"/>
  </r>
  <r>
    <s v="ORD07298"/>
    <d v="2025-08-09T00:00:00"/>
    <x v="11"/>
    <x v="23"/>
    <x v="1"/>
    <s v="Russia"/>
    <x v="13"/>
    <x v="13"/>
    <n v="17371"/>
    <n v="12541"/>
  </r>
  <r>
    <s v="ORD07299"/>
    <d v="2025-09-23T00:00:00"/>
    <x v="3"/>
    <x v="25"/>
    <x v="4"/>
    <s v="Singapore"/>
    <x v="45"/>
    <x v="29"/>
    <n v="17923"/>
    <n v="15725"/>
  </r>
  <r>
    <s v="ORD07300"/>
    <d v="2025-03-05T00:00:00"/>
    <x v="9"/>
    <x v="35"/>
    <x v="5"/>
    <s v="Brazil"/>
    <x v="40"/>
    <x v="21"/>
    <n v="16358"/>
    <n v="19119"/>
  </r>
  <r>
    <s v="ORD07301"/>
    <d v="2025-09-01T00:00:00"/>
    <x v="3"/>
    <x v="4"/>
    <x v="3"/>
    <s v="Spain"/>
    <x v="23"/>
    <x v="8"/>
    <n v="36501"/>
    <n v="30743"/>
  </r>
  <r>
    <s v="ORD07302"/>
    <d v="2025-02-07T00:00:00"/>
    <x v="6"/>
    <x v="48"/>
    <x v="2"/>
    <s v="Brazil"/>
    <x v="19"/>
    <x v="18"/>
    <n v="33368"/>
    <n v="40750"/>
  </r>
  <r>
    <s v="ORD07303"/>
    <d v="2025-07-13T00:00:00"/>
    <x v="0"/>
    <x v="47"/>
    <x v="5"/>
    <s v="Italy"/>
    <x v="8"/>
    <x v="9"/>
    <n v="26657"/>
    <n v="24194"/>
  </r>
  <r>
    <s v="ORD07304"/>
    <d v="2025-04-27T00:00:00"/>
    <x v="7"/>
    <x v="38"/>
    <x v="2"/>
    <s v="Italy"/>
    <x v="10"/>
    <x v="4"/>
    <n v="18082"/>
    <n v="14599"/>
  </r>
  <r>
    <s v="ORD07305"/>
    <d v="2025-01-12T00:00:00"/>
    <x v="1"/>
    <x v="6"/>
    <x v="0"/>
    <s v="Turkey"/>
    <x v="46"/>
    <x v="25"/>
    <n v="21834"/>
    <n v="23701"/>
  </r>
  <r>
    <s v="ORD07306"/>
    <d v="2025-01-27T00:00:00"/>
    <x v="1"/>
    <x v="3"/>
    <x v="0"/>
    <s v="Malaysia"/>
    <x v="32"/>
    <x v="21"/>
    <n v="25954"/>
    <n v="18221"/>
  </r>
  <r>
    <s v="ORD07307"/>
    <d v="2025-12-14T00:00:00"/>
    <x v="10"/>
    <x v="32"/>
    <x v="2"/>
    <s v="Brazil"/>
    <x v="44"/>
    <x v="0"/>
    <n v="34615"/>
    <n v="39054"/>
  </r>
  <r>
    <s v="ORD07308"/>
    <d v="2025-06-11T00:00:00"/>
    <x v="5"/>
    <x v="40"/>
    <x v="6"/>
    <s v="Japan"/>
    <x v="14"/>
    <x v="10"/>
    <n v="25490"/>
    <n v="18116"/>
  </r>
  <r>
    <s v="ORD07309"/>
    <d v="2025-10-08T00:00:00"/>
    <x v="4"/>
    <x v="45"/>
    <x v="5"/>
    <s v="Thailand"/>
    <x v="17"/>
    <x v="28"/>
    <n v="31743"/>
    <n v="35435"/>
  </r>
  <r>
    <s v="ORD07310"/>
    <d v="2025-05-09T00:00:00"/>
    <x v="8"/>
    <x v="18"/>
    <x v="4"/>
    <s v="Japan"/>
    <x v="17"/>
    <x v="17"/>
    <n v="17154"/>
    <n v="16932"/>
  </r>
  <r>
    <s v="ORD07311"/>
    <d v="2025-05-24T00:00:00"/>
    <x v="8"/>
    <x v="26"/>
    <x v="5"/>
    <s v="UAE"/>
    <x v="28"/>
    <x v="15"/>
    <n v="37007"/>
    <n v="38176"/>
  </r>
  <r>
    <s v="ORD07312"/>
    <d v="2025-12-20T00:00:00"/>
    <x v="10"/>
    <x v="21"/>
    <x v="1"/>
    <s v="Australia"/>
    <x v="37"/>
    <x v="9"/>
    <n v="37149"/>
    <n v="30145"/>
  </r>
  <r>
    <s v="ORD07313"/>
    <d v="2025-10-14T00:00:00"/>
    <x v="4"/>
    <x v="10"/>
    <x v="0"/>
    <s v="UAE"/>
    <x v="22"/>
    <x v="7"/>
    <n v="23936"/>
    <n v="24952"/>
  </r>
  <r>
    <s v="ORD07314"/>
    <d v="2025-01-22T00:00:00"/>
    <x v="1"/>
    <x v="7"/>
    <x v="1"/>
    <s v="Canada"/>
    <x v="34"/>
    <x v="17"/>
    <n v="15937"/>
    <n v="18133"/>
  </r>
  <r>
    <s v="ORD07315"/>
    <d v="2025-08-23T00:00:00"/>
    <x v="11"/>
    <x v="46"/>
    <x v="4"/>
    <s v="Russia"/>
    <x v="49"/>
    <x v="11"/>
    <n v="16516"/>
    <n v="18672"/>
  </r>
  <r>
    <s v="ORD07316"/>
    <d v="2025-03-10T00:00:00"/>
    <x v="9"/>
    <x v="19"/>
    <x v="1"/>
    <s v="France"/>
    <x v="41"/>
    <x v="15"/>
    <n v="31961"/>
    <n v="23750"/>
  </r>
  <r>
    <s v="ORD07317"/>
    <d v="2025-08-10T00:00:00"/>
    <x v="11"/>
    <x v="23"/>
    <x v="2"/>
    <s v="UK"/>
    <x v="14"/>
    <x v="19"/>
    <n v="26395"/>
    <n v="25680"/>
  </r>
  <r>
    <s v="ORD07318"/>
    <d v="2025-08-26T00:00:00"/>
    <x v="11"/>
    <x v="28"/>
    <x v="5"/>
    <s v="France"/>
    <x v="1"/>
    <x v="17"/>
    <n v="30297"/>
    <n v="33008"/>
  </r>
  <r>
    <s v="ORD07319"/>
    <d v="2025-09-08T00:00:00"/>
    <x v="3"/>
    <x v="31"/>
    <x v="4"/>
    <s v="USA"/>
    <x v="17"/>
    <x v="18"/>
    <n v="37187"/>
    <n v="46815"/>
  </r>
  <r>
    <s v="ORD07320"/>
    <d v="2025-02-12T00:00:00"/>
    <x v="6"/>
    <x v="29"/>
    <x v="4"/>
    <s v="Japan"/>
    <x v="10"/>
    <x v="14"/>
    <n v="28985"/>
    <n v="32137"/>
  </r>
  <r>
    <s v="ORD07321"/>
    <d v="2025-01-08T00:00:00"/>
    <x v="1"/>
    <x v="6"/>
    <x v="5"/>
    <s v="Japan"/>
    <x v="45"/>
    <x v="24"/>
    <n v="38798"/>
    <n v="37179"/>
  </r>
  <r>
    <s v="ORD07322"/>
    <d v="2025-04-05T00:00:00"/>
    <x v="7"/>
    <x v="34"/>
    <x v="0"/>
    <s v="Germany"/>
    <x v="4"/>
    <x v="24"/>
    <n v="27652"/>
    <n v="32134"/>
  </r>
  <r>
    <s v="ORD07323"/>
    <d v="2025-01-14T00:00:00"/>
    <x v="1"/>
    <x v="1"/>
    <x v="0"/>
    <s v="South Africa"/>
    <x v="6"/>
    <x v="2"/>
    <n v="34716"/>
    <n v="32287"/>
  </r>
  <r>
    <s v="ORD07324"/>
    <d v="2025-03-11T00:00:00"/>
    <x v="9"/>
    <x v="19"/>
    <x v="0"/>
    <s v="Canada"/>
    <x v="33"/>
    <x v="18"/>
    <n v="28855"/>
    <n v="30784"/>
  </r>
  <r>
    <s v="ORD07325"/>
    <d v="2025-07-10T00:00:00"/>
    <x v="0"/>
    <x v="47"/>
    <x v="0"/>
    <s v="Thailand"/>
    <x v="43"/>
    <x v="6"/>
    <n v="33201"/>
    <n v="34961"/>
  </r>
  <r>
    <s v="ORD07326"/>
    <d v="2025-08-04T00:00:00"/>
    <x v="11"/>
    <x v="23"/>
    <x v="4"/>
    <s v="Japan"/>
    <x v="15"/>
    <x v="14"/>
    <n v="22112"/>
    <n v="24683"/>
  </r>
  <r>
    <s v="ORD07327"/>
    <d v="2025-07-10T00:00:00"/>
    <x v="0"/>
    <x v="47"/>
    <x v="2"/>
    <s v="Japan"/>
    <x v="27"/>
    <x v="19"/>
    <n v="34763"/>
    <n v="28700"/>
  </r>
  <r>
    <s v="ORD07328"/>
    <d v="2025-03-07T00:00:00"/>
    <x v="9"/>
    <x v="35"/>
    <x v="6"/>
    <s v="Mexico"/>
    <x v="41"/>
    <x v="26"/>
    <n v="20151"/>
    <n v="21912"/>
  </r>
  <r>
    <s v="ORD07329"/>
    <d v="2025-08-15T00:00:00"/>
    <x v="11"/>
    <x v="30"/>
    <x v="0"/>
    <s v="Canada"/>
    <x v="35"/>
    <x v="9"/>
    <n v="16245"/>
    <n v="12007"/>
  </r>
  <r>
    <s v="ORD07330"/>
    <d v="2025-01-14T00:00:00"/>
    <x v="1"/>
    <x v="1"/>
    <x v="4"/>
    <s v="USA"/>
    <x v="29"/>
    <x v="13"/>
    <n v="38957"/>
    <n v="41011"/>
  </r>
  <r>
    <s v="ORD07331"/>
    <d v="2025-09-19T00:00:00"/>
    <x v="3"/>
    <x v="8"/>
    <x v="0"/>
    <s v="Thailand"/>
    <x v="12"/>
    <x v="19"/>
    <n v="37185"/>
    <n v="32342"/>
  </r>
  <r>
    <s v="ORD07332"/>
    <d v="2025-04-12T00:00:00"/>
    <x v="7"/>
    <x v="16"/>
    <x v="2"/>
    <s v="South Africa"/>
    <x v="10"/>
    <x v="20"/>
    <n v="31178"/>
    <n v="31673"/>
  </r>
  <r>
    <s v="ORD07333"/>
    <d v="2025-07-15T00:00:00"/>
    <x v="0"/>
    <x v="14"/>
    <x v="0"/>
    <s v="Italy"/>
    <x v="16"/>
    <x v="1"/>
    <n v="25053"/>
    <n v="19046"/>
  </r>
  <r>
    <s v="ORD07334"/>
    <d v="2025-02-21T00:00:00"/>
    <x v="6"/>
    <x v="15"/>
    <x v="6"/>
    <s v="Russia"/>
    <x v="19"/>
    <x v="22"/>
    <n v="36184"/>
    <n v="41278"/>
  </r>
  <r>
    <s v="ORD07335"/>
    <d v="2025-10-31T00:00:00"/>
    <x v="4"/>
    <x v="2"/>
    <x v="3"/>
    <s v="China"/>
    <x v="27"/>
    <x v="4"/>
    <n v="21386"/>
    <n v="25714"/>
  </r>
  <r>
    <s v="ORD07336"/>
    <d v="2025-03-22T00:00:00"/>
    <x v="9"/>
    <x v="39"/>
    <x v="0"/>
    <s v="USA"/>
    <x v="47"/>
    <x v="17"/>
    <n v="37492"/>
    <n v="34517"/>
  </r>
  <r>
    <s v="ORD07337"/>
    <d v="2025-08-12T00:00:00"/>
    <x v="11"/>
    <x v="30"/>
    <x v="2"/>
    <s v="Spain"/>
    <x v="38"/>
    <x v="25"/>
    <n v="34888"/>
    <n v="32920"/>
  </r>
  <r>
    <s v="ORD07338"/>
    <d v="2025-03-04T00:00:00"/>
    <x v="9"/>
    <x v="35"/>
    <x v="5"/>
    <s v="France"/>
    <x v="16"/>
    <x v="4"/>
    <n v="29764"/>
    <n v="37461"/>
  </r>
  <r>
    <s v="ORD07339"/>
    <d v="2025-12-03T00:00:00"/>
    <x v="10"/>
    <x v="43"/>
    <x v="6"/>
    <s v="Canada"/>
    <x v="23"/>
    <x v="19"/>
    <n v="36902"/>
    <n v="38885"/>
  </r>
  <r>
    <s v="ORD07340"/>
    <d v="2025-01-30T00:00:00"/>
    <x v="1"/>
    <x v="3"/>
    <x v="4"/>
    <s v="South Africa"/>
    <x v="30"/>
    <x v="29"/>
    <n v="34224"/>
    <n v="35577"/>
  </r>
  <r>
    <s v="ORD07341"/>
    <d v="2025-07-04T00:00:00"/>
    <x v="0"/>
    <x v="37"/>
    <x v="3"/>
    <s v="India"/>
    <x v="23"/>
    <x v="13"/>
    <n v="39942"/>
    <n v="31789"/>
  </r>
  <r>
    <s v="ORD07342"/>
    <d v="2025-02-27T00:00:00"/>
    <x v="6"/>
    <x v="22"/>
    <x v="1"/>
    <s v="France"/>
    <x v="45"/>
    <x v="23"/>
    <n v="15952"/>
    <n v="11704"/>
  </r>
  <r>
    <s v="ORD07343"/>
    <d v="2025-07-01T00:00:00"/>
    <x v="0"/>
    <x v="37"/>
    <x v="4"/>
    <s v="USA"/>
    <x v="42"/>
    <x v="20"/>
    <n v="39034"/>
    <n v="27625"/>
  </r>
  <r>
    <s v="ORD07344"/>
    <d v="2025-08-01T00:00:00"/>
    <x v="11"/>
    <x v="12"/>
    <x v="5"/>
    <s v="South Africa"/>
    <x v="37"/>
    <x v="29"/>
    <n v="30271"/>
    <n v="30128"/>
  </r>
  <r>
    <s v="ORD07345"/>
    <d v="2025-01-21T00:00:00"/>
    <x v="1"/>
    <x v="7"/>
    <x v="4"/>
    <s v="Canada"/>
    <x v="27"/>
    <x v="19"/>
    <n v="37883"/>
    <n v="33537"/>
  </r>
  <r>
    <s v="ORD07346"/>
    <d v="2025-08-30T00:00:00"/>
    <x v="11"/>
    <x v="28"/>
    <x v="6"/>
    <s v="UAE"/>
    <x v="49"/>
    <x v="10"/>
    <n v="18773"/>
    <n v="14747"/>
  </r>
  <r>
    <s v="ORD07347"/>
    <d v="2025-11-13T00:00:00"/>
    <x v="2"/>
    <x v="44"/>
    <x v="6"/>
    <s v="Spain"/>
    <x v="1"/>
    <x v="23"/>
    <n v="34598"/>
    <n v="26500"/>
  </r>
  <r>
    <s v="ORD07348"/>
    <d v="2025-11-09T00:00:00"/>
    <x v="2"/>
    <x v="51"/>
    <x v="5"/>
    <s v="USA"/>
    <x v="38"/>
    <x v="8"/>
    <n v="25646"/>
    <n v="18710"/>
  </r>
  <r>
    <s v="ORD07349"/>
    <d v="2025-05-17T00:00:00"/>
    <x v="8"/>
    <x v="17"/>
    <x v="0"/>
    <s v="France"/>
    <x v="28"/>
    <x v="27"/>
    <n v="33678"/>
    <n v="23865"/>
  </r>
  <r>
    <s v="ORD07350"/>
    <d v="2025-12-04T00:00:00"/>
    <x v="10"/>
    <x v="43"/>
    <x v="0"/>
    <s v="Canada"/>
    <x v="26"/>
    <x v="24"/>
    <n v="15044"/>
    <n v="12917"/>
  </r>
  <r>
    <s v="ORD07351"/>
    <d v="2025-01-14T00:00:00"/>
    <x v="1"/>
    <x v="1"/>
    <x v="3"/>
    <s v="Italy"/>
    <x v="2"/>
    <x v="1"/>
    <n v="19273"/>
    <n v="23150"/>
  </r>
  <r>
    <s v="ORD07352"/>
    <d v="2025-04-01T00:00:00"/>
    <x v="7"/>
    <x v="34"/>
    <x v="5"/>
    <s v="France"/>
    <x v="31"/>
    <x v="25"/>
    <n v="31925"/>
    <n v="37590"/>
  </r>
  <r>
    <s v="ORD07353"/>
    <d v="2025-08-06T00:00:00"/>
    <x v="11"/>
    <x v="23"/>
    <x v="5"/>
    <s v="China"/>
    <x v="39"/>
    <x v="27"/>
    <n v="35822"/>
    <n v="29958"/>
  </r>
  <r>
    <s v="ORD07354"/>
    <d v="2025-12-17T00:00:00"/>
    <x v="10"/>
    <x v="21"/>
    <x v="6"/>
    <s v="Singapore"/>
    <x v="21"/>
    <x v="26"/>
    <n v="34482"/>
    <n v="33682"/>
  </r>
  <r>
    <s v="ORD07355"/>
    <d v="2025-12-22T00:00:00"/>
    <x v="10"/>
    <x v="42"/>
    <x v="4"/>
    <s v="Singapore"/>
    <x v="38"/>
    <x v="3"/>
    <n v="32554"/>
    <n v="25150"/>
  </r>
  <r>
    <s v="ORD07356"/>
    <d v="2025-09-03T00:00:00"/>
    <x v="3"/>
    <x v="4"/>
    <x v="6"/>
    <s v="Thailand"/>
    <x v="19"/>
    <x v="0"/>
    <n v="35169"/>
    <n v="39182"/>
  </r>
  <r>
    <s v="ORD07357"/>
    <d v="2025-05-10T00:00:00"/>
    <x v="8"/>
    <x v="18"/>
    <x v="3"/>
    <s v="China"/>
    <x v="46"/>
    <x v="21"/>
    <n v="18588"/>
    <n v="20840"/>
  </r>
  <r>
    <s v="ORD07358"/>
    <d v="2025-08-20T00:00:00"/>
    <x v="11"/>
    <x v="46"/>
    <x v="3"/>
    <s v="Russia"/>
    <x v="24"/>
    <x v="23"/>
    <n v="29625"/>
    <n v="24988"/>
  </r>
  <r>
    <s v="ORD07359"/>
    <d v="2025-06-22T00:00:00"/>
    <x v="5"/>
    <x v="13"/>
    <x v="6"/>
    <s v="Malaysia"/>
    <x v="5"/>
    <x v="6"/>
    <n v="38336"/>
    <n v="42285"/>
  </r>
  <r>
    <s v="ORD07360"/>
    <d v="2025-05-15T00:00:00"/>
    <x v="8"/>
    <x v="17"/>
    <x v="2"/>
    <s v="Malaysia"/>
    <x v="19"/>
    <x v="11"/>
    <n v="18840"/>
    <n v="13557"/>
  </r>
  <r>
    <s v="ORD07361"/>
    <d v="2025-08-20T00:00:00"/>
    <x v="11"/>
    <x v="46"/>
    <x v="5"/>
    <s v="UAE"/>
    <x v="32"/>
    <x v="7"/>
    <n v="28203"/>
    <n v="20683"/>
  </r>
  <r>
    <s v="ORD07362"/>
    <d v="2025-02-05T00:00:00"/>
    <x v="6"/>
    <x v="48"/>
    <x v="4"/>
    <s v="Italy"/>
    <x v="17"/>
    <x v="12"/>
    <n v="27908"/>
    <n v="30963"/>
  </r>
  <r>
    <s v="ORD07363"/>
    <d v="2025-04-27T00:00:00"/>
    <x v="7"/>
    <x v="38"/>
    <x v="0"/>
    <s v="Turkey"/>
    <x v="5"/>
    <x v="29"/>
    <n v="27314"/>
    <n v="29263"/>
  </r>
  <r>
    <s v="ORD07364"/>
    <d v="2025-03-05T00:00:00"/>
    <x v="9"/>
    <x v="35"/>
    <x v="0"/>
    <s v="Japan"/>
    <x v="10"/>
    <x v="3"/>
    <n v="18755"/>
    <n v="13845"/>
  </r>
  <r>
    <s v="ORD07365"/>
    <d v="2025-12-06T00:00:00"/>
    <x v="10"/>
    <x v="43"/>
    <x v="5"/>
    <s v="Japan"/>
    <x v="41"/>
    <x v="0"/>
    <n v="30714"/>
    <n v="31019"/>
  </r>
  <r>
    <s v="ORD07366"/>
    <d v="2025-07-18T00:00:00"/>
    <x v="0"/>
    <x v="14"/>
    <x v="6"/>
    <s v="UAE"/>
    <x v="27"/>
    <x v="20"/>
    <n v="27981"/>
    <n v="23818"/>
  </r>
  <r>
    <s v="ORD07367"/>
    <d v="2025-03-15T00:00:00"/>
    <x v="9"/>
    <x v="19"/>
    <x v="2"/>
    <s v="Germany"/>
    <x v="15"/>
    <x v="25"/>
    <n v="17187"/>
    <n v="18657"/>
  </r>
  <r>
    <s v="ORD07368"/>
    <d v="2025-10-10T00:00:00"/>
    <x v="4"/>
    <x v="45"/>
    <x v="6"/>
    <s v="Thailand"/>
    <x v="44"/>
    <x v="13"/>
    <n v="18647"/>
    <n v="22576"/>
  </r>
  <r>
    <s v="ORD07369"/>
    <d v="2025-09-08T00:00:00"/>
    <x v="3"/>
    <x v="31"/>
    <x v="0"/>
    <s v="Turkey"/>
    <x v="28"/>
    <x v="5"/>
    <n v="15518"/>
    <n v="17290"/>
  </r>
  <r>
    <s v="ORD07370"/>
    <d v="2025-07-29T00:00:00"/>
    <x v="0"/>
    <x v="12"/>
    <x v="3"/>
    <s v="Malaysia"/>
    <x v="19"/>
    <x v="13"/>
    <n v="18759"/>
    <n v="19744"/>
  </r>
  <r>
    <s v="ORD07371"/>
    <d v="2025-05-25T00:00:00"/>
    <x v="8"/>
    <x v="26"/>
    <x v="3"/>
    <s v="Mexico"/>
    <x v="29"/>
    <x v="24"/>
    <n v="29594"/>
    <n v="37861"/>
  </r>
  <r>
    <s v="ORD07372"/>
    <d v="2025-08-09T00:00:00"/>
    <x v="11"/>
    <x v="23"/>
    <x v="6"/>
    <s v="Brazil"/>
    <x v="5"/>
    <x v="2"/>
    <n v="33513"/>
    <n v="38195"/>
  </r>
  <r>
    <s v="ORD07373"/>
    <d v="2025-04-04T00:00:00"/>
    <x v="7"/>
    <x v="34"/>
    <x v="2"/>
    <s v="USA"/>
    <x v="10"/>
    <x v="9"/>
    <n v="39957"/>
    <n v="38935"/>
  </r>
  <r>
    <s v="ORD07374"/>
    <d v="2025-05-15T00:00:00"/>
    <x v="8"/>
    <x v="17"/>
    <x v="6"/>
    <s v="Malaysia"/>
    <x v="34"/>
    <x v="3"/>
    <n v="28786"/>
    <n v="29590"/>
  </r>
  <r>
    <s v="ORD07375"/>
    <d v="2025-05-31T00:00:00"/>
    <x v="8"/>
    <x v="24"/>
    <x v="3"/>
    <s v="Spain"/>
    <x v="7"/>
    <x v="28"/>
    <n v="16674"/>
    <n v="12435"/>
  </r>
  <r>
    <s v="ORD07376"/>
    <d v="2025-06-18T00:00:00"/>
    <x v="5"/>
    <x v="13"/>
    <x v="5"/>
    <s v="France"/>
    <x v="21"/>
    <x v="7"/>
    <n v="38659"/>
    <n v="34006"/>
  </r>
  <r>
    <s v="ORD07377"/>
    <d v="2025-02-23T00:00:00"/>
    <x v="6"/>
    <x v="15"/>
    <x v="1"/>
    <s v="India"/>
    <x v="13"/>
    <x v="26"/>
    <n v="39160"/>
    <n v="46829"/>
  </r>
  <r>
    <s v="ORD07378"/>
    <d v="2025-11-19T00:00:00"/>
    <x v="2"/>
    <x v="9"/>
    <x v="5"/>
    <s v="USA"/>
    <x v="41"/>
    <x v="12"/>
    <n v="19999"/>
    <n v="23133"/>
  </r>
  <r>
    <s v="ORD07379"/>
    <d v="2025-08-31T00:00:00"/>
    <x v="11"/>
    <x v="28"/>
    <x v="6"/>
    <s v="Brazil"/>
    <x v="22"/>
    <x v="19"/>
    <n v="37570"/>
    <n v="38398"/>
  </r>
  <r>
    <s v="ORD07380"/>
    <d v="2025-09-12T00:00:00"/>
    <x v="3"/>
    <x v="31"/>
    <x v="6"/>
    <s v="Russia"/>
    <x v="13"/>
    <x v="4"/>
    <n v="28605"/>
    <n v="28918"/>
  </r>
  <r>
    <s v="ORD07381"/>
    <d v="2025-01-05T00:00:00"/>
    <x v="1"/>
    <x v="5"/>
    <x v="2"/>
    <s v="UK"/>
    <x v="22"/>
    <x v="3"/>
    <n v="34076"/>
    <n v="27349"/>
  </r>
  <r>
    <s v="ORD07382"/>
    <d v="2025-09-25T00:00:00"/>
    <x v="3"/>
    <x v="25"/>
    <x v="5"/>
    <s v="India"/>
    <x v="41"/>
    <x v="3"/>
    <n v="37955"/>
    <n v="44058"/>
  </r>
  <r>
    <s v="ORD07383"/>
    <d v="2025-04-11T00:00:00"/>
    <x v="7"/>
    <x v="16"/>
    <x v="4"/>
    <s v="Japan"/>
    <x v="36"/>
    <x v="22"/>
    <n v="36236"/>
    <n v="40820"/>
  </r>
  <r>
    <s v="ORD07384"/>
    <d v="2025-07-23T00:00:00"/>
    <x v="0"/>
    <x v="0"/>
    <x v="4"/>
    <s v="UK"/>
    <x v="28"/>
    <x v="20"/>
    <n v="19393"/>
    <n v="16599"/>
  </r>
  <r>
    <s v="ORD07385"/>
    <d v="2025-02-19T00:00:00"/>
    <x v="6"/>
    <x v="15"/>
    <x v="5"/>
    <s v="South Africa"/>
    <x v="4"/>
    <x v="1"/>
    <n v="19178"/>
    <n v="18294"/>
  </r>
  <r>
    <s v="ORD07386"/>
    <d v="2025-08-04T00:00:00"/>
    <x v="11"/>
    <x v="23"/>
    <x v="6"/>
    <s v="Spain"/>
    <x v="42"/>
    <x v="28"/>
    <n v="16365"/>
    <n v="15588"/>
  </r>
  <r>
    <s v="ORD07387"/>
    <d v="2025-09-24T00:00:00"/>
    <x v="3"/>
    <x v="25"/>
    <x v="4"/>
    <s v="Thailand"/>
    <x v="15"/>
    <x v="16"/>
    <n v="26809"/>
    <n v="34630"/>
  </r>
  <r>
    <s v="ORD07388"/>
    <d v="2025-09-07T00:00:00"/>
    <x v="3"/>
    <x v="4"/>
    <x v="1"/>
    <s v="UAE"/>
    <x v="35"/>
    <x v="10"/>
    <n v="25756"/>
    <n v="26055"/>
  </r>
  <r>
    <s v="ORD07389"/>
    <d v="2025-06-27T00:00:00"/>
    <x v="5"/>
    <x v="36"/>
    <x v="2"/>
    <s v="Singapore"/>
    <x v="2"/>
    <x v="10"/>
    <n v="34002"/>
    <n v="30141"/>
  </r>
  <r>
    <s v="ORD07390"/>
    <d v="2025-01-15T00:00:00"/>
    <x v="1"/>
    <x v="1"/>
    <x v="1"/>
    <s v="Thailand"/>
    <x v="29"/>
    <x v="4"/>
    <n v="19206"/>
    <n v="21064"/>
  </r>
  <r>
    <s v="ORD07391"/>
    <d v="2025-12-06T00:00:00"/>
    <x v="10"/>
    <x v="43"/>
    <x v="1"/>
    <s v="Thailand"/>
    <x v="24"/>
    <x v="10"/>
    <n v="35166"/>
    <n v="45245"/>
  </r>
  <r>
    <s v="ORD07392"/>
    <d v="2025-12-18T00:00:00"/>
    <x v="10"/>
    <x v="21"/>
    <x v="0"/>
    <s v="Italy"/>
    <x v="4"/>
    <x v="6"/>
    <n v="34463"/>
    <n v="27338"/>
  </r>
  <r>
    <s v="ORD07393"/>
    <d v="2025-11-09T00:00:00"/>
    <x v="2"/>
    <x v="51"/>
    <x v="5"/>
    <s v="South Africa"/>
    <x v="45"/>
    <x v="8"/>
    <n v="32471"/>
    <n v="39431"/>
  </r>
  <r>
    <s v="ORD07394"/>
    <d v="2025-09-15T00:00:00"/>
    <x v="3"/>
    <x v="8"/>
    <x v="1"/>
    <s v="Malaysia"/>
    <x v="2"/>
    <x v="27"/>
    <n v="21449"/>
    <n v="19361"/>
  </r>
  <r>
    <s v="ORD07395"/>
    <d v="2025-03-11T00:00:00"/>
    <x v="9"/>
    <x v="19"/>
    <x v="2"/>
    <s v="Italy"/>
    <x v="30"/>
    <x v="8"/>
    <n v="19309"/>
    <n v="24065"/>
  </r>
  <r>
    <s v="ORD07396"/>
    <d v="2025-12-07T00:00:00"/>
    <x v="10"/>
    <x v="43"/>
    <x v="2"/>
    <s v="Australia"/>
    <x v="32"/>
    <x v="17"/>
    <n v="20158"/>
    <n v="25388"/>
  </r>
  <r>
    <s v="ORD07397"/>
    <d v="2025-12-11T00:00:00"/>
    <x v="10"/>
    <x v="32"/>
    <x v="6"/>
    <s v="Brazil"/>
    <x v="2"/>
    <x v="20"/>
    <n v="33006"/>
    <n v="39504"/>
  </r>
  <r>
    <s v="ORD07398"/>
    <d v="2025-06-02T00:00:00"/>
    <x v="5"/>
    <x v="41"/>
    <x v="2"/>
    <s v="France"/>
    <x v="46"/>
    <x v="22"/>
    <n v="20973"/>
    <n v="15992"/>
  </r>
  <r>
    <s v="ORD07399"/>
    <d v="2025-01-17T00:00:00"/>
    <x v="1"/>
    <x v="1"/>
    <x v="3"/>
    <s v="Canada"/>
    <x v="22"/>
    <x v="26"/>
    <n v="36800"/>
    <n v="35440"/>
  </r>
  <r>
    <s v="ORD07400"/>
    <d v="2025-12-05T00:00:00"/>
    <x v="10"/>
    <x v="43"/>
    <x v="0"/>
    <s v="Malaysia"/>
    <x v="13"/>
    <x v="11"/>
    <n v="34366"/>
    <n v="43504"/>
  </r>
  <r>
    <s v="ORD07401"/>
    <d v="2025-08-11T00:00:00"/>
    <x v="11"/>
    <x v="30"/>
    <x v="1"/>
    <s v="Germany"/>
    <x v="3"/>
    <x v="28"/>
    <n v="21135"/>
    <n v="24364"/>
  </r>
  <r>
    <s v="ORD07402"/>
    <d v="2025-02-24T00:00:00"/>
    <x v="6"/>
    <x v="22"/>
    <x v="1"/>
    <s v="Mexico"/>
    <x v="13"/>
    <x v="29"/>
    <n v="20172"/>
    <n v="18468"/>
  </r>
  <r>
    <s v="ORD07403"/>
    <d v="2025-08-07T00:00:00"/>
    <x v="11"/>
    <x v="23"/>
    <x v="1"/>
    <s v="Malaysia"/>
    <x v="45"/>
    <x v="20"/>
    <n v="34500"/>
    <n v="42145"/>
  </r>
  <r>
    <s v="ORD07404"/>
    <d v="2025-03-10T00:00:00"/>
    <x v="9"/>
    <x v="19"/>
    <x v="2"/>
    <s v="Australia"/>
    <x v="44"/>
    <x v="18"/>
    <n v="17011"/>
    <n v="15388"/>
  </r>
  <r>
    <s v="ORD07405"/>
    <d v="2025-11-24T00:00:00"/>
    <x v="2"/>
    <x v="11"/>
    <x v="1"/>
    <s v="USA"/>
    <x v="10"/>
    <x v="1"/>
    <n v="29897"/>
    <n v="25614"/>
  </r>
  <r>
    <s v="ORD07406"/>
    <d v="2025-02-20T00:00:00"/>
    <x v="6"/>
    <x v="15"/>
    <x v="2"/>
    <s v="Canada"/>
    <x v="6"/>
    <x v="11"/>
    <n v="27497"/>
    <n v="24278"/>
  </r>
  <r>
    <s v="ORD07407"/>
    <d v="2025-12-06T00:00:00"/>
    <x v="10"/>
    <x v="43"/>
    <x v="3"/>
    <s v="Brazil"/>
    <x v="40"/>
    <x v="20"/>
    <n v="39210"/>
    <n v="50343"/>
  </r>
  <r>
    <s v="ORD07408"/>
    <d v="2025-11-10T00:00:00"/>
    <x v="2"/>
    <x v="44"/>
    <x v="3"/>
    <s v="Thailand"/>
    <x v="8"/>
    <x v="1"/>
    <n v="36662"/>
    <n v="26250"/>
  </r>
  <r>
    <s v="ORD07409"/>
    <d v="2025-10-31T00:00:00"/>
    <x v="4"/>
    <x v="2"/>
    <x v="6"/>
    <s v="UK"/>
    <x v="45"/>
    <x v="1"/>
    <n v="24029"/>
    <n v="25416"/>
  </r>
  <r>
    <s v="ORD07410"/>
    <d v="2025-08-31T00:00:00"/>
    <x v="11"/>
    <x v="28"/>
    <x v="5"/>
    <s v="China"/>
    <x v="7"/>
    <x v="4"/>
    <n v="31426"/>
    <n v="40268"/>
  </r>
  <r>
    <s v="ORD07411"/>
    <d v="2025-09-12T00:00:00"/>
    <x v="3"/>
    <x v="31"/>
    <x v="4"/>
    <s v="Turkey"/>
    <x v="39"/>
    <x v="11"/>
    <n v="15432"/>
    <n v="13996"/>
  </r>
  <r>
    <s v="ORD07412"/>
    <d v="2025-01-05T00:00:00"/>
    <x v="1"/>
    <x v="5"/>
    <x v="6"/>
    <s v="China"/>
    <x v="40"/>
    <x v="16"/>
    <n v="19042"/>
    <n v="15393"/>
  </r>
  <r>
    <s v="ORD07413"/>
    <d v="2025-07-26T00:00:00"/>
    <x v="0"/>
    <x v="0"/>
    <x v="5"/>
    <s v="China"/>
    <x v="8"/>
    <x v="1"/>
    <n v="32845"/>
    <n v="33636"/>
  </r>
  <r>
    <s v="ORD07414"/>
    <d v="2025-04-29T00:00:00"/>
    <x v="7"/>
    <x v="27"/>
    <x v="6"/>
    <s v="USA"/>
    <x v="30"/>
    <x v="17"/>
    <n v="36180"/>
    <n v="31757"/>
  </r>
  <r>
    <s v="ORD07415"/>
    <d v="2025-03-24T00:00:00"/>
    <x v="9"/>
    <x v="33"/>
    <x v="0"/>
    <s v="Spain"/>
    <x v="14"/>
    <x v="22"/>
    <n v="22708"/>
    <n v="28448"/>
  </r>
  <r>
    <s v="ORD07416"/>
    <d v="2025-02-08T00:00:00"/>
    <x v="6"/>
    <x v="48"/>
    <x v="4"/>
    <s v="Malaysia"/>
    <x v="4"/>
    <x v="18"/>
    <n v="37442"/>
    <n v="32404"/>
  </r>
  <r>
    <s v="ORD07417"/>
    <d v="2025-10-06T00:00:00"/>
    <x v="4"/>
    <x v="45"/>
    <x v="2"/>
    <s v="Russia"/>
    <x v="42"/>
    <x v="19"/>
    <n v="17587"/>
    <n v="20419"/>
  </r>
  <r>
    <s v="ORD07418"/>
    <d v="2025-08-21T00:00:00"/>
    <x v="11"/>
    <x v="46"/>
    <x v="5"/>
    <s v="UAE"/>
    <x v="41"/>
    <x v="6"/>
    <n v="27116"/>
    <n v="25663"/>
  </r>
  <r>
    <s v="ORD07419"/>
    <d v="2025-12-19T00:00:00"/>
    <x v="10"/>
    <x v="21"/>
    <x v="2"/>
    <s v="Germany"/>
    <x v="47"/>
    <x v="4"/>
    <n v="29099"/>
    <n v="33432"/>
  </r>
  <r>
    <s v="ORD07420"/>
    <d v="2025-05-24T00:00:00"/>
    <x v="8"/>
    <x v="26"/>
    <x v="0"/>
    <s v="South Africa"/>
    <x v="23"/>
    <x v="15"/>
    <n v="32937"/>
    <n v="32430"/>
  </r>
  <r>
    <s v="ORD07421"/>
    <d v="2025-04-03T00:00:00"/>
    <x v="7"/>
    <x v="34"/>
    <x v="3"/>
    <s v="Spain"/>
    <x v="8"/>
    <x v="2"/>
    <n v="30654"/>
    <n v="22557"/>
  </r>
  <r>
    <s v="ORD07422"/>
    <d v="2025-10-31T00:00:00"/>
    <x v="4"/>
    <x v="2"/>
    <x v="2"/>
    <s v="Germany"/>
    <x v="10"/>
    <x v="9"/>
    <n v="37349"/>
    <n v="44899"/>
  </r>
  <r>
    <s v="ORD07423"/>
    <d v="2025-11-02T00:00:00"/>
    <x v="2"/>
    <x v="2"/>
    <x v="5"/>
    <s v="Italy"/>
    <x v="32"/>
    <x v="5"/>
    <n v="33371"/>
    <n v="36835"/>
  </r>
  <r>
    <s v="ORD07424"/>
    <d v="2025-10-15T00:00:00"/>
    <x v="4"/>
    <x v="10"/>
    <x v="4"/>
    <s v="Thailand"/>
    <x v="29"/>
    <x v="22"/>
    <n v="23355"/>
    <n v="29258"/>
  </r>
  <r>
    <s v="ORD07425"/>
    <d v="2025-07-12T00:00:00"/>
    <x v="0"/>
    <x v="47"/>
    <x v="4"/>
    <s v="France"/>
    <x v="16"/>
    <x v="26"/>
    <n v="26287"/>
    <n v="29860"/>
  </r>
  <r>
    <s v="ORD07426"/>
    <d v="2025-12-05T00:00:00"/>
    <x v="10"/>
    <x v="43"/>
    <x v="4"/>
    <s v="China"/>
    <x v="11"/>
    <x v="13"/>
    <n v="32135"/>
    <n v="37674"/>
  </r>
  <r>
    <s v="ORD07427"/>
    <d v="2025-04-05T00:00:00"/>
    <x v="7"/>
    <x v="34"/>
    <x v="5"/>
    <s v="Germany"/>
    <x v="1"/>
    <x v="23"/>
    <n v="31237"/>
    <n v="38284"/>
  </r>
  <r>
    <s v="ORD07428"/>
    <d v="2025-03-16T00:00:00"/>
    <x v="9"/>
    <x v="19"/>
    <x v="5"/>
    <s v="Singapore"/>
    <x v="43"/>
    <x v="24"/>
    <n v="34142"/>
    <n v="27056"/>
  </r>
  <r>
    <s v="ORD07429"/>
    <d v="2025-01-06T00:00:00"/>
    <x v="1"/>
    <x v="6"/>
    <x v="0"/>
    <s v="Australia"/>
    <x v="33"/>
    <x v="28"/>
    <n v="38513"/>
    <n v="49607"/>
  </r>
  <r>
    <s v="ORD07430"/>
    <d v="2025-11-17T00:00:00"/>
    <x v="2"/>
    <x v="9"/>
    <x v="1"/>
    <s v="South Africa"/>
    <x v="8"/>
    <x v="16"/>
    <n v="39915"/>
    <n v="33707"/>
  </r>
  <r>
    <s v="ORD07431"/>
    <d v="2025-07-05T00:00:00"/>
    <x v="0"/>
    <x v="37"/>
    <x v="5"/>
    <s v="Japan"/>
    <x v="31"/>
    <x v="14"/>
    <n v="21283"/>
    <n v="26562"/>
  </r>
  <r>
    <s v="ORD07432"/>
    <d v="2025-06-16T00:00:00"/>
    <x v="5"/>
    <x v="13"/>
    <x v="2"/>
    <s v="USA"/>
    <x v="36"/>
    <x v="7"/>
    <n v="20658"/>
    <n v="19169"/>
  </r>
  <r>
    <s v="ORD07433"/>
    <d v="2025-03-18T00:00:00"/>
    <x v="9"/>
    <x v="39"/>
    <x v="0"/>
    <s v="South Africa"/>
    <x v="15"/>
    <x v="3"/>
    <n v="31925"/>
    <n v="32447"/>
  </r>
  <r>
    <s v="ORD07434"/>
    <d v="2025-01-30T00:00:00"/>
    <x v="1"/>
    <x v="3"/>
    <x v="4"/>
    <s v="Japan"/>
    <x v="4"/>
    <x v="11"/>
    <n v="24695"/>
    <n v="22890"/>
  </r>
  <r>
    <s v="ORD07435"/>
    <d v="2025-09-02T00:00:00"/>
    <x v="3"/>
    <x v="4"/>
    <x v="5"/>
    <s v="Singapore"/>
    <x v="41"/>
    <x v="18"/>
    <n v="38688"/>
    <n v="40838"/>
  </r>
  <r>
    <s v="ORD07436"/>
    <d v="2025-03-23T00:00:00"/>
    <x v="9"/>
    <x v="39"/>
    <x v="4"/>
    <s v="UAE"/>
    <x v="23"/>
    <x v="8"/>
    <n v="34808"/>
    <n v="31562"/>
  </r>
  <r>
    <s v="ORD07437"/>
    <d v="2025-04-24T00:00:00"/>
    <x v="7"/>
    <x v="38"/>
    <x v="5"/>
    <s v="USA"/>
    <x v="8"/>
    <x v="16"/>
    <n v="38655"/>
    <n v="28147"/>
  </r>
  <r>
    <s v="ORD07438"/>
    <d v="2025-05-05T00:00:00"/>
    <x v="8"/>
    <x v="18"/>
    <x v="3"/>
    <s v="Australia"/>
    <x v="3"/>
    <x v="28"/>
    <n v="21954"/>
    <n v="23971"/>
  </r>
  <r>
    <s v="ORD07439"/>
    <d v="2025-09-27T00:00:00"/>
    <x v="3"/>
    <x v="25"/>
    <x v="5"/>
    <s v="Japan"/>
    <x v="11"/>
    <x v="22"/>
    <n v="22254"/>
    <n v="21225"/>
  </r>
  <r>
    <s v="ORD07440"/>
    <d v="2025-10-21T00:00:00"/>
    <x v="4"/>
    <x v="50"/>
    <x v="1"/>
    <s v="Spain"/>
    <x v="18"/>
    <x v="0"/>
    <n v="28514"/>
    <n v="28524"/>
  </r>
  <r>
    <s v="ORD07441"/>
    <d v="2025-11-11T00:00:00"/>
    <x v="2"/>
    <x v="44"/>
    <x v="6"/>
    <s v="Mexico"/>
    <x v="43"/>
    <x v="16"/>
    <n v="25817"/>
    <n v="23058"/>
  </r>
  <r>
    <s v="ORD07442"/>
    <d v="2025-08-01T00:00:00"/>
    <x v="11"/>
    <x v="12"/>
    <x v="5"/>
    <s v="UAE"/>
    <x v="42"/>
    <x v="0"/>
    <n v="27828"/>
    <n v="32288"/>
  </r>
  <r>
    <s v="ORD07443"/>
    <d v="2025-05-16T00:00:00"/>
    <x v="8"/>
    <x v="17"/>
    <x v="3"/>
    <s v="Australia"/>
    <x v="27"/>
    <x v="16"/>
    <n v="17391"/>
    <n v="19031"/>
  </r>
  <r>
    <s v="ORD07444"/>
    <d v="2025-08-26T00:00:00"/>
    <x v="11"/>
    <x v="28"/>
    <x v="6"/>
    <s v="UK"/>
    <x v="18"/>
    <x v="6"/>
    <n v="36271"/>
    <n v="34886"/>
  </r>
  <r>
    <s v="ORD07445"/>
    <d v="2025-12-30T00:00:00"/>
    <x v="10"/>
    <x v="5"/>
    <x v="2"/>
    <s v="Spain"/>
    <x v="34"/>
    <x v="4"/>
    <n v="23383"/>
    <n v="22597"/>
  </r>
  <r>
    <s v="ORD07446"/>
    <d v="2025-11-29T00:00:00"/>
    <x v="2"/>
    <x v="11"/>
    <x v="5"/>
    <s v="UAE"/>
    <x v="3"/>
    <x v="8"/>
    <n v="22678"/>
    <n v="21399"/>
  </r>
  <r>
    <s v="ORD07447"/>
    <d v="2025-05-26T00:00:00"/>
    <x v="8"/>
    <x v="24"/>
    <x v="5"/>
    <s v="South Africa"/>
    <x v="26"/>
    <x v="11"/>
    <n v="37826"/>
    <n v="26560"/>
  </r>
  <r>
    <s v="ORD07448"/>
    <d v="2025-12-16T00:00:00"/>
    <x v="10"/>
    <x v="21"/>
    <x v="4"/>
    <s v="Spain"/>
    <x v="27"/>
    <x v="20"/>
    <n v="25750"/>
    <n v="23747"/>
  </r>
  <r>
    <s v="ORD07449"/>
    <d v="2025-12-26T00:00:00"/>
    <x v="10"/>
    <x v="42"/>
    <x v="3"/>
    <s v="South Africa"/>
    <x v="24"/>
    <x v="8"/>
    <n v="27025"/>
    <n v="29665"/>
  </r>
  <r>
    <s v="ORD07450"/>
    <d v="2025-03-25T00:00:00"/>
    <x v="9"/>
    <x v="33"/>
    <x v="1"/>
    <s v="Russia"/>
    <x v="22"/>
    <x v="6"/>
    <n v="17005"/>
    <n v="13422"/>
  </r>
  <r>
    <s v="ORD07451"/>
    <d v="2025-08-06T00:00:00"/>
    <x v="11"/>
    <x v="23"/>
    <x v="4"/>
    <s v="Canada"/>
    <x v="41"/>
    <x v="6"/>
    <n v="27232"/>
    <n v="24536"/>
  </r>
  <r>
    <s v="ORD07452"/>
    <d v="2025-02-08T00:00:00"/>
    <x v="6"/>
    <x v="48"/>
    <x v="3"/>
    <s v="China"/>
    <x v="28"/>
    <x v="3"/>
    <n v="35086"/>
    <n v="25599"/>
  </r>
  <r>
    <s v="ORD07453"/>
    <d v="2025-02-04T00:00:00"/>
    <x v="6"/>
    <x v="48"/>
    <x v="1"/>
    <s v="Japan"/>
    <x v="48"/>
    <x v="14"/>
    <n v="34152"/>
    <n v="43048"/>
  </r>
  <r>
    <s v="ORD07454"/>
    <d v="2025-12-06T00:00:00"/>
    <x v="10"/>
    <x v="43"/>
    <x v="4"/>
    <s v="Brazil"/>
    <x v="40"/>
    <x v="29"/>
    <n v="21540"/>
    <n v="25215"/>
  </r>
  <r>
    <s v="ORD07455"/>
    <d v="2025-09-18T00:00:00"/>
    <x v="3"/>
    <x v="8"/>
    <x v="6"/>
    <s v="Turkey"/>
    <x v="23"/>
    <x v="11"/>
    <n v="31408"/>
    <n v="36090"/>
  </r>
  <r>
    <s v="ORD07456"/>
    <d v="2025-07-10T00:00:00"/>
    <x v="0"/>
    <x v="47"/>
    <x v="6"/>
    <s v="USA"/>
    <x v="38"/>
    <x v="26"/>
    <n v="21415"/>
    <n v="24017"/>
  </r>
  <r>
    <s v="ORD07457"/>
    <d v="2025-08-26T00:00:00"/>
    <x v="11"/>
    <x v="28"/>
    <x v="2"/>
    <s v="UAE"/>
    <x v="25"/>
    <x v="0"/>
    <n v="15070"/>
    <n v="15666"/>
  </r>
  <r>
    <s v="ORD07458"/>
    <d v="2025-10-27T00:00:00"/>
    <x v="4"/>
    <x v="2"/>
    <x v="0"/>
    <s v="Turkey"/>
    <x v="40"/>
    <x v="13"/>
    <n v="34149"/>
    <n v="37691"/>
  </r>
  <r>
    <s v="ORD07459"/>
    <d v="2025-06-11T00:00:00"/>
    <x v="5"/>
    <x v="40"/>
    <x v="4"/>
    <s v="Japan"/>
    <x v="23"/>
    <x v="13"/>
    <n v="26685"/>
    <n v="20814"/>
  </r>
  <r>
    <s v="ORD07460"/>
    <d v="2025-01-16T00:00:00"/>
    <x v="1"/>
    <x v="1"/>
    <x v="4"/>
    <s v="Mexico"/>
    <x v="37"/>
    <x v="19"/>
    <n v="27490"/>
    <n v="32805"/>
  </r>
  <r>
    <s v="ORD07461"/>
    <d v="2025-10-27T00:00:00"/>
    <x v="4"/>
    <x v="2"/>
    <x v="4"/>
    <s v="South Africa"/>
    <x v="28"/>
    <x v="22"/>
    <n v="26632"/>
    <n v="26320"/>
  </r>
  <r>
    <s v="ORD07462"/>
    <d v="2025-04-27T00:00:00"/>
    <x v="7"/>
    <x v="38"/>
    <x v="0"/>
    <s v="Russia"/>
    <x v="29"/>
    <x v="14"/>
    <n v="29396"/>
    <n v="35881"/>
  </r>
  <r>
    <s v="ORD07463"/>
    <d v="2025-12-05T00:00:00"/>
    <x v="10"/>
    <x v="43"/>
    <x v="3"/>
    <s v="Russia"/>
    <x v="23"/>
    <x v="1"/>
    <n v="18872"/>
    <n v="16255"/>
  </r>
  <r>
    <s v="ORD07464"/>
    <d v="2025-11-26T00:00:00"/>
    <x v="2"/>
    <x v="11"/>
    <x v="4"/>
    <s v="France"/>
    <x v="35"/>
    <x v="7"/>
    <n v="26942"/>
    <n v="28281"/>
  </r>
  <r>
    <s v="ORD07465"/>
    <d v="2025-06-18T00:00:00"/>
    <x v="5"/>
    <x v="13"/>
    <x v="1"/>
    <s v="South Africa"/>
    <x v="5"/>
    <x v="28"/>
    <n v="16499"/>
    <n v="20358"/>
  </r>
  <r>
    <s v="ORD07466"/>
    <d v="2025-11-14T00:00:00"/>
    <x v="2"/>
    <x v="44"/>
    <x v="6"/>
    <s v="China"/>
    <x v="45"/>
    <x v="26"/>
    <n v="24950"/>
    <n v="31552"/>
  </r>
  <r>
    <s v="ORD07467"/>
    <d v="2025-01-15T00:00:00"/>
    <x v="1"/>
    <x v="1"/>
    <x v="5"/>
    <s v="Germany"/>
    <x v="32"/>
    <x v="7"/>
    <n v="17368"/>
    <n v="18429"/>
  </r>
  <r>
    <s v="ORD07468"/>
    <d v="2025-01-06T00:00:00"/>
    <x v="1"/>
    <x v="6"/>
    <x v="2"/>
    <s v="China"/>
    <x v="11"/>
    <x v="12"/>
    <n v="33545"/>
    <n v="35341"/>
  </r>
  <r>
    <s v="ORD07469"/>
    <d v="2025-07-31T00:00:00"/>
    <x v="0"/>
    <x v="12"/>
    <x v="6"/>
    <s v="Brazil"/>
    <x v="47"/>
    <x v="12"/>
    <n v="19801"/>
    <n v="14201"/>
  </r>
  <r>
    <s v="ORD07470"/>
    <d v="2025-11-09T00:00:00"/>
    <x v="2"/>
    <x v="51"/>
    <x v="3"/>
    <s v="Japan"/>
    <x v="16"/>
    <x v="15"/>
    <n v="28546"/>
    <n v="23068"/>
  </r>
  <r>
    <s v="ORD07471"/>
    <d v="2025-09-18T00:00:00"/>
    <x v="3"/>
    <x v="8"/>
    <x v="2"/>
    <s v="Spain"/>
    <x v="40"/>
    <x v="27"/>
    <n v="27961"/>
    <n v="22407"/>
  </r>
  <r>
    <s v="ORD07472"/>
    <d v="2025-08-14T00:00:00"/>
    <x v="11"/>
    <x v="30"/>
    <x v="1"/>
    <s v="Italy"/>
    <x v="28"/>
    <x v="11"/>
    <n v="28413"/>
    <n v="29232"/>
  </r>
  <r>
    <s v="ORD07473"/>
    <d v="2025-10-05T00:00:00"/>
    <x v="4"/>
    <x v="49"/>
    <x v="4"/>
    <s v="USA"/>
    <x v="4"/>
    <x v="19"/>
    <n v="38893"/>
    <n v="36446"/>
  </r>
  <r>
    <s v="ORD07474"/>
    <d v="2025-04-07T00:00:00"/>
    <x v="7"/>
    <x v="16"/>
    <x v="3"/>
    <s v="South Africa"/>
    <x v="11"/>
    <x v="12"/>
    <n v="16165"/>
    <n v="13379"/>
  </r>
  <r>
    <s v="ORD07475"/>
    <d v="2025-08-28T00:00:00"/>
    <x v="11"/>
    <x v="28"/>
    <x v="6"/>
    <s v="Italy"/>
    <x v="24"/>
    <x v="24"/>
    <n v="38248"/>
    <n v="32884"/>
  </r>
  <r>
    <s v="ORD07476"/>
    <d v="2025-05-01T00:00:00"/>
    <x v="8"/>
    <x v="27"/>
    <x v="6"/>
    <s v="Brazil"/>
    <x v="31"/>
    <x v="22"/>
    <n v="26393"/>
    <n v="33002"/>
  </r>
  <r>
    <s v="ORD07477"/>
    <d v="2025-06-26T00:00:00"/>
    <x v="5"/>
    <x v="36"/>
    <x v="0"/>
    <s v="Turkey"/>
    <x v="48"/>
    <x v="17"/>
    <n v="20831"/>
    <n v="27057"/>
  </r>
  <r>
    <s v="ORD07478"/>
    <d v="2025-08-31T00:00:00"/>
    <x v="11"/>
    <x v="28"/>
    <x v="6"/>
    <s v="Canada"/>
    <x v="40"/>
    <x v="26"/>
    <n v="32748"/>
    <n v="25590"/>
  </r>
  <r>
    <s v="ORD07479"/>
    <d v="2025-12-28T00:00:00"/>
    <x v="10"/>
    <x v="42"/>
    <x v="0"/>
    <s v="USA"/>
    <x v="33"/>
    <x v="28"/>
    <n v="24519"/>
    <n v="23424"/>
  </r>
  <r>
    <s v="ORD07480"/>
    <d v="2025-11-10T00:00:00"/>
    <x v="2"/>
    <x v="44"/>
    <x v="1"/>
    <s v="Singapore"/>
    <x v="8"/>
    <x v="24"/>
    <n v="32070"/>
    <n v="27371"/>
  </r>
  <r>
    <s v="ORD07481"/>
    <d v="2025-03-23T00:00:00"/>
    <x v="9"/>
    <x v="39"/>
    <x v="1"/>
    <s v="USA"/>
    <x v="1"/>
    <x v="15"/>
    <n v="26233"/>
    <n v="27254"/>
  </r>
  <r>
    <s v="ORD07482"/>
    <d v="2025-10-05T00:00:00"/>
    <x v="4"/>
    <x v="49"/>
    <x v="3"/>
    <s v="France"/>
    <x v="6"/>
    <x v="27"/>
    <n v="26189"/>
    <n v="31359"/>
  </r>
  <r>
    <s v="ORD07483"/>
    <d v="2025-04-09T00:00:00"/>
    <x v="7"/>
    <x v="16"/>
    <x v="6"/>
    <s v="Thailand"/>
    <x v="13"/>
    <x v="6"/>
    <n v="33545"/>
    <n v="31116"/>
  </r>
  <r>
    <s v="ORD07484"/>
    <d v="2025-06-13T00:00:00"/>
    <x v="5"/>
    <x v="40"/>
    <x v="0"/>
    <s v="Brazil"/>
    <x v="36"/>
    <x v="14"/>
    <n v="20695"/>
    <n v="21317"/>
  </r>
  <r>
    <s v="ORD07485"/>
    <d v="2025-01-27T00:00:00"/>
    <x v="1"/>
    <x v="3"/>
    <x v="3"/>
    <s v="Singapore"/>
    <x v="10"/>
    <x v="29"/>
    <n v="32779"/>
    <n v="25563"/>
  </r>
  <r>
    <s v="ORD07486"/>
    <d v="2025-10-03T00:00:00"/>
    <x v="4"/>
    <x v="49"/>
    <x v="6"/>
    <s v="Italy"/>
    <x v="42"/>
    <x v="13"/>
    <n v="18284"/>
    <n v="14247"/>
  </r>
  <r>
    <s v="ORD07487"/>
    <d v="2025-03-05T00:00:00"/>
    <x v="9"/>
    <x v="35"/>
    <x v="1"/>
    <s v="UAE"/>
    <x v="10"/>
    <x v="3"/>
    <n v="18419"/>
    <n v="17460"/>
  </r>
  <r>
    <s v="ORD07488"/>
    <d v="2025-09-12T00:00:00"/>
    <x v="3"/>
    <x v="31"/>
    <x v="4"/>
    <s v="Malaysia"/>
    <x v="0"/>
    <x v="2"/>
    <n v="28355"/>
    <n v="24053"/>
  </r>
  <r>
    <s v="ORD07489"/>
    <d v="2025-08-30T00:00:00"/>
    <x v="11"/>
    <x v="28"/>
    <x v="0"/>
    <s v="France"/>
    <x v="20"/>
    <x v="1"/>
    <n v="22282"/>
    <n v="27753"/>
  </r>
  <r>
    <s v="ORD07490"/>
    <d v="2025-07-02T00:00:00"/>
    <x v="0"/>
    <x v="37"/>
    <x v="3"/>
    <s v="Singapore"/>
    <x v="3"/>
    <x v="14"/>
    <n v="22082"/>
    <n v="23993"/>
  </r>
  <r>
    <s v="ORD07491"/>
    <d v="2025-11-01T00:00:00"/>
    <x v="2"/>
    <x v="2"/>
    <x v="1"/>
    <s v="UK"/>
    <x v="28"/>
    <x v="22"/>
    <n v="15411"/>
    <n v="19716"/>
  </r>
  <r>
    <s v="ORD07492"/>
    <d v="2025-09-22T00:00:00"/>
    <x v="3"/>
    <x v="25"/>
    <x v="3"/>
    <s v="China"/>
    <x v="28"/>
    <x v="29"/>
    <n v="27403"/>
    <n v="30109"/>
  </r>
  <r>
    <s v="ORD07493"/>
    <d v="2025-07-04T00:00:00"/>
    <x v="0"/>
    <x v="37"/>
    <x v="2"/>
    <s v="Japan"/>
    <x v="42"/>
    <x v="22"/>
    <n v="27007"/>
    <n v="24799"/>
  </r>
  <r>
    <s v="ORD07494"/>
    <d v="2025-02-13T00:00:00"/>
    <x v="6"/>
    <x v="29"/>
    <x v="1"/>
    <s v="Russia"/>
    <x v="38"/>
    <x v="18"/>
    <n v="31508"/>
    <n v="33348"/>
  </r>
  <r>
    <s v="ORD07495"/>
    <d v="2025-07-21T00:00:00"/>
    <x v="0"/>
    <x v="0"/>
    <x v="6"/>
    <s v="India"/>
    <x v="32"/>
    <x v="29"/>
    <n v="32260"/>
    <n v="23785"/>
  </r>
  <r>
    <s v="ORD07496"/>
    <d v="2025-01-11T00:00:00"/>
    <x v="1"/>
    <x v="6"/>
    <x v="3"/>
    <s v="Brazil"/>
    <x v="20"/>
    <x v="17"/>
    <n v="27698"/>
    <n v="35593"/>
  </r>
  <r>
    <s v="ORD07497"/>
    <d v="2025-07-30T00:00:00"/>
    <x v="0"/>
    <x v="12"/>
    <x v="4"/>
    <s v="USA"/>
    <x v="16"/>
    <x v="26"/>
    <n v="38449"/>
    <n v="45767"/>
  </r>
  <r>
    <s v="ORD07498"/>
    <d v="2025-04-15T00:00:00"/>
    <x v="7"/>
    <x v="20"/>
    <x v="1"/>
    <s v="China"/>
    <x v="46"/>
    <x v="14"/>
    <n v="19978"/>
    <n v="19152"/>
  </r>
  <r>
    <s v="ORD07499"/>
    <d v="2025-10-24T00:00:00"/>
    <x v="4"/>
    <x v="50"/>
    <x v="4"/>
    <s v="Singapore"/>
    <x v="0"/>
    <x v="11"/>
    <n v="24584"/>
    <n v="19132"/>
  </r>
  <r>
    <s v="ORD07500"/>
    <d v="2025-09-05T00:00:00"/>
    <x v="3"/>
    <x v="4"/>
    <x v="2"/>
    <s v="France"/>
    <x v="2"/>
    <x v="15"/>
    <n v="26677"/>
    <n v="24766"/>
  </r>
  <r>
    <s v="ORD07501"/>
    <d v="2025-06-22T00:00:00"/>
    <x v="5"/>
    <x v="13"/>
    <x v="6"/>
    <s v="Italy"/>
    <x v="22"/>
    <x v="28"/>
    <n v="34047"/>
    <n v="34269"/>
  </r>
  <r>
    <s v="ORD07502"/>
    <d v="2025-05-02T00:00:00"/>
    <x v="8"/>
    <x v="27"/>
    <x v="6"/>
    <s v="Italy"/>
    <x v="49"/>
    <x v="3"/>
    <n v="32613"/>
    <n v="37980"/>
  </r>
  <r>
    <s v="ORD07503"/>
    <d v="2025-02-09T00:00:00"/>
    <x v="6"/>
    <x v="48"/>
    <x v="2"/>
    <s v="Germany"/>
    <x v="28"/>
    <x v="17"/>
    <n v="19228"/>
    <n v="20478"/>
  </r>
  <r>
    <s v="ORD07504"/>
    <d v="2025-03-28T00:00:00"/>
    <x v="9"/>
    <x v="33"/>
    <x v="5"/>
    <s v="USA"/>
    <x v="28"/>
    <x v="4"/>
    <n v="22063"/>
    <n v="20300"/>
  </r>
  <r>
    <s v="ORD07505"/>
    <d v="2025-05-20T00:00:00"/>
    <x v="8"/>
    <x v="26"/>
    <x v="0"/>
    <s v="China"/>
    <x v="18"/>
    <x v="25"/>
    <n v="37944"/>
    <n v="33462"/>
  </r>
  <r>
    <s v="ORD07506"/>
    <d v="2025-04-09T00:00:00"/>
    <x v="7"/>
    <x v="16"/>
    <x v="0"/>
    <s v="China"/>
    <x v="27"/>
    <x v="5"/>
    <n v="26421"/>
    <n v="24268"/>
  </r>
  <r>
    <s v="ORD07507"/>
    <d v="2025-03-24T00:00:00"/>
    <x v="9"/>
    <x v="33"/>
    <x v="6"/>
    <s v="China"/>
    <x v="31"/>
    <x v="29"/>
    <n v="26934"/>
    <n v="22136"/>
  </r>
  <r>
    <s v="ORD07508"/>
    <d v="2025-04-02T00:00:00"/>
    <x v="7"/>
    <x v="34"/>
    <x v="5"/>
    <s v="Germany"/>
    <x v="0"/>
    <x v="10"/>
    <n v="35223"/>
    <n v="26684"/>
  </r>
  <r>
    <s v="ORD07509"/>
    <d v="2025-11-17T00:00:00"/>
    <x v="2"/>
    <x v="9"/>
    <x v="4"/>
    <s v="Germany"/>
    <x v="5"/>
    <x v="23"/>
    <n v="37681"/>
    <n v="40065"/>
  </r>
  <r>
    <s v="ORD07510"/>
    <d v="2025-04-19T00:00:00"/>
    <x v="7"/>
    <x v="20"/>
    <x v="1"/>
    <s v="Mexico"/>
    <x v="36"/>
    <x v="4"/>
    <n v="17984"/>
    <n v="14187"/>
  </r>
  <r>
    <s v="ORD07511"/>
    <d v="2025-06-02T00:00:00"/>
    <x v="5"/>
    <x v="41"/>
    <x v="6"/>
    <s v="Germany"/>
    <x v="34"/>
    <x v="13"/>
    <n v="36625"/>
    <n v="40197"/>
  </r>
  <r>
    <s v="ORD07512"/>
    <d v="2025-10-29T00:00:00"/>
    <x v="4"/>
    <x v="2"/>
    <x v="4"/>
    <s v="Canada"/>
    <x v="25"/>
    <x v="15"/>
    <n v="28772"/>
    <n v="30624"/>
  </r>
  <r>
    <s v="ORD07513"/>
    <d v="2025-05-05T00:00:00"/>
    <x v="8"/>
    <x v="18"/>
    <x v="4"/>
    <s v="UAE"/>
    <x v="33"/>
    <x v="17"/>
    <n v="23725"/>
    <n v="30494"/>
  </r>
  <r>
    <s v="ORD07514"/>
    <d v="2025-05-18T00:00:00"/>
    <x v="8"/>
    <x v="17"/>
    <x v="4"/>
    <s v="India"/>
    <x v="10"/>
    <x v="23"/>
    <n v="27580"/>
    <n v="32890"/>
  </r>
  <r>
    <s v="ORD07515"/>
    <d v="2025-08-07T00:00:00"/>
    <x v="11"/>
    <x v="23"/>
    <x v="2"/>
    <s v="Thailand"/>
    <x v="30"/>
    <x v="16"/>
    <n v="31709"/>
    <n v="29817"/>
  </r>
  <r>
    <s v="ORD07516"/>
    <d v="2025-11-24T00:00:00"/>
    <x v="2"/>
    <x v="11"/>
    <x v="2"/>
    <s v="Mexico"/>
    <x v="49"/>
    <x v="27"/>
    <n v="26548"/>
    <n v="30281"/>
  </r>
  <r>
    <s v="ORD07517"/>
    <d v="2025-06-08T00:00:00"/>
    <x v="5"/>
    <x v="41"/>
    <x v="6"/>
    <s v="Germany"/>
    <x v="37"/>
    <x v="22"/>
    <n v="20279"/>
    <n v="24913"/>
  </r>
  <r>
    <s v="ORD07518"/>
    <d v="2025-12-11T00:00:00"/>
    <x v="10"/>
    <x v="32"/>
    <x v="1"/>
    <s v="Japan"/>
    <x v="17"/>
    <x v="3"/>
    <n v="29783"/>
    <n v="27228"/>
  </r>
  <r>
    <s v="ORD07519"/>
    <d v="2025-01-04T00:00:00"/>
    <x v="1"/>
    <x v="5"/>
    <x v="4"/>
    <s v="UAE"/>
    <x v="12"/>
    <x v="11"/>
    <n v="33192"/>
    <n v="39670"/>
  </r>
  <r>
    <s v="ORD07520"/>
    <d v="2025-09-29T00:00:00"/>
    <x v="3"/>
    <x v="49"/>
    <x v="1"/>
    <s v="UAE"/>
    <x v="41"/>
    <x v="27"/>
    <n v="38323"/>
    <n v="39163"/>
  </r>
  <r>
    <s v="ORD07521"/>
    <d v="2025-12-26T00:00:00"/>
    <x v="10"/>
    <x v="42"/>
    <x v="3"/>
    <s v="Spain"/>
    <x v="46"/>
    <x v="18"/>
    <n v="30069"/>
    <n v="33790"/>
  </r>
  <r>
    <s v="ORD07522"/>
    <d v="2025-10-01T00:00:00"/>
    <x v="4"/>
    <x v="49"/>
    <x v="1"/>
    <s v="France"/>
    <x v="35"/>
    <x v="0"/>
    <n v="30697"/>
    <n v="24544"/>
  </r>
  <r>
    <s v="ORD07523"/>
    <d v="2025-05-05T00:00:00"/>
    <x v="8"/>
    <x v="18"/>
    <x v="1"/>
    <s v="Canada"/>
    <x v="41"/>
    <x v="26"/>
    <n v="25003"/>
    <n v="24633"/>
  </r>
  <r>
    <s v="ORD07524"/>
    <d v="2025-06-02T00:00:00"/>
    <x v="5"/>
    <x v="41"/>
    <x v="2"/>
    <s v="Turkey"/>
    <x v="27"/>
    <x v="29"/>
    <n v="32878"/>
    <n v="29773"/>
  </r>
  <r>
    <s v="ORD07525"/>
    <d v="2025-08-05T00:00:00"/>
    <x v="11"/>
    <x v="23"/>
    <x v="5"/>
    <s v="Japan"/>
    <x v="4"/>
    <x v="23"/>
    <n v="29220"/>
    <n v="31753"/>
  </r>
  <r>
    <s v="ORD07526"/>
    <d v="2025-11-27T00:00:00"/>
    <x v="2"/>
    <x v="11"/>
    <x v="2"/>
    <s v="UAE"/>
    <x v="15"/>
    <x v="21"/>
    <n v="24347"/>
    <n v="26395"/>
  </r>
  <r>
    <s v="ORD07527"/>
    <d v="2025-04-24T00:00:00"/>
    <x v="7"/>
    <x v="38"/>
    <x v="6"/>
    <s v="Malaysia"/>
    <x v="0"/>
    <x v="26"/>
    <n v="32117"/>
    <n v="39767"/>
  </r>
  <r>
    <s v="ORD07528"/>
    <d v="2025-11-18T00:00:00"/>
    <x v="2"/>
    <x v="9"/>
    <x v="5"/>
    <s v="Canada"/>
    <x v="40"/>
    <x v="12"/>
    <n v="20030"/>
    <n v="19347"/>
  </r>
  <r>
    <s v="ORD07529"/>
    <d v="2025-12-13T00:00:00"/>
    <x v="10"/>
    <x v="32"/>
    <x v="6"/>
    <s v="Italy"/>
    <x v="35"/>
    <x v="11"/>
    <n v="23660"/>
    <n v="27475"/>
  </r>
  <r>
    <s v="ORD07530"/>
    <d v="2025-01-26T00:00:00"/>
    <x v="1"/>
    <x v="7"/>
    <x v="1"/>
    <s v="Australia"/>
    <x v="25"/>
    <x v="10"/>
    <n v="27113"/>
    <n v="23696"/>
  </r>
  <r>
    <s v="ORD07531"/>
    <d v="2025-05-13T00:00:00"/>
    <x v="8"/>
    <x v="17"/>
    <x v="2"/>
    <s v="Spain"/>
    <x v="5"/>
    <x v="26"/>
    <n v="15352"/>
    <n v="18391"/>
  </r>
  <r>
    <s v="ORD07532"/>
    <d v="2025-09-24T00:00:00"/>
    <x v="3"/>
    <x v="25"/>
    <x v="5"/>
    <s v="Italy"/>
    <x v="38"/>
    <x v="17"/>
    <n v="38435"/>
    <n v="30393"/>
  </r>
  <r>
    <s v="ORD07533"/>
    <d v="2025-09-28T00:00:00"/>
    <x v="3"/>
    <x v="25"/>
    <x v="2"/>
    <s v="Canada"/>
    <x v="14"/>
    <x v="3"/>
    <n v="24602"/>
    <n v="24150"/>
  </r>
  <r>
    <s v="ORD07534"/>
    <d v="2025-01-20T00:00:00"/>
    <x v="1"/>
    <x v="7"/>
    <x v="1"/>
    <s v="South Africa"/>
    <x v="27"/>
    <x v="6"/>
    <n v="29204"/>
    <n v="26179"/>
  </r>
  <r>
    <s v="ORD07535"/>
    <d v="2025-12-20T00:00:00"/>
    <x v="10"/>
    <x v="21"/>
    <x v="0"/>
    <s v="China"/>
    <x v="43"/>
    <x v="5"/>
    <n v="35737"/>
    <n v="33032"/>
  </r>
  <r>
    <s v="ORD07536"/>
    <d v="2025-02-28T00:00:00"/>
    <x v="6"/>
    <x v="22"/>
    <x v="5"/>
    <s v="USA"/>
    <x v="6"/>
    <x v="2"/>
    <n v="37877"/>
    <n v="43195"/>
  </r>
  <r>
    <s v="ORD07537"/>
    <d v="2025-07-07T00:00:00"/>
    <x v="0"/>
    <x v="47"/>
    <x v="0"/>
    <s v="USA"/>
    <x v="13"/>
    <x v="13"/>
    <n v="15928"/>
    <n v="12210"/>
  </r>
  <r>
    <s v="ORD07538"/>
    <d v="2025-02-20T00:00:00"/>
    <x v="6"/>
    <x v="15"/>
    <x v="3"/>
    <s v="Australia"/>
    <x v="17"/>
    <x v="17"/>
    <n v="21417"/>
    <n v="24692"/>
  </r>
  <r>
    <s v="ORD07539"/>
    <d v="2025-02-20T00:00:00"/>
    <x v="6"/>
    <x v="15"/>
    <x v="1"/>
    <s v="Turkey"/>
    <x v="38"/>
    <x v="8"/>
    <n v="39924"/>
    <n v="37464"/>
  </r>
  <r>
    <s v="ORD07540"/>
    <d v="2025-10-31T00:00:00"/>
    <x v="4"/>
    <x v="2"/>
    <x v="0"/>
    <s v="Malaysia"/>
    <x v="47"/>
    <x v="24"/>
    <n v="25679"/>
    <n v="30470"/>
  </r>
  <r>
    <s v="ORD07541"/>
    <d v="2025-12-31T00:00:00"/>
    <x v="10"/>
    <x v="5"/>
    <x v="0"/>
    <s v="France"/>
    <x v="16"/>
    <x v="22"/>
    <n v="19882"/>
    <n v="22731"/>
  </r>
  <r>
    <s v="ORD07542"/>
    <d v="2025-10-28T00:00:00"/>
    <x v="4"/>
    <x v="2"/>
    <x v="5"/>
    <s v="China"/>
    <x v="25"/>
    <x v="1"/>
    <n v="39851"/>
    <n v="42231"/>
  </r>
  <r>
    <s v="ORD07543"/>
    <d v="2025-10-20T00:00:00"/>
    <x v="4"/>
    <x v="50"/>
    <x v="3"/>
    <s v="South Africa"/>
    <x v="40"/>
    <x v="28"/>
    <n v="35059"/>
    <n v="24749"/>
  </r>
  <r>
    <s v="ORD07544"/>
    <d v="2025-09-24T00:00:00"/>
    <x v="3"/>
    <x v="25"/>
    <x v="1"/>
    <s v="UK"/>
    <x v="33"/>
    <x v="5"/>
    <n v="15158"/>
    <n v="11409"/>
  </r>
  <r>
    <s v="ORD07545"/>
    <d v="2025-06-26T00:00:00"/>
    <x v="5"/>
    <x v="36"/>
    <x v="6"/>
    <s v="Spain"/>
    <x v="16"/>
    <x v="5"/>
    <n v="35092"/>
    <n v="25751"/>
  </r>
  <r>
    <s v="ORD07546"/>
    <d v="2025-04-20T00:00:00"/>
    <x v="7"/>
    <x v="20"/>
    <x v="0"/>
    <s v="Italy"/>
    <x v="7"/>
    <x v="14"/>
    <n v="20112"/>
    <n v="20428"/>
  </r>
  <r>
    <s v="ORD07547"/>
    <d v="2025-11-14T00:00:00"/>
    <x v="2"/>
    <x v="44"/>
    <x v="6"/>
    <s v="Turkey"/>
    <x v="16"/>
    <x v="21"/>
    <n v="28537"/>
    <n v="25806"/>
  </r>
  <r>
    <s v="ORD07548"/>
    <d v="2025-02-24T00:00:00"/>
    <x v="6"/>
    <x v="22"/>
    <x v="1"/>
    <s v="UK"/>
    <x v="32"/>
    <x v="11"/>
    <n v="21622"/>
    <n v="28005"/>
  </r>
  <r>
    <s v="ORD07549"/>
    <d v="2025-10-26T00:00:00"/>
    <x v="4"/>
    <x v="50"/>
    <x v="6"/>
    <s v="South Africa"/>
    <x v="28"/>
    <x v="9"/>
    <n v="38662"/>
    <n v="39173"/>
  </r>
  <r>
    <s v="ORD07550"/>
    <d v="2025-05-21T00:00:00"/>
    <x v="8"/>
    <x v="26"/>
    <x v="3"/>
    <s v="Italy"/>
    <x v="17"/>
    <x v="11"/>
    <n v="36430"/>
    <n v="30561"/>
  </r>
  <r>
    <s v="ORD07551"/>
    <d v="2025-10-28T00:00:00"/>
    <x v="4"/>
    <x v="2"/>
    <x v="4"/>
    <s v="India"/>
    <x v="27"/>
    <x v="29"/>
    <n v="36760"/>
    <n v="30609"/>
  </r>
  <r>
    <s v="ORD07552"/>
    <d v="2025-09-23T00:00:00"/>
    <x v="3"/>
    <x v="25"/>
    <x v="5"/>
    <s v="Mexico"/>
    <x v="21"/>
    <x v="21"/>
    <n v="26524"/>
    <n v="28372"/>
  </r>
  <r>
    <s v="ORD07553"/>
    <d v="2025-08-16T00:00:00"/>
    <x v="11"/>
    <x v="30"/>
    <x v="0"/>
    <s v="USA"/>
    <x v="14"/>
    <x v="2"/>
    <n v="34337"/>
    <n v="41442"/>
  </r>
  <r>
    <s v="ORD07554"/>
    <d v="2025-03-14T00:00:00"/>
    <x v="9"/>
    <x v="19"/>
    <x v="6"/>
    <s v="Singapore"/>
    <x v="20"/>
    <x v="17"/>
    <n v="39078"/>
    <n v="41913"/>
  </r>
  <r>
    <s v="ORD07555"/>
    <d v="2025-04-09T00:00:00"/>
    <x v="7"/>
    <x v="16"/>
    <x v="0"/>
    <s v="France"/>
    <x v="33"/>
    <x v="6"/>
    <n v="38904"/>
    <n v="48670"/>
  </r>
  <r>
    <s v="ORD07556"/>
    <d v="2025-04-12T00:00:00"/>
    <x v="7"/>
    <x v="16"/>
    <x v="1"/>
    <s v="Thailand"/>
    <x v="0"/>
    <x v="7"/>
    <n v="23042"/>
    <n v="21323"/>
  </r>
  <r>
    <s v="ORD07557"/>
    <d v="2025-08-31T00:00:00"/>
    <x v="11"/>
    <x v="28"/>
    <x v="2"/>
    <s v="Malaysia"/>
    <x v="47"/>
    <x v="17"/>
    <n v="18940"/>
    <n v="16421"/>
  </r>
  <r>
    <s v="ORD07558"/>
    <d v="2025-04-20T00:00:00"/>
    <x v="7"/>
    <x v="20"/>
    <x v="3"/>
    <s v="Singapore"/>
    <x v="36"/>
    <x v="3"/>
    <n v="24072"/>
    <n v="17180"/>
  </r>
  <r>
    <s v="ORD07559"/>
    <d v="2025-01-18T00:00:00"/>
    <x v="1"/>
    <x v="1"/>
    <x v="2"/>
    <s v="Australia"/>
    <x v="25"/>
    <x v="8"/>
    <n v="18042"/>
    <n v="16039"/>
  </r>
  <r>
    <s v="ORD07560"/>
    <d v="2025-05-29T00:00:00"/>
    <x v="8"/>
    <x v="24"/>
    <x v="6"/>
    <s v="Germany"/>
    <x v="26"/>
    <x v="5"/>
    <n v="34454"/>
    <n v="44054"/>
  </r>
  <r>
    <s v="ORD07561"/>
    <d v="2025-08-12T00:00:00"/>
    <x v="11"/>
    <x v="30"/>
    <x v="2"/>
    <s v="China"/>
    <x v="39"/>
    <x v="26"/>
    <n v="36070"/>
    <n v="37960"/>
  </r>
  <r>
    <s v="ORD07562"/>
    <d v="2025-08-06T00:00:00"/>
    <x v="11"/>
    <x v="23"/>
    <x v="4"/>
    <s v="India"/>
    <x v="18"/>
    <x v="1"/>
    <n v="33671"/>
    <n v="34349"/>
  </r>
  <r>
    <s v="ORD07563"/>
    <d v="2025-08-24T00:00:00"/>
    <x v="11"/>
    <x v="46"/>
    <x v="1"/>
    <s v="UAE"/>
    <x v="15"/>
    <x v="23"/>
    <n v="26740"/>
    <n v="28169"/>
  </r>
  <r>
    <s v="ORD07564"/>
    <d v="2025-07-03T00:00:00"/>
    <x v="0"/>
    <x v="37"/>
    <x v="6"/>
    <s v="Thailand"/>
    <x v="12"/>
    <x v="23"/>
    <n v="29146"/>
    <n v="21980"/>
  </r>
  <r>
    <s v="ORD07565"/>
    <d v="2025-03-03T00:00:00"/>
    <x v="9"/>
    <x v="35"/>
    <x v="5"/>
    <s v="Germany"/>
    <x v="31"/>
    <x v="29"/>
    <n v="34226"/>
    <n v="36139"/>
  </r>
  <r>
    <s v="ORD07566"/>
    <d v="2025-09-04T00:00:00"/>
    <x v="3"/>
    <x v="4"/>
    <x v="5"/>
    <s v="UK"/>
    <x v="27"/>
    <x v="9"/>
    <n v="38441"/>
    <n v="48941"/>
  </r>
  <r>
    <s v="ORD07567"/>
    <d v="2025-04-20T00:00:00"/>
    <x v="7"/>
    <x v="20"/>
    <x v="1"/>
    <s v="Australia"/>
    <x v="34"/>
    <x v="15"/>
    <n v="18092"/>
    <n v="15342"/>
  </r>
  <r>
    <s v="ORD07568"/>
    <d v="2025-05-01T00:00:00"/>
    <x v="8"/>
    <x v="27"/>
    <x v="0"/>
    <s v="UK"/>
    <x v="16"/>
    <x v="22"/>
    <n v="34349"/>
    <n v="41293"/>
  </r>
  <r>
    <s v="ORD07569"/>
    <d v="2025-06-22T00:00:00"/>
    <x v="5"/>
    <x v="13"/>
    <x v="4"/>
    <s v="USA"/>
    <x v="12"/>
    <x v="26"/>
    <n v="39532"/>
    <n v="37003"/>
  </r>
  <r>
    <s v="ORD07570"/>
    <d v="2025-05-22T00:00:00"/>
    <x v="8"/>
    <x v="26"/>
    <x v="5"/>
    <s v="Malaysia"/>
    <x v="37"/>
    <x v="10"/>
    <n v="24304"/>
    <n v="31258"/>
  </r>
  <r>
    <s v="ORD07571"/>
    <d v="2025-09-19T00:00:00"/>
    <x v="3"/>
    <x v="8"/>
    <x v="5"/>
    <s v="Brazil"/>
    <x v="7"/>
    <x v="24"/>
    <n v="38678"/>
    <n v="48280"/>
  </r>
  <r>
    <s v="ORD07572"/>
    <d v="2025-08-17T00:00:00"/>
    <x v="11"/>
    <x v="30"/>
    <x v="3"/>
    <s v="Germany"/>
    <x v="34"/>
    <x v="14"/>
    <n v="15932"/>
    <n v="17532"/>
  </r>
  <r>
    <s v="ORD07573"/>
    <d v="2025-05-28T00:00:00"/>
    <x v="8"/>
    <x v="24"/>
    <x v="3"/>
    <s v="India"/>
    <x v="40"/>
    <x v="21"/>
    <n v="19169"/>
    <n v="17542"/>
  </r>
  <r>
    <s v="ORD07574"/>
    <d v="2025-07-22T00:00:00"/>
    <x v="0"/>
    <x v="0"/>
    <x v="1"/>
    <s v="Italy"/>
    <x v="5"/>
    <x v="14"/>
    <n v="31366"/>
    <n v="35488"/>
  </r>
  <r>
    <s v="ORD07575"/>
    <d v="2025-03-27T00:00:00"/>
    <x v="9"/>
    <x v="33"/>
    <x v="5"/>
    <s v="Mexico"/>
    <x v="43"/>
    <x v="17"/>
    <n v="27287"/>
    <n v="32977"/>
  </r>
  <r>
    <s v="ORD07576"/>
    <d v="2025-07-08T00:00:00"/>
    <x v="0"/>
    <x v="47"/>
    <x v="5"/>
    <s v="Brazil"/>
    <x v="11"/>
    <x v="0"/>
    <n v="19064"/>
    <n v="15889"/>
  </r>
  <r>
    <s v="ORD07577"/>
    <d v="2025-07-05T00:00:00"/>
    <x v="0"/>
    <x v="37"/>
    <x v="6"/>
    <s v="UK"/>
    <x v="12"/>
    <x v="13"/>
    <n v="38425"/>
    <n v="37402"/>
  </r>
  <r>
    <s v="ORD07578"/>
    <d v="2025-07-11T00:00:00"/>
    <x v="0"/>
    <x v="47"/>
    <x v="6"/>
    <s v="Singapore"/>
    <x v="6"/>
    <x v="14"/>
    <n v="34284"/>
    <n v="26137"/>
  </r>
  <r>
    <s v="ORD07579"/>
    <d v="2025-12-06T00:00:00"/>
    <x v="10"/>
    <x v="43"/>
    <x v="1"/>
    <s v="France"/>
    <x v="43"/>
    <x v="4"/>
    <n v="32004"/>
    <n v="28024"/>
  </r>
  <r>
    <s v="ORD07580"/>
    <d v="2025-07-20T00:00:00"/>
    <x v="0"/>
    <x v="14"/>
    <x v="0"/>
    <s v="Mexico"/>
    <x v="8"/>
    <x v="25"/>
    <n v="31479"/>
    <n v="38158"/>
  </r>
  <r>
    <s v="ORD07581"/>
    <d v="2025-10-06T00:00:00"/>
    <x v="4"/>
    <x v="45"/>
    <x v="5"/>
    <s v="Brazil"/>
    <x v="8"/>
    <x v="22"/>
    <n v="23527"/>
    <n v="19571"/>
  </r>
  <r>
    <s v="ORD07582"/>
    <d v="2025-10-25T00:00:00"/>
    <x v="4"/>
    <x v="50"/>
    <x v="4"/>
    <s v="Mexico"/>
    <x v="34"/>
    <x v="23"/>
    <n v="30943"/>
    <n v="30376"/>
  </r>
  <r>
    <s v="ORD07583"/>
    <d v="2025-09-07T00:00:00"/>
    <x v="3"/>
    <x v="4"/>
    <x v="3"/>
    <s v="France"/>
    <x v="17"/>
    <x v="12"/>
    <n v="29453"/>
    <n v="34544"/>
  </r>
  <r>
    <s v="ORD07584"/>
    <d v="2025-03-31T00:00:00"/>
    <x v="9"/>
    <x v="34"/>
    <x v="6"/>
    <s v="Germany"/>
    <x v="47"/>
    <x v="14"/>
    <n v="25899"/>
    <n v="18711"/>
  </r>
  <r>
    <s v="ORD07585"/>
    <d v="2025-06-24T00:00:00"/>
    <x v="5"/>
    <x v="36"/>
    <x v="0"/>
    <s v="UAE"/>
    <x v="13"/>
    <x v="24"/>
    <n v="39213"/>
    <n v="32659"/>
  </r>
  <r>
    <s v="ORD07586"/>
    <d v="2025-01-17T00:00:00"/>
    <x v="1"/>
    <x v="1"/>
    <x v="5"/>
    <s v="USA"/>
    <x v="2"/>
    <x v="24"/>
    <n v="15943"/>
    <n v="18790"/>
  </r>
  <r>
    <s v="ORD07587"/>
    <d v="2025-10-23T00:00:00"/>
    <x v="4"/>
    <x v="50"/>
    <x v="2"/>
    <s v="Canada"/>
    <x v="19"/>
    <x v="28"/>
    <n v="21260"/>
    <n v="23238"/>
  </r>
  <r>
    <s v="ORD07588"/>
    <d v="2025-06-06T00:00:00"/>
    <x v="5"/>
    <x v="41"/>
    <x v="5"/>
    <s v="UAE"/>
    <x v="11"/>
    <x v="18"/>
    <n v="19681"/>
    <n v="17335"/>
  </r>
  <r>
    <s v="ORD07589"/>
    <d v="2025-04-23T00:00:00"/>
    <x v="7"/>
    <x v="38"/>
    <x v="1"/>
    <s v="China"/>
    <x v="47"/>
    <x v="24"/>
    <n v="28003"/>
    <n v="24208"/>
  </r>
  <r>
    <s v="ORD07590"/>
    <d v="2025-02-11T00:00:00"/>
    <x v="6"/>
    <x v="29"/>
    <x v="6"/>
    <s v="China"/>
    <x v="29"/>
    <x v="1"/>
    <n v="23105"/>
    <n v="23383"/>
  </r>
  <r>
    <s v="ORD07591"/>
    <d v="2025-11-27T00:00:00"/>
    <x v="2"/>
    <x v="11"/>
    <x v="5"/>
    <s v="South Africa"/>
    <x v="23"/>
    <x v="21"/>
    <n v="26502"/>
    <n v="28057"/>
  </r>
  <r>
    <s v="ORD07592"/>
    <d v="2025-08-10T00:00:00"/>
    <x v="11"/>
    <x v="23"/>
    <x v="1"/>
    <s v="Singapore"/>
    <x v="4"/>
    <x v="2"/>
    <n v="29972"/>
    <n v="30597"/>
  </r>
  <r>
    <s v="ORD07593"/>
    <d v="2025-03-04T00:00:00"/>
    <x v="9"/>
    <x v="35"/>
    <x v="3"/>
    <s v="France"/>
    <x v="29"/>
    <x v="19"/>
    <n v="34906"/>
    <n v="33379"/>
  </r>
  <r>
    <s v="ORD07594"/>
    <d v="2025-01-28T00:00:00"/>
    <x v="1"/>
    <x v="3"/>
    <x v="2"/>
    <s v="Turkey"/>
    <x v="31"/>
    <x v="7"/>
    <n v="24648"/>
    <n v="29150"/>
  </r>
  <r>
    <s v="ORD07595"/>
    <d v="2025-05-10T00:00:00"/>
    <x v="8"/>
    <x v="18"/>
    <x v="4"/>
    <s v="Japan"/>
    <x v="36"/>
    <x v="5"/>
    <n v="32977"/>
    <n v="39894"/>
  </r>
  <r>
    <s v="ORD07596"/>
    <d v="2025-06-12T00:00:00"/>
    <x v="5"/>
    <x v="40"/>
    <x v="0"/>
    <s v="Turkey"/>
    <x v="19"/>
    <x v="14"/>
    <n v="15475"/>
    <n v="19813"/>
  </r>
  <r>
    <s v="ORD07597"/>
    <d v="2025-11-21T00:00:00"/>
    <x v="2"/>
    <x v="9"/>
    <x v="4"/>
    <s v="France"/>
    <x v="47"/>
    <x v="4"/>
    <n v="30537"/>
    <n v="37383"/>
  </r>
  <r>
    <s v="ORD07598"/>
    <d v="2025-03-25T00:00:00"/>
    <x v="9"/>
    <x v="33"/>
    <x v="0"/>
    <s v="Canada"/>
    <x v="37"/>
    <x v="11"/>
    <n v="19126"/>
    <n v="24571"/>
  </r>
  <r>
    <s v="ORD07599"/>
    <d v="2025-11-10T00:00:00"/>
    <x v="2"/>
    <x v="44"/>
    <x v="3"/>
    <s v="India"/>
    <x v="32"/>
    <x v="14"/>
    <n v="38829"/>
    <n v="30981"/>
  </r>
  <r>
    <s v="ORD07600"/>
    <d v="2025-04-06T00:00:00"/>
    <x v="7"/>
    <x v="34"/>
    <x v="4"/>
    <s v="Canada"/>
    <x v="37"/>
    <x v="6"/>
    <n v="38178"/>
    <n v="28281"/>
  </r>
  <r>
    <s v="ORD07601"/>
    <d v="2025-12-11T00:00:00"/>
    <x v="10"/>
    <x v="32"/>
    <x v="3"/>
    <s v="Canada"/>
    <x v="29"/>
    <x v="7"/>
    <n v="24604"/>
    <n v="19315"/>
  </r>
  <r>
    <s v="ORD07602"/>
    <d v="2025-04-23T00:00:00"/>
    <x v="7"/>
    <x v="38"/>
    <x v="2"/>
    <s v="Turkey"/>
    <x v="14"/>
    <x v="20"/>
    <n v="24325"/>
    <n v="18906"/>
  </r>
  <r>
    <s v="ORD07603"/>
    <d v="2025-08-29T00:00:00"/>
    <x v="11"/>
    <x v="28"/>
    <x v="0"/>
    <s v="China"/>
    <x v="17"/>
    <x v="20"/>
    <n v="18478"/>
    <n v="15356"/>
  </r>
  <r>
    <s v="ORD07604"/>
    <d v="2025-05-08T00:00:00"/>
    <x v="8"/>
    <x v="18"/>
    <x v="6"/>
    <s v="UK"/>
    <x v="19"/>
    <x v="4"/>
    <n v="21914"/>
    <n v="17035"/>
  </r>
  <r>
    <s v="ORD07605"/>
    <d v="2025-01-14T00:00:00"/>
    <x v="1"/>
    <x v="1"/>
    <x v="4"/>
    <s v="Spain"/>
    <x v="37"/>
    <x v="15"/>
    <n v="27396"/>
    <n v="19948"/>
  </r>
  <r>
    <s v="ORD07606"/>
    <d v="2025-09-30T00:00:00"/>
    <x v="3"/>
    <x v="49"/>
    <x v="2"/>
    <s v="USA"/>
    <x v="19"/>
    <x v="26"/>
    <n v="33685"/>
    <n v="26919"/>
  </r>
  <r>
    <s v="ORD07607"/>
    <d v="2025-06-19T00:00:00"/>
    <x v="5"/>
    <x v="13"/>
    <x v="1"/>
    <s v="Singapore"/>
    <x v="32"/>
    <x v="5"/>
    <n v="18643"/>
    <n v="13600"/>
  </r>
  <r>
    <s v="ORD07608"/>
    <d v="2025-08-21T00:00:00"/>
    <x v="11"/>
    <x v="46"/>
    <x v="5"/>
    <s v="Mexico"/>
    <x v="39"/>
    <x v="18"/>
    <n v="24744"/>
    <n v="28081"/>
  </r>
  <r>
    <s v="ORD07609"/>
    <d v="2025-03-22T00:00:00"/>
    <x v="9"/>
    <x v="39"/>
    <x v="2"/>
    <s v="South Africa"/>
    <x v="42"/>
    <x v="20"/>
    <n v="18774"/>
    <n v="13143"/>
  </r>
  <r>
    <s v="ORD07610"/>
    <d v="2025-05-20T00:00:00"/>
    <x v="8"/>
    <x v="26"/>
    <x v="6"/>
    <s v="Canada"/>
    <x v="14"/>
    <x v="7"/>
    <n v="35375"/>
    <n v="37799"/>
  </r>
  <r>
    <s v="ORD07611"/>
    <d v="2025-09-28T00:00:00"/>
    <x v="3"/>
    <x v="25"/>
    <x v="6"/>
    <s v="Mexico"/>
    <x v="15"/>
    <x v="22"/>
    <n v="28281"/>
    <n v="25793"/>
  </r>
  <r>
    <s v="ORD07612"/>
    <d v="2025-04-25T00:00:00"/>
    <x v="7"/>
    <x v="38"/>
    <x v="5"/>
    <s v="Australia"/>
    <x v="42"/>
    <x v="17"/>
    <n v="30428"/>
    <n v="26979"/>
  </r>
  <r>
    <s v="ORD07613"/>
    <d v="2025-02-15T00:00:00"/>
    <x v="6"/>
    <x v="29"/>
    <x v="6"/>
    <s v="China"/>
    <x v="1"/>
    <x v="25"/>
    <n v="22939"/>
    <n v="16757"/>
  </r>
  <r>
    <s v="ORD07614"/>
    <d v="2025-12-28T00:00:00"/>
    <x v="10"/>
    <x v="42"/>
    <x v="4"/>
    <s v="Thailand"/>
    <x v="37"/>
    <x v="16"/>
    <n v="16827"/>
    <n v="19037"/>
  </r>
  <r>
    <s v="ORD07615"/>
    <d v="2025-10-29T00:00:00"/>
    <x v="4"/>
    <x v="2"/>
    <x v="0"/>
    <s v="UK"/>
    <x v="42"/>
    <x v="21"/>
    <n v="30045"/>
    <n v="33780"/>
  </r>
  <r>
    <s v="ORD07616"/>
    <d v="2025-11-19T00:00:00"/>
    <x v="2"/>
    <x v="9"/>
    <x v="5"/>
    <s v="Thailand"/>
    <x v="37"/>
    <x v="17"/>
    <n v="33318"/>
    <n v="29196"/>
  </r>
  <r>
    <s v="ORD07617"/>
    <d v="2025-01-14T00:00:00"/>
    <x v="1"/>
    <x v="1"/>
    <x v="0"/>
    <s v="Japan"/>
    <x v="36"/>
    <x v="12"/>
    <n v="34539"/>
    <n v="27249"/>
  </r>
  <r>
    <s v="ORD07618"/>
    <d v="2025-01-24T00:00:00"/>
    <x v="1"/>
    <x v="7"/>
    <x v="0"/>
    <s v="Malaysia"/>
    <x v="12"/>
    <x v="1"/>
    <n v="30010"/>
    <n v="31951"/>
  </r>
  <r>
    <s v="ORD07619"/>
    <d v="2025-07-15T00:00:00"/>
    <x v="0"/>
    <x v="14"/>
    <x v="1"/>
    <s v="Thailand"/>
    <x v="2"/>
    <x v="11"/>
    <n v="24340"/>
    <n v="21444"/>
  </r>
  <r>
    <s v="ORD07620"/>
    <d v="2025-08-26T00:00:00"/>
    <x v="11"/>
    <x v="28"/>
    <x v="5"/>
    <s v="Italy"/>
    <x v="40"/>
    <x v="9"/>
    <n v="20594"/>
    <n v="21145"/>
  </r>
  <r>
    <s v="ORD07621"/>
    <d v="2025-12-02T00:00:00"/>
    <x v="10"/>
    <x v="43"/>
    <x v="6"/>
    <s v="Italy"/>
    <x v="8"/>
    <x v="9"/>
    <n v="20612"/>
    <n v="14802"/>
  </r>
  <r>
    <s v="ORD07622"/>
    <d v="2025-06-29T00:00:00"/>
    <x v="5"/>
    <x v="36"/>
    <x v="0"/>
    <s v="Russia"/>
    <x v="24"/>
    <x v="22"/>
    <n v="31350"/>
    <n v="40308"/>
  </r>
  <r>
    <s v="ORD07623"/>
    <d v="2025-02-03T00:00:00"/>
    <x v="6"/>
    <x v="48"/>
    <x v="1"/>
    <s v="Italy"/>
    <x v="28"/>
    <x v="2"/>
    <n v="22913"/>
    <n v="24737"/>
  </r>
  <r>
    <s v="ORD07624"/>
    <d v="2025-08-04T00:00:00"/>
    <x v="11"/>
    <x v="23"/>
    <x v="1"/>
    <s v="Japan"/>
    <x v="40"/>
    <x v="23"/>
    <n v="37740"/>
    <n v="30015"/>
  </r>
  <r>
    <s v="ORD07625"/>
    <d v="2025-04-23T00:00:00"/>
    <x v="7"/>
    <x v="38"/>
    <x v="4"/>
    <s v="Russia"/>
    <x v="12"/>
    <x v="3"/>
    <n v="17354"/>
    <n v="20419"/>
  </r>
  <r>
    <s v="ORD07626"/>
    <d v="2025-10-03T00:00:00"/>
    <x v="4"/>
    <x v="49"/>
    <x v="0"/>
    <s v="Thailand"/>
    <x v="15"/>
    <x v="6"/>
    <n v="32049"/>
    <n v="32306"/>
  </r>
  <r>
    <s v="ORD07627"/>
    <d v="2025-03-11T00:00:00"/>
    <x v="9"/>
    <x v="19"/>
    <x v="3"/>
    <s v="Russia"/>
    <x v="45"/>
    <x v="26"/>
    <n v="26096"/>
    <n v="30600"/>
  </r>
  <r>
    <s v="ORD07628"/>
    <d v="2025-01-01T00:00:00"/>
    <x v="1"/>
    <x v="5"/>
    <x v="5"/>
    <s v="India"/>
    <x v="23"/>
    <x v="6"/>
    <n v="28693"/>
    <n v="27400"/>
  </r>
  <r>
    <s v="ORD07629"/>
    <d v="2025-05-11T00:00:00"/>
    <x v="8"/>
    <x v="18"/>
    <x v="1"/>
    <s v="China"/>
    <x v="46"/>
    <x v="5"/>
    <n v="34237"/>
    <n v="40097"/>
  </r>
  <r>
    <s v="ORD07630"/>
    <d v="2025-07-15T00:00:00"/>
    <x v="0"/>
    <x v="14"/>
    <x v="3"/>
    <s v="Mexico"/>
    <x v="34"/>
    <x v="28"/>
    <n v="23052"/>
    <n v="21438"/>
  </r>
  <r>
    <s v="ORD07631"/>
    <d v="2025-12-08T00:00:00"/>
    <x v="10"/>
    <x v="32"/>
    <x v="1"/>
    <s v="UK"/>
    <x v="45"/>
    <x v="7"/>
    <n v="26679"/>
    <n v="31934"/>
  </r>
  <r>
    <s v="ORD07632"/>
    <d v="2025-08-31T00:00:00"/>
    <x v="11"/>
    <x v="28"/>
    <x v="6"/>
    <s v="Turkey"/>
    <x v="33"/>
    <x v="15"/>
    <n v="20753"/>
    <n v="18337"/>
  </r>
  <r>
    <s v="ORD07633"/>
    <d v="2025-10-19T00:00:00"/>
    <x v="4"/>
    <x v="10"/>
    <x v="4"/>
    <s v="Thailand"/>
    <x v="26"/>
    <x v="8"/>
    <n v="16531"/>
    <n v="20278"/>
  </r>
  <r>
    <s v="ORD07634"/>
    <d v="2025-12-30T00:00:00"/>
    <x v="10"/>
    <x v="5"/>
    <x v="1"/>
    <s v="USA"/>
    <x v="33"/>
    <x v="9"/>
    <n v="19244"/>
    <n v="20994"/>
  </r>
  <r>
    <s v="ORD07635"/>
    <d v="2025-10-21T00:00:00"/>
    <x v="4"/>
    <x v="50"/>
    <x v="4"/>
    <s v="Italy"/>
    <x v="26"/>
    <x v="19"/>
    <n v="36445"/>
    <n v="44360"/>
  </r>
  <r>
    <s v="ORD07636"/>
    <d v="2025-07-19T00:00:00"/>
    <x v="0"/>
    <x v="14"/>
    <x v="2"/>
    <s v="UK"/>
    <x v="45"/>
    <x v="8"/>
    <n v="29895"/>
    <n v="25891"/>
  </r>
  <r>
    <s v="ORD07637"/>
    <d v="2025-02-11T00:00:00"/>
    <x v="6"/>
    <x v="29"/>
    <x v="6"/>
    <s v="Germany"/>
    <x v="0"/>
    <x v="19"/>
    <n v="23058"/>
    <n v="29318"/>
  </r>
  <r>
    <s v="ORD07638"/>
    <d v="2025-04-12T00:00:00"/>
    <x v="7"/>
    <x v="16"/>
    <x v="5"/>
    <s v="Mexico"/>
    <x v="3"/>
    <x v="2"/>
    <n v="22744"/>
    <n v="19068"/>
  </r>
  <r>
    <s v="ORD07639"/>
    <d v="2025-03-02T00:00:00"/>
    <x v="9"/>
    <x v="22"/>
    <x v="0"/>
    <s v="UK"/>
    <x v="42"/>
    <x v="6"/>
    <n v="36915"/>
    <n v="41696"/>
  </r>
  <r>
    <s v="ORD07640"/>
    <d v="2025-11-29T00:00:00"/>
    <x v="2"/>
    <x v="11"/>
    <x v="5"/>
    <s v="Turkey"/>
    <x v="26"/>
    <x v="25"/>
    <n v="38940"/>
    <n v="46905"/>
  </r>
  <r>
    <s v="ORD07641"/>
    <d v="2025-02-19T00:00:00"/>
    <x v="6"/>
    <x v="15"/>
    <x v="5"/>
    <s v="Russia"/>
    <x v="47"/>
    <x v="0"/>
    <n v="15118"/>
    <n v="11716"/>
  </r>
  <r>
    <s v="ORD07642"/>
    <d v="2025-10-04T00:00:00"/>
    <x v="4"/>
    <x v="49"/>
    <x v="2"/>
    <s v="China"/>
    <x v="7"/>
    <x v="22"/>
    <n v="20911"/>
    <n v="25360"/>
  </r>
  <r>
    <s v="ORD07643"/>
    <d v="2025-01-18T00:00:00"/>
    <x v="1"/>
    <x v="1"/>
    <x v="0"/>
    <s v="Turkey"/>
    <x v="17"/>
    <x v="16"/>
    <n v="27967"/>
    <n v="27916"/>
  </r>
  <r>
    <s v="ORD07644"/>
    <d v="2025-03-14T00:00:00"/>
    <x v="9"/>
    <x v="19"/>
    <x v="5"/>
    <s v="India"/>
    <x v="12"/>
    <x v="23"/>
    <n v="30084"/>
    <n v="24618"/>
  </r>
  <r>
    <s v="ORD07645"/>
    <d v="2025-04-22T00:00:00"/>
    <x v="7"/>
    <x v="38"/>
    <x v="3"/>
    <s v="USA"/>
    <x v="5"/>
    <x v="21"/>
    <n v="38829"/>
    <n v="38473"/>
  </r>
  <r>
    <s v="ORD07646"/>
    <d v="2025-11-19T00:00:00"/>
    <x v="2"/>
    <x v="9"/>
    <x v="6"/>
    <s v="Thailand"/>
    <x v="35"/>
    <x v="0"/>
    <n v="27502"/>
    <n v="21196"/>
  </r>
  <r>
    <s v="ORD07647"/>
    <d v="2025-02-01T00:00:00"/>
    <x v="6"/>
    <x v="3"/>
    <x v="1"/>
    <s v="India"/>
    <x v="31"/>
    <x v="12"/>
    <n v="33002"/>
    <n v="35574"/>
  </r>
  <r>
    <s v="ORD07648"/>
    <d v="2025-09-28T00:00:00"/>
    <x v="3"/>
    <x v="25"/>
    <x v="2"/>
    <s v="France"/>
    <x v="17"/>
    <x v="14"/>
    <n v="21624"/>
    <n v="21164"/>
  </r>
  <r>
    <s v="ORD07649"/>
    <d v="2025-07-25T00:00:00"/>
    <x v="0"/>
    <x v="0"/>
    <x v="6"/>
    <s v="Canada"/>
    <x v="23"/>
    <x v="24"/>
    <n v="34955"/>
    <n v="31034"/>
  </r>
  <r>
    <s v="ORD07650"/>
    <d v="2025-01-17T00:00:00"/>
    <x v="1"/>
    <x v="1"/>
    <x v="0"/>
    <s v="UAE"/>
    <x v="7"/>
    <x v="5"/>
    <n v="30503"/>
    <n v="34135"/>
  </r>
  <r>
    <s v="ORD07651"/>
    <d v="2025-08-12T00:00:00"/>
    <x v="11"/>
    <x v="30"/>
    <x v="4"/>
    <s v="USA"/>
    <x v="49"/>
    <x v="2"/>
    <n v="17531"/>
    <n v="20510"/>
  </r>
  <r>
    <s v="ORD07652"/>
    <d v="2025-03-27T00:00:00"/>
    <x v="9"/>
    <x v="33"/>
    <x v="5"/>
    <s v="Malaysia"/>
    <x v="33"/>
    <x v="9"/>
    <n v="38411"/>
    <n v="43732"/>
  </r>
  <r>
    <s v="ORD07653"/>
    <d v="2025-12-15T00:00:00"/>
    <x v="10"/>
    <x v="21"/>
    <x v="5"/>
    <s v="South Africa"/>
    <x v="13"/>
    <x v="21"/>
    <n v="29169"/>
    <n v="31327"/>
  </r>
  <r>
    <s v="ORD07654"/>
    <d v="2025-07-01T00:00:00"/>
    <x v="0"/>
    <x v="37"/>
    <x v="1"/>
    <s v="India"/>
    <x v="18"/>
    <x v="8"/>
    <n v="39010"/>
    <n v="30882"/>
  </r>
  <r>
    <s v="ORD07655"/>
    <d v="2025-09-29T00:00:00"/>
    <x v="3"/>
    <x v="49"/>
    <x v="3"/>
    <s v="Brazil"/>
    <x v="30"/>
    <x v="25"/>
    <n v="24115"/>
    <n v="22823"/>
  </r>
  <r>
    <s v="ORD07656"/>
    <d v="2025-02-22T00:00:00"/>
    <x v="6"/>
    <x v="15"/>
    <x v="2"/>
    <s v="China"/>
    <x v="13"/>
    <x v="12"/>
    <n v="31902"/>
    <n v="23665"/>
  </r>
  <r>
    <s v="ORD07657"/>
    <d v="2025-07-09T00:00:00"/>
    <x v="0"/>
    <x v="47"/>
    <x v="0"/>
    <s v="Singapore"/>
    <x v="17"/>
    <x v="27"/>
    <n v="33453"/>
    <n v="41066"/>
  </r>
  <r>
    <s v="ORD07658"/>
    <d v="2025-03-05T00:00:00"/>
    <x v="9"/>
    <x v="35"/>
    <x v="1"/>
    <s v="South Africa"/>
    <x v="44"/>
    <x v="18"/>
    <n v="29096"/>
    <n v="29425"/>
  </r>
  <r>
    <s v="ORD07659"/>
    <d v="2025-09-03T00:00:00"/>
    <x v="3"/>
    <x v="4"/>
    <x v="0"/>
    <s v="USA"/>
    <x v="33"/>
    <x v="5"/>
    <n v="33841"/>
    <n v="24380"/>
  </r>
  <r>
    <s v="ORD07660"/>
    <d v="2025-07-23T00:00:00"/>
    <x v="0"/>
    <x v="0"/>
    <x v="2"/>
    <s v="Canada"/>
    <x v="3"/>
    <x v="4"/>
    <n v="17493"/>
    <n v="14768"/>
  </r>
  <r>
    <s v="ORD07661"/>
    <d v="2025-01-06T00:00:00"/>
    <x v="1"/>
    <x v="6"/>
    <x v="6"/>
    <s v="Canada"/>
    <x v="23"/>
    <x v="18"/>
    <n v="28192"/>
    <n v="27816"/>
  </r>
  <r>
    <s v="ORD07662"/>
    <d v="2025-01-15T00:00:00"/>
    <x v="1"/>
    <x v="1"/>
    <x v="1"/>
    <s v="Brazil"/>
    <x v="15"/>
    <x v="17"/>
    <n v="26138"/>
    <n v="27467"/>
  </r>
  <r>
    <s v="ORD07663"/>
    <d v="2025-05-13T00:00:00"/>
    <x v="8"/>
    <x v="17"/>
    <x v="4"/>
    <s v="Turkey"/>
    <x v="15"/>
    <x v="2"/>
    <n v="25877"/>
    <n v="25815"/>
  </r>
  <r>
    <s v="ORD07664"/>
    <d v="2025-07-02T00:00:00"/>
    <x v="0"/>
    <x v="37"/>
    <x v="1"/>
    <s v="Malaysia"/>
    <x v="14"/>
    <x v="16"/>
    <n v="35441"/>
    <n v="44633"/>
  </r>
  <r>
    <s v="ORD07665"/>
    <d v="2025-10-11T00:00:00"/>
    <x v="4"/>
    <x v="45"/>
    <x v="4"/>
    <s v="South Africa"/>
    <x v="3"/>
    <x v="1"/>
    <n v="22703"/>
    <n v="19492"/>
  </r>
  <r>
    <s v="ORD07666"/>
    <d v="2025-02-12T00:00:00"/>
    <x v="6"/>
    <x v="29"/>
    <x v="6"/>
    <s v="Japan"/>
    <x v="34"/>
    <x v="0"/>
    <n v="27124"/>
    <n v="29841"/>
  </r>
  <r>
    <s v="ORD07667"/>
    <d v="2025-10-19T00:00:00"/>
    <x v="4"/>
    <x v="10"/>
    <x v="1"/>
    <s v="Thailand"/>
    <x v="2"/>
    <x v="8"/>
    <n v="36774"/>
    <n v="43866"/>
  </r>
  <r>
    <s v="ORD07668"/>
    <d v="2025-10-20T00:00:00"/>
    <x v="4"/>
    <x v="50"/>
    <x v="0"/>
    <s v="Turkey"/>
    <x v="4"/>
    <x v="14"/>
    <n v="32456"/>
    <n v="37417"/>
  </r>
  <r>
    <s v="ORD07669"/>
    <d v="2025-08-19T00:00:00"/>
    <x v="11"/>
    <x v="46"/>
    <x v="1"/>
    <s v="UAE"/>
    <x v="31"/>
    <x v="22"/>
    <n v="33965"/>
    <n v="29198"/>
  </r>
  <r>
    <s v="ORD07670"/>
    <d v="2025-08-13T00:00:00"/>
    <x v="11"/>
    <x v="30"/>
    <x v="2"/>
    <s v="South Africa"/>
    <x v="31"/>
    <x v="12"/>
    <n v="20233"/>
    <n v="23967"/>
  </r>
  <r>
    <s v="ORD07671"/>
    <d v="2025-02-18T00:00:00"/>
    <x v="6"/>
    <x v="15"/>
    <x v="4"/>
    <s v="Italy"/>
    <x v="44"/>
    <x v="22"/>
    <n v="21387"/>
    <n v="22723"/>
  </r>
  <r>
    <s v="ORD07672"/>
    <d v="2025-08-29T00:00:00"/>
    <x v="11"/>
    <x v="28"/>
    <x v="5"/>
    <s v="Mexico"/>
    <x v="48"/>
    <x v="28"/>
    <n v="20190"/>
    <n v="19534"/>
  </r>
  <r>
    <s v="ORD07673"/>
    <d v="2025-11-08T00:00:00"/>
    <x v="2"/>
    <x v="51"/>
    <x v="5"/>
    <s v="USA"/>
    <x v="34"/>
    <x v="14"/>
    <n v="35720"/>
    <n v="36689"/>
  </r>
  <r>
    <s v="ORD07674"/>
    <d v="2025-01-09T00:00:00"/>
    <x v="1"/>
    <x v="6"/>
    <x v="6"/>
    <s v="Italy"/>
    <x v="6"/>
    <x v="20"/>
    <n v="30211"/>
    <n v="34630"/>
  </r>
  <r>
    <s v="ORD07675"/>
    <d v="2025-03-13T00:00:00"/>
    <x v="9"/>
    <x v="19"/>
    <x v="5"/>
    <s v="Singapore"/>
    <x v="29"/>
    <x v="4"/>
    <n v="25626"/>
    <n v="25034"/>
  </r>
  <r>
    <s v="ORD07676"/>
    <d v="2025-09-02T00:00:00"/>
    <x v="3"/>
    <x v="4"/>
    <x v="1"/>
    <s v="Thailand"/>
    <x v="28"/>
    <x v="22"/>
    <n v="15463"/>
    <n v="18341"/>
  </r>
  <r>
    <s v="ORD07677"/>
    <d v="2025-03-04T00:00:00"/>
    <x v="9"/>
    <x v="35"/>
    <x v="2"/>
    <s v="Thailand"/>
    <x v="3"/>
    <x v="13"/>
    <n v="22275"/>
    <n v="26756"/>
  </r>
  <r>
    <s v="ORD07678"/>
    <d v="2025-09-01T00:00:00"/>
    <x v="3"/>
    <x v="4"/>
    <x v="0"/>
    <s v="Malaysia"/>
    <x v="44"/>
    <x v="26"/>
    <n v="38440"/>
    <n v="43966"/>
  </r>
  <r>
    <s v="ORD07679"/>
    <d v="2025-05-26T00:00:00"/>
    <x v="8"/>
    <x v="24"/>
    <x v="1"/>
    <s v="China"/>
    <x v="47"/>
    <x v="4"/>
    <n v="26849"/>
    <n v="21532"/>
  </r>
  <r>
    <s v="ORD07680"/>
    <d v="2025-05-05T00:00:00"/>
    <x v="8"/>
    <x v="18"/>
    <x v="5"/>
    <s v="Russia"/>
    <x v="36"/>
    <x v="10"/>
    <n v="37885"/>
    <n v="40839"/>
  </r>
  <r>
    <s v="ORD07681"/>
    <d v="2025-09-07T00:00:00"/>
    <x v="3"/>
    <x v="4"/>
    <x v="4"/>
    <s v="South Africa"/>
    <x v="36"/>
    <x v="13"/>
    <n v="34850"/>
    <n v="31700"/>
  </r>
  <r>
    <s v="ORD07682"/>
    <d v="2025-05-15T00:00:00"/>
    <x v="8"/>
    <x v="17"/>
    <x v="1"/>
    <s v="UAE"/>
    <x v="6"/>
    <x v="7"/>
    <n v="35834"/>
    <n v="26084"/>
  </r>
  <r>
    <s v="ORD07683"/>
    <d v="2025-11-20T00:00:00"/>
    <x v="2"/>
    <x v="9"/>
    <x v="2"/>
    <s v="Russia"/>
    <x v="29"/>
    <x v="19"/>
    <n v="16668"/>
    <n v="16384"/>
  </r>
  <r>
    <s v="ORD07684"/>
    <d v="2025-08-22T00:00:00"/>
    <x v="11"/>
    <x v="46"/>
    <x v="3"/>
    <s v="China"/>
    <x v="8"/>
    <x v="20"/>
    <n v="19952"/>
    <n v="22545"/>
  </r>
  <r>
    <s v="ORD07685"/>
    <d v="2025-08-06T00:00:00"/>
    <x v="11"/>
    <x v="23"/>
    <x v="3"/>
    <s v="Singapore"/>
    <x v="19"/>
    <x v="22"/>
    <n v="17263"/>
    <n v="17373"/>
  </r>
  <r>
    <s v="ORD07686"/>
    <d v="2025-08-25T00:00:00"/>
    <x v="11"/>
    <x v="28"/>
    <x v="6"/>
    <s v="Turkey"/>
    <x v="20"/>
    <x v="13"/>
    <n v="26083"/>
    <n v="18407"/>
  </r>
  <r>
    <s v="ORD07687"/>
    <d v="2025-02-01T00:00:00"/>
    <x v="6"/>
    <x v="3"/>
    <x v="0"/>
    <s v="South Africa"/>
    <x v="38"/>
    <x v="23"/>
    <n v="15662"/>
    <n v="12002"/>
  </r>
  <r>
    <s v="ORD07688"/>
    <d v="2025-08-24T00:00:00"/>
    <x v="11"/>
    <x v="46"/>
    <x v="2"/>
    <s v="Germany"/>
    <x v="27"/>
    <x v="9"/>
    <n v="31283"/>
    <n v="38495"/>
  </r>
  <r>
    <s v="ORD07689"/>
    <d v="2025-05-09T00:00:00"/>
    <x v="8"/>
    <x v="18"/>
    <x v="5"/>
    <s v="Thailand"/>
    <x v="13"/>
    <x v="16"/>
    <n v="37261"/>
    <n v="34070"/>
  </r>
  <r>
    <s v="ORD07690"/>
    <d v="2025-03-02T00:00:00"/>
    <x v="9"/>
    <x v="22"/>
    <x v="4"/>
    <s v="Thailand"/>
    <x v="36"/>
    <x v="4"/>
    <n v="33391"/>
    <n v="37166"/>
  </r>
  <r>
    <s v="ORD07691"/>
    <d v="2025-12-21T00:00:00"/>
    <x v="10"/>
    <x v="21"/>
    <x v="3"/>
    <s v="Brazil"/>
    <x v="46"/>
    <x v="8"/>
    <n v="38671"/>
    <n v="30761"/>
  </r>
  <r>
    <s v="ORD07692"/>
    <d v="2025-01-10T00:00:00"/>
    <x v="1"/>
    <x v="6"/>
    <x v="2"/>
    <s v="Japan"/>
    <x v="44"/>
    <x v="16"/>
    <n v="33521"/>
    <n v="37626"/>
  </r>
  <r>
    <s v="ORD07693"/>
    <d v="2025-04-14T00:00:00"/>
    <x v="7"/>
    <x v="20"/>
    <x v="5"/>
    <s v="Thailand"/>
    <x v="47"/>
    <x v="28"/>
    <n v="21956"/>
    <n v="17241"/>
  </r>
  <r>
    <s v="ORD07694"/>
    <d v="2025-04-24T00:00:00"/>
    <x v="7"/>
    <x v="38"/>
    <x v="0"/>
    <s v="Thailand"/>
    <x v="7"/>
    <x v="27"/>
    <n v="35064"/>
    <n v="26995"/>
  </r>
  <r>
    <s v="ORD07695"/>
    <d v="2025-03-07T00:00:00"/>
    <x v="9"/>
    <x v="35"/>
    <x v="6"/>
    <s v="Italy"/>
    <x v="42"/>
    <x v="17"/>
    <n v="36758"/>
    <n v="32568"/>
  </r>
  <r>
    <s v="ORD07696"/>
    <d v="2025-03-09T00:00:00"/>
    <x v="9"/>
    <x v="35"/>
    <x v="2"/>
    <s v="Singapore"/>
    <x v="24"/>
    <x v="29"/>
    <n v="22956"/>
    <n v="22318"/>
  </r>
  <r>
    <s v="ORD07697"/>
    <d v="2025-06-03T00:00:00"/>
    <x v="5"/>
    <x v="41"/>
    <x v="4"/>
    <s v="Japan"/>
    <x v="32"/>
    <x v="18"/>
    <n v="27860"/>
    <n v="28487"/>
  </r>
  <r>
    <s v="ORD07698"/>
    <d v="2025-09-21T00:00:00"/>
    <x v="3"/>
    <x v="8"/>
    <x v="1"/>
    <s v="Turkey"/>
    <x v="12"/>
    <x v="18"/>
    <n v="30033"/>
    <n v="25754"/>
  </r>
  <r>
    <s v="ORD07699"/>
    <d v="2025-05-24T00:00:00"/>
    <x v="8"/>
    <x v="26"/>
    <x v="1"/>
    <s v="Italy"/>
    <x v="13"/>
    <x v="9"/>
    <n v="24132"/>
    <n v="23439"/>
  </r>
  <r>
    <s v="ORD07700"/>
    <d v="2025-06-09T00:00:00"/>
    <x v="5"/>
    <x v="40"/>
    <x v="2"/>
    <s v="China"/>
    <x v="30"/>
    <x v="20"/>
    <n v="35983"/>
    <n v="38534"/>
  </r>
  <r>
    <s v="ORD07701"/>
    <d v="2025-12-04T00:00:00"/>
    <x v="10"/>
    <x v="43"/>
    <x v="0"/>
    <s v="USA"/>
    <x v="35"/>
    <x v="3"/>
    <n v="36643"/>
    <n v="43919"/>
  </r>
  <r>
    <s v="ORD07702"/>
    <d v="2025-08-16T00:00:00"/>
    <x v="11"/>
    <x v="30"/>
    <x v="6"/>
    <s v="UAE"/>
    <x v="25"/>
    <x v="27"/>
    <n v="25790"/>
    <n v="19341"/>
  </r>
  <r>
    <s v="ORD07703"/>
    <d v="2025-03-29T00:00:00"/>
    <x v="9"/>
    <x v="33"/>
    <x v="3"/>
    <s v="Spain"/>
    <x v="2"/>
    <x v="12"/>
    <n v="22155"/>
    <n v="26221"/>
  </r>
  <r>
    <s v="ORD07704"/>
    <d v="2025-11-14T00:00:00"/>
    <x v="2"/>
    <x v="44"/>
    <x v="2"/>
    <s v="Italy"/>
    <x v="39"/>
    <x v="24"/>
    <n v="22166"/>
    <n v="27591"/>
  </r>
  <r>
    <s v="ORD07705"/>
    <d v="2025-12-27T00:00:00"/>
    <x v="10"/>
    <x v="42"/>
    <x v="0"/>
    <s v="Malaysia"/>
    <x v="6"/>
    <x v="0"/>
    <n v="29888"/>
    <n v="21797"/>
  </r>
  <r>
    <s v="ORD07706"/>
    <d v="2025-02-14T00:00:00"/>
    <x v="6"/>
    <x v="29"/>
    <x v="6"/>
    <s v="China"/>
    <x v="3"/>
    <x v="7"/>
    <n v="20076"/>
    <n v="22877"/>
  </r>
  <r>
    <s v="ORD07707"/>
    <d v="2025-08-30T00:00:00"/>
    <x v="11"/>
    <x v="28"/>
    <x v="4"/>
    <s v="India"/>
    <x v="28"/>
    <x v="2"/>
    <n v="38157"/>
    <n v="40481"/>
  </r>
  <r>
    <s v="ORD07708"/>
    <d v="2025-12-05T00:00:00"/>
    <x v="10"/>
    <x v="43"/>
    <x v="1"/>
    <s v="South Africa"/>
    <x v="19"/>
    <x v="26"/>
    <n v="23494"/>
    <n v="22242"/>
  </r>
  <r>
    <s v="ORD07709"/>
    <d v="2025-02-21T00:00:00"/>
    <x v="6"/>
    <x v="15"/>
    <x v="1"/>
    <s v="Mexico"/>
    <x v="47"/>
    <x v="15"/>
    <n v="15919"/>
    <n v="11362"/>
  </r>
  <r>
    <s v="ORD07710"/>
    <d v="2025-02-13T00:00:00"/>
    <x v="6"/>
    <x v="29"/>
    <x v="2"/>
    <s v="Japan"/>
    <x v="22"/>
    <x v="25"/>
    <n v="35433"/>
    <n v="34431"/>
  </r>
  <r>
    <s v="ORD07711"/>
    <d v="2025-05-01T00:00:00"/>
    <x v="8"/>
    <x v="27"/>
    <x v="0"/>
    <s v="South Africa"/>
    <x v="31"/>
    <x v="11"/>
    <n v="28241"/>
    <n v="19799"/>
  </r>
  <r>
    <s v="ORD07712"/>
    <d v="2025-04-12T00:00:00"/>
    <x v="7"/>
    <x v="16"/>
    <x v="1"/>
    <s v="UAE"/>
    <x v="48"/>
    <x v="10"/>
    <n v="26998"/>
    <n v="30116"/>
  </r>
  <r>
    <s v="ORD07713"/>
    <d v="2025-11-12T00:00:00"/>
    <x v="2"/>
    <x v="44"/>
    <x v="4"/>
    <s v="India"/>
    <x v="30"/>
    <x v="23"/>
    <n v="32627"/>
    <n v="39832"/>
  </r>
  <r>
    <s v="ORD07714"/>
    <d v="2025-01-25T00:00:00"/>
    <x v="1"/>
    <x v="7"/>
    <x v="4"/>
    <s v="Spain"/>
    <x v="46"/>
    <x v="3"/>
    <n v="19003"/>
    <n v="21847"/>
  </r>
  <r>
    <s v="ORD07715"/>
    <d v="2025-05-08T00:00:00"/>
    <x v="8"/>
    <x v="18"/>
    <x v="0"/>
    <s v="France"/>
    <x v="26"/>
    <x v="16"/>
    <n v="36524"/>
    <n v="45062"/>
  </r>
  <r>
    <s v="ORD07716"/>
    <d v="2025-02-05T00:00:00"/>
    <x v="6"/>
    <x v="48"/>
    <x v="3"/>
    <s v="USA"/>
    <x v="8"/>
    <x v="18"/>
    <n v="15030"/>
    <n v="13759"/>
  </r>
  <r>
    <s v="ORD07717"/>
    <d v="2025-01-08T00:00:00"/>
    <x v="1"/>
    <x v="6"/>
    <x v="5"/>
    <s v="Singapore"/>
    <x v="6"/>
    <x v="23"/>
    <n v="30939"/>
    <n v="26435"/>
  </r>
  <r>
    <s v="ORD07718"/>
    <d v="2025-06-18T00:00:00"/>
    <x v="5"/>
    <x v="13"/>
    <x v="3"/>
    <s v="Russia"/>
    <x v="35"/>
    <x v="13"/>
    <n v="18036"/>
    <n v="17207"/>
  </r>
  <r>
    <s v="ORD07719"/>
    <d v="2025-10-01T00:00:00"/>
    <x v="4"/>
    <x v="49"/>
    <x v="2"/>
    <s v="South Africa"/>
    <x v="15"/>
    <x v="21"/>
    <n v="32463"/>
    <n v="28522"/>
  </r>
  <r>
    <s v="ORD07720"/>
    <d v="2025-06-02T00:00:00"/>
    <x v="5"/>
    <x v="41"/>
    <x v="1"/>
    <s v="Mexico"/>
    <x v="37"/>
    <x v="27"/>
    <n v="25858"/>
    <n v="26152"/>
  </r>
  <r>
    <s v="ORD07721"/>
    <d v="2025-03-10T00:00:00"/>
    <x v="9"/>
    <x v="19"/>
    <x v="5"/>
    <s v="USA"/>
    <x v="9"/>
    <x v="2"/>
    <n v="31984"/>
    <n v="36264"/>
  </r>
  <r>
    <s v="ORD07722"/>
    <d v="2025-10-22T00:00:00"/>
    <x v="4"/>
    <x v="50"/>
    <x v="4"/>
    <s v="Japan"/>
    <x v="9"/>
    <x v="21"/>
    <n v="16709"/>
    <n v="16289"/>
  </r>
  <r>
    <s v="ORD07723"/>
    <d v="2025-09-21T00:00:00"/>
    <x v="3"/>
    <x v="8"/>
    <x v="2"/>
    <s v="Mexico"/>
    <x v="39"/>
    <x v="3"/>
    <n v="24496"/>
    <n v="21153"/>
  </r>
  <r>
    <s v="ORD07724"/>
    <d v="2025-10-21T00:00:00"/>
    <x v="4"/>
    <x v="50"/>
    <x v="4"/>
    <s v="France"/>
    <x v="13"/>
    <x v="15"/>
    <n v="17457"/>
    <n v="12386"/>
  </r>
  <r>
    <s v="ORD07725"/>
    <d v="2025-11-30T00:00:00"/>
    <x v="2"/>
    <x v="11"/>
    <x v="3"/>
    <s v="Australia"/>
    <x v="47"/>
    <x v="17"/>
    <n v="19746"/>
    <n v="20127"/>
  </r>
  <r>
    <s v="ORD07726"/>
    <d v="2025-07-06T00:00:00"/>
    <x v="0"/>
    <x v="37"/>
    <x v="0"/>
    <s v="China"/>
    <x v="0"/>
    <x v="3"/>
    <n v="37021"/>
    <n v="38103"/>
  </r>
  <r>
    <s v="ORD07727"/>
    <d v="2025-12-05T00:00:00"/>
    <x v="10"/>
    <x v="43"/>
    <x v="0"/>
    <s v="Italy"/>
    <x v="24"/>
    <x v="12"/>
    <n v="19863"/>
    <n v="24689"/>
  </r>
  <r>
    <s v="ORD07728"/>
    <d v="2025-03-28T00:00:00"/>
    <x v="9"/>
    <x v="33"/>
    <x v="6"/>
    <s v="Germany"/>
    <x v="47"/>
    <x v="0"/>
    <n v="39940"/>
    <n v="30131"/>
  </r>
  <r>
    <s v="ORD07729"/>
    <d v="2025-03-20T00:00:00"/>
    <x v="9"/>
    <x v="39"/>
    <x v="0"/>
    <s v="Spain"/>
    <x v="14"/>
    <x v="10"/>
    <n v="38344"/>
    <n v="29249"/>
  </r>
  <r>
    <s v="ORD07730"/>
    <d v="2025-06-26T00:00:00"/>
    <x v="5"/>
    <x v="36"/>
    <x v="4"/>
    <s v="Japan"/>
    <x v="43"/>
    <x v="12"/>
    <n v="36397"/>
    <n v="32139"/>
  </r>
  <r>
    <s v="ORD07731"/>
    <d v="2025-11-23T00:00:00"/>
    <x v="2"/>
    <x v="9"/>
    <x v="6"/>
    <s v="Mexico"/>
    <x v="47"/>
    <x v="20"/>
    <n v="25963"/>
    <n v="19954"/>
  </r>
  <r>
    <s v="ORD07732"/>
    <d v="2025-06-29T00:00:00"/>
    <x v="5"/>
    <x v="36"/>
    <x v="3"/>
    <s v="Mexico"/>
    <x v="33"/>
    <x v="3"/>
    <n v="29808"/>
    <n v="25343"/>
  </r>
  <r>
    <s v="ORD07733"/>
    <d v="2025-01-23T00:00:00"/>
    <x v="1"/>
    <x v="7"/>
    <x v="6"/>
    <s v="Australia"/>
    <x v="10"/>
    <x v="1"/>
    <n v="17916"/>
    <n v="16394"/>
  </r>
  <r>
    <s v="ORD07734"/>
    <d v="2025-07-30T00:00:00"/>
    <x v="0"/>
    <x v="12"/>
    <x v="6"/>
    <s v="Malaysia"/>
    <x v="8"/>
    <x v="17"/>
    <n v="17118"/>
    <n v="15577"/>
  </r>
  <r>
    <s v="ORD07735"/>
    <d v="2025-12-26T00:00:00"/>
    <x v="10"/>
    <x v="42"/>
    <x v="0"/>
    <s v="USA"/>
    <x v="42"/>
    <x v="3"/>
    <n v="28446"/>
    <n v="25549"/>
  </r>
  <r>
    <s v="ORD07736"/>
    <d v="2025-07-12T00:00:00"/>
    <x v="0"/>
    <x v="47"/>
    <x v="2"/>
    <s v="China"/>
    <x v="8"/>
    <x v="16"/>
    <n v="26532"/>
    <n v="31743"/>
  </r>
  <r>
    <s v="ORD07737"/>
    <d v="2025-11-17T00:00:00"/>
    <x v="2"/>
    <x v="9"/>
    <x v="3"/>
    <s v="Singapore"/>
    <x v="20"/>
    <x v="17"/>
    <n v="34769"/>
    <n v="39409"/>
  </r>
  <r>
    <s v="ORD07738"/>
    <d v="2025-05-10T00:00:00"/>
    <x v="8"/>
    <x v="18"/>
    <x v="4"/>
    <s v="Thailand"/>
    <x v="7"/>
    <x v="2"/>
    <n v="33410"/>
    <n v="40982"/>
  </r>
  <r>
    <s v="ORD07739"/>
    <d v="2025-09-10T00:00:00"/>
    <x v="3"/>
    <x v="31"/>
    <x v="5"/>
    <s v="Thailand"/>
    <x v="16"/>
    <x v="4"/>
    <n v="31382"/>
    <n v="35880"/>
  </r>
  <r>
    <s v="ORD07740"/>
    <d v="2025-03-26T00:00:00"/>
    <x v="9"/>
    <x v="33"/>
    <x v="4"/>
    <s v="Germany"/>
    <x v="27"/>
    <x v="14"/>
    <n v="20813"/>
    <n v="26594"/>
  </r>
  <r>
    <s v="ORD07741"/>
    <d v="2025-08-23T00:00:00"/>
    <x v="11"/>
    <x v="46"/>
    <x v="4"/>
    <s v="India"/>
    <x v="3"/>
    <x v="13"/>
    <n v="22787"/>
    <n v="17054"/>
  </r>
  <r>
    <s v="ORD07742"/>
    <d v="2025-04-20T00:00:00"/>
    <x v="7"/>
    <x v="20"/>
    <x v="6"/>
    <s v="Singapore"/>
    <x v="48"/>
    <x v="5"/>
    <n v="34503"/>
    <n v="27774"/>
  </r>
  <r>
    <s v="ORD07743"/>
    <d v="2025-02-11T00:00:00"/>
    <x v="6"/>
    <x v="29"/>
    <x v="4"/>
    <s v="UAE"/>
    <x v="8"/>
    <x v="1"/>
    <n v="16855"/>
    <n v="19193"/>
  </r>
  <r>
    <s v="ORD07744"/>
    <d v="2025-02-25T00:00:00"/>
    <x v="6"/>
    <x v="22"/>
    <x v="2"/>
    <s v="UK"/>
    <x v="38"/>
    <x v="20"/>
    <n v="32239"/>
    <n v="26038"/>
  </r>
  <r>
    <s v="ORD07745"/>
    <d v="2025-02-23T00:00:00"/>
    <x v="6"/>
    <x v="15"/>
    <x v="3"/>
    <s v="Spain"/>
    <x v="13"/>
    <x v="9"/>
    <n v="28251"/>
    <n v="28479"/>
  </r>
  <r>
    <s v="ORD07746"/>
    <d v="2025-10-03T00:00:00"/>
    <x v="4"/>
    <x v="49"/>
    <x v="2"/>
    <s v="India"/>
    <x v="6"/>
    <x v="4"/>
    <n v="36970"/>
    <n v="44041"/>
  </r>
  <r>
    <s v="ORD07747"/>
    <d v="2025-06-18T00:00:00"/>
    <x v="5"/>
    <x v="13"/>
    <x v="0"/>
    <s v="UAE"/>
    <x v="47"/>
    <x v="22"/>
    <n v="25837"/>
    <n v="28463"/>
  </r>
  <r>
    <s v="ORD07748"/>
    <d v="2025-10-27T00:00:00"/>
    <x v="4"/>
    <x v="2"/>
    <x v="5"/>
    <s v="Australia"/>
    <x v="0"/>
    <x v="20"/>
    <n v="25998"/>
    <n v="22587"/>
  </r>
  <r>
    <s v="ORD07749"/>
    <d v="2025-12-29T00:00:00"/>
    <x v="10"/>
    <x v="5"/>
    <x v="2"/>
    <s v="UAE"/>
    <x v="15"/>
    <x v="3"/>
    <n v="20167"/>
    <n v="24450"/>
  </r>
  <r>
    <s v="ORD07750"/>
    <d v="2025-11-10T00:00:00"/>
    <x v="2"/>
    <x v="44"/>
    <x v="1"/>
    <s v="China"/>
    <x v="34"/>
    <x v="8"/>
    <n v="24858"/>
    <n v="31638"/>
  </r>
  <r>
    <s v="ORD07751"/>
    <d v="2025-05-24T00:00:00"/>
    <x v="8"/>
    <x v="26"/>
    <x v="1"/>
    <s v="Japan"/>
    <x v="31"/>
    <x v="14"/>
    <n v="30774"/>
    <n v="35844"/>
  </r>
  <r>
    <s v="ORD07752"/>
    <d v="2025-05-22T00:00:00"/>
    <x v="8"/>
    <x v="26"/>
    <x v="1"/>
    <s v="Brazil"/>
    <x v="41"/>
    <x v="5"/>
    <n v="32296"/>
    <n v="30101"/>
  </r>
  <r>
    <s v="ORD07753"/>
    <d v="2025-08-26T00:00:00"/>
    <x v="11"/>
    <x v="28"/>
    <x v="1"/>
    <s v="Italy"/>
    <x v="3"/>
    <x v="18"/>
    <n v="36298"/>
    <n v="44493"/>
  </r>
  <r>
    <s v="ORD07754"/>
    <d v="2025-12-09T00:00:00"/>
    <x v="10"/>
    <x v="32"/>
    <x v="0"/>
    <s v="Germany"/>
    <x v="43"/>
    <x v="11"/>
    <n v="36256"/>
    <n v="36676"/>
  </r>
  <r>
    <s v="ORD07755"/>
    <d v="2025-04-13T00:00:00"/>
    <x v="7"/>
    <x v="16"/>
    <x v="5"/>
    <s v="UK"/>
    <x v="22"/>
    <x v="12"/>
    <n v="37636"/>
    <n v="41823"/>
  </r>
  <r>
    <s v="ORD07756"/>
    <d v="2025-06-03T00:00:00"/>
    <x v="5"/>
    <x v="41"/>
    <x v="2"/>
    <s v="Canada"/>
    <x v="15"/>
    <x v="13"/>
    <n v="18813"/>
    <n v="18721"/>
  </r>
  <r>
    <s v="ORD07757"/>
    <d v="2025-03-31T00:00:00"/>
    <x v="9"/>
    <x v="34"/>
    <x v="2"/>
    <s v="UK"/>
    <x v="2"/>
    <x v="9"/>
    <n v="25818"/>
    <n v="32722"/>
  </r>
  <r>
    <s v="ORD07758"/>
    <d v="2025-03-25T00:00:00"/>
    <x v="9"/>
    <x v="33"/>
    <x v="5"/>
    <s v="Turkey"/>
    <x v="2"/>
    <x v="28"/>
    <n v="29295"/>
    <n v="31514"/>
  </r>
  <r>
    <s v="ORD07759"/>
    <d v="2025-04-15T00:00:00"/>
    <x v="7"/>
    <x v="20"/>
    <x v="0"/>
    <s v="China"/>
    <x v="0"/>
    <x v="22"/>
    <n v="37937"/>
    <n v="37264"/>
  </r>
  <r>
    <s v="ORD07760"/>
    <d v="2025-07-30T00:00:00"/>
    <x v="0"/>
    <x v="12"/>
    <x v="3"/>
    <s v="Russia"/>
    <x v="22"/>
    <x v="18"/>
    <n v="38023"/>
    <n v="45605"/>
  </r>
  <r>
    <s v="ORD07761"/>
    <d v="2025-05-28T00:00:00"/>
    <x v="8"/>
    <x v="24"/>
    <x v="6"/>
    <s v="Germany"/>
    <x v="34"/>
    <x v="0"/>
    <n v="15781"/>
    <n v="17849"/>
  </r>
  <r>
    <s v="ORD07762"/>
    <d v="2025-07-17T00:00:00"/>
    <x v="0"/>
    <x v="14"/>
    <x v="3"/>
    <s v="Malaysia"/>
    <x v="15"/>
    <x v="23"/>
    <n v="26546"/>
    <n v="33811"/>
  </r>
  <r>
    <s v="ORD07763"/>
    <d v="2025-06-11T00:00:00"/>
    <x v="5"/>
    <x v="40"/>
    <x v="3"/>
    <s v="UAE"/>
    <x v="47"/>
    <x v="1"/>
    <n v="32940"/>
    <n v="24879"/>
  </r>
  <r>
    <s v="ORD07764"/>
    <d v="2025-08-25T00:00:00"/>
    <x v="11"/>
    <x v="28"/>
    <x v="1"/>
    <s v="India"/>
    <x v="41"/>
    <x v="3"/>
    <n v="32293"/>
    <n v="25984"/>
  </r>
  <r>
    <s v="ORD07765"/>
    <d v="2025-09-19T00:00:00"/>
    <x v="3"/>
    <x v="8"/>
    <x v="4"/>
    <s v="Turkey"/>
    <x v="46"/>
    <x v="0"/>
    <n v="21433"/>
    <n v="24107"/>
  </r>
  <r>
    <s v="ORD07766"/>
    <d v="2025-07-14T00:00:00"/>
    <x v="0"/>
    <x v="14"/>
    <x v="4"/>
    <s v="India"/>
    <x v="43"/>
    <x v="11"/>
    <n v="23793"/>
    <n v="22867"/>
  </r>
  <r>
    <s v="ORD07767"/>
    <d v="2025-04-27T00:00:00"/>
    <x v="7"/>
    <x v="38"/>
    <x v="5"/>
    <s v="France"/>
    <x v="7"/>
    <x v="27"/>
    <n v="16006"/>
    <n v="11398"/>
  </r>
  <r>
    <s v="ORD07768"/>
    <d v="2025-09-13T00:00:00"/>
    <x v="3"/>
    <x v="31"/>
    <x v="2"/>
    <s v="Malaysia"/>
    <x v="9"/>
    <x v="3"/>
    <n v="21233"/>
    <n v="22912"/>
  </r>
  <r>
    <s v="ORD07769"/>
    <d v="2025-04-10T00:00:00"/>
    <x v="7"/>
    <x v="16"/>
    <x v="0"/>
    <s v="Brazil"/>
    <x v="3"/>
    <x v="10"/>
    <n v="21355"/>
    <n v="15439"/>
  </r>
  <r>
    <s v="ORD07770"/>
    <d v="2025-01-05T00:00:00"/>
    <x v="1"/>
    <x v="5"/>
    <x v="1"/>
    <s v="Canada"/>
    <x v="33"/>
    <x v="0"/>
    <n v="28275"/>
    <n v="25589"/>
  </r>
  <r>
    <s v="ORD07771"/>
    <d v="2025-12-02T00:00:00"/>
    <x v="10"/>
    <x v="43"/>
    <x v="5"/>
    <s v="Malaysia"/>
    <x v="14"/>
    <x v="12"/>
    <n v="39688"/>
    <n v="34069"/>
  </r>
  <r>
    <s v="ORD07772"/>
    <d v="2025-08-30T00:00:00"/>
    <x v="11"/>
    <x v="28"/>
    <x v="6"/>
    <s v="Singapore"/>
    <x v="32"/>
    <x v="25"/>
    <n v="22609"/>
    <n v="22764"/>
  </r>
  <r>
    <s v="ORD07773"/>
    <d v="2025-01-19T00:00:00"/>
    <x v="1"/>
    <x v="1"/>
    <x v="6"/>
    <s v="France"/>
    <x v="44"/>
    <x v="1"/>
    <n v="32565"/>
    <n v="37587"/>
  </r>
  <r>
    <s v="ORD07774"/>
    <d v="2025-03-05T00:00:00"/>
    <x v="9"/>
    <x v="35"/>
    <x v="1"/>
    <s v="Singapore"/>
    <x v="26"/>
    <x v="12"/>
    <n v="30535"/>
    <n v="30724"/>
  </r>
  <r>
    <s v="ORD07775"/>
    <d v="2025-10-03T00:00:00"/>
    <x v="4"/>
    <x v="49"/>
    <x v="5"/>
    <s v="UAE"/>
    <x v="32"/>
    <x v="4"/>
    <n v="30729"/>
    <n v="39324"/>
  </r>
  <r>
    <s v="ORD07776"/>
    <d v="2025-09-17T00:00:00"/>
    <x v="3"/>
    <x v="8"/>
    <x v="3"/>
    <s v="China"/>
    <x v="29"/>
    <x v="18"/>
    <n v="23587"/>
    <n v="19207"/>
  </r>
  <r>
    <s v="ORD07777"/>
    <d v="2025-04-24T00:00:00"/>
    <x v="7"/>
    <x v="38"/>
    <x v="5"/>
    <s v="UK"/>
    <x v="11"/>
    <x v="21"/>
    <n v="35721"/>
    <n v="38999"/>
  </r>
  <r>
    <s v="ORD07778"/>
    <d v="2025-08-18T00:00:00"/>
    <x v="11"/>
    <x v="46"/>
    <x v="4"/>
    <s v="Thailand"/>
    <x v="48"/>
    <x v="4"/>
    <n v="34609"/>
    <n v="27204"/>
  </r>
  <r>
    <s v="ORD07779"/>
    <d v="2025-01-05T00:00:00"/>
    <x v="1"/>
    <x v="5"/>
    <x v="3"/>
    <s v="Japan"/>
    <x v="1"/>
    <x v="6"/>
    <n v="38052"/>
    <n v="43847"/>
  </r>
  <r>
    <s v="ORD07780"/>
    <d v="2025-11-11T00:00:00"/>
    <x v="2"/>
    <x v="44"/>
    <x v="2"/>
    <s v="UK"/>
    <x v="37"/>
    <x v="23"/>
    <n v="34178"/>
    <n v="39593"/>
  </r>
  <r>
    <s v="ORD07781"/>
    <d v="2025-09-08T00:00:00"/>
    <x v="3"/>
    <x v="31"/>
    <x v="5"/>
    <s v="India"/>
    <x v="24"/>
    <x v="9"/>
    <n v="20353"/>
    <n v="25632"/>
  </r>
  <r>
    <s v="ORD07782"/>
    <d v="2025-05-02T00:00:00"/>
    <x v="8"/>
    <x v="27"/>
    <x v="6"/>
    <s v="China"/>
    <x v="13"/>
    <x v="3"/>
    <n v="27012"/>
    <n v="32523"/>
  </r>
  <r>
    <s v="ORD07783"/>
    <d v="2025-08-14T00:00:00"/>
    <x v="11"/>
    <x v="30"/>
    <x v="4"/>
    <s v="Japan"/>
    <x v="9"/>
    <x v="16"/>
    <n v="18896"/>
    <n v="23844"/>
  </r>
  <r>
    <s v="ORD07784"/>
    <d v="2025-05-22T00:00:00"/>
    <x v="8"/>
    <x v="26"/>
    <x v="4"/>
    <s v="South Africa"/>
    <x v="47"/>
    <x v="18"/>
    <n v="36575"/>
    <n v="32809"/>
  </r>
  <r>
    <s v="ORD07785"/>
    <d v="2025-06-24T00:00:00"/>
    <x v="5"/>
    <x v="36"/>
    <x v="2"/>
    <s v="Italy"/>
    <x v="32"/>
    <x v="24"/>
    <n v="28083"/>
    <n v="31946"/>
  </r>
  <r>
    <s v="ORD07786"/>
    <d v="2025-11-09T00:00:00"/>
    <x v="2"/>
    <x v="51"/>
    <x v="4"/>
    <s v="South Africa"/>
    <x v="48"/>
    <x v="25"/>
    <n v="33277"/>
    <n v="24839"/>
  </r>
  <r>
    <s v="ORD07787"/>
    <d v="2025-08-06T00:00:00"/>
    <x v="11"/>
    <x v="23"/>
    <x v="5"/>
    <s v="China"/>
    <x v="12"/>
    <x v="10"/>
    <n v="27299"/>
    <n v="32142"/>
  </r>
  <r>
    <s v="ORD07788"/>
    <d v="2025-05-30T00:00:00"/>
    <x v="8"/>
    <x v="24"/>
    <x v="4"/>
    <s v="China"/>
    <x v="18"/>
    <x v="20"/>
    <n v="35573"/>
    <n v="38145"/>
  </r>
  <r>
    <s v="ORD07789"/>
    <d v="2025-07-14T00:00:00"/>
    <x v="0"/>
    <x v="14"/>
    <x v="6"/>
    <s v="Australia"/>
    <x v="26"/>
    <x v="1"/>
    <n v="30147"/>
    <n v="24786"/>
  </r>
  <r>
    <s v="ORD07790"/>
    <d v="2025-08-15T00:00:00"/>
    <x v="11"/>
    <x v="30"/>
    <x v="1"/>
    <s v="Australia"/>
    <x v="14"/>
    <x v="12"/>
    <n v="23372"/>
    <n v="25199"/>
  </r>
  <r>
    <s v="ORD07791"/>
    <d v="2025-03-20T00:00:00"/>
    <x v="9"/>
    <x v="39"/>
    <x v="3"/>
    <s v="Japan"/>
    <x v="20"/>
    <x v="10"/>
    <n v="26279"/>
    <n v="24877"/>
  </r>
  <r>
    <s v="ORD07792"/>
    <d v="2025-10-04T00:00:00"/>
    <x v="4"/>
    <x v="49"/>
    <x v="2"/>
    <s v="Brazil"/>
    <x v="23"/>
    <x v="8"/>
    <n v="34117"/>
    <n v="28167"/>
  </r>
  <r>
    <s v="ORD07793"/>
    <d v="2025-09-05T00:00:00"/>
    <x v="3"/>
    <x v="4"/>
    <x v="4"/>
    <s v="Germany"/>
    <x v="19"/>
    <x v="2"/>
    <n v="34420"/>
    <n v="40491"/>
  </r>
  <r>
    <s v="ORD07794"/>
    <d v="2025-04-01T00:00:00"/>
    <x v="7"/>
    <x v="34"/>
    <x v="6"/>
    <s v="USA"/>
    <x v="12"/>
    <x v="14"/>
    <n v="20282"/>
    <n v="24616"/>
  </r>
  <r>
    <s v="ORD07795"/>
    <d v="2025-04-30T00:00:00"/>
    <x v="7"/>
    <x v="27"/>
    <x v="6"/>
    <s v="Italy"/>
    <x v="17"/>
    <x v="19"/>
    <n v="16351"/>
    <n v="19446"/>
  </r>
  <r>
    <s v="ORD07796"/>
    <d v="2025-10-13T00:00:00"/>
    <x v="4"/>
    <x v="10"/>
    <x v="2"/>
    <s v="Singapore"/>
    <x v="19"/>
    <x v="2"/>
    <n v="26713"/>
    <n v="32001"/>
  </r>
  <r>
    <s v="ORD07797"/>
    <d v="2025-03-19T00:00:00"/>
    <x v="9"/>
    <x v="39"/>
    <x v="6"/>
    <s v="Japan"/>
    <x v="9"/>
    <x v="7"/>
    <n v="28528"/>
    <n v="23417"/>
  </r>
  <r>
    <s v="ORD07798"/>
    <d v="2025-01-16T00:00:00"/>
    <x v="1"/>
    <x v="1"/>
    <x v="5"/>
    <s v="Australia"/>
    <x v="23"/>
    <x v="23"/>
    <n v="19463"/>
    <n v="14942"/>
  </r>
  <r>
    <s v="ORD07799"/>
    <d v="2025-07-03T00:00:00"/>
    <x v="0"/>
    <x v="37"/>
    <x v="4"/>
    <s v="Malaysia"/>
    <x v="20"/>
    <x v="25"/>
    <n v="19704"/>
    <n v="19465"/>
  </r>
  <r>
    <s v="ORD07800"/>
    <d v="2025-02-06T00:00:00"/>
    <x v="6"/>
    <x v="48"/>
    <x v="2"/>
    <s v="UAE"/>
    <x v="25"/>
    <x v="5"/>
    <n v="29109"/>
    <n v="21122"/>
  </r>
  <r>
    <s v="ORD07801"/>
    <d v="2025-10-18T00:00:00"/>
    <x v="4"/>
    <x v="10"/>
    <x v="5"/>
    <s v="Mexico"/>
    <x v="25"/>
    <x v="0"/>
    <n v="35073"/>
    <n v="35735"/>
  </r>
  <r>
    <s v="ORD07802"/>
    <d v="2025-07-16T00:00:00"/>
    <x v="0"/>
    <x v="14"/>
    <x v="2"/>
    <s v="Thailand"/>
    <x v="49"/>
    <x v="16"/>
    <n v="17423"/>
    <n v="14500"/>
  </r>
  <r>
    <s v="ORD07803"/>
    <d v="2025-07-05T00:00:00"/>
    <x v="0"/>
    <x v="37"/>
    <x v="6"/>
    <s v="Australia"/>
    <x v="23"/>
    <x v="13"/>
    <n v="25801"/>
    <n v="25854"/>
  </r>
  <r>
    <s v="ORD07804"/>
    <d v="2025-03-31T00:00:00"/>
    <x v="9"/>
    <x v="34"/>
    <x v="4"/>
    <s v="Brazil"/>
    <x v="49"/>
    <x v="3"/>
    <n v="21177"/>
    <n v="21066"/>
  </r>
  <r>
    <s v="ORD07805"/>
    <d v="2025-05-24T00:00:00"/>
    <x v="8"/>
    <x v="26"/>
    <x v="5"/>
    <s v="China"/>
    <x v="19"/>
    <x v="26"/>
    <n v="31002"/>
    <n v="21706"/>
  </r>
  <r>
    <s v="ORD07806"/>
    <d v="2025-03-02T00:00:00"/>
    <x v="9"/>
    <x v="22"/>
    <x v="1"/>
    <s v="Turkey"/>
    <x v="47"/>
    <x v="3"/>
    <n v="29452"/>
    <n v="26633"/>
  </r>
  <r>
    <s v="ORD07807"/>
    <d v="2025-07-06T00:00:00"/>
    <x v="0"/>
    <x v="37"/>
    <x v="3"/>
    <s v="UK"/>
    <x v="31"/>
    <x v="0"/>
    <n v="38244"/>
    <n v="38698"/>
  </r>
  <r>
    <s v="ORD07808"/>
    <d v="2025-03-30T00:00:00"/>
    <x v="9"/>
    <x v="33"/>
    <x v="6"/>
    <s v="Italy"/>
    <x v="21"/>
    <x v="17"/>
    <n v="28568"/>
    <n v="33517"/>
  </r>
  <r>
    <s v="ORD07809"/>
    <d v="2025-08-14T00:00:00"/>
    <x v="11"/>
    <x v="30"/>
    <x v="2"/>
    <s v="Thailand"/>
    <x v="0"/>
    <x v="29"/>
    <n v="16456"/>
    <n v="15442"/>
  </r>
  <r>
    <s v="ORD07810"/>
    <d v="2025-06-17T00:00:00"/>
    <x v="5"/>
    <x v="13"/>
    <x v="0"/>
    <s v="USA"/>
    <x v="10"/>
    <x v="13"/>
    <n v="26186"/>
    <n v="18998"/>
  </r>
  <r>
    <s v="ORD07811"/>
    <d v="2025-04-20T00:00:00"/>
    <x v="7"/>
    <x v="20"/>
    <x v="5"/>
    <s v="India"/>
    <x v="46"/>
    <x v="21"/>
    <n v="32903"/>
    <n v="26224"/>
  </r>
  <r>
    <s v="ORD07812"/>
    <d v="2025-02-16T00:00:00"/>
    <x v="6"/>
    <x v="29"/>
    <x v="5"/>
    <s v="Turkey"/>
    <x v="49"/>
    <x v="14"/>
    <n v="23194"/>
    <n v="21882"/>
  </r>
  <r>
    <s v="ORD07813"/>
    <d v="2025-03-08T00:00:00"/>
    <x v="9"/>
    <x v="35"/>
    <x v="2"/>
    <s v="India"/>
    <x v="49"/>
    <x v="3"/>
    <n v="39002"/>
    <n v="46229"/>
  </r>
  <r>
    <s v="ORD07814"/>
    <d v="2025-10-28T00:00:00"/>
    <x v="4"/>
    <x v="2"/>
    <x v="6"/>
    <s v="France"/>
    <x v="29"/>
    <x v="19"/>
    <n v="28897"/>
    <n v="27932"/>
  </r>
  <r>
    <s v="ORD07815"/>
    <d v="2025-08-29T00:00:00"/>
    <x v="11"/>
    <x v="28"/>
    <x v="4"/>
    <s v="Italy"/>
    <x v="16"/>
    <x v="6"/>
    <n v="17052"/>
    <n v="14151"/>
  </r>
  <r>
    <s v="ORD07816"/>
    <d v="2025-11-01T00:00:00"/>
    <x v="2"/>
    <x v="2"/>
    <x v="5"/>
    <s v="France"/>
    <x v="10"/>
    <x v="7"/>
    <n v="28656"/>
    <n v="32813"/>
  </r>
  <r>
    <s v="ORD07817"/>
    <d v="2025-12-13T00:00:00"/>
    <x v="10"/>
    <x v="32"/>
    <x v="2"/>
    <s v="France"/>
    <x v="42"/>
    <x v="21"/>
    <n v="24304"/>
    <n v="19015"/>
  </r>
  <r>
    <s v="ORD07818"/>
    <d v="2025-05-07T00:00:00"/>
    <x v="8"/>
    <x v="18"/>
    <x v="2"/>
    <s v="China"/>
    <x v="10"/>
    <x v="29"/>
    <n v="28666"/>
    <n v="28901"/>
  </r>
  <r>
    <s v="ORD07819"/>
    <d v="2025-12-23T00:00:00"/>
    <x v="10"/>
    <x v="42"/>
    <x v="1"/>
    <s v="Russia"/>
    <x v="40"/>
    <x v="22"/>
    <n v="32373"/>
    <n v="31281"/>
  </r>
  <r>
    <s v="ORD07820"/>
    <d v="2025-05-02T00:00:00"/>
    <x v="8"/>
    <x v="27"/>
    <x v="6"/>
    <s v="Thailand"/>
    <x v="36"/>
    <x v="29"/>
    <n v="23398"/>
    <n v="16527"/>
  </r>
  <r>
    <s v="ORD07821"/>
    <d v="2025-03-08T00:00:00"/>
    <x v="9"/>
    <x v="35"/>
    <x v="3"/>
    <s v="Brazil"/>
    <x v="23"/>
    <x v="21"/>
    <n v="16960"/>
    <n v="14668"/>
  </r>
  <r>
    <s v="ORD07822"/>
    <d v="2025-04-06T00:00:00"/>
    <x v="7"/>
    <x v="34"/>
    <x v="0"/>
    <s v="Germany"/>
    <x v="37"/>
    <x v="6"/>
    <n v="18986"/>
    <n v="22145"/>
  </r>
  <r>
    <s v="ORD07823"/>
    <d v="2025-05-05T00:00:00"/>
    <x v="8"/>
    <x v="18"/>
    <x v="6"/>
    <s v="Spain"/>
    <x v="3"/>
    <x v="13"/>
    <n v="28004"/>
    <n v="23898"/>
  </r>
  <r>
    <s v="ORD07824"/>
    <d v="2025-10-04T00:00:00"/>
    <x v="4"/>
    <x v="49"/>
    <x v="1"/>
    <s v="UK"/>
    <x v="44"/>
    <x v="22"/>
    <n v="36872"/>
    <n v="30597"/>
  </r>
  <r>
    <s v="ORD07825"/>
    <d v="2025-01-15T00:00:00"/>
    <x v="1"/>
    <x v="1"/>
    <x v="0"/>
    <s v="China"/>
    <x v="0"/>
    <x v="17"/>
    <n v="19927"/>
    <n v="22430"/>
  </r>
  <r>
    <s v="ORD07826"/>
    <d v="2025-01-06T00:00:00"/>
    <x v="1"/>
    <x v="6"/>
    <x v="0"/>
    <s v="Canada"/>
    <x v="25"/>
    <x v="14"/>
    <n v="23133"/>
    <n v="22974"/>
  </r>
  <r>
    <s v="ORD07827"/>
    <d v="2025-07-31T00:00:00"/>
    <x v="0"/>
    <x v="12"/>
    <x v="0"/>
    <s v="France"/>
    <x v="32"/>
    <x v="9"/>
    <n v="30964"/>
    <n v="31445"/>
  </r>
  <r>
    <s v="ORD07828"/>
    <d v="2025-09-03T00:00:00"/>
    <x v="3"/>
    <x v="4"/>
    <x v="2"/>
    <s v="Spain"/>
    <x v="9"/>
    <x v="0"/>
    <n v="23886"/>
    <n v="17094"/>
  </r>
  <r>
    <s v="ORD07829"/>
    <d v="2025-08-22T00:00:00"/>
    <x v="11"/>
    <x v="46"/>
    <x v="6"/>
    <s v="USA"/>
    <x v="46"/>
    <x v="0"/>
    <n v="15942"/>
    <n v="15732"/>
  </r>
  <r>
    <s v="ORD07830"/>
    <d v="2025-10-27T00:00:00"/>
    <x v="4"/>
    <x v="2"/>
    <x v="5"/>
    <s v="Mexico"/>
    <x v="12"/>
    <x v="23"/>
    <n v="38789"/>
    <n v="36512"/>
  </r>
  <r>
    <s v="ORD07831"/>
    <d v="2025-08-03T00:00:00"/>
    <x v="11"/>
    <x v="12"/>
    <x v="0"/>
    <s v="Thailand"/>
    <x v="26"/>
    <x v="25"/>
    <n v="31214"/>
    <n v="25820"/>
  </r>
  <r>
    <s v="ORD07832"/>
    <d v="2025-02-01T00:00:00"/>
    <x v="6"/>
    <x v="3"/>
    <x v="1"/>
    <s v="Australia"/>
    <x v="28"/>
    <x v="12"/>
    <n v="28819"/>
    <n v="22043"/>
  </r>
  <r>
    <s v="ORD07833"/>
    <d v="2025-11-28T00:00:00"/>
    <x v="2"/>
    <x v="11"/>
    <x v="1"/>
    <s v="Germany"/>
    <x v="43"/>
    <x v="11"/>
    <n v="21548"/>
    <n v="19112"/>
  </r>
  <r>
    <s v="ORD07834"/>
    <d v="2025-11-21T00:00:00"/>
    <x v="2"/>
    <x v="9"/>
    <x v="4"/>
    <s v="Italy"/>
    <x v="36"/>
    <x v="17"/>
    <n v="39563"/>
    <n v="31540"/>
  </r>
  <r>
    <s v="ORD07835"/>
    <d v="2025-11-11T00:00:00"/>
    <x v="2"/>
    <x v="44"/>
    <x v="5"/>
    <s v="Italy"/>
    <x v="27"/>
    <x v="11"/>
    <n v="21807"/>
    <n v="25337"/>
  </r>
  <r>
    <s v="ORD07836"/>
    <d v="2025-06-04T00:00:00"/>
    <x v="5"/>
    <x v="41"/>
    <x v="5"/>
    <s v="UK"/>
    <x v="45"/>
    <x v="7"/>
    <n v="36357"/>
    <n v="33596"/>
  </r>
  <r>
    <s v="ORD07837"/>
    <d v="2025-08-23T00:00:00"/>
    <x v="11"/>
    <x v="46"/>
    <x v="4"/>
    <s v="Canada"/>
    <x v="10"/>
    <x v="12"/>
    <n v="37003"/>
    <n v="39979"/>
  </r>
  <r>
    <s v="ORD07838"/>
    <d v="2025-08-17T00:00:00"/>
    <x v="11"/>
    <x v="30"/>
    <x v="6"/>
    <s v="Italy"/>
    <x v="48"/>
    <x v="18"/>
    <n v="29578"/>
    <n v="31581"/>
  </r>
  <r>
    <s v="ORD07839"/>
    <d v="2025-04-14T00:00:00"/>
    <x v="7"/>
    <x v="20"/>
    <x v="2"/>
    <s v="Turkey"/>
    <x v="16"/>
    <x v="11"/>
    <n v="39809"/>
    <n v="44134"/>
  </r>
  <r>
    <s v="ORD07840"/>
    <d v="2025-10-10T00:00:00"/>
    <x v="4"/>
    <x v="45"/>
    <x v="2"/>
    <s v="Italy"/>
    <x v="19"/>
    <x v="24"/>
    <n v="21193"/>
    <n v="21445"/>
  </r>
  <r>
    <s v="ORD07841"/>
    <d v="2025-08-21T00:00:00"/>
    <x v="11"/>
    <x v="46"/>
    <x v="0"/>
    <s v="Italy"/>
    <x v="16"/>
    <x v="8"/>
    <n v="18163"/>
    <n v="22710"/>
  </r>
  <r>
    <s v="ORD07842"/>
    <d v="2025-08-30T00:00:00"/>
    <x v="11"/>
    <x v="28"/>
    <x v="2"/>
    <s v="USA"/>
    <x v="47"/>
    <x v="19"/>
    <n v="17543"/>
    <n v="15329"/>
  </r>
  <r>
    <s v="ORD07843"/>
    <d v="2025-09-21T00:00:00"/>
    <x v="3"/>
    <x v="8"/>
    <x v="5"/>
    <s v="India"/>
    <x v="22"/>
    <x v="13"/>
    <n v="17152"/>
    <n v="12625"/>
  </r>
  <r>
    <s v="ORD07844"/>
    <d v="2025-05-14T00:00:00"/>
    <x v="8"/>
    <x v="17"/>
    <x v="0"/>
    <s v="Malaysia"/>
    <x v="11"/>
    <x v="28"/>
    <n v="20147"/>
    <n v="15305"/>
  </r>
  <r>
    <s v="ORD07845"/>
    <d v="2025-07-17T00:00:00"/>
    <x v="0"/>
    <x v="14"/>
    <x v="3"/>
    <s v="South Africa"/>
    <x v="13"/>
    <x v="26"/>
    <n v="31138"/>
    <n v="22706"/>
  </r>
  <r>
    <s v="ORD07846"/>
    <d v="2025-05-18T00:00:00"/>
    <x v="8"/>
    <x v="17"/>
    <x v="1"/>
    <s v="Canada"/>
    <x v="15"/>
    <x v="12"/>
    <n v="23538"/>
    <n v="27587"/>
  </r>
  <r>
    <s v="ORD07847"/>
    <d v="2025-05-07T00:00:00"/>
    <x v="8"/>
    <x v="18"/>
    <x v="2"/>
    <s v="Brazil"/>
    <x v="14"/>
    <x v="28"/>
    <n v="24381"/>
    <n v="29674"/>
  </r>
  <r>
    <s v="ORD07848"/>
    <d v="2025-05-27T00:00:00"/>
    <x v="8"/>
    <x v="24"/>
    <x v="5"/>
    <s v="South Africa"/>
    <x v="49"/>
    <x v="20"/>
    <n v="25278"/>
    <n v="24415"/>
  </r>
  <r>
    <s v="ORD07849"/>
    <d v="2025-10-11T00:00:00"/>
    <x v="4"/>
    <x v="45"/>
    <x v="2"/>
    <s v="USA"/>
    <x v="11"/>
    <x v="21"/>
    <n v="21507"/>
    <n v="26172"/>
  </r>
  <r>
    <s v="ORD07850"/>
    <d v="2025-04-29T00:00:00"/>
    <x v="7"/>
    <x v="27"/>
    <x v="6"/>
    <s v="Turkey"/>
    <x v="46"/>
    <x v="22"/>
    <n v="19021"/>
    <n v="13707"/>
  </r>
  <r>
    <s v="ORD07851"/>
    <d v="2025-08-15T00:00:00"/>
    <x v="11"/>
    <x v="30"/>
    <x v="1"/>
    <s v="Malaysia"/>
    <x v="16"/>
    <x v="28"/>
    <n v="17807"/>
    <n v="12639"/>
  </r>
  <r>
    <s v="ORD07852"/>
    <d v="2025-03-08T00:00:00"/>
    <x v="9"/>
    <x v="35"/>
    <x v="3"/>
    <s v="Australia"/>
    <x v="41"/>
    <x v="17"/>
    <n v="35074"/>
    <n v="32640"/>
  </r>
  <r>
    <s v="ORD07853"/>
    <d v="2025-10-18T00:00:00"/>
    <x v="4"/>
    <x v="10"/>
    <x v="2"/>
    <s v="Germany"/>
    <x v="31"/>
    <x v="13"/>
    <n v="23558"/>
    <n v="21352"/>
  </r>
  <r>
    <s v="ORD07854"/>
    <d v="2025-10-20T00:00:00"/>
    <x v="4"/>
    <x v="50"/>
    <x v="0"/>
    <s v="UK"/>
    <x v="17"/>
    <x v="13"/>
    <n v="38365"/>
    <n v="32115"/>
  </r>
  <r>
    <s v="ORD07855"/>
    <d v="2025-11-06T00:00:00"/>
    <x v="2"/>
    <x v="51"/>
    <x v="5"/>
    <s v="UK"/>
    <x v="13"/>
    <x v="22"/>
    <n v="30806"/>
    <n v="33939"/>
  </r>
  <r>
    <s v="ORD07856"/>
    <d v="2025-09-12T00:00:00"/>
    <x v="3"/>
    <x v="31"/>
    <x v="4"/>
    <s v="Australia"/>
    <x v="2"/>
    <x v="15"/>
    <n v="18087"/>
    <n v="20140"/>
  </r>
  <r>
    <s v="ORD07857"/>
    <d v="2025-05-17T00:00:00"/>
    <x v="8"/>
    <x v="17"/>
    <x v="1"/>
    <s v="Canada"/>
    <x v="45"/>
    <x v="2"/>
    <n v="35298"/>
    <n v="27444"/>
  </r>
  <r>
    <s v="ORD07858"/>
    <d v="2025-10-24T00:00:00"/>
    <x v="4"/>
    <x v="50"/>
    <x v="6"/>
    <s v="South Africa"/>
    <x v="4"/>
    <x v="5"/>
    <n v="27999"/>
    <n v="28206"/>
  </r>
  <r>
    <s v="ORD07859"/>
    <d v="2025-08-01T00:00:00"/>
    <x v="11"/>
    <x v="12"/>
    <x v="5"/>
    <s v="Thailand"/>
    <x v="8"/>
    <x v="16"/>
    <n v="31918"/>
    <n v="26267"/>
  </r>
  <r>
    <s v="ORD07860"/>
    <d v="2025-08-15T00:00:00"/>
    <x v="11"/>
    <x v="30"/>
    <x v="5"/>
    <s v="Mexico"/>
    <x v="10"/>
    <x v="27"/>
    <n v="23635"/>
    <n v="29174"/>
  </r>
  <r>
    <s v="ORD07861"/>
    <d v="2025-11-27T00:00:00"/>
    <x v="2"/>
    <x v="11"/>
    <x v="3"/>
    <s v="Australia"/>
    <x v="42"/>
    <x v="8"/>
    <n v="23009"/>
    <n v="24332"/>
  </r>
  <r>
    <s v="ORD07862"/>
    <d v="2025-10-04T00:00:00"/>
    <x v="4"/>
    <x v="49"/>
    <x v="0"/>
    <s v="Australia"/>
    <x v="2"/>
    <x v="23"/>
    <n v="17483"/>
    <n v="12858"/>
  </r>
  <r>
    <s v="ORD07863"/>
    <d v="2025-01-06T00:00:00"/>
    <x v="1"/>
    <x v="6"/>
    <x v="0"/>
    <s v="India"/>
    <x v="17"/>
    <x v="29"/>
    <n v="25631"/>
    <n v="30155"/>
  </r>
  <r>
    <s v="ORD07864"/>
    <d v="2025-03-08T00:00:00"/>
    <x v="9"/>
    <x v="35"/>
    <x v="4"/>
    <s v="Malaysia"/>
    <x v="45"/>
    <x v="21"/>
    <n v="33032"/>
    <n v="23175"/>
  </r>
  <r>
    <s v="ORD07865"/>
    <d v="2025-04-30T00:00:00"/>
    <x v="7"/>
    <x v="27"/>
    <x v="6"/>
    <s v="Japan"/>
    <x v="39"/>
    <x v="16"/>
    <n v="33119"/>
    <n v="29302"/>
  </r>
  <r>
    <s v="ORD07866"/>
    <d v="2025-12-08T00:00:00"/>
    <x v="10"/>
    <x v="32"/>
    <x v="5"/>
    <s v="Turkey"/>
    <x v="7"/>
    <x v="6"/>
    <n v="23303"/>
    <n v="19637"/>
  </r>
  <r>
    <s v="ORD07867"/>
    <d v="2025-06-22T00:00:00"/>
    <x v="5"/>
    <x v="13"/>
    <x v="5"/>
    <s v="Brazil"/>
    <x v="26"/>
    <x v="3"/>
    <n v="31337"/>
    <n v="29769"/>
  </r>
  <r>
    <s v="ORD07868"/>
    <d v="2025-01-31T00:00:00"/>
    <x v="1"/>
    <x v="3"/>
    <x v="5"/>
    <s v="South Africa"/>
    <x v="3"/>
    <x v="6"/>
    <n v="15473"/>
    <n v="12472"/>
  </r>
  <r>
    <s v="ORD07869"/>
    <d v="2025-11-07T00:00:00"/>
    <x v="2"/>
    <x v="51"/>
    <x v="4"/>
    <s v="France"/>
    <x v="19"/>
    <x v="16"/>
    <n v="23696"/>
    <n v="26830"/>
  </r>
  <r>
    <s v="ORD07870"/>
    <d v="2025-06-10T00:00:00"/>
    <x v="5"/>
    <x v="40"/>
    <x v="0"/>
    <s v="France"/>
    <x v="26"/>
    <x v="24"/>
    <n v="26324"/>
    <n v="18468"/>
  </r>
  <r>
    <s v="ORD07871"/>
    <d v="2025-10-25T00:00:00"/>
    <x v="4"/>
    <x v="50"/>
    <x v="5"/>
    <s v="India"/>
    <x v="9"/>
    <x v="20"/>
    <n v="17253"/>
    <n v="21117"/>
  </r>
  <r>
    <s v="ORD07872"/>
    <d v="2025-12-11T00:00:00"/>
    <x v="10"/>
    <x v="32"/>
    <x v="5"/>
    <s v="UAE"/>
    <x v="35"/>
    <x v="28"/>
    <n v="36262"/>
    <n v="27592"/>
  </r>
  <r>
    <s v="ORD07873"/>
    <d v="2025-08-05T00:00:00"/>
    <x v="11"/>
    <x v="23"/>
    <x v="6"/>
    <s v="Japan"/>
    <x v="49"/>
    <x v="23"/>
    <n v="25195"/>
    <n v="24416"/>
  </r>
  <r>
    <s v="ORD07874"/>
    <d v="2025-06-29T00:00:00"/>
    <x v="5"/>
    <x v="36"/>
    <x v="4"/>
    <s v="India"/>
    <x v="26"/>
    <x v="8"/>
    <n v="36145"/>
    <n v="45014"/>
  </r>
  <r>
    <s v="ORD07875"/>
    <d v="2025-09-14T00:00:00"/>
    <x v="3"/>
    <x v="31"/>
    <x v="4"/>
    <s v="France"/>
    <x v="24"/>
    <x v="3"/>
    <n v="23658"/>
    <n v="17819"/>
  </r>
  <r>
    <s v="ORD07876"/>
    <d v="2025-10-18T00:00:00"/>
    <x v="4"/>
    <x v="10"/>
    <x v="1"/>
    <s v="India"/>
    <x v="29"/>
    <x v="19"/>
    <n v="24381"/>
    <n v="23207"/>
  </r>
  <r>
    <s v="ORD07877"/>
    <d v="2025-12-13T00:00:00"/>
    <x v="10"/>
    <x v="32"/>
    <x v="2"/>
    <s v="Mexico"/>
    <x v="7"/>
    <x v="29"/>
    <n v="22962"/>
    <n v="29702"/>
  </r>
  <r>
    <s v="ORD07878"/>
    <d v="2025-02-21T00:00:00"/>
    <x v="6"/>
    <x v="15"/>
    <x v="2"/>
    <s v="Italy"/>
    <x v="46"/>
    <x v="26"/>
    <n v="28520"/>
    <n v="29793"/>
  </r>
  <r>
    <s v="ORD07879"/>
    <d v="2025-03-31T00:00:00"/>
    <x v="9"/>
    <x v="34"/>
    <x v="0"/>
    <s v="Thailand"/>
    <x v="23"/>
    <x v="20"/>
    <n v="16899"/>
    <n v="17920"/>
  </r>
  <r>
    <s v="ORD07880"/>
    <d v="2025-02-25T00:00:00"/>
    <x v="6"/>
    <x v="22"/>
    <x v="1"/>
    <s v="USA"/>
    <x v="31"/>
    <x v="25"/>
    <n v="24852"/>
    <n v="19755"/>
  </r>
  <r>
    <s v="ORD07881"/>
    <d v="2025-06-24T00:00:00"/>
    <x v="5"/>
    <x v="36"/>
    <x v="1"/>
    <s v="UK"/>
    <x v="40"/>
    <x v="24"/>
    <n v="26955"/>
    <n v="29346"/>
  </r>
  <r>
    <s v="ORD07882"/>
    <d v="2025-03-24T00:00:00"/>
    <x v="9"/>
    <x v="33"/>
    <x v="3"/>
    <s v="Spain"/>
    <x v="40"/>
    <x v="18"/>
    <n v="16183"/>
    <n v="20363"/>
  </r>
  <r>
    <s v="ORD07883"/>
    <d v="2025-01-02T00:00:00"/>
    <x v="1"/>
    <x v="5"/>
    <x v="4"/>
    <s v="Turkey"/>
    <x v="35"/>
    <x v="3"/>
    <n v="17368"/>
    <n v="18435"/>
  </r>
  <r>
    <s v="ORD07884"/>
    <d v="2025-01-06T00:00:00"/>
    <x v="1"/>
    <x v="6"/>
    <x v="2"/>
    <s v="India"/>
    <x v="35"/>
    <x v="10"/>
    <n v="15000"/>
    <n v="11431"/>
  </r>
  <r>
    <s v="ORD07885"/>
    <d v="2025-07-06T00:00:00"/>
    <x v="0"/>
    <x v="37"/>
    <x v="2"/>
    <s v="India"/>
    <x v="22"/>
    <x v="7"/>
    <n v="38704"/>
    <n v="39038"/>
  </r>
  <r>
    <s v="ORD07886"/>
    <d v="2025-07-17T00:00:00"/>
    <x v="0"/>
    <x v="14"/>
    <x v="3"/>
    <s v="Germany"/>
    <x v="42"/>
    <x v="22"/>
    <n v="17479"/>
    <n v="14339"/>
  </r>
  <r>
    <s v="ORD07887"/>
    <d v="2025-08-25T00:00:00"/>
    <x v="11"/>
    <x v="28"/>
    <x v="1"/>
    <s v="South Africa"/>
    <x v="8"/>
    <x v="0"/>
    <n v="39299"/>
    <n v="49754"/>
  </r>
  <r>
    <s v="ORD07888"/>
    <d v="2025-03-31T00:00:00"/>
    <x v="9"/>
    <x v="34"/>
    <x v="1"/>
    <s v="Mexico"/>
    <x v="25"/>
    <x v="10"/>
    <n v="20601"/>
    <n v="23945"/>
  </r>
  <r>
    <s v="ORD07889"/>
    <d v="2025-07-16T00:00:00"/>
    <x v="0"/>
    <x v="14"/>
    <x v="3"/>
    <s v="Australia"/>
    <x v="42"/>
    <x v="1"/>
    <n v="16366"/>
    <n v="14406"/>
  </r>
  <r>
    <s v="ORD07890"/>
    <d v="2025-08-02T00:00:00"/>
    <x v="11"/>
    <x v="12"/>
    <x v="0"/>
    <s v="Mexico"/>
    <x v="35"/>
    <x v="7"/>
    <n v="28446"/>
    <n v="35809"/>
  </r>
  <r>
    <s v="ORD07891"/>
    <d v="2025-07-04T00:00:00"/>
    <x v="0"/>
    <x v="37"/>
    <x v="1"/>
    <s v="Spain"/>
    <x v="28"/>
    <x v="26"/>
    <n v="16465"/>
    <n v="13715"/>
  </r>
  <r>
    <s v="ORD07892"/>
    <d v="2025-05-21T00:00:00"/>
    <x v="8"/>
    <x v="26"/>
    <x v="0"/>
    <s v="Germany"/>
    <x v="16"/>
    <x v="27"/>
    <n v="16264"/>
    <n v="12369"/>
  </r>
  <r>
    <s v="ORD07893"/>
    <d v="2025-04-15T00:00:00"/>
    <x v="7"/>
    <x v="20"/>
    <x v="2"/>
    <s v="South Africa"/>
    <x v="2"/>
    <x v="14"/>
    <n v="15729"/>
    <n v="18755"/>
  </r>
  <r>
    <s v="ORD07894"/>
    <d v="2025-08-29T00:00:00"/>
    <x v="11"/>
    <x v="28"/>
    <x v="2"/>
    <s v="Italy"/>
    <x v="39"/>
    <x v="7"/>
    <n v="39138"/>
    <n v="33928"/>
  </r>
  <r>
    <s v="ORD07895"/>
    <d v="2025-07-31T00:00:00"/>
    <x v="0"/>
    <x v="12"/>
    <x v="5"/>
    <s v="Singapore"/>
    <x v="42"/>
    <x v="12"/>
    <n v="32039"/>
    <n v="33004"/>
  </r>
  <r>
    <s v="ORD07896"/>
    <d v="2025-04-30T00:00:00"/>
    <x v="7"/>
    <x v="27"/>
    <x v="1"/>
    <s v="South Africa"/>
    <x v="19"/>
    <x v="7"/>
    <n v="35659"/>
    <n v="42605"/>
  </r>
  <r>
    <s v="ORD07897"/>
    <d v="2025-10-04T00:00:00"/>
    <x v="4"/>
    <x v="49"/>
    <x v="4"/>
    <s v="Japan"/>
    <x v="36"/>
    <x v="7"/>
    <n v="18038"/>
    <n v="14440"/>
  </r>
  <r>
    <s v="ORD07898"/>
    <d v="2025-09-28T00:00:00"/>
    <x v="3"/>
    <x v="25"/>
    <x v="5"/>
    <s v="Italy"/>
    <x v="29"/>
    <x v="25"/>
    <n v="27666"/>
    <n v="29180"/>
  </r>
  <r>
    <s v="ORD07899"/>
    <d v="2025-04-09T00:00:00"/>
    <x v="7"/>
    <x v="16"/>
    <x v="3"/>
    <s v="Mexico"/>
    <x v="24"/>
    <x v="17"/>
    <n v="18257"/>
    <n v="15531"/>
  </r>
  <r>
    <s v="ORD07900"/>
    <d v="2025-11-13T00:00:00"/>
    <x v="2"/>
    <x v="44"/>
    <x v="6"/>
    <s v="UAE"/>
    <x v="1"/>
    <x v="24"/>
    <n v="23603"/>
    <n v="17993"/>
  </r>
  <r>
    <s v="ORD07901"/>
    <d v="2025-09-12T00:00:00"/>
    <x v="3"/>
    <x v="31"/>
    <x v="5"/>
    <s v="Brazil"/>
    <x v="29"/>
    <x v="14"/>
    <n v="26960"/>
    <n v="24808"/>
  </r>
  <r>
    <s v="ORD07902"/>
    <d v="2025-09-09T00:00:00"/>
    <x v="3"/>
    <x v="31"/>
    <x v="1"/>
    <s v="Canada"/>
    <x v="38"/>
    <x v="29"/>
    <n v="16153"/>
    <n v="15240"/>
  </r>
  <r>
    <s v="ORD07903"/>
    <d v="2025-06-15T00:00:00"/>
    <x v="5"/>
    <x v="40"/>
    <x v="3"/>
    <s v="Singapore"/>
    <x v="21"/>
    <x v="15"/>
    <n v="31977"/>
    <n v="38892"/>
  </r>
  <r>
    <s v="ORD07904"/>
    <d v="2025-04-02T00:00:00"/>
    <x v="7"/>
    <x v="34"/>
    <x v="5"/>
    <s v="South Africa"/>
    <x v="23"/>
    <x v="7"/>
    <n v="20160"/>
    <n v="16329"/>
  </r>
  <r>
    <s v="ORD07905"/>
    <d v="2025-06-26T00:00:00"/>
    <x v="5"/>
    <x v="36"/>
    <x v="3"/>
    <s v="Italy"/>
    <x v="23"/>
    <x v="21"/>
    <n v="21900"/>
    <n v="23177"/>
  </r>
  <r>
    <s v="ORD07906"/>
    <d v="2025-07-07T00:00:00"/>
    <x v="0"/>
    <x v="47"/>
    <x v="6"/>
    <s v="Thailand"/>
    <x v="48"/>
    <x v="0"/>
    <n v="20968"/>
    <n v="18636"/>
  </r>
  <r>
    <s v="ORD07907"/>
    <d v="2025-08-21T00:00:00"/>
    <x v="11"/>
    <x v="46"/>
    <x v="4"/>
    <s v="Singapore"/>
    <x v="24"/>
    <x v="20"/>
    <n v="24361"/>
    <n v="30990"/>
  </r>
  <r>
    <s v="ORD07908"/>
    <d v="2025-10-10T00:00:00"/>
    <x v="4"/>
    <x v="45"/>
    <x v="2"/>
    <s v="UK"/>
    <x v="44"/>
    <x v="7"/>
    <n v="33519"/>
    <n v="34458"/>
  </r>
  <r>
    <s v="ORD07909"/>
    <d v="2025-09-23T00:00:00"/>
    <x v="3"/>
    <x v="25"/>
    <x v="1"/>
    <s v="Mexico"/>
    <x v="36"/>
    <x v="27"/>
    <n v="23140"/>
    <n v="18689"/>
  </r>
  <r>
    <s v="ORD07910"/>
    <d v="2025-08-04T00:00:00"/>
    <x v="11"/>
    <x v="23"/>
    <x v="5"/>
    <s v="Thailand"/>
    <x v="34"/>
    <x v="18"/>
    <n v="36499"/>
    <n v="33523"/>
  </r>
  <r>
    <s v="ORD07911"/>
    <d v="2025-06-20T00:00:00"/>
    <x v="5"/>
    <x v="13"/>
    <x v="5"/>
    <s v="France"/>
    <x v="45"/>
    <x v="3"/>
    <n v="19097"/>
    <n v="14227"/>
  </r>
  <r>
    <s v="ORD07912"/>
    <d v="2025-05-05T00:00:00"/>
    <x v="8"/>
    <x v="18"/>
    <x v="2"/>
    <s v="South Africa"/>
    <x v="20"/>
    <x v="1"/>
    <n v="15877"/>
    <n v="12672"/>
  </r>
  <r>
    <s v="ORD07913"/>
    <d v="2025-01-09T00:00:00"/>
    <x v="1"/>
    <x v="6"/>
    <x v="1"/>
    <s v="Malaysia"/>
    <x v="9"/>
    <x v="3"/>
    <n v="16737"/>
    <n v="21160"/>
  </r>
  <r>
    <s v="ORD07914"/>
    <d v="2025-11-10T00:00:00"/>
    <x v="2"/>
    <x v="44"/>
    <x v="1"/>
    <s v="Brazil"/>
    <x v="48"/>
    <x v="22"/>
    <n v="25361"/>
    <n v="25350"/>
  </r>
  <r>
    <s v="ORD07915"/>
    <d v="2025-05-17T00:00:00"/>
    <x v="8"/>
    <x v="17"/>
    <x v="5"/>
    <s v="Turkey"/>
    <x v="24"/>
    <x v="11"/>
    <n v="19068"/>
    <n v="19770"/>
  </r>
  <r>
    <s v="ORD07916"/>
    <d v="2025-12-30T00:00:00"/>
    <x v="10"/>
    <x v="5"/>
    <x v="5"/>
    <s v="Germany"/>
    <x v="11"/>
    <x v="7"/>
    <n v="19313"/>
    <n v="21373"/>
  </r>
  <r>
    <s v="ORD07917"/>
    <d v="2025-08-02T00:00:00"/>
    <x v="11"/>
    <x v="12"/>
    <x v="4"/>
    <s v="Germany"/>
    <x v="9"/>
    <x v="5"/>
    <n v="34613"/>
    <n v="29231"/>
  </r>
  <r>
    <s v="ORD07918"/>
    <d v="2025-06-10T00:00:00"/>
    <x v="5"/>
    <x v="40"/>
    <x v="2"/>
    <s v="Malaysia"/>
    <x v="1"/>
    <x v="13"/>
    <n v="22729"/>
    <n v="24990"/>
  </r>
  <r>
    <s v="ORD07919"/>
    <d v="2025-10-12T00:00:00"/>
    <x v="4"/>
    <x v="45"/>
    <x v="0"/>
    <s v="Spain"/>
    <x v="4"/>
    <x v="24"/>
    <n v="15684"/>
    <n v="17070"/>
  </r>
  <r>
    <s v="ORD07920"/>
    <d v="2025-11-01T00:00:00"/>
    <x v="2"/>
    <x v="2"/>
    <x v="1"/>
    <s v="Brazil"/>
    <x v="48"/>
    <x v="23"/>
    <n v="31437"/>
    <n v="29213"/>
  </r>
  <r>
    <s v="ORD07921"/>
    <d v="2025-03-15T00:00:00"/>
    <x v="9"/>
    <x v="19"/>
    <x v="6"/>
    <s v="Singapore"/>
    <x v="38"/>
    <x v="26"/>
    <n v="17746"/>
    <n v="19771"/>
  </r>
  <r>
    <s v="ORD07922"/>
    <d v="2025-07-02T00:00:00"/>
    <x v="0"/>
    <x v="37"/>
    <x v="1"/>
    <s v="South Africa"/>
    <x v="28"/>
    <x v="10"/>
    <n v="31446"/>
    <n v="26202"/>
  </r>
  <r>
    <s v="ORD07923"/>
    <d v="2025-09-16T00:00:00"/>
    <x v="3"/>
    <x v="8"/>
    <x v="4"/>
    <s v="Thailand"/>
    <x v="42"/>
    <x v="10"/>
    <n v="26478"/>
    <n v="32526"/>
  </r>
  <r>
    <s v="ORD07924"/>
    <d v="2025-09-10T00:00:00"/>
    <x v="3"/>
    <x v="31"/>
    <x v="1"/>
    <s v="Turkey"/>
    <x v="46"/>
    <x v="9"/>
    <n v="22190"/>
    <n v="16625"/>
  </r>
  <r>
    <s v="ORD07925"/>
    <d v="2025-09-02T00:00:00"/>
    <x v="3"/>
    <x v="4"/>
    <x v="0"/>
    <s v="UK"/>
    <x v="37"/>
    <x v="25"/>
    <n v="22499"/>
    <n v="24867"/>
  </r>
  <r>
    <s v="ORD07926"/>
    <d v="2025-10-06T00:00:00"/>
    <x v="4"/>
    <x v="45"/>
    <x v="0"/>
    <s v="Russia"/>
    <x v="49"/>
    <x v="4"/>
    <n v="39492"/>
    <n v="32256"/>
  </r>
  <r>
    <s v="ORD07927"/>
    <d v="2025-05-03T00:00:00"/>
    <x v="8"/>
    <x v="27"/>
    <x v="1"/>
    <s v="USA"/>
    <x v="26"/>
    <x v="15"/>
    <n v="28559"/>
    <n v="26883"/>
  </r>
  <r>
    <s v="ORD07928"/>
    <d v="2025-05-17T00:00:00"/>
    <x v="8"/>
    <x v="17"/>
    <x v="2"/>
    <s v="China"/>
    <x v="29"/>
    <x v="11"/>
    <n v="39469"/>
    <n v="41914"/>
  </r>
  <r>
    <s v="ORD07929"/>
    <d v="2025-04-17T00:00:00"/>
    <x v="7"/>
    <x v="20"/>
    <x v="2"/>
    <s v="USA"/>
    <x v="10"/>
    <x v="18"/>
    <n v="27504"/>
    <n v="30046"/>
  </r>
  <r>
    <s v="ORD07930"/>
    <d v="2025-08-27T00:00:00"/>
    <x v="11"/>
    <x v="28"/>
    <x v="2"/>
    <s v="Thailand"/>
    <x v="2"/>
    <x v="3"/>
    <n v="16012"/>
    <n v="17618"/>
  </r>
  <r>
    <s v="ORD07931"/>
    <d v="2025-03-03T00:00:00"/>
    <x v="9"/>
    <x v="35"/>
    <x v="6"/>
    <s v="Malaysia"/>
    <x v="49"/>
    <x v="17"/>
    <n v="27341"/>
    <n v="26120"/>
  </r>
  <r>
    <s v="ORD07932"/>
    <d v="2025-05-09T00:00:00"/>
    <x v="8"/>
    <x v="18"/>
    <x v="5"/>
    <s v="Thailand"/>
    <x v="3"/>
    <x v="1"/>
    <n v="23321"/>
    <n v="28235"/>
  </r>
  <r>
    <s v="ORD07933"/>
    <d v="2025-06-14T00:00:00"/>
    <x v="5"/>
    <x v="40"/>
    <x v="6"/>
    <s v="UAE"/>
    <x v="21"/>
    <x v="6"/>
    <n v="37636"/>
    <n v="33402"/>
  </r>
  <r>
    <s v="ORD07934"/>
    <d v="2025-08-05T00:00:00"/>
    <x v="11"/>
    <x v="23"/>
    <x v="1"/>
    <s v="Canada"/>
    <x v="26"/>
    <x v="29"/>
    <n v="22034"/>
    <n v="19743"/>
  </r>
  <r>
    <s v="ORD07935"/>
    <d v="2025-03-28T00:00:00"/>
    <x v="9"/>
    <x v="33"/>
    <x v="4"/>
    <s v="Thailand"/>
    <x v="42"/>
    <x v="2"/>
    <n v="28054"/>
    <n v="30850"/>
  </r>
  <r>
    <s v="ORD07936"/>
    <d v="2025-11-17T00:00:00"/>
    <x v="2"/>
    <x v="9"/>
    <x v="1"/>
    <s v="Australia"/>
    <x v="49"/>
    <x v="2"/>
    <n v="36802"/>
    <n v="31393"/>
  </r>
  <r>
    <s v="ORD07937"/>
    <d v="2025-09-09T00:00:00"/>
    <x v="3"/>
    <x v="31"/>
    <x v="4"/>
    <s v="Mexico"/>
    <x v="16"/>
    <x v="20"/>
    <n v="25685"/>
    <n v="18337"/>
  </r>
  <r>
    <s v="ORD07938"/>
    <d v="2025-05-01T00:00:00"/>
    <x v="8"/>
    <x v="27"/>
    <x v="5"/>
    <s v="Italy"/>
    <x v="0"/>
    <x v="27"/>
    <n v="25666"/>
    <n v="24807"/>
  </r>
  <r>
    <s v="ORD07939"/>
    <d v="2025-01-05T00:00:00"/>
    <x v="1"/>
    <x v="5"/>
    <x v="2"/>
    <s v="Australia"/>
    <x v="49"/>
    <x v="17"/>
    <n v="17204"/>
    <n v="17909"/>
  </r>
  <r>
    <s v="ORD07940"/>
    <d v="2025-11-10T00:00:00"/>
    <x v="2"/>
    <x v="44"/>
    <x v="6"/>
    <s v="South Africa"/>
    <x v="45"/>
    <x v="23"/>
    <n v="36235"/>
    <n v="44017"/>
  </r>
  <r>
    <s v="ORD07941"/>
    <d v="2025-10-20T00:00:00"/>
    <x v="4"/>
    <x v="50"/>
    <x v="1"/>
    <s v="Russia"/>
    <x v="18"/>
    <x v="24"/>
    <n v="37737"/>
    <n v="43250"/>
  </r>
  <r>
    <s v="ORD07942"/>
    <d v="2025-08-17T00:00:00"/>
    <x v="11"/>
    <x v="30"/>
    <x v="4"/>
    <s v="Russia"/>
    <x v="30"/>
    <x v="19"/>
    <n v="18897"/>
    <n v="13376"/>
  </r>
  <r>
    <s v="ORD07943"/>
    <d v="2025-05-14T00:00:00"/>
    <x v="8"/>
    <x v="17"/>
    <x v="1"/>
    <s v="UK"/>
    <x v="43"/>
    <x v="3"/>
    <n v="37920"/>
    <n v="32583"/>
  </r>
  <r>
    <s v="ORD07944"/>
    <d v="2025-05-01T00:00:00"/>
    <x v="8"/>
    <x v="27"/>
    <x v="5"/>
    <s v="Australia"/>
    <x v="13"/>
    <x v="12"/>
    <n v="28357"/>
    <n v="26713"/>
  </r>
  <r>
    <s v="ORD07945"/>
    <d v="2025-12-12T00:00:00"/>
    <x v="10"/>
    <x v="32"/>
    <x v="3"/>
    <s v="South Africa"/>
    <x v="4"/>
    <x v="17"/>
    <n v="33664"/>
    <n v="39840"/>
  </r>
  <r>
    <s v="ORD07946"/>
    <d v="2025-06-12T00:00:00"/>
    <x v="5"/>
    <x v="40"/>
    <x v="4"/>
    <s v="Mexico"/>
    <x v="1"/>
    <x v="25"/>
    <n v="27053"/>
    <n v="30944"/>
  </r>
  <r>
    <s v="ORD07947"/>
    <d v="2025-05-30T00:00:00"/>
    <x v="8"/>
    <x v="24"/>
    <x v="1"/>
    <s v="South Africa"/>
    <x v="13"/>
    <x v="24"/>
    <n v="27073"/>
    <n v="19803"/>
  </r>
  <r>
    <s v="ORD07948"/>
    <d v="2025-12-19T00:00:00"/>
    <x v="10"/>
    <x v="21"/>
    <x v="1"/>
    <s v="Singapore"/>
    <x v="39"/>
    <x v="20"/>
    <n v="27386"/>
    <n v="31251"/>
  </r>
  <r>
    <s v="ORD07949"/>
    <d v="2025-10-27T00:00:00"/>
    <x v="4"/>
    <x v="2"/>
    <x v="6"/>
    <s v="China"/>
    <x v="37"/>
    <x v="25"/>
    <n v="26601"/>
    <n v="24286"/>
  </r>
  <r>
    <s v="ORD07950"/>
    <d v="2025-01-19T00:00:00"/>
    <x v="1"/>
    <x v="1"/>
    <x v="5"/>
    <s v="France"/>
    <x v="4"/>
    <x v="9"/>
    <n v="24798"/>
    <n v="20754"/>
  </r>
  <r>
    <s v="ORD07951"/>
    <d v="2025-09-01T00:00:00"/>
    <x v="3"/>
    <x v="4"/>
    <x v="5"/>
    <s v="Japan"/>
    <x v="47"/>
    <x v="6"/>
    <n v="18146"/>
    <n v="20057"/>
  </r>
  <r>
    <s v="ORD07952"/>
    <d v="2025-01-26T00:00:00"/>
    <x v="1"/>
    <x v="7"/>
    <x v="6"/>
    <s v="Mexico"/>
    <x v="40"/>
    <x v="25"/>
    <n v="17080"/>
    <n v="19456"/>
  </r>
  <r>
    <s v="ORD07953"/>
    <d v="2025-05-21T00:00:00"/>
    <x v="8"/>
    <x v="26"/>
    <x v="3"/>
    <s v="Japan"/>
    <x v="38"/>
    <x v="21"/>
    <n v="20944"/>
    <n v="26985"/>
  </r>
  <r>
    <s v="ORD07954"/>
    <d v="2025-08-29T00:00:00"/>
    <x v="11"/>
    <x v="28"/>
    <x v="5"/>
    <s v="Canada"/>
    <x v="28"/>
    <x v="24"/>
    <n v="34627"/>
    <n v="41063"/>
  </r>
  <r>
    <s v="ORD07955"/>
    <d v="2025-03-23T00:00:00"/>
    <x v="9"/>
    <x v="39"/>
    <x v="6"/>
    <s v="Australia"/>
    <x v="9"/>
    <x v="20"/>
    <n v="28733"/>
    <n v="26717"/>
  </r>
  <r>
    <s v="ORD07956"/>
    <d v="2025-12-09T00:00:00"/>
    <x v="10"/>
    <x v="32"/>
    <x v="2"/>
    <s v="Australia"/>
    <x v="38"/>
    <x v="20"/>
    <n v="32628"/>
    <n v="38191"/>
  </r>
  <r>
    <s v="ORD07957"/>
    <d v="2025-08-07T00:00:00"/>
    <x v="11"/>
    <x v="23"/>
    <x v="0"/>
    <s v="Malaysia"/>
    <x v="43"/>
    <x v="5"/>
    <n v="19819"/>
    <n v="19245"/>
  </r>
  <r>
    <s v="ORD07958"/>
    <d v="2025-06-22T00:00:00"/>
    <x v="5"/>
    <x v="13"/>
    <x v="4"/>
    <s v="Spain"/>
    <x v="42"/>
    <x v="5"/>
    <n v="22500"/>
    <n v="22437"/>
  </r>
  <r>
    <s v="ORD07959"/>
    <d v="2025-05-09T00:00:00"/>
    <x v="8"/>
    <x v="18"/>
    <x v="6"/>
    <s v="South Africa"/>
    <x v="2"/>
    <x v="3"/>
    <n v="27564"/>
    <n v="25803"/>
  </r>
  <r>
    <s v="ORD07960"/>
    <d v="2025-03-05T00:00:00"/>
    <x v="9"/>
    <x v="35"/>
    <x v="1"/>
    <s v="Spain"/>
    <x v="6"/>
    <x v="16"/>
    <n v="31385"/>
    <n v="39285"/>
  </r>
  <r>
    <s v="ORD07961"/>
    <d v="2025-02-08T00:00:00"/>
    <x v="6"/>
    <x v="48"/>
    <x v="5"/>
    <s v="Thailand"/>
    <x v="22"/>
    <x v="27"/>
    <n v="30807"/>
    <n v="36218"/>
  </r>
  <r>
    <s v="ORD07962"/>
    <d v="2025-12-22T00:00:00"/>
    <x v="10"/>
    <x v="42"/>
    <x v="0"/>
    <s v="Germany"/>
    <x v="30"/>
    <x v="18"/>
    <n v="33875"/>
    <n v="37401"/>
  </r>
  <r>
    <s v="ORD07963"/>
    <d v="2025-12-06T00:00:00"/>
    <x v="10"/>
    <x v="43"/>
    <x v="4"/>
    <s v="UK"/>
    <x v="13"/>
    <x v="18"/>
    <n v="28234"/>
    <n v="27886"/>
  </r>
  <r>
    <s v="ORD07964"/>
    <d v="2025-08-10T00:00:00"/>
    <x v="11"/>
    <x v="23"/>
    <x v="1"/>
    <s v="Mexico"/>
    <x v="47"/>
    <x v="4"/>
    <n v="25046"/>
    <n v="25870"/>
  </r>
  <r>
    <s v="ORD07965"/>
    <d v="2025-03-24T00:00:00"/>
    <x v="9"/>
    <x v="33"/>
    <x v="3"/>
    <s v="Russia"/>
    <x v="16"/>
    <x v="6"/>
    <n v="37408"/>
    <n v="32655"/>
  </r>
  <r>
    <s v="ORD07966"/>
    <d v="2025-03-03T00:00:00"/>
    <x v="9"/>
    <x v="35"/>
    <x v="2"/>
    <s v="Russia"/>
    <x v="1"/>
    <x v="15"/>
    <n v="18186"/>
    <n v="22485"/>
  </r>
  <r>
    <s v="ORD07967"/>
    <d v="2025-12-11T00:00:00"/>
    <x v="10"/>
    <x v="32"/>
    <x v="4"/>
    <s v="Mexico"/>
    <x v="12"/>
    <x v="28"/>
    <n v="39313"/>
    <n v="27832"/>
  </r>
  <r>
    <s v="ORD07968"/>
    <d v="2025-07-15T00:00:00"/>
    <x v="0"/>
    <x v="14"/>
    <x v="2"/>
    <s v="Turkey"/>
    <x v="12"/>
    <x v="2"/>
    <n v="36200"/>
    <n v="44886"/>
  </r>
  <r>
    <s v="ORD07969"/>
    <d v="2025-02-18T00:00:00"/>
    <x v="6"/>
    <x v="15"/>
    <x v="5"/>
    <s v="Malaysia"/>
    <x v="1"/>
    <x v="8"/>
    <n v="23993"/>
    <n v="27814"/>
  </r>
  <r>
    <s v="ORD07970"/>
    <d v="2025-07-23T00:00:00"/>
    <x v="0"/>
    <x v="0"/>
    <x v="1"/>
    <s v="Turkey"/>
    <x v="22"/>
    <x v="7"/>
    <n v="29668"/>
    <n v="26767"/>
  </r>
  <r>
    <s v="ORD07971"/>
    <d v="2025-02-25T00:00:00"/>
    <x v="6"/>
    <x v="22"/>
    <x v="3"/>
    <s v="USA"/>
    <x v="40"/>
    <x v="15"/>
    <n v="18669"/>
    <n v="19264"/>
  </r>
  <r>
    <s v="ORD07972"/>
    <d v="2025-10-08T00:00:00"/>
    <x v="4"/>
    <x v="45"/>
    <x v="3"/>
    <s v="Thailand"/>
    <x v="33"/>
    <x v="16"/>
    <n v="36081"/>
    <n v="33051"/>
  </r>
  <r>
    <s v="ORD07973"/>
    <d v="2025-01-25T00:00:00"/>
    <x v="1"/>
    <x v="7"/>
    <x v="0"/>
    <s v="Thailand"/>
    <x v="29"/>
    <x v="15"/>
    <n v="20047"/>
    <n v="16655"/>
  </r>
  <r>
    <s v="ORD07974"/>
    <d v="2025-08-14T00:00:00"/>
    <x v="11"/>
    <x v="30"/>
    <x v="1"/>
    <s v="France"/>
    <x v="30"/>
    <x v="1"/>
    <n v="31520"/>
    <n v="32997"/>
  </r>
  <r>
    <s v="ORD07975"/>
    <d v="2025-08-07T00:00:00"/>
    <x v="11"/>
    <x v="23"/>
    <x v="3"/>
    <s v="China"/>
    <x v="45"/>
    <x v="12"/>
    <n v="19212"/>
    <n v="15214"/>
  </r>
  <r>
    <s v="ORD07976"/>
    <d v="2025-12-28T00:00:00"/>
    <x v="10"/>
    <x v="42"/>
    <x v="3"/>
    <s v="Thailand"/>
    <x v="5"/>
    <x v="8"/>
    <n v="36146"/>
    <n v="43163"/>
  </r>
  <r>
    <s v="ORD07977"/>
    <d v="2025-05-27T00:00:00"/>
    <x v="8"/>
    <x v="24"/>
    <x v="4"/>
    <s v="South Africa"/>
    <x v="37"/>
    <x v="24"/>
    <n v="20366"/>
    <n v="17981"/>
  </r>
  <r>
    <s v="ORD07978"/>
    <d v="2025-03-05T00:00:00"/>
    <x v="9"/>
    <x v="35"/>
    <x v="3"/>
    <s v="UK"/>
    <x v="43"/>
    <x v="14"/>
    <n v="25319"/>
    <n v="31611"/>
  </r>
  <r>
    <s v="ORD07979"/>
    <d v="2025-05-11T00:00:00"/>
    <x v="8"/>
    <x v="18"/>
    <x v="5"/>
    <s v="Mexico"/>
    <x v="24"/>
    <x v="25"/>
    <n v="18015"/>
    <n v="22113"/>
  </r>
  <r>
    <s v="ORD07980"/>
    <d v="2025-09-23T00:00:00"/>
    <x v="3"/>
    <x v="25"/>
    <x v="2"/>
    <s v="Mexico"/>
    <x v="15"/>
    <x v="9"/>
    <n v="19530"/>
    <n v="13864"/>
  </r>
  <r>
    <s v="ORD07981"/>
    <d v="2025-05-24T00:00:00"/>
    <x v="8"/>
    <x v="26"/>
    <x v="3"/>
    <s v="Japan"/>
    <x v="22"/>
    <x v="25"/>
    <n v="37055"/>
    <n v="46825"/>
  </r>
  <r>
    <s v="ORD07982"/>
    <d v="2025-09-24T00:00:00"/>
    <x v="3"/>
    <x v="25"/>
    <x v="0"/>
    <s v="India"/>
    <x v="35"/>
    <x v="17"/>
    <n v="28921"/>
    <n v="35434"/>
  </r>
  <r>
    <s v="ORD07983"/>
    <d v="2025-09-10T00:00:00"/>
    <x v="3"/>
    <x v="31"/>
    <x v="2"/>
    <s v="Germany"/>
    <x v="8"/>
    <x v="22"/>
    <n v="18554"/>
    <n v="16196"/>
  </r>
  <r>
    <s v="ORD07984"/>
    <d v="2025-06-22T00:00:00"/>
    <x v="5"/>
    <x v="13"/>
    <x v="2"/>
    <s v="UK"/>
    <x v="11"/>
    <x v="12"/>
    <n v="28144"/>
    <n v="28635"/>
  </r>
  <r>
    <s v="ORD07985"/>
    <d v="2025-05-30T00:00:00"/>
    <x v="8"/>
    <x v="24"/>
    <x v="3"/>
    <s v="Brazil"/>
    <x v="5"/>
    <x v="3"/>
    <n v="17253"/>
    <n v="16735"/>
  </r>
  <r>
    <s v="ORD07986"/>
    <d v="2025-05-16T00:00:00"/>
    <x v="8"/>
    <x v="17"/>
    <x v="3"/>
    <s v="UK"/>
    <x v="37"/>
    <x v="1"/>
    <n v="39043"/>
    <n v="44226"/>
  </r>
  <r>
    <s v="ORD07987"/>
    <d v="2025-12-04T00:00:00"/>
    <x v="10"/>
    <x v="43"/>
    <x v="3"/>
    <s v="Japan"/>
    <x v="26"/>
    <x v="23"/>
    <n v="31643"/>
    <n v="25642"/>
  </r>
  <r>
    <s v="ORD07988"/>
    <d v="2025-04-11T00:00:00"/>
    <x v="7"/>
    <x v="16"/>
    <x v="3"/>
    <s v="Australia"/>
    <x v="26"/>
    <x v="10"/>
    <n v="26481"/>
    <n v="19580"/>
  </r>
  <r>
    <s v="ORD07989"/>
    <d v="2025-06-30T00:00:00"/>
    <x v="5"/>
    <x v="37"/>
    <x v="5"/>
    <s v="Spain"/>
    <x v="5"/>
    <x v="3"/>
    <n v="15301"/>
    <n v="17988"/>
  </r>
  <r>
    <s v="ORD07990"/>
    <d v="2025-10-26T00:00:00"/>
    <x v="4"/>
    <x v="50"/>
    <x v="4"/>
    <s v="South Africa"/>
    <x v="33"/>
    <x v="19"/>
    <n v="34206"/>
    <n v="43297"/>
  </r>
  <r>
    <s v="ORD07991"/>
    <d v="2025-04-02T00:00:00"/>
    <x v="7"/>
    <x v="34"/>
    <x v="1"/>
    <s v="Germany"/>
    <x v="37"/>
    <x v="27"/>
    <n v="29354"/>
    <n v="38133"/>
  </r>
  <r>
    <s v="ORD07992"/>
    <d v="2025-02-27T00:00:00"/>
    <x v="6"/>
    <x v="22"/>
    <x v="6"/>
    <s v="China"/>
    <x v="5"/>
    <x v="10"/>
    <n v="37871"/>
    <n v="36544"/>
  </r>
  <r>
    <s v="ORD07993"/>
    <d v="2025-04-03T00:00:00"/>
    <x v="7"/>
    <x v="34"/>
    <x v="0"/>
    <s v="Spain"/>
    <x v="47"/>
    <x v="10"/>
    <n v="30886"/>
    <n v="38863"/>
  </r>
  <r>
    <s v="ORD07994"/>
    <d v="2025-09-27T00:00:00"/>
    <x v="3"/>
    <x v="25"/>
    <x v="0"/>
    <s v="Spain"/>
    <x v="16"/>
    <x v="26"/>
    <n v="24724"/>
    <n v="22182"/>
  </r>
  <r>
    <s v="ORD07995"/>
    <d v="2025-05-08T00:00:00"/>
    <x v="8"/>
    <x v="18"/>
    <x v="4"/>
    <s v="Thailand"/>
    <x v="45"/>
    <x v="18"/>
    <n v="36327"/>
    <n v="35101"/>
  </r>
  <r>
    <s v="ORD07996"/>
    <d v="2025-02-27T00:00:00"/>
    <x v="6"/>
    <x v="22"/>
    <x v="3"/>
    <s v="USA"/>
    <x v="18"/>
    <x v="2"/>
    <n v="36161"/>
    <n v="31957"/>
  </r>
  <r>
    <s v="ORD07997"/>
    <d v="2025-05-02T00:00:00"/>
    <x v="8"/>
    <x v="27"/>
    <x v="1"/>
    <s v="France"/>
    <x v="28"/>
    <x v="12"/>
    <n v="28254"/>
    <n v="27165"/>
  </r>
  <r>
    <s v="ORD07998"/>
    <d v="2025-09-13T00:00:00"/>
    <x v="3"/>
    <x v="31"/>
    <x v="1"/>
    <s v="Spain"/>
    <x v="25"/>
    <x v="8"/>
    <n v="33277"/>
    <n v="38765"/>
  </r>
  <r>
    <s v="ORD07999"/>
    <d v="2025-03-08T00:00:00"/>
    <x v="9"/>
    <x v="35"/>
    <x v="1"/>
    <s v="Brazil"/>
    <x v="28"/>
    <x v="7"/>
    <n v="29377"/>
    <n v="31746"/>
  </r>
  <r>
    <s v="ORD08000"/>
    <d v="2025-05-22T00:00:00"/>
    <x v="8"/>
    <x v="26"/>
    <x v="3"/>
    <s v="Malaysia"/>
    <x v="30"/>
    <x v="27"/>
    <n v="37537"/>
    <n v="40537"/>
  </r>
  <r>
    <s v="ORD08001"/>
    <d v="2025-05-12T00:00:00"/>
    <x v="8"/>
    <x v="17"/>
    <x v="6"/>
    <s v="USA"/>
    <x v="45"/>
    <x v="11"/>
    <n v="19272"/>
    <n v="23894"/>
  </r>
  <r>
    <s v="ORD08002"/>
    <d v="2025-07-04T00:00:00"/>
    <x v="0"/>
    <x v="37"/>
    <x v="1"/>
    <s v="Russia"/>
    <x v="36"/>
    <x v="2"/>
    <n v="15005"/>
    <n v="17993"/>
  </r>
  <r>
    <s v="ORD08003"/>
    <d v="2025-08-11T00:00:00"/>
    <x v="11"/>
    <x v="30"/>
    <x v="2"/>
    <s v="India"/>
    <x v="41"/>
    <x v="20"/>
    <n v="29104"/>
    <n v="37306"/>
  </r>
  <r>
    <s v="ORD08004"/>
    <d v="2025-06-05T00:00:00"/>
    <x v="5"/>
    <x v="41"/>
    <x v="5"/>
    <s v="Spain"/>
    <x v="20"/>
    <x v="16"/>
    <n v="27521"/>
    <n v="22295"/>
  </r>
  <r>
    <s v="ORD08005"/>
    <d v="2025-03-16T00:00:00"/>
    <x v="9"/>
    <x v="19"/>
    <x v="3"/>
    <s v="Australia"/>
    <x v="25"/>
    <x v="21"/>
    <n v="30298"/>
    <n v="33731"/>
  </r>
  <r>
    <s v="ORD08006"/>
    <d v="2025-08-04T00:00:00"/>
    <x v="11"/>
    <x v="23"/>
    <x v="5"/>
    <s v="USA"/>
    <x v="7"/>
    <x v="9"/>
    <n v="37126"/>
    <n v="43671"/>
  </r>
  <r>
    <s v="ORD08007"/>
    <d v="2025-02-07T00:00:00"/>
    <x v="6"/>
    <x v="48"/>
    <x v="3"/>
    <s v="India"/>
    <x v="36"/>
    <x v="20"/>
    <n v="35416"/>
    <n v="41339"/>
  </r>
  <r>
    <s v="ORD08008"/>
    <d v="2025-09-21T00:00:00"/>
    <x v="3"/>
    <x v="8"/>
    <x v="3"/>
    <s v="France"/>
    <x v="22"/>
    <x v="15"/>
    <n v="27578"/>
    <n v="20540"/>
  </r>
  <r>
    <s v="ORD08009"/>
    <d v="2025-05-19T00:00:00"/>
    <x v="8"/>
    <x v="26"/>
    <x v="4"/>
    <s v="Canada"/>
    <x v="39"/>
    <x v="22"/>
    <n v="36277"/>
    <n v="26926"/>
  </r>
  <r>
    <s v="ORD08010"/>
    <d v="2025-04-14T00:00:00"/>
    <x v="7"/>
    <x v="20"/>
    <x v="2"/>
    <s v="China"/>
    <x v="29"/>
    <x v="13"/>
    <n v="20382"/>
    <n v="15111"/>
  </r>
  <r>
    <s v="ORD08011"/>
    <d v="2025-01-16T00:00:00"/>
    <x v="1"/>
    <x v="1"/>
    <x v="4"/>
    <s v="Brazil"/>
    <x v="21"/>
    <x v="19"/>
    <n v="35949"/>
    <n v="27196"/>
  </r>
  <r>
    <s v="ORD08012"/>
    <d v="2025-12-09T00:00:00"/>
    <x v="10"/>
    <x v="32"/>
    <x v="3"/>
    <s v="Brazil"/>
    <x v="37"/>
    <x v="7"/>
    <n v="18716"/>
    <n v="18361"/>
  </r>
  <r>
    <s v="ORD08013"/>
    <d v="2025-04-30T00:00:00"/>
    <x v="7"/>
    <x v="27"/>
    <x v="1"/>
    <s v="Germany"/>
    <x v="39"/>
    <x v="5"/>
    <n v="28337"/>
    <n v="20913"/>
  </r>
  <r>
    <s v="ORD08014"/>
    <d v="2025-08-10T00:00:00"/>
    <x v="11"/>
    <x v="23"/>
    <x v="2"/>
    <s v="UK"/>
    <x v="4"/>
    <x v="0"/>
    <n v="21704"/>
    <n v="20798"/>
  </r>
  <r>
    <s v="ORD08015"/>
    <d v="2025-03-15T00:00:00"/>
    <x v="9"/>
    <x v="19"/>
    <x v="0"/>
    <s v="Germany"/>
    <x v="33"/>
    <x v="10"/>
    <n v="33560"/>
    <n v="35448"/>
  </r>
  <r>
    <s v="ORD08016"/>
    <d v="2025-12-24T00:00:00"/>
    <x v="10"/>
    <x v="42"/>
    <x v="6"/>
    <s v="Malaysia"/>
    <x v="25"/>
    <x v="11"/>
    <n v="34097"/>
    <n v="35491"/>
  </r>
  <r>
    <s v="ORD08017"/>
    <d v="2025-01-02T00:00:00"/>
    <x v="1"/>
    <x v="5"/>
    <x v="1"/>
    <s v="Italy"/>
    <x v="36"/>
    <x v="15"/>
    <n v="35654"/>
    <n v="33913"/>
  </r>
  <r>
    <s v="ORD08018"/>
    <d v="2025-05-13T00:00:00"/>
    <x v="8"/>
    <x v="17"/>
    <x v="3"/>
    <s v="China"/>
    <x v="6"/>
    <x v="13"/>
    <n v="34954"/>
    <n v="26623"/>
  </r>
  <r>
    <s v="ORD08019"/>
    <d v="2025-12-11T00:00:00"/>
    <x v="10"/>
    <x v="32"/>
    <x v="0"/>
    <s v="India"/>
    <x v="6"/>
    <x v="5"/>
    <n v="15769"/>
    <n v="18431"/>
  </r>
  <r>
    <s v="ORD08020"/>
    <d v="2025-07-25T00:00:00"/>
    <x v="0"/>
    <x v="0"/>
    <x v="4"/>
    <s v="UK"/>
    <x v="0"/>
    <x v="15"/>
    <n v="37737"/>
    <n v="48238"/>
  </r>
  <r>
    <s v="ORD08021"/>
    <d v="2025-04-21T00:00:00"/>
    <x v="7"/>
    <x v="38"/>
    <x v="2"/>
    <s v="Singapore"/>
    <x v="40"/>
    <x v="17"/>
    <n v="38733"/>
    <n v="47915"/>
  </r>
  <r>
    <s v="ORD08022"/>
    <d v="2025-07-09T00:00:00"/>
    <x v="0"/>
    <x v="47"/>
    <x v="0"/>
    <s v="UK"/>
    <x v="47"/>
    <x v="24"/>
    <n v="31127"/>
    <n v="26996"/>
  </r>
  <r>
    <s v="ORD08023"/>
    <d v="2025-03-24T00:00:00"/>
    <x v="9"/>
    <x v="33"/>
    <x v="0"/>
    <s v="Russia"/>
    <x v="34"/>
    <x v="29"/>
    <n v="37976"/>
    <n v="30430"/>
  </r>
  <r>
    <s v="ORD08024"/>
    <d v="2025-09-15T00:00:00"/>
    <x v="3"/>
    <x v="8"/>
    <x v="2"/>
    <s v="Malaysia"/>
    <x v="39"/>
    <x v="16"/>
    <n v="39387"/>
    <n v="33012"/>
  </r>
  <r>
    <s v="ORD08025"/>
    <d v="2025-11-29T00:00:00"/>
    <x v="2"/>
    <x v="11"/>
    <x v="2"/>
    <s v="Brazil"/>
    <x v="41"/>
    <x v="6"/>
    <n v="35719"/>
    <n v="44961"/>
  </r>
  <r>
    <s v="ORD08026"/>
    <d v="2025-10-13T00:00:00"/>
    <x v="4"/>
    <x v="10"/>
    <x v="2"/>
    <s v="Thailand"/>
    <x v="37"/>
    <x v="24"/>
    <n v="28055"/>
    <n v="25393"/>
  </r>
  <r>
    <s v="ORD08027"/>
    <d v="2025-02-27T00:00:00"/>
    <x v="6"/>
    <x v="22"/>
    <x v="3"/>
    <s v="Brazil"/>
    <x v="16"/>
    <x v="10"/>
    <n v="31239"/>
    <n v="34439"/>
  </r>
  <r>
    <s v="ORD08028"/>
    <d v="2025-05-31T00:00:00"/>
    <x v="8"/>
    <x v="24"/>
    <x v="5"/>
    <s v="India"/>
    <x v="9"/>
    <x v="29"/>
    <n v="25621"/>
    <n v="18023"/>
  </r>
  <r>
    <s v="ORD08029"/>
    <d v="2025-01-05T00:00:00"/>
    <x v="1"/>
    <x v="5"/>
    <x v="2"/>
    <s v="Germany"/>
    <x v="49"/>
    <x v="24"/>
    <n v="20754"/>
    <n v="21182"/>
  </r>
  <r>
    <s v="ORD08030"/>
    <d v="2025-09-04T00:00:00"/>
    <x v="3"/>
    <x v="4"/>
    <x v="2"/>
    <s v="Australia"/>
    <x v="10"/>
    <x v="17"/>
    <n v="38311"/>
    <n v="40376"/>
  </r>
  <r>
    <s v="ORD08031"/>
    <d v="2025-01-30T00:00:00"/>
    <x v="1"/>
    <x v="3"/>
    <x v="5"/>
    <s v="Canada"/>
    <x v="5"/>
    <x v="11"/>
    <n v="28567"/>
    <n v="20770"/>
  </r>
  <r>
    <s v="ORD08032"/>
    <d v="2025-11-05T00:00:00"/>
    <x v="2"/>
    <x v="51"/>
    <x v="2"/>
    <s v="UK"/>
    <x v="28"/>
    <x v="13"/>
    <n v="19056"/>
    <n v="18772"/>
  </r>
  <r>
    <s v="ORD08033"/>
    <d v="2025-08-22T00:00:00"/>
    <x v="11"/>
    <x v="46"/>
    <x v="0"/>
    <s v="Italy"/>
    <x v="17"/>
    <x v="12"/>
    <n v="28222"/>
    <n v="31826"/>
  </r>
  <r>
    <s v="ORD08034"/>
    <d v="2025-02-03T00:00:00"/>
    <x v="6"/>
    <x v="48"/>
    <x v="2"/>
    <s v="China"/>
    <x v="42"/>
    <x v="25"/>
    <n v="31317"/>
    <n v="26195"/>
  </r>
  <r>
    <s v="ORD08035"/>
    <d v="2025-12-03T00:00:00"/>
    <x v="10"/>
    <x v="43"/>
    <x v="3"/>
    <s v="Mexico"/>
    <x v="46"/>
    <x v="27"/>
    <n v="20628"/>
    <n v="18367"/>
  </r>
  <r>
    <s v="ORD08036"/>
    <d v="2025-03-18T00:00:00"/>
    <x v="9"/>
    <x v="39"/>
    <x v="5"/>
    <s v="Malaysia"/>
    <x v="15"/>
    <x v="25"/>
    <n v="21221"/>
    <n v="17037"/>
  </r>
  <r>
    <s v="ORD08037"/>
    <d v="2025-01-15T00:00:00"/>
    <x v="1"/>
    <x v="1"/>
    <x v="3"/>
    <s v="UAE"/>
    <x v="23"/>
    <x v="29"/>
    <n v="28304"/>
    <n v="27954"/>
  </r>
  <r>
    <s v="ORD08038"/>
    <d v="2025-09-20T00:00:00"/>
    <x v="3"/>
    <x v="8"/>
    <x v="2"/>
    <s v="Turkey"/>
    <x v="25"/>
    <x v="10"/>
    <n v="31989"/>
    <n v="29623"/>
  </r>
  <r>
    <s v="ORD08039"/>
    <d v="2025-05-28T00:00:00"/>
    <x v="8"/>
    <x v="24"/>
    <x v="5"/>
    <s v="UK"/>
    <x v="45"/>
    <x v="29"/>
    <n v="24690"/>
    <n v="24035"/>
  </r>
  <r>
    <s v="ORD08040"/>
    <d v="2025-03-02T00:00:00"/>
    <x v="9"/>
    <x v="22"/>
    <x v="0"/>
    <s v="China"/>
    <x v="45"/>
    <x v="6"/>
    <n v="17927"/>
    <n v="17674"/>
  </r>
  <r>
    <s v="ORD08041"/>
    <d v="2025-12-19T00:00:00"/>
    <x v="10"/>
    <x v="21"/>
    <x v="6"/>
    <s v="Malaysia"/>
    <x v="33"/>
    <x v="26"/>
    <n v="16345"/>
    <n v="18807"/>
  </r>
  <r>
    <s v="ORD08042"/>
    <d v="2025-03-09T00:00:00"/>
    <x v="9"/>
    <x v="35"/>
    <x v="3"/>
    <s v="Canada"/>
    <x v="46"/>
    <x v="7"/>
    <n v="37183"/>
    <n v="30848"/>
  </r>
  <r>
    <s v="ORD08043"/>
    <d v="2025-07-07T00:00:00"/>
    <x v="0"/>
    <x v="47"/>
    <x v="4"/>
    <s v="India"/>
    <x v="43"/>
    <x v="23"/>
    <n v="23254"/>
    <n v="23861"/>
  </r>
  <r>
    <s v="ORD08044"/>
    <d v="2025-09-22T00:00:00"/>
    <x v="3"/>
    <x v="25"/>
    <x v="2"/>
    <s v="Japan"/>
    <x v="13"/>
    <x v="7"/>
    <n v="20842"/>
    <n v="18391"/>
  </r>
  <r>
    <s v="ORD08045"/>
    <d v="2025-06-14T00:00:00"/>
    <x v="5"/>
    <x v="40"/>
    <x v="2"/>
    <s v="Singapore"/>
    <x v="48"/>
    <x v="14"/>
    <n v="17922"/>
    <n v="16963"/>
  </r>
  <r>
    <s v="ORD08046"/>
    <d v="2025-10-20T00:00:00"/>
    <x v="4"/>
    <x v="50"/>
    <x v="3"/>
    <s v="Canada"/>
    <x v="28"/>
    <x v="28"/>
    <n v="38487"/>
    <n v="27807"/>
  </r>
  <r>
    <s v="ORD08047"/>
    <d v="2025-02-14T00:00:00"/>
    <x v="6"/>
    <x v="29"/>
    <x v="6"/>
    <s v="Singapore"/>
    <x v="12"/>
    <x v="20"/>
    <n v="19040"/>
    <n v="14336"/>
  </r>
  <r>
    <s v="ORD08048"/>
    <d v="2025-07-21T00:00:00"/>
    <x v="0"/>
    <x v="0"/>
    <x v="5"/>
    <s v="India"/>
    <x v="24"/>
    <x v="4"/>
    <n v="39574"/>
    <n v="45970"/>
  </r>
  <r>
    <s v="ORD08049"/>
    <d v="2025-10-10T00:00:00"/>
    <x v="4"/>
    <x v="45"/>
    <x v="6"/>
    <s v="Turkey"/>
    <x v="16"/>
    <x v="15"/>
    <n v="18508"/>
    <n v="16383"/>
  </r>
  <r>
    <s v="ORD08050"/>
    <d v="2025-12-16T00:00:00"/>
    <x v="10"/>
    <x v="21"/>
    <x v="5"/>
    <s v="China"/>
    <x v="39"/>
    <x v="25"/>
    <n v="35896"/>
    <n v="28362"/>
  </r>
  <r>
    <s v="ORD08051"/>
    <d v="2025-05-06T00:00:00"/>
    <x v="8"/>
    <x v="18"/>
    <x v="4"/>
    <s v="South Africa"/>
    <x v="4"/>
    <x v="27"/>
    <n v="35291"/>
    <n v="37964"/>
  </r>
  <r>
    <s v="ORD08052"/>
    <d v="2025-01-20T00:00:00"/>
    <x v="1"/>
    <x v="7"/>
    <x v="0"/>
    <s v="India"/>
    <x v="38"/>
    <x v="17"/>
    <n v="28201"/>
    <n v="34143"/>
  </r>
  <r>
    <s v="ORD08053"/>
    <d v="2025-06-26T00:00:00"/>
    <x v="5"/>
    <x v="36"/>
    <x v="6"/>
    <s v="Spain"/>
    <x v="46"/>
    <x v="26"/>
    <n v="33394"/>
    <n v="42926"/>
  </r>
  <r>
    <s v="ORD08054"/>
    <d v="2025-04-15T00:00:00"/>
    <x v="7"/>
    <x v="20"/>
    <x v="4"/>
    <s v="Germany"/>
    <x v="36"/>
    <x v="12"/>
    <n v="29328"/>
    <n v="25973"/>
  </r>
  <r>
    <s v="ORD08055"/>
    <d v="2025-12-28T00:00:00"/>
    <x v="10"/>
    <x v="42"/>
    <x v="1"/>
    <s v="Singapore"/>
    <x v="45"/>
    <x v="23"/>
    <n v="16118"/>
    <n v="17030"/>
  </r>
  <r>
    <s v="ORD08056"/>
    <d v="2025-02-04T00:00:00"/>
    <x v="6"/>
    <x v="48"/>
    <x v="3"/>
    <s v="Italy"/>
    <x v="23"/>
    <x v="20"/>
    <n v="37464"/>
    <n v="29300"/>
  </r>
  <r>
    <s v="ORD08057"/>
    <d v="2025-07-02T00:00:00"/>
    <x v="0"/>
    <x v="37"/>
    <x v="2"/>
    <s v="Japan"/>
    <x v="39"/>
    <x v="3"/>
    <n v="35400"/>
    <n v="29198"/>
  </r>
  <r>
    <s v="ORD08058"/>
    <d v="2025-10-22T00:00:00"/>
    <x v="4"/>
    <x v="50"/>
    <x v="2"/>
    <s v="Italy"/>
    <x v="35"/>
    <x v="26"/>
    <n v="39539"/>
    <n v="31464"/>
  </r>
  <r>
    <s v="ORD08059"/>
    <d v="2025-09-27T00:00:00"/>
    <x v="3"/>
    <x v="25"/>
    <x v="2"/>
    <s v="UK"/>
    <x v="12"/>
    <x v="10"/>
    <n v="24731"/>
    <n v="27057"/>
  </r>
  <r>
    <s v="ORD08060"/>
    <d v="2025-09-27T00:00:00"/>
    <x v="3"/>
    <x v="25"/>
    <x v="6"/>
    <s v="India"/>
    <x v="15"/>
    <x v="27"/>
    <n v="26503"/>
    <n v="31314"/>
  </r>
  <r>
    <s v="ORD08061"/>
    <d v="2025-03-21T00:00:00"/>
    <x v="9"/>
    <x v="39"/>
    <x v="3"/>
    <s v="Russia"/>
    <x v="39"/>
    <x v="24"/>
    <n v="28962"/>
    <n v="29878"/>
  </r>
  <r>
    <s v="ORD08062"/>
    <d v="2025-07-24T00:00:00"/>
    <x v="0"/>
    <x v="0"/>
    <x v="0"/>
    <s v="Singapore"/>
    <x v="31"/>
    <x v="22"/>
    <n v="32147"/>
    <n v="25532"/>
  </r>
  <r>
    <s v="ORD08063"/>
    <d v="2025-11-25T00:00:00"/>
    <x v="2"/>
    <x v="11"/>
    <x v="6"/>
    <s v="India"/>
    <x v="49"/>
    <x v="18"/>
    <n v="28119"/>
    <n v="27071"/>
  </r>
  <r>
    <s v="ORD08064"/>
    <d v="2025-09-29T00:00:00"/>
    <x v="3"/>
    <x v="49"/>
    <x v="4"/>
    <s v="Mexico"/>
    <x v="46"/>
    <x v="29"/>
    <n v="24369"/>
    <n v="21192"/>
  </r>
  <r>
    <s v="ORD08065"/>
    <d v="2025-12-21T00:00:00"/>
    <x v="10"/>
    <x v="21"/>
    <x v="6"/>
    <s v="Spain"/>
    <x v="36"/>
    <x v="3"/>
    <n v="19106"/>
    <n v="17198"/>
  </r>
  <r>
    <s v="ORD08066"/>
    <d v="2025-06-26T00:00:00"/>
    <x v="5"/>
    <x v="36"/>
    <x v="3"/>
    <s v="UK"/>
    <x v="6"/>
    <x v="22"/>
    <n v="36424"/>
    <n v="37902"/>
  </r>
  <r>
    <s v="ORD08067"/>
    <d v="2025-05-30T00:00:00"/>
    <x v="8"/>
    <x v="24"/>
    <x v="0"/>
    <s v="Germany"/>
    <x v="28"/>
    <x v="5"/>
    <n v="37317"/>
    <n v="40545"/>
  </r>
  <r>
    <s v="ORD08068"/>
    <d v="2025-11-01T00:00:00"/>
    <x v="2"/>
    <x v="2"/>
    <x v="3"/>
    <s v="Italy"/>
    <x v="44"/>
    <x v="6"/>
    <n v="34493"/>
    <n v="30111"/>
  </r>
  <r>
    <s v="ORD08069"/>
    <d v="2025-01-13T00:00:00"/>
    <x v="1"/>
    <x v="1"/>
    <x v="2"/>
    <s v="Brazil"/>
    <x v="11"/>
    <x v="0"/>
    <n v="37154"/>
    <n v="39903"/>
  </r>
  <r>
    <s v="ORD08070"/>
    <d v="2025-10-17T00:00:00"/>
    <x v="4"/>
    <x v="10"/>
    <x v="3"/>
    <s v="Spain"/>
    <x v="11"/>
    <x v="21"/>
    <n v="31083"/>
    <n v="39851"/>
  </r>
  <r>
    <s v="ORD08071"/>
    <d v="2025-12-17T00:00:00"/>
    <x v="10"/>
    <x v="21"/>
    <x v="0"/>
    <s v="Turkey"/>
    <x v="33"/>
    <x v="22"/>
    <n v="20107"/>
    <n v="23146"/>
  </r>
  <r>
    <s v="ORD08072"/>
    <d v="2025-07-25T00:00:00"/>
    <x v="0"/>
    <x v="0"/>
    <x v="6"/>
    <s v="Brazil"/>
    <x v="23"/>
    <x v="12"/>
    <n v="18229"/>
    <n v="22656"/>
  </r>
  <r>
    <s v="ORD08073"/>
    <d v="2025-11-08T00:00:00"/>
    <x v="2"/>
    <x v="51"/>
    <x v="1"/>
    <s v="Thailand"/>
    <x v="16"/>
    <x v="29"/>
    <n v="17587"/>
    <n v="14431"/>
  </r>
  <r>
    <s v="ORD08074"/>
    <d v="2025-02-16T00:00:00"/>
    <x v="6"/>
    <x v="29"/>
    <x v="1"/>
    <s v="USA"/>
    <x v="31"/>
    <x v="6"/>
    <n v="18409"/>
    <n v="13009"/>
  </r>
  <r>
    <s v="ORD08075"/>
    <d v="2025-08-21T00:00:00"/>
    <x v="11"/>
    <x v="46"/>
    <x v="4"/>
    <s v="Mexico"/>
    <x v="21"/>
    <x v="22"/>
    <n v="32636"/>
    <n v="23665"/>
  </r>
  <r>
    <s v="ORD08076"/>
    <d v="2025-08-14T00:00:00"/>
    <x v="11"/>
    <x v="30"/>
    <x v="5"/>
    <s v="Canada"/>
    <x v="32"/>
    <x v="20"/>
    <n v="17645"/>
    <n v="18988"/>
  </r>
  <r>
    <s v="ORD08077"/>
    <d v="2025-11-26T00:00:00"/>
    <x v="2"/>
    <x v="11"/>
    <x v="6"/>
    <s v="Germany"/>
    <x v="3"/>
    <x v="13"/>
    <n v="31780"/>
    <n v="26933"/>
  </r>
  <r>
    <s v="ORD08078"/>
    <d v="2025-06-24T00:00:00"/>
    <x v="5"/>
    <x v="36"/>
    <x v="1"/>
    <s v="UAE"/>
    <x v="47"/>
    <x v="12"/>
    <n v="35809"/>
    <n v="29026"/>
  </r>
  <r>
    <s v="ORD08079"/>
    <d v="2025-01-10T00:00:00"/>
    <x v="1"/>
    <x v="6"/>
    <x v="4"/>
    <s v="Canada"/>
    <x v="10"/>
    <x v="27"/>
    <n v="32314"/>
    <n v="38588"/>
  </r>
  <r>
    <s v="ORD08080"/>
    <d v="2025-05-21T00:00:00"/>
    <x v="8"/>
    <x v="26"/>
    <x v="2"/>
    <s v="Canada"/>
    <x v="44"/>
    <x v="12"/>
    <n v="34572"/>
    <n v="25182"/>
  </r>
  <r>
    <s v="ORD08081"/>
    <d v="2025-06-15T00:00:00"/>
    <x v="5"/>
    <x v="40"/>
    <x v="5"/>
    <s v="UK"/>
    <x v="8"/>
    <x v="6"/>
    <n v="16460"/>
    <n v="16915"/>
  </r>
  <r>
    <s v="ORD08082"/>
    <d v="2025-01-05T00:00:00"/>
    <x v="1"/>
    <x v="5"/>
    <x v="5"/>
    <s v="Japan"/>
    <x v="23"/>
    <x v="13"/>
    <n v="20854"/>
    <n v="20468"/>
  </r>
  <r>
    <s v="ORD08083"/>
    <d v="2025-05-04T00:00:00"/>
    <x v="8"/>
    <x v="27"/>
    <x v="2"/>
    <s v="France"/>
    <x v="48"/>
    <x v="13"/>
    <n v="28823"/>
    <n v="24991"/>
  </r>
  <r>
    <s v="ORD08084"/>
    <d v="2025-07-05T00:00:00"/>
    <x v="0"/>
    <x v="37"/>
    <x v="0"/>
    <s v="India"/>
    <x v="32"/>
    <x v="22"/>
    <n v="37951"/>
    <n v="27368"/>
  </r>
  <r>
    <s v="ORD08085"/>
    <d v="2025-09-04T00:00:00"/>
    <x v="3"/>
    <x v="4"/>
    <x v="6"/>
    <s v="Thailand"/>
    <x v="26"/>
    <x v="3"/>
    <n v="23243"/>
    <n v="19327"/>
  </r>
  <r>
    <s v="ORD08086"/>
    <d v="2025-09-18T00:00:00"/>
    <x v="3"/>
    <x v="8"/>
    <x v="5"/>
    <s v="Italy"/>
    <x v="5"/>
    <x v="17"/>
    <n v="32467"/>
    <n v="28021"/>
  </r>
  <r>
    <s v="ORD08087"/>
    <d v="2025-05-20T00:00:00"/>
    <x v="8"/>
    <x v="26"/>
    <x v="5"/>
    <s v="Turkey"/>
    <x v="42"/>
    <x v="12"/>
    <n v="26655"/>
    <n v="26395"/>
  </r>
  <r>
    <s v="ORD08088"/>
    <d v="2025-02-23T00:00:00"/>
    <x v="6"/>
    <x v="15"/>
    <x v="5"/>
    <s v="Malaysia"/>
    <x v="8"/>
    <x v="13"/>
    <n v="33153"/>
    <n v="28443"/>
  </r>
  <r>
    <s v="ORD08089"/>
    <d v="2025-05-05T00:00:00"/>
    <x v="8"/>
    <x v="18"/>
    <x v="5"/>
    <s v="Turkey"/>
    <x v="38"/>
    <x v="12"/>
    <n v="24706"/>
    <n v="27828"/>
  </r>
  <r>
    <s v="ORD08090"/>
    <d v="2025-01-11T00:00:00"/>
    <x v="1"/>
    <x v="6"/>
    <x v="1"/>
    <s v="Turkey"/>
    <x v="43"/>
    <x v="23"/>
    <n v="18378"/>
    <n v="17620"/>
  </r>
  <r>
    <s v="ORD08091"/>
    <d v="2025-08-24T00:00:00"/>
    <x v="11"/>
    <x v="46"/>
    <x v="0"/>
    <s v="Brazil"/>
    <x v="16"/>
    <x v="25"/>
    <n v="17729"/>
    <n v="22207"/>
  </r>
  <r>
    <s v="ORD08092"/>
    <d v="2025-01-03T00:00:00"/>
    <x v="1"/>
    <x v="5"/>
    <x v="1"/>
    <s v="Turkey"/>
    <x v="10"/>
    <x v="2"/>
    <n v="20245"/>
    <n v="22767"/>
  </r>
  <r>
    <s v="ORD08093"/>
    <d v="2025-01-14T00:00:00"/>
    <x v="1"/>
    <x v="1"/>
    <x v="3"/>
    <s v="Malaysia"/>
    <x v="31"/>
    <x v="28"/>
    <n v="30207"/>
    <n v="36957"/>
  </r>
  <r>
    <s v="ORD08094"/>
    <d v="2025-04-10T00:00:00"/>
    <x v="7"/>
    <x v="16"/>
    <x v="2"/>
    <s v="Spain"/>
    <x v="31"/>
    <x v="19"/>
    <n v="25382"/>
    <n v="19933"/>
  </r>
  <r>
    <s v="ORD08095"/>
    <d v="2025-03-26T00:00:00"/>
    <x v="9"/>
    <x v="33"/>
    <x v="2"/>
    <s v="Brazil"/>
    <x v="8"/>
    <x v="21"/>
    <n v="19432"/>
    <n v="21446"/>
  </r>
  <r>
    <s v="ORD08096"/>
    <d v="2025-09-29T00:00:00"/>
    <x v="3"/>
    <x v="49"/>
    <x v="1"/>
    <s v="France"/>
    <x v="16"/>
    <x v="1"/>
    <n v="19386"/>
    <n v="18372"/>
  </r>
  <r>
    <s v="ORD08097"/>
    <d v="2025-10-10T00:00:00"/>
    <x v="4"/>
    <x v="45"/>
    <x v="6"/>
    <s v="Brazil"/>
    <x v="29"/>
    <x v="12"/>
    <n v="29536"/>
    <n v="23841"/>
  </r>
  <r>
    <s v="ORD08098"/>
    <d v="2025-11-23T00:00:00"/>
    <x v="2"/>
    <x v="9"/>
    <x v="2"/>
    <s v="France"/>
    <x v="29"/>
    <x v="8"/>
    <n v="21750"/>
    <n v="18261"/>
  </r>
  <r>
    <s v="ORD08099"/>
    <d v="2025-06-07T00:00:00"/>
    <x v="5"/>
    <x v="41"/>
    <x v="1"/>
    <s v="Italy"/>
    <x v="5"/>
    <x v="13"/>
    <n v="21381"/>
    <n v="19041"/>
  </r>
  <r>
    <s v="ORD08100"/>
    <d v="2025-02-04T00:00:00"/>
    <x v="6"/>
    <x v="48"/>
    <x v="4"/>
    <s v="Mexico"/>
    <x v="44"/>
    <x v="5"/>
    <n v="29788"/>
    <n v="29816"/>
  </r>
  <r>
    <s v="ORD08101"/>
    <d v="2025-05-09T00:00:00"/>
    <x v="8"/>
    <x v="18"/>
    <x v="0"/>
    <s v="Australia"/>
    <x v="18"/>
    <x v="22"/>
    <n v="17077"/>
    <n v="12487"/>
  </r>
  <r>
    <s v="ORD08102"/>
    <d v="2025-12-25T00:00:00"/>
    <x v="10"/>
    <x v="42"/>
    <x v="2"/>
    <s v="Australia"/>
    <x v="37"/>
    <x v="27"/>
    <n v="25134"/>
    <n v="30362"/>
  </r>
  <r>
    <s v="ORD08103"/>
    <d v="2025-08-02T00:00:00"/>
    <x v="11"/>
    <x v="12"/>
    <x v="4"/>
    <s v="Brazil"/>
    <x v="21"/>
    <x v="18"/>
    <n v="35085"/>
    <n v="25670"/>
  </r>
  <r>
    <s v="ORD08104"/>
    <d v="2025-02-16T00:00:00"/>
    <x v="6"/>
    <x v="29"/>
    <x v="3"/>
    <s v="Spain"/>
    <x v="5"/>
    <x v="5"/>
    <n v="21482"/>
    <n v="24548"/>
  </r>
  <r>
    <s v="ORD08105"/>
    <d v="2025-11-01T00:00:00"/>
    <x v="2"/>
    <x v="2"/>
    <x v="4"/>
    <s v="Canada"/>
    <x v="44"/>
    <x v="6"/>
    <n v="28378"/>
    <n v="33245"/>
  </r>
  <r>
    <s v="ORD08106"/>
    <d v="2025-01-21T00:00:00"/>
    <x v="1"/>
    <x v="7"/>
    <x v="3"/>
    <s v="Turkey"/>
    <x v="45"/>
    <x v="23"/>
    <n v="27719"/>
    <n v="33756"/>
  </r>
  <r>
    <s v="ORD08107"/>
    <d v="2025-09-15T00:00:00"/>
    <x v="3"/>
    <x v="8"/>
    <x v="3"/>
    <s v="UAE"/>
    <x v="45"/>
    <x v="18"/>
    <n v="20085"/>
    <n v="19278"/>
  </r>
  <r>
    <s v="ORD08108"/>
    <d v="2025-08-28T00:00:00"/>
    <x v="11"/>
    <x v="28"/>
    <x v="0"/>
    <s v="UAE"/>
    <x v="11"/>
    <x v="10"/>
    <n v="35632"/>
    <n v="33194"/>
  </r>
  <r>
    <s v="ORD08109"/>
    <d v="2025-02-22T00:00:00"/>
    <x v="6"/>
    <x v="15"/>
    <x v="2"/>
    <s v="Singapore"/>
    <x v="35"/>
    <x v="20"/>
    <n v="18005"/>
    <n v="20819"/>
  </r>
  <r>
    <s v="ORD08110"/>
    <d v="2025-09-04T00:00:00"/>
    <x v="3"/>
    <x v="4"/>
    <x v="3"/>
    <s v="UK"/>
    <x v="44"/>
    <x v="11"/>
    <n v="16949"/>
    <n v="14903"/>
  </r>
  <r>
    <s v="ORD08111"/>
    <d v="2025-02-20T00:00:00"/>
    <x v="6"/>
    <x v="15"/>
    <x v="0"/>
    <s v="Singapore"/>
    <x v="16"/>
    <x v="6"/>
    <n v="22069"/>
    <n v="18459"/>
  </r>
  <r>
    <s v="ORD08112"/>
    <d v="2025-10-12T00:00:00"/>
    <x v="4"/>
    <x v="45"/>
    <x v="4"/>
    <s v="Malaysia"/>
    <x v="17"/>
    <x v="22"/>
    <n v="33838"/>
    <n v="26473"/>
  </r>
  <r>
    <s v="ORD08113"/>
    <d v="2025-09-09T00:00:00"/>
    <x v="3"/>
    <x v="31"/>
    <x v="5"/>
    <s v="Mexico"/>
    <x v="15"/>
    <x v="19"/>
    <n v="19645"/>
    <n v="13833"/>
  </r>
  <r>
    <s v="ORD08114"/>
    <d v="2025-03-23T00:00:00"/>
    <x v="9"/>
    <x v="39"/>
    <x v="1"/>
    <s v="Spain"/>
    <x v="48"/>
    <x v="20"/>
    <n v="17633"/>
    <n v="21709"/>
  </r>
  <r>
    <s v="ORD08115"/>
    <d v="2025-05-01T00:00:00"/>
    <x v="8"/>
    <x v="27"/>
    <x v="2"/>
    <s v="France"/>
    <x v="46"/>
    <x v="8"/>
    <n v="24596"/>
    <n v="21579"/>
  </r>
  <r>
    <s v="ORD08116"/>
    <d v="2025-10-10T00:00:00"/>
    <x v="4"/>
    <x v="45"/>
    <x v="3"/>
    <s v="France"/>
    <x v="14"/>
    <x v="14"/>
    <n v="28932"/>
    <n v="25922"/>
  </r>
  <r>
    <s v="ORD08117"/>
    <d v="2025-07-24T00:00:00"/>
    <x v="0"/>
    <x v="0"/>
    <x v="5"/>
    <s v="UK"/>
    <x v="24"/>
    <x v="27"/>
    <n v="28799"/>
    <n v="22269"/>
  </r>
  <r>
    <s v="ORD08118"/>
    <d v="2025-12-02T00:00:00"/>
    <x v="10"/>
    <x v="43"/>
    <x v="5"/>
    <s v="Germany"/>
    <x v="8"/>
    <x v="12"/>
    <n v="24219"/>
    <n v="26251"/>
  </r>
  <r>
    <s v="ORD08119"/>
    <d v="2025-04-19T00:00:00"/>
    <x v="7"/>
    <x v="20"/>
    <x v="5"/>
    <s v="Brazil"/>
    <x v="29"/>
    <x v="9"/>
    <n v="31227"/>
    <n v="34589"/>
  </r>
  <r>
    <s v="ORD08120"/>
    <d v="2025-08-10T00:00:00"/>
    <x v="11"/>
    <x v="23"/>
    <x v="4"/>
    <s v="UK"/>
    <x v="37"/>
    <x v="15"/>
    <n v="27762"/>
    <n v="25411"/>
  </r>
  <r>
    <s v="ORD08121"/>
    <d v="2025-05-05T00:00:00"/>
    <x v="8"/>
    <x v="18"/>
    <x v="3"/>
    <s v="Japan"/>
    <x v="43"/>
    <x v="25"/>
    <n v="18759"/>
    <n v="22022"/>
  </r>
  <r>
    <s v="ORD08122"/>
    <d v="2025-01-17T00:00:00"/>
    <x v="1"/>
    <x v="1"/>
    <x v="4"/>
    <s v="Italy"/>
    <x v="43"/>
    <x v="18"/>
    <n v="17864"/>
    <n v="17134"/>
  </r>
  <r>
    <s v="ORD08123"/>
    <d v="2025-07-20T00:00:00"/>
    <x v="0"/>
    <x v="14"/>
    <x v="0"/>
    <s v="UK"/>
    <x v="21"/>
    <x v="2"/>
    <n v="17848"/>
    <n v="19255"/>
  </r>
  <r>
    <s v="ORD08124"/>
    <d v="2025-08-30T00:00:00"/>
    <x v="11"/>
    <x v="28"/>
    <x v="3"/>
    <s v="Germany"/>
    <x v="15"/>
    <x v="4"/>
    <n v="23680"/>
    <n v="19174"/>
  </r>
  <r>
    <s v="ORD08125"/>
    <d v="2025-08-06T00:00:00"/>
    <x v="11"/>
    <x v="23"/>
    <x v="4"/>
    <s v="Thailand"/>
    <x v="24"/>
    <x v="3"/>
    <n v="26718"/>
    <n v="18807"/>
  </r>
  <r>
    <s v="ORD08126"/>
    <d v="2025-01-08T00:00:00"/>
    <x v="1"/>
    <x v="6"/>
    <x v="2"/>
    <s v="South Africa"/>
    <x v="31"/>
    <x v="24"/>
    <n v="30678"/>
    <n v="29471"/>
  </r>
  <r>
    <s v="ORD08127"/>
    <d v="2025-11-02T00:00:00"/>
    <x v="2"/>
    <x v="2"/>
    <x v="4"/>
    <s v="UK"/>
    <x v="29"/>
    <x v="15"/>
    <n v="38957"/>
    <n v="50001"/>
  </r>
  <r>
    <s v="ORD08128"/>
    <d v="2025-03-26T00:00:00"/>
    <x v="9"/>
    <x v="33"/>
    <x v="4"/>
    <s v="Thailand"/>
    <x v="4"/>
    <x v="19"/>
    <n v="18014"/>
    <n v="16085"/>
  </r>
  <r>
    <s v="ORD08129"/>
    <d v="2025-09-22T00:00:00"/>
    <x v="3"/>
    <x v="25"/>
    <x v="6"/>
    <s v="India"/>
    <x v="9"/>
    <x v="1"/>
    <n v="33743"/>
    <n v="27267"/>
  </r>
  <r>
    <s v="ORD08130"/>
    <d v="2025-07-08T00:00:00"/>
    <x v="0"/>
    <x v="47"/>
    <x v="5"/>
    <s v="South Africa"/>
    <x v="15"/>
    <x v="10"/>
    <n v="20499"/>
    <n v="17876"/>
  </r>
  <r>
    <s v="ORD08131"/>
    <d v="2025-03-04T00:00:00"/>
    <x v="9"/>
    <x v="35"/>
    <x v="1"/>
    <s v="Singapore"/>
    <x v="4"/>
    <x v="17"/>
    <n v="31511"/>
    <n v="31984"/>
  </r>
  <r>
    <s v="ORD08132"/>
    <d v="2025-07-28T00:00:00"/>
    <x v="0"/>
    <x v="12"/>
    <x v="5"/>
    <s v="Japan"/>
    <x v="0"/>
    <x v="1"/>
    <n v="35764"/>
    <n v="40276"/>
  </r>
  <r>
    <s v="ORD08133"/>
    <d v="2025-12-11T00:00:00"/>
    <x v="10"/>
    <x v="32"/>
    <x v="3"/>
    <s v="Canada"/>
    <x v="10"/>
    <x v="11"/>
    <n v="23633"/>
    <n v="22536"/>
  </r>
  <r>
    <s v="ORD08134"/>
    <d v="2025-11-08T00:00:00"/>
    <x v="2"/>
    <x v="51"/>
    <x v="4"/>
    <s v="Brazil"/>
    <x v="40"/>
    <x v="14"/>
    <n v="27816"/>
    <n v="34662"/>
  </r>
  <r>
    <s v="ORD08135"/>
    <d v="2025-11-25T00:00:00"/>
    <x v="2"/>
    <x v="11"/>
    <x v="0"/>
    <s v="Brazil"/>
    <x v="17"/>
    <x v="24"/>
    <n v="18885"/>
    <n v="13334"/>
  </r>
  <r>
    <s v="ORD08136"/>
    <d v="2025-03-14T00:00:00"/>
    <x v="9"/>
    <x v="19"/>
    <x v="3"/>
    <s v="USA"/>
    <x v="39"/>
    <x v="28"/>
    <n v="34726"/>
    <n v="38667"/>
  </r>
  <r>
    <s v="ORD08137"/>
    <d v="2025-01-15T00:00:00"/>
    <x v="1"/>
    <x v="1"/>
    <x v="1"/>
    <s v="India"/>
    <x v="19"/>
    <x v="12"/>
    <n v="36304"/>
    <n v="44279"/>
  </r>
  <r>
    <s v="ORD08138"/>
    <d v="2025-03-21T00:00:00"/>
    <x v="9"/>
    <x v="39"/>
    <x v="2"/>
    <s v="India"/>
    <x v="20"/>
    <x v="16"/>
    <n v="34578"/>
    <n v="29547"/>
  </r>
  <r>
    <s v="ORD08139"/>
    <d v="2025-11-17T00:00:00"/>
    <x v="2"/>
    <x v="9"/>
    <x v="4"/>
    <s v="South Africa"/>
    <x v="39"/>
    <x v="16"/>
    <n v="21957"/>
    <n v="18614"/>
  </r>
  <r>
    <s v="ORD08140"/>
    <d v="2025-05-24T00:00:00"/>
    <x v="8"/>
    <x v="26"/>
    <x v="1"/>
    <s v="Singapore"/>
    <x v="16"/>
    <x v="19"/>
    <n v="27317"/>
    <n v="29157"/>
  </r>
  <r>
    <s v="ORD08141"/>
    <d v="2025-10-23T00:00:00"/>
    <x v="4"/>
    <x v="50"/>
    <x v="1"/>
    <s v="France"/>
    <x v="34"/>
    <x v="4"/>
    <n v="15501"/>
    <n v="17484"/>
  </r>
  <r>
    <s v="ORD08142"/>
    <d v="2025-01-02T00:00:00"/>
    <x v="1"/>
    <x v="5"/>
    <x v="5"/>
    <s v="Malaysia"/>
    <x v="29"/>
    <x v="19"/>
    <n v="34690"/>
    <n v="25374"/>
  </r>
  <r>
    <s v="ORD08143"/>
    <d v="2025-03-13T00:00:00"/>
    <x v="9"/>
    <x v="19"/>
    <x v="1"/>
    <s v="Germany"/>
    <x v="26"/>
    <x v="8"/>
    <n v="20460"/>
    <n v="17550"/>
  </r>
  <r>
    <s v="ORD08144"/>
    <d v="2025-03-12T00:00:00"/>
    <x v="9"/>
    <x v="19"/>
    <x v="0"/>
    <s v="China"/>
    <x v="10"/>
    <x v="11"/>
    <n v="15143"/>
    <n v="12746"/>
  </r>
  <r>
    <s v="ORD08145"/>
    <d v="2025-02-22T00:00:00"/>
    <x v="6"/>
    <x v="15"/>
    <x v="1"/>
    <s v="Singapore"/>
    <x v="4"/>
    <x v="24"/>
    <n v="20980"/>
    <n v="16341"/>
  </r>
  <r>
    <s v="ORD08146"/>
    <d v="2025-02-01T00:00:00"/>
    <x v="6"/>
    <x v="3"/>
    <x v="6"/>
    <s v="UK"/>
    <x v="7"/>
    <x v="29"/>
    <n v="33021"/>
    <n v="25788"/>
  </r>
  <r>
    <s v="ORD08147"/>
    <d v="2025-02-21T00:00:00"/>
    <x v="6"/>
    <x v="15"/>
    <x v="6"/>
    <s v="UAE"/>
    <x v="26"/>
    <x v="0"/>
    <n v="39878"/>
    <n v="46379"/>
  </r>
  <r>
    <s v="ORD08148"/>
    <d v="2025-09-10T00:00:00"/>
    <x v="3"/>
    <x v="31"/>
    <x v="3"/>
    <s v="Brazil"/>
    <x v="18"/>
    <x v="23"/>
    <n v="32258"/>
    <n v="37546"/>
  </r>
  <r>
    <s v="ORD08149"/>
    <d v="2025-05-27T00:00:00"/>
    <x v="8"/>
    <x v="24"/>
    <x v="6"/>
    <s v="Thailand"/>
    <x v="31"/>
    <x v="16"/>
    <n v="36236"/>
    <n v="39242"/>
  </r>
  <r>
    <s v="ORD08150"/>
    <d v="2025-09-09T00:00:00"/>
    <x v="3"/>
    <x v="31"/>
    <x v="1"/>
    <s v="Turkey"/>
    <x v="32"/>
    <x v="8"/>
    <n v="24211"/>
    <n v="24478"/>
  </r>
  <r>
    <s v="ORD08151"/>
    <d v="2025-07-10T00:00:00"/>
    <x v="0"/>
    <x v="47"/>
    <x v="4"/>
    <s v="UAE"/>
    <x v="17"/>
    <x v="12"/>
    <n v="22390"/>
    <n v="19793"/>
  </r>
  <r>
    <s v="ORD08152"/>
    <d v="2025-10-16T00:00:00"/>
    <x v="4"/>
    <x v="10"/>
    <x v="1"/>
    <s v="Brazil"/>
    <x v="42"/>
    <x v="23"/>
    <n v="21514"/>
    <n v="19154"/>
  </r>
  <r>
    <s v="ORD08153"/>
    <d v="2025-05-14T00:00:00"/>
    <x v="8"/>
    <x v="17"/>
    <x v="3"/>
    <s v="Singapore"/>
    <x v="9"/>
    <x v="4"/>
    <n v="21691"/>
    <n v="20446"/>
  </r>
  <r>
    <s v="ORD08154"/>
    <d v="2025-09-03T00:00:00"/>
    <x v="3"/>
    <x v="4"/>
    <x v="0"/>
    <s v="France"/>
    <x v="15"/>
    <x v="18"/>
    <n v="37132"/>
    <n v="47421"/>
  </r>
  <r>
    <s v="ORD08155"/>
    <d v="2025-05-22T00:00:00"/>
    <x v="8"/>
    <x v="26"/>
    <x v="1"/>
    <s v="Australia"/>
    <x v="20"/>
    <x v="2"/>
    <n v="37245"/>
    <n v="41183"/>
  </r>
  <r>
    <s v="ORD08156"/>
    <d v="2025-04-13T00:00:00"/>
    <x v="7"/>
    <x v="16"/>
    <x v="0"/>
    <s v="Russia"/>
    <x v="45"/>
    <x v="14"/>
    <n v="36818"/>
    <n v="31042"/>
  </r>
  <r>
    <s v="ORD08157"/>
    <d v="2025-09-02T00:00:00"/>
    <x v="3"/>
    <x v="4"/>
    <x v="5"/>
    <s v="UAE"/>
    <x v="15"/>
    <x v="17"/>
    <n v="26907"/>
    <n v="34735"/>
  </r>
  <r>
    <s v="ORD08158"/>
    <d v="2025-05-18T00:00:00"/>
    <x v="8"/>
    <x v="17"/>
    <x v="0"/>
    <s v="South Africa"/>
    <x v="24"/>
    <x v="16"/>
    <n v="34002"/>
    <n v="26657"/>
  </r>
  <r>
    <s v="ORD08159"/>
    <d v="2025-02-08T00:00:00"/>
    <x v="6"/>
    <x v="48"/>
    <x v="0"/>
    <s v="UK"/>
    <x v="44"/>
    <x v="26"/>
    <n v="29827"/>
    <n v="36173"/>
  </r>
  <r>
    <s v="ORD08160"/>
    <d v="2025-06-19T00:00:00"/>
    <x v="5"/>
    <x v="13"/>
    <x v="2"/>
    <s v="Canada"/>
    <x v="1"/>
    <x v="10"/>
    <n v="22406"/>
    <n v="26000"/>
  </r>
  <r>
    <s v="ORD08161"/>
    <d v="2025-09-14T00:00:00"/>
    <x v="3"/>
    <x v="31"/>
    <x v="0"/>
    <s v="South Africa"/>
    <x v="13"/>
    <x v="5"/>
    <n v="22967"/>
    <n v="16127"/>
  </r>
  <r>
    <s v="ORD08162"/>
    <d v="2025-03-15T00:00:00"/>
    <x v="9"/>
    <x v="19"/>
    <x v="1"/>
    <s v="Spain"/>
    <x v="39"/>
    <x v="10"/>
    <n v="33903"/>
    <n v="33609"/>
  </r>
  <r>
    <s v="ORD08163"/>
    <d v="2025-12-06T00:00:00"/>
    <x v="10"/>
    <x v="43"/>
    <x v="5"/>
    <s v="Germany"/>
    <x v="49"/>
    <x v="9"/>
    <n v="33515"/>
    <n v="43280"/>
  </r>
  <r>
    <s v="ORD08164"/>
    <d v="2025-12-29T00:00:00"/>
    <x v="10"/>
    <x v="5"/>
    <x v="1"/>
    <s v="Russia"/>
    <x v="41"/>
    <x v="8"/>
    <n v="30999"/>
    <n v="26547"/>
  </r>
  <r>
    <s v="ORD08165"/>
    <d v="2025-03-03T00:00:00"/>
    <x v="9"/>
    <x v="35"/>
    <x v="4"/>
    <s v="UAE"/>
    <x v="9"/>
    <x v="27"/>
    <n v="28861"/>
    <n v="36155"/>
  </r>
  <r>
    <s v="ORD08166"/>
    <d v="2025-12-02T00:00:00"/>
    <x v="10"/>
    <x v="43"/>
    <x v="2"/>
    <s v="Germany"/>
    <x v="2"/>
    <x v="28"/>
    <n v="28354"/>
    <n v="30609"/>
  </r>
  <r>
    <s v="ORD08167"/>
    <d v="2025-08-14T00:00:00"/>
    <x v="11"/>
    <x v="30"/>
    <x v="4"/>
    <s v="Canada"/>
    <x v="20"/>
    <x v="12"/>
    <n v="18552"/>
    <n v="13727"/>
  </r>
  <r>
    <s v="ORD08168"/>
    <d v="2025-03-27T00:00:00"/>
    <x v="9"/>
    <x v="33"/>
    <x v="2"/>
    <s v="South Africa"/>
    <x v="19"/>
    <x v="29"/>
    <n v="22740"/>
    <n v="24926"/>
  </r>
  <r>
    <s v="ORD08169"/>
    <d v="2025-06-27T00:00:00"/>
    <x v="5"/>
    <x v="36"/>
    <x v="2"/>
    <s v="Singapore"/>
    <x v="0"/>
    <x v="13"/>
    <n v="35336"/>
    <n v="28885"/>
  </r>
  <r>
    <s v="ORD08170"/>
    <d v="2025-03-05T00:00:00"/>
    <x v="9"/>
    <x v="35"/>
    <x v="4"/>
    <s v="Singapore"/>
    <x v="45"/>
    <x v="4"/>
    <n v="30849"/>
    <n v="30681"/>
  </r>
  <r>
    <s v="ORD08171"/>
    <d v="2025-06-10T00:00:00"/>
    <x v="5"/>
    <x v="40"/>
    <x v="2"/>
    <s v="Italy"/>
    <x v="10"/>
    <x v="26"/>
    <n v="35219"/>
    <n v="25753"/>
  </r>
  <r>
    <s v="ORD08172"/>
    <d v="2025-07-11T00:00:00"/>
    <x v="0"/>
    <x v="47"/>
    <x v="4"/>
    <s v="Australia"/>
    <x v="9"/>
    <x v="19"/>
    <n v="17363"/>
    <n v="20001"/>
  </r>
  <r>
    <s v="ORD08173"/>
    <d v="2025-07-28T00:00:00"/>
    <x v="0"/>
    <x v="12"/>
    <x v="5"/>
    <s v="Thailand"/>
    <x v="32"/>
    <x v="1"/>
    <n v="31272"/>
    <n v="35536"/>
  </r>
  <r>
    <s v="ORD08174"/>
    <d v="2025-08-19T00:00:00"/>
    <x v="11"/>
    <x v="46"/>
    <x v="5"/>
    <s v="UAE"/>
    <x v="6"/>
    <x v="2"/>
    <n v="37489"/>
    <n v="42593"/>
  </r>
  <r>
    <s v="ORD08175"/>
    <d v="2025-02-21T00:00:00"/>
    <x v="6"/>
    <x v="15"/>
    <x v="2"/>
    <s v="USA"/>
    <x v="9"/>
    <x v="7"/>
    <n v="25067"/>
    <n v="23028"/>
  </r>
  <r>
    <s v="ORD08176"/>
    <d v="2025-01-21T00:00:00"/>
    <x v="1"/>
    <x v="7"/>
    <x v="3"/>
    <s v="USA"/>
    <x v="44"/>
    <x v="24"/>
    <n v="22460"/>
    <n v="18870"/>
  </r>
  <r>
    <s v="ORD08177"/>
    <d v="2025-07-05T00:00:00"/>
    <x v="0"/>
    <x v="37"/>
    <x v="5"/>
    <s v="Spain"/>
    <x v="30"/>
    <x v="3"/>
    <n v="30876"/>
    <n v="26526"/>
  </r>
  <r>
    <s v="ORD08178"/>
    <d v="2025-11-20T00:00:00"/>
    <x v="2"/>
    <x v="9"/>
    <x v="6"/>
    <s v="Russia"/>
    <x v="29"/>
    <x v="3"/>
    <n v="31890"/>
    <n v="39419"/>
  </r>
  <r>
    <s v="ORD08179"/>
    <d v="2025-08-18T00:00:00"/>
    <x v="11"/>
    <x v="46"/>
    <x v="2"/>
    <s v="South Africa"/>
    <x v="11"/>
    <x v="11"/>
    <n v="27488"/>
    <n v="35014"/>
  </r>
  <r>
    <s v="ORD08180"/>
    <d v="2025-12-26T00:00:00"/>
    <x v="10"/>
    <x v="42"/>
    <x v="4"/>
    <s v="Thailand"/>
    <x v="44"/>
    <x v="26"/>
    <n v="20722"/>
    <n v="15630"/>
  </r>
  <r>
    <s v="ORD08181"/>
    <d v="2025-09-24T00:00:00"/>
    <x v="3"/>
    <x v="25"/>
    <x v="6"/>
    <s v="Malaysia"/>
    <x v="17"/>
    <x v="27"/>
    <n v="33579"/>
    <n v="41916"/>
  </r>
  <r>
    <s v="ORD08182"/>
    <d v="2025-04-13T00:00:00"/>
    <x v="7"/>
    <x v="16"/>
    <x v="0"/>
    <s v="UAE"/>
    <x v="45"/>
    <x v="6"/>
    <n v="38811"/>
    <n v="46690"/>
  </r>
  <r>
    <s v="ORD08183"/>
    <d v="2025-06-10T00:00:00"/>
    <x v="5"/>
    <x v="40"/>
    <x v="1"/>
    <s v="Russia"/>
    <x v="15"/>
    <x v="12"/>
    <n v="38817"/>
    <n v="34112"/>
  </r>
  <r>
    <s v="ORD08184"/>
    <d v="2025-04-24T00:00:00"/>
    <x v="7"/>
    <x v="38"/>
    <x v="1"/>
    <s v="Russia"/>
    <x v="3"/>
    <x v="4"/>
    <n v="33042"/>
    <n v="31049"/>
  </r>
  <r>
    <s v="ORD08185"/>
    <d v="2025-06-28T00:00:00"/>
    <x v="5"/>
    <x v="36"/>
    <x v="3"/>
    <s v="Singapore"/>
    <x v="1"/>
    <x v="1"/>
    <n v="36456"/>
    <n v="36522"/>
  </r>
  <r>
    <s v="ORD08186"/>
    <d v="2025-08-22T00:00:00"/>
    <x v="11"/>
    <x v="46"/>
    <x v="0"/>
    <s v="Thailand"/>
    <x v="7"/>
    <x v="9"/>
    <n v="19466"/>
    <n v="18841"/>
  </r>
  <r>
    <s v="ORD08187"/>
    <d v="2025-11-17T00:00:00"/>
    <x v="2"/>
    <x v="9"/>
    <x v="3"/>
    <s v="Canada"/>
    <x v="44"/>
    <x v="13"/>
    <n v="20849"/>
    <n v="19277"/>
  </r>
  <r>
    <s v="ORD08188"/>
    <d v="2025-06-25T00:00:00"/>
    <x v="5"/>
    <x v="36"/>
    <x v="4"/>
    <s v="Thailand"/>
    <x v="15"/>
    <x v="24"/>
    <n v="15457"/>
    <n v="12755"/>
  </r>
  <r>
    <s v="ORD08189"/>
    <d v="2025-07-12T00:00:00"/>
    <x v="0"/>
    <x v="47"/>
    <x v="1"/>
    <s v="Australia"/>
    <x v="26"/>
    <x v="22"/>
    <n v="37589"/>
    <n v="48282"/>
  </r>
  <r>
    <s v="ORD08190"/>
    <d v="2025-04-20T00:00:00"/>
    <x v="7"/>
    <x v="20"/>
    <x v="4"/>
    <s v="Australia"/>
    <x v="0"/>
    <x v="22"/>
    <n v="27641"/>
    <n v="27483"/>
  </r>
  <r>
    <s v="ORD08191"/>
    <d v="2025-02-15T00:00:00"/>
    <x v="6"/>
    <x v="29"/>
    <x v="5"/>
    <s v="Canada"/>
    <x v="14"/>
    <x v="14"/>
    <n v="18663"/>
    <n v="23283"/>
  </r>
  <r>
    <s v="ORD08192"/>
    <d v="2025-01-16T00:00:00"/>
    <x v="1"/>
    <x v="1"/>
    <x v="3"/>
    <s v="UAE"/>
    <x v="35"/>
    <x v="13"/>
    <n v="15482"/>
    <n v="13748"/>
  </r>
  <r>
    <s v="ORD08193"/>
    <d v="2025-09-02T00:00:00"/>
    <x v="3"/>
    <x v="4"/>
    <x v="3"/>
    <s v="USA"/>
    <x v="17"/>
    <x v="21"/>
    <n v="31650"/>
    <n v="38833"/>
  </r>
  <r>
    <s v="ORD08194"/>
    <d v="2025-09-25T00:00:00"/>
    <x v="3"/>
    <x v="25"/>
    <x v="3"/>
    <s v="USA"/>
    <x v="36"/>
    <x v="12"/>
    <n v="19198"/>
    <n v="20556"/>
  </r>
  <r>
    <s v="ORD08195"/>
    <d v="2025-08-31T00:00:00"/>
    <x v="11"/>
    <x v="28"/>
    <x v="0"/>
    <s v="Singapore"/>
    <x v="39"/>
    <x v="5"/>
    <n v="38559"/>
    <n v="43002"/>
  </r>
  <r>
    <s v="ORD08196"/>
    <d v="2025-08-12T00:00:00"/>
    <x v="11"/>
    <x v="30"/>
    <x v="1"/>
    <s v="UK"/>
    <x v="4"/>
    <x v="14"/>
    <n v="26765"/>
    <n v="29378"/>
  </r>
  <r>
    <s v="ORD08197"/>
    <d v="2025-07-14T00:00:00"/>
    <x v="0"/>
    <x v="14"/>
    <x v="0"/>
    <s v="France"/>
    <x v="48"/>
    <x v="19"/>
    <n v="24146"/>
    <n v="27471"/>
  </r>
  <r>
    <s v="ORD08198"/>
    <d v="2025-07-20T00:00:00"/>
    <x v="0"/>
    <x v="14"/>
    <x v="1"/>
    <s v="Canada"/>
    <x v="44"/>
    <x v="11"/>
    <n v="15886"/>
    <n v="15238"/>
  </r>
  <r>
    <s v="ORD08199"/>
    <d v="2025-06-24T00:00:00"/>
    <x v="5"/>
    <x v="36"/>
    <x v="2"/>
    <s v="UK"/>
    <x v="2"/>
    <x v="11"/>
    <n v="26363"/>
    <n v="21508"/>
  </r>
  <r>
    <s v="ORD08200"/>
    <d v="2025-03-12T00:00:00"/>
    <x v="9"/>
    <x v="19"/>
    <x v="2"/>
    <s v="South Africa"/>
    <x v="27"/>
    <x v="27"/>
    <n v="18673"/>
    <n v="22322"/>
  </r>
  <r>
    <s v="ORD08201"/>
    <d v="2025-09-17T00:00:00"/>
    <x v="3"/>
    <x v="8"/>
    <x v="5"/>
    <s v="Brazil"/>
    <x v="48"/>
    <x v="11"/>
    <n v="38863"/>
    <n v="39965"/>
  </r>
  <r>
    <s v="ORD08202"/>
    <d v="2025-04-29T00:00:00"/>
    <x v="7"/>
    <x v="27"/>
    <x v="4"/>
    <s v="Brazil"/>
    <x v="1"/>
    <x v="10"/>
    <n v="19681"/>
    <n v="14153"/>
  </r>
  <r>
    <s v="ORD08203"/>
    <d v="2025-03-31T00:00:00"/>
    <x v="9"/>
    <x v="34"/>
    <x v="4"/>
    <s v="China"/>
    <x v="14"/>
    <x v="11"/>
    <n v="22728"/>
    <n v="16836"/>
  </r>
  <r>
    <s v="ORD08204"/>
    <d v="2025-07-26T00:00:00"/>
    <x v="0"/>
    <x v="0"/>
    <x v="3"/>
    <s v="USA"/>
    <x v="8"/>
    <x v="4"/>
    <n v="32088"/>
    <n v="29357"/>
  </r>
  <r>
    <s v="ORD08205"/>
    <d v="2025-03-30T00:00:00"/>
    <x v="9"/>
    <x v="33"/>
    <x v="1"/>
    <s v="Mexico"/>
    <x v="0"/>
    <x v="27"/>
    <n v="19849"/>
    <n v="16292"/>
  </r>
  <r>
    <s v="ORD08206"/>
    <d v="2025-07-20T00:00:00"/>
    <x v="0"/>
    <x v="14"/>
    <x v="2"/>
    <s v="South Africa"/>
    <x v="45"/>
    <x v="13"/>
    <n v="25427"/>
    <n v="30999"/>
  </r>
  <r>
    <s v="ORD08207"/>
    <d v="2025-08-09T00:00:00"/>
    <x v="11"/>
    <x v="23"/>
    <x v="4"/>
    <s v="Turkey"/>
    <x v="29"/>
    <x v="16"/>
    <n v="30838"/>
    <n v="39435"/>
  </r>
  <r>
    <s v="ORD08208"/>
    <d v="2025-11-05T00:00:00"/>
    <x v="2"/>
    <x v="51"/>
    <x v="2"/>
    <s v="Canada"/>
    <x v="13"/>
    <x v="7"/>
    <n v="31431"/>
    <n v="30683"/>
  </r>
  <r>
    <s v="ORD08209"/>
    <d v="2025-02-27T00:00:00"/>
    <x v="6"/>
    <x v="22"/>
    <x v="5"/>
    <s v="UK"/>
    <x v="26"/>
    <x v="21"/>
    <n v="35940"/>
    <n v="34300"/>
  </r>
  <r>
    <s v="ORD08210"/>
    <d v="2025-01-23T00:00:00"/>
    <x v="1"/>
    <x v="7"/>
    <x v="5"/>
    <s v="Russia"/>
    <x v="1"/>
    <x v="13"/>
    <n v="25631"/>
    <n v="18251"/>
  </r>
  <r>
    <s v="ORD08211"/>
    <d v="2025-07-02T00:00:00"/>
    <x v="0"/>
    <x v="37"/>
    <x v="5"/>
    <s v="UAE"/>
    <x v="38"/>
    <x v="14"/>
    <n v="22234"/>
    <n v="16835"/>
  </r>
  <r>
    <s v="ORD08212"/>
    <d v="2025-09-25T00:00:00"/>
    <x v="3"/>
    <x v="25"/>
    <x v="5"/>
    <s v="Mexico"/>
    <x v="22"/>
    <x v="17"/>
    <n v="33060"/>
    <n v="30206"/>
  </r>
  <r>
    <s v="ORD08213"/>
    <d v="2025-08-13T00:00:00"/>
    <x v="11"/>
    <x v="30"/>
    <x v="4"/>
    <s v="South Africa"/>
    <x v="10"/>
    <x v="13"/>
    <n v="25501"/>
    <n v="26798"/>
  </r>
  <r>
    <s v="ORD08214"/>
    <d v="2025-03-10T00:00:00"/>
    <x v="9"/>
    <x v="19"/>
    <x v="6"/>
    <s v="Singapore"/>
    <x v="23"/>
    <x v="7"/>
    <n v="20680"/>
    <n v="23426"/>
  </r>
  <r>
    <s v="ORD08215"/>
    <d v="2025-08-28T00:00:00"/>
    <x v="11"/>
    <x v="28"/>
    <x v="3"/>
    <s v="Australia"/>
    <x v="27"/>
    <x v="9"/>
    <n v="25916"/>
    <n v="30333"/>
  </r>
  <r>
    <s v="ORD08216"/>
    <d v="2025-10-31T00:00:00"/>
    <x v="4"/>
    <x v="2"/>
    <x v="0"/>
    <s v="UAE"/>
    <x v="39"/>
    <x v="21"/>
    <n v="38926"/>
    <n v="31229"/>
  </r>
  <r>
    <s v="ORD08217"/>
    <d v="2025-02-03T00:00:00"/>
    <x v="6"/>
    <x v="48"/>
    <x v="4"/>
    <s v="Turkey"/>
    <x v="15"/>
    <x v="15"/>
    <n v="20905"/>
    <n v="20504"/>
  </r>
  <r>
    <s v="ORD08218"/>
    <d v="2025-11-03T00:00:00"/>
    <x v="2"/>
    <x v="51"/>
    <x v="0"/>
    <s v="Malaysia"/>
    <x v="20"/>
    <x v="21"/>
    <n v="16976"/>
    <n v="15498"/>
  </r>
  <r>
    <s v="ORD08219"/>
    <d v="2025-03-04T00:00:00"/>
    <x v="9"/>
    <x v="35"/>
    <x v="4"/>
    <s v="UK"/>
    <x v="17"/>
    <x v="23"/>
    <n v="25753"/>
    <n v="32307"/>
  </r>
  <r>
    <s v="ORD08220"/>
    <d v="2025-03-23T00:00:00"/>
    <x v="9"/>
    <x v="39"/>
    <x v="2"/>
    <s v="Russia"/>
    <x v="4"/>
    <x v="13"/>
    <n v="31065"/>
    <n v="31597"/>
  </r>
  <r>
    <s v="ORD08221"/>
    <d v="2025-06-29T00:00:00"/>
    <x v="5"/>
    <x v="36"/>
    <x v="1"/>
    <s v="Canada"/>
    <x v="39"/>
    <x v="4"/>
    <n v="21571"/>
    <n v="21437"/>
  </r>
  <r>
    <s v="ORD08222"/>
    <d v="2025-05-29T00:00:00"/>
    <x v="8"/>
    <x v="24"/>
    <x v="0"/>
    <s v="South Africa"/>
    <x v="12"/>
    <x v="4"/>
    <n v="32655"/>
    <n v="31621"/>
  </r>
  <r>
    <s v="ORD08223"/>
    <d v="2025-01-25T00:00:00"/>
    <x v="1"/>
    <x v="7"/>
    <x v="1"/>
    <s v="Spain"/>
    <x v="43"/>
    <x v="5"/>
    <n v="30659"/>
    <n v="26030"/>
  </r>
  <r>
    <s v="ORD08224"/>
    <d v="2025-03-01T00:00:00"/>
    <x v="9"/>
    <x v="22"/>
    <x v="4"/>
    <s v="Germany"/>
    <x v="18"/>
    <x v="21"/>
    <n v="17026"/>
    <n v="18797"/>
  </r>
  <r>
    <s v="ORD08225"/>
    <d v="2025-11-23T00:00:00"/>
    <x v="2"/>
    <x v="9"/>
    <x v="6"/>
    <s v="Russia"/>
    <x v="35"/>
    <x v="25"/>
    <n v="30582"/>
    <n v="25931"/>
  </r>
  <r>
    <s v="ORD08226"/>
    <d v="2025-08-23T00:00:00"/>
    <x v="11"/>
    <x v="46"/>
    <x v="2"/>
    <s v="India"/>
    <x v="11"/>
    <x v="18"/>
    <n v="38863"/>
    <n v="28708"/>
  </r>
  <r>
    <s v="ORD08227"/>
    <d v="2025-06-20T00:00:00"/>
    <x v="5"/>
    <x v="13"/>
    <x v="4"/>
    <s v="Italy"/>
    <x v="45"/>
    <x v="11"/>
    <n v="27653"/>
    <n v="26246"/>
  </r>
  <r>
    <s v="ORD08228"/>
    <d v="2025-11-25T00:00:00"/>
    <x v="2"/>
    <x v="11"/>
    <x v="1"/>
    <s v="Mexico"/>
    <x v="18"/>
    <x v="28"/>
    <n v="38490"/>
    <n v="32649"/>
  </r>
  <r>
    <s v="ORD08229"/>
    <d v="2025-11-29T00:00:00"/>
    <x v="2"/>
    <x v="11"/>
    <x v="1"/>
    <s v="UK"/>
    <x v="24"/>
    <x v="0"/>
    <n v="30892"/>
    <n v="32883"/>
  </r>
  <r>
    <s v="ORD08230"/>
    <d v="2025-06-07T00:00:00"/>
    <x v="5"/>
    <x v="41"/>
    <x v="0"/>
    <s v="Brazil"/>
    <x v="49"/>
    <x v="3"/>
    <n v="35909"/>
    <n v="28517"/>
  </r>
  <r>
    <s v="ORD08231"/>
    <d v="2025-07-09T00:00:00"/>
    <x v="0"/>
    <x v="47"/>
    <x v="5"/>
    <s v="UAE"/>
    <x v="36"/>
    <x v="9"/>
    <n v="23469"/>
    <n v="28447"/>
  </r>
  <r>
    <s v="ORD08232"/>
    <d v="2025-05-15T00:00:00"/>
    <x v="8"/>
    <x v="17"/>
    <x v="3"/>
    <s v="Canada"/>
    <x v="37"/>
    <x v="29"/>
    <n v="15994"/>
    <n v="20458"/>
  </r>
  <r>
    <s v="ORD08233"/>
    <d v="2025-01-01T00:00:00"/>
    <x v="1"/>
    <x v="5"/>
    <x v="0"/>
    <s v="Turkey"/>
    <x v="19"/>
    <x v="25"/>
    <n v="15101"/>
    <n v="19104"/>
  </r>
  <r>
    <s v="ORD08234"/>
    <d v="2025-06-27T00:00:00"/>
    <x v="5"/>
    <x v="36"/>
    <x v="4"/>
    <s v="Russia"/>
    <x v="35"/>
    <x v="6"/>
    <n v="17808"/>
    <n v="16475"/>
  </r>
  <r>
    <s v="ORD08235"/>
    <d v="2025-09-17T00:00:00"/>
    <x v="3"/>
    <x v="8"/>
    <x v="3"/>
    <s v="Canada"/>
    <x v="1"/>
    <x v="23"/>
    <n v="25870"/>
    <n v="25749"/>
  </r>
  <r>
    <s v="ORD08236"/>
    <d v="2025-07-18T00:00:00"/>
    <x v="0"/>
    <x v="14"/>
    <x v="2"/>
    <s v="Brazil"/>
    <x v="29"/>
    <x v="19"/>
    <n v="16647"/>
    <n v="14411"/>
  </r>
  <r>
    <s v="ORD08237"/>
    <d v="2025-10-18T00:00:00"/>
    <x v="4"/>
    <x v="10"/>
    <x v="3"/>
    <s v="Russia"/>
    <x v="38"/>
    <x v="23"/>
    <n v="33988"/>
    <n v="28733"/>
  </r>
  <r>
    <s v="ORD08238"/>
    <d v="2025-12-08T00:00:00"/>
    <x v="10"/>
    <x v="32"/>
    <x v="1"/>
    <s v="Italy"/>
    <x v="7"/>
    <x v="22"/>
    <n v="38236"/>
    <n v="30082"/>
  </r>
  <r>
    <s v="ORD08239"/>
    <d v="2025-04-21T00:00:00"/>
    <x v="7"/>
    <x v="38"/>
    <x v="3"/>
    <s v="Canada"/>
    <x v="21"/>
    <x v="13"/>
    <n v="31002"/>
    <n v="37291"/>
  </r>
  <r>
    <s v="ORD08240"/>
    <d v="2025-11-22T00:00:00"/>
    <x v="2"/>
    <x v="9"/>
    <x v="0"/>
    <s v="Spain"/>
    <x v="11"/>
    <x v="26"/>
    <n v="39927"/>
    <n v="51233"/>
  </r>
  <r>
    <s v="ORD08241"/>
    <d v="2025-06-24T00:00:00"/>
    <x v="5"/>
    <x v="36"/>
    <x v="0"/>
    <s v="Singapore"/>
    <x v="41"/>
    <x v="7"/>
    <n v="38292"/>
    <n v="33395"/>
  </r>
  <r>
    <s v="ORD08242"/>
    <d v="2025-04-04T00:00:00"/>
    <x v="7"/>
    <x v="34"/>
    <x v="2"/>
    <s v="India"/>
    <x v="1"/>
    <x v="3"/>
    <n v="16552"/>
    <n v="13397"/>
  </r>
  <r>
    <s v="ORD08243"/>
    <d v="2025-09-17T00:00:00"/>
    <x v="3"/>
    <x v="8"/>
    <x v="2"/>
    <s v="Malaysia"/>
    <x v="28"/>
    <x v="29"/>
    <n v="26500"/>
    <n v="22516"/>
  </r>
  <r>
    <s v="ORD08244"/>
    <d v="2025-05-08T00:00:00"/>
    <x v="8"/>
    <x v="18"/>
    <x v="6"/>
    <s v="Australia"/>
    <x v="24"/>
    <x v="3"/>
    <n v="33685"/>
    <n v="26662"/>
  </r>
  <r>
    <s v="ORD08245"/>
    <d v="2025-01-01T00:00:00"/>
    <x v="1"/>
    <x v="5"/>
    <x v="2"/>
    <s v="Turkey"/>
    <x v="22"/>
    <x v="10"/>
    <n v="18840"/>
    <n v="15053"/>
  </r>
  <r>
    <s v="ORD08246"/>
    <d v="2025-08-27T00:00:00"/>
    <x v="11"/>
    <x v="28"/>
    <x v="3"/>
    <s v="Singapore"/>
    <x v="49"/>
    <x v="3"/>
    <n v="35009"/>
    <n v="26387"/>
  </r>
  <r>
    <s v="ORD08247"/>
    <d v="2025-07-27T00:00:00"/>
    <x v="0"/>
    <x v="0"/>
    <x v="0"/>
    <s v="Malaysia"/>
    <x v="29"/>
    <x v="20"/>
    <n v="30640"/>
    <n v="30909"/>
  </r>
  <r>
    <s v="ORD08248"/>
    <d v="2025-08-20T00:00:00"/>
    <x v="11"/>
    <x v="46"/>
    <x v="0"/>
    <s v="USA"/>
    <x v="34"/>
    <x v="28"/>
    <n v="20336"/>
    <n v="19862"/>
  </r>
  <r>
    <s v="ORD08249"/>
    <d v="2025-08-09T00:00:00"/>
    <x v="11"/>
    <x v="23"/>
    <x v="1"/>
    <s v="India"/>
    <x v="17"/>
    <x v="26"/>
    <n v="32741"/>
    <n v="29403"/>
  </r>
  <r>
    <s v="ORD08250"/>
    <d v="2025-04-15T00:00:00"/>
    <x v="7"/>
    <x v="20"/>
    <x v="5"/>
    <s v="Thailand"/>
    <x v="34"/>
    <x v="14"/>
    <n v="35892"/>
    <n v="29568"/>
  </r>
  <r>
    <s v="ORD08251"/>
    <d v="2025-01-23T00:00:00"/>
    <x v="1"/>
    <x v="7"/>
    <x v="3"/>
    <s v="Malaysia"/>
    <x v="38"/>
    <x v="28"/>
    <n v="25263"/>
    <n v="30909"/>
  </r>
  <r>
    <s v="ORD08252"/>
    <d v="2025-07-02T00:00:00"/>
    <x v="0"/>
    <x v="37"/>
    <x v="1"/>
    <s v="South Africa"/>
    <x v="14"/>
    <x v="8"/>
    <n v="35284"/>
    <n v="43588"/>
  </r>
  <r>
    <s v="ORD08253"/>
    <d v="2025-03-10T00:00:00"/>
    <x v="9"/>
    <x v="19"/>
    <x v="3"/>
    <s v="UAE"/>
    <x v="8"/>
    <x v="3"/>
    <n v="23627"/>
    <n v="30051"/>
  </r>
  <r>
    <s v="ORD08254"/>
    <d v="2025-11-04T00:00:00"/>
    <x v="2"/>
    <x v="51"/>
    <x v="0"/>
    <s v="Turkey"/>
    <x v="1"/>
    <x v="28"/>
    <n v="21190"/>
    <n v="24142"/>
  </r>
  <r>
    <s v="ORD08255"/>
    <d v="2025-04-20T00:00:00"/>
    <x v="7"/>
    <x v="20"/>
    <x v="4"/>
    <s v="USA"/>
    <x v="2"/>
    <x v="6"/>
    <n v="20901"/>
    <n v="23941"/>
  </r>
  <r>
    <s v="ORD08256"/>
    <d v="2025-01-31T00:00:00"/>
    <x v="1"/>
    <x v="3"/>
    <x v="1"/>
    <s v="China"/>
    <x v="19"/>
    <x v="14"/>
    <n v="18377"/>
    <n v="17783"/>
  </r>
  <r>
    <s v="ORD08257"/>
    <d v="2025-09-17T00:00:00"/>
    <x v="3"/>
    <x v="8"/>
    <x v="0"/>
    <s v="USA"/>
    <x v="27"/>
    <x v="2"/>
    <n v="31880"/>
    <n v="31719"/>
  </r>
  <r>
    <s v="ORD08258"/>
    <d v="2025-04-19T00:00:00"/>
    <x v="7"/>
    <x v="20"/>
    <x v="2"/>
    <s v="Mexico"/>
    <x v="38"/>
    <x v="11"/>
    <n v="24330"/>
    <n v="29522"/>
  </r>
  <r>
    <s v="ORD08259"/>
    <d v="2025-01-20T00:00:00"/>
    <x v="1"/>
    <x v="7"/>
    <x v="5"/>
    <s v="Singapore"/>
    <x v="3"/>
    <x v="26"/>
    <n v="30727"/>
    <n v="39451"/>
  </r>
  <r>
    <s v="ORD08260"/>
    <d v="2025-05-27T00:00:00"/>
    <x v="8"/>
    <x v="24"/>
    <x v="1"/>
    <s v="UK"/>
    <x v="11"/>
    <x v="27"/>
    <n v="32424"/>
    <n v="31134"/>
  </r>
  <r>
    <s v="ORD08261"/>
    <d v="2025-06-30T00:00:00"/>
    <x v="5"/>
    <x v="37"/>
    <x v="2"/>
    <s v="USA"/>
    <x v="48"/>
    <x v="9"/>
    <n v="29182"/>
    <n v="34760"/>
  </r>
  <r>
    <s v="ORD08262"/>
    <d v="2025-05-06T00:00:00"/>
    <x v="8"/>
    <x v="18"/>
    <x v="5"/>
    <s v="China"/>
    <x v="43"/>
    <x v="24"/>
    <n v="24843"/>
    <n v="29134"/>
  </r>
  <r>
    <s v="ORD08263"/>
    <d v="2025-05-17T00:00:00"/>
    <x v="8"/>
    <x v="17"/>
    <x v="1"/>
    <s v="Spain"/>
    <x v="3"/>
    <x v="16"/>
    <n v="23959"/>
    <n v="20194"/>
  </r>
  <r>
    <s v="ORD08264"/>
    <d v="2025-02-14T00:00:00"/>
    <x v="6"/>
    <x v="29"/>
    <x v="3"/>
    <s v="Canada"/>
    <x v="28"/>
    <x v="19"/>
    <n v="20958"/>
    <n v="26808"/>
  </r>
  <r>
    <s v="ORD08265"/>
    <d v="2025-05-03T00:00:00"/>
    <x v="8"/>
    <x v="27"/>
    <x v="3"/>
    <s v="USA"/>
    <x v="6"/>
    <x v="24"/>
    <n v="31567"/>
    <n v="34205"/>
  </r>
  <r>
    <s v="ORD08266"/>
    <d v="2025-02-25T00:00:00"/>
    <x v="6"/>
    <x v="22"/>
    <x v="3"/>
    <s v="Australia"/>
    <x v="30"/>
    <x v="29"/>
    <n v="31354"/>
    <n v="27943"/>
  </r>
  <r>
    <s v="ORD08267"/>
    <d v="2025-09-01T00:00:00"/>
    <x v="3"/>
    <x v="4"/>
    <x v="6"/>
    <s v="USA"/>
    <x v="29"/>
    <x v="7"/>
    <n v="39608"/>
    <n v="35157"/>
  </r>
  <r>
    <s v="ORD08268"/>
    <d v="2025-02-22T00:00:00"/>
    <x v="6"/>
    <x v="15"/>
    <x v="1"/>
    <s v="USA"/>
    <x v="31"/>
    <x v="26"/>
    <n v="19130"/>
    <n v="13952"/>
  </r>
  <r>
    <s v="ORD08269"/>
    <d v="2025-01-18T00:00:00"/>
    <x v="1"/>
    <x v="1"/>
    <x v="4"/>
    <s v="Russia"/>
    <x v="2"/>
    <x v="0"/>
    <n v="26307"/>
    <n v="32672"/>
  </r>
  <r>
    <s v="ORD08270"/>
    <d v="2025-11-23T00:00:00"/>
    <x v="2"/>
    <x v="9"/>
    <x v="5"/>
    <s v="Malaysia"/>
    <x v="12"/>
    <x v="24"/>
    <n v="28700"/>
    <n v="33426"/>
  </r>
  <r>
    <s v="ORD08271"/>
    <d v="2025-05-17T00:00:00"/>
    <x v="8"/>
    <x v="17"/>
    <x v="6"/>
    <s v="Japan"/>
    <x v="12"/>
    <x v="9"/>
    <n v="37759"/>
    <n v="29289"/>
  </r>
  <r>
    <s v="ORD08272"/>
    <d v="2025-11-25T00:00:00"/>
    <x v="2"/>
    <x v="11"/>
    <x v="3"/>
    <s v="Russia"/>
    <x v="48"/>
    <x v="7"/>
    <n v="37537"/>
    <n v="28633"/>
  </r>
  <r>
    <s v="ORD08273"/>
    <d v="2025-09-07T00:00:00"/>
    <x v="3"/>
    <x v="4"/>
    <x v="1"/>
    <s v="France"/>
    <x v="16"/>
    <x v="23"/>
    <n v="39478"/>
    <n v="27728"/>
  </r>
  <r>
    <s v="ORD08274"/>
    <d v="2025-10-24T00:00:00"/>
    <x v="4"/>
    <x v="50"/>
    <x v="5"/>
    <s v="Italy"/>
    <x v="22"/>
    <x v="10"/>
    <n v="34861"/>
    <n v="39546"/>
  </r>
  <r>
    <s v="ORD08275"/>
    <d v="2025-02-11T00:00:00"/>
    <x v="6"/>
    <x v="29"/>
    <x v="2"/>
    <s v="Thailand"/>
    <x v="38"/>
    <x v="4"/>
    <n v="18286"/>
    <n v="15949"/>
  </r>
  <r>
    <s v="ORD08276"/>
    <d v="2025-06-18T00:00:00"/>
    <x v="5"/>
    <x v="13"/>
    <x v="4"/>
    <s v="Thailand"/>
    <x v="23"/>
    <x v="29"/>
    <n v="22286"/>
    <n v="24928"/>
  </r>
  <r>
    <s v="ORD08277"/>
    <d v="2025-03-12T00:00:00"/>
    <x v="9"/>
    <x v="19"/>
    <x v="4"/>
    <s v="Turkey"/>
    <x v="42"/>
    <x v="5"/>
    <n v="23885"/>
    <n v="19016"/>
  </r>
  <r>
    <s v="ORD08278"/>
    <d v="2025-12-27T00:00:00"/>
    <x v="10"/>
    <x v="42"/>
    <x v="3"/>
    <s v="Turkey"/>
    <x v="5"/>
    <x v="0"/>
    <n v="30748"/>
    <n v="30723"/>
  </r>
  <r>
    <s v="ORD08279"/>
    <d v="2025-11-12T00:00:00"/>
    <x v="2"/>
    <x v="44"/>
    <x v="5"/>
    <s v="Malaysia"/>
    <x v="31"/>
    <x v="3"/>
    <n v="15279"/>
    <n v="17924"/>
  </r>
  <r>
    <s v="ORD08280"/>
    <d v="2025-09-13T00:00:00"/>
    <x v="3"/>
    <x v="31"/>
    <x v="3"/>
    <s v="France"/>
    <x v="20"/>
    <x v="6"/>
    <n v="30962"/>
    <n v="38798"/>
  </r>
  <r>
    <s v="ORD08281"/>
    <d v="2025-04-20T00:00:00"/>
    <x v="7"/>
    <x v="20"/>
    <x v="1"/>
    <s v="Russia"/>
    <x v="25"/>
    <x v="3"/>
    <n v="20509"/>
    <n v="20522"/>
  </r>
  <r>
    <s v="ORD08282"/>
    <d v="2025-05-02T00:00:00"/>
    <x v="8"/>
    <x v="27"/>
    <x v="0"/>
    <s v="Australia"/>
    <x v="20"/>
    <x v="26"/>
    <n v="38268"/>
    <n v="42574"/>
  </r>
  <r>
    <s v="ORD08283"/>
    <d v="2025-12-05T00:00:00"/>
    <x v="10"/>
    <x v="43"/>
    <x v="1"/>
    <s v="UK"/>
    <x v="4"/>
    <x v="28"/>
    <n v="15797"/>
    <n v="16283"/>
  </r>
  <r>
    <s v="ORD08284"/>
    <d v="2025-11-05T00:00:00"/>
    <x v="2"/>
    <x v="51"/>
    <x v="0"/>
    <s v="Australia"/>
    <x v="16"/>
    <x v="11"/>
    <n v="27867"/>
    <n v="33196"/>
  </r>
  <r>
    <s v="ORD08285"/>
    <d v="2025-08-30T00:00:00"/>
    <x v="11"/>
    <x v="28"/>
    <x v="1"/>
    <s v="Russia"/>
    <x v="6"/>
    <x v="7"/>
    <n v="20597"/>
    <n v="17520"/>
  </r>
  <r>
    <s v="ORD08286"/>
    <d v="2025-09-26T00:00:00"/>
    <x v="3"/>
    <x v="25"/>
    <x v="3"/>
    <s v="UK"/>
    <x v="11"/>
    <x v="23"/>
    <n v="18327"/>
    <n v="20802"/>
  </r>
  <r>
    <s v="ORD08287"/>
    <d v="2025-06-20T00:00:00"/>
    <x v="5"/>
    <x v="13"/>
    <x v="4"/>
    <s v="UAE"/>
    <x v="37"/>
    <x v="18"/>
    <n v="21498"/>
    <n v="23882"/>
  </r>
  <r>
    <s v="ORD08288"/>
    <d v="2025-07-10T00:00:00"/>
    <x v="0"/>
    <x v="47"/>
    <x v="0"/>
    <s v="Thailand"/>
    <x v="38"/>
    <x v="23"/>
    <n v="29616"/>
    <n v="22838"/>
  </r>
  <r>
    <s v="ORD08289"/>
    <d v="2025-05-11T00:00:00"/>
    <x v="8"/>
    <x v="18"/>
    <x v="4"/>
    <s v="Germany"/>
    <x v="23"/>
    <x v="21"/>
    <n v="20865"/>
    <n v="15511"/>
  </r>
  <r>
    <s v="ORD08290"/>
    <d v="2025-02-12T00:00:00"/>
    <x v="6"/>
    <x v="29"/>
    <x v="5"/>
    <s v="Singapore"/>
    <x v="17"/>
    <x v="27"/>
    <n v="15111"/>
    <n v="14603"/>
  </r>
  <r>
    <s v="ORD08291"/>
    <d v="2025-04-16T00:00:00"/>
    <x v="7"/>
    <x v="20"/>
    <x v="3"/>
    <s v="Thailand"/>
    <x v="38"/>
    <x v="0"/>
    <n v="39079"/>
    <n v="41538"/>
  </r>
  <r>
    <s v="ORD08292"/>
    <d v="2025-10-19T00:00:00"/>
    <x v="4"/>
    <x v="10"/>
    <x v="4"/>
    <s v="USA"/>
    <x v="35"/>
    <x v="20"/>
    <n v="16759"/>
    <n v="12800"/>
  </r>
  <r>
    <s v="ORD08293"/>
    <d v="2025-05-28T00:00:00"/>
    <x v="8"/>
    <x v="24"/>
    <x v="5"/>
    <s v="UAE"/>
    <x v="10"/>
    <x v="22"/>
    <n v="21653"/>
    <n v="26233"/>
  </r>
  <r>
    <s v="ORD08294"/>
    <d v="2025-05-06T00:00:00"/>
    <x v="8"/>
    <x v="18"/>
    <x v="5"/>
    <s v="Italy"/>
    <x v="5"/>
    <x v="13"/>
    <n v="18619"/>
    <n v="13090"/>
  </r>
  <r>
    <s v="ORD08295"/>
    <d v="2025-12-04T00:00:00"/>
    <x v="10"/>
    <x v="43"/>
    <x v="3"/>
    <s v="Australia"/>
    <x v="19"/>
    <x v="5"/>
    <n v="39252"/>
    <n v="48488"/>
  </r>
  <r>
    <s v="ORD08296"/>
    <d v="2025-12-31T00:00:00"/>
    <x v="10"/>
    <x v="5"/>
    <x v="5"/>
    <s v="USA"/>
    <x v="10"/>
    <x v="13"/>
    <n v="27277"/>
    <n v="32865"/>
  </r>
  <r>
    <s v="ORD08297"/>
    <d v="2025-09-19T00:00:00"/>
    <x v="3"/>
    <x v="8"/>
    <x v="0"/>
    <s v="Spain"/>
    <x v="1"/>
    <x v="27"/>
    <n v="15636"/>
    <n v="14918"/>
  </r>
  <r>
    <s v="ORD08298"/>
    <d v="2025-07-10T00:00:00"/>
    <x v="0"/>
    <x v="47"/>
    <x v="2"/>
    <s v="Turkey"/>
    <x v="35"/>
    <x v="7"/>
    <n v="28703"/>
    <n v="23591"/>
  </r>
  <r>
    <s v="ORD08299"/>
    <d v="2025-09-28T00:00:00"/>
    <x v="3"/>
    <x v="25"/>
    <x v="6"/>
    <s v="India"/>
    <x v="39"/>
    <x v="9"/>
    <n v="20462"/>
    <n v="14699"/>
  </r>
  <r>
    <s v="ORD08300"/>
    <d v="2025-02-15T00:00:00"/>
    <x v="6"/>
    <x v="29"/>
    <x v="5"/>
    <s v="Singapore"/>
    <x v="13"/>
    <x v="22"/>
    <n v="25103"/>
    <n v="22635"/>
  </r>
  <r>
    <s v="ORD08301"/>
    <d v="2025-11-12T00:00:00"/>
    <x v="2"/>
    <x v="44"/>
    <x v="1"/>
    <s v="Germany"/>
    <x v="40"/>
    <x v="23"/>
    <n v="19561"/>
    <n v="15833"/>
  </r>
  <r>
    <s v="ORD08302"/>
    <d v="2025-05-03T00:00:00"/>
    <x v="8"/>
    <x v="27"/>
    <x v="3"/>
    <s v="USA"/>
    <x v="29"/>
    <x v="25"/>
    <n v="20301"/>
    <n v="21014"/>
  </r>
  <r>
    <s v="ORD08303"/>
    <d v="2025-10-03T00:00:00"/>
    <x v="4"/>
    <x v="49"/>
    <x v="0"/>
    <s v="Spain"/>
    <x v="37"/>
    <x v="13"/>
    <n v="15756"/>
    <n v="20329"/>
  </r>
  <r>
    <s v="ORD08304"/>
    <d v="2025-05-20T00:00:00"/>
    <x v="8"/>
    <x v="26"/>
    <x v="6"/>
    <s v="Japan"/>
    <x v="7"/>
    <x v="27"/>
    <n v="21383"/>
    <n v="18760"/>
  </r>
  <r>
    <s v="ORD08305"/>
    <d v="2025-04-23T00:00:00"/>
    <x v="7"/>
    <x v="38"/>
    <x v="6"/>
    <s v="Turkey"/>
    <x v="36"/>
    <x v="23"/>
    <n v="21277"/>
    <n v="17619"/>
  </r>
  <r>
    <s v="ORD08306"/>
    <d v="2025-05-09T00:00:00"/>
    <x v="8"/>
    <x v="18"/>
    <x v="2"/>
    <s v="South Africa"/>
    <x v="33"/>
    <x v="19"/>
    <n v="35900"/>
    <n v="30451"/>
  </r>
  <r>
    <s v="ORD08307"/>
    <d v="2025-02-16T00:00:00"/>
    <x v="6"/>
    <x v="29"/>
    <x v="1"/>
    <s v="India"/>
    <x v="10"/>
    <x v="15"/>
    <n v="17516"/>
    <n v="19399"/>
  </r>
  <r>
    <s v="ORD08308"/>
    <d v="2025-12-12T00:00:00"/>
    <x v="10"/>
    <x v="32"/>
    <x v="3"/>
    <s v="UAE"/>
    <x v="13"/>
    <x v="24"/>
    <n v="36907"/>
    <n v="34521"/>
  </r>
  <r>
    <s v="ORD08309"/>
    <d v="2025-04-08T00:00:00"/>
    <x v="7"/>
    <x v="16"/>
    <x v="6"/>
    <s v="Canada"/>
    <x v="25"/>
    <x v="4"/>
    <n v="15767"/>
    <n v="14843"/>
  </r>
  <r>
    <s v="ORD08310"/>
    <d v="2025-09-27T00:00:00"/>
    <x v="3"/>
    <x v="25"/>
    <x v="6"/>
    <s v="UAE"/>
    <x v="10"/>
    <x v="16"/>
    <n v="15929"/>
    <n v="19109"/>
  </r>
  <r>
    <s v="ORD08311"/>
    <d v="2025-08-22T00:00:00"/>
    <x v="11"/>
    <x v="46"/>
    <x v="5"/>
    <s v="USA"/>
    <x v="38"/>
    <x v="7"/>
    <n v="31362"/>
    <n v="32710"/>
  </r>
  <r>
    <s v="ORD08312"/>
    <d v="2025-04-08T00:00:00"/>
    <x v="7"/>
    <x v="16"/>
    <x v="2"/>
    <s v="Russia"/>
    <x v="10"/>
    <x v="9"/>
    <n v="22517"/>
    <n v="28502"/>
  </r>
  <r>
    <s v="ORD08313"/>
    <d v="2025-09-30T00:00:00"/>
    <x v="3"/>
    <x v="49"/>
    <x v="5"/>
    <s v="Turkey"/>
    <x v="40"/>
    <x v="11"/>
    <n v="23123"/>
    <n v="16698"/>
  </r>
  <r>
    <s v="ORD08314"/>
    <d v="2025-06-10T00:00:00"/>
    <x v="5"/>
    <x v="40"/>
    <x v="0"/>
    <s v="Russia"/>
    <x v="34"/>
    <x v="0"/>
    <n v="32723"/>
    <n v="29385"/>
  </r>
  <r>
    <s v="ORD08315"/>
    <d v="2025-06-10T00:00:00"/>
    <x v="5"/>
    <x v="40"/>
    <x v="4"/>
    <s v="Brazil"/>
    <x v="23"/>
    <x v="15"/>
    <n v="20528"/>
    <n v="15695"/>
  </r>
  <r>
    <s v="ORD08316"/>
    <d v="2025-06-21T00:00:00"/>
    <x v="5"/>
    <x v="13"/>
    <x v="4"/>
    <s v="Thailand"/>
    <x v="9"/>
    <x v="5"/>
    <n v="17138"/>
    <n v="20516"/>
  </r>
  <r>
    <s v="ORD08317"/>
    <d v="2025-06-24T00:00:00"/>
    <x v="5"/>
    <x v="36"/>
    <x v="6"/>
    <s v="Germany"/>
    <x v="14"/>
    <x v="24"/>
    <n v="24153"/>
    <n v="18742"/>
  </r>
  <r>
    <s v="ORD08318"/>
    <d v="2025-05-25T00:00:00"/>
    <x v="8"/>
    <x v="26"/>
    <x v="4"/>
    <s v="UK"/>
    <x v="8"/>
    <x v="7"/>
    <n v="23664"/>
    <n v="22804"/>
  </r>
  <r>
    <s v="ORD08319"/>
    <d v="2025-05-12T00:00:00"/>
    <x v="8"/>
    <x v="17"/>
    <x v="4"/>
    <s v="Italy"/>
    <x v="4"/>
    <x v="4"/>
    <n v="20428"/>
    <n v="25583"/>
  </r>
  <r>
    <s v="ORD08320"/>
    <d v="2025-03-12T00:00:00"/>
    <x v="9"/>
    <x v="19"/>
    <x v="5"/>
    <s v="Spain"/>
    <x v="34"/>
    <x v="29"/>
    <n v="25007"/>
    <n v="25865"/>
  </r>
  <r>
    <s v="ORD08321"/>
    <d v="2025-02-17T00:00:00"/>
    <x v="6"/>
    <x v="15"/>
    <x v="0"/>
    <s v="Spain"/>
    <x v="14"/>
    <x v="6"/>
    <n v="36273"/>
    <n v="39595"/>
  </r>
  <r>
    <s v="ORD08322"/>
    <d v="2025-04-11T00:00:00"/>
    <x v="7"/>
    <x v="16"/>
    <x v="3"/>
    <s v="Mexico"/>
    <x v="20"/>
    <x v="16"/>
    <n v="33984"/>
    <n v="30670"/>
  </r>
  <r>
    <s v="ORD08323"/>
    <d v="2025-01-25T00:00:00"/>
    <x v="1"/>
    <x v="7"/>
    <x v="3"/>
    <s v="Malaysia"/>
    <x v="46"/>
    <x v="1"/>
    <n v="24044"/>
    <n v="25183"/>
  </r>
  <r>
    <s v="ORD08324"/>
    <d v="2025-03-16T00:00:00"/>
    <x v="9"/>
    <x v="19"/>
    <x v="5"/>
    <s v="UK"/>
    <x v="31"/>
    <x v="18"/>
    <n v="17138"/>
    <n v="20444"/>
  </r>
  <r>
    <s v="ORD08325"/>
    <d v="2025-04-21T00:00:00"/>
    <x v="7"/>
    <x v="38"/>
    <x v="6"/>
    <s v="Thailand"/>
    <x v="0"/>
    <x v="28"/>
    <n v="29645"/>
    <n v="34506"/>
  </r>
  <r>
    <s v="ORD08326"/>
    <d v="2025-10-02T00:00:00"/>
    <x v="4"/>
    <x v="49"/>
    <x v="5"/>
    <s v="India"/>
    <x v="45"/>
    <x v="8"/>
    <n v="36816"/>
    <n v="35377"/>
  </r>
  <r>
    <s v="ORD08327"/>
    <d v="2025-06-27T00:00:00"/>
    <x v="5"/>
    <x v="36"/>
    <x v="1"/>
    <s v="USA"/>
    <x v="46"/>
    <x v="4"/>
    <n v="35812"/>
    <n v="28329"/>
  </r>
  <r>
    <s v="ORD08328"/>
    <d v="2025-04-21T00:00:00"/>
    <x v="7"/>
    <x v="38"/>
    <x v="6"/>
    <s v="USA"/>
    <x v="15"/>
    <x v="16"/>
    <n v="30544"/>
    <n v="22473"/>
  </r>
  <r>
    <s v="ORD08329"/>
    <d v="2025-12-05T00:00:00"/>
    <x v="10"/>
    <x v="43"/>
    <x v="5"/>
    <s v="Australia"/>
    <x v="6"/>
    <x v="3"/>
    <n v="28174"/>
    <n v="36143"/>
  </r>
  <r>
    <s v="ORD08330"/>
    <d v="2025-09-09T00:00:00"/>
    <x v="3"/>
    <x v="31"/>
    <x v="4"/>
    <s v="Brazil"/>
    <x v="25"/>
    <x v="20"/>
    <n v="28827"/>
    <n v="25498"/>
  </r>
  <r>
    <s v="ORD08331"/>
    <d v="2025-09-29T00:00:00"/>
    <x v="3"/>
    <x v="49"/>
    <x v="1"/>
    <s v="China"/>
    <x v="18"/>
    <x v="2"/>
    <n v="29524"/>
    <n v="27663"/>
  </r>
  <r>
    <s v="ORD08332"/>
    <d v="2025-08-22T00:00:00"/>
    <x v="11"/>
    <x v="46"/>
    <x v="1"/>
    <s v="South Africa"/>
    <x v="30"/>
    <x v="4"/>
    <n v="39697"/>
    <n v="45950"/>
  </r>
  <r>
    <s v="ORD08333"/>
    <d v="2025-11-21T00:00:00"/>
    <x v="2"/>
    <x v="9"/>
    <x v="2"/>
    <s v="India"/>
    <x v="4"/>
    <x v="19"/>
    <n v="37341"/>
    <n v="43566"/>
  </r>
  <r>
    <s v="ORD08334"/>
    <d v="2025-11-28T00:00:00"/>
    <x v="2"/>
    <x v="11"/>
    <x v="6"/>
    <s v="India"/>
    <x v="39"/>
    <x v="7"/>
    <n v="21751"/>
    <n v="26175"/>
  </r>
  <r>
    <s v="ORD08335"/>
    <d v="2025-05-23T00:00:00"/>
    <x v="8"/>
    <x v="26"/>
    <x v="1"/>
    <s v="Mexico"/>
    <x v="26"/>
    <x v="13"/>
    <n v="39173"/>
    <n v="46774"/>
  </r>
  <r>
    <s v="ORD08336"/>
    <d v="2025-11-15T00:00:00"/>
    <x v="2"/>
    <x v="44"/>
    <x v="2"/>
    <s v="Brazil"/>
    <x v="0"/>
    <x v="10"/>
    <n v="24301"/>
    <n v="25670"/>
  </r>
  <r>
    <s v="ORD08337"/>
    <d v="2025-05-09T00:00:00"/>
    <x v="8"/>
    <x v="18"/>
    <x v="0"/>
    <s v="India"/>
    <x v="13"/>
    <x v="15"/>
    <n v="36925"/>
    <n v="32026"/>
  </r>
  <r>
    <s v="ORD08338"/>
    <d v="2025-11-19T00:00:00"/>
    <x v="2"/>
    <x v="9"/>
    <x v="2"/>
    <s v="Russia"/>
    <x v="36"/>
    <x v="8"/>
    <n v="21899"/>
    <n v="16658"/>
  </r>
  <r>
    <s v="ORD08339"/>
    <d v="2025-04-03T00:00:00"/>
    <x v="7"/>
    <x v="34"/>
    <x v="0"/>
    <s v="China"/>
    <x v="5"/>
    <x v="9"/>
    <n v="21468"/>
    <n v="16098"/>
  </r>
  <r>
    <s v="ORD08340"/>
    <d v="2025-10-23T00:00:00"/>
    <x v="4"/>
    <x v="50"/>
    <x v="3"/>
    <s v="Singapore"/>
    <x v="14"/>
    <x v="22"/>
    <n v="32388"/>
    <n v="30858"/>
  </r>
  <r>
    <s v="ORD08341"/>
    <d v="2025-12-18T00:00:00"/>
    <x v="10"/>
    <x v="21"/>
    <x v="6"/>
    <s v="Mexico"/>
    <x v="32"/>
    <x v="2"/>
    <n v="35470"/>
    <n v="45133"/>
  </r>
  <r>
    <s v="ORD08342"/>
    <d v="2025-10-09T00:00:00"/>
    <x v="4"/>
    <x v="45"/>
    <x v="3"/>
    <s v="Italy"/>
    <x v="17"/>
    <x v="29"/>
    <n v="22946"/>
    <n v="19453"/>
  </r>
  <r>
    <s v="ORD08343"/>
    <d v="2025-01-24T00:00:00"/>
    <x v="1"/>
    <x v="7"/>
    <x v="3"/>
    <s v="India"/>
    <x v="4"/>
    <x v="23"/>
    <n v="31132"/>
    <n v="38903"/>
  </r>
  <r>
    <s v="ORD08344"/>
    <d v="2025-02-22T00:00:00"/>
    <x v="6"/>
    <x v="15"/>
    <x v="0"/>
    <s v="Singapore"/>
    <x v="14"/>
    <x v="3"/>
    <n v="33536"/>
    <n v="26911"/>
  </r>
  <r>
    <s v="ORD08345"/>
    <d v="2025-09-26T00:00:00"/>
    <x v="3"/>
    <x v="25"/>
    <x v="1"/>
    <s v="USA"/>
    <x v="26"/>
    <x v="25"/>
    <n v="22201"/>
    <n v="24325"/>
  </r>
  <r>
    <s v="ORD08346"/>
    <d v="2025-08-04T00:00:00"/>
    <x v="11"/>
    <x v="23"/>
    <x v="6"/>
    <s v="Italy"/>
    <x v="26"/>
    <x v="27"/>
    <n v="20104"/>
    <n v="14107"/>
  </r>
  <r>
    <s v="ORD08347"/>
    <d v="2025-11-13T00:00:00"/>
    <x v="2"/>
    <x v="44"/>
    <x v="1"/>
    <s v="Italy"/>
    <x v="38"/>
    <x v="10"/>
    <n v="19119"/>
    <n v="18204"/>
  </r>
  <r>
    <s v="ORD08348"/>
    <d v="2025-02-24T00:00:00"/>
    <x v="6"/>
    <x v="22"/>
    <x v="2"/>
    <s v="Turkey"/>
    <x v="48"/>
    <x v="7"/>
    <n v="39559"/>
    <n v="49566"/>
  </r>
  <r>
    <s v="ORD08349"/>
    <d v="2025-12-28T00:00:00"/>
    <x v="10"/>
    <x v="42"/>
    <x v="0"/>
    <s v="UK"/>
    <x v="22"/>
    <x v="11"/>
    <n v="39563"/>
    <n v="34194"/>
  </r>
  <r>
    <s v="ORD08350"/>
    <d v="2025-12-04T00:00:00"/>
    <x v="10"/>
    <x v="43"/>
    <x v="2"/>
    <s v="Italy"/>
    <x v="16"/>
    <x v="17"/>
    <n v="33267"/>
    <n v="27126"/>
  </r>
  <r>
    <s v="ORD08351"/>
    <d v="2025-12-07T00:00:00"/>
    <x v="10"/>
    <x v="43"/>
    <x v="0"/>
    <s v="UK"/>
    <x v="41"/>
    <x v="14"/>
    <n v="27859"/>
    <n v="29842"/>
  </r>
  <r>
    <s v="ORD08352"/>
    <d v="2025-05-13T00:00:00"/>
    <x v="8"/>
    <x v="17"/>
    <x v="1"/>
    <s v="South Africa"/>
    <x v="33"/>
    <x v="19"/>
    <n v="29182"/>
    <n v="30379"/>
  </r>
  <r>
    <s v="ORD08353"/>
    <d v="2025-10-07T00:00:00"/>
    <x v="4"/>
    <x v="45"/>
    <x v="1"/>
    <s v="Turkey"/>
    <x v="9"/>
    <x v="17"/>
    <n v="26870"/>
    <n v="19565"/>
  </r>
  <r>
    <s v="ORD08354"/>
    <d v="2025-08-31T00:00:00"/>
    <x v="11"/>
    <x v="28"/>
    <x v="3"/>
    <s v="Russia"/>
    <x v="49"/>
    <x v="21"/>
    <n v="16471"/>
    <n v="12305"/>
  </r>
  <r>
    <s v="ORD08355"/>
    <d v="2025-10-22T00:00:00"/>
    <x v="4"/>
    <x v="50"/>
    <x v="4"/>
    <s v="Australia"/>
    <x v="26"/>
    <x v="25"/>
    <n v="38176"/>
    <n v="41644"/>
  </r>
  <r>
    <s v="ORD08356"/>
    <d v="2025-11-20T00:00:00"/>
    <x v="2"/>
    <x v="9"/>
    <x v="3"/>
    <s v="Thailand"/>
    <x v="27"/>
    <x v="29"/>
    <n v="31198"/>
    <n v="35910"/>
  </r>
  <r>
    <s v="ORD08357"/>
    <d v="2025-01-16T00:00:00"/>
    <x v="1"/>
    <x v="1"/>
    <x v="4"/>
    <s v="South Africa"/>
    <x v="42"/>
    <x v="27"/>
    <n v="27249"/>
    <n v="34518"/>
  </r>
  <r>
    <s v="ORD08358"/>
    <d v="2025-08-28T00:00:00"/>
    <x v="11"/>
    <x v="28"/>
    <x v="3"/>
    <s v="Brazil"/>
    <x v="18"/>
    <x v="17"/>
    <n v="17387"/>
    <n v="12329"/>
  </r>
  <r>
    <s v="ORD08359"/>
    <d v="2025-03-22T00:00:00"/>
    <x v="9"/>
    <x v="39"/>
    <x v="1"/>
    <s v="USA"/>
    <x v="36"/>
    <x v="29"/>
    <n v="35530"/>
    <n v="26741"/>
  </r>
  <r>
    <s v="ORD08360"/>
    <d v="2025-02-05T00:00:00"/>
    <x v="6"/>
    <x v="48"/>
    <x v="4"/>
    <s v="India"/>
    <x v="49"/>
    <x v="4"/>
    <n v="26862"/>
    <n v="26779"/>
  </r>
  <r>
    <s v="ORD08361"/>
    <d v="2025-11-08T00:00:00"/>
    <x v="2"/>
    <x v="51"/>
    <x v="3"/>
    <s v="Singapore"/>
    <x v="17"/>
    <x v="8"/>
    <n v="25899"/>
    <n v="22227"/>
  </r>
  <r>
    <s v="ORD08362"/>
    <d v="2025-02-07T00:00:00"/>
    <x v="6"/>
    <x v="48"/>
    <x v="4"/>
    <s v="South Africa"/>
    <x v="39"/>
    <x v="10"/>
    <n v="31044"/>
    <n v="34257"/>
  </r>
  <r>
    <s v="ORD08363"/>
    <d v="2025-04-06T00:00:00"/>
    <x v="7"/>
    <x v="34"/>
    <x v="1"/>
    <s v="Brazil"/>
    <x v="36"/>
    <x v="2"/>
    <n v="29182"/>
    <n v="36778"/>
  </r>
  <r>
    <s v="ORD08364"/>
    <d v="2025-01-02T00:00:00"/>
    <x v="1"/>
    <x v="5"/>
    <x v="2"/>
    <s v="Singapore"/>
    <x v="7"/>
    <x v="20"/>
    <n v="24894"/>
    <n v="25141"/>
  </r>
  <r>
    <s v="ORD08365"/>
    <d v="2025-06-24T00:00:00"/>
    <x v="5"/>
    <x v="36"/>
    <x v="0"/>
    <s v="Brazil"/>
    <x v="41"/>
    <x v="2"/>
    <n v="38062"/>
    <n v="28999"/>
  </r>
  <r>
    <s v="ORD08366"/>
    <d v="2025-01-13T00:00:00"/>
    <x v="1"/>
    <x v="1"/>
    <x v="0"/>
    <s v="France"/>
    <x v="49"/>
    <x v="19"/>
    <n v="17113"/>
    <n v="12768"/>
  </r>
  <r>
    <s v="ORD08367"/>
    <d v="2025-07-11T00:00:00"/>
    <x v="0"/>
    <x v="47"/>
    <x v="2"/>
    <s v="Singapore"/>
    <x v="14"/>
    <x v="23"/>
    <n v="33023"/>
    <n v="27877"/>
  </r>
  <r>
    <s v="ORD08368"/>
    <d v="2025-03-23T00:00:00"/>
    <x v="9"/>
    <x v="39"/>
    <x v="0"/>
    <s v="Malaysia"/>
    <x v="2"/>
    <x v="25"/>
    <n v="35584"/>
    <n v="31102"/>
  </r>
  <r>
    <s v="ORD08369"/>
    <d v="2025-04-16T00:00:00"/>
    <x v="7"/>
    <x v="20"/>
    <x v="0"/>
    <s v="Singapore"/>
    <x v="23"/>
    <x v="5"/>
    <n v="25411"/>
    <n v="23754"/>
  </r>
  <r>
    <s v="ORD08370"/>
    <d v="2025-07-04T00:00:00"/>
    <x v="0"/>
    <x v="37"/>
    <x v="2"/>
    <s v="Turkey"/>
    <x v="5"/>
    <x v="3"/>
    <n v="20087"/>
    <n v="17240"/>
  </r>
  <r>
    <s v="ORD08371"/>
    <d v="2025-09-25T00:00:00"/>
    <x v="3"/>
    <x v="25"/>
    <x v="5"/>
    <s v="Australia"/>
    <x v="40"/>
    <x v="11"/>
    <n v="30162"/>
    <n v="24336"/>
  </r>
  <r>
    <s v="ORD08372"/>
    <d v="2025-07-24T00:00:00"/>
    <x v="0"/>
    <x v="0"/>
    <x v="4"/>
    <s v="India"/>
    <x v="20"/>
    <x v="18"/>
    <n v="39849"/>
    <n v="33731"/>
  </r>
  <r>
    <s v="ORD08373"/>
    <d v="2025-01-16T00:00:00"/>
    <x v="1"/>
    <x v="1"/>
    <x v="4"/>
    <s v="UAE"/>
    <x v="15"/>
    <x v="22"/>
    <n v="36486"/>
    <n v="43424"/>
  </r>
  <r>
    <s v="ORD08374"/>
    <d v="2025-05-31T00:00:00"/>
    <x v="8"/>
    <x v="24"/>
    <x v="6"/>
    <s v="Canada"/>
    <x v="0"/>
    <x v="10"/>
    <n v="17130"/>
    <n v="16092"/>
  </r>
  <r>
    <s v="ORD08375"/>
    <d v="2025-12-26T00:00:00"/>
    <x v="10"/>
    <x v="42"/>
    <x v="1"/>
    <s v="China"/>
    <x v="12"/>
    <x v="27"/>
    <n v="35911"/>
    <n v="28293"/>
  </r>
  <r>
    <s v="ORD08376"/>
    <d v="2025-02-05T00:00:00"/>
    <x v="6"/>
    <x v="48"/>
    <x v="4"/>
    <s v="Singapore"/>
    <x v="43"/>
    <x v="4"/>
    <n v="29724"/>
    <n v="29577"/>
  </r>
  <r>
    <s v="ORD08377"/>
    <d v="2025-08-06T00:00:00"/>
    <x v="11"/>
    <x v="23"/>
    <x v="0"/>
    <s v="South Africa"/>
    <x v="3"/>
    <x v="10"/>
    <n v="36295"/>
    <n v="25610"/>
  </r>
  <r>
    <s v="ORD08378"/>
    <d v="2025-10-22T00:00:00"/>
    <x v="4"/>
    <x v="50"/>
    <x v="1"/>
    <s v="Canada"/>
    <x v="19"/>
    <x v="4"/>
    <n v="19916"/>
    <n v="20097"/>
  </r>
  <r>
    <s v="ORD08379"/>
    <d v="2025-01-06T00:00:00"/>
    <x v="1"/>
    <x v="6"/>
    <x v="5"/>
    <s v="Russia"/>
    <x v="35"/>
    <x v="6"/>
    <n v="26568"/>
    <n v="34229"/>
  </r>
  <r>
    <s v="ORD08380"/>
    <d v="2025-10-28T00:00:00"/>
    <x v="4"/>
    <x v="2"/>
    <x v="2"/>
    <s v="Mexico"/>
    <x v="34"/>
    <x v="0"/>
    <n v="21084"/>
    <n v="20392"/>
  </r>
  <r>
    <s v="ORD08381"/>
    <d v="2025-10-22T00:00:00"/>
    <x v="4"/>
    <x v="50"/>
    <x v="0"/>
    <s v="Australia"/>
    <x v="0"/>
    <x v="16"/>
    <n v="31266"/>
    <n v="34838"/>
  </r>
  <r>
    <s v="ORD08382"/>
    <d v="2025-11-24T00:00:00"/>
    <x v="2"/>
    <x v="11"/>
    <x v="3"/>
    <s v="South Africa"/>
    <x v="29"/>
    <x v="3"/>
    <n v="20277"/>
    <n v="17206"/>
  </r>
  <r>
    <s v="ORD08383"/>
    <d v="2025-02-16T00:00:00"/>
    <x v="6"/>
    <x v="29"/>
    <x v="6"/>
    <s v="France"/>
    <x v="24"/>
    <x v="27"/>
    <n v="17432"/>
    <n v="19652"/>
  </r>
  <r>
    <s v="ORD08384"/>
    <d v="2025-08-14T00:00:00"/>
    <x v="11"/>
    <x v="30"/>
    <x v="1"/>
    <s v="UAE"/>
    <x v="29"/>
    <x v="18"/>
    <n v="28780"/>
    <n v="23309"/>
  </r>
  <r>
    <s v="ORD08385"/>
    <d v="2025-12-04T00:00:00"/>
    <x v="10"/>
    <x v="43"/>
    <x v="2"/>
    <s v="China"/>
    <x v="24"/>
    <x v="5"/>
    <n v="38612"/>
    <n v="36974"/>
  </r>
  <r>
    <s v="ORD08386"/>
    <d v="2025-01-04T00:00:00"/>
    <x v="1"/>
    <x v="5"/>
    <x v="3"/>
    <s v="Mexico"/>
    <x v="25"/>
    <x v="25"/>
    <n v="20431"/>
    <n v="24942"/>
  </r>
  <r>
    <s v="ORD08387"/>
    <d v="2025-11-01T00:00:00"/>
    <x v="2"/>
    <x v="2"/>
    <x v="5"/>
    <s v="Canada"/>
    <x v="46"/>
    <x v="27"/>
    <n v="35145"/>
    <n v="30498"/>
  </r>
  <r>
    <s v="ORD08388"/>
    <d v="2025-12-31T00:00:00"/>
    <x v="10"/>
    <x v="5"/>
    <x v="1"/>
    <s v="Mexico"/>
    <x v="0"/>
    <x v="15"/>
    <n v="34119"/>
    <n v="29321"/>
  </r>
  <r>
    <s v="ORD08389"/>
    <d v="2025-01-26T00:00:00"/>
    <x v="1"/>
    <x v="7"/>
    <x v="5"/>
    <s v="Brazil"/>
    <x v="43"/>
    <x v="14"/>
    <n v="31261"/>
    <n v="28348"/>
  </r>
  <r>
    <s v="ORD08390"/>
    <d v="2025-06-19T00:00:00"/>
    <x v="5"/>
    <x v="13"/>
    <x v="0"/>
    <s v="South Africa"/>
    <x v="16"/>
    <x v="29"/>
    <n v="25107"/>
    <n v="26341"/>
  </r>
  <r>
    <s v="ORD08391"/>
    <d v="2025-04-10T00:00:00"/>
    <x v="7"/>
    <x v="16"/>
    <x v="5"/>
    <s v="Canada"/>
    <x v="19"/>
    <x v="4"/>
    <n v="30123"/>
    <n v="26976"/>
  </r>
  <r>
    <s v="ORD08392"/>
    <d v="2025-06-14T00:00:00"/>
    <x v="5"/>
    <x v="40"/>
    <x v="5"/>
    <s v="India"/>
    <x v="11"/>
    <x v="14"/>
    <n v="27075"/>
    <n v="34944"/>
  </r>
  <r>
    <s v="ORD08393"/>
    <d v="2025-10-24T00:00:00"/>
    <x v="4"/>
    <x v="50"/>
    <x v="4"/>
    <s v="Australia"/>
    <x v="8"/>
    <x v="25"/>
    <n v="35775"/>
    <n v="40306"/>
  </r>
  <r>
    <s v="ORD08394"/>
    <d v="2025-01-24T00:00:00"/>
    <x v="1"/>
    <x v="7"/>
    <x v="4"/>
    <s v="Japan"/>
    <x v="17"/>
    <x v="19"/>
    <n v="39780"/>
    <n v="29300"/>
  </r>
  <r>
    <s v="ORD08395"/>
    <d v="2025-11-22T00:00:00"/>
    <x v="2"/>
    <x v="9"/>
    <x v="2"/>
    <s v="Thailand"/>
    <x v="4"/>
    <x v="11"/>
    <n v="28581"/>
    <n v="32853"/>
  </r>
  <r>
    <s v="ORD08396"/>
    <d v="2025-01-05T00:00:00"/>
    <x v="1"/>
    <x v="5"/>
    <x v="2"/>
    <s v="Canada"/>
    <x v="11"/>
    <x v="5"/>
    <n v="19561"/>
    <n v="16643"/>
  </r>
  <r>
    <s v="ORD08397"/>
    <d v="2025-11-06T00:00:00"/>
    <x v="2"/>
    <x v="51"/>
    <x v="2"/>
    <s v="Germany"/>
    <x v="17"/>
    <x v="18"/>
    <n v="21838"/>
    <n v="21269"/>
  </r>
  <r>
    <s v="ORD08398"/>
    <d v="2025-08-15T00:00:00"/>
    <x v="11"/>
    <x v="30"/>
    <x v="5"/>
    <s v="Canada"/>
    <x v="10"/>
    <x v="2"/>
    <n v="28009"/>
    <n v="32665"/>
  </r>
  <r>
    <s v="ORD08399"/>
    <d v="2025-05-05T00:00:00"/>
    <x v="8"/>
    <x v="18"/>
    <x v="5"/>
    <s v="UAE"/>
    <x v="8"/>
    <x v="13"/>
    <n v="36443"/>
    <n v="32420"/>
  </r>
  <r>
    <s v="ORD08400"/>
    <d v="2025-06-13T00:00:00"/>
    <x v="5"/>
    <x v="40"/>
    <x v="5"/>
    <s v="Germany"/>
    <x v="26"/>
    <x v="21"/>
    <n v="37146"/>
    <n v="27483"/>
  </r>
  <r>
    <s v="ORD08401"/>
    <d v="2025-04-21T00:00:00"/>
    <x v="7"/>
    <x v="38"/>
    <x v="1"/>
    <s v="Spain"/>
    <x v="14"/>
    <x v="17"/>
    <n v="27446"/>
    <n v="21134"/>
  </r>
  <r>
    <s v="ORD08402"/>
    <d v="2025-10-31T00:00:00"/>
    <x v="4"/>
    <x v="2"/>
    <x v="0"/>
    <s v="USA"/>
    <x v="0"/>
    <x v="17"/>
    <n v="20792"/>
    <n v="22796"/>
  </r>
  <r>
    <s v="ORD08403"/>
    <d v="2025-05-06T00:00:00"/>
    <x v="8"/>
    <x v="18"/>
    <x v="2"/>
    <s v="UAE"/>
    <x v="0"/>
    <x v="27"/>
    <n v="28580"/>
    <n v="33376"/>
  </r>
  <r>
    <s v="ORD08404"/>
    <d v="2025-03-17T00:00:00"/>
    <x v="9"/>
    <x v="39"/>
    <x v="5"/>
    <s v="Italy"/>
    <x v="42"/>
    <x v="24"/>
    <n v="23177"/>
    <n v="30071"/>
  </r>
  <r>
    <s v="ORD08405"/>
    <d v="2025-04-04T00:00:00"/>
    <x v="7"/>
    <x v="34"/>
    <x v="5"/>
    <s v="China"/>
    <x v="37"/>
    <x v="23"/>
    <n v="33563"/>
    <n v="38352"/>
  </r>
  <r>
    <s v="ORD08406"/>
    <d v="2025-04-15T00:00:00"/>
    <x v="7"/>
    <x v="20"/>
    <x v="0"/>
    <s v="India"/>
    <x v="9"/>
    <x v="26"/>
    <n v="25499"/>
    <n v="26581"/>
  </r>
  <r>
    <s v="ORD08407"/>
    <d v="2025-02-18T00:00:00"/>
    <x v="6"/>
    <x v="15"/>
    <x v="1"/>
    <s v="Italy"/>
    <x v="45"/>
    <x v="14"/>
    <n v="24930"/>
    <n v="27877"/>
  </r>
  <r>
    <s v="ORD08408"/>
    <d v="2025-12-28T00:00:00"/>
    <x v="10"/>
    <x v="42"/>
    <x v="2"/>
    <s v="Australia"/>
    <x v="43"/>
    <x v="25"/>
    <n v="23909"/>
    <n v="27616"/>
  </r>
  <r>
    <s v="ORD08409"/>
    <d v="2025-11-11T00:00:00"/>
    <x v="2"/>
    <x v="44"/>
    <x v="3"/>
    <s v="UAE"/>
    <x v="21"/>
    <x v="21"/>
    <n v="24579"/>
    <n v="22646"/>
  </r>
  <r>
    <s v="ORD08410"/>
    <d v="2025-09-13T00:00:00"/>
    <x v="3"/>
    <x v="31"/>
    <x v="3"/>
    <s v="Malaysia"/>
    <x v="46"/>
    <x v="5"/>
    <n v="28591"/>
    <n v="27119"/>
  </r>
  <r>
    <s v="ORD08411"/>
    <d v="2025-02-03T00:00:00"/>
    <x v="6"/>
    <x v="48"/>
    <x v="5"/>
    <s v="France"/>
    <x v="25"/>
    <x v="12"/>
    <n v="17557"/>
    <n v="16194"/>
  </r>
  <r>
    <s v="ORD08412"/>
    <d v="2025-03-14T00:00:00"/>
    <x v="9"/>
    <x v="19"/>
    <x v="3"/>
    <s v="USA"/>
    <x v="6"/>
    <x v="1"/>
    <n v="22187"/>
    <n v="17336"/>
  </r>
  <r>
    <s v="ORD08413"/>
    <d v="2025-11-21T00:00:00"/>
    <x v="2"/>
    <x v="9"/>
    <x v="0"/>
    <s v="USA"/>
    <x v="21"/>
    <x v="8"/>
    <n v="36838"/>
    <n v="26152"/>
  </r>
  <r>
    <s v="ORD08414"/>
    <d v="2025-09-29T00:00:00"/>
    <x v="3"/>
    <x v="49"/>
    <x v="3"/>
    <s v="South Africa"/>
    <x v="4"/>
    <x v="2"/>
    <n v="26430"/>
    <n v="23626"/>
  </r>
  <r>
    <s v="ORD08415"/>
    <d v="2025-09-26T00:00:00"/>
    <x v="3"/>
    <x v="25"/>
    <x v="1"/>
    <s v="Russia"/>
    <x v="7"/>
    <x v="29"/>
    <n v="21035"/>
    <n v="19707"/>
  </r>
  <r>
    <s v="ORD08416"/>
    <d v="2025-03-07T00:00:00"/>
    <x v="9"/>
    <x v="35"/>
    <x v="0"/>
    <s v="France"/>
    <x v="15"/>
    <x v="17"/>
    <n v="27898"/>
    <n v="25036"/>
  </r>
  <r>
    <s v="ORD08417"/>
    <d v="2025-09-03T00:00:00"/>
    <x v="3"/>
    <x v="4"/>
    <x v="6"/>
    <s v="Brazil"/>
    <x v="4"/>
    <x v="1"/>
    <n v="39192"/>
    <n v="39777"/>
  </r>
  <r>
    <s v="ORD08418"/>
    <d v="2025-07-13T00:00:00"/>
    <x v="0"/>
    <x v="47"/>
    <x v="3"/>
    <s v="Italy"/>
    <x v="22"/>
    <x v="25"/>
    <n v="32283"/>
    <n v="33077"/>
  </r>
  <r>
    <s v="ORD08419"/>
    <d v="2025-03-14T00:00:00"/>
    <x v="9"/>
    <x v="19"/>
    <x v="2"/>
    <s v="Mexico"/>
    <x v="38"/>
    <x v="12"/>
    <n v="30174"/>
    <n v="30364"/>
  </r>
  <r>
    <s v="ORD08420"/>
    <d v="2025-09-07T00:00:00"/>
    <x v="3"/>
    <x v="4"/>
    <x v="0"/>
    <s v="Japan"/>
    <x v="45"/>
    <x v="25"/>
    <n v="33486"/>
    <n v="28367"/>
  </r>
  <r>
    <s v="ORD08421"/>
    <d v="2025-05-20T00:00:00"/>
    <x v="8"/>
    <x v="26"/>
    <x v="1"/>
    <s v="France"/>
    <x v="41"/>
    <x v="19"/>
    <n v="18098"/>
    <n v="21601"/>
  </r>
  <r>
    <s v="ORD08422"/>
    <d v="2025-02-11T00:00:00"/>
    <x v="6"/>
    <x v="29"/>
    <x v="4"/>
    <s v="Italy"/>
    <x v="34"/>
    <x v="0"/>
    <n v="32423"/>
    <n v="27681"/>
  </r>
  <r>
    <s v="ORD08423"/>
    <d v="2025-01-29T00:00:00"/>
    <x v="1"/>
    <x v="3"/>
    <x v="5"/>
    <s v="China"/>
    <x v="37"/>
    <x v="19"/>
    <n v="26993"/>
    <n v="23565"/>
  </r>
  <r>
    <s v="ORD08424"/>
    <d v="2025-09-23T00:00:00"/>
    <x v="3"/>
    <x v="25"/>
    <x v="1"/>
    <s v="Thailand"/>
    <x v="27"/>
    <x v="12"/>
    <n v="36812"/>
    <n v="29809"/>
  </r>
  <r>
    <s v="ORD08425"/>
    <d v="2025-09-28T00:00:00"/>
    <x v="3"/>
    <x v="25"/>
    <x v="5"/>
    <s v="Malaysia"/>
    <x v="11"/>
    <x v="29"/>
    <n v="16918"/>
    <n v="12964"/>
  </r>
  <r>
    <s v="ORD08426"/>
    <d v="2025-11-11T00:00:00"/>
    <x v="2"/>
    <x v="44"/>
    <x v="6"/>
    <s v="USA"/>
    <x v="19"/>
    <x v="4"/>
    <n v="36109"/>
    <n v="25929"/>
  </r>
  <r>
    <s v="ORD08427"/>
    <d v="2025-10-26T00:00:00"/>
    <x v="4"/>
    <x v="50"/>
    <x v="2"/>
    <s v="UAE"/>
    <x v="37"/>
    <x v="1"/>
    <n v="18633"/>
    <n v="17783"/>
  </r>
  <r>
    <s v="ORD08428"/>
    <d v="2025-01-01T00:00:00"/>
    <x v="1"/>
    <x v="5"/>
    <x v="0"/>
    <s v="Singapore"/>
    <x v="46"/>
    <x v="1"/>
    <n v="36751"/>
    <n v="39022"/>
  </r>
  <r>
    <s v="ORD08429"/>
    <d v="2025-11-03T00:00:00"/>
    <x v="2"/>
    <x v="51"/>
    <x v="1"/>
    <s v="Italy"/>
    <x v="22"/>
    <x v="22"/>
    <n v="30908"/>
    <n v="33535"/>
  </r>
  <r>
    <s v="ORD08430"/>
    <d v="2025-12-17T00:00:00"/>
    <x v="10"/>
    <x v="21"/>
    <x v="6"/>
    <s v="UAE"/>
    <x v="26"/>
    <x v="1"/>
    <n v="34435"/>
    <n v="29818"/>
  </r>
  <r>
    <s v="ORD08431"/>
    <d v="2025-04-14T00:00:00"/>
    <x v="7"/>
    <x v="20"/>
    <x v="5"/>
    <s v="China"/>
    <x v="4"/>
    <x v="15"/>
    <n v="39653"/>
    <n v="35094"/>
  </r>
  <r>
    <s v="ORD08432"/>
    <d v="2025-05-23T00:00:00"/>
    <x v="8"/>
    <x v="26"/>
    <x v="6"/>
    <s v="Brazil"/>
    <x v="31"/>
    <x v="6"/>
    <n v="16159"/>
    <n v="18946"/>
  </r>
  <r>
    <s v="ORD08433"/>
    <d v="2025-12-27T00:00:00"/>
    <x v="10"/>
    <x v="42"/>
    <x v="3"/>
    <s v="Japan"/>
    <x v="36"/>
    <x v="13"/>
    <n v="23232"/>
    <n v="29425"/>
  </r>
  <r>
    <s v="ORD08434"/>
    <d v="2025-12-25T00:00:00"/>
    <x v="10"/>
    <x v="42"/>
    <x v="0"/>
    <s v="Australia"/>
    <x v="40"/>
    <x v="2"/>
    <n v="32974"/>
    <n v="38315"/>
  </r>
  <r>
    <s v="ORD08435"/>
    <d v="2025-10-02T00:00:00"/>
    <x v="4"/>
    <x v="49"/>
    <x v="0"/>
    <s v="Canada"/>
    <x v="41"/>
    <x v="15"/>
    <n v="27382"/>
    <n v="35168"/>
  </r>
  <r>
    <s v="ORD08436"/>
    <d v="2025-03-26T00:00:00"/>
    <x v="9"/>
    <x v="33"/>
    <x v="1"/>
    <s v="China"/>
    <x v="14"/>
    <x v="26"/>
    <n v="35639"/>
    <n v="38654"/>
  </r>
  <r>
    <s v="ORD08437"/>
    <d v="2025-11-23T00:00:00"/>
    <x v="2"/>
    <x v="9"/>
    <x v="3"/>
    <s v="UK"/>
    <x v="37"/>
    <x v="19"/>
    <n v="16259"/>
    <n v="15928"/>
  </r>
  <r>
    <s v="ORD08438"/>
    <d v="2025-02-19T00:00:00"/>
    <x v="6"/>
    <x v="15"/>
    <x v="4"/>
    <s v="UAE"/>
    <x v="39"/>
    <x v="15"/>
    <n v="28914"/>
    <n v="22394"/>
  </r>
  <r>
    <s v="ORD08439"/>
    <d v="2025-11-08T00:00:00"/>
    <x v="2"/>
    <x v="51"/>
    <x v="3"/>
    <s v="Turkey"/>
    <x v="28"/>
    <x v="27"/>
    <n v="37765"/>
    <n v="35035"/>
  </r>
  <r>
    <s v="ORD08440"/>
    <d v="2025-10-25T00:00:00"/>
    <x v="4"/>
    <x v="50"/>
    <x v="2"/>
    <s v="Brazil"/>
    <x v="19"/>
    <x v="29"/>
    <n v="33851"/>
    <n v="31561"/>
  </r>
  <r>
    <s v="ORD08441"/>
    <d v="2025-03-27T00:00:00"/>
    <x v="9"/>
    <x v="33"/>
    <x v="0"/>
    <s v="Russia"/>
    <x v="21"/>
    <x v="8"/>
    <n v="17093"/>
    <n v="14000"/>
  </r>
  <r>
    <s v="ORD08442"/>
    <d v="2025-08-08T00:00:00"/>
    <x v="11"/>
    <x v="23"/>
    <x v="1"/>
    <s v="Canada"/>
    <x v="27"/>
    <x v="4"/>
    <n v="20826"/>
    <n v="22338"/>
  </r>
  <r>
    <s v="ORD08443"/>
    <d v="2025-11-05T00:00:00"/>
    <x v="2"/>
    <x v="51"/>
    <x v="5"/>
    <s v="Mexico"/>
    <x v="16"/>
    <x v="9"/>
    <n v="18258"/>
    <n v="13646"/>
  </r>
  <r>
    <s v="ORD08444"/>
    <d v="2025-02-26T00:00:00"/>
    <x v="6"/>
    <x v="22"/>
    <x v="6"/>
    <s v="Malaysia"/>
    <x v="5"/>
    <x v="19"/>
    <n v="35139"/>
    <n v="32995"/>
  </r>
  <r>
    <s v="ORD08445"/>
    <d v="2025-09-07T00:00:00"/>
    <x v="3"/>
    <x v="4"/>
    <x v="2"/>
    <s v="India"/>
    <x v="23"/>
    <x v="17"/>
    <n v="33107"/>
    <n v="27336"/>
  </r>
  <r>
    <s v="ORD08446"/>
    <d v="2025-01-28T00:00:00"/>
    <x v="1"/>
    <x v="3"/>
    <x v="5"/>
    <s v="UAE"/>
    <x v="1"/>
    <x v="21"/>
    <n v="37121"/>
    <n v="36523"/>
  </r>
  <r>
    <s v="ORD08447"/>
    <d v="2025-03-25T00:00:00"/>
    <x v="9"/>
    <x v="33"/>
    <x v="0"/>
    <s v="Brazil"/>
    <x v="40"/>
    <x v="18"/>
    <n v="25696"/>
    <n v="29866"/>
  </r>
  <r>
    <s v="ORD08448"/>
    <d v="2025-09-06T00:00:00"/>
    <x v="3"/>
    <x v="4"/>
    <x v="3"/>
    <s v="Canada"/>
    <x v="33"/>
    <x v="4"/>
    <n v="25503"/>
    <n v="32746"/>
  </r>
  <r>
    <s v="ORD08449"/>
    <d v="2025-08-10T00:00:00"/>
    <x v="11"/>
    <x v="23"/>
    <x v="3"/>
    <s v="Mexico"/>
    <x v="20"/>
    <x v="12"/>
    <n v="32133"/>
    <n v="32739"/>
  </r>
  <r>
    <s v="ORD08450"/>
    <d v="2025-11-27T00:00:00"/>
    <x v="2"/>
    <x v="11"/>
    <x v="6"/>
    <s v="Italy"/>
    <x v="33"/>
    <x v="14"/>
    <n v="20339"/>
    <n v="21299"/>
  </r>
  <r>
    <s v="ORD08451"/>
    <d v="2025-09-04T00:00:00"/>
    <x v="3"/>
    <x v="4"/>
    <x v="6"/>
    <s v="China"/>
    <x v="44"/>
    <x v="8"/>
    <n v="32048"/>
    <n v="25805"/>
  </r>
  <r>
    <s v="ORD08452"/>
    <d v="2025-07-10T00:00:00"/>
    <x v="0"/>
    <x v="47"/>
    <x v="5"/>
    <s v="Turkey"/>
    <x v="31"/>
    <x v="17"/>
    <n v="24025"/>
    <n v="19392"/>
  </r>
  <r>
    <s v="ORD08453"/>
    <d v="2025-04-29T00:00:00"/>
    <x v="7"/>
    <x v="27"/>
    <x v="6"/>
    <s v="Spain"/>
    <x v="32"/>
    <x v="16"/>
    <n v="34624"/>
    <n v="25466"/>
  </r>
  <r>
    <s v="ORD08454"/>
    <d v="2025-05-25T00:00:00"/>
    <x v="8"/>
    <x v="26"/>
    <x v="4"/>
    <s v="China"/>
    <x v="18"/>
    <x v="10"/>
    <n v="33856"/>
    <n v="37635"/>
  </r>
  <r>
    <s v="ORD08455"/>
    <d v="2025-07-16T00:00:00"/>
    <x v="0"/>
    <x v="14"/>
    <x v="0"/>
    <s v="Mexico"/>
    <x v="3"/>
    <x v="3"/>
    <n v="39472"/>
    <n v="36925"/>
  </r>
  <r>
    <s v="ORD08456"/>
    <d v="2025-04-15T00:00:00"/>
    <x v="7"/>
    <x v="20"/>
    <x v="1"/>
    <s v="Russia"/>
    <x v="9"/>
    <x v="22"/>
    <n v="16852"/>
    <n v="14093"/>
  </r>
  <r>
    <s v="ORD08457"/>
    <d v="2025-08-01T00:00:00"/>
    <x v="11"/>
    <x v="12"/>
    <x v="2"/>
    <s v="Australia"/>
    <x v="13"/>
    <x v="24"/>
    <n v="20593"/>
    <n v="18577"/>
  </r>
  <r>
    <s v="ORD08458"/>
    <d v="2025-10-17T00:00:00"/>
    <x v="4"/>
    <x v="10"/>
    <x v="6"/>
    <s v="Brazil"/>
    <x v="14"/>
    <x v="25"/>
    <n v="15490"/>
    <n v="11975"/>
  </r>
  <r>
    <s v="ORD08459"/>
    <d v="2025-01-18T00:00:00"/>
    <x v="1"/>
    <x v="1"/>
    <x v="2"/>
    <s v="Canada"/>
    <x v="37"/>
    <x v="8"/>
    <n v="15147"/>
    <n v="10613"/>
  </r>
  <r>
    <s v="ORD08460"/>
    <d v="2025-11-06T00:00:00"/>
    <x v="2"/>
    <x v="51"/>
    <x v="4"/>
    <s v="Australia"/>
    <x v="2"/>
    <x v="10"/>
    <n v="31502"/>
    <n v="33510"/>
  </r>
  <r>
    <s v="ORD08461"/>
    <d v="2025-02-18T00:00:00"/>
    <x v="6"/>
    <x v="15"/>
    <x v="1"/>
    <s v="Thailand"/>
    <x v="30"/>
    <x v="10"/>
    <n v="28160"/>
    <n v="28088"/>
  </r>
  <r>
    <s v="ORD08462"/>
    <d v="2025-04-16T00:00:00"/>
    <x v="7"/>
    <x v="20"/>
    <x v="3"/>
    <s v="Canada"/>
    <x v="41"/>
    <x v="21"/>
    <n v="20158"/>
    <n v="20671"/>
  </r>
  <r>
    <s v="ORD08463"/>
    <d v="2025-06-03T00:00:00"/>
    <x v="5"/>
    <x v="41"/>
    <x v="0"/>
    <s v="Brazil"/>
    <x v="23"/>
    <x v="15"/>
    <n v="17176"/>
    <n v="17429"/>
  </r>
  <r>
    <s v="ORD08464"/>
    <d v="2025-01-27T00:00:00"/>
    <x v="1"/>
    <x v="3"/>
    <x v="0"/>
    <s v="Canada"/>
    <x v="43"/>
    <x v="6"/>
    <n v="35225"/>
    <n v="40218"/>
  </r>
  <r>
    <s v="ORD08465"/>
    <d v="2025-09-28T00:00:00"/>
    <x v="3"/>
    <x v="25"/>
    <x v="1"/>
    <s v="Turkey"/>
    <x v="17"/>
    <x v="17"/>
    <n v="20441"/>
    <n v="19520"/>
  </r>
  <r>
    <s v="ORD08466"/>
    <d v="2025-08-30T00:00:00"/>
    <x v="11"/>
    <x v="28"/>
    <x v="6"/>
    <s v="Italy"/>
    <x v="29"/>
    <x v="17"/>
    <n v="35998"/>
    <n v="41236"/>
  </r>
  <r>
    <s v="ORD08467"/>
    <d v="2025-05-03T00:00:00"/>
    <x v="8"/>
    <x v="27"/>
    <x v="3"/>
    <s v="Germany"/>
    <x v="28"/>
    <x v="7"/>
    <n v="33492"/>
    <n v="33226"/>
  </r>
  <r>
    <s v="ORD08468"/>
    <d v="2025-08-27T00:00:00"/>
    <x v="11"/>
    <x v="28"/>
    <x v="5"/>
    <s v="Japan"/>
    <x v="4"/>
    <x v="4"/>
    <n v="29937"/>
    <n v="28828"/>
  </r>
  <r>
    <s v="ORD08469"/>
    <d v="2025-09-30T00:00:00"/>
    <x v="3"/>
    <x v="49"/>
    <x v="4"/>
    <s v="Singapore"/>
    <x v="12"/>
    <x v="10"/>
    <n v="17201"/>
    <n v="21779"/>
  </r>
  <r>
    <s v="ORD08470"/>
    <d v="2025-05-26T00:00:00"/>
    <x v="8"/>
    <x v="24"/>
    <x v="6"/>
    <s v="Spain"/>
    <x v="0"/>
    <x v="16"/>
    <n v="30750"/>
    <n v="23181"/>
  </r>
  <r>
    <s v="ORD08471"/>
    <d v="2025-09-09T00:00:00"/>
    <x v="3"/>
    <x v="31"/>
    <x v="1"/>
    <s v="Turkey"/>
    <x v="30"/>
    <x v="14"/>
    <n v="29962"/>
    <n v="26815"/>
  </r>
  <r>
    <s v="ORD08472"/>
    <d v="2025-03-31T00:00:00"/>
    <x v="9"/>
    <x v="34"/>
    <x v="2"/>
    <s v="USA"/>
    <x v="11"/>
    <x v="11"/>
    <n v="18249"/>
    <n v="22817"/>
  </r>
  <r>
    <s v="ORD08473"/>
    <d v="2025-07-27T00:00:00"/>
    <x v="0"/>
    <x v="0"/>
    <x v="2"/>
    <s v="Thailand"/>
    <x v="48"/>
    <x v="28"/>
    <n v="22877"/>
    <n v="24088"/>
  </r>
  <r>
    <s v="ORD08474"/>
    <d v="2025-03-15T00:00:00"/>
    <x v="9"/>
    <x v="19"/>
    <x v="2"/>
    <s v="Turkey"/>
    <x v="16"/>
    <x v="27"/>
    <n v="31335"/>
    <n v="26329"/>
  </r>
  <r>
    <s v="ORD08475"/>
    <d v="2025-02-05T00:00:00"/>
    <x v="6"/>
    <x v="48"/>
    <x v="3"/>
    <s v="Singapore"/>
    <x v="14"/>
    <x v="27"/>
    <n v="28961"/>
    <n v="24722"/>
  </r>
  <r>
    <s v="ORD08476"/>
    <d v="2025-12-04T00:00:00"/>
    <x v="10"/>
    <x v="43"/>
    <x v="1"/>
    <s v="Malaysia"/>
    <x v="32"/>
    <x v="27"/>
    <n v="16777"/>
    <n v="17633"/>
  </r>
  <r>
    <s v="ORD08477"/>
    <d v="2025-03-03T00:00:00"/>
    <x v="9"/>
    <x v="35"/>
    <x v="5"/>
    <s v="Germany"/>
    <x v="12"/>
    <x v="4"/>
    <n v="16654"/>
    <n v="20891"/>
  </r>
  <r>
    <s v="ORD08478"/>
    <d v="2025-06-25T00:00:00"/>
    <x v="5"/>
    <x v="36"/>
    <x v="4"/>
    <s v="Spain"/>
    <x v="17"/>
    <x v="15"/>
    <n v="35290"/>
    <n v="25447"/>
  </r>
  <r>
    <s v="ORD08479"/>
    <d v="2025-11-20T00:00:00"/>
    <x v="2"/>
    <x v="9"/>
    <x v="0"/>
    <s v="France"/>
    <x v="24"/>
    <x v="4"/>
    <n v="28568"/>
    <n v="26472"/>
  </r>
  <r>
    <s v="ORD08480"/>
    <d v="2025-04-03T00:00:00"/>
    <x v="7"/>
    <x v="34"/>
    <x v="0"/>
    <s v="Malaysia"/>
    <x v="20"/>
    <x v="2"/>
    <n v="18803"/>
    <n v="22334"/>
  </r>
  <r>
    <s v="ORD08481"/>
    <d v="2025-11-15T00:00:00"/>
    <x v="2"/>
    <x v="44"/>
    <x v="6"/>
    <s v="Mexico"/>
    <x v="25"/>
    <x v="26"/>
    <n v="23905"/>
    <n v="26558"/>
  </r>
  <r>
    <s v="ORD08482"/>
    <d v="2025-04-16T00:00:00"/>
    <x v="7"/>
    <x v="20"/>
    <x v="3"/>
    <s v="UK"/>
    <x v="26"/>
    <x v="29"/>
    <n v="17582"/>
    <n v="15220"/>
  </r>
  <r>
    <s v="ORD08483"/>
    <d v="2025-10-05T00:00:00"/>
    <x v="4"/>
    <x v="49"/>
    <x v="1"/>
    <s v="China"/>
    <x v="49"/>
    <x v="0"/>
    <n v="39679"/>
    <n v="27927"/>
  </r>
  <r>
    <s v="ORD08484"/>
    <d v="2025-06-19T00:00:00"/>
    <x v="5"/>
    <x v="13"/>
    <x v="2"/>
    <s v="Thailand"/>
    <x v="36"/>
    <x v="25"/>
    <n v="35827"/>
    <n v="42819"/>
  </r>
  <r>
    <s v="ORD08485"/>
    <d v="2025-02-24T00:00:00"/>
    <x v="6"/>
    <x v="22"/>
    <x v="6"/>
    <s v="Australia"/>
    <x v="44"/>
    <x v="3"/>
    <n v="26779"/>
    <n v="24699"/>
  </r>
  <r>
    <s v="ORD08486"/>
    <d v="2025-11-30T00:00:00"/>
    <x v="2"/>
    <x v="11"/>
    <x v="0"/>
    <s v="UK"/>
    <x v="20"/>
    <x v="12"/>
    <n v="28421"/>
    <n v="33230"/>
  </r>
  <r>
    <s v="ORD08487"/>
    <d v="2025-05-01T00:00:00"/>
    <x v="8"/>
    <x v="27"/>
    <x v="2"/>
    <s v="UAE"/>
    <x v="29"/>
    <x v="13"/>
    <n v="19386"/>
    <n v="23615"/>
  </r>
  <r>
    <s v="ORD08488"/>
    <d v="2025-08-07T00:00:00"/>
    <x v="11"/>
    <x v="23"/>
    <x v="2"/>
    <s v="Australia"/>
    <x v="8"/>
    <x v="7"/>
    <n v="18193"/>
    <n v="23313"/>
  </r>
  <r>
    <s v="ORD08489"/>
    <d v="2025-12-24T00:00:00"/>
    <x v="10"/>
    <x v="42"/>
    <x v="1"/>
    <s v="Japan"/>
    <x v="7"/>
    <x v="26"/>
    <n v="18684"/>
    <n v="17022"/>
  </r>
  <r>
    <s v="ORD08490"/>
    <d v="2025-08-14T00:00:00"/>
    <x v="11"/>
    <x v="30"/>
    <x v="1"/>
    <s v="Italy"/>
    <x v="49"/>
    <x v="20"/>
    <n v="28795"/>
    <n v="28056"/>
  </r>
  <r>
    <s v="ORD08491"/>
    <d v="2025-01-28T00:00:00"/>
    <x v="1"/>
    <x v="3"/>
    <x v="3"/>
    <s v="Singapore"/>
    <x v="36"/>
    <x v="10"/>
    <n v="22861"/>
    <n v="18864"/>
  </r>
  <r>
    <s v="ORD08492"/>
    <d v="2025-01-03T00:00:00"/>
    <x v="1"/>
    <x v="5"/>
    <x v="2"/>
    <s v="Spain"/>
    <x v="29"/>
    <x v="9"/>
    <n v="22308"/>
    <n v="28473"/>
  </r>
  <r>
    <s v="ORD08493"/>
    <d v="2025-05-24T00:00:00"/>
    <x v="8"/>
    <x v="26"/>
    <x v="4"/>
    <s v="Turkey"/>
    <x v="1"/>
    <x v="3"/>
    <n v="20452"/>
    <n v="26505"/>
  </r>
  <r>
    <s v="ORD08494"/>
    <d v="2025-11-18T00:00:00"/>
    <x v="2"/>
    <x v="9"/>
    <x v="3"/>
    <s v="Germany"/>
    <x v="4"/>
    <x v="9"/>
    <n v="36950"/>
    <n v="31182"/>
  </r>
  <r>
    <s v="ORD08495"/>
    <d v="2025-11-16T00:00:00"/>
    <x v="2"/>
    <x v="44"/>
    <x v="2"/>
    <s v="Mexico"/>
    <x v="48"/>
    <x v="0"/>
    <n v="17478"/>
    <n v="14205"/>
  </r>
  <r>
    <s v="ORD08496"/>
    <d v="2025-03-01T00:00:00"/>
    <x v="9"/>
    <x v="22"/>
    <x v="1"/>
    <s v="France"/>
    <x v="3"/>
    <x v="11"/>
    <n v="25259"/>
    <n v="32832"/>
  </r>
  <r>
    <s v="ORD08497"/>
    <d v="2025-01-01T00:00:00"/>
    <x v="1"/>
    <x v="5"/>
    <x v="5"/>
    <s v="Turkey"/>
    <x v="1"/>
    <x v="27"/>
    <n v="21961"/>
    <n v="18769"/>
  </r>
  <r>
    <s v="ORD08498"/>
    <d v="2025-04-15T00:00:00"/>
    <x v="7"/>
    <x v="20"/>
    <x v="2"/>
    <s v="UAE"/>
    <x v="35"/>
    <x v="15"/>
    <n v="39530"/>
    <n v="29433"/>
  </r>
  <r>
    <s v="ORD08499"/>
    <d v="2025-07-22T00:00:00"/>
    <x v="0"/>
    <x v="0"/>
    <x v="6"/>
    <s v="Germany"/>
    <x v="6"/>
    <x v="26"/>
    <n v="18260"/>
    <n v="21245"/>
  </r>
  <r>
    <s v="ORD08500"/>
    <d v="2025-02-09T00:00:00"/>
    <x v="6"/>
    <x v="48"/>
    <x v="4"/>
    <s v="Singapore"/>
    <x v="40"/>
    <x v="6"/>
    <n v="18614"/>
    <n v="14390"/>
  </r>
  <r>
    <s v="ORD08501"/>
    <d v="2025-12-31T00:00:00"/>
    <x v="10"/>
    <x v="5"/>
    <x v="3"/>
    <s v="Mexico"/>
    <x v="24"/>
    <x v="8"/>
    <n v="27219"/>
    <n v="31576"/>
  </r>
  <r>
    <s v="ORD08502"/>
    <d v="2025-03-02T00:00:00"/>
    <x v="9"/>
    <x v="22"/>
    <x v="6"/>
    <s v="Singapore"/>
    <x v="3"/>
    <x v="13"/>
    <n v="39958"/>
    <n v="29513"/>
  </r>
  <r>
    <s v="ORD08503"/>
    <d v="2025-07-01T00:00:00"/>
    <x v="0"/>
    <x v="37"/>
    <x v="2"/>
    <s v="Italy"/>
    <x v="24"/>
    <x v="28"/>
    <n v="27153"/>
    <n v="21996"/>
  </r>
  <r>
    <s v="ORD08504"/>
    <d v="2025-02-25T00:00:00"/>
    <x v="6"/>
    <x v="22"/>
    <x v="5"/>
    <s v="UAE"/>
    <x v="4"/>
    <x v="16"/>
    <n v="16316"/>
    <n v="16573"/>
  </r>
  <r>
    <s v="ORD08505"/>
    <d v="2025-10-04T00:00:00"/>
    <x v="4"/>
    <x v="49"/>
    <x v="4"/>
    <s v="Thailand"/>
    <x v="10"/>
    <x v="19"/>
    <n v="18709"/>
    <n v="18981"/>
  </r>
  <r>
    <s v="ORD08506"/>
    <d v="2025-03-14T00:00:00"/>
    <x v="9"/>
    <x v="19"/>
    <x v="3"/>
    <s v="Malaysia"/>
    <x v="10"/>
    <x v="0"/>
    <n v="29871"/>
    <n v="35601"/>
  </r>
  <r>
    <s v="ORD08507"/>
    <d v="2025-08-12T00:00:00"/>
    <x v="11"/>
    <x v="30"/>
    <x v="2"/>
    <s v="Thailand"/>
    <x v="16"/>
    <x v="1"/>
    <n v="15630"/>
    <n v="17540"/>
  </r>
  <r>
    <s v="ORD08508"/>
    <d v="2025-08-22T00:00:00"/>
    <x v="11"/>
    <x v="46"/>
    <x v="0"/>
    <s v="India"/>
    <x v="48"/>
    <x v="26"/>
    <n v="15915"/>
    <n v="13202"/>
  </r>
  <r>
    <s v="ORD08509"/>
    <d v="2025-05-21T00:00:00"/>
    <x v="8"/>
    <x v="26"/>
    <x v="3"/>
    <s v="Mexico"/>
    <x v="48"/>
    <x v="8"/>
    <n v="22939"/>
    <n v="25538"/>
  </r>
  <r>
    <s v="ORD08510"/>
    <d v="2025-07-01T00:00:00"/>
    <x v="0"/>
    <x v="37"/>
    <x v="0"/>
    <s v="Russia"/>
    <x v="20"/>
    <x v="23"/>
    <n v="31930"/>
    <n v="41417"/>
  </r>
  <r>
    <s v="ORD08511"/>
    <d v="2025-12-17T00:00:00"/>
    <x v="10"/>
    <x v="21"/>
    <x v="2"/>
    <s v="UAE"/>
    <x v="15"/>
    <x v="19"/>
    <n v="34641"/>
    <n v="26661"/>
  </r>
  <r>
    <s v="ORD08512"/>
    <d v="2025-03-18T00:00:00"/>
    <x v="9"/>
    <x v="39"/>
    <x v="6"/>
    <s v="Germany"/>
    <x v="40"/>
    <x v="25"/>
    <n v="32092"/>
    <n v="36544"/>
  </r>
  <r>
    <s v="ORD08513"/>
    <d v="2025-02-05T00:00:00"/>
    <x v="6"/>
    <x v="48"/>
    <x v="5"/>
    <s v="UAE"/>
    <x v="46"/>
    <x v="26"/>
    <n v="36499"/>
    <n v="30094"/>
  </r>
  <r>
    <s v="ORD08514"/>
    <d v="2025-06-22T00:00:00"/>
    <x v="5"/>
    <x v="13"/>
    <x v="3"/>
    <s v="Brazil"/>
    <x v="39"/>
    <x v="14"/>
    <n v="38983"/>
    <n v="47958"/>
  </r>
  <r>
    <s v="ORD08515"/>
    <d v="2025-01-01T00:00:00"/>
    <x v="1"/>
    <x v="5"/>
    <x v="4"/>
    <s v="Russia"/>
    <x v="19"/>
    <x v="18"/>
    <n v="35795"/>
    <n v="43175"/>
  </r>
  <r>
    <s v="ORD08516"/>
    <d v="2025-10-21T00:00:00"/>
    <x v="4"/>
    <x v="50"/>
    <x v="2"/>
    <s v="Australia"/>
    <x v="24"/>
    <x v="15"/>
    <n v="30712"/>
    <n v="24284"/>
  </r>
  <r>
    <s v="ORD08517"/>
    <d v="2025-05-09T00:00:00"/>
    <x v="8"/>
    <x v="18"/>
    <x v="5"/>
    <s v="UK"/>
    <x v="15"/>
    <x v="28"/>
    <n v="36088"/>
    <n v="32123"/>
  </r>
  <r>
    <s v="ORD08518"/>
    <d v="2025-08-05T00:00:00"/>
    <x v="11"/>
    <x v="23"/>
    <x v="1"/>
    <s v="South Africa"/>
    <x v="36"/>
    <x v="18"/>
    <n v="38165"/>
    <n v="38136"/>
  </r>
  <r>
    <s v="ORD08519"/>
    <d v="2025-12-30T00:00:00"/>
    <x v="10"/>
    <x v="5"/>
    <x v="0"/>
    <s v="Italy"/>
    <x v="18"/>
    <x v="27"/>
    <n v="32062"/>
    <n v="24608"/>
  </r>
  <r>
    <s v="ORD08520"/>
    <d v="2025-09-23T00:00:00"/>
    <x v="3"/>
    <x v="25"/>
    <x v="5"/>
    <s v="India"/>
    <x v="27"/>
    <x v="13"/>
    <n v="16980"/>
    <n v="18496"/>
  </r>
  <r>
    <s v="ORD08521"/>
    <d v="2025-05-03T00:00:00"/>
    <x v="8"/>
    <x v="27"/>
    <x v="1"/>
    <s v="UK"/>
    <x v="35"/>
    <x v="7"/>
    <n v="15319"/>
    <n v="13482"/>
  </r>
  <r>
    <s v="ORD08522"/>
    <d v="2025-12-23T00:00:00"/>
    <x v="10"/>
    <x v="42"/>
    <x v="3"/>
    <s v="Canada"/>
    <x v="20"/>
    <x v="0"/>
    <n v="16969"/>
    <n v="19948"/>
  </r>
  <r>
    <s v="ORD08523"/>
    <d v="2025-11-16T00:00:00"/>
    <x v="2"/>
    <x v="44"/>
    <x v="2"/>
    <s v="Japan"/>
    <x v="40"/>
    <x v="8"/>
    <n v="17160"/>
    <n v="21032"/>
  </r>
  <r>
    <s v="ORD08524"/>
    <d v="2025-02-27T00:00:00"/>
    <x v="6"/>
    <x v="22"/>
    <x v="6"/>
    <s v="Spain"/>
    <x v="5"/>
    <x v="9"/>
    <n v="27406"/>
    <n v="32386"/>
  </r>
  <r>
    <s v="ORD08525"/>
    <d v="2025-04-10T00:00:00"/>
    <x v="7"/>
    <x v="16"/>
    <x v="4"/>
    <s v="India"/>
    <x v="12"/>
    <x v="15"/>
    <n v="15338"/>
    <n v="15235"/>
  </r>
  <r>
    <s v="ORD08526"/>
    <d v="2025-02-20T00:00:00"/>
    <x v="6"/>
    <x v="15"/>
    <x v="1"/>
    <s v="Australia"/>
    <x v="30"/>
    <x v="25"/>
    <n v="29746"/>
    <n v="27084"/>
  </r>
  <r>
    <s v="ORD08527"/>
    <d v="2025-02-11T00:00:00"/>
    <x v="6"/>
    <x v="29"/>
    <x v="1"/>
    <s v="Canada"/>
    <x v="14"/>
    <x v="19"/>
    <n v="21285"/>
    <n v="24306"/>
  </r>
  <r>
    <s v="ORD08528"/>
    <d v="2025-11-18T00:00:00"/>
    <x v="2"/>
    <x v="9"/>
    <x v="2"/>
    <s v="Germany"/>
    <x v="11"/>
    <x v="18"/>
    <n v="23533"/>
    <n v="23634"/>
  </r>
  <r>
    <s v="ORD08529"/>
    <d v="2025-09-22T00:00:00"/>
    <x v="3"/>
    <x v="25"/>
    <x v="6"/>
    <s v="Malaysia"/>
    <x v="16"/>
    <x v="10"/>
    <n v="36723"/>
    <n v="30333"/>
  </r>
  <r>
    <s v="ORD08530"/>
    <d v="2025-12-25T00:00:00"/>
    <x v="10"/>
    <x v="42"/>
    <x v="0"/>
    <s v="Spain"/>
    <x v="39"/>
    <x v="4"/>
    <n v="29789"/>
    <n v="29410"/>
  </r>
  <r>
    <s v="ORD08531"/>
    <d v="2025-06-04T00:00:00"/>
    <x v="5"/>
    <x v="41"/>
    <x v="6"/>
    <s v="Mexico"/>
    <x v="47"/>
    <x v="7"/>
    <n v="35712"/>
    <n v="30894"/>
  </r>
  <r>
    <s v="ORD08532"/>
    <d v="2025-01-23T00:00:00"/>
    <x v="1"/>
    <x v="7"/>
    <x v="4"/>
    <s v="Germany"/>
    <x v="14"/>
    <x v="27"/>
    <n v="21295"/>
    <n v="24834"/>
  </r>
  <r>
    <s v="ORD08533"/>
    <d v="2025-05-18T00:00:00"/>
    <x v="8"/>
    <x v="17"/>
    <x v="4"/>
    <s v="China"/>
    <x v="10"/>
    <x v="15"/>
    <n v="19279"/>
    <n v="20294"/>
  </r>
  <r>
    <s v="ORD08534"/>
    <d v="2025-04-29T00:00:00"/>
    <x v="7"/>
    <x v="27"/>
    <x v="5"/>
    <s v="South Africa"/>
    <x v="8"/>
    <x v="0"/>
    <n v="30485"/>
    <n v="23844"/>
  </r>
  <r>
    <s v="ORD08535"/>
    <d v="2025-06-18T00:00:00"/>
    <x v="5"/>
    <x v="13"/>
    <x v="6"/>
    <s v="Mexico"/>
    <x v="3"/>
    <x v="23"/>
    <n v="26699"/>
    <n v="27717"/>
  </r>
  <r>
    <s v="ORD08536"/>
    <d v="2025-04-27T00:00:00"/>
    <x v="7"/>
    <x v="38"/>
    <x v="2"/>
    <s v="Japan"/>
    <x v="24"/>
    <x v="29"/>
    <n v="34319"/>
    <n v="27212"/>
  </r>
  <r>
    <s v="ORD08537"/>
    <d v="2025-03-25T00:00:00"/>
    <x v="9"/>
    <x v="33"/>
    <x v="2"/>
    <s v="Australia"/>
    <x v="20"/>
    <x v="22"/>
    <n v="18966"/>
    <n v="16709"/>
  </r>
  <r>
    <s v="ORD08538"/>
    <d v="2025-06-12T00:00:00"/>
    <x v="5"/>
    <x v="40"/>
    <x v="0"/>
    <s v="USA"/>
    <x v="15"/>
    <x v="7"/>
    <n v="39895"/>
    <n v="47739"/>
  </r>
  <r>
    <s v="ORD08539"/>
    <d v="2025-06-10T00:00:00"/>
    <x v="5"/>
    <x v="40"/>
    <x v="5"/>
    <s v="UAE"/>
    <x v="26"/>
    <x v="11"/>
    <n v="32805"/>
    <n v="37450"/>
  </r>
  <r>
    <s v="ORD08540"/>
    <d v="2025-07-02T00:00:00"/>
    <x v="0"/>
    <x v="37"/>
    <x v="3"/>
    <s v="France"/>
    <x v="6"/>
    <x v="28"/>
    <n v="34226"/>
    <n v="32367"/>
  </r>
  <r>
    <s v="ORD08541"/>
    <d v="2025-03-10T00:00:00"/>
    <x v="9"/>
    <x v="19"/>
    <x v="5"/>
    <s v="Germany"/>
    <x v="0"/>
    <x v="11"/>
    <n v="30710"/>
    <n v="38209"/>
  </r>
  <r>
    <s v="ORD08542"/>
    <d v="2025-04-27T00:00:00"/>
    <x v="7"/>
    <x v="38"/>
    <x v="6"/>
    <s v="Malaysia"/>
    <x v="4"/>
    <x v="3"/>
    <n v="31632"/>
    <n v="26590"/>
  </r>
  <r>
    <s v="ORD08543"/>
    <d v="2025-10-31T00:00:00"/>
    <x v="4"/>
    <x v="2"/>
    <x v="5"/>
    <s v="Spain"/>
    <x v="35"/>
    <x v="16"/>
    <n v="19066"/>
    <n v="19382"/>
  </r>
  <r>
    <s v="ORD08544"/>
    <d v="2025-04-24T00:00:00"/>
    <x v="7"/>
    <x v="38"/>
    <x v="3"/>
    <s v="UK"/>
    <x v="5"/>
    <x v="3"/>
    <n v="37565"/>
    <n v="30658"/>
  </r>
  <r>
    <s v="ORD08545"/>
    <d v="2025-07-20T00:00:00"/>
    <x v="0"/>
    <x v="14"/>
    <x v="1"/>
    <s v="Germany"/>
    <x v="25"/>
    <x v="27"/>
    <n v="38512"/>
    <n v="46610"/>
  </r>
  <r>
    <s v="ORD08546"/>
    <d v="2025-01-25T00:00:00"/>
    <x v="1"/>
    <x v="7"/>
    <x v="6"/>
    <s v="Germany"/>
    <x v="24"/>
    <x v="19"/>
    <n v="31253"/>
    <n v="27835"/>
  </r>
  <r>
    <s v="ORD08547"/>
    <d v="2025-01-07T00:00:00"/>
    <x v="1"/>
    <x v="6"/>
    <x v="1"/>
    <s v="Russia"/>
    <x v="23"/>
    <x v="22"/>
    <n v="29922"/>
    <n v="30137"/>
  </r>
  <r>
    <s v="ORD08548"/>
    <d v="2025-07-06T00:00:00"/>
    <x v="0"/>
    <x v="37"/>
    <x v="2"/>
    <s v="France"/>
    <x v="23"/>
    <x v="10"/>
    <n v="26883"/>
    <n v="27957"/>
  </r>
  <r>
    <s v="ORD08549"/>
    <d v="2025-06-08T00:00:00"/>
    <x v="5"/>
    <x v="41"/>
    <x v="2"/>
    <s v="Mexico"/>
    <x v="30"/>
    <x v="25"/>
    <n v="19511"/>
    <n v="17147"/>
  </r>
  <r>
    <s v="ORD08550"/>
    <d v="2025-01-30T00:00:00"/>
    <x v="1"/>
    <x v="3"/>
    <x v="1"/>
    <s v="Singapore"/>
    <x v="28"/>
    <x v="20"/>
    <n v="33358"/>
    <n v="34827"/>
  </r>
  <r>
    <s v="ORD08551"/>
    <d v="2025-05-22T00:00:00"/>
    <x v="8"/>
    <x v="26"/>
    <x v="1"/>
    <s v="Japan"/>
    <x v="25"/>
    <x v="7"/>
    <n v="37826"/>
    <n v="31815"/>
  </r>
  <r>
    <s v="ORD08552"/>
    <d v="2025-09-26T00:00:00"/>
    <x v="3"/>
    <x v="25"/>
    <x v="2"/>
    <s v="Germany"/>
    <x v="26"/>
    <x v="18"/>
    <n v="28263"/>
    <n v="26373"/>
  </r>
  <r>
    <s v="ORD08553"/>
    <d v="2025-05-21T00:00:00"/>
    <x v="8"/>
    <x v="26"/>
    <x v="6"/>
    <s v="Brazil"/>
    <x v="2"/>
    <x v="9"/>
    <n v="38047"/>
    <n v="47418"/>
  </r>
  <r>
    <s v="ORD08554"/>
    <d v="2025-05-26T00:00:00"/>
    <x v="8"/>
    <x v="24"/>
    <x v="0"/>
    <s v="Germany"/>
    <x v="25"/>
    <x v="13"/>
    <n v="16117"/>
    <n v="20573"/>
  </r>
  <r>
    <s v="ORD08555"/>
    <d v="2025-10-21T00:00:00"/>
    <x v="4"/>
    <x v="50"/>
    <x v="4"/>
    <s v="India"/>
    <x v="10"/>
    <x v="6"/>
    <n v="34246"/>
    <n v="25757"/>
  </r>
  <r>
    <s v="ORD08556"/>
    <d v="2025-12-30T00:00:00"/>
    <x v="10"/>
    <x v="5"/>
    <x v="1"/>
    <s v="Italy"/>
    <x v="42"/>
    <x v="15"/>
    <n v="30703"/>
    <n v="27509"/>
  </r>
  <r>
    <s v="ORD08557"/>
    <d v="2025-12-26T00:00:00"/>
    <x v="10"/>
    <x v="42"/>
    <x v="4"/>
    <s v="South Africa"/>
    <x v="22"/>
    <x v="5"/>
    <n v="31511"/>
    <n v="40490"/>
  </r>
  <r>
    <s v="ORD08558"/>
    <d v="2025-12-26T00:00:00"/>
    <x v="10"/>
    <x v="42"/>
    <x v="1"/>
    <s v="Mexico"/>
    <x v="41"/>
    <x v="26"/>
    <n v="27692"/>
    <n v="35290"/>
  </r>
  <r>
    <s v="ORD08559"/>
    <d v="2025-05-27T00:00:00"/>
    <x v="8"/>
    <x v="24"/>
    <x v="4"/>
    <s v="China"/>
    <x v="35"/>
    <x v="21"/>
    <n v="28051"/>
    <n v="22579"/>
  </r>
  <r>
    <s v="ORD08560"/>
    <d v="2025-08-04T00:00:00"/>
    <x v="11"/>
    <x v="23"/>
    <x v="1"/>
    <s v="Malaysia"/>
    <x v="9"/>
    <x v="22"/>
    <n v="21506"/>
    <n v="19398"/>
  </r>
  <r>
    <s v="ORD08561"/>
    <d v="2025-11-08T00:00:00"/>
    <x v="2"/>
    <x v="51"/>
    <x v="5"/>
    <s v="Italy"/>
    <x v="44"/>
    <x v="18"/>
    <n v="17677"/>
    <n v="18812"/>
  </r>
  <r>
    <s v="ORD08562"/>
    <d v="2025-09-09T00:00:00"/>
    <x v="3"/>
    <x v="31"/>
    <x v="0"/>
    <s v="Turkey"/>
    <x v="30"/>
    <x v="10"/>
    <n v="17994"/>
    <n v="18871"/>
  </r>
  <r>
    <s v="ORD08563"/>
    <d v="2025-11-17T00:00:00"/>
    <x v="2"/>
    <x v="9"/>
    <x v="0"/>
    <s v="Australia"/>
    <x v="17"/>
    <x v="18"/>
    <n v="34995"/>
    <n v="29165"/>
  </r>
  <r>
    <s v="ORD08564"/>
    <d v="2025-01-05T00:00:00"/>
    <x v="1"/>
    <x v="5"/>
    <x v="5"/>
    <s v="Canada"/>
    <x v="46"/>
    <x v="27"/>
    <n v="33998"/>
    <n v="24006"/>
  </r>
  <r>
    <s v="ORD08565"/>
    <d v="2025-05-30T00:00:00"/>
    <x v="8"/>
    <x v="24"/>
    <x v="6"/>
    <s v="Japan"/>
    <x v="38"/>
    <x v="13"/>
    <n v="36196"/>
    <n v="41882"/>
  </r>
  <r>
    <s v="ORD08566"/>
    <d v="2025-10-09T00:00:00"/>
    <x v="4"/>
    <x v="45"/>
    <x v="6"/>
    <s v="India"/>
    <x v="17"/>
    <x v="10"/>
    <n v="36627"/>
    <n v="26276"/>
  </r>
  <r>
    <s v="ORD08567"/>
    <d v="2025-04-25T00:00:00"/>
    <x v="7"/>
    <x v="38"/>
    <x v="6"/>
    <s v="Italy"/>
    <x v="18"/>
    <x v="19"/>
    <n v="30111"/>
    <n v="27877"/>
  </r>
  <r>
    <s v="ORD08568"/>
    <d v="2025-12-07T00:00:00"/>
    <x v="10"/>
    <x v="43"/>
    <x v="0"/>
    <s v="Germany"/>
    <x v="43"/>
    <x v="23"/>
    <n v="19648"/>
    <n v="15300"/>
  </r>
  <r>
    <s v="ORD08569"/>
    <d v="2025-11-03T00:00:00"/>
    <x v="2"/>
    <x v="51"/>
    <x v="1"/>
    <s v="Germany"/>
    <x v="31"/>
    <x v="2"/>
    <n v="15616"/>
    <n v="17337"/>
  </r>
  <r>
    <s v="ORD08570"/>
    <d v="2025-06-29T00:00:00"/>
    <x v="5"/>
    <x v="36"/>
    <x v="1"/>
    <s v="USA"/>
    <x v="33"/>
    <x v="15"/>
    <n v="32091"/>
    <n v="34601"/>
  </r>
  <r>
    <s v="ORD08571"/>
    <d v="2025-10-06T00:00:00"/>
    <x v="4"/>
    <x v="45"/>
    <x v="0"/>
    <s v="Malaysia"/>
    <x v="33"/>
    <x v="17"/>
    <n v="33335"/>
    <n v="31951"/>
  </r>
  <r>
    <s v="ORD08572"/>
    <d v="2025-01-21T00:00:00"/>
    <x v="1"/>
    <x v="7"/>
    <x v="3"/>
    <s v="UAE"/>
    <x v="16"/>
    <x v="14"/>
    <n v="16817"/>
    <n v="11797"/>
  </r>
  <r>
    <s v="ORD08573"/>
    <d v="2025-12-06T00:00:00"/>
    <x v="10"/>
    <x v="43"/>
    <x v="4"/>
    <s v="Australia"/>
    <x v="38"/>
    <x v="1"/>
    <n v="32442"/>
    <n v="24282"/>
  </r>
  <r>
    <s v="ORD08574"/>
    <d v="2025-10-18T00:00:00"/>
    <x v="4"/>
    <x v="10"/>
    <x v="6"/>
    <s v="Japan"/>
    <x v="35"/>
    <x v="27"/>
    <n v="35563"/>
    <n v="44903"/>
  </r>
  <r>
    <s v="ORD08575"/>
    <d v="2025-09-01T00:00:00"/>
    <x v="3"/>
    <x v="4"/>
    <x v="3"/>
    <s v="UAE"/>
    <x v="10"/>
    <x v="11"/>
    <n v="26118"/>
    <n v="28581"/>
  </r>
  <r>
    <s v="ORD08576"/>
    <d v="2025-04-14T00:00:00"/>
    <x v="7"/>
    <x v="20"/>
    <x v="5"/>
    <s v="Japan"/>
    <x v="9"/>
    <x v="17"/>
    <n v="23183"/>
    <n v="23233"/>
  </r>
  <r>
    <s v="ORD08577"/>
    <d v="2025-02-28T00:00:00"/>
    <x v="6"/>
    <x v="22"/>
    <x v="0"/>
    <s v="UK"/>
    <x v="43"/>
    <x v="16"/>
    <n v="32034"/>
    <n v="27321"/>
  </r>
  <r>
    <s v="ORD08578"/>
    <d v="2025-09-21T00:00:00"/>
    <x v="3"/>
    <x v="8"/>
    <x v="6"/>
    <s v="India"/>
    <x v="11"/>
    <x v="19"/>
    <n v="15621"/>
    <n v="16454"/>
  </r>
  <r>
    <s v="ORD08579"/>
    <d v="2025-01-12T00:00:00"/>
    <x v="1"/>
    <x v="6"/>
    <x v="6"/>
    <s v="Thailand"/>
    <x v="30"/>
    <x v="25"/>
    <n v="38579"/>
    <n v="43442"/>
  </r>
  <r>
    <s v="ORD08580"/>
    <d v="2025-07-30T00:00:00"/>
    <x v="0"/>
    <x v="12"/>
    <x v="1"/>
    <s v="Japan"/>
    <x v="5"/>
    <x v="0"/>
    <n v="25278"/>
    <n v="27274"/>
  </r>
  <r>
    <s v="ORD08581"/>
    <d v="2025-09-09T00:00:00"/>
    <x v="3"/>
    <x v="31"/>
    <x v="0"/>
    <s v="Spain"/>
    <x v="47"/>
    <x v="3"/>
    <n v="17623"/>
    <n v="21011"/>
  </r>
  <r>
    <s v="ORD08582"/>
    <d v="2025-09-24T00:00:00"/>
    <x v="3"/>
    <x v="25"/>
    <x v="5"/>
    <s v="Turkey"/>
    <x v="1"/>
    <x v="20"/>
    <n v="18799"/>
    <n v="13963"/>
  </r>
  <r>
    <s v="ORD08583"/>
    <d v="2025-01-30T00:00:00"/>
    <x v="1"/>
    <x v="3"/>
    <x v="5"/>
    <s v="Singapore"/>
    <x v="37"/>
    <x v="11"/>
    <n v="35801"/>
    <n v="44501"/>
  </r>
  <r>
    <s v="ORD08584"/>
    <d v="2025-04-03T00:00:00"/>
    <x v="7"/>
    <x v="34"/>
    <x v="0"/>
    <s v="Italy"/>
    <x v="27"/>
    <x v="3"/>
    <n v="26666"/>
    <n v="28463"/>
  </r>
  <r>
    <s v="ORD08585"/>
    <d v="2025-06-04T00:00:00"/>
    <x v="5"/>
    <x v="41"/>
    <x v="0"/>
    <s v="India"/>
    <x v="13"/>
    <x v="2"/>
    <n v="37838"/>
    <n v="40641"/>
  </r>
  <r>
    <s v="ORD08586"/>
    <d v="2025-11-28T00:00:00"/>
    <x v="2"/>
    <x v="11"/>
    <x v="4"/>
    <s v="Spain"/>
    <x v="48"/>
    <x v="27"/>
    <n v="29437"/>
    <n v="27491"/>
  </r>
  <r>
    <s v="ORD08587"/>
    <d v="2025-02-22T00:00:00"/>
    <x v="6"/>
    <x v="15"/>
    <x v="1"/>
    <s v="USA"/>
    <x v="37"/>
    <x v="13"/>
    <n v="38618"/>
    <n v="47113"/>
  </r>
  <r>
    <s v="ORD08588"/>
    <d v="2025-02-10T00:00:00"/>
    <x v="6"/>
    <x v="29"/>
    <x v="6"/>
    <s v="Thailand"/>
    <x v="46"/>
    <x v="10"/>
    <n v="28741"/>
    <n v="35853"/>
  </r>
  <r>
    <s v="ORD08589"/>
    <d v="2025-02-12T00:00:00"/>
    <x v="6"/>
    <x v="29"/>
    <x v="3"/>
    <s v="Thailand"/>
    <x v="34"/>
    <x v="25"/>
    <n v="30805"/>
    <n v="27257"/>
  </r>
  <r>
    <s v="ORD08590"/>
    <d v="2025-05-04T00:00:00"/>
    <x v="8"/>
    <x v="27"/>
    <x v="3"/>
    <s v="Australia"/>
    <x v="37"/>
    <x v="0"/>
    <n v="22881"/>
    <n v="27332"/>
  </r>
  <r>
    <s v="ORD08591"/>
    <d v="2025-04-02T00:00:00"/>
    <x v="7"/>
    <x v="34"/>
    <x v="1"/>
    <s v="Russia"/>
    <x v="35"/>
    <x v="4"/>
    <n v="21225"/>
    <n v="15792"/>
  </r>
  <r>
    <s v="ORD08592"/>
    <d v="2025-09-12T00:00:00"/>
    <x v="3"/>
    <x v="31"/>
    <x v="2"/>
    <s v="Spain"/>
    <x v="10"/>
    <x v="22"/>
    <n v="36558"/>
    <n v="45093"/>
  </r>
  <r>
    <s v="ORD08593"/>
    <d v="2025-12-09T00:00:00"/>
    <x v="10"/>
    <x v="32"/>
    <x v="0"/>
    <s v="USA"/>
    <x v="33"/>
    <x v="12"/>
    <n v="28886"/>
    <n v="33237"/>
  </r>
  <r>
    <s v="ORD08594"/>
    <d v="2025-03-13T00:00:00"/>
    <x v="9"/>
    <x v="19"/>
    <x v="4"/>
    <s v="Russia"/>
    <x v="34"/>
    <x v="20"/>
    <n v="27458"/>
    <n v="33458"/>
  </r>
  <r>
    <s v="ORD08595"/>
    <d v="2025-11-02T00:00:00"/>
    <x v="2"/>
    <x v="2"/>
    <x v="0"/>
    <s v="Singapore"/>
    <x v="29"/>
    <x v="19"/>
    <n v="29334"/>
    <n v="20621"/>
  </r>
  <r>
    <s v="ORD08596"/>
    <d v="2025-01-21T00:00:00"/>
    <x v="1"/>
    <x v="7"/>
    <x v="6"/>
    <s v="Brazil"/>
    <x v="32"/>
    <x v="11"/>
    <n v="27343"/>
    <n v="29656"/>
  </r>
  <r>
    <s v="ORD08597"/>
    <d v="2025-09-22T00:00:00"/>
    <x v="3"/>
    <x v="25"/>
    <x v="6"/>
    <s v="India"/>
    <x v="0"/>
    <x v="8"/>
    <n v="30910"/>
    <n v="32005"/>
  </r>
  <r>
    <s v="ORD08598"/>
    <d v="2025-06-18T00:00:00"/>
    <x v="5"/>
    <x v="13"/>
    <x v="6"/>
    <s v="UK"/>
    <x v="26"/>
    <x v="16"/>
    <n v="24948"/>
    <n v="18921"/>
  </r>
  <r>
    <s v="ORD08599"/>
    <d v="2025-07-07T00:00:00"/>
    <x v="0"/>
    <x v="47"/>
    <x v="0"/>
    <s v="Brazil"/>
    <x v="10"/>
    <x v="26"/>
    <n v="29160"/>
    <n v="31008"/>
  </r>
  <r>
    <s v="ORD08600"/>
    <d v="2025-09-03T00:00:00"/>
    <x v="3"/>
    <x v="4"/>
    <x v="2"/>
    <s v="UK"/>
    <x v="26"/>
    <x v="23"/>
    <n v="22672"/>
    <n v="28684"/>
  </r>
  <r>
    <s v="ORD08601"/>
    <d v="2025-04-24T00:00:00"/>
    <x v="7"/>
    <x v="38"/>
    <x v="0"/>
    <s v="Singapore"/>
    <x v="46"/>
    <x v="6"/>
    <n v="31152"/>
    <n v="32093"/>
  </r>
  <r>
    <s v="ORD08602"/>
    <d v="2025-01-22T00:00:00"/>
    <x v="1"/>
    <x v="7"/>
    <x v="1"/>
    <s v="Singapore"/>
    <x v="25"/>
    <x v="3"/>
    <n v="32326"/>
    <n v="32677"/>
  </r>
  <r>
    <s v="ORD08603"/>
    <d v="2025-10-23T00:00:00"/>
    <x v="4"/>
    <x v="50"/>
    <x v="2"/>
    <s v="France"/>
    <x v="31"/>
    <x v="15"/>
    <n v="25295"/>
    <n v="21789"/>
  </r>
  <r>
    <s v="ORD08604"/>
    <d v="2025-11-02T00:00:00"/>
    <x v="2"/>
    <x v="2"/>
    <x v="6"/>
    <s v="Turkey"/>
    <x v="27"/>
    <x v="20"/>
    <n v="21836"/>
    <n v="17647"/>
  </r>
  <r>
    <s v="ORD08605"/>
    <d v="2025-07-22T00:00:00"/>
    <x v="0"/>
    <x v="0"/>
    <x v="5"/>
    <s v="South Africa"/>
    <x v="14"/>
    <x v="6"/>
    <n v="23355"/>
    <n v="25484"/>
  </r>
  <r>
    <s v="ORD08606"/>
    <d v="2025-04-10T00:00:00"/>
    <x v="7"/>
    <x v="16"/>
    <x v="0"/>
    <s v="South Africa"/>
    <x v="41"/>
    <x v="25"/>
    <n v="33189"/>
    <n v="41966"/>
  </r>
  <r>
    <s v="ORD08607"/>
    <d v="2025-09-03T00:00:00"/>
    <x v="3"/>
    <x v="4"/>
    <x v="5"/>
    <s v="Singapore"/>
    <x v="12"/>
    <x v="19"/>
    <n v="29750"/>
    <n v="28658"/>
  </r>
  <r>
    <s v="ORD08608"/>
    <d v="2025-10-10T00:00:00"/>
    <x v="4"/>
    <x v="45"/>
    <x v="3"/>
    <s v="UAE"/>
    <x v="47"/>
    <x v="29"/>
    <n v="36587"/>
    <n v="26426"/>
  </r>
  <r>
    <s v="ORD08609"/>
    <d v="2025-06-17T00:00:00"/>
    <x v="5"/>
    <x v="13"/>
    <x v="0"/>
    <s v="China"/>
    <x v="42"/>
    <x v="4"/>
    <n v="30957"/>
    <n v="35939"/>
  </r>
  <r>
    <s v="ORD08610"/>
    <d v="2025-04-08T00:00:00"/>
    <x v="7"/>
    <x v="16"/>
    <x v="5"/>
    <s v="Turkey"/>
    <x v="49"/>
    <x v="22"/>
    <n v="23461"/>
    <n v="25687"/>
  </r>
  <r>
    <s v="ORD08611"/>
    <d v="2025-08-19T00:00:00"/>
    <x v="11"/>
    <x v="46"/>
    <x v="0"/>
    <s v="India"/>
    <x v="24"/>
    <x v="17"/>
    <n v="20342"/>
    <n v="15618"/>
  </r>
  <r>
    <s v="ORD08612"/>
    <d v="2025-08-10T00:00:00"/>
    <x v="11"/>
    <x v="23"/>
    <x v="3"/>
    <s v="Singapore"/>
    <x v="16"/>
    <x v="15"/>
    <n v="33278"/>
    <n v="23744"/>
  </r>
  <r>
    <s v="ORD08613"/>
    <d v="2025-04-29T00:00:00"/>
    <x v="7"/>
    <x v="27"/>
    <x v="0"/>
    <s v="Italy"/>
    <x v="20"/>
    <x v="3"/>
    <n v="23786"/>
    <n v="27206"/>
  </r>
  <r>
    <s v="ORD08614"/>
    <d v="2025-08-17T00:00:00"/>
    <x v="11"/>
    <x v="30"/>
    <x v="3"/>
    <s v="South Africa"/>
    <x v="45"/>
    <x v="24"/>
    <n v="24493"/>
    <n v="25062"/>
  </r>
  <r>
    <s v="ORD08615"/>
    <d v="2025-10-17T00:00:00"/>
    <x v="4"/>
    <x v="10"/>
    <x v="4"/>
    <s v="Canada"/>
    <x v="25"/>
    <x v="7"/>
    <n v="31248"/>
    <n v="29010"/>
  </r>
  <r>
    <s v="ORD08616"/>
    <d v="2025-05-17T00:00:00"/>
    <x v="8"/>
    <x v="17"/>
    <x v="2"/>
    <s v="Germany"/>
    <x v="14"/>
    <x v="11"/>
    <n v="31445"/>
    <n v="24405"/>
  </r>
  <r>
    <s v="ORD08617"/>
    <d v="2025-05-23T00:00:00"/>
    <x v="8"/>
    <x v="26"/>
    <x v="0"/>
    <s v="South Africa"/>
    <x v="40"/>
    <x v="8"/>
    <n v="19770"/>
    <n v="18487"/>
  </r>
  <r>
    <s v="ORD08618"/>
    <d v="2025-01-19T00:00:00"/>
    <x v="1"/>
    <x v="1"/>
    <x v="0"/>
    <s v="Singapore"/>
    <x v="49"/>
    <x v="17"/>
    <n v="39704"/>
    <n v="31859"/>
  </r>
  <r>
    <s v="ORD08619"/>
    <d v="2025-10-04T00:00:00"/>
    <x v="4"/>
    <x v="49"/>
    <x v="4"/>
    <s v="Australia"/>
    <x v="0"/>
    <x v="11"/>
    <n v="18458"/>
    <n v="21023"/>
  </r>
  <r>
    <s v="ORD08620"/>
    <d v="2025-05-18T00:00:00"/>
    <x v="8"/>
    <x v="17"/>
    <x v="4"/>
    <s v="Singapore"/>
    <x v="27"/>
    <x v="14"/>
    <n v="20167"/>
    <n v="25544"/>
  </r>
  <r>
    <s v="ORD08621"/>
    <d v="2025-09-29T00:00:00"/>
    <x v="3"/>
    <x v="49"/>
    <x v="0"/>
    <s v="Singapore"/>
    <x v="43"/>
    <x v="5"/>
    <n v="36640"/>
    <n v="28948"/>
  </r>
  <r>
    <s v="ORD08622"/>
    <d v="2025-01-04T00:00:00"/>
    <x v="1"/>
    <x v="5"/>
    <x v="4"/>
    <s v="Spain"/>
    <x v="47"/>
    <x v="0"/>
    <n v="18861"/>
    <n v="19665"/>
  </r>
  <r>
    <s v="ORD08623"/>
    <d v="2025-08-28T00:00:00"/>
    <x v="11"/>
    <x v="28"/>
    <x v="5"/>
    <s v="USA"/>
    <x v="0"/>
    <x v="18"/>
    <n v="23607"/>
    <n v="18781"/>
  </r>
  <r>
    <s v="ORD08624"/>
    <d v="2025-04-21T00:00:00"/>
    <x v="7"/>
    <x v="38"/>
    <x v="4"/>
    <s v="Malaysia"/>
    <x v="25"/>
    <x v="18"/>
    <n v="24346"/>
    <n v="21744"/>
  </r>
  <r>
    <s v="ORD08625"/>
    <d v="2025-04-05T00:00:00"/>
    <x v="7"/>
    <x v="34"/>
    <x v="3"/>
    <s v="Canada"/>
    <x v="29"/>
    <x v="15"/>
    <n v="28253"/>
    <n v="34571"/>
  </r>
  <r>
    <s v="ORD08626"/>
    <d v="2025-04-30T00:00:00"/>
    <x v="7"/>
    <x v="27"/>
    <x v="2"/>
    <s v="Canada"/>
    <x v="16"/>
    <x v="16"/>
    <n v="30426"/>
    <n v="38664"/>
  </r>
  <r>
    <s v="ORD08627"/>
    <d v="2025-09-18T00:00:00"/>
    <x v="3"/>
    <x v="8"/>
    <x v="4"/>
    <s v="Spain"/>
    <x v="23"/>
    <x v="17"/>
    <n v="38678"/>
    <n v="33391"/>
  </r>
  <r>
    <s v="ORD08628"/>
    <d v="2025-03-07T00:00:00"/>
    <x v="9"/>
    <x v="35"/>
    <x v="0"/>
    <s v="UAE"/>
    <x v="3"/>
    <x v="25"/>
    <n v="21212"/>
    <n v="27206"/>
  </r>
  <r>
    <s v="ORD08629"/>
    <d v="2025-11-21T00:00:00"/>
    <x v="2"/>
    <x v="9"/>
    <x v="4"/>
    <s v="Malaysia"/>
    <x v="48"/>
    <x v="8"/>
    <n v="19680"/>
    <n v="14401"/>
  </r>
  <r>
    <s v="ORD08630"/>
    <d v="2025-08-02T00:00:00"/>
    <x v="11"/>
    <x v="12"/>
    <x v="2"/>
    <s v="Thailand"/>
    <x v="25"/>
    <x v="7"/>
    <n v="15435"/>
    <n v="13023"/>
  </r>
  <r>
    <s v="ORD08631"/>
    <d v="2025-08-21T00:00:00"/>
    <x v="11"/>
    <x v="46"/>
    <x v="3"/>
    <s v="Russia"/>
    <x v="32"/>
    <x v="7"/>
    <n v="22140"/>
    <n v="21713"/>
  </r>
  <r>
    <s v="ORD08632"/>
    <d v="2025-05-16T00:00:00"/>
    <x v="8"/>
    <x v="17"/>
    <x v="3"/>
    <s v="Brazil"/>
    <x v="33"/>
    <x v="5"/>
    <n v="20911"/>
    <n v="20266"/>
  </r>
  <r>
    <s v="ORD08633"/>
    <d v="2025-06-22T00:00:00"/>
    <x v="5"/>
    <x v="13"/>
    <x v="5"/>
    <s v="China"/>
    <x v="23"/>
    <x v="19"/>
    <n v="30842"/>
    <n v="22896"/>
  </r>
  <r>
    <s v="ORD08634"/>
    <d v="2025-11-04T00:00:00"/>
    <x v="2"/>
    <x v="51"/>
    <x v="4"/>
    <s v="Malaysia"/>
    <x v="16"/>
    <x v="17"/>
    <n v="30433"/>
    <n v="24659"/>
  </r>
  <r>
    <s v="ORD08635"/>
    <d v="2025-02-16T00:00:00"/>
    <x v="6"/>
    <x v="29"/>
    <x v="3"/>
    <s v="Spain"/>
    <x v="31"/>
    <x v="25"/>
    <n v="39262"/>
    <n v="34349"/>
  </r>
  <r>
    <s v="ORD08636"/>
    <d v="2025-04-16T00:00:00"/>
    <x v="7"/>
    <x v="20"/>
    <x v="4"/>
    <s v="USA"/>
    <x v="10"/>
    <x v="1"/>
    <n v="23740"/>
    <n v="20149"/>
  </r>
  <r>
    <s v="ORD08637"/>
    <d v="2025-09-08T00:00:00"/>
    <x v="3"/>
    <x v="31"/>
    <x v="6"/>
    <s v="Turkey"/>
    <x v="24"/>
    <x v="7"/>
    <n v="29469"/>
    <n v="25516"/>
  </r>
  <r>
    <s v="ORD08638"/>
    <d v="2025-08-17T00:00:00"/>
    <x v="11"/>
    <x v="30"/>
    <x v="1"/>
    <s v="Singapore"/>
    <x v="1"/>
    <x v="25"/>
    <n v="26719"/>
    <n v="33483"/>
  </r>
  <r>
    <s v="ORD08639"/>
    <d v="2025-02-01T00:00:00"/>
    <x v="6"/>
    <x v="3"/>
    <x v="0"/>
    <s v="Spain"/>
    <x v="18"/>
    <x v="13"/>
    <n v="21432"/>
    <n v="27434"/>
  </r>
  <r>
    <s v="ORD08640"/>
    <d v="2025-01-01T00:00:00"/>
    <x v="1"/>
    <x v="5"/>
    <x v="4"/>
    <s v="South Africa"/>
    <x v="5"/>
    <x v="14"/>
    <n v="17423"/>
    <n v="22543"/>
  </r>
  <r>
    <s v="ORD08641"/>
    <d v="2025-06-14T00:00:00"/>
    <x v="5"/>
    <x v="40"/>
    <x v="6"/>
    <s v="UAE"/>
    <x v="32"/>
    <x v="13"/>
    <n v="38402"/>
    <n v="35089"/>
  </r>
  <r>
    <s v="ORD08642"/>
    <d v="2025-04-30T00:00:00"/>
    <x v="7"/>
    <x v="27"/>
    <x v="5"/>
    <s v="Australia"/>
    <x v="38"/>
    <x v="23"/>
    <n v="25334"/>
    <n v="24674"/>
  </r>
  <r>
    <s v="ORD08643"/>
    <d v="2025-07-10T00:00:00"/>
    <x v="0"/>
    <x v="47"/>
    <x v="2"/>
    <s v="India"/>
    <x v="6"/>
    <x v="5"/>
    <n v="17102"/>
    <n v="16644"/>
  </r>
  <r>
    <s v="ORD08644"/>
    <d v="2025-02-27T00:00:00"/>
    <x v="6"/>
    <x v="22"/>
    <x v="2"/>
    <s v="Turkey"/>
    <x v="23"/>
    <x v="9"/>
    <n v="29946"/>
    <n v="37858"/>
  </r>
  <r>
    <s v="ORD08645"/>
    <d v="2025-11-24T00:00:00"/>
    <x v="2"/>
    <x v="11"/>
    <x v="5"/>
    <s v="Italy"/>
    <x v="25"/>
    <x v="0"/>
    <n v="24424"/>
    <n v="18327"/>
  </r>
  <r>
    <s v="ORD08646"/>
    <d v="2025-11-24T00:00:00"/>
    <x v="2"/>
    <x v="11"/>
    <x v="5"/>
    <s v="Singapore"/>
    <x v="32"/>
    <x v="14"/>
    <n v="19592"/>
    <n v="20365"/>
  </r>
  <r>
    <s v="ORD08647"/>
    <d v="2025-05-29T00:00:00"/>
    <x v="8"/>
    <x v="24"/>
    <x v="0"/>
    <s v="China"/>
    <x v="14"/>
    <x v="19"/>
    <n v="18099"/>
    <n v="15281"/>
  </r>
  <r>
    <s v="ORD08648"/>
    <d v="2025-02-25T00:00:00"/>
    <x v="6"/>
    <x v="22"/>
    <x v="5"/>
    <s v="Germany"/>
    <x v="6"/>
    <x v="12"/>
    <n v="18682"/>
    <n v="23341"/>
  </r>
  <r>
    <s v="ORD08649"/>
    <d v="2025-04-17T00:00:00"/>
    <x v="7"/>
    <x v="20"/>
    <x v="3"/>
    <s v="Spain"/>
    <x v="47"/>
    <x v="27"/>
    <n v="30586"/>
    <n v="26096"/>
  </r>
  <r>
    <s v="ORD08650"/>
    <d v="2025-10-13T00:00:00"/>
    <x v="4"/>
    <x v="10"/>
    <x v="2"/>
    <s v="Germany"/>
    <x v="16"/>
    <x v="29"/>
    <n v="26720"/>
    <n v="19777"/>
  </r>
  <r>
    <s v="ORD08651"/>
    <d v="2025-12-04T00:00:00"/>
    <x v="10"/>
    <x v="43"/>
    <x v="0"/>
    <s v="India"/>
    <x v="37"/>
    <x v="7"/>
    <n v="38041"/>
    <n v="39967"/>
  </r>
  <r>
    <s v="ORD08652"/>
    <d v="2025-12-16T00:00:00"/>
    <x v="10"/>
    <x v="21"/>
    <x v="3"/>
    <s v="Japan"/>
    <x v="12"/>
    <x v="5"/>
    <n v="30257"/>
    <n v="28885"/>
  </r>
  <r>
    <s v="ORD08653"/>
    <d v="2025-03-23T00:00:00"/>
    <x v="9"/>
    <x v="39"/>
    <x v="1"/>
    <s v="South Africa"/>
    <x v="21"/>
    <x v="1"/>
    <n v="38372"/>
    <n v="41263"/>
  </r>
  <r>
    <s v="ORD08654"/>
    <d v="2025-09-11T00:00:00"/>
    <x v="3"/>
    <x v="31"/>
    <x v="5"/>
    <s v="Italy"/>
    <x v="1"/>
    <x v="21"/>
    <n v="33285"/>
    <n v="35573"/>
  </r>
  <r>
    <s v="ORD08655"/>
    <d v="2025-08-31T00:00:00"/>
    <x v="11"/>
    <x v="28"/>
    <x v="1"/>
    <s v="UK"/>
    <x v="6"/>
    <x v="8"/>
    <n v="34577"/>
    <n v="32236"/>
  </r>
  <r>
    <s v="ORD08656"/>
    <d v="2025-06-30T00:00:00"/>
    <x v="5"/>
    <x v="37"/>
    <x v="3"/>
    <s v="Germany"/>
    <x v="43"/>
    <x v="17"/>
    <n v="37859"/>
    <n v="47760"/>
  </r>
  <r>
    <s v="ORD08657"/>
    <d v="2025-05-06T00:00:00"/>
    <x v="8"/>
    <x v="18"/>
    <x v="0"/>
    <s v="Thailand"/>
    <x v="16"/>
    <x v="17"/>
    <n v="38070"/>
    <n v="48365"/>
  </r>
  <r>
    <s v="ORD08658"/>
    <d v="2025-03-25T00:00:00"/>
    <x v="9"/>
    <x v="33"/>
    <x v="2"/>
    <s v="Malaysia"/>
    <x v="7"/>
    <x v="21"/>
    <n v="37284"/>
    <n v="26580"/>
  </r>
  <r>
    <s v="ORD08659"/>
    <d v="2025-12-18T00:00:00"/>
    <x v="10"/>
    <x v="21"/>
    <x v="0"/>
    <s v="China"/>
    <x v="16"/>
    <x v="28"/>
    <n v="24204"/>
    <n v="27144"/>
  </r>
  <r>
    <s v="ORD08660"/>
    <d v="2025-03-31T00:00:00"/>
    <x v="9"/>
    <x v="34"/>
    <x v="0"/>
    <s v="Spain"/>
    <x v="35"/>
    <x v="6"/>
    <n v="16502"/>
    <n v="19832"/>
  </r>
  <r>
    <s v="ORD08661"/>
    <d v="2025-03-19T00:00:00"/>
    <x v="9"/>
    <x v="39"/>
    <x v="0"/>
    <s v="Singapore"/>
    <x v="34"/>
    <x v="13"/>
    <n v="28399"/>
    <n v="20809"/>
  </r>
  <r>
    <s v="ORD08662"/>
    <d v="2025-06-02T00:00:00"/>
    <x v="5"/>
    <x v="41"/>
    <x v="0"/>
    <s v="Malaysia"/>
    <x v="1"/>
    <x v="21"/>
    <n v="21364"/>
    <n v="19119"/>
  </r>
  <r>
    <s v="ORD08663"/>
    <d v="2025-08-05T00:00:00"/>
    <x v="11"/>
    <x v="23"/>
    <x v="2"/>
    <s v="Turkey"/>
    <x v="30"/>
    <x v="11"/>
    <n v="15472"/>
    <n v="20079"/>
  </r>
  <r>
    <s v="ORD08664"/>
    <d v="2025-07-15T00:00:00"/>
    <x v="0"/>
    <x v="14"/>
    <x v="0"/>
    <s v="Singapore"/>
    <x v="35"/>
    <x v="10"/>
    <n v="28774"/>
    <n v="26166"/>
  </r>
  <r>
    <s v="ORD08665"/>
    <d v="2025-02-02T00:00:00"/>
    <x v="6"/>
    <x v="3"/>
    <x v="5"/>
    <s v="South Africa"/>
    <x v="16"/>
    <x v="16"/>
    <n v="35830"/>
    <n v="42622"/>
  </r>
  <r>
    <s v="ORD08666"/>
    <d v="2025-03-21T00:00:00"/>
    <x v="9"/>
    <x v="39"/>
    <x v="6"/>
    <s v="Turkey"/>
    <x v="19"/>
    <x v="19"/>
    <n v="36042"/>
    <n v="31229"/>
  </r>
  <r>
    <s v="ORD08667"/>
    <d v="2025-12-27T00:00:00"/>
    <x v="10"/>
    <x v="42"/>
    <x v="2"/>
    <s v="UK"/>
    <x v="18"/>
    <x v="2"/>
    <n v="23333"/>
    <n v="25556"/>
  </r>
  <r>
    <s v="ORD08668"/>
    <d v="2025-04-15T00:00:00"/>
    <x v="7"/>
    <x v="20"/>
    <x v="2"/>
    <s v="Australia"/>
    <x v="6"/>
    <x v="5"/>
    <n v="33685"/>
    <n v="29546"/>
  </r>
  <r>
    <s v="ORD08669"/>
    <d v="2025-02-19T00:00:00"/>
    <x v="6"/>
    <x v="15"/>
    <x v="2"/>
    <s v="Canada"/>
    <x v="41"/>
    <x v="21"/>
    <n v="24877"/>
    <n v="23235"/>
  </r>
  <r>
    <s v="ORD08670"/>
    <d v="2025-11-23T00:00:00"/>
    <x v="2"/>
    <x v="9"/>
    <x v="4"/>
    <s v="China"/>
    <x v="30"/>
    <x v="15"/>
    <n v="29459"/>
    <n v="32569"/>
  </r>
  <r>
    <s v="ORD08671"/>
    <d v="2025-10-26T00:00:00"/>
    <x v="4"/>
    <x v="50"/>
    <x v="0"/>
    <s v="China"/>
    <x v="37"/>
    <x v="0"/>
    <n v="22805"/>
    <n v="17942"/>
  </r>
  <r>
    <s v="ORD08672"/>
    <d v="2025-10-21T00:00:00"/>
    <x v="4"/>
    <x v="50"/>
    <x v="3"/>
    <s v="China"/>
    <x v="21"/>
    <x v="2"/>
    <n v="22365"/>
    <n v="26240"/>
  </r>
  <r>
    <s v="ORD08673"/>
    <d v="2025-02-17T00:00:00"/>
    <x v="6"/>
    <x v="15"/>
    <x v="6"/>
    <s v="UK"/>
    <x v="24"/>
    <x v="2"/>
    <n v="36056"/>
    <n v="25689"/>
  </r>
  <r>
    <s v="ORD08674"/>
    <d v="2025-03-24T00:00:00"/>
    <x v="9"/>
    <x v="33"/>
    <x v="2"/>
    <s v="India"/>
    <x v="8"/>
    <x v="25"/>
    <n v="29115"/>
    <n v="34662"/>
  </r>
  <r>
    <s v="ORD08675"/>
    <d v="2025-03-01T00:00:00"/>
    <x v="9"/>
    <x v="22"/>
    <x v="1"/>
    <s v="South Africa"/>
    <x v="9"/>
    <x v="25"/>
    <n v="30577"/>
    <n v="30570"/>
  </r>
  <r>
    <s v="ORD08676"/>
    <d v="2025-10-28T00:00:00"/>
    <x v="4"/>
    <x v="2"/>
    <x v="0"/>
    <s v="Singapore"/>
    <x v="11"/>
    <x v="7"/>
    <n v="27620"/>
    <n v="34591"/>
  </r>
  <r>
    <s v="ORD08677"/>
    <d v="2025-03-17T00:00:00"/>
    <x v="9"/>
    <x v="39"/>
    <x v="4"/>
    <s v="Brazil"/>
    <x v="10"/>
    <x v="17"/>
    <n v="38645"/>
    <n v="50161"/>
  </r>
  <r>
    <s v="ORD08678"/>
    <d v="2025-11-01T00:00:00"/>
    <x v="2"/>
    <x v="2"/>
    <x v="2"/>
    <s v="Canada"/>
    <x v="28"/>
    <x v="27"/>
    <n v="36726"/>
    <n v="26608"/>
  </r>
  <r>
    <s v="ORD08679"/>
    <d v="2025-12-03T00:00:00"/>
    <x v="10"/>
    <x v="43"/>
    <x v="5"/>
    <s v="Spain"/>
    <x v="46"/>
    <x v="7"/>
    <n v="27801"/>
    <n v="20902"/>
  </r>
  <r>
    <s v="ORD08680"/>
    <d v="2025-06-20T00:00:00"/>
    <x v="5"/>
    <x v="13"/>
    <x v="0"/>
    <s v="Germany"/>
    <x v="47"/>
    <x v="5"/>
    <n v="30697"/>
    <n v="31575"/>
  </r>
  <r>
    <s v="ORD08681"/>
    <d v="2025-10-20T00:00:00"/>
    <x v="4"/>
    <x v="50"/>
    <x v="1"/>
    <s v="Italy"/>
    <x v="41"/>
    <x v="20"/>
    <n v="29395"/>
    <n v="21189"/>
  </r>
  <r>
    <s v="ORD08682"/>
    <d v="2025-06-09T00:00:00"/>
    <x v="5"/>
    <x v="40"/>
    <x v="2"/>
    <s v="Malaysia"/>
    <x v="44"/>
    <x v="0"/>
    <n v="34121"/>
    <n v="42344"/>
  </r>
  <r>
    <s v="ORD08683"/>
    <d v="2025-05-21T00:00:00"/>
    <x v="8"/>
    <x v="26"/>
    <x v="4"/>
    <s v="Thailand"/>
    <x v="23"/>
    <x v="22"/>
    <n v="35011"/>
    <n v="30283"/>
  </r>
  <r>
    <s v="ORD08684"/>
    <d v="2025-03-06T00:00:00"/>
    <x v="9"/>
    <x v="35"/>
    <x v="6"/>
    <s v="Malaysia"/>
    <x v="26"/>
    <x v="4"/>
    <n v="37416"/>
    <n v="45237"/>
  </r>
  <r>
    <s v="ORD08685"/>
    <d v="2025-11-16T00:00:00"/>
    <x v="2"/>
    <x v="44"/>
    <x v="5"/>
    <s v="Spain"/>
    <x v="28"/>
    <x v="7"/>
    <n v="33715"/>
    <n v="39623"/>
  </r>
  <r>
    <s v="ORD08686"/>
    <d v="2025-02-01T00:00:00"/>
    <x v="6"/>
    <x v="3"/>
    <x v="6"/>
    <s v="France"/>
    <x v="21"/>
    <x v="26"/>
    <n v="15105"/>
    <n v="18664"/>
  </r>
  <r>
    <s v="ORD08687"/>
    <d v="2025-06-23T00:00:00"/>
    <x v="5"/>
    <x v="36"/>
    <x v="1"/>
    <s v="Japan"/>
    <x v="25"/>
    <x v="7"/>
    <n v="36983"/>
    <n v="40047"/>
  </r>
  <r>
    <s v="ORD08688"/>
    <d v="2025-09-17T00:00:00"/>
    <x v="3"/>
    <x v="8"/>
    <x v="5"/>
    <s v="Thailand"/>
    <x v="11"/>
    <x v="7"/>
    <n v="22453"/>
    <n v="20423"/>
  </r>
  <r>
    <s v="ORD08689"/>
    <d v="2025-08-25T00:00:00"/>
    <x v="11"/>
    <x v="28"/>
    <x v="3"/>
    <s v="Canada"/>
    <x v="5"/>
    <x v="2"/>
    <n v="28237"/>
    <n v="24249"/>
  </r>
  <r>
    <s v="ORD08690"/>
    <d v="2025-03-21T00:00:00"/>
    <x v="9"/>
    <x v="39"/>
    <x v="4"/>
    <s v="China"/>
    <x v="0"/>
    <x v="12"/>
    <n v="15924"/>
    <n v="18072"/>
  </r>
  <r>
    <s v="ORD08691"/>
    <d v="2025-09-02T00:00:00"/>
    <x v="3"/>
    <x v="4"/>
    <x v="1"/>
    <s v="Mexico"/>
    <x v="9"/>
    <x v="0"/>
    <n v="21976"/>
    <n v="21344"/>
  </r>
  <r>
    <s v="ORD08692"/>
    <d v="2025-05-14T00:00:00"/>
    <x v="8"/>
    <x v="17"/>
    <x v="4"/>
    <s v="Germany"/>
    <x v="21"/>
    <x v="14"/>
    <n v="32166"/>
    <n v="34292"/>
  </r>
  <r>
    <s v="ORD08693"/>
    <d v="2025-05-07T00:00:00"/>
    <x v="8"/>
    <x v="18"/>
    <x v="6"/>
    <s v="Japan"/>
    <x v="5"/>
    <x v="10"/>
    <n v="19989"/>
    <n v="22314"/>
  </r>
  <r>
    <s v="ORD08694"/>
    <d v="2025-05-04T00:00:00"/>
    <x v="8"/>
    <x v="27"/>
    <x v="0"/>
    <s v="Malaysia"/>
    <x v="44"/>
    <x v="22"/>
    <n v="27625"/>
    <n v="32018"/>
  </r>
  <r>
    <s v="ORD08695"/>
    <d v="2025-10-11T00:00:00"/>
    <x v="4"/>
    <x v="45"/>
    <x v="6"/>
    <s v="Germany"/>
    <x v="27"/>
    <x v="8"/>
    <n v="33472"/>
    <n v="32054"/>
  </r>
  <r>
    <s v="ORD08696"/>
    <d v="2025-03-29T00:00:00"/>
    <x v="9"/>
    <x v="33"/>
    <x v="5"/>
    <s v="Canada"/>
    <x v="31"/>
    <x v="20"/>
    <n v="26063"/>
    <n v="22079"/>
  </r>
  <r>
    <s v="ORD08697"/>
    <d v="2025-07-06T00:00:00"/>
    <x v="0"/>
    <x v="37"/>
    <x v="5"/>
    <s v="Spain"/>
    <x v="2"/>
    <x v="13"/>
    <n v="33517"/>
    <n v="43479"/>
  </r>
  <r>
    <s v="ORD08698"/>
    <d v="2025-04-06T00:00:00"/>
    <x v="7"/>
    <x v="34"/>
    <x v="4"/>
    <s v="South Africa"/>
    <x v="16"/>
    <x v="24"/>
    <n v="25035"/>
    <n v="28769"/>
  </r>
  <r>
    <s v="ORD08699"/>
    <d v="2025-03-18T00:00:00"/>
    <x v="9"/>
    <x v="39"/>
    <x v="3"/>
    <s v="UAE"/>
    <x v="10"/>
    <x v="2"/>
    <n v="37962"/>
    <n v="41382"/>
  </r>
  <r>
    <s v="ORD08700"/>
    <d v="2025-02-07T00:00:00"/>
    <x v="6"/>
    <x v="48"/>
    <x v="2"/>
    <s v="Canada"/>
    <x v="0"/>
    <x v="8"/>
    <n v="22081"/>
    <n v="19328"/>
  </r>
  <r>
    <s v="ORD08701"/>
    <d v="2025-12-10T00:00:00"/>
    <x v="10"/>
    <x v="32"/>
    <x v="6"/>
    <s v="Italy"/>
    <x v="5"/>
    <x v="12"/>
    <n v="18616"/>
    <n v="14489"/>
  </r>
  <r>
    <s v="ORD08702"/>
    <d v="2025-07-06T00:00:00"/>
    <x v="0"/>
    <x v="37"/>
    <x v="2"/>
    <s v="UAE"/>
    <x v="40"/>
    <x v="9"/>
    <n v="34876"/>
    <n v="40645"/>
  </r>
  <r>
    <s v="ORD08703"/>
    <d v="2025-06-09T00:00:00"/>
    <x v="5"/>
    <x v="40"/>
    <x v="5"/>
    <s v="Japan"/>
    <x v="28"/>
    <x v="24"/>
    <n v="25202"/>
    <n v="20482"/>
  </r>
  <r>
    <s v="ORD08704"/>
    <d v="2025-01-05T00:00:00"/>
    <x v="1"/>
    <x v="5"/>
    <x v="2"/>
    <s v="Italy"/>
    <x v="48"/>
    <x v="21"/>
    <n v="15751"/>
    <n v="17775"/>
  </r>
  <r>
    <s v="ORD08705"/>
    <d v="2025-08-28T00:00:00"/>
    <x v="11"/>
    <x v="28"/>
    <x v="0"/>
    <s v="Italy"/>
    <x v="4"/>
    <x v="4"/>
    <n v="25221"/>
    <n v="29068"/>
  </r>
  <r>
    <s v="ORD08706"/>
    <d v="2025-10-21T00:00:00"/>
    <x v="4"/>
    <x v="50"/>
    <x v="2"/>
    <s v="Australia"/>
    <x v="35"/>
    <x v="20"/>
    <n v="25508"/>
    <n v="28747"/>
  </r>
  <r>
    <s v="ORD08707"/>
    <d v="2025-03-28T00:00:00"/>
    <x v="9"/>
    <x v="33"/>
    <x v="1"/>
    <s v="China"/>
    <x v="28"/>
    <x v="15"/>
    <n v="16640"/>
    <n v="20016"/>
  </r>
  <r>
    <s v="ORD08708"/>
    <d v="2025-01-13T00:00:00"/>
    <x v="1"/>
    <x v="1"/>
    <x v="2"/>
    <s v="India"/>
    <x v="18"/>
    <x v="12"/>
    <n v="26879"/>
    <n v="26867"/>
  </r>
  <r>
    <s v="ORD08709"/>
    <d v="2025-11-10T00:00:00"/>
    <x v="2"/>
    <x v="44"/>
    <x v="4"/>
    <s v="UK"/>
    <x v="29"/>
    <x v="8"/>
    <n v="32215"/>
    <n v="24490"/>
  </r>
  <r>
    <s v="ORD08710"/>
    <d v="2025-03-16T00:00:00"/>
    <x v="9"/>
    <x v="19"/>
    <x v="0"/>
    <s v="Thailand"/>
    <x v="5"/>
    <x v="4"/>
    <n v="15156"/>
    <n v="19573"/>
  </r>
  <r>
    <s v="ORD08711"/>
    <d v="2025-08-10T00:00:00"/>
    <x v="11"/>
    <x v="23"/>
    <x v="6"/>
    <s v="Malaysia"/>
    <x v="48"/>
    <x v="1"/>
    <n v="35273"/>
    <n v="35586"/>
  </r>
  <r>
    <s v="ORD08712"/>
    <d v="2025-02-10T00:00:00"/>
    <x v="6"/>
    <x v="29"/>
    <x v="2"/>
    <s v="Singapore"/>
    <x v="7"/>
    <x v="20"/>
    <n v="34532"/>
    <n v="25068"/>
  </r>
  <r>
    <s v="ORD08713"/>
    <d v="2025-10-12T00:00:00"/>
    <x v="4"/>
    <x v="45"/>
    <x v="6"/>
    <s v="India"/>
    <x v="46"/>
    <x v="5"/>
    <n v="34527"/>
    <n v="26684"/>
  </r>
  <r>
    <s v="ORD08714"/>
    <d v="2025-02-16T00:00:00"/>
    <x v="6"/>
    <x v="29"/>
    <x v="1"/>
    <s v="China"/>
    <x v="17"/>
    <x v="10"/>
    <n v="38548"/>
    <n v="34018"/>
  </r>
  <r>
    <s v="ORD08715"/>
    <d v="2025-12-29T00:00:00"/>
    <x v="10"/>
    <x v="5"/>
    <x v="4"/>
    <s v="Canada"/>
    <x v="28"/>
    <x v="23"/>
    <n v="31924"/>
    <n v="37652"/>
  </r>
  <r>
    <s v="ORD08716"/>
    <d v="2025-12-02T00:00:00"/>
    <x v="10"/>
    <x v="43"/>
    <x v="6"/>
    <s v="USA"/>
    <x v="28"/>
    <x v="12"/>
    <n v="17964"/>
    <n v="12945"/>
  </r>
  <r>
    <s v="ORD08717"/>
    <d v="2025-01-17T00:00:00"/>
    <x v="1"/>
    <x v="1"/>
    <x v="3"/>
    <s v="South Africa"/>
    <x v="29"/>
    <x v="11"/>
    <n v="22687"/>
    <n v="24975"/>
  </r>
  <r>
    <s v="ORD08718"/>
    <d v="2025-10-15T00:00:00"/>
    <x v="4"/>
    <x v="10"/>
    <x v="2"/>
    <s v="Singapore"/>
    <x v="24"/>
    <x v="6"/>
    <n v="29300"/>
    <n v="34623"/>
  </r>
  <r>
    <s v="ORD08719"/>
    <d v="2025-08-28T00:00:00"/>
    <x v="11"/>
    <x v="28"/>
    <x v="0"/>
    <s v="Spain"/>
    <x v="4"/>
    <x v="29"/>
    <n v="21926"/>
    <n v="17458"/>
  </r>
  <r>
    <s v="ORD08720"/>
    <d v="2025-05-17T00:00:00"/>
    <x v="8"/>
    <x v="17"/>
    <x v="5"/>
    <s v="South Africa"/>
    <x v="39"/>
    <x v="26"/>
    <n v="19760"/>
    <n v="14645"/>
  </r>
  <r>
    <s v="ORD08721"/>
    <d v="2025-09-12T00:00:00"/>
    <x v="3"/>
    <x v="31"/>
    <x v="1"/>
    <s v="Brazil"/>
    <x v="8"/>
    <x v="19"/>
    <n v="38267"/>
    <n v="38935"/>
  </r>
  <r>
    <s v="ORD08722"/>
    <d v="2025-09-04T00:00:00"/>
    <x v="3"/>
    <x v="4"/>
    <x v="5"/>
    <s v="UAE"/>
    <x v="17"/>
    <x v="11"/>
    <n v="30820"/>
    <n v="29123"/>
  </r>
  <r>
    <s v="ORD08723"/>
    <d v="2025-06-10T00:00:00"/>
    <x v="5"/>
    <x v="40"/>
    <x v="6"/>
    <s v="China"/>
    <x v="22"/>
    <x v="20"/>
    <n v="31493"/>
    <n v="25509"/>
  </r>
  <r>
    <s v="ORD08724"/>
    <d v="2025-07-03T00:00:00"/>
    <x v="0"/>
    <x v="37"/>
    <x v="4"/>
    <s v="Australia"/>
    <x v="23"/>
    <x v="28"/>
    <n v="28327"/>
    <n v="21943"/>
  </r>
  <r>
    <s v="ORD08725"/>
    <d v="2025-03-28T00:00:00"/>
    <x v="9"/>
    <x v="33"/>
    <x v="1"/>
    <s v="Australia"/>
    <x v="26"/>
    <x v="19"/>
    <n v="31798"/>
    <n v="29146"/>
  </r>
  <r>
    <s v="ORD08726"/>
    <d v="2025-02-15T00:00:00"/>
    <x v="6"/>
    <x v="29"/>
    <x v="0"/>
    <s v="Italy"/>
    <x v="15"/>
    <x v="26"/>
    <n v="17831"/>
    <n v="22649"/>
  </r>
  <r>
    <s v="ORD08727"/>
    <d v="2025-06-24T00:00:00"/>
    <x v="5"/>
    <x v="36"/>
    <x v="6"/>
    <s v="Canada"/>
    <x v="37"/>
    <x v="23"/>
    <n v="22744"/>
    <n v="18303"/>
  </r>
  <r>
    <s v="ORD08728"/>
    <d v="2025-12-28T00:00:00"/>
    <x v="10"/>
    <x v="42"/>
    <x v="5"/>
    <s v="UAE"/>
    <x v="7"/>
    <x v="11"/>
    <n v="28469"/>
    <n v="36278"/>
  </r>
  <r>
    <s v="ORD08729"/>
    <d v="2025-06-12T00:00:00"/>
    <x v="5"/>
    <x v="40"/>
    <x v="4"/>
    <s v="Germany"/>
    <x v="8"/>
    <x v="0"/>
    <n v="32749"/>
    <n v="40990"/>
  </r>
  <r>
    <s v="ORD08730"/>
    <d v="2025-03-11T00:00:00"/>
    <x v="9"/>
    <x v="19"/>
    <x v="3"/>
    <s v="USA"/>
    <x v="31"/>
    <x v="18"/>
    <n v="37951"/>
    <n v="47357"/>
  </r>
  <r>
    <s v="ORD08731"/>
    <d v="2025-09-06T00:00:00"/>
    <x v="3"/>
    <x v="4"/>
    <x v="2"/>
    <s v="Japan"/>
    <x v="6"/>
    <x v="5"/>
    <n v="39917"/>
    <n v="43731"/>
  </r>
  <r>
    <s v="ORD08732"/>
    <d v="2025-11-28T00:00:00"/>
    <x v="2"/>
    <x v="11"/>
    <x v="0"/>
    <s v="Spain"/>
    <x v="4"/>
    <x v="5"/>
    <n v="31578"/>
    <n v="25217"/>
  </r>
  <r>
    <s v="ORD08733"/>
    <d v="2025-02-23T00:00:00"/>
    <x v="6"/>
    <x v="15"/>
    <x v="5"/>
    <s v="Germany"/>
    <x v="13"/>
    <x v="3"/>
    <n v="24549"/>
    <n v="30405"/>
  </r>
  <r>
    <s v="ORD08734"/>
    <d v="2025-02-09T00:00:00"/>
    <x v="6"/>
    <x v="48"/>
    <x v="2"/>
    <s v="UK"/>
    <x v="41"/>
    <x v="13"/>
    <n v="37422"/>
    <n v="33992"/>
  </r>
  <r>
    <s v="ORD08735"/>
    <d v="2025-10-17T00:00:00"/>
    <x v="4"/>
    <x v="10"/>
    <x v="1"/>
    <s v="Italy"/>
    <x v="8"/>
    <x v="7"/>
    <n v="21130"/>
    <n v="19651"/>
  </r>
  <r>
    <s v="ORD08736"/>
    <d v="2025-02-12T00:00:00"/>
    <x v="6"/>
    <x v="29"/>
    <x v="3"/>
    <s v="Italy"/>
    <x v="17"/>
    <x v="2"/>
    <n v="32058"/>
    <n v="31087"/>
  </r>
  <r>
    <s v="ORD08737"/>
    <d v="2025-08-30T00:00:00"/>
    <x v="11"/>
    <x v="28"/>
    <x v="4"/>
    <s v="UK"/>
    <x v="3"/>
    <x v="4"/>
    <n v="18687"/>
    <n v="15237"/>
  </r>
  <r>
    <s v="ORD08738"/>
    <d v="2025-06-08T00:00:00"/>
    <x v="5"/>
    <x v="41"/>
    <x v="5"/>
    <s v="Australia"/>
    <x v="42"/>
    <x v="16"/>
    <n v="36332"/>
    <n v="41707"/>
  </r>
  <r>
    <s v="ORD08739"/>
    <d v="2025-05-10T00:00:00"/>
    <x v="8"/>
    <x v="18"/>
    <x v="2"/>
    <s v="France"/>
    <x v="29"/>
    <x v="18"/>
    <n v="38996"/>
    <n v="32436"/>
  </r>
  <r>
    <s v="ORD08740"/>
    <d v="2025-07-19T00:00:00"/>
    <x v="0"/>
    <x v="14"/>
    <x v="6"/>
    <s v="France"/>
    <x v="48"/>
    <x v="25"/>
    <n v="23521"/>
    <n v="17948"/>
  </r>
  <r>
    <s v="ORD08741"/>
    <d v="2025-11-18T00:00:00"/>
    <x v="2"/>
    <x v="9"/>
    <x v="5"/>
    <s v="Germany"/>
    <x v="42"/>
    <x v="3"/>
    <n v="38214"/>
    <n v="35720"/>
  </r>
  <r>
    <s v="ORD08742"/>
    <d v="2025-10-04T00:00:00"/>
    <x v="4"/>
    <x v="49"/>
    <x v="6"/>
    <s v="Canada"/>
    <x v="45"/>
    <x v="28"/>
    <n v="31052"/>
    <n v="28416"/>
  </r>
  <r>
    <s v="ORD08743"/>
    <d v="2025-08-26T00:00:00"/>
    <x v="11"/>
    <x v="28"/>
    <x v="6"/>
    <s v="Japan"/>
    <x v="41"/>
    <x v="14"/>
    <n v="24320"/>
    <n v="20053"/>
  </r>
  <r>
    <s v="ORD08744"/>
    <d v="2025-10-29T00:00:00"/>
    <x v="4"/>
    <x v="2"/>
    <x v="4"/>
    <s v="South Africa"/>
    <x v="29"/>
    <x v="29"/>
    <n v="34106"/>
    <n v="37404"/>
  </r>
  <r>
    <s v="ORD08745"/>
    <d v="2025-11-04T00:00:00"/>
    <x v="2"/>
    <x v="51"/>
    <x v="3"/>
    <s v="Thailand"/>
    <x v="26"/>
    <x v="17"/>
    <n v="17844"/>
    <n v="16680"/>
  </r>
  <r>
    <s v="ORD08746"/>
    <d v="2025-08-25T00:00:00"/>
    <x v="11"/>
    <x v="28"/>
    <x v="6"/>
    <s v="Russia"/>
    <x v="25"/>
    <x v="18"/>
    <n v="24932"/>
    <n v="24364"/>
  </r>
  <r>
    <s v="ORD08747"/>
    <d v="2025-10-02T00:00:00"/>
    <x v="4"/>
    <x v="49"/>
    <x v="1"/>
    <s v="South Africa"/>
    <x v="26"/>
    <x v="7"/>
    <n v="29254"/>
    <n v="24212"/>
  </r>
  <r>
    <s v="ORD08748"/>
    <d v="2025-09-14T00:00:00"/>
    <x v="3"/>
    <x v="31"/>
    <x v="1"/>
    <s v="Singapore"/>
    <x v="36"/>
    <x v="8"/>
    <n v="30169"/>
    <n v="24150"/>
  </r>
  <r>
    <s v="ORD08749"/>
    <d v="2025-05-05T00:00:00"/>
    <x v="8"/>
    <x v="18"/>
    <x v="6"/>
    <s v="Turkey"/>
    <x v="29"/>
    <x v="24"/>
    <n v="22057"/>
    <n v="20653"/>
  </r>
  <r>
    <s v="ORD08750"/>
    <d v="2025-12-18T00:00:00"/>
    <x v="10"/>
    <x v="21"/>
    <x v="2"/>
    <s v="Japan"/>
    <x v="23"/>
    <x v="19"/>
    <n v="37220"/>
    <n v="37522"/>
  </r>
  <r>
    <s v="ORD08751"/>
    <d v="2025-03-18T00:00:00"/>
    <x v="9"/>
    <x v="39"/>
    <x v="3"/>
    <s v="Thailand"/>
    <x v="41"/>
    <x v="25"/>
    <n v="27866"/>
    <n v="36188"/>
  </r>
  <r>
    <s v="ORD08752"/>
    <d v="2025-02-02T00:00:00"/>
    <x v="6"/>
    <x v="3"/>
    <x v="4"/>
    <s v="Singapore"/>
    <x v="42"/>
    <x v="6"/>
    <n v="29343"/>
    <n v="26565"/>
  </r>
  <r>
    <s v="ORD08753"/>
    <d v="2025-12-15T00:00:00"/>
    <x v="10"/>
    <x v="21"/>
    <x v="6"/>
    <s v="Brazil"/>
    <x v="14"/>
    <x v="7"/>
    <n v="37471"/>
    <n v="29176"/>
  </r>
  <r>
    <s v="ORD08754"/>
    <d v="2025-05-01T00:00:00"/>
    <x v="8"/>
    <x v="27"/>
    <x v="1"/>
    <s v="Canada"/>
    <x v="4"/>
    <x v="6"/>
    <n v="18789"/>
    <n v="18935"/>
  </r>
  <r>
    <s v="ORD08755"/>
    <d v="2025-06-04T00:00:00"/>
    <x v="5"/>
    <x v="41"/>
    <x v="2"/>
    <s v="Japan"/>
    <x v="15"/>
    <x v="17"/>
    <n v="17334"/>
    <n v="13829"/>
  </r>
  <r>
    <s v="ORD08756"/>
    <d v="2025-03-24T00:00:00"/>
    <x v="9"/>
    <x v="33"/>
    <x v="1"/>
    <s v="South Africa"/>
    <x v="6"/>
    <x v="12"/>
    <n v="19599"/>
    <n v="21276"/>
  </r>
  <r>
    <s v="ORD08757"/>
    <d v="2025-07-02T00:00:00"/>
    <x v="0"/>
    <x v="37"/>
    <x v="3"/>
    <s v="Turkey"/>
    <x v="8"/>
    <x v="9"/>
    <n v="28278"/>
    <n v="35084"/>
  </r>
  <r>
    <s v="ORD08758"/>
    <d v="2025-09-09T00:00:00"/>
    <x v="3"/>
    <x v="31"/>
    <x v="0"/>
    <s v="Germany"/>
    <x v="20"/>
    <x v="26"/>
    <n v="29458"/>
    <n v="24649"/>
  </r>
  <r>
    <s v="ORD08759"/>
    <d v="2025-10-04T00:00:00"/>
    <x v="4"/>
    <x v="49"/>
    <x v="3"/>
    <s v="Germany"/>
    <x v="22"/>
    <x v="2"/>
    <n v="17043"/>
    <n v="19884"/>
  </r>
  <r>
    <s v="ORD08760"/>
    <d v="2025-04-13T00:00:00"/>
    <x v="7"/>
    <x v="16"/>
    <x v="5"/>
    <s v="UK"/>
    <x v="6"/>
    <x v="25"/>
    <n v="27144"/>
    <n v="25219"/>
  </r>
  <r>
    <s v="ORD08761"/>
    <d v="2025-08-14T00:00:00"/>
    <x v="11"/>
    <x v="30"/>
    <x v="6"/>
    <s v="South Africa"/>
    <x v="47"/>
    <x v="16"/>
    <n v="38456"/>
    <n v="32332"/>
  </r>
  <r>
    <s v="ORD08762"/>
    <d v="2025-07-14T00:00:00"/>
    <x v="0"/>
    <x v="14"/>
    <x v="6"/>
    <s v="Mexico"/>
    <x v="18"/>
    <x v="15"/>
    <n v="24038"/>
    <n v="28381"/>
  </r>
  <r>
    <s v="ORD08763"/>
    <d v="2025-01-24T00:00:00"/>
    <x v="1"/>
    <x v="7"/>
    <x v="4"/>
    <s v="Malaysia"/>
    <x v="2"/>
    <x v="28"/>
    <n v="18132"/>
    <n v="18808"/>
  </r>
  <r>
    <s v="ORD08764"/>
    <d v="2025-09-29T00:00:00"/>
    <x v="3"/>
    <x v="49"/>
    <x v="6"/>
    <s v="Italy"/>
    <x v="22"/>
    <x v="29"/>
    <n v="27980"/>
    <n v="23687"/>
  </r>
  <r>
    <s v="ORD08765"/>
    <d v="2025-09-11T00:00:00"/>
    <x v="3"/>
    <x v="31"/>
    <x v="0"/>
    <s v="China"/>
    <x v="48"/>
    <x v="1"/>
    <n v="35140"/>
    <n v="36791"/>
  </r>
  <r>
    <s v="ORD08766"/>
    <d v="2025-01-28T00:00:00"/>
    <x v="1"/>
    <x v="3"/>
    <x v="0"/>
    <s v="Canada"/>
    <x v="11"/>
    <x v="25"/>
    <n v="19530"/>
    <n v="20888"/>
  </r>
  <r>
    <s v="ORD08767"/>
    <d v="2025-03-13T00:00:00"/>
    <x v="9"/>
    <x v="19"/>
    <x v="3"/>
    <s v="Brazil"/>
    <x v="37"/>
    <x v="21"/>
    <n v="28180"/>
    <n v="24797"/>
  </r>
  <r>
    <s v="ORD08768"/>
    <d v="2025-08-27T00:00:00"/>
    <x v="11"/>
    <x v="28"/>
    <x v="3"/>
    <s v="Japan"/>
    <x v="40"/>
    <x v="20"/>
    <n v="36733"/>
    <n v="42542"/>
  </r>
  <r>
    <s v="ORD08769"/>
    <d v="2025-12-22T00:00:00"/>
    <x v="10"/>
    <x v="42"/>
    <x v="1"/>
    <s v="USA"/>
    <x v="15"/>
    <x v="28"/>
    <n v="22504"/>
    <n v="24559"/>
  </r>
  <r>
    <s v="ORD08770"/>
    <d v="2025-03-02T00:00:00"/>
    <x v="9"/>
    <x v="22"/>
    <x v="5"/>
    <s v="South Africa"/>
    <x v="45"/>
    <x v="7"/>
    <n v="35495"/>
    <n v="26418"/>
  </r>
  <r>
    <s v="ORD08771"/>
    <d v="2025-08-28T00:00:00"/>
    <x v="11"/>
    <x v="28"/>
    <x v="0"/>
    <s v="South Africa"/>
    <x v="40"/>
    <x v="3"/>
    <n v="18178"/>
    <n v="14226"/>
  </r>
  <r>
    <s v="ORD08772"/>
    <d v="2025-03-05T00:00:00"/>
    <x v="9"/>
    <x v="35"/>
    <x v="1"/>
    <s v="Malaysia"/>
    <x v="46"/>
    <x v="21"/>
    <n v="27742"/>
    <n v="26343"/>
  </r>
  <r>
    <s v="ORD08773"/>
    <d v="2025-05-28T00:00:00"/>
    <x v="8"/>
    <x v="24"/>
    <x v="0"/>
    <s v="Russia"/>
    <x v="44"/>
    <x v="4"/>
    <n v="36251"/>
    <n v="39497"/>
  </r>
  <r>
    <s v="ORD08774"/>
    <d v="2025-11-12T00:00:00"/>
    <x v="2"/>
    <x v="44"/>
    <x v="4"/>
    <s v="Canada"/>
    <x v="40"/>
    <x v="28"/>
    <n v="27681"/>
    <n v="26225"/>
  </r>
  <r>
    <s v="ORD08775"/>
    <d v="2025-07-28T00:00:00"/>
    <x v="0"/>
    <x v="12"/>
    <x v="1"/>
    <s v="USA"/>
    <x v="15"/>
    <x v="18"/>
    <n v="35977"/>
    <n v="33462"/>
  </r>
  <r>
    <s v="ORD08776"/>
    <d v="2025-08-22T00:00:00"/>
    <x v="11"/>
    <x v="46"/>
    <x v="3"/>
    <s v="India"/>
    <x v="33"/>
    <x v="6"/>
    <n v="31728"/>
    <n v="25978"/>
  </r>
  <r>
    <s v="ORD08777"/>
    <d v="2025-08-09T00:00:00"/>
    <x v="11"/>
    <x v="23"/>
    <x v="5"/>
    <s v="Thailand"/>
    <x v="46"/>
    <x v="5"/>
    <n v="23901"/>
    <n v="18115"/>
  </r>
  <r>
    <s v="ORD08778"/>
    <d v="2025-12-22T00:00:00"/>
    <x v="10"/>
    <x v="42"/>
    <x v="3"/>
    <s v="Turkey"/>
    <x v="0"/>
    <x v="12"/>
    <n v="18567"/>
    <n v="15617"/>
  </r>
  <r>
    <s v="ORD08779"/>
    <d v="2025-07-11T00:00:00"/>
    <x v="0"/>
    <x v="47"/>
    <x v="2"/>
    <s v="Canada"/>
    <x v="27"/>
    <x v="8"/>
    <n v="38184"/>
    <n v="28558"/>
  </r>
  <r>
    <s v="ORD08780"/>
    <d v="2025-05-26T00:00:00"/>
    <x v="8"/>
    <x v="24"/>
    <x v="5"/>
    <s v="Spain"/>
    <x v="33"/>
    <x v="25"/>
    <n v="39766"/>
    <n v="28057"/>
  </r>
  <r>
    <s v="ORD08781"/>
    <d v="2025-04-28T00:00:00"/>
    <x v="7"/>
    <x v="27"/>
    <x v="3"/>
    <s v="USA"/>
    <x v="8"/>
    <x v="19"/>
    <n v="15119"/>
    <n v="17838"/>
  </r>
  <r>
    <s v="ORD08782"/>
    <d v="2025-09-18T00:00:00"/>
    <x v="3"/>
    <x v="8"/>
    <x v="3"/>
    <s v="South Africa"/>
    <x v="4"/>
    <x v="27"/>
    <n v="18037"/>
    <n v="17989"/>
  </r>
  <r>
    <s v="ORD08783"/>
    <d v="2025-07-27T00:00:00"/>
    <x v="0"/>
    <x v="0"/>
    <x v="3"/>
    <s v="Italy"/>
    <x v="44"/>
    <x v="2"/>
    <n v="25058"/>
    <n v="18784"/>
  </r>
  <r>
    <s v="ORD08784"/>
    <d v="2025-04-21T00:00:00"/>
    <x v="7"/>
    <x v="38"/>
    <x v="2"/>
    <s v="Mexico"/>
    <x v="4"/>
    <x v="11"/>
    <n v="37552"/>
    <n v="28112"/>
  </r>
  <r>
    <s v="ORD08785"/>
    <d v="2025-08-14T00:00:00"/>
    <x v="11"/>
    <x v="30"/>
    <x v="0"/>
    <s v="UK"/>
    <x v="38"/>
    <x v="19"/>
    <n v="30828"/>
    <n v="36350"/>
  </r>
  <r>
    <s v="ORD08786"/>
    <d v="2025-09-04T00:00:00"/>
    <x v="3"/>
    <x v="4"/>
    <x v="1"/>
    <s v="France"/>
    <x v="11"/>
    <x v="26"/>
    <n v="24708"/>
    <n v="27811"/>
  </r>
  <r>
    <s v="ORD08787"/>
    <d v="2025-05-19T00:00:00"/>
    <x v="8"/>
    <x v="26"/>
    <x v="2"/>
    <s v="Thailand"/>
    <x v="16"/>
    <x v="5"/>
    <n v="35685"/>
    <n v="39368"/>
  </r>
  <r>
    <s v="ORD08788"/>
    <d v="2025-04-14T00:00:00"/>
    <x v="7"/>
    <x v="20"/>
    <x v="4"/>
    <s v="Italy"/>
    <x v="19"/>
    <x v="23"/>
    <n v="25760"/>
    <n v="29189"/>
  </r>
  <r>
    <s v="ORD08789"/>
    <d v="2025-05-04T00:00:00"/>
    <x v="8"/>
    <x v="27"/>
    <x v="3"/>
    <s v="USA"/>
    <x v="21"/>
    <x v="8"/>
    <n v="27173"/>
    <n v="24115"/>
  </r>
  <r>
    <s v="ORD08790"/>
    <d v="2025-05-03T00:00:00"/>
    <x v="8"/>
    <x v="27"/>
    <x v="4"/>
    <s v="Germany"/>
    <x v="33"/>
    <x v="23"/>
    <n v="35905"/>
    <n v="36821"/>
  </r>
  <r>
    <s v="ORD08791"/>
    <d v="2025-10-16T00:00:00"/>
    <x v="4"/>
    <x v="10"/>
    <x v="0"/>
    <s v="Australia"/>
    <x v="31"/>
    <x v="24"/>
    <n v="34039"/>
    <n v="44178"/>
  </r>
  <r>
    <s v="ORD08792"/>
    <d v="2025-01-31T00:00:00"/>
    <x v="1"/>
    <x v="3"/>
    <x v="6"/>
    <s v="Spain"/>
    <x v="10"/>
    <x v="10"/>
    <n v="15438"/>
    <n v="16256"/>
  </r>
  <r>
    <s v="ORD08793"/>
    <d v="2025-02-06T00:00:00"/>
    <x v="6"/>
    <x v="48"/>
    <x v="6"/>
    <s v="Italy"/>
    <x v="20"/>
    <x v="20"/>
    <n v="35481"/>
    <n v="35950"/>
  </r>
  <r>
    <s v="ORD08794"/>
    <d v="2025-03-03T00:00:00"/>
    <x v="9"/>
    <x v="35"/>
    <x v="2"/>
    <s v="Spain"/>
    <x v="43"/>
    <x v="10"/>
    <n v="22483"/>
    <n v="23048"/>
  </r>
  <r>
    <s v="ORD08795"/>
    <d v="2025-01-10T00:00:00"/>
    <x v="1"/>
    <x v="6"/>
    <x v="5"/>
    <s v="Russia"/>
    <x v="22"/>
    <x v="29"/>
    <n v="22520"/>
    <n v="22003"/>
  </r>
  <r>
    <s v="ORD08796"/>
    <d v="2025-09-27T00:00:00"/>
    <x v="3"/>
    <x v="25"/>
    <x v="1"/>
    <s v="Japan"/>
    <x v="38"/>
    <x v="22"/>
    <n v="18427"/>
    <n v="19305"/>
  </r>
  <r>
    <s v="ORD08797"/>
    <d v="2025-02-22T00:00:00"/>
    <x v="6"/>
    <x v="15"/>
    <x v="0"/>
    <s v="Canada"/>
    <x v="22"/>
    <x v="0"/>
    <n v="37719"/>
    <n v="34248"/>
  </r>
  <r>
    <s v="ORD08798"/>
    <d v="2025-11-03T00:00:00"/>
    <x v="2"/>
    <x v="51"/>
    <x v="4"/>
    <s v="Turkey"/>
    <x v="22"/>
    <x v="28"/>
    <n v="27469"/>
    <n v="23674"/>
  </r>
  <r>
    <s v="ORD08799"/>
    <d v="2025-06-24T00:00:00"/>
    <x v="5"/>
    <x v="36"/>
    <x v="6"/>
    <s v="Canada"/>
    <x v="19"/>
    <x v="29"/>
    <n v="36507"/>
    <n v="30386"/>
  </r>
  <r>
    <s v="ORD08800"/>
    <d v="2025-08-15T00:00:00"/>
    <x v="11"/>
    <x v="30"/>
    <x v="5"/>
    <s v="South Africa"/>
    <x v="15"/>
    <x v="15"/>
    <n v="37341"/>
    <n v="44349"/>
  </r>
  <r>
    <s v="ORD08801"/>
    <d v="2025-08-11T00:00:00"/>
    <x v="11"/>
    <x v="30"/>
    <x v="4"/>
    <s v="Italy"/>
    <x v="13"/>
    <x v="11"/>
    <n v="34545"/>
    <n v="39602"/>
  </r>
  <r>
    <s v="ORD08802"/>
    <d v="2025-03-18T00:00:00"/>
    <x v="9"/>
    <x v="39"/>
    <x v="3"/>
    <s v="Mexico"/>
    <x v="26"/>
    <x v="20"/>
    <n v="18016"/>
    <n v="12833"/>
  </r>
  <r>
    <s v="ORD08803"/>
    <d v="2025-12-17T00:00:00"/>
    <x v="10"/>
    <x v="21"/>
    <x v="4"/>
    <s v="Germany"/>
    <x v="9"/>
    <x v="1"/>
    <n v="31929"/>
    <n v="30528"/>
  </r>
  <r>
    <s v="ORD08804"/>
    <d v="2025-02-05T00:00:00"/>
    <x v="6"/>
    <x v="48"/>
    <x v="0"/>
    <s v="UK"/>
    <x v="3"/>
    <x v="3"/>
    <n v="29185"/>
    <n v="29109"/>
  </r>
  <r>
    <s v="ORD08805"/>
    <d v="2025-07-23T00:00:00"/>
    <x v="0"/>
    <x v="0"/>
    <x v="2"/>
    <s v="Canada"/>
    <x v="47"/>
    <x v="12"/>
    <n v="17950"/>
    <n v="20651"/>
  </r>
  <r>
    <s v="ORD08806"/>
    <d v="2025-07-23T00:00:00"/>
    <x v="0"/>
    <x v="0"/>
    <x v="5"/>
    <s v="Italy"/>
    <x v="25"/>
    <x v="19"/>
    <n v="20015"/>
    <n v="22585"/>
  </r>
  <r>
    <s v="ORD08807"/>
    <d v="2025-08-16T00:00:00"/>
    <x v="11"/>
    <x v="30"/>
    <x v="5"/>
    <s v="Turkey"/>
    <x v="23"/>
    <x v="0"/>
    <n v="29990"/>
    <n v="29970"/>
  </r>
  <r>
    <s v="ORD08808"/>
    <d v="2025-05-26T00:00:00"/>
    <x v="8"/>
    <x v="24"/>
    <x v="1"/>
    <s v="Germany"/>
    <x v="37"/>
    <x v="25"/>
    <n v="37447"/>
    <n v="32332"/>
  </r>
  <r>
    <s v="ORD08809"/>
    <d v="2025-08-04T00:00:00"/>
    <x v="11"/>
    <x v="23"/>
    <x v="4"/>
    <s v="Germany"/>
    <x v="49"/>
    <x v="8"/>
    <n v="30547"/>
    <n v="35964"/>
  </r>
  <r>
    <s v="ORD08810"/>
    <d v="2025-06-02T00:00:00"/>
    <x v="5"/>
    <x v="41"/>
    <x v="4"/>
    <s v="USA"/>
    <x v="47"/>
    <x v="16"/>
    <n v="15162"/>
    <n v="15652"/>
  </r>
  <r>
    <s v="ORD08811"/>
    <d v="2025-11-11T00:00:00"/>
    <x v="2"/>
    <x v="44"/>
    <x v="4"/>
    <s v="Thailand"/>
    <x v="12"/>
    <x v="2"/>
    <n v="38528"/>
    <n v="39240"/>
  </r>
  <r>
    <s v="ORD08812"/>
    <d v="2025-05-15T00:00:00"/>
    <x v="8"/>
    <x v="17"/>
    <x v="4"/>
    <s v="USA"/>
    <x v="22"/>
    <x v="29"/>
    <n v="20598"/>
    <n v="17403"/>
  </r>
  <r>
    <s v="ORD08813"/>
    <d v="2025-09-03T00:00:00"/>
    <x v="3"/>
    <x v="4"/>
    <x v="6"/>
    <s v="Turkey"/>
    <x v="15"/>
    <x v="4"/>
    <n v="32679"/>
    <n v="39208"/>
  </r>
  <r>
    <s v="ORD08814"/>
    <d v="2025-06-21T00:00:00"/>
    <x v="5"/>
    <x v="13"/>
    <x v="4"/>
    <s v="Japan"/>
    <x v="40"/>
    <x v="20"/>
    <n v="29144"/>
    <n v="28763"/>
  </r>
  <r>
    <s v="ORD08815"/>
    <d v="2025-04-05T00:00:00"/>
    <x v="7"/>
    <x v="34"/>
    <x v="2"/>
    <s v="France"/>
    <x v="35"/>
    <x v="24"/>
    <n v="34742"/>
    <n v="42460"/>
  </r>
  <r>
    <s v="ORD08816"/>
    <d v="2025-12-13T00:00:00"/>
    <x v="10"/>
    <x v="32"/>
    <x v="2"/>
    <s v="Mexico"/>
    <x v="48"/>
    <x v="26"/>
    <n v="25753"/>
    <n v="23974"/>
  </r>
  <r>
    <s v="ORD08817"/>
    <d v="2025-12-01T00:00:00"/>
    <x v="10"/>
    <x v="43"/>
    <x v="0"/>
    <s v="Turkey"/>
    <x v="15"/>
    <x v="3"/>
    <n v="34650"/>
    <n v="44057"/>
  </r>
  <r>
    <s v="ORD08818"/>
    <d v="2025-04-21T00:00:00"/>
    <x v="7"/>
    <x v="38"/>
    <x v="2"/>
    <s v="UK"/>
    <x v="36"/>
    <x v="2"/>
    <n v="31101"/>
    <n v="40370"/>
  </r>
  <r>
    <s v="ORD08819"/>
    <d v="2025-05-03T00:00:00"/>
    <x v="8"/>
    <x v="27"/>
    <x v="1"/>
    <s v="Russia"/>
    <x v="13"/>
    <x v="26"/>
    <n v="30657"/>
    <n v="22691"/>
  </r>
  <r>
    <s v="ORD08820"/>
    <d v="2025-07-19T00:00:00"/>
    <x v="0"/>
    <x v="14"/>
    <x v="1"/>
    <s v="China"/>
    <x v="5"/>
    <x v="25"/>
    <n v="18689"/>
    <n v="19486"/>
  </r>
  <r>
    <s v="ORD08821"/>
    <d v="2025-04-04T00:00:00"/>
    <x v="7"/>
    <x v="34"/>
    <x v="3"/>
    <s v="Italy"/>
    <x v="5"/>
    <x v="14"/>
    <n v="27245"/>
    <n v="31584"/>
  </r>
  <r>
    <s v="ORD08822"/>
    <d v="2025-03-16T00:00:00"/>
    <x v="9"/>
    <x v="19"/>
    <x v="0"/>
    <s v="Spain"/>
    <x v="48"/>
    <x v="16"/>
    <n v="35731"/>
    <n v="32321"/>
  </r>
  <r>
    <s v="ORD08823"/>
    <d v="2025-01-20T00:00:00"/>
    <x v="1"/>
    <x v="7"/>
    <x v="6"/>
    <s v="UAE"/>
    <x v="11"/>
    <x v="26"/>
    <n v="33651"/>
    <n v="35212"/>
  </r>
  <r>
    <s v="ORD08824"/>
    <d v="2025-09-16T00:00:00"/>
    <x v="3"/>
    <x v="8"/>
    <x v="5"/>
    <s v="Turkey"/>
    <x v="48"/>
    <x v="21"/>
    <n v="19839"/>
    <n v="24870"/>
  </r>
  <r>
    <s v="ORD08825"/>
    <d v="2025-11-12T00:00:00"/>
    <x v="2"/>
    <x v="44"/>
    <x v="6"/>
    <s v="Japan"/>
    <x v="2"/>
    <x v="8"/>
    <n v="33589"/>
    <n v="33413"/>
  </r>
  <r>
    <s v="ORD08826"/>
    <d v="2025-10-12T00:00:00"/>
    <x v="4"/>
    <x v="45"/>
    <x v="1"/>
    <s v="India"/>
    <x v="8"/>
    <x v="25"/>
    <n v="36874"/>
    <n v="39371"/>
  </r>
  <r>
    <s v="ORD08827"/>
    <d v="2025-07-09T00:00:00"/>
    <x v="0"/>
    <x v="47"/>
    <x v="5"/>
    <s v="Russia"/>
    <x v="7"/>
    <x v="12"/>
    <n v="22945"/>
    <n v="24934"/>
  </r>
  <r>
    <s v="ORD08828"/>
    <d v="2025-05-28T00:00:00"/>
    <x v="8"/>
    <x v="24"/>
    <x v="6"/>
    <s v="Japan"/>
    <x v="31"/>
    <x v="26"/>
    <n v="37890"/>
    <n v="26742"/>
  </r>
  <r>
    <s v="ORD08829"/>
    <d v="2025-11-28T00:00:00"/>
    <x v="2"/>
    <x v="11"/>
    <x v="3"/>
    <s v="India"/>
    <x v="24"/>
    <x v="17"/>
    <n v="27998"/>
    <n v="30339"/>
  </r>
  <r>
    <s v="ORD08830"/>
    <d v="2025-02-04T00:00:00"/>
    <x v="6"/>
    <x v="48"/>
    <x v="5"/>
    <s v="Spain"/>
    <x v="30"/>
    <x v="17"/>
    <n v="28030"/>
    <n v="19852"/>
  </r>
  <r>
    <s v="ORD08831"/>
    <d v="2025-08-31T00:00:00"/>
    <x v="11"/>
    <x v="28"/>
    <x v="4"/>
    <s v="Spain"/>
    <x v="39"/>
    <x v="26"/>
    <n v="28809"/>
    <n v="22803"/>
  </r>
  <r>
    <s v="ORD08832"/>
    <d v="2025-09-09T00:00:00"/>
    <x v="3"/>
    <x v="31"/>
    <x v="1"/>
    <s v="Japan"/>
    <x v="41"/>
    <x v="16"/>
    <n v="38352"/>
    <n v="49220"/>
  </r>
  <r>
    <s v="ORD08833"/>
    <d v="2025-01-20T00:00:00"/>
    <x v="1"/>
    <x v="7"/>
    <x v="0"/>
    <s v="USA"/>
    <x v="36"/>
    <x v="27"/>
    <n v="36836"/>
    <n v="45862"/>
  </r>
  <r>
    <s v="ORD08834"/>
    <d v="2025-08-19T00:00:00"/>
    <x v="11"/>
    <x v="46"/>
    <x v="6"/>
    <s v="Japan"/>
    <x v="5"/>
    <x v="29"/>
    <n v="39414"/>
    <n v="48661"/>
  </r>
  <r>
    <s v="ORD08835"/>
    <d v="2025-07-08T00:00:00"/>
    <x v="0"/>
    <x v="47"/>
    <x v="5"/>
    <s v="UAE"/>
    <x v="14"/>
    <x v="27"/>
    <n v="23416"/>
    <n v="28416"/>
  </r>
  <r>
    <s v="ORD08836"/>
    <d v="2025-06-05T00:00:00"/>
    <x v="5"/>
    <x v="41"/>
    <x v="5"/>
    <s v="UK"/>
    <x v="22"/>
    <x v="17"/>
    <n v="20399"/>
    <n v="23459"/>
  </r>
  <r>
    <s v="ORD08837"/>
    <d v="2025-11-20T00:00:00"/>
    <x v="2"/>
    <x v="9"/>
    <x v="1"/>
    <s v="Brazil"/>
    <x v="11"/>
    <x v="12"/>
    <n v="28220"/>
    <n v="36602"/>
  </r>
  <r>
    <s v="ORD08838"/>
    <d v="2025-04-03T00:00:00"/>
    <x v="7"/>
    <x v="34"/>
    <x v="4"/>
    <s v="Russia"/>
    <x v="42"/>
    <x v="4"/>
    <n v="31398"/>
    <n v="28263"/>
  </r>
  <r>
    <s v="ORD08839"/>
    <d v="2025-01-20T00:00:00"/>
    <x v="1"/>
    <x v="7"/>
    <x v="6"/>
    <s v="Japan"/>
    <x v="13"/>
    <x v="9"/>
    <n v="36141"/>
    <n v="43297"/>
  </r>
  <r>
    <s v="ORD08840"/>
    <d v="2025-01-18T00:00:00"/>
    <x v="1"/>
    <x v="1"/>
    <x v="0"/>
    <s v="Turkey"/>
    <x v="6"/>
    <x v="17"/>
    <n v="28931"/>
    <n v="29590"/>
  </r>
  <r>
    <s v="ORD08841"/>
    <d v="2025-12-15T00:00:00"/>
    <x v="10"/>
    <x v="21"/>
    <x v="2"/>
    <s v="Canada"/>
    <x v="9"/>
    <x v="13"/>
    <n v="16203"/>
    <n v="19691"/>
  </r>
  <r>
    <s v="ORD08842"/>
    <d v="2025-01-18T00:00:00"/>
    <x v="1"/>
    <x v="1"/>
    <x v="5"/>
    <s v="Russia"/>
    <x v="39"/>
    <x v="16"/>
    <n v="35262"/>
    <n v="34760"/>
  </r>
  <r>
    <s v="ORD08843"/>
    <d v="2025-11-19T00:00:00"/>
    <x v="2"/>
    <x v="9"/>
    <x v="2"/>
    <s v="USA"/>
    <x v="47"/>
    <x v="29"/>
    <n v="16708"/>
    <n v="16420"/>
  </r>
  <r>
    <s v="ORD08844"/>
    <d v="2025-10-02T00:00:00"/>
    <x v="4"/>
    <x v="49"/>
    <x v="0"/>
    <s v="Thailand"/>
    <x v="23"/>
    <x v="21"/>
    <n v="32978"/>
    <n v="24963"/>
  </r>
  <r>
    <s v="ORD08845"/>
    <d v="2025-09-14T00:00:00"/>
    <x v="3"/>
    <x v="31"/>
    <x v="1"/>
    <s v="Japan"/>
    <x v="2"/>
    <x v="6"/>
    <n v="15153"/>
    <n v="13401"/>
  </r>
  <r>
    <s v="ORD08846"/>
    <d v="2025-08-28T00:00:00"/>
    <x v="11"/>
    <x v="28"/>
    <x v="3"/>
    <s v="China"/>
    <x v="11"/>
    <x v="4"/>
    <n v="24299"/>
    <n v="21853"/>
  </r>
  <r>
    <s v="ORD08847"/>
    <d v="2025-01-22T00:00:00"/>
    <x v="1"/>
    <x v="7"/>
    <x v="2"/>
    <s v="Germany"/>
    <x v="2"/>
    <x v="7"/>
    <n v="38223"/>
    <n v="29900"/>
  </r>
  <r>
    <s v="ORD08848"/>
    <d v="2025-11-20T00:00:00"/>
    <x v="2"/>
    <x v="9"/>
    <x v="4"/>
    <s v="India"/>
    <x v="3"/>
    <x v="1"/>
    <n v="37658"/>
    <n v="39245"/>
  </r>
  <r>
    <s v="ORD08849"/>
    <d v="2025-03-20T00:00:00"/>
    <x v="9"/>
    <x v="39"/>
    <x v="6"/>
    <s v="Italy"/>
    <x v="23"/>
    <x v="4"/>
    <n v="36329"/>
    <n v="28023"/>
  </r>
  <r>
    <s v="ORD08850"/>
    <d v="2025-09-17T00:00:00"/>
    <x v="3"/>
    <x v="8"/>
    <x v="0"/>
    <s v="USA"/>
    <x v="6"/>
    <x v="24"/>
    <n v="27944"/>
    <n v="24434"/>
  </r>
  <r>
    <s v="ORD08851"/>
    <d v="2025-02-04T00:00:00"/>
    <x v="6"/>
    <x v="48"/>
    <x v="0"/>
    <s v="UK"/>
    <x v="47"/>
    <x v="25"/>
    <n v="29498"/>
    <n v="22199"/>
  </r>
  <r>
    <s v="ORD08852"/>
    <d v="2025-10-11T00:00:00"/>
    <x v="4"/>
    <x v="45"/>
    <x v="4"/>
    <s v="Thailand"/>
    <x v="38"/>
    <x v="13"/>
    <n v="32570"/>
    <n v="31201"/>
  </r>
  <r>
    <s v="ORD08853"/>
    <d v="2025-11-12T00:00:00"/>
    <x v="2"/>
    <x v="44"/>
    <x v="1"/>
    <s v="Spain"/>
    <x v="40"/>
    <x v="13"/>
    <n v="31792"/>
    <n v="37752"/>
  </r>
  <r>
    <s v="ORD08854"/>
    <d v="2025-06-11T00:00:00"/>
    <x v="5"/>
    <x v="40"/>
    <x v="1"/>
    <s v="Spain"/>
    <x v="1"/>
    <x v="22"/>
    <n v="26590"/>
    <n v="29107"/>
  </r>
  <r>
    <s v="ORD08855"/>
    <d v="2025-12-05T00:00:00"/>
    <x v="10"/>
    <x v="43"/>
    <x v="3"/>
    <s v="Canada"/>
    <x v="44"/>
    <x v="17"/>
    <n v="30149"/>
    <n v="30075"/>
  </r>
  <r>
    <s v="ORD08856"/>
    <d v="2025-05-19T00:00:00"/>
    <x v="8"/>
    <x v="26"/>
    <x v="0"/>
    <s v="Italy"/>
    <x v="2"/>
    <x v="0"/>
    <n v="15799"/>
    <n v="13906"/>
  </r>
  <r>
    <s v="ORD08857"/>
    <d v="2025-10-14T00:00:00"/>
    <x v="4"/>
    <x v="10"/>
    <x v="1"/>
    <s v="France"/>
    <x v="31"/>
    <x v="5"/>
    <n v="23715"/>
    <n v="17377"/>
  </r>
  <r>
    <s v="ORD08858"/>
    <d v="2025-12-19T00:00:00"/>
    <x v="10"/>
    <x v="21"/>
    <x v="5"/>
    <s v="USA"/>
    <x v="21"/>
    <x v="1"/>
    <n v="30507"/>
    <n v="39378"/>
  </r>
  <r>
    <s v="ORD08859"/>
    <d v="2025-03-25T00:00:00"/>
    <x v="9"/>
    <x v="33"/>
    <x v="3"/>
    <s v="Malaysia"/>
    <x v="33"/>
    <x v="8"/>
    <n v="15445"/>
    <n v="16738"/>
  </r>
  <r>
    <s v="ORD08860"/>
    <d v="2025-07-29T00:00:00"/>
    <x v="0"/>
    <x v="12"/>
    <x v="1"/>
    <s v="Russia"/>
    <x v="20"/>
    <x v="16"/>
    <n v="17255"/>
    <n v="18447"/>
  </r>
  <r>
    <s v="ORD08861"/>
    <d v="2025-01-11T00:00:00"/>
    <x v="1"/>
    <x v="6"/>
    <x v="4"/>
    <s v="India"/>
    <x v="34"/>
    <x v="29"/>
    <n v="35345"/>
    <n v="31023"/>
  </r>
  <r>
    <s v="ORD08862"/>
    <d v="2025-11-12T00:00:00"/>
    <x v="2"/>
    <x v="44"/>
    <x v="0"/>
    <s v="Spain"/>
    <x v="9"/>
    <x v="8"/>
    <n v="22108"/>
    <n v="19410"/>
  </r>
  <r>
    <s v="ORD08863"/>
    <d v="2025-03-21T00:00:00"/>
    <x v="9"/>
    <x v="39"/>
    <x v="2"/>
    <s v="UK"/>
    <x v="21"/>
    <x v="6"/>
    <n v="25535"/>
    <n v="31487"/>
  </r>
  <r>
    <s v="ORD08864"/>
    <d v="2025-08-21T00:00:00"/>
    <x v="11"/>
    <x v="46"/>
    <x v="4"/>
    <s v="Brazil"/>
    <x v="30"/>
    <x v="27"/>
    <n v="21372"/>
    <n v="23775"/>
  </r>
  <r>
    <s v="ORD08865"/>
    <d v="2025-09-10T00:00:00"/>
    <x v="3"/>
    <x v="31"/>
    <x v="5"/>
    <s v="Italy"/>
    <x v="17"/>
    <x v="17"/>
    <n v="38487"/>
    <n v="35465"/>
  </r>
  <r>
    <s v="ORD08866"/>
    <d v="2025-02-24T00:00:00"/>
    <x v="6"/>
    <x v="22"/>
    <x v="5"/>
    <s v="Germany"/>
    <x v="33"/>
    <x v="24"/>
    <n v="27689"/>
    <n v="23414"/>
  </r>
  <r>
    <s v="ORD08867"/>
    <d v="2025-09-16T00:00:00"/>
    <x v="3"/>
    <x v="8"/>
    <x v="4"/>
    <s v="Italy"/>
    <x v="17"/>
    <x v="8"/>
    <n v="39042"/>
    <n v="28515"/>
  </r>
  <r>
    <s v="ORD08868"/>
    <d v="2025-12-12T00:00:00"/>
    <x v="10"/>
    <x v="32"/>
    <x v="0"/>
    <s v="India"/>
    <x v="25"/>
    <x v="7"/>
    <n v="19348"/>
    <n v="17493"/>
  </r>
  <r>
    <s v="ORD08869"/>
    <d v="2025-04-05T00:00:00"/>
    <x v="7"/>
    <x v="34"/>
    <x v="6"/>
    <s v="India"/>
    <x v="5"/>
    <x v="24"/>
    <n v="20042"/>
    <n v="17686"/>
  </r>
  <r>
    <s v="ORD08870"/>
    <d v="2025-12-27T00:00:00"/>
    <x v="10"/>
    <x v="42"/>
    <x v="5"/>
    <s v="USA"/>
    <x v="38"/>
    <x v="19"/>
    <n v="33691"/>
    <n v="24809"/>
  </r>
  <r>
    <s v="ORD08871"/>
    <d v="2025-02-11T00:00:00"/>
    <x v="6"/>
    <x v="29"/>
    <x v="3"/>
    <s v="Mexico"/>
    <x v="29"/>
    <x v="22"/>
    <n v="34482"/>
    <n v="39493"/>
  </r>
  <r>
    <s v="ORD08872"/>
    <d v="2025-01-11T00:00:00"/>
    <x v="1"/>
    <x v="6"/>
    <x v="4"/>
    <s v="Japan"/>
    <x v="21"/>
    <x v="24"/>
    <n v="37760"/>
    <n v="38423"/>
  </r>
  <r>
    <s v="ORD08873"/>
    <d v="2025-09-04T00:00:00"/>
    <x v="3"/>
    <x v="4"/>
    <x v="0"/>
    <s v="Germany"/>
    <x v="3"/>
    <x v="6"/>
    <n v="21560"/>
    <n v="21313"/>
  </r>
  <r>
    <s v="ORD08874"/>
    <d v="2025-04-15T00:00:00"/>
    <x v="7"/>
    <x v="20"/>
    <x v="3"/>
    <s v="Japan"/>
    <x v="21"/>
    <x v="22"/>
    <n v="20601"/>
    <n v="21849"/>
  </r>
  <r>
    <s v="ORD08875"/>
    <d v="2025-06-25T00:00:00"/>
    <x v="5"/>
    <x v="36"/>
    <x v="3"/>
    <s v="China"/>
    <x v="37"/>
    <x v="4"/>
    <n v="22014"/>
    <n v="22621"/>
  </r>
  <r>
    <s v="ORD08876"/>
    <d v="2025-09-20T00:00:00"/>
    <x v="3"/>
    <x v="8"/>
    <x v="5"/>
    <s v="Australia"/>
    <x v="14"/>
    <x v="22"/>
    <n v="31448"/>
    <n v="29003"/>
  </r>
  <r>
    <s v="ORD08877"/>
    <d v="2025-01-23T00:00:00"/>
    <x v="1"/>
    <x v="7"/>
    <x v="2"/>
    <s v="Singapore"/>
    <x v="14"/>
    <x v="25"/>
    <n v="36174"/>
    <n v="30135"/>
  </r>
  <r>
    <s v="ORD08878"/>
    <d v="2025-04-09T00:00:00"/>
    <x v="7"/>
    <x v="16"/>
    <x v="2"/>
    <s v="Mexico"/>
    <x v="11"/>
    <x v="4"/>
    <n v="22286"/>
    <n v="27245"/>
  </r>
  <r>
    <s v="ORD08879"/>
    <d v="2025-08-26T00:00:00"/>
    <x v="11"/>
    <x v="28"/>
    <x v="3"/>
    <s v="UAE"/>
    <x v="20"/>
    <x v="26"/>
    <n v="36244"/>
    <n v="45749"/>
  </r>
  <r>
    <s v="ORD08880"/>
    <d v="2025-07-31T00:00:00"/>
    <x v="0"/>
    <x v="12"/>
    <x v="1"/>
    <s v="South Africa"/>
    <x v="33"/>
    <x v="14"/>
    <n v="36959"/>
    <n v="29057"/>
  </r>
  <r>
    <s v="ORD08881"/>
    <d v="2025-02-12T00:00:00"/>
    <x v="6"/>
    <x v="29"/>
    <x v="5"/>
    <s v="China"/>
    <x v="33"/>
    <x v="8"/>
    <n v="17798"/>
    <n v="14522"/>
  </r>
  <r>
    <s v="ORD08882"/>
    <d v="2025-04-13T00:00:00"/>
    <x v="7"/>
    <x v="16"/>
    <x v="5"/>
    <s v="Spain"/>
    <x v="17"/>
    <x v="16"/>
    <n v="36242"/>
    <n v="26116"/>
  </r>
  <r>
    <s v="ORD08883"/>
    <d v="2025-03-28T00:00:00"/>
    <x v="9"/>
    <x v="33"/>
    <x v="2"/>
    <s v="South Africa"/>
    <x v="16"/>
    <x v="3"/>
    <n v="33746"/>
    <n v="36865"/>
  </r>
  <r>
    <s v="ORD08884"/>
    <d v="2025-05-18T00:00:00"/>
    <x v="8"/>
    <x v="17"/>
    <x v="2"/>
    <s v="China"/>
    <x v="39"/>
    <x v="17"/>
    <n v="34405"/>
    <n v="26048"/>
  </r>
  <r>
    <s v="ORD08885"/>
    <d v="2025-10-03T00:00:00"/>
    <x v="4"/>
    <x v="49"/>
    <x v="4"/>
    <s v="Brazil"/>
    <x v="43"/>
    <x v="5"/>
    <n v="33971"/>
    <n v="42313"/>
  </r>
  <r>
    <s v="ORD08886"/>
    <d v="2025-08-14T00:00:00"/>
    <x v="11"/>
    <x v="30"/>
    <x v="3"/>
    <s v="Singapore"/>
    <x v="0"/>
    <x v="13"/>
    <n v="34851"/>
    <n v="33921"/>
  </r>
  <r>
    <s v="ORD08887"/>
    <d v="2025-12-01T00:00:00"/>
    <x v="10"/>
    <x v="43"/>
    <x v="4"/>
    <s v="Brazil"/>
    <x v="31"/>
    <x v="18"/>
    <n v="38489"/>
    <n v="37852"/>
  </r>
  <r>
    <s v="ORD08888"/>
    <d v="2025-07-03T00:00:00"/>
    <x v="0"/>
    <x v="37"/>
    <x v="6"/>
    <s v="Thailand"/>
    <x v="21"/>
    <x v="24"/>
    <n v="29170"/>
    <n v="34780"/>
  </r>
  <r>
    <s v="ORD08889"/>
    <d v="2025-06-22T00:00:00"/>
    <x v="5"/>
    <x v="13"/>
    <x v="0"/>
    <s v="Germany"/>
    <x v="48"/>
    <x v="5"/>
    <n v="19969"/>
    <n v="14518"/>
  </r>
  <r>
    <s v="ORD08890"/>
    <d v="2025-11-01T00:00:00"/>
    <x v="2"/>
    <x v="2"/>
    <x v="2"/>
    <s v="Russia"/>
    <x v="28"/>
    <x v="10"/>
    <n v="15589"/>
    <n v="13885"/>
  </r>
  <r>
    <s v="ORD08891"/>
    <d v="2025-09-16T00:00:00"/>
    <x v="3"/>
    <x v="8"/>
    <x v="4"/>
    <s v="Australia"/>
    <x v="31"/>
    <x v="28"/>
    <n v="27033"/>
    <n v="31427"/>
  </r>
  <r>
    <s v="ORD08892"/>
    <d v="2025-09-25T00:00:00"/>
    <x v="3"/>
    <x v="25"/>
    <x v="6"/>
    <s v="Canada"/>
    <x v="34"/>
    <x v="28"/>
    <n v="28022"/>
    <n v="25977"/>
  </r>
  <r>
    <s v="ORD08893"/>
    <d v="2025-03-02T00:00:00"/>
    <x v="9"/>
    <x v="22"/>
    <x v="6"/>
    <s v="India"/>
    <x v="30"/>
    <x v="7"/>
    <n v="39155"/>
    <n v="46581"/>
  </r>
  <r>
    <s v="ORD08894"/>
    <d v="2025-07-16T00:00:00"/>
    <x v="0"/>
    <x v="14"/>
    <x v="0"/>
    <s v="Turkey"/>
    <x v="18"/>
    <x v="11"/>
    <n v="32327"/>
    <n v="27783"/>
  </r>
  <r>
    <s v="ORD08895"/>
    <d v="2025-10-10T00:00:00"/>
    <x v="4"/>
    <x v="45"/>
    <x v="3"/>
    <s v="Malaysia"/>
    <x v="2"/>
    <x v="28"/>
    <n v="32681"/>
    <n v="38851"/>
  </r>
  <r>
    <s v="ORD08896"/>
    <d v="2025-05-02T00:00:00"/>
    <x v="8"/>
    <x v="27"/>
    <x v="3"/>
    <s v="Mexico"/>
    <x v="41"/>
    <x v="4"/>
    <n v="25924"/>
    <n v="21161"/>
  </r>
  <r>
    <s v="ORD08897"/>
    <d v="2025-03-31T00:00:00"/>
    <x v="9"/>
    <x v="34"/>
    <x v="0"/>
    <s v="France"/>
    <x v="14"/>
    <x v="1"/>
    <n v="31257"/>
    <n v="28760"/>
  </r>
  <r>
    <s v="ORD08898"/>
    <d v="2025-11-22T00:00:00"/>
    <x v="2"/>
    <x v="9"/>
    <x v="1"/>
    <s v="Singapore"/>
    <x v="19"/>
    <x v="22"/>
    <n v="17031"/>
    <n v="18145"/>
  </r>
  <r>
    <s v="ORD08899"/>
    <d v="2025-12-10T00:00:00"/>
    <x v="10"/>
    <x v="32"/>
    <x v="1"/>
    <s v="Japan"/>
    <x v="37"/>
    <x v="25"/>
    <n v="15959"/>
    <n v="14489"/>
  </r>
  <r>
    <s v="ORD08900"/>
    <d v="2025-11-29T00:00:00"/>
    <x v="2"/>
    <x v="11"/>
    <x v="0"/>
    <s v="Brazil"/>
    <x v="47"/>
    <x v="9"/>
    <n v="38830"/>
    <n v="40966"/>
  </r>
  <r>
    <s v="ORD08901"/>
    <d v="2025-06-27T00:00:00"/>
    <x v="5"/>
    <x v="36"/>
    <x v="4"/>
    <s v="Japan"/>
    <x v="19"/>
    <x v="12"/>
    <n v="18096"/>
    <n v="12681"/>
  </r>
  <r>
    <s v="ORD08902"/>
    <d v="2025-11-17T00:00:00"/>
    <x v="2"/>
    <x v="9"/>
    <x v="0"/>
    <s v="Mexico"/>
    <x v="31"/>
    <x v="27"/>
    <n v="34744"/>
    <n v="28896"/>
  </r>
  <r>
    <s v="ORD08903"/>
    <d v="2025-08-20T00:00:00"/>
    <x v="11"/>
    <x v="46"/>
    <x v="3"/>
    <s v="Thailand"/>
    <x v="48"/>
    <x v="10"/>
    <n v="39029"/>
    <n v="40949"/>
  </r>
  <r>
    <s v="ORD08904"/>
    <d v="2025-05-22T00:00:00"/>
    <x v="8"/>
    <x v="26"/>
    <x v="0"/>
    <s v="Malaysia"/>
    <x v="45"/>
    <x v="2"/>
    <n v="25191"/>
    <n v="29593"/>
  </r>
  <r>
    <s v="ORD08905"/>
    <d v="2025-11-07T00:00:00"/>
    <x v="2"/>
    <x v="51"/>
    <x v="4"/>
    <s v="South Africa"/>
    <x v="13"/>
    <x v="21"/>
    <n v="37915"/>
    <n v="35757"/>
  </r>
  <r>
    <s v="ORD08906"/>
    <d v="2025-10-19T00:00:00"/>
    <x v="4"/>
    <x v="10"/>
    <x v="6"/>
    <s v="China"/>
    <x v="20"/>
    <x v="14"/>
    <n v="22340"/>
    <n v="27154"/>
  </r>
  <r>
    <s v="ORD08907"/>
    <d v="2025-05-30T00:00:00"/>
    <x v="8"/>
    <x v="24"/>
    <x v="2"/>
    <s v="Italy"/>
    <x v="17"/>
    <x v="28"/>
    <n v="26249"/>
    <n v="22793"/>
  </r>
  <r>
    <s v="ORD08908"/>
    <d v="2025-07-18T00:00:00"/>
    <x v="0"/>
    <x v="14"/>
    <x v="1"/>
    <s v="Russia"/>
    <x v="26"/>
    <x v="10"/>
    <n v="26026"/>
    <n v="22901"/>
  </r>
  <r>
    <s v="ORD08909"/>
    <d v="2025-12-08T00:00:00"/>
    <x v="10"/>
    <x v="32"/>
    <x v="5"/>
    <s v="UAE"/>
    <x v="5"/>
    <x v="27"/>
    <n v="22708"/>
    <n v="21947"/>
  </r>
  <r>
    <s v="ORD08910"/>
    <d v="2025-08-04T00:00:00"/>
    <x v="11"/>
    <x v="23"/>
    <x v="0"/>
    <s v="Brazil"/>
    <x v="21"/>
    <x v="13"/>
    <n v="38121"/>
    <n v="46402"/>
  </r>
  <r>
    <s v="ORD08911"/>
    <d v="2025-11-23T00:00:00"/>
    <x v="2"/>
    <x v="9"/>
    <x v="2"/>
    <s v="Malaysia"/>
    <x v="33"/>
    <x v="22"/>
    <n v="29827"/>
    <n v="20973"/>
  </r>
  <r>
    <s v="ORD08912"/>
    <d v="2025-05-03T00:00:00"/>
    <x v="8"/>
    <x v="27"/>
    <x v="1"/>
    <s v="UAE"/>
    <x v="21"/>
    <x v="29"/>
    <n v="26805"/>
    <n v="30270"/>
  </r>
  <r>
    <s v="ORD08913"/>
    <d v="2025-01-02T00:00:00"/>
    <x v="1"/>
    <x v="5"/>
    <x v="5"/>
    <s v="India"/>
    <x v="31"/>
    <x v="9"/>
    <n v="19378"/>
    <n v="14261"/>
  </r>
  <r>
    <s v="ORD08914"/>
    <d v="2025-08-19T00:00:00"/>
    <x v="11"/>
    <x v="46"/>
    <x v="4"/>
    <s v="Italy"/>
    <x v="1"/>
    <x v="5"/>
    <n v="31839"/>
    <n v="31978"/>
  </r>
  <r>
    <s v="ORD08915"/>
    <d v="2025-08-24T00:00:00"/>
    <x v="11"/>
    <x v="46"/>
    <x v="5"/>
    <s v="Germany"/>
    <x v="11"/>
    <x v="18"/>
    <n v="19357"/>
    <n v="18357"/>
  </r>
  <r>
    <s v="ORD08916"/>
    <d v="2025-02-25T00:00:00"/>
    <x v="6"/>
    <x v="22"/>
    <x v="5"/>
    <s v="France"/>
    <x v="18"/>
    <x v="8"/>
    <n v="25337"/>
    <n v="25255"/>
  </r>
  <r>
    <s v="ORD08917"/>
    <d v="2025-08-08T00:00:00"/>
    <x v="11"/>
    <x v="23"/>
    <x v="0"/>
    <s v="Spain"/>
    <x v="11"/>
    <x v="20"/>
    <n v="28948"/>
    <n v="31384"/>
  </r>
  <r>
    <s v="ORD08918"/>
    <d v="2025-02-17T00:00:00"/>
    <x v="6"/>
    <x v="15"/>
    <x v="4"/>
    <s v="UK"/>
    <x v="39"/>
    <x v="21"/>
    <n v="32796"/>
    <n v="35619"/>
  </r>
  <r>
    <s v="ORD08919"/>
    <d v="2025-01-09T00:00:00"/>
    <x v="1"/>
    <x v="6"/>
    <x v="1"/>
    <s v="China"/>
    <x v="34"/>
    <x v="8"/>
    <n v="35476"/>
    <n v="43186"/>
  </r>
  <r>
    <s v="ORD08920"/>
    <d v="2025-09-06T00:00:00"/>
    <x v="3"/>
    <x v="4"/>
    <x v="0"/>
    <s v="Brazil"/>
    <x v="5"/>
    <x v="11"/>
    <n v="27515"/>
    <n v="23085"/>
  </r>
  <r>
    <s v="ORD08921"/>
    <d v="2025-09-21T00:00:00"/>
    <x v="3"/>
    <x v="8"/>
    <x v="2"/>
    <s v="South Africa"/>
    <x v="4"/>
    <x v="7"/>
    <n v="22150"/>
    <n v="26806"/>
  </r>
  <r>
    <s v="ORD08922"/>
    <d v="2025-07-31T00:00:00"/>
    <x v="0"/>
    <x v="12"/>
    <x v="0"/>
    <s v="Italy"/>
    <x v="5"/>
    <x v="9"/>
    <n v="21269"/>
    <n v="19918"/>
  </r>
  <r>
    <s v="ORD08923"/>
    <d v="2025-07-23T00:00:00"/>
    <x v="0"/>
    <x v="0"/>
    <x v="5"/>
    <s v="Canada"/>
    <x v="47"/>
    <x v="19"/>
    <n v="20077"/>
    <n v="15260"/>
  </r>
  <r>
    <s v="ORD08924"/>
    <d v="2025-11-16T00:00:00"/>
    <x v="2"/>
    <x v="44"/>
    <x v="3"/>
    <s v="Germany"/>
    <x v="7"/>
    <x v="25"/>
    <n v="30935"/>
    <n v="34107"/>
  </r>
  <r>
    <s v="ORD08925"/>
    <d v="2025-01-06T00:00:00"/>
    <x v="1"/>
    <x v="6"/>
    <x v="2"/>
    <s v="Germany"/>
    <x v="6"/>
    <x v="22"/>
    <n v="38874"/>
    <n v="31450"/>
  </r>
  <r>
    <s v="ORD08926"/>
    <d v="2025-04-20T00:00:00"/>
    <x v="7"/>
    <x v="20"/>
    <x v="3"/>
    <s v="UK"/>
    <x v="42"/>
    <x v="7"/>
    <n v="15600"/>
    <n v="17936"/>
  </r>
  <r>
    <s v="ORD08927"/>
    <d v="2025-11-16T00:00:00"/>
    <x v="2"/>
    <x v="44"/>
    <x v="4"/>
    <s v="Mexico"/>
    <x v="17"/>
    <x v="1"/>
    <n v="16340"/>
    <n v="21196"/>
  </r>
  <r>
    <s v="ORD08928"/>
    <d v="2025-02-10T00:00:00"/>
    <x v="6"/>
    <x v="29"/>
    <x v="1"/>
    <s v="India"/>
    <x v="16"/>
    <x v="6"/>
    <n v="19425"/>
    <n v="14964"/>
  </r>
  <r>
    <s v="ORD08929"/>
    <d v="2025-07-30T00:00:00"/>
    <x v="0"/>
    <x v="12"/>
    <x v="3"/>
    <s v="UAE"/>
    <x v="45"/>
    <x v="20"/>
    <n v="16979"/>
    <n v="12512"/>
  </r>
  <r>
    <s v="ORD08930"/>
    <d v="2025-05-28T00:00:00"/>
    <x v="8"/>
    <x v="24"/>
    <x v="5"/>
    <s v="China"/>
    <x v="23"/>
    <x v="22"/>
    <n v="17120"/>
    <n v="17203"/>
  </r>
  <r>
    <s v="ORD08931"/>
    <d v="2025-01-30T00:00:00"/>
    <x v="1"/>
    <x v="3"/>
    <x v="2"/>
    <s v="Canada"/>
    <x v="3"/>
    <x v="7"/>
    <n v="27528"/>
    <n v="27916"/>
  </r>
  <r>
    <s v="ORD08932"/>
    <d v="2025-08-18T00:00:00"/>
    <x v="11"/>
    <x v="46"/>
    <x v="4"/>
    <s v="Spain"/>
    <x v="21"/>
    <x v="21"/>
    <n v="37085"/>
    <n v="34332"/>
  </r>
  <r>
    <s v="ORD08933"/>
    <d v="2025-10-03T00:00:00"/>
    <x v="4"/>
    <x v="49"/>
    <x v="2"/>
    <s v="Malaysia"/>
    <x v="21"/>
    <x v="7"/>
    <n v="29786"/>
    <n v="33864"/>
  </r>
  <r>
    <s v="ORD08934"/>
    <d v="2025-07-25T00:00:00"/>
    <x v="0"/>
    <x v="0"/>
    <x v="3"/>
    <s v="Germany"/>
    <x v="23"/>
    <x v="8"/>
    <n v="27262"/>
    <n v="29221"/>
  </r>
  <r>
    <s v="ORD08935"/>
    <d v="2025-07-26T00:00:00"/>
    <x v="0"/>
    <x v="0"/>
    <x v="3"/>
    <s v="France"/>
    <x v="6"/>
    <x v="17"/>
    <n v="23071"/>
    <n v="26193"/>
  </r>
  <r>
    <s v="ORD08936"/>
    <d v="2025-10-30T00:00:00"/>
    <x v="4"/>
    <x v="2"/>
    <x v="4"/>
    <s v="Mexico"/>
    <x v="27"/>
    <x v="12"/>
    <n v="32863"/>
    <n v="36657"/>
  </r>
  <r>
    <s v="ORD08937"/>
    <d v="2025-08-01T00:00:00"/>
    <x v="11"/>
    <x v="12"/>
    <x v="2"/>
    <s v="China"/>
    <x v="38"/>
    <x v="8"/>
    <n v="33567"/>
    <n v="37364"/>
  </r>
  <r>
    <s v="ORD08938"/>
    <d v="2025-07-02T00:00:00"/>
    <x v="0"/>
    <x v="37"/>
    <x v="1"/>
    <s v="China"/>
    <x v="33"/>
    <x v="6"/>
    <n v="27482"/>
    <n v="27628"/>
  </r>
  <r>
    <s v="ORD08939"/>
    <d v="2025-10-18T00:00:00"/>
    <x v="4"/>
    <x v="10"/>
    <x v="3"/>
    <s v="Mexico"/>
    <x v="33"/>
    <x v="4"/>
    <n v="39381"/>
    <n v="29405"/>
  </r>
  <r>
    <s v="ORD08940"/>
    <d v="2025-06-28T00:00:00"/>
    <x v="5"/>
    <x v="36"/>
    <x v="4"/>
    <s v="Italy"/>
    <x v="23"/>
    <x v="2"/>
    <n v="36034"/>
    <n v="43848"/>
  </r>
  <r>
    <s v="ORD08941"/>
    <d v="2025-08-19T00:00:00"/>
    <x v="11"/>
    <x v="46"/>
    <x v="6"/>
    <s v="Singapore"/>
    <x v="5"/>
    <x v="24"/>
    <n v="17482"/>
    <n v="13824"/>
  </r>
  <r>
    <s v="ORD08942"/>
    <d v="2025-03-28T00:00:00"/>
    <x v="9"/>
    <x v="33"/>
    <x v="3"/>
    <s v="Singapore"/>
    <x v="18"/>
    <x v="22"/>
    <n v="24195"/>
    <n v="22104"/>
  </r>
  <r>
    <s v="ORD08943"/>
    <d v="2025-02-07T00:00:00"/>
    <x v="6"/>
    <x v="48"/>
    <x v="4"/>
    <s v="Spain"/>
    <x v="11"/>
    <x v="13"/>
    <n v="21534"/>
    <n v="18886"/>
  </r>
  <r>
    <s v="ORD08944"/>
    <d v="2025-08-13T00:00:00"/>
    <x v="11"/>
    <x v="30"/>
    <x v="6"/>
    <s v="Australia"/>
    <x v="23"/>
    <x v="9"/>
    <n v="17133"/>
    <n v="20899"/>
  </r>
  <r>
    <s v="ORD08945"/>
    <d v="2025-05-24T00:00:00"/>
    <x v="8"/>
    <x v="26"/>
    <x v="2"/>
    <s v="Singapore"/>
    <x v="39"/>
    <x v="15"/>
    <n v="39774"/>
    <n v="32225"/>
  </r>
  <r>
    <s v="ORD08946"/>
    <d v="2025-09-16T00:00:00"/>
    <x v="3"/>
    <x v="8"/>
    <x v="1"/>
    <s v="France"/>
    <x v="39"/>
    <x v="0"/>
    <n v="30224"/>
    <n v="32810"/>
  </r>
  <r>
    <s v="ORD08947"/>
    <d v="2025-01-23T00:00:00"/>
    <x v="1"/>
    <x v="7"/>
    <x v="1"/>
    <s v="Russia"/>
    <x v="7"/>
    <x v="14"/>
    <n v="17346"/>
    <n v="20704"/>
  </r>
  <r>
    <s v="ORD08948"/>
    <d v="2025-05-29T00:00:00"/>
    <x v="8"/>
    <x v="24"/>
    <x v="3"/>
    <s v="Spain"/>
    <x v="0"/>
    <x v="14"/>
    <n v="20131"/>
    <n v="15235"/>
  </r>
  <r>
    <s v="ORD08949"/>
    <d v="2025-01-24T00:00:00"/>
    <x v="1"/>
    <x v="7"/>
    <x v="4"/>
    <s v="Japan"/>
    <x v="44"/>
    <x v="14"/>
    <n v="26881"/>
    <n v="22798"/>
  </r>
  <r>
    <s v="ORD08950"/>
    <d v="2025-10-03T00:00:00"/>
    <x v="4"/>
    <x v="49"/>
    <x v="0"/>
    <s v="Japan"/>
    <x v="38"/>
    <x v="11"/>
    <n v="28656"/>
    <n v="28487"/>
  </r>
  <r>
    <s v="ORD08951"/>
    <d v="2025-11-03T00:00:00"/>
    <x v="2"/>
    <x v="51"/>
    <x v="4"/>
    <s v="Russia"/>
    <x v="24"/>
    <x v="2"/>
    <n v="20028"/>
    <n v="19526"/>
  </r>
  <r>
    <s v="ORD08952"/>
    <d v="2025-06-23T00:00:00"/>
    <x v="5"/>
    <x v="36"/>
    <x v="6"/>
    <s v="Singapore"/>
    <x v="29"/>
    <x v="8"/>
    <n v="30739"/>
    <n v="29540"/>
  </r>
  <r>
    <s v="ORD08953"/>
    <d v="2025-06-14T00:00:00"/>
    <x v="5"/>
    <x v="40"/>
    <x v="2"/>
    <s v="Thailand"/>
    <x v="14"/>
    <x v="27"/>
    <n v="22358"/>
    <n v="28565"/>
  </r>
  <r>
    <s v="ORD08954"/>
    <d v="2025-07-03T00:00:00"/>
    <x v="0"/>
    <x v="37"/>
    <x v="3"/>
    <s v="Russia"/>
    <x v="7"/>
    <x v="14"/>
    <n v="28363"/>
    <n v="33223"/>
  </r>
  <r>
    <s v="ORD08955"/>
    <d v="2025-11-27T00:00:00"/>
    <x v="2"/>
    <x v="11"/>
    <x v="2"/>
    <s v="Russia"/>
    <x v="37"/>
    <x v="0"/>
    <n v="33165"/>
    <n v="43113"/>
  </r>
  <r>
    <s v="ORD08956"/>
    <d v="2025-09-05T00:00:00"/>
    <x v="3"/>
    <x v="4"/>
    <x v="3"/>
    <s v="Canada"/>
    <x v="15"/>
    <x v="23"/>
    <n v="30273"/>
    <n v="38096"/>
  </r>
  <r>
    <s v="ORD08957"/>
    <d v="2025-09-02T00:00:00"/>
    <x v="3"/>
    <x v="4"/>
    <x v="1"/>
    <s v="Turkey"/>
    <x v="26"/>
    <x v="2"/>
    <n v="34959"/>
    <n v="43296"/>
  </r>
  <r>
    <s v="ORD08958"/>
    <d v="2025-07-17T00:00:00"/>
    <x v="0"/>
    <x v="14"/>
    <x v="6"/>
    <s v="Brazil"/>
    <x v="28"/>
    <x v="7"/>
    <n v="24797"/>
    <n v="24545"/>
  </r>
  <r>
    <s v="ORD08959"/>
    <d v="2025-12-11T00:00:00"/>
    <x v="10"/>
    <x v="32"/>
    <x v="6"/>
    <s v="Russia"/>
    <x v="44"/>
    <x v="13"/>
    <n v="15841"/>
    <n v="12716"/>
  </r>
  <r>
    <s v="ORD08960"/>
    <d v="2025-05-02T00:00:00"/>
    <x v="8"/>
    <x v="27"/>
    <x v="5"/>
    <s v="Canada"/>
    <x v="32"/>
    <x v="13"/>
    <n v="34131"/>
    <n v="41731"/>
  </r>
  <r>
    <s v="ORD08961"/>
    <d v="2025-10-22T00:00:00"/>
    <x v="4"/>
    <x v="50"/>
    <x v="4"/>
    <s v="UK"/>
    <x v="21"/>
    <x v="18"/>
    <n v="16080"/>
    <n v="17030"/>
  </r>
  <r>
    <s v="ORD08962"/>
    <d v="2025-09-25T00:00:00"/>
    <x v="3"/>
    <x v="25"/>
    <x v="5"/>
    <s v="Singapore"/>
    <x v="24"/>
    <x v="4"/>
    <n v="22840"/>
    <n v="28628"/>
  </r>
  <r>
    <s v="ORD08963"/>
    <d v="2025-10-28T00:00:00"/>
    <x v="4"/>
    <x v="2"/>
    <x v="6"/>
    <s v="Australia"/>
    <x v="1"/>
    <x v="21"/>
    <n v="17317"/>
    <n v="12352"/>
  </r>
  <r>
    <s v="ORD08964"/>
    <d v="2025-10-24T00:00:00"/>
    <x v="4"/>
    <x v="50"/>
    <x v="3"/>
    <s v="Italy"/>
    <x v="37"/>
    <x v="12"/>
    <n v="39171"/>
    <n v="41387"/>
  </r>
  <r>
    <s v="ORD08965"/>
    <d v="2025-02-14T00:00:00"/>
    <x v="6"/>
    <x v="29"/>
    <x v="6"/>
    <s v="India"/>
    <x v="7"/>
    <x v="0"/>
    <n v="15967"/>
    <n v="18464"/>
  </r>
  <r>
    <s v="ORD08966"/>
    <d v="2025-04-21T00:00:00"/>
    <x v="7"/>
    <x v="38"/>
    <x v="5"/>
    <s v="France"/>
    <x v="6"/>
    <x v="20"/>
    <n v="28979"/>
    <n v="35749"/>
  </r>
  <r>
    <s v="ORD08967"/>
    <d v="2025-09-16T00:00:00"/>
    <x v="3"/>
    <x v="8"/>
    <x v="1"/>
    <s v="Thailand"/>
    <x v="49"/>
    <x v="8"/>
    <n v="32876"/>
    <n v="33587"/>
  </r>
  <r>
    <s v="ORD08968"/>
    <d v="2025-10-27T00:00:00"/>
    <x v="4"/>
    <x v="2"/>
    <x v="2"/>
    <s v="Italy"/>
    <x v="24"/>
    <x v="7"/>
    <n v="39254"/>
    <n v="49867"/>
  </r>
  <r>
    <s v="ORD08969"/>
    <d v="2025-12-26T00:00:00"/>
    <x v="10"/>
    <x v="42"/>
    <x v="1"/>
    <s v="Australia"/>
    <x v="6"/>
    <x v="19"/>
    <n v="33901"/>
    <n v="40221"/>
  </r>
  <r>
    <s v="ORD08970"/>
    <d v="2025-12-05T00:00:00"/>
    <x v="10"/>
    <x v="43"/>
    <x v="2"/>
    <s v="UAE"/>
    <x v="18"/>
    <x v="21"/>
    <n v="24948"/>
    <n v="22265"/>
  </r>
  <r>
    <s v="ORD08971"/>
    <d v="2025-09-22T00:00:00"/>
    <x v="3"/>
    <x v="25"/>
    <x v="0"/>
    <s v="Spain"/>
    <x v="27"/>
    <x v="28"/>
    <n v="35113"/>
    <n v="41894"/>
  </r>
  <r>
    <s v="ORD08972"/>
    <d v="2025-11-21T00:00:00"/>
    <x v="2"/>
    <x v="9"/>
    <x v="2"/>
    <s v="Australia"/>
    <x v="38"/>
    <x v="9"/>
    <n v="16102"/>
    <n v="16106"/>
  </r>
  <r>
    <s v="ORD08973"/>
    <d v="2025-10-12T00:00:00"/>
    <x v="4"/>
    <x v="45"/>
    <x v="1"/>
    <s v="UK"/>
    <x v="47"/>
    <x v="12"/>
    <n v="18604"/>
    <n v="23971"/>
  </r>
  <r>
    <s v="ORD08974"/>
    <d v="2025-08-15T00:00:00"/>
    <x v="11"/>
    <x v="30"/>
    <x v="5"/>
    <s v="Russia"/>
    <x v="18"/>
    <x v="21"/>
    <n v="20547"/>
    <n v="20100"/>
  </r>
  <r>
    <s v="ORD08975"/>
    <d v="2025-01-29T00:00:00"/>
    <x v="1"/>
    <x v="3"/>
    <x v="4"/>
    <s v="South Africa"/>
    <x v="21"/>
    <x v="3"/>
    <n v="37107"/>
    <n v="33510"/>
  </r>
  <r>
    <s v="ORD08976"/>
    <d v="2025-12-23T00:00:00"/>
    <x v="10"/>
    <x v="42"/>
    <x v="6"/>
    <s v="Germany"/>
    <x v="36"/>
    <x v="23"/>
    <n v="28231"/>
    <n v="29120"/>
  </r>
  <r>
    <s v="ORD08977"/>
    <d v="2025-05-17T00:00:00"/>
    <x v="8"/>
    <x v="17"/>
    <x v="3"/>
    <s v="Canada"/>
    <x v="5"/>
    <x v="2"/>
    <n v="37520"/>
    <n v="28285"/>
  </r>
  <r>
    <s v="ORD08978"/>
    <d v="2025-06-13T00:00:00"/>
    <x v="5"/>
    <x v="40"/>
    <x v="1"/>
    <s v="Brazil"/>
    <x v="27"/>
    <x v="17"/>
    <n v="20966"/>
    <n v="17496"/>
  </r>
  <r>
    <s v="ORD08979"/>
    <d v="2025-11-26T00:00:00"/>
    <x v="2"/>
    <x v="11"/>
    <x v="1"/>
    <s v="Singapore"/>
    <x v="14"/>
    <x v="0"/>
    <n v="37530"/>
    <n v="33553"/>
  </r>
  <r>
    <s v="ORD08980"/>
    <d v="2025-10-12T00:00:00"/>
    <x v="4"/>
    <x v="45"/>
    <x v="4"/>
    <s v="Turkey"/>
    <x v="1"/>
    <x v="2"/>
    <n v="38378"/>
    <n v="34453"/>
  </r>
  <r>
    <s v="ORD08981"/>
    <d v="2025-02-09T00:00:00"/>
    <x v="6"/>
    <x v="48"/>
    <x v="3"/>
    <s v="Canada"/>
    <x v="24"/>
    <x v="8"/>
    <n v="30382"/>
    <n v="30932"/>
  </r>
  <r>
    <s v="ORD08982"/>
    <d v="2025-01-30T00:00:00"/>
    <x v="1"/>
    <x v="3"/>
    <x v="4"/>
    <s v="Malaysia"/>
    <x v="3"/>
    <x v="23"/>
    <n v="21285"/>
    <n v="21053"/>
  </r>
  <r>
    <s v="ORD08983"/>
    <d v="2025-09-24T00:00:00"/>
    <x v="3"/>
    <x v="25"/>
    <x v="5"/>
    <s v="Japan"/>
    <x v="1"/>
    <x v="25"/>
    <n v="35114"/>
    <n v="32985"/>
  </r>
  <r>
    <s v="ORD08984"/>
    <d v="2025-01-11T00:00:00"/>
    <x v="1"/>
    <x v="6"/>
    <x v="5"/>
    <s v="China"/>
    <x v="46"/>
    <x v="3"/>
    <n v="18714"/>
    <n v="20061"/>
  </r>
  <r>
    <s v="ORD08985"/>
    <d v="2025-01-23T00:00:00"/>
    <x v="1"/>
    <x v="7"/>
    <x v="2"/>
    <s v="China"/>
    <x v="17"/>
    <x v="19"/>
    <n v="36170"/>
    <n v="32374"/>
  </r>
  <r>
    <s v="ORD08986"/>
    <d v="2025-01-03T00:00:00"/>
    <x v="1"/>
    <x v="5"/>
    <x v="0"/>
    <s v="Singapore"/>
    <x v="39"/>
    <x v="21"/>
    <n v="39764"/>
    <n v="47277"/>
  </r>
  <r>
    <s v="ORD08987"/>
    <d v="2025-02-03T00:00:00"/>
    <x v="6"/>
    <x v="48"/>
    <x v="3"/>
    <s v="Canada"/>
    <x v="14"/>
    <x v="27"/>
    <n v="38281"/>
    <n v="29995"/>
  </r>
  <r>
    <s v="ORD08988"/>
    <d v="2025-11-05T00:00:00"/>
    <x v="2"/>
    <x v="51"/>
    <x v="3"/>
    <s v="India"/>
    <x v="47"/>
    <x v="14"/>
    <n v="33061"/>
    <n v="38464"/>
  </r>
  <r>
    <s v="ORD08989"/>
    <d v="2025-09-03T00:00:00"/>
    <x v="3"/>
    <x v="4"/>
    <x v="0"/>
    <s v="China"/>
    <x v="44"/>
    <x v="21"/>
    <n v="32428"/>
    <n v="40378"/>
  </r>
  <r>
    <s v="ORD08990"/>
    <d v="2025-05-06T00:00:00"/>
    <x v="8"/>
    <x v="18"/>
    <x v="2"/>
    <s v="UK"/>
    <x v="42"/>
    <x v="9"/>
    <n v="21154"/>
    <n v="24723"/>
  </r>
  <r>
    <s v="ORD08991"/>
    <d v="2025-10-14T00:00:00"/>
    <x v="4"/>
    <x v="10"/>
    <x v="6"/>
    <s v="Spain"/>
    <x v="45"/>
    <x v="22"/>
    <n v="15041"/>
    <n v="12959"/>
  </r>
  <r>
    <s v="ORD08992"/>
    <d v="2025-12-30T00:00:00"/>
    <x v="10"/>
    <x v="5"/>
    <x v="5"/>
    <s v="Germany"/>
    <x v="11"/>
    <x v="22"/>
    <n v="18319"/>
    <n v="20662"/>
  </r>
  <r>
    <s v="ORD08993"/>
    <d v="2025-05-25T00:00:00"/>
    <x v="8"/>
    <x v="26"/>
    <x v="1"/>
    <s v="Thailand"/>
    <x v="5"/>
    <x v="9"/>
    <n v="30393"/>
    <n v="35169"/>
  </r>
  <r>
    <s v="ORD08994"/>
    <d v="2025-02-22T00:00:00"/>
    <x v="6"/>
    <x v="15"/>
    <x v="2"/>
    <s v="Malaysia"/>
    <x v="21"/>
    <x v="1"/>
    <n v="31792"/>
    <n v="22810"/>
  </r>
  <r>
    <s v="ORD08995"/>
    <d v="2025-03-02T00:00:00"/>
    <x v="9"/>
    <x v="22"/>
    <x v="4"/>
    <s v="UAE"/>
    <x v="4"/>
    <x v="26"/>
    <n v="38606"/>
    <n v="37269"/>
  </r>
  <r>
    <s v="ORD08996"/>
    <d v="2025-09-11T00:00:00"/>
    <x v="3"/>
    <x v="31"/>
    <x v="3"/>
    <s v="UK"/>
    <x v="14"/>
    <x v="24"/>
    <n v="39907"/>
    <n v="40775"/>
  </r>
  <r>
    <s v="ORD08997"/>
    <d v="2025-10-25T00:00:00"/>
    <x v="4"/>
    <x v="50"/>
    <x v="0"/>
    <s v="France"/>
    <x v="0"/>
    <x v="20"/>
    <n v="36996"/>
    <n v="27358"/>
  </r>
  <r>
    <s v="ORD08998"/>
    <d v="2025-02-02T00:00:00"/>
    <x v="6"/>
    <x v="3"/>
    <x v="1"/>
    <s v="Singapore"/>
    <x v="2"/>
    <x v="18"/>
    <n v="17684"/>
    <n v="12712"/>
  </r>
  <r>
    <s v="ORD08999"/>
    <d v="2025-10-09T00:00:00"/>
    <x v="4"/>
    <x v="45"/>
    <x v="3"/>
    <s v="Germany"/>
    <x v="2"/>
    <x v="29"/>
    <n v="19671"/>
    <n v="20085"/>
  </r>
  <r>
    <s v="ORD09000"/>
    <d v="2025-07-03T00:00:00"/>
    <x v="0"/>
    <x v="37"/>
    <x v="1"/>
    <s v="Spain"/>
    <x v="36"/>
    <x v="5"/>
    <n v="30036"/>
    <n v="25228"/>
  </r>
  <r>
    <s v="ORD09001"/>
    <d v="2025-06-29T00:00:00"/>
    <x v="5"/>
    <x v="36"/>
    <x v="2"/>
    <s v="Italy"/>
    <x v="46"/>
    <x v="16"/>
    <n v="29002"/>
    <n v="20389"/>
  </r>
  <r>
    <s v="ORD09002"/>
    <d v="2025-07-30T00:00:00"/>
    <x v="0"/>
    <x v="12"/>
    <x v="4"/>
    <s v="Australia"/>
    <x v="4"/>
    <x v="20"/>
    <n v="25161"/>
    <n v="23656"/>
  </r>
  <r>
    <s v="ORD09003"/>
    <d v="2025-09-12T00:00:00"/>
    <x v="3"/>
    <x v="31"/>
    <x v="2"/>
    <s v="Germany"/>
    <x v="39"/>
    <x v="23"/>
    <n v="21054"/>
    <n v="21805"/>
  </r>
  <r>
    <s v="ORD09004"/>
    <d v="2025-08-06T00:00:00"/>
    <x v="11"/>
    <x v="23"/>
    <x v="2"/>
    <s v="Australia"/>
    <x v="37"/>
    <x v="6"/>
    <n v="23621"/>
    <n v="27534"/>
  </r>
  <r>
    <s v="ORD09005"/>
    <d v="2025-02-07T00:00:00"/>
    <x v="6"/>
    <x v="48"/>
    <x v="3"/>
    <s v="Canada"/>
    <x v="8"/>
    <x v="11"/>
    <n v="28135"/>
    <n v="28876"/>
  </r>
  <r>
    <s v="ORD09006"/>
    <d v="2025-03-21T00:00:00"/>
    <x v="9"/>
    <x v="39"/>
    <x v="5"/>
    <s v="France"/>
    <x v="1"/>
    <x v="16"/>
    <n v="18915"/>
    <n v="23046"/>
  </r>
  <r>
    <s v="ORD09007"/>
    <d v="2025-10-21T00:00:00"/>
    <x v="4"/>
    <x v="50"/>
    <x v="5"/>
    <s v="India"/>
    <x v="36"/>
    <x v="27"/>
    <n v="20724"/>
    <n v="22952"/>
  </r>
  <r>
    <s v="ORD09008"/>
    <d v="2025-07-31T00:00:00"/>
    <x v="0"/>
    <x v="12"/>
    <x v="2"/>
    <s v="Japan"/>
    <x v="21"/>
    <x v="13"/>
    <n v="22390"/>
    <n v="26635"/>
  </r>
  <r>
    <s v="ORD09009"/>
    <d v="2025-08-11T00:00:00"/>
    <x v="11"/>
    <x v="30"/>
    <x v="6"/>
    <s v="Malaysia"/>
    <x v="12"/>
    <x v="19"/>
    <n v="25190"/>
    <n v="28636"/>
  </r>
  <r>
    <s v="ORD09010"/>
    <d v="2025-01-18T00:00:00"/>
    <x v="1"/>
    <x v="1"/>
    <x v="1"/>
    <s v="India"/>
    <x v="7"/>
    <x v="13"/>
    <n v="38548"/>
    <n v="49740"/>
  </r>
  <r>
    <s v="ORD09011"/>
    <d v="2025-09-18T00:00:00"/>
    <x v="3"/>
    <x v="8"/>
    <x v="6"/>
    <s v="Mexico"/>
    <x v="29"/>
    <x v="16"/>
    <n v="20819"/>
    <n v="23337"/>
  </r>
  <r>
    <s v="ORD09012"/>
    <d v="2025-05-25T00:00:00"/>
    <x v="8"/>
    <x v="26"/>
    <x v="0"/>
    <s v="Russia"/>
    <x v="28"/>
    <x v="6"/>
    <n v="36880"/>
    <n v="41003"/>
  </r>
  <r>
    <s v="ORD09013"/>
    <d v="2025-02-13T00:00:00"/>
    <x v="6"/>
    <x v="29"/>
    <x v="5"/>
    <s v="Australia"/>
    <x v="12"/>
    <x v="15"/>
    <n v="25472"/>
    <n v="25875"/>
  </r>
  <r>
    <s v="ORD09014"/>
    <d v="2025-06-27T00:00:00"/>
    <x v="5"/>
    <x v="36"/>
    <x v="3"/>
    <s v="Spain"/>
    <x v="7"/>
    <x v="13"/>
    <n v="28232"/>
    <n v="31780"/>
  </r>
  <r>
    <s v="ORD09015"/>
    <d v="2025-07-07T00:00:00"/>
    <x v="0"/>
    <x v="47"/>
    <x v="3"/>
    <s v="Spain"/>
    <x v="13"/>
    <x v="11"/>
    <n v="37593"/>
    <n v="45432"/>
  </r>
  <r>
    <s v="ORD09016"/>
    <d v="2025-08-23T00:00:00"/>
    <x v="11"/>
    <x v="46"/>
    <x v="5"/>
    <s v="Mexico"/>
    <x v="46"/>
    <x v="27"/>
    <n v="22544"/>
    <n v="24822"/>
  </r>
  <r>
    <s v="ORD09017"/>
    <d v="2025-07-13T00:00:00"/>
    <x v="0"/>
    <x v="47"/>
    <x v="1"/>
    <s v="Turkey"/>
    <x v="12"/>
    <x v="9"/>
    <n v="17259"/>
    <n v="19867"/>
  </r>
  <r>
    <s v="ORD09018"/>
    <d v="2025-03-28T00:00:00"/>
    <x v="9"/>
    <x v="33"/>
    <x v="0"/>
    <s v="Turkey"/>
    <x v="39"/>
    <x v="21"/>
    <n v="25168"/>
    <n v="22459"/>
  </r>
  <r>
    <s v="ORD09019"/>
    <d v="2025-02-03T00:00:00"/>
    <x v="6"/>
    <x v="48"/>
    <x v="5"/>
    <s v="Canada"/>
    <x v="18"/>
    <x v="23"/>
    <n v="33847"/>
    <n v="31093"/>
  </r>
  <r>
    <s v="ORD09020"/>
    <d v="2025-03-21T00:00:00"/>
    <x v="9"/>
    <x v="39"/>
    <x v="1"/>
    <s v="Spain"/>
    <x v="10"/>
    <x v="9"/>
    <n v="28998"/>
    <n v="21682"/>
  </r>
  <r>
    <s v="ORD09021"/>
    <d v="2025-11-12T00:00:00"/>
    <x v="2"/>
    <x v="44"/>
    <x v="6"/>
    <s v="Germany"/>
    <x v="31"/>
    <x v="4"/>
    <n v="37691"/>
    <n v="43192"/>
  </r>
  <r>
    <s v="ORD09022"/>
    <d v="2025-05-02T00:00:00"/>
    <x v="8"/>
    <x v="27"/>
    <x v="6"/>
    <s v="Singapore"/>
    <x v="22"/>
    <x v="15"/>
    <n v="32612"/>
    <n v="24154"/>
  </r>
  <r>
    <s v="ORD09023"/>
    <d v="2025-05-29T00:00:00"/>
    <x v="8"/>
    <x v="24"/>
    <x v="2"/>
    <s v="Russia"/>
    <x v="28"/>
    <x v="3"/>
    <n v="36106"/>
    <n v="27162"/>
  </r>
  <r>
    <s v="ORD09024"/>
    <d v="2025-03-07T00:00:00"/>
    <x v="9"/>
    <x v="35"/>
    <x v="5"/>
    <s v="China"/>
    <x v="19"/>
    <x v="13"/>
    <n v="17703"/>
    <n v="19348"/>
  </r>
  <r>
    <s v="ORD09025"/>
    <d v="2025-11-17T00:00:00"/>
    <x v="2"/>
    <x v="9"/>
    <x v="0"/>
    <s v="Germany"/>
    <x v="22"/>
    <x v="6"/>
    <n v="32258"/>
    <n v="25544"/>
  </r>
  <r>
    <s v="ORD09026"/>
    <d v="2025-08-29T00:00:00"/>
    <x v="11"/>
    <x v="28"/>
    <x v="0"/>
    <s v="Russia"/>
    <x v="8"/>
    <x v="8"/>
    <n v="33608"/>
    <n v="28715"/>
  </r>
  <r>
    <s v="ORD09027"/>
    <d v="2025-01-22T00:00:00"/>
    <x v="1"/>
    <x v="7"/>
    <x v="2"/>
    <s v="Malaysia"/>
    <x v="17"/>
    <x v="2"/>
    <n v="31165"/>
    <n v="28027"/>
  </r>
  <r>
    <s v="ORD09028"/>
    <d v="2025-10-28T00:00:00"/>
    <x v="4"/>
    <x v="2"/>
    <x v="6"/>
    <s v="Brazil"/>
    <x v="6"/>
    <x v="23"/>
    <n v="26018"/>
    <n v="33257"/>
  </r>
  <r>
    <s v="ORD09029"/>
    <d v="2025-04-23T00:00:00"/>
    <x v="7"/>
    <x v="38"/>
    <x v="2"/>
    <s v="India"/>
    <x v="4"/>
    <x v="29"/>
    <n v="38473"/>
    <n v="33077"/>
  </r>
  <r>
    <s v="ORD09030"/>
    <d v="2025-05-15T00:00:00"/>
    <x v="8"/>
    <x v="17"/>
    <x v="4"/>
    <s v="Malaysia"/>
    <x v="18"/>
    <x v="0"/>
    <n v="39773"/>
    <n v="40555"/>
  </r>
  <r>
    <s v="ORD09031"/>
    <d v="2025-12-20T00:00:00"/>
    <x v="10"/>
    <x v="21"/>
    <x v="0"/>
    <s v="UAE"/>
    <x v="12"/>
    <x v="9"/>
    <n v="29891"/>
    <n v="22215"/>
  </r>
  <r>
    <s v="ORD09032"/>
    <d v="2025-06-15T00:00:00"/>
    <x v="5"/>
    <x v="40"/>
    <x v="2"/>
    <s v="Mexico"/>
    <x v="20"/>
    <x v="27"/>
    <n v="15515"/>
    <n v="18748"/>
  </r>
  <r>
    <s v="ORD09033"/>
    <d v="2025-07-06T00:00:00"/>
    <x v="0"/>
    <x v="37"/>
    <x v="1"/>
    <s v="USA"/>
    <x v="38"/>
    <x v="0"/>
    <n v="34006"/>
    <n v="39145"/>
  </r>
  <r>
    <s v="ORD09034"/>
    <d v="2025-11-03T00:00:00"/>
    <x v="2"/>
    <x v="51"/>
    <x v="3"/>
    <s v="Brazil"/>
    <x v="20"/>
    <x v="2"/>
    <n v="32797"/>
    <n v="25231"/>
  </r>
  <r>
    <s v="ORD09035"/>
    <d v="2025-09-27T00:00:00"/>
    <x v="3"/>
    <x v="25"/>
    <x v="6"/>
    <s v="Canada"/>
    <x v="13"/>
    <x v="13"/>
    <n v="26546"/>
    <n v="25607"/>
  </r>
  <r>
    <s v="ORD09036"/>
    <d v="2025-06-23T00:00:00"/>
    <x v="5"/>
    <x v="36"/>
    <x v="3"/>
    <s v="Russia"/>
    <x v="48"/>
    <x v="2"/>
    <n v="20899"/>
    <n v="22937"/>
  </r>
  <r>
    <s v="ORD09037"/>
    <d v="2025-10-03T00:00:00"/>
    <x v="4"/>
    <x v="49"/>
    <x v="4"/>
    <s v="Japan"/>
    <x v="2"/>
    <x v="20"/>
    <n v="16824"/>
    <n v="14626"/>
  </r>
  <r>
    <s v="ORD09038"/>
    <d v="2025-12-08T00:00:00"/>
    <x v="10"/>
    <x v="32"/>
    <x v="4"/>
    <s v="Germany"/>
    <x v="34"/>
    <x v="29"/>
    <n v="22203"/>
    <n v="28411"/>
  </r>
  <r>
    <s v="ORD09039"/>
    <d v="2025-06-08T00:00:00"/>
    <x v="5"/>
    <x v="41"/>
    <x v="1"/>
    <s v="South Africa"/>
    <x v="39"/>
    <x v="25"/>
    <n v="19023"/>
    <n v="18978"/>
  </r>
  <r>
    <s v="ORD09040"/>
    <d v="2025-06-27T00:00:00"/>
    <x v="5"/>
    <x v="36"/>
    <x v="4"/>
    <s v="South Africa"/>
    <x v="8"/>
    <x v="2"/>
    <n v="17131"/>
    <n v="17877"/>
  </r>
  <r>
    <s v="ORD09041"/>
    <d v="2025-11-04T00:00:00"/>
    <x v="2"/>
    <x v="51"/>
    <x v="4"/>
    <s v="Turkey"/>
    <x v="22"/>
    <x v="11"/>
    <n v="30351"/>
    <n v="31138"/>
  </r>
  <r>
    <s v="ORD09042"/>
    <d v="2025-12-01T00:00:00"/>
    <x v="10"/>
    <x v="43"/>
    <x v="6"/>
    <s v="Germany"/>
    <x v="10"/>
    <x v="25"/>
    <n v="20446"/>
    <n v="19331"/>
  </r>
  <r>
    <s v="ORD09043"/>
    <d v="2025-11-14T00:00:00"/>
    <x v="2"/>
    <x v="44"/>
    <x v="5"/>
    <s v="Brazil"/>
    <x v="21"/>
    <x v="18"/>
    <n v="33302"/>
    <n v="28154"/>
  </r>
  <r>
    <s v="ORD09044"/>
    <d v="2025-03-10T00:00:00"/>
    <x v="9"/>
    <x v="19"/>
    <x v="1"/>
    <s v="UAE"/>
    <x v="35"/>
    <x v="18"/>
    <n v="32431"/>
    <n v="31246"/>
  </r>
  <r>
    <s v="ORD09045"/>
    <d v="2025-04-19T00:00:00"/>
    <x v="7"/>
    <x v="20"/>
    <x v="2"/>
    <s v="UAE"/>
    <x v="30"/>
    <x v="9"/>
    <n v="36144"/>
    <n v="33472"/>
  </r>
  <r>
    <s v="ORD09046"/>
    <d v="2025-06-02T00:00:00"/>
    <x v="5"/>
    <x v="41"/>
    <x v="2"/>
    <s v="Mexico"/>
    <x v="47"/>
    <x v="1"/>
    <n v="36990"/>
    <n v="30081"/>
  </r>
  <r>
    <s v="ORD09047"/>
    <d v="2025-05-13T00:00:00"/>
    <x v="8"/>
    <x v="17"/>
    <x v="3"/>
    <s v="Italy"/>
    <x v="28"/>
    <x v="20"/>
    <n v="24918"/>
    <n v="26505"/>
  </r>
  <r>
    <s v="ORD09048"/>
    <d v="2025-06-16T00:00:00"/>
    <x v="5"/>
    <x v="13"/>
    <x v="3"/>
    <s v="Australia"/>
    <x v="6"/>
    <x v="24"/>
    <n v="32425"/>
    <n v="37781"/>
  </r>
  <r>
    <s v="ORD09049"/>
    <d v="2025-11-11T00:00:00"/>
    <x v="2"/>
    <x v="44"/>
    <x v="0"/>
    <s v="China"/>
    <x v="40"/>
    <x v="10"/>
    <n v="28246"/>
    <n v="27209"/>
  </r>
  <r>
    <s v="ORD09050"/>
    <d v="2025-06-08T00:00:00"/>
    <x v="5"/>
    <x v="41"/>
    <x v="2"/>
    <s v="UK"/>
    <x v="27"/>
    <x v="27"/>
    <n v="16678"/>
    <n v="12739"/>
  </r>
  <r>
    <s v="ORD09051"/>
    <d v="2025-02-06T00:00:00"/>
    <x v="6"/>
    <x v="48"/>
    <x v="3"/>
    <s v="Australia"/>
    <x v="25"/>
    <x v="20"/>
    <n v="25618"/>
    <n v="22603"/>
  </r>
  <r>
    <s v="ORD09052"/>
    <d v="2025-01-08T00:00:00"/>
    <x v="1"/>
    <x v="6"/>
    <x v="4"/>
    <s v="USA"/>
    <x v="14"/>
    <x v="2"/>
    <n v="26890"/>
    <n v="18895"/>
  </r>
  <r>
    <s v="ORD09053"/>
    <d v="2025-06-19T00:00:00"/>
    <x v="5"/>
    <x v="13"/>
    <x v="3"/>
    <s v="Germany"/>
    <x v="5"/>
    <x v="28"/>
    <n v="26418"/>
    <n v="29757"/>
  </r>
  <r>
    <s v="ORD09054"/>
    <d v="2025-06-15T00:00:00"/>
    <x v="5"/>
    <x v="40"/>
    <x v="4"/>
    <s v="Australia"/>
    <x v="15"/>
    <x v="6"/>
    <n v="18427"/>
    <n v="19680"/>
  </r>
  <r>
    <s v="ORD09055"/>
    <d v="2025-09-12T00:00:00"/>
    <x v="3"/>
    <x v="31"/>
    <x v="6"/>
    <s v="Australia"/>
    <x v="48"/>
    <x v="24"/>
    <n v="31482"/>
    <n v="31988"/>
  </r>
  <r>
    <s v="ORD09056"/>
    <d v="2025-05-19T00:00:00"/>
    <x v="8"/>
    <x v="26"/>
    <x v="0"/>
    <s v="Germany"/>
    <x v="19"/>
    <x v="28"/>
    <n v="38839"/>
    <n v="48383"/>
  </r>
  <r>
    <s v="ORD09057"/>
    <d v="2025-07-13T00:00:00"/>
    <x v="0"/>
    <x v="47"/>
    <x v="6"/>
    <s v="Turkey"/>
    <x v="1"/>
    <x v="7"/>
    <n v="18887"/>
    <n v="14428"/>
  </r>
  <r>
    <s v="ORD09058"/>
    <d v="2025-07-03T00:00:00"/>
    <x v="0"/>
    <x v="37"/>
    <x v="4"/>
    <s v="UK"/>
    <x v="38"/>
    <x v="24"/>
    <n v="37465"/>
    <n v="30846"/>
  </r>
  <r>
    <s v="ORD09059"/>
    <d v="2025-10-13T00:00:00"/>
    <x v="4"/>
    <x v="10"/>
    <x v="1"/>
    <s v="Russia"/>
    <x v="41"/>
    <x v="16"/>
    <n v="30720"/>
    <n v="22565"/>
  </r>
  <r>
    <s v="ORD09060"/>
    <d v="2025-09-11T00:00:00"/>
    <x v="3"/>
    <x v="31"/>
    <x v="2"/>
    <s v="Brazil"/>
    <x v="30"/>
    <x v="7"/>
    <n v="21831"/>
    <n v="21823"/>
  </r>
  <r>
    <s v="ORD09061"/>
    <d v="2025-08-15T00:00:00"/>
    <x v="11"/>
    <x v="30"/>
    <x v="6"/>
    <s v="India"/>
    <x v="1"/>
    <x v="29"/>
    <n v="31056"/>
    <n v="39543"/>
  </r>
  <r>
    <s v="ORD09062"/>
    <d v="2025-06-22T00:00:00"/>
    <x v="5"/>
    <x v="13"/>
    <x v="5"/>
    <s v="UK"/>
    <x v="0"/>
    <x v="15"/>
    <n v="34302"/>
    <n v="27583"/>
  </r>
  <r>
    <s v="ORD09063"/>
    <d v="2025-04-10T00:00:00"/>
    <x v="7"/>
    <x v="16"/>
    <x v="6"/>
    <s v="Thailand"/>
    <x v="41"/>
    <x v="7"/>
    <n v="34320"/>
    <n v="30504"/>
  </r>
  <r>
    <s v="ORD09064"/>
    <d v="2025-04-19T00:00:00"/>
    <x v="7"/>
    <x v="20"/>
    <x v="4"/>
    <s v="China"/>
    <x v="22"/>
    <x v="27"/>
    <n v="19406"/>
    <n v="15597"/>
  </r>
  <r>
    <s v="ORD09065"/>
    <d v="2025-01-24T00:00:00"/>
    <x v="1"/>
    <x v="7"/>
    <x v="0"/>
    <s v="Australia"/>
    <x v="24"/>
    <x v="15"/>
    <n v="28082"/>
    <n v="28036"/>
  </r>
  <r>
    <s v="ORD09066"/>
    <d v="2025-05-13T00:00:00"/>
    <x v="8"/>
    <x v="17"/>
    <x v="2"/>
    <s v="UK"/>
    <x v="32"/>
    <x v="5"/>
    <n v="15066"/>
    <n v="10830"/>
  </r>
  <r>
    <s v="ORD09067"/>
    <d v="2025-07-27T00:00:00"/>
    <x v="0"/>
    <x v="0"/>
    <x v="6"/>
    <s v="Australia"/>
    <x v="31"/>
    <x v="7"/>
    <n v="31126"/>
    <n v="30256"/>
  </r>
  <r>
    <s v="ORD09068"/>
    <d v="2025-08-23T00:00:00"/>
    <x v="11"/>
    <x v="46"/>
    <x v="3"/>
    <s v="Brazil"/>
    <x v="7"/>
    <x v="4"/>
    <n v="39082"/>
    <n v="30907"/>
  </r>
  <r>
    <s v="ORD09069"/>
    <d v="2025-10-18T00:00:00"/>
    <x v="4"/>
    <x v="10"/>
    <x v="2"/>
    <s v="USA"/>
    <x v="16"/>
    <x v="22"/>
    <n v="20404"/>
    <n v="18629"/>
  </r>
  <r>
    <s v="ORD09070"/>
    <d v="2025-09-11T00:00:00"/>
    <x v="3"/>
    <x v="31"/>
    <x v="6"/>
    <s v="Australia"/>
    <x v="16"/>
    <x v="5"/>
    <n v="35046"/>
    <n v="28336"/>
  </r>
  <r>
    <s v="ORD09071"/>
    <d v="2025-09-23T00:00:00"/>
    <x v="3"/>
    <x v="25"/>
    <x v="6"/>
    <s v="UAE"/>
    <x v="3"/>
    <x v="6"/>
    <n v="24909"/>
    <n v="23275"/>
  </r>
  <r>
    <s v="ORD09072"/>
    <d v="2025-06-19T00:00:00"/>
    <x v="5"/>
    <x v="13"/>
    <x v="1"/>
    <s v="India"/>
    <x v="25"/>
    <x v="6"/>
    <n v="33628"/>
    <n v="36378"/>
  </r>
  <r>
    <s v="ORD09073"/>
    <d v="2025-11-07T00:00:00"/>
    <x v="2"/>
    <x v="51"/>
    <x v="6"/>
    <s v="France"/>
    <x v="49"/>
    <x v="7"/>
    <n v="23229"/>
    <n v="22409"/>
  </r>
  <r>
    <s v="ORD09074"/>
    <d v="2025-08-25T00:00:00"/>
    <x v="11"/>
    <x v="28"/>
    <x v="1"/>
    <s v="India"/>
    <x v="28"/>
    <x v="2"/>
    <n v="38292"/>
    <n v="33300"/>
  </r>
  <r>
    <s v="ORD09075"/>
    <d v="2025-05-21T00:00:00"/>
    <x v="8"/>
    <x v="26"/>
    <x v="3"/>
    <s v="Turkey"/>
    <x v="23"/>
    <x v="5"/>
    <n v="25908"/>
    <n v="29849"/>
  </r>
  <r>
    <s v="ORD09076"/>
    <d v="2025-10-16T00:00:00"/>
    <x v="4"/>
    <x v="10"/>
    <x v="5"/>
    <s v="India"/>
    <x v="49"/>
    <x v="5"/>
    <n v="17206"/>
    <n v="15185"/>
  </r>
  <r>
    <s v="ORD09077"/>
    <d v="2025-09-27T00:00:00"/>
    <x v="3"/>
    <x v="25"/>
    <x v="1"/>
    <s v="Japan"/>
    <x v="48"/>
    <x v="26"/>
    <n v="31178"/>
    <n v="31594"/>
  </r>
  <r>
    <s v="ORD09078"/>
    <d v="2025-11-10T00:00:00"/>
    <x v="2"/>
    <x v="44"/>
    <x v="4"/>
    <s v="Japan"/>
    <x v="38"/>
    <x v="6"/>
    <n v="16848"/>
    <n v="13051"/>
  </r>
  <r>
    <s v="ORD09079"/>
    <d v="2025-01-22T00:00:00"/>
    <x v="1"/>
    <x v="7"/>
    <x v="2"/>
    <s v="Malaysia"/>
    <x v="49"/>
    <x v="27"/>
    <n v="34356"/>
    <n v="31601"/>
  </r>
  <r>
    <s v="ORD09080"/>
    <d v="2025-09-25T00:00:00"/>
    <x v="3"/>
    <x v="25"/>
    <x v="2"/>
    <s v="Germany"/>
    <x v="31"/>
    <x v="16"/>
    <n v="25276"/>
    <n v="20099"/>
  </r>
  <r>
    <s v="ORD09081"/>
    <d v="2025-08-13T00:00:00"/>
    <x v="11"/>
    <x v="30"/>
    <x v="3"/>
    <s v="UK"/>
    <x v="39"/>
    <x v="16"/>
    <n v="38430"/>
    <n v="42011"/>
  </r>
  <r>
    <s v="ORD09082"/>
    <d v="2025-08-27T00:00:00"/>
    <x v="11"/>
    <x v="28"/>
    <x v="5"/>
    <s v="Spain"/>
    <x v="45"/>
    <x v="2"/>
    <n v="36188"/>
    <n v="28599"/>
  </r>
  <r>
    <s v="ORD09083"/>
    <d v="2025-08-06T00:00:00"/>
    <x v="11"/>
    <x v="23"/>
    <x v="5"/>
    <s v="China"/>
    <x v="23"/>
    <x v="13"/>
    <n v="35916"/>
    <n v="26119"/>
  </r>
  <r>
    <s v="ORD09084"/>
    <d v="2025-05-09T00:00:00"/>
    <x v="8"/>
    <x v="18"/>
    <x v="4"/>
    <s v="Brazil"/>
    <x v="29"/>
    <x v="11"/>
    <n v="27811"/>
    <n v="33286"/>
  </r>
  <r>
    <s v="ORD09085"/>
    <d v="2025-09-12T00:00:00"/>
    <x v="3"/>
    <x v="31"/>
    <x v="6"/>
    <s v="South Africa"/>
    <x v="0"/>
    <x v="18"/>
    <n v="29424"/>
    <n v="33546"/>
  </r>
  <r>
    <s v="ORD09086"/>
    <d v="2025-03-07T00:00:00"/>
    <x v="9"/>
    <x v="35"/>
    <x v="1"/>
    <s v="France"/>
    <x v="25"/>
    <x v="1"/>
    <n v="30391"/>
    <n v="37435"/>
  </r>
  <r>
    <s v="ORD09087"/>
    <d v="2025-10-06T00:00:00"/>
    <x v="4"/>
    <x v="45"/>
    <x v="2"/>
    <s v="USA"/>
    <x v="5"/>
    <x v="12"/>
    <n v="35014"/>
    <n v="35247"/>
  </r>
  <r>
    <s v="ORD09088"/>
    <d v="2025-05-19T00:00:00"/>
    <x v="8"/>
    <x v="26"/>
    <x v="1"/>
    <s v="UAE"/>
    <x v="30"/>
    <x v="28"/>
    <n v="34181"/>
    <n v="34626"/>
  </r>
  <r>
    <s v="ORD09089"/>
    <d v="2025-09-21T00:00:00"/>
    <x v="3"/>
    <x v="8"/>
    <x v="5"/>
    <s v="Singapore"/>
    <x v="2"/>
    <x v="8"/>
    <n v="30611"/>
    <n v="23467"/>
  </r>
  <r>
    <s v="ORD09090"/>
    <d v="2025-01-20T00:00:00"/>
    <x v="1"/>
    <x v="7"/>
    <x v="2"/>
    <s v="UAE"/>
    <x v="5"/>
    <x v="11"/>
    <n v="20145"/>
    <n v="17435"/>
  </r>
  <r>
    <s v="ORD09091"/>
    <d v="2025-12-31T00:00:00"/>
    <x v="10"/>
    <x v="5"/>
    <x v="0"/>
    <s v="USA"/>
    <x v="29"/>
    <x v="21"/>
    <n v="23469"/>
    <n v="19593"/>
  </r>
  <r>
    <s v="ORD09092"/>
    <d v="2025-02-06T00:00:00"/>
    <x v="6"/>
    <x v="48"/>
    <x v="0"/>
    <s v="USA"/>
    <x v="28"/>
    <x v="13"/>
    <n v="34553"/>
    <n v="40594"/>
  </r>
  <r>
    <s v="ORD09093"/>
    <d v="2025-04-21T00:00:00"/>
    <x v="7"/>
    <x v="38"/>
    <x v="6"/>
    <s v="Mexico"/>
    <x v="27"/>
    <x v="5"/>
    <n v="25760"/>
    <n v="22075"/>
  </r>
  <r>
    <s v="ORD09094"/>
    <d v="2025-10-13T00:00:00"/>
    <x v="4"/>
    <x v="10"/>
    <x v="5"/>
    <s v="Japan"/>
    <x v="31"/>
    <x v="0"/>
    <n v="26304"/>
    <n v="30523"/>
  </r>
  <r>
    <s v="ORD09095"/>
    <d v="2025-11-22T00:00:00"/>
    <x v="2"/>
    <x v="9"/>
    <x v="6"/>
    <s v="Australia"/>
    <x v="47"/>
    <x v="6"/>
    <n v="30854"/>
    <n v="33469"/>
  </r>
  <r>
    <s v="ORD09096"/>
    <d v="2025-04-01T00:00:00"/>
    <x v="7"/>
    <x v="34"/>
    <x v="4"/>
    <s v="Spain"/>
    <x v="23"/>
    <x v="16"/>
    <n v="28494"/>
    <n v="31170"/>
  </r>
  <r>
    <s v="ORD09097"/>
    <d v="2025-02-13T00:00:00"/>
    <x v="6"/>
    <x v="29"/>
    <x v="6"/>
    <s v="Japan"/>
    <x v="24"/>
    <x v="24"/>
    <n v="23430"/>
    <n v="21311"/>
  </r>
  <r>
    <s v="ORD09098"/>
    <d v="2025-02-28T00:00:00"/>
    <x v="6"/>
    <x v="22"/>
    <x v="2"/>
    <s v="UAE"/>
    <x v="11"/>
    <x v="18"/>
    <n v="26644"/>
    <n v="33137"/>
  </r>
  <r>
    <s v="ORD09099"/>
    <d v="2025-05-14T00:00:00"/>
    <x v="8"/>
    <x v="17"/>
    <x v="2"/>
    <s v="Spain"/>
    <x v="1"/>
    <x v="29"/>
    <n v="38928"/>
    <n v="33197"/>
  </r>
  <r>
    <s v="ORD09100"/>
    <d v="2025-06-22T00:00:00"/>
    <x v="5"/>
    <x v="13"/>
    <x v="2"/>
    <s v="India"/>
    <x v="8"/>
    <x v="28"/>
    <n v="21266"/>
    <n v="16012"/>
  </r>
  <r>
    <s v="ORD09101"/>
    <d v="2025-07-30T00:00:00"/>
    <x v="0"/>
    <x v="12"/>
    <x v="2"/>
    <s v="Australia"/>
    <x v="10"/>
    <x v="12"/>
    <n v="38106"/>
    <n v="30158"/>
  </r>
  <r>
    <s v="ORD09102"/>
    <d v="2025-06-02T00:00:00"/>
    <x v="5"/>
    <x v="41"/>
    <x v="0"/>
    <s v="Malaysia"/>
    <x v="48"/>
    <x v="17"/>
    <n v="26312"/>
    <n v="21796"/>
  </r>
  <r>
    <s v="ORD09103"/>
    <d v="2025-01-25T00:00:00"/>
    <x v="1"/>
    <x v="7"/>
    <x v="5"/>
    <s v="Singapore"/>
    <x v="35"/>
    <x v="6"/>
    <n v="35473"/>
    <n v="32332"/>
  </r>
  <r>
    <s v="ORD09104"/>
    <d v="2025-10-20T00:00:00"/>
    <x v="4"/>
    <x v="50"/>
    <x v="0"/>
    <s v="Russia"/>
    <x v="14"/>
    <x v="2"/>
    <n v="20888"/>
    <n v="21337"/>
  </r>
  <r>
    <s v="ORD09105"/>
    <d v="2025-08-04T00:00:00"/>
    <x v="11"/>
    <x v="23"/>
    <x v="0"/>
    <s v="Japan"/>
    <x v="22"/>
    <x v="10"/>
    <n v="20318"/>
    <n v="22686"/>
  </r>
  <r>
    <s v="ORD09106"/>
    <d v="2025-10-24T00:00:00"/>
    <x v="4"/>
    <x v="50"/>
    <x v="5"/>
    <s v="Brazil"/>
    <x v="1"/>
    <x v="28"/>
    <n v="24825"/>
    <n v="27767"/>
  </r>
  <r>
    <s v="ORD09107"/>
    <d v="2025-08-13T00:00:00"/>
    <x v="11"/>
    <x v="30"/>
    <x v="3"/>
    <s v="UK"/>
    <x v="31"/>
    <x v="13"/>
    <n v="33553"/>
    <n v="32860"/>
  </r>
  <r>
    <s v="ORD09108"/>
    <d v="2025-02-11T00:00:00"/>
    <x v="6"/>
    <x v="29"/>
    <x v="3"/>
    <s v="USA"/>
    <x v="19"/>
    <x v="4"/>
    <n v="30277"/>
    <n v="22986"/>
  </r>
  <r>
    <s v="ORD09109"/>
    <d v="2025-05-05T00:00:00"/>
    <x v="8"/>
    <x v="18"/>
    <x v="1"/>
    <s v="Malaysia"/>
    <x v="44"/>
    <x v="12"/>
    <n v="31262"/>
    <n v="40324"/>
  </r>
  <r>
    <s v="ORD09110"/>
    <d v="2025-10-31T00:00:00"/>
    <x v="4"/>
    <x v="2"/>
    <x v="0"/>
    <s v="Malaysia"/>
    <x v="6"/>
    <x v="10"/>
    <n v="26883"/>
    <n v="28546"/>
  </r>
  <r>
    <s v="ORD09111"/>
    <d v="2025-11-01T00:00:00"/>
    <x v="2"/>
    <x v="2"/>
    <x v="3"/>
    <s v="Singapore"/>
    <x v="47"/>
    <x v="10"/>
    <n v="20922"/>
    <n v="22693"/>
  </r>
  <r>
    <s v="ORD09112"/>
    <d v="2025-03-04T00:00:00"/>
    <x v="9"/>
    <x v="35"/>
    <x v="1"/>
    <s v="Japan"/>
    <x v="22"/>
    <x v="3"/>
    <n v="17606"/>
    <n v="16389"/>
  </r>
  <r>
    <s v="ORD09113"/>
    <d v="2025-02-18T00:00:00"/>
    <x v="6"/>
    <x v="15"/>
    <x v="2"/>
    <s v="Malaysia"/>
    <x v="9"/>
    <x v="4"/>
    <n v="22007"/>
    <n v="26570"/>
  </r>
  <r>
    <s v="ORD09114"/>
    <d v="2025-05-10T00:00:00"/>
    <x v="8"/>
    <x v="18"/>
    <x v="6"/>
    <s v="Italy"/>
    <x v="37"/>
    <x v="12"/>
    <n v="36037"/>
    <n v="39299"/>
  </r>
  <r>
    <s v="ORD09115"/>
    <d v="2025-08-13T00:00:00"/>
    <x v="11"/>
    <x v="30"/>
    <x v="0"/>
    <s v="UAE"/>
    <x v="48"/>
    <x v="18"/>
    <n v="28956"/>
    <n v="26760"/>
  </r>
  <r>
    <s v="ORD09116"/>
    <d v="2025-08-28T00:00:00"/>
    <x v="11"/>
    <x v="28"/>
    <x v="1"/>
    <s v="China"/>
    <x v="27"/>
    <x v="15"/>
    <n v="33026"/>
    <n v="34475"/>
  </r>
  <r>
    <s v="ORD09117"/>
    <d v="2025-02-14T00:00:00"/>
    <x v="6"/>
    <x v="29"/>
    <x v="0"/>
    <s v="Singapore"/>
    <x v="40"/>
    <x v="11"/>
    <n v="24289"/>
    <n v="31141"/>
  </r>
  <r>
    <s v="ORD09118"/>
    <d v="2025-03-31T00:00:00"/>
    <x v="9"/>
    <x v="34"/>
    <x v="5"/>
    <s v="Spain"/>
    <x v="42"/>
    <x v="0"/>
    <n v="39122"/>
    <n v="43280"/>
  </r>
  <r>
    <s v="ORD09119"/>
    <d v="2025-11-20T00:00:00"/>
    <x v="2"/>
    <x v="9"/>
    <x v="4"/>
    <s v="Japan"/>
    <x v="20"/>
    <x v="12"/>
    <n v="23719"/>
    <n v="18183"/>
  </r>
  <r>
    <s v="ORD09120"/>
    <d v="2025-07-09T00:00:00"/>
    <x v="0"/>
    <x v="47"/>
    <x v="5"/>
    <s v="Mexico"/>
    <x v="7"/>
    <x v="0"/>
    <n v="34269"/>
    <n v="44089"/>
  </r>
  <r>
    <s v="ORD09121"/>
    <d v="2025-03-01T00:00:00"/>
    <x v="9"/>
    <x v="22"/>
    <x v="1"/>
    <s v="Italy"/>
    <x v="43"/>
    <x v="28"/>
    <n v="15819"/>
    <n v="18315"/>
  </r>
  <r>
    <s v="ORD09122"/>
    <d v="2025-08-16T00:00:00"/>
    <x v="11"/>
    <x v="30"/>
    <x v="3"/>
    <s v="Australia"/>
    <x v="8"/>
    <x v="18"/>
    <n v="21525"/>
    <n v="23744"/>
  </r>
  <r>
    <s v="ORD09123"/>
    <d v="2025-01-11T00:00:00"/>
    <x v="1"/>
    <x v="6"/>
    <x v="3"/>
    <s v="USA"/>
    <x v="42"/>
    <x v="12"/>
    <n v="35228"/>
    <n v="32205"/>
  </r>
  <r>
    <s v="ORD09124"/>
    <d v="2025-10-04T00:00:00"/>
    <x v="4"/>
    <x v="49"/>
    <x v="3"/>
    <s v="Singapore"/>
    <x v="4"/>
    <x v="24"/>
    <n v="15366"/>
    <n v="15263"/>
  </r>
  <r>
    <s v="ORD09125"/>
    <d v="2025-02-10T00:00:00"/>
    <x v="6"/>
    <x v="29"/>
    <x v="3"/>
    <s v="China"/>
    <x v="32"/>
    <x v="21"/>
    <n v="16985"/>
    <n v="13710"/>
  </r>
  <r>
    <s v="ORD09126"/>
    <d v="2025-05-01T00:00:00"/>
    <x v="8"/>
    <x v="27"/>
    <x v="5"/>
    <s v="Japan"/>
    <x v="30"/>
    <x v="0"/>
    <n v="33388"/>
    <n v="37607"/>
  </r>
  <r>
    <s v="ORD09127"/>
    <d v="2025-08-17T00:00:00"/>
    <x v="11"/>
    <x v="30"/>
    <x v="4"/>
    <s v="USA"/>
    <x v="17"/>
    <x v="24"/>
    <n v="35115"/>
    <n v="38666"/>
  </r>
  <r>
    <s v="ORD09128"/>
    <d v="2025-02-20T00:00:00"/>
    <x v="6"/>
    <x v="15"/>
    <x v="0"/>
    <s v="Spain"/>
    <x v="26"/>
    <x v="27"/>
    <n v="22016"/>
    <n v="22777"/>
  </r>
  <r>
    <s v="ORD09129"/>
    <d v="2025-12-30T00:00:00"/>
    <x v="10"/>
    <x v="5"/>
    <x v="3"/>
    <s v="Australia"/>
    <x v="7"/>
    <x v="0"/>
    <n v="15862"/>
    <n v="17301"/>
  </r>
  <r>
    <s v="ORD09130"/>
    <d v="2025-01-29T00:00:00"/>
    <x v="1"/>
    <x v="3"/>
    <x v="5"/>
    <s v="China"/>
    <x v="30"/>
    <x v="18"/>
    <n v="17330"/>
    <n v="22176"/>
  </r>
  <r>
    <s v="ORD09131"/>
    <d v="2025-04-29T00:00:00"/>
    <x v="7"/>
    <x v="27"/>
    <x v="6"/>
    <s v="France"/>
    <x v="8"/>
    <x v="10"/>
    <n v="20951"/>
    <n v="23061"/>
  </r>
  <r>
    <s v="ORD09132"/>
    <d v="2025-10-24T00:00:00"/>
    <x v="4"/>
    <x v="50"/>
    <x v="1"/>
    <s v="Canada"/>
    <x v="0"/>
    <x v="13"/>
    <n v="35749"/>
    <n v="43632"/>
  </r>
  <r>
    <s v="ORD09133"/>
    <d v="2025-05-21T00:00:00"/>
    <x v="8"/>
    <x v="26"/>
    <x v="3"/>
    <s v="Germany"/>
    <x v="28"/>
    <x v="6"/>
    <n v="34522"/>
    <n v="31196"/>
  </r>
  <r>
    <s v="ORD09134"/>
    <d v="2025-08-18T00:00:00"/>
    <x v="11"/>
    <x v="46"/>
    <x v="6"/>
    <s v="Malaysia"/>
    <x v="46"/>
    <x v="27"/>
    <n v="33258"/>
    <n v="35112"/>
  </r>
  <r>
    <s v="ORD09135"/>
    <d v="2025-12-15T00:00:00"/>
    <x v="10"/>
    <x v="21"/>
    <x v="2"/>
    <s v="Italy"/>
    <x v="33"/>
    <x v="24"/>
    <n v="31401"/>
    <n v="27141"/>
  </r>
  <r>
    <s v="ORD09136"/>
    <d v="2025-03-31T00:00:00"/>
    <x v="9"/>
    <x v="34"/>
    <x v="3"/>
    <s v="Brazil"/>
    <x v="28"/>
    <x v="19"/>
    <n v="38282"/>
    <n v="33525"/>
  </r>
  <r>
    <s v="ORD09137"/>
    <d v="2025-12-19T00:00:00"/>
    <x v="10"/>
    <x v="21"/>
    <x v="2"/>
    <s v="Australia"/>
    <x v="22"/>
    <x v="15"/>
    <n v="19784"/>
    <n v="13890"/>
  </r>
  <r>
    <s v="ORD09138"/>
    <d v="2025-05-11T00:00:00"/>
    <x v="8"/>
    <x v="18"/>
    <x v="6"/>
    <s v="Italy"/>
    <x v="12"/>
    <x v="0"/>
    <n v="18646"/>
    <n v="21740"/>
  </r>
  <r>
    <s v="ORD09139"/>
    <d v="2025-03-29T00:00:00"/>
    <x v="9"/>
    <x v="33"/>
    <x v="5"/>
    <s v="UAE"/>
    <x v="31"/>
    <x v="1"/>
    <n v="25947"/>
    <n v="21654"/>
  </r>
  <r>
    <s v="ORD09140"/>
    <d v="2025-01-22T00:00:00"/>
    <x v="1"/>
    <x v="7"/>
    <x v="1"/>
    <s v="USA"/>
    <x v="40"/>
    <x v="8"/>
    <n v="17352"/>
    <n v="18522"/>
  </r>
  <r>
    <s v="ORD09141"/>
    <d v="2025-03-21T00:00:00"/>
    <x v="9"/>
    <x v="39"/>
    <x v="1"/>
    <s v="France"/>
    <x v="17"/>
    <x v="5"/>
    <n v="29667"/>
    <n v="21238"/>
  </r>
  <r>
    <s v="ORD09142"/>
    <d v="2025-06-11T00:00:00"/>
    <x v="5"/>
    <x v="40"/>
    <x v="1"/>
    <s v="Russia"/>
    <x v="24"/>
    <x v="20"/>
    <n v="33132"/>
    <n v="42477"/>
  </r>
  <r>
    <s v="ORD09143"/>
    <d v="2025-03-18T00:00:00"/>
    <x v="9"/>
    <x v="39"/>
    <x v="2"/>
    <s v="Thailand"/>
    <x v="23"/>
    <x v="17"/>
    <n v="37158"/>
    <n v="30188"/>
  </r>
  <r>
    <s v="ORD09144"/>
    <d v="2025-05-22T00:00:00"/>
    <x v="8"/>
    <x v="26"/>
    <x v="5"/>
    <s v="Japan"/>
    <x v="25"/>
    <x v="15"/>
    <n v="31152"/>
    <n v="22187"/>
  </r>
  <r>
    <s v="ORD09145"/>
    <d v="2025-10-10T00:00:00"/>
    <x v="4"/>
    <x v="45"/>
    <x v="3"/>
    <s v="Turkey"/>
    <x v="0"/>
    <x v="3"/>
    <n v="29743"/>
    <n v="30215"/>
  </r>
  <r>
    <s v="ORD09146"/>
    <d v="2025-09-27T00:00:00"/>
    <x v="3"/>
    <x v="25"/>
    <x v="0"/>
    <s v="Brazil"/>
    <x v="3"/>
    <x v="22"/>
    <n v="24691"/>
    <n v="30858"/>
  </r>
  <r>
    <s v="ORD09147"/>
    <d v="2025-07-26T00:00:00"/>
    <x v="0"/>
    <x v="0"/>
    <x v="0"/>
    <s v="Mexico"/>
    <x v="42"/>
    <x v="15"/>
    <n v="33055"/>
    <n v="34451"/>
  </r>
  <r>
    <s v="ORD09148"/>
    <d v="2025-11-09T00:00:00"/>
    <x v="2"/>
    <x v="51"/>
    <x v="5"/>
    <s v="Thailand"/>
    <x v="1"/>
    <x v="6"/>
    <n v="17228"/>
    <n v="13996"/>
  </r>
  <r>
    <s v="ORD09149"/>
    <d v="2025-04-02T00:00:00"/>
    <x v="7"/>
    <x v="34"/>
    <x v="3"/>
    <s v="UK"/>
    <x v="45"/>
    <x v="2"/>
    <n v="28126"/>
    <n v="30372"/>
  </r>
  <r>
    <s v="ORD09150"/>
    <d v="2025-01-08T00:00:00"/>
    <x v="1"/>
    <x v="6"/>
    <x v="5"/>
    <s v="Germany"/>
    <x v="43"/>
    <x v="21"/>
    <n v="33670"/>
    <n v="37898"/>
  </r>
  <r>
    <s v="ORD09151"/>
    <d v="2025-06-03T00:00:00"/>
    <x v="5"/>
    <x v="41"/>
    <x v="5"/>
    <s v="Brazil"/>
    <x v="33"/>
    <x v="25"/>
    <n v="18985"/>
    <n v="24679"/>
  </r>
  <r>
    <s v="ORD09152"/>
    <d v="2025-06-23T00:00:00"/>
    <x v="5"/>
    <x v="36"/>
    <x v="4"/>
    <s v="UK"/>
    <x v="9"/>
    <x v="1"/>
    <n v="35865"/>
    <n v="40535"/>
  </r>
  <r>
    <s v="ORD09153"/>
    <d v="2025-10-25T00:00:00"/>
    <x v="4"/>
    <x v="50"/>
    <x v="2"/>
    <s v="Russia"/>
    <x v="2"/>
    <x v="4"/>
    <n v="15152"/>
    <n v="17369"/>
  </r>
  <r>
    <s v="ORD09154"/>
    <d v="2025-12-29T00:00:00"/>
    <x v="10"/>
    <x v="5"/>
    <x v="3"/>
    <s v="Thailand"/>
    <x v="37"/>
    <x v="6"/>
    <n v="36270"/>
    <n v="30476"/>
  </r>
  <r>
    <s v="ORD09155"/>
    <d v="2025-02-22T00:00:00"/>
    <x v="6"/>
    <x v="15"/>
    <x v="5"/>
    <s v="Italy"/>
    <x v="15"/>
    <x v="26"/>
    <n v="16402"/>
    <n v="14555"/>
  </r>
  <r>
    <s v="ORD09156"/>
    <d v="2025-11-05T00:00:00"/>
    <x v="2"/>
    <x v="51"/>
    <x v="2"/>
    <s v="USA"/>
    <x v="39"/>
    <x v="18"/>
    <n v="36198"/>
    <n v="25723"/>
  </r>
  <r>
    <s v="ORD09157"/>
    <d v="2025-10-12T00:00:00"/>
    <x v="4"/>
    <x v="45"/>
    <x v="5"/>
    <s v="Australia"/>
    <x v="7"/>
    <x v="0"/>
    <n v="34835"/>
    <n v="44757"/>
  </r>
  <r>
    <s v="ORD09158"/>
    <d v="2025-05-02T00:00:00"/>
    <x v="8"/>
    <x v="27"/>
    <x v="5"/>
    <s v="USA"/>
    <x v="16"/>
    <x v="6"/>
    <n v="32163"/>
    <n v="40151"/>
  </r>
  <r>
    <s v="ORD09159"/>
    <d v="2025-02-27T00:00:00"/>
    <x v="6"/>
    <x v="22"/>
    <x v="4"/>
    <s v="India"/>
    <x v="1"/>
    <x v="8"/>
    <n v="24551"/>
    <n v="30521"/>
  </r>
  <r>
    <s v="ORD09160"/>
    <d v="2025-09-08T00:00:00"/>
    <x v="3"/>
    <x v="31"/>
    <x v="6"/>
    <s v="Spain"/>
    <x v="14"/>
    <x v="23"/>
    <n v="22289"/>
    <n v="23995"/>
  </r>
  <r>
    <s v="ORD09161"/>
    <d v="2025-06-29T00:00:00"/>
    <x v="5"/>
    <x v="36"/>
    <x v="5"/>
    <s v="Singapore"/>
    <x v="11"/>
    <x v="1"/>
    <n v="19800"/>
    <n v="23172"/>
  </r>
  <r>
    <s v="ORD09162"/>
    <d v="2025-05-03T00:00:00"/>
    <x v="8"/>
    <x v="27"/>
    <x v="1"/>
    <s v="USA"/>
    <x v="21"/>
    <x v="8"/>
    <n v="30919"/>
    <n v="34783"/>
  </r>
  <r>
    <s v="ORD09163"/>
    <d v="2025-02-24T00:00:00"/>
    <x v="6"/>
    <x v="22"/>
    <x v="4"/>
    <s v="Canada"/>
    <x v="19"/>
    <x v="28"/>
    <n v="27897"/>
    <n v="35674"/>
  </r>
  <r>
    <s v="ORD09164"/>
    <d v="2025-12-15T00:00:00"/>
    <x v="10"/>
    <x v="21"/>
    <x v="3"/>
    <s v="Singapore"/>
    <x v="16"/>
    <x v="18"/>
    <n v="26787"/>
    <n v="27800"/>
  </r>
  <r>
    <s v="ORD09165"/>
    <d v="2025-06-13T00:00:00"/>
    <x v="5"/>
    <x v="40"/>
    <x v="6"/>
    <s v="Brazil"/>
    <x v="5"/>
    <x v="4"/>
    <n v="17104"/>
    <n v="13237"/>
  </r>
  <r>
    <s v="ORD09166"/>
    <d v="2025-05-24T00:00:00"/>
    <x v="8"/>
    <x v="26"/>
    <x v="2"/>
    <s v="Thailand"/>
    <x v="32"/>
    <x v="2"/>
    <n v="36208"/>
    <n v="40654"/>
  </r>
  <r>
    <s v="ORD09167"/>
    <d v="2025-09-05T00:00:00"/>
    <x v="3"/>
    <x v="4"/>
    <x v="5"/>
    <s v="Canada"/>
    <x v="27"/>
    <x v="0"/>
    <n v="23801"/>
    <n v="30398"/>
  </r>
  <r>
    <s v="ORD09168"/>
    <d v="2025-03-24T00:00:00"/>
    <x v="9"/>
    <x v="33"/>
    <x v="1"/>
    <s v="France"/>
    <x v="42"/>
    <x v="23"/>
    <n v="18269"/>
    <n v="14026"/>
  </r>
  <r>
    <s v="ORD09169"/>
    <d v="2025-09-01T00:00:00"/>
    <x v="3"/>
    <x v="4"/>
    <x v="6"/>
    <s v="Russia"/>
    <x v="34"/>
    <x v="2"/>
    <n v="39032"/>
    <n v="27727"/>
  </r>
  <r>
    <s v="ORD09170"/>
    <d v="2025-04-12T00:00:00"/>
    <x v="7"/>
    <x v="16"/>
    <x v="6"/>
    <s v="South Africa"/>
    <x v="0"/>
    <x v="21"/>
    <n v="18237"/>
    <n v="20474"/>
  </r>
  <r>
    <s v="ORD09171"/>
    <d v="2025-05-30T00:00:00"/>
    <x v="8"/>
    <x v="24"/>
    <x v="6"/>
    <s v="Spain"/>
    <x v="29"/>
    <x v="0"/>
    <n v="30785"/>
    <n v="32437"/>
  </r>
  <r>
    <s v="ORD09172"/>
    <d v="2025-05-04T00:00:00"/>
    <x v="8"/>
    <x v="27"/>
    <x v="2"/>
    <s v="Turkey"/>
    <x v="35"/>
    <x v="9"/>
    <n v="37804"/>
    <n v="26640"/>
  </r>
  <r>
    <s v="ORD09173"/>
    <d v="2025-11-10T00:00:00"/>
    <x v="2"/>
    <x v="44"/>
    <x v="4"/>
    <s v="Spain"/>
    <x v="17"/>
    <x v="11"/>
    <n v="38609"/>
    <n v="44493"/>
  </r>
  <r>
    <s v="ORD09174"/>
    <d v="2025-04-19T00:00:00"/>
    <x v="7"/>
    <x v="20"/>
    <x v="4"/>
    <s v="USA"/>
    <x v="11"/>
    <x v="22"/>
    <n v="39699"/>
    <n v="45763"/>
  </r>
  <r>
    <s v="ORD09175"/>
    <d v="2025-05-09T00:00:00"/>
    <x v="8"/>
    <x v="18"/>
    <x v="5"/>
    <s v="Mexico"/>
    <x v="29"/>
    <x v="7"/>
    <n v="30471"/>
    <n v="25646"/>
  </r>
  <r>
    <s v="ORD09176"/>
    <d v="2025-05-20T00:00:00"/>
    <x v="8"/>
    <x v="26"/>
    <x v="3"/>
    <s v="Germany"/>
    <x v="3"/>
    <x v="7"/>
    <n v="15823"/>
    <n v="18895"/>
  </r>
  <r>
    <s v="ORD09177"/>
    <d v="2025-04-03T00:00:00"/>
    <x v="7"/>
    <x v="34"/>
    <x v="0"/>
    <s v="Canada"/>
    <x v="30"/>
    <x v="13"/>
    <n v="22626"/>
    <n v="25462"/>
  </r>
  <r>
    <s v="ORD09178"/>
    <d v="2025-05-20T00:00:00"/>
    <x v="8"/>
    <x v="26"/>
    <x v="2"/>
    <s v="Japan"/>
    <x v="27"/>
    <x v="11"/>
    <n v="36742"/>
    <n v="42425"/>
  </r>
  <r>
    <s v="ORD09179"/>
    <d v="2025-10-01T00:00:00"/>
    <x v="4"/>
    <x v="49"/>
    <x v="0"/>
    <s v="India"/>
    <x v="35"/>
    <x v="2"/>
    <n v="20683"/>
    <n v="25763"/>
  </r>
  <r>
    <s v="ORD09180"/>
    <d v="2025-07-31T00:00:00"/>
    <x v="0"/>
    <x v="12"/>
    <x v="1"/>
    <s v="Turkey"/>
    <x v="26"/>
    <x v="20"/>
    <n v="24494"/>
    <n v="24652"/>
  </r>
  <r>
    <s v="ORD09181"/>
    <d v="2025-11-09T00:00:00"/>
    <x v="2"/>
    <x v="51"/>
    <x v="6"/>
    <s v="France"/>
    <x v="14"/>
    <x v="4"/>
    <n v="20766"/>
    <n v="22984"/>
  </r>
  <r>
    <s v="ORD09182"/>
    <d v="2025-03-13T00:00:00"/>
    <x v="9"/>
    <x v="19"/>
    <x v="4"/>
    <s v="Canada"/>
    <x v="16"/>
    <x v="20"/>
    <n v="38748"/>
    <n v="39583"/>
  </r>
  <r>
    <s v="ORD09183"/>
    <d v="2025-01-28T00:00:00"/>
    <x v="1"/>
    <x v="3"/>
    <x v="3"/>
    <s v="China"/>
    <x v="7"/>
    <x v="3"/>
    <n v="30510"/>
    <n v="24346"/>
  </r>
  <r>
    <s v="ORD09184"/>
    <d v="2025-05-29T00:00:00"/>
    <x v="8"/>
    <x v="24"/>
    <x v="5"/>
    <s v="Italy"/>
    <x v="7"/>
    <x v="7"/>
    <n v="18511"/>
    <n v="18354"/>
  </r>
  <r>
    <s v="ORD09185"/>
    <d v="2025-10-01T00:00:00"/>
    <x v="4"/>
    <x v="49"/>
    <x v="0"/>
    <s v="China"/>
    <x v="17"/>
    <x v="19"/>
    <n v="27511"/>
    <n v="30852"/>
  </r>
  <r>
    <s v="ORD09186"/>
    <d v="2025-06-04T00:00:00"/>
    <x v="5"/>
    <x v="41"/>
    <x v="0"/>
    <s v="Germany"/>
    <x v="36"/>
    <x v="16"/>
    <n v="38619"/>
    <n v="39428"/>
  </r>
  <r>
    <s v="ORD09187"/>
    <d v="2025-11-09T00:00:00"/>
    <x v="2"/>
    <x v="51"/>
    <x v="6"/>
    <s v="USA"/>
    <x v="23"/>
    <x v="21"/>
    <n v="33113"/>
    <n v="41264"/>
  </r>
  <r>
    <s v="ORD09188"/>
    <d v="2025-08-27T00:00:00"/>
    <x v="11"/>
    <x v="28"/>
    <x v="1"/>
    <s v="USA"/>
    <x v="13"/>
    <x v="21"/>
    <n v="26898"/>
    <n v="33362"/>
  </r>
  <r>
    <s v="ORD09189"/>
    <d v="2025-08-03T00:00:00"/>
    <x v="11"/>
    <x v="12"/>
    <x v="2"/>
    <s v="Turkey"/>
    <x v="10"/>
    <x v="15"/>
    <n v="37825"/>
    <n v="37203"/>
  </r>
  <r>
    <s v="ORD09190"/>
    <d v="2025-07-23T00:00:00"/>
    <x v="0"/>
    <x v="0"/>
    <x v="2"/>
    <s v="Thailand"/>
    <x v="39"/>
    <x v="26"/>
    <n v="26442"/>
    <n v="27135"/>
  </r>
  <r>
    <s v="ORD09191"/>
    <d v="2025-02-08T00:00:00"/>
    <x v="6"/>
    <x v="48"/>
    <x v="3"/>
    <s v="Mexico"/>
    <x v="27"/>
    <x v="27"/>
    <n v="33652"/>
    <n v="38839"/>
  </r>
  <r>
    <s v="ORD09192"/>
    <d v="2025-07-24T00:00:00"/>
    <x v="0"/>
    <x v="0"/>
    <x v="6"/>
    <s v="China"/>
    <x v="16"/>
    <x v="27"/>
    <n v="23428"/>
    <n v="21777"/>
  </r>
  <r>
    <s v="ORD09193"/>
    <d v="2025-03-12T00:00:00"/>
    <x v="9"/>
    <x v="19"/>
    <x v="3"/>
    <s v="UK"/>
    <x v="10"/>
    <x v="8"/>
    <n v="22945"/>
    <n v="16612"/>
  </r>
  <r>
    <s v="ORD09194"/>
    <d v="2025-04-03T00:00:00"/>
    <x v="7"/>
    <x v="34"/>
    <x v="5"/>
    <s v="Japan"/>
    <x v="26"/>
    <x v="18"/>
    <n v="33772"/>
    <n v="40539"/>
  </r>
  <r>
    <s v="ORD09195"/>
    <d v="2025-01-16T00:00:00"/>
    <x v="1"/>
    <x v="1"/>
    <x v="0"/>
    <s v="Mexico"/>
    <x v="40"/>
    <x v="21"/>
    <n v="27900"/>
    <n v="20604"/>
  </r>
  <r>
    <s v="ORD09196"/>
    <d v="2025-02-01T00:00:00"/>
    <x v="6"/>
    <x v="3"/>
    <x v="1"/>
    <s v="Japan"/>
    <x v="7"/>
    <x v="8"/>
    <n v="34269"/>
    <n v="33417"/>
  </r>
  <r>
    <s v="ORD09197"/>
    <d v="2025-06-02T00:00:00"/>
    <x v="5"/>
    <x v="41"/>
    <x v="0"/>
    <s v="Mexico"/>
    <x v="39"/>
    <x v="27"/>
    <n v="27275"/>
    <n v="24269"/>
  </r>
  <r>
    <s v="ORD09198"/>
    <d v="2025-08-07T00:00:00"/>
    <x v="11"/>
    <x v="23"/>
    <x v="2"/>
    <s v="India"/>
    <x v="40"/>
    <x v="24"/>
    <n v="17778"/>
    <n v="12823"/>
  </r>
  <r>
    <s v="ORD09199"/>
    <d v="2025-02-21T00:00:00"/>
    <x v="6"/>
    <x v="15"/>
    <x v="1"/>
    <s v="Australia"/>
    <x v="32"/>
    <x v="9"/>
    <n v="25385"/>
    <n v="21079"/>
  </r>
  <r>
    <s v="ORD09200"/>
    <d v="2025-06-20T00:00:00"/>
    <x v="5"/>
    <x v="13"/>
    <x v="3"/>
    <s v="India"/>
    <x v="30"/>
    <x v="0"/>
    <n v="33735"/>
    <n v="40563"/>
  </r>
  <r>
    <s v="ORD09201"/>
    <d v="2025-01-23T00:00:00"/>
    <x v="1"/>
    <x v="7"/>
    <x v="5"/>
    <s v="Turkey"/>
    <x v="39"/>
    <x v="3"/>
    <n v="35233"/>
    <n v="43865"/>
  </r>
  <r>
    <s v="ORD09202"/>
    <d v="2025-06-11T00:00:00"/>
    <x v="5"/>
    <x v="40"/>
    <x v="3"/>
    <s v="Malaysia"/>
    <x v="44"/>
    <x v="27"/>
    <n v="27870"/>
    <n v="20004"/>
  </r>
  <r>
    <s v="ORD09203"/>
    <d v="2025-11-26T00:00:00"/>
    <x v="2"/>
    <x v="11"/>
    <x v="0"/>
    <s v="Australia"/>
    <x v="30"/>
    <x v="24"/>
    <n v="29306"/>
    <n v="34252"/>
  </r>
  <r>
    <s v="ORD09204"/>
    <d v="2025-12-23T00:00:00"/>
    <x v="10"/>
    <x v="42"/>
    <x v="3"/>
    <s v="Turkey"/>
    <x v="30"/>
    <x v="7"/>
    <n v="22282"/>
    <n v="26614"/>
  </r>
  <r>
    <s v="ORD09205"/>
    <d v="2025-11-24T00:00:00"/>
    <x v="2"/>
    <x v="11"/>
    <x v="5"/>
    <s v="Thailand"/>
    <x v="1"/>
    <x v="5"/>
    <n v="17242"/>
    <n v="21771"/>
  </r>
  <r>
    <s v="ORD09206"/>
    <d v="2025-01-12T00:00:00"/>
    <x v="1"/>
    <x v="6"/>
    <x v="2"/>
    <s v="Mexico"/>
    <x v="30"/>
    <x v="29"/>
    <n v="38958"/>
    <n v="48559"/>
  </r>
  <r>
    <s v="ORD09207"/>
    <d v="2025-03-05T00:00:00"/>
    <x v="9"/>
    <x v="35"/>
    <x v="5"/>
    <s v="Australia"/>
    <x v="2"/>
    <x v="15"/>
    <n v="25258"/>
    <n v="26391"/>
  </r>
  <r>
    <s v="ORD09208"/>
    <d v="2025-06-13T00:00:00"/>
    <x v="5"/>
    <x v="40"/>
    <x v="2"/>
    <s v="China"/>
    <x v="29"/>
    <x v="27"/>
    <n v="38129"/>
    <n v="36863"/>
  </r>
  <r>
    <s v="ORD09209"/>
    <d v="2025-11-21T00:00:00"/>
    <x v="2"/>
    <x v="9"/>
    <x v="2"/>
    <s v="Japan"/>
    <x v="4"/>
    <x v="19"/>
    <n v="30757"/>
    <n v="29342"/>
  </r>
  <r>
    <s v="ORD09210"/>
    <d v="2025-10-02T00:00:00"/>
    <x v="4"/>
    <x v="49"/>
    <x v="6"/>
    <s v="Brazil"/>
    <x v="18"/>
    <x v="10"/>
    <n v="38515"/>
    <n v="32125"/>
  </r>
  <r>
    <s v="ORD09211"/>
    <d v="2025-04-26T00:00:00"/>
    <x v="7"/>
    <x v="38"/>
    <x v="3"/>
    <s v="France"/>
    <x v="16"/>
    <x v="14"/>
    <n v="25531"/>
    <n v="22925"/>
  </r>
  <r>
    <s v="ORD09212"/>
    <d v="2025-12-21T00:00:00"/>
    <x v="10"/>
    <x v="21"/>
    <x v="5"/>
    <s v="Russia"/>
    <x v="23"/>
    <x v="17"/>
    <n v="27972"/>
    <n v="20304"/>
  </r>
  <r>
    <s v="ORD09213"/>
    <d v="2025-09-16T00:00:00"/>
    <x v="3"/>
    <x v="8"/>
    <x v="5"/>
    <s v="France"/>
    <x v="39"/>
    <x v="19"/>
    <n v="16103"/>
    <n v="15069"/>
  </r>
  <r>
    <s v="ORD09214"/>
    <d v="2025-08-27T00:00:00"/>
    <x v="11"/>
    <x v="28"/>
    <x v="6"/>
    <s v="India"/>
    <x v="16"/>
    <x v="19"/>
    <n v="23237"/>
    <n v="23332"/>
  </r>
  <r>
    <s v="ORD09215"/>
    <d v="2025-10-02T00:00:00"/>
    <x v="4"/>
    <x v="49"/>
    <x v="6"/>
    <s v="Australia"/>
    <x v="5"/>
    <x v="4"/>
    <n v="37412"/>
    <n v="40356"/>
  </r>
  <r>
    <s v="ORD09216"/>
    <d v="2025-11-15T00:00:00"/>
    <x v="2"/>
    <x v="44"/>
    <x v="1"/>
    <s v="South Africa"/>
    <x v="19"/>
    <x v="13"/>
    <n v="25264"/>
    <n v="30076"/>
  </r>
  <r>
    <s v="ORD09217"/>
    <d v="2025-10-25T00:00:00"/>
    <x v="4"/>
    <x v="50"/>
    <x v="6"/>
    <s v="Russia"/>
    <x v="6"/>
    <x v="14"/>
    <n v="26037"/>
    <n v="27029"/>
  </r>
  <r>
    <s v="ORD09218"/>
    <d v="2025-03-06T00:00:00"/>
    <x v="9"/>
    <x v="35"/>
    <x v="5"/>
    <s v="Brazil"/>
    <x v="18"/>
    <x v="0"/>
    <n v="31118"/>
    <n v="30539"/>
  </r>
  <r>
    <s v="ORD09219"/>
    <d v="2025-10-31T00:00:00"/>
    <x v="4"/>
    <x v="2"/>
    <x v="0"/>
    <s v="Spain"/>
    <x v="3"/>
    <x v="8"/>
    <n v="17887"/>
    <n v="17699"/>
  </r>
  <r>
    <s v="ORD09220"/>
    <d v="2025-11-22T00:00:00"/>
    <x v="2"/>
    <x v="9"/>
    <x v="0"/>
    <s v="USA"/>
    <x v="30"/>
    <x v="25"/>
    <n v="34941"/>
    <n v="40680"/>
  </r>
  <r>
    <s v="ORD09221"/>
    <d v="2025-10-12T00:00:00"/>
    <x v="4"/>
    <x v="45"/>
    <x v="0"/>
    <s v="Spain"/>
    <x v="32"/>
    <x v="0"/>
    <n v="34330"/>
    <n v="33802"/>
  </r>
  <r>
    <s v="ORD09222"/>
    <d v="2025-10-07T00:00:00"/>
    <x v="4"/>
    <x v="45"/>
    <x v="5"/>
    <s v="Japan"/>
    <x v="28"/>
    <x v="27"/>
    <n v="22085"/>
    <n v="23994"/>
  </r>
  <r>
    <s v="ORD09223"/>
    <d v="2025-05-29T00:00:00"/>
    <x v="8"/>
    <x v="24"/>
    <x v="1"/>
    <s v="UAE"/>
    <x v="7"/>
    <x v="22"/>
    <n v="29774"/>
    <n v="28851"/>
  </r>
  <r>
    <s v="ORD09224"/>
    <d v="2025-07-18T00:00:00"/>
    <x v="0"/>
    <x v="14"/>
    <x v="4"/>
    <s v="Singapore"/>
    <x v="39"/>
    <x v="18"/>
    <n v="18317"/>
    <n v="17285"/>
  </r>
  <r>
    <s v="ORD09225"/>
    <d v="2025-04-22T00:00:00"/>
    <x v="7"/>
    <x v="38"/>
    <x v="3"/>
    <s v="USA"/>
    <x v="15"/>
    <x v="21"/>
    <n v="38245"/>
    <n v="36530"/>
  </r>
  <r>
    <s v="ORD09226"/>
    <d v="2025-08-16T00:00:00"/>
    <x v="11"/>
    <x v="30"/>
    <x v="6"/>
    <s v="Brazil"/>
    <x v="3"/>
    <x v="21"/>
    <n v="32816"/>
    <n v="31223"/>
  </r>
  <r>
    <s v="ORD09227"/>
    <d v="2025-02-09T00:00:00"/>
    <x v="6"/>
    <x v="48"/>
    <x v="3"/>
    <s v="France"/>
    <x v="41"/>
    <x v="7"/>
    <n v="25298"/>
    <n v="17856"/>
  </r>
  <r>
    <s v="ORD09228"/>
    <d v="2025-10-30T00:00:00"/>
    <x v="4"/>
    <x v="2"/>
    <x v="1"/>
    <s v="UK"/>
    <x v="9"/>
    <x v="0"/>
    <n v="37508"/>
    <n v="39354"/>
  </r>
  <r>
    <s v="ORD09229"/>
    <d v="2025-11-23T00:00:00"/>
    <x v="2"/>
    <x v="9"/>
    <x v="6"/>
    <s v="Japan"/>
    <x v="49"/>
    <x v="15"/>
    <n v="21716"/>
    <n v="17996"/>
  </r>
  <r>
    <s v="ORD09230"/>
    <d v="2025-12-07T00:00:00"/>
    <x v="10"/>
    <x v="43"/>
    <x v="2"/>
    <s v="UK"/>
    <x v="5"/>
    <x v="11"/>
    <n v="22711"/>
    <n v="24750"/>
  </r>
  <r>
    <s v="ORD09231"/>
    <d v="2025-05-06T00:00:00"/>
    <x v="8"/>
    <x v="18"/>
    <x v="3"/>
    <s v="Japan"/>
    <x v="35"/>
    <x v="18"/>
    <n v="21904"/>
    <n v="23130"/>
  </r>
  <r>
    <s v="ORD09232"/>
    <d v="2025-11-23T00:00:00"/>
    <x v="2"/>
    <x v="9"/>
    <x v="6"/>
    <s v="Japan"/>
    <x v="39"/>
    <x v="1"/>
    <n v="20239"/>
    <n v="24050"/>
  </r>
  <r>
    <s v="ORD09233"/>
    <d v="2025-02-14T00:00:00"/>
    <x v="6"/>
    <x v="29"/>
    <x v="3"/>
    <s v="Australia"/>
    <x v="25"/>
    <x v="25"/>
    <n v="38965"/>
    <n v="48370"/>
  </r>
  <r>
    <s v="ORD09234"/>
    <d v="2025-08-22T00:00:00"/>
    <x v="11"/>
    <x v="46"/>
    <x v="5"/>
    <s v="Turkey"/>
    <x v="3"/>
    <x v="27"/>
    <n v="35004"/>
    <n v="31391"/>
  </r>
  <r>
    <s v="ORD09235"/>
    <d v="2025-07-02T00:00:00"/>
    <x v="0"/>
    <x v="37"/>
    <x v="6"/>
    <s v="Singapore"/>
    <x v="44"/>
    <x v="5"/>
    <n v="26433"/>
    <n v="21956"/>
  </r>
  <r>
    <s v="ORD09236"/>
    <d v="2025-06-17T00:00:00"/>
    <x v="5"/>
    <x v="13"/>
    <x v="4"/>
    <s v="Malaysia"/>
    <x v="5"/>
    <x v="18"/>
    <n v="31965"/>
    <n v="40964"/>
  </r>
  <r>
    <s v="ORD09237"/>
    <d v="2025-06-26T00:00:00"/>
    <x v="5"/>
    <x v="36"/>
    <x v="5"/>
    <s v="Spain"/>
    <x v="11"/>
    <x v="4"/>
    <n v="17333"/>
    <n v="17751"/>
  </r>
  <r>
    <s v="ORD09238"/>
    <d v="2025-10-01T00:00:00"/>
    <x v="4"/>
    <x v="49"/>
    <x v="3"/>
    <s v="China"/>
    <x v="20"/>
    <x v="4"/>
    <n v="25753"/>
    <n v="27743"/>
  </r>
  <r>
    <s v="ORD09239"/>
    <d v="2025-07-17T00:00:00"/>
    <x v="0"/>
    <x v="14"/>
    <x v="1"/>
    <s v="Russia"/>
    <x v="20"/>
    <x v="23"/>
    <n v="37514"/>
    <n v="43920"/>
  </r>
  <r>
    <s v="ORD09240"/>
    <d v="2025-06-27T00:00:00"/>
    <x v="5"/>
    <x v="36"/>
    <x v="1"/>
    <s v="UK"/>
    <x v="6"/>
    <x v="26"/>
    <n v="29144"/>
    <n v="32842"/>
  </r>
  <r>
    <s v="ORD09241"/>
    <d v="2025-08-18T00:00:00"/>
    <x v="11"/>
    <x v="46"/>
    <x v="0"/>
    <s v="Malaysia"/>
    <x v="11"/>
    <x v="14"/>
    <n v="26626"/>
    <n v="24610"/>
  </r>
  <r>
    <s v="ORD09242"/>
    <d v="2025-05-29T00:00:00"/>
    <x v="8"/>
    <x v="24"/>
    <x v="3"/>
    <s v="Spain"/>
    <x v="24"/>
    <x v="5"/>
    <n v="15545"/>
    <n v="17708"/>
  </r>
  <r>
    <s v="ORD09243"/>
    <d v="2025-10-27T00:00:00"/>
    <x v="4"/>
    <x v="2"/>
    <x v="5"/>
    <s v="South Africa"/>
    <x v="35"/>
    <x v="13"/>
    <n v="33857"/>
    <n v="41465"/>
  </r>
  <r>
    <s v="ORD09244"/>
    <d v="2025-02-03T00:00:00"/>
    <x v="6"/>
    <x v="48"/>
    <x v="2"/>
    <s v="Malaysia"/>
    <x v="2"/>
    <x v="19"/>
    <n v="38413"/>
    <n v="40666"/>
  </r>
  <r>
    <s v="ORD09245"/>
    <d v="2025-04-25T00:00:00"/>
    <x v="7"/>
    <x v="38"/>
    <x v="0"/>
    <s v="Turkey"/>
    <x v="45"/>
    <x v="7"/>
    <n v="35306"/>
    <n v="45231"/>
  </r>
  <r>
    <s v="ORD09246"/>
    <d v="2025-10-03T00:00:00"/>
    <x v="4"/>
    <x v="49"/>
    <x v="2"/>
    <s v="France"/>
    <x v="6"/>
    <x v="9"/>
    <n v="21908"/>
    <n v="19561"/>
  </r>
  <r>
    <s v="ORD09247"/>
    <d v="2025-01-10T00:00:00"/>
    <x v="1"/>
    <x v="6"/>
    <x v="0"/>
    <s v="Japan"/>
    <x v="28"/>
    <x v="28"/>
    <n v="37406"/>
    <n v="38651"/>
  </r>
  <r>
    <s v="ORD09248"/>
    <d v="2025-08-25T00:00:00"/>
    <x v="11"/>
    <x v="28"/>
    <x v="4"/>
    <s v="France"/>
    <x v="45"/>
    <x v="23"/>
    <n v="27825"/>
    <n v="23562"/>
  </r>
  <r>
    <s v="ORD09249"/>
    <d v="2025-02-02T00:00:00"/>
    <x v="6"/>
    <x v="3"/>
    <x v="3"/>
    <s v="France"/>
    <x v="42"/>
    <x v="19"/>
    <n v="38864"/>
    <n v="42407"/>
  </r>
  <r>
    <s v="ORD09250"/>
    <d v="2025-07-14T00:00:00"/>
    <x v="0"/>
    <x v="14"/>
    <x v="0"/>
    <s v="Malaysia"/>
    <x v="36"/>
    <x v="2"/>
    <n v="20148"/>
    <n v="21337"/>
  </r>
  <r>
    <s v="ORD09251"/>
    <d v="2025-08-25T00:00:00"/>
    <x v="11"/>
    <x v="28"/>
    <x v="0"/>
    <s v="UAE"/>
    <x v="21"/>
    <x v="24"/>
    <n v="25176"/>
    <n v="20598"/>
  </r>
  <r>
    <s v="ORD09252"/>
    <d v="2025-07-01T00:00:00"/>
    <x v="0"/>
    <x v="37"/>
    <x v="2"/>
    <s v="Singapore"/>
    <x v="9"/>
    <x v="1"/>
    <n v="18145"/>
    <n v="18488"/>
  </r>
  <r>
    <s v="ORD09253"/>
    <d v="2025-06-23T00:00:00"/>
    <x v="5"/>
    <x v="36"/>
    <x v="4"/>
    <s v="Malaysia"/>
    <x v="24"/>
    <x v="4"/>
    <n v="20267"/>
    <n v="20541"/>
  </r>
  <r>
    <s v="ORD09254"/>
    <d v="2025-11-18T00:00:00"/>
    <x v="2"/>
    <x v="9"/>
    <x v="3"/>
    <s v="Brazil"/>
    <x v="45"/>
    <x v="18"/>
    <n v="23906"/>
    <n v="22532"/>
  </r>
  <r>
    <s v="ORD09255"/>
    <d v="2025-07-13T00:00:00"/>
    <x v="0"/>
    <x v="47"/>
    <x v="6"/>
    <s v="Japan"/>
    <x v="19"/>
    <x v="1"/>
    <n v="39495"/>
    <n v="27895"/>
  </r>
  <r>
    <s v="ORD09256"/>
    <d v="2025-05-17T00:00:00"/>
    <x v="8"/>
    <x v="17"/>
    <x v="4"/>
    <s v="France"/>
    <x v="34"/>
    <x v="23"/>
    <n v="38782"/>
    <n v="48374"/>
  </r>
  <r>
    <s v="ORD09257"/>
    <d v="2025-11-17T00:00:00"/>
    <x v="2"/>
    <x v="9"/>
    <x v="0"/>
    <s v="Malaysia"/>
    <x v="33"/>
    <x v="19"/>
    <n v="26547"/>
    <n v="21747"/>
  </r>
  <r>
    <s v="ORD09258"/>
    <d v="2025-07-04T00:00:00"/>
    <x v="0"/>
    <x v="37"/>
    <x v="2"/>
    <s v="UK"/>
    <x v="32"/>
    <x v="9"/>
    <n v="24882"/>
    <n v="28260"/>
  </r>
  <r>
    <s v="ORD09259"/>
    <d v="2025-02-28T00:00:00"/>
    <x v="6"/>
    <x v="22"/>
    <x v="1"/>
    <s v="Singapore"/>
    <x v="31"/>
    <x v="16"/>
    <n v="34215"/>
    <n v="43787"/>
  </r>
  <r>
    <s v="ORD09260"/>
    <d v="2025-06-21T00:00:00"/>
    <x v="5"/>
    <x v="13"/>
    <x v="2"/>
    <s v="Singapore"/>
    <x v="45"/>
    <x v="4"/>
    <n v="17200"/>
    <n v="21063"/>
  </r>
  <r>
    <s v="ORD09261"/>
    <d v="2025-03-16T00:00:00"/>
    <x v="9"/>
    <x v="19"/>
    <x v="1"/>
    <s v="Australia"/>
    <x v="27"/>
    <x v="28"/>
    <n v="26569"/>
    <n v="31596"/>
  </r>
  <r>
    <s v="ORD09262"/>
    <d v="2025-02-18T00:00:00"/>
    <x v="6"/>
    <x v="15"/>
    <x v="3"/>
    <s v="USA"/>
    <x v="9"/>
    <x v="1"/>
    <n v="34296"/>
    <n v="26431"/>
  </r>
  <r>
    <s v="ORD09263"/>
    <d v="2025-07-31T00:00:00"/>
    <x v="0"/>
    <x v="12"/>
    <x v="3"/>
    <s v="Japan"/>
    <x v="1"/>
    <x v="5"/>
    <n v="31976"/>
    <n v="33978"/>
  </r>
  <r>
    <s v="ORD09264"/>
    <d v="2025-08-05T00:00:00"/>
    <x v="11"/>
    <x v="23"/>
    <x v="1"/>
    <s v="Thailand"/>
    <x v="18"/>
    <x v="27"/>
    <n v="34689"/>
    <n v="26263"/>
  </r>
  <r>
    <s v="ORD09265"/>
    <d v="2025-02-09T00:00:00"/>
    <x v="6"/>
    <x v="48"/>
    <x v="5"/>
    <s v="Malaysia"/>
    <x v="10"/>
    <x v="21"/>
    <n v="26248"/>
    <n v="33515"/>
  </r>
  <r>
    <s v="ORD09266"/>
    <d v="2025-08-11T00:00:00"/>
    <x v="11"/>
    <x v="30"/>
    <x v="3"/>
    <s v="Japan"/>
    <x v="10"/>
    <x v="4"/>
    <n v="37660"/>
    <n v="26817"/>
  </r>
  <r>
    <s v="ORD09267"/>
    <d v="2025-07-08T00:00:00"/>
    <x v="0"/>
    <x v="47"/>
    <x v="4"/>
    <s v="Spain"/>
    <x v="29"/>
    <x v="20"/>
    <n v="27078"/>
    <n v="23317"/>
  </r>
  <r>
    <s v="ORD09268"/>
    <d v="2025-04-27T00:00:00"/>
    <x v="7"/>
    <x v="38"/>
    <x v="2"/>
    <s v="Turkey"/>
    <x v="28"/>
    <x v="16"/>
    <n v="18418"/>
    <n v="16484"/>
  </r>
  <r>
    <s v="ORD09269"/>
    <d v="2025-03-01T00:00:00"/>
    <x v="9"/>
    <x v="22"/>
    <x v="6"/>
    <s v="UAE"/>
    <x v="25"/>
    <x v="16"/>
    <n v="27806"/>
    <n v="25511"/>
  </r>
  <r>
    <s v="ORD09270"/>
    <d v="2025-05-05T00:00:00"/>
    <x v="8"/>
    <x v="18"/>
    <x v="4"/>
    <s v="Brazil"/>
    <x v="9"/>
    <x v="10"/>
    <n v="20386"/>
    <n v="21915"/>
  </r>
  <r>
    <s v="ORD09271"/>
    <d v="2025-06-09T00:00:00"/>
    <x v="5"/>
    <x v="40"/>
    <x v="1"/>
    <s v="Australia"/>
    <x v="47"/>
    <x v="20"/>
    <n v="38489"/>
    <n v="49801"/>
  </r>
  <r>
    <s v="ORD09272"/>
    <d v="2025-07-14T00:00:00"/>
    <x v="0"/>
    <x v="14"/>
    <x v="5"/>
    <s v="Spain"/>
    <x v="6"/>
    <x v="10"/>
    <n v="32620"/>
    <n v="29871"/>
  </r>
  <r>
    <s v="ORD09273"/>
    <d v="2025-08-04T00:00:00"/>
    <x v="11"/>
    <x v="23"/>
    <x v="5"/>
    <s v="Russia"/>
    <x v="16"/>
    <x v="8"/>
    <n v="27949"/>
    <n v="34283"/>
  </r>
  <r>
    <s v="ORD09274"/>
    <d v="2025-10-08T00:00:00"/>
    <x v="4"/>
    <x v="45"/>
    <x v="6"/>
    <s v="South Africa"/>
    <x v="9"/>
    <x v="16"/>
    <n v="35056"/>
    <n v="35770"/>
  </r>
  <r>
    <s v="ORD09275"/>
    <d v="2025-08-19T00:00:00"/>
    <x v="11"/>
    <x v="46"/>
    <x v="3"/>
    <s v="Singapore"/>
    <x v="30"/>
    <x v="9"/>
    <n v="30828"/>
    <n v="31597"/>
  </r>
  <r>
    <s v="ORD09276"/>
    <d v="2025-12-29T00:00:00"/>
    <x v="10"/>
    <x v="5"/>
    <x v="2"/>
    <s v="South Africa"/>
    <x v="1"/>
    <x v="24"/>
    <n v="22459"/>
    <n v="19779"/>
  </r>
  <r>
    <s v="ORD09277"/>
    <d v="2025-09-01T00:00:00"/>
    <x v="3"/>
    <x v="4"/>
    <x v="1"/>
    <s v="Spain"/>
    <x v="41"/>
    <x v="20"/>
    <n v="38029"/>
    <n v="33122"/>
  </r>
  <r>
    <s v="ORD09278"/>
    <d v="2025-09-20T00:00:00"/>
    <x v="3"/>
    <x v="8"/>
    <x v="1"/>
    <s v="Russia"/>
    <x v="38"/>
    <x v="29"/>
    <n v="21219"/>
    <n v="22831"/>
  </r>
  <r>
    <s v="ORD09279"/>
    <d v="2025-02-01T00:00:00"/>
    <x v="6"/>
    <x v="3"/>
    <x v="2"/>
    <s v="Russia"/>
    <x v="17"/>
    <x v="15"/>
    <n v="33429"/>
    <n v="28532"/>
  </r>
  <r>
    <s v="ORD09280"/>
    <d v="2025-09-17T00:00:00"/>
    <x v="3"/>
    <x v="8"/>
    <x v="0"/>
    <s v="UAE"/>
    <x v="17"/>
    <x v="27"/>
    <n v="27844"/>
    <n v="28896"/>
  </r>
  <r>
    <s v="ORD09281"/>
    <d v="2025-03-30T00:00:00"/>
    <x v="9"/>
    <x v="33"/>
    <x v="0"/>
    <s v="Turkey"/>
    <x v="8"/>
    <x v="25"/>
    <n v="17365"/>
    <n v="22166"/>
  </r>
  <r>
    <s v="ORD09282"/>
    <d v="2025-05-08T00:00:00"/>
    <x v="8"/>
    <x v="18"/>
    <x v="0"/>
    <s v="Malaysia"/>
    <x v="35"/>
    <x v="9"/>
    <n v="21294"/>
    <n v="22545"/>
  </r>
  <r>
    <s v="ORD09283"/>
    <d v="2025-06-04T00:00:00"/>
    <x v="5"/>
    <x v="41"/>
    <x v="3"/>
    <s v="Singapore"/>
    <x v="27"/>
    <x v="10"/>
    <n v="25486"/>
    <n v="31106"/>
  </r>
  <r>
    <s v="ORD09284"/>
    <d v="2025-08-19T00:00:00"/>
    <x v="11"/>
    <x v="46"/>
    <x v="2"/>
    <s v="India"/>
    <x v="46"/>
    <x v="28"/>
    <n v="27936"/>
    <n v="34922"/>
  </r>
  <r>
    <s v="ORD09285"/>
    <d v="2025-03-06T00:00:00"/>
    <x v="9"/>
    <x v="35"/>
    <x v="4"/>
    <s v="Russia"/>
    <x v="42"/>
    <x v="16"/>
    <n v="34426"/>
    <n v="32560"/>
  </r>
  <r>
    <s v="ORD09286"/>
    <d v="2025-06-19T00:00:00"/>
    <x v="5"/>
    <x v="13"/>
    <x v="0"/>
    <s v="India"/>
    <x v="24"/>
    <x v="15"/>
    <n v="36441"/>
    <n v="37051"/>
  </r>
  <r>
    <s v="ORD09287"/>
    <d v="2025-03-09T00:00:00"/>
    <x v="9"/>
    <x v="35"/>
    <x v="4"/>
    <s v="South Africa"/>
    <x v="32"/>
    <x v="12"/>
    <n v="36818"/>
    <n v="29386"/>
  </r>
  <r>
    <s v="ORD09288"/>
    <d v="2025-07-30T00:00:00"/>
    <x v="0"/>
    <x v="12"/>
    <x v="4"/>
    <s v="Mexico"/>
    <x v="40"/>
    <x v="21"/>
    <n v="32000"/>
    <n v="30681"/>
  </r>
  <r>
    <s v="ORD09289"/>
    <d v="2025-03-27T00:00:00"/>
    <x v="9"/>
    <x v="33"/>
    <x v="0"/>
    <s v="Italy"/>
    <x v="12"/>
    <x v="15"/>
    <n v="34948"/>
    <n v="38210"/>
  </r>
  <r>
    <s v="ORD09290"/>
    <d v="2025-10-23T00:00:00"/>
    <x v="4"/>
    <x v="50"/>
    <x v="0"/>
    <s v="Japan"/>
    <x v="35"/>
    <x v="20"/>
    <n v="18399"/>
    <n v="13325"/>
  </r>
  <r>
    <s v="ORD09291"/>
    <d v="2025-05-08T00:00:00"/>
    <x v="8"/>
    <x v="18"/>
    <x v="4"/>
    <s v="Canada"/>
    <x v="14"/>
    <x v="15"/>
    <n v="32048"/>
    <n v="33070"/>
  </r>
  <r>
    <s v="ORD09292"/>
    <d v="2025-10-08T00:00:00"/>
    <x v="4"/>
    <x v="45"/>
    <x v="0"/>
    <s v="Turkey"/>
    <x v="5"/>
    <x v="9"/>
    <n v="26820"/>
    <n v="20701"/>
  </r>
  <r>
    <s v="ORD09293"/>
    <d v="2025-05-10T00:00:00"/>
    <x v="8"/>
    <x v="18"/>
    <x v="5"/>
    <s v="Brazil"/>
    <x v="4"/>
    <x v="13"/>
    <n v="22299"/>
    <n v="23044"/>
  </r>
  <r>
    <s v="ORD09294"/>
    <d v="2025-08-24T00:00:00"/>
    <x v="11"/>
    <x v="46"/>
    <x v="3"/>
    <s v="Singapore"/>
    <x v="42"/>
    <x v="14"/>
    <n v="38887"/>
    <n v="45801"/>
  </r>
  <r>
    <s v="ORD09295"/>
    <d v="2025-10-28T00:00:00"/>
    <x v="4"/>
    <x v="2"/>
    <x v="0"/>
    <s v="Turkey"/>
    <x v="28"/>
    <x v="13"/>
    <n v="39824"/>
    <n v="40681"/>
  </r>
  <r>
    <s v="ORD09296"/>
    <d v="2025-10-02T00:00:00"/>
    <x v="4"/>
    <x v="49"/>
    <x v="6"/>
    <s v="Spain"/>
    <x v="14"/>
    <x v="11"/>
    <n v="34962"/>
    <n v="44462"/>
  </r>
  <r>
    <s v="ORD09297"/>
    <d v="2025-02-04T00:00:00"/>
    <x v="6"/>
    <x v="48"/>
    <x v="1"/>
    <s v="Italy"/>
    <x v="2"/>
    <x v="2"/>
    <n v="36010"/>
    <n v="33545"/>
  </r>
  <r>
    <s v="ORD09298"/>
    <d v="2025-08-11T00:00:00"/>
    <x v="11"/>
    <x v="30"/>
    <x v="1"/>
    <s v="China"/>
    <x v="20"/>
    <x v="26"/>
    <n v="29135"/>
    <n v="23708"/>
  </r>
  <r>
    <s v="ORD09299"/>
    <d v="2025-05-07T00:00:00"/>
    <x v="8"/>
    <x v="18"/>
    <x v="4"/>
    <s v="UK"/>
    <x v="37"/>
    <x v="8"/>
    <n v="21058"/>
    <n v="22364"/>
  </r>
  <r>
    <s v="ORD09300"/>
    <d v="2025-02-22T00:00:00"/>
    <x v="6"/>
    <x v="15"/>
    <x v="5"/>
    <s v="France"/>
    <x v="38"/>
    <x v="7"/>
    <n v="16325"/>
    <n v="18439"/>
  </r>
  <r>
    <s v="ORD09301"/>
    <d v="2025-03-24T00:00:00"/>
    <x v="9"/>
    <x v="33"/>
    <x v="5"/>
    <s v="Italy"/>
    <x v="5"/>
    <x v="9"/>
    <n v="28603"/>
    <n v="35391"/>
  </r>
  <r>
    <s v="ORD09302"/>
    <d v="2025-10-24T00:00:00"/>
    <x v="4"/>
    <x v="50"/>
    <x v="3"/>
    <s v="UAE"/>
    <x v="14"/>
    <x v="8"/>
    <n v="24996"/>
    <n v="26673"/>
  </r>
  <r>
    <s v="ORD09303"/>
    <d v="2025-03-02T00:00:00"/>
    <x v="9"/>
    <x v="22"/>
    <x v="5"/>
    <s v="Singapore"/>
    <x v="0"/>
    <x v="10"/>
    <n v="35885"/>
    <n v="37373"/>
  </r>
  <r>
    <s v="ORD09304"/>
    <d v="2025-12-20T00:00:00"/>
    <x v="10"/>
    <x v="21"/>
    <x v="5"/>
    <s v="Italy"/>
    <x v="3"/>
    <x v="16"/>
    <n v="18597"/>
    <n v="17105"/>
  </r>
  <r>
    <s v="ORD09305"/>
    <d v="2025-12-23T00:00:00"/>
    <x v="10"/>
    <x v="42"/>
    <x v="6"/>
    <s v="Italy"/>
    <x v="7"/>
    <x v="13"/>
    <n v="16723"/>
    <n v="14166"/>
  </r>
  <r>
    <s v="ORD09306"/>
    <d v="2025-08-08T00:00:00"/>
    <x v="11"/>
    <x v="23"/>
    <x v="1"/>
    <s v="USA"/>
    <x v="30"/>
    <x v="24"/>
    <n v="23150"/>
    <n v="20907"/>
  </r>
  <r>
    <s v="ORD09307"/>
    <d v="2025-12-29T00:00:00"/>
    <x v="10"/>
    <x v="5"/>
    <x v="1"/>
    <s v="UAE"/>
    <x v="23"/>
    <x v="19"/>
    <n v="31640"/>
    <n v="24159"/>
  </r>
  <r>
    <s v="ORD09308"/>
    <d v="2025-06-27T00:00:00"/>
    <x v="5"/>
    <x v="36"/>
    <x v="2"/>
    <s v="Thailand"/>
    <x v="34"/>
    <x v="29"/>
    <n v="28586"/>
    <n v="29261"/>
  </r>
  <r>
    <s v="ORD09309"/>
    <d v="2025-07-02T00:00:00"/>
    <x v="0"/>
    <x v="37"/>
    <x v="0"/>
    <s v="Spain"/>
    <x v="16"/>
    <x v="20"/>
    <n v="32880"/>
    <n v="41936"/>
  </r>
  <r>
    <s v="ORD09310"/>
    <d v="2025-09-16T00:00:00"/>
    <x v="3"/>
    <x v="8"/>
    <x v="4"/>
    <s v="Brazil"/>
    <x v="43"/>
    <x v="8"/>
    <n v="20580"/>
    <n v="20164"/>
  </r>
  <r>
    <s v="ORD09311"/>
    <d v="2025-04-27T00:00:00"/>
    <x v="7"/>
    <x v="38"/>
    <x v="3"/>
    <s v="Mexico"/>
    <x v="19"/>
    <x v="8"/>
    <n v="28200"/>
    <n v="21402"/>
  </r>
  <r>
    <s v="ORD09312"/>
    <d v="2025-06-29T00:00:00"/>
    <x v="5"/>
    <x v="36"/>
    <x v="6"/>
    <s v="Mexico"/>
    <x v="3"/>
    <x v="2"/>
    <n v="15801"/>
    <n v="20437"/>
  </r>
  <r>
    <s v="ORD09313"/>
    <d v="2025-09-12T00:00:00"/>
    <x v="3"/>
    <x v="31"/>
    <x v="6"/>
    <s v="Malaysia"/>
    <x v="37"/>
    <x v="11"/>
    <n v="19881"/>
    <n v="22107"/>
  </r>
  <r>
    <s v="ORD09314"/>
    <d v="2025-03-20T00:00:00"/>
    <x v="9"/>
    <x v="39"/>
    <x v="6"/>
    <s v="China"/>
    <x v="27"/>
    <x v="23"/>
    <n v="24167"/>
    <n v="18276"/>
  </r>
  <r>
    <s v="ORD09315"/>
    <d v="2025-04-21T00:00:00"/>
    <x v="7"/>
    <x v="38"/>
    <x v="2"/>
    <s v="Japan"/>
    <x v="22"/>
    <x v="4"/>
    <n v="15596"/>
    <n v="16214"/>
  </r>
  <r>
    <s v="ORD09316"/>
    <d v="2025-01-29T00:00:00"/>
    <x v="1"/>
    <x v="3"/>
    <x v="1"/>
    <s v="China"/>
    <x v="40"/>
    <x v="14"/>
    <n v="35036"/>
    <n v="39525"/>
  </r>
  <r>
    <s v="ORD09317"/>
    <d v="2025-09-30T00:00:00"/>
    <x v="3"/>
    <x v="49"/>
    <x v="3"/>
    <s v="Germany"/>
    <x v="28"/>
    <x v="2"/>
    <n v="31372"/>
    <n v="28139"/>
  </r>
  <r>
    <s v="ORD09318"/>
    <d v="2025-06-18T00:00:00"/>
    <x v="5"/>
    <x v="13"/>
    <x v="0"/>
    <s v="Germany"/>
    <x v="41"/>
    <x v="29"/>
    <n v="24177"/>
    <n v="24978"/>
  </r>
  <r>
    <s v="ORD09319"/>
    <d v="2025-05-02T00:00:00"/>
    <x v="8"/>
    <x v="27"/>
    <x v="3"/>
    <s v="Japan"/>
    <x v="15"/>
    <x v="26"/>
    <n v="24729"/>
    <n v="25674"/>
  </r>
  <r>
    <s v="ORD09320"/>
    <d v="2025-03-25T00:00:00"/>
    <x v="9"/>
    <x v="33"/>
    <x v="6"/>
    <s v="Australia"/>
    <x v="15"/>
    <x v="27"/>
    <n v="34046"/>
    <n v="41041"/>
  </r>
  <r>
    <s v="ORD09321"/>
    <d v="2025-06-29T00:00:00"/>
    <x v="5"/>
    <x v="36"/>
    <x v="3"/>
    <s v="Japan"/>
    <x v="16"/>
    <x v="2"/>
    <n v="26068"/>
    <n v="27480"/>
  </r>
  <r>
    <s v="ORD09322"/>
    <d v="2025-08-13T00:00:00"/>
    <x v="11"/>
    <x v="30"/>
    <x v="5"/>
    <s v="Thailand"/>
    <x v="42"/>
    <x v="3"/>
    <n v="18043"/>
    <n v="20489"/>
  </r>
  <r>
    <s v="ORD09323"/>
    <d v="2025-03-27T00:00:00"/>
    <x v="9"/>
    <x v="33"/>
    <x v="6"/>
    <s v="China"/>
    <x v="7"/>
    <x v="10"/>
    <n v="36971"/>
    <n v="45018"/>
  </r>
  <r>
    <s v="ORD09324"/>
    <d v="2025-01-20T00:00:00"/>
    <x v="1"/>
    <x v="7"/>
    <x v="0"/>
    <s v="Mexico"/>
    <x v="32"/>
    <x v="21"/>
    <n v="37674"/>
    <n v="35752"/>
  </r>
  <r>
    <s v="ORD09325"/>
    <d v="2025-04-28T00:00:00"/>
    <x v="7"/>
    <x v="27"/>
    <x v="6"/>
    <s v="Thailand"/>
    <x v="8"/>
    <x v="5"/>
    <n v="38788"/>
    <n v="44759"/>
  </r>
  <r>
    <s v="ORD09326"/>
    <d v="2025-02-17T00:00:00"/>
    <x v="6"/>
    <x v="15"/>
    <x v="0"/>
    <s v="Thailand"/>
    <x v="9"/>
    <x v="11"/>
    <n v="33440"/>
    <n v="36212"/>
  </r>
  <r>
    <s v="ORD09327"/>
    <d v="2025-02-04T00:00:00"/>
    <x v="6"/>
    <x v="48"/>
    <x v="5"/>
    <s v="Russia"/>
    <x v="48"/>
    <x v="13"/>
    <n v="31357"/>
    <n v="37656"/>
  </r>
  <r>
    <s v="ORD09328"/>
    <d v="2025-06-21T00:00:00"/>
    <x v="5"/>
    <x v="13"/>
    <x v="0"/>
    <s v="Germany"/>
    <x v="17"/>
    <x v="17"/>
    <n v="18976"/>
    <n v="22545"/>
  </r>
  <r>
    <s v="ORD09329"/>
    <d v="2025-02-19T00:00:00"/>
    <x v="6"/>
    <x v="15"/>
    <x v="5"/>
    <s v="Italy"/>
    <x v="26"/>
    <x v="10"/>
    <n v="18889"/>
    <n v="15026"/>
  </r>
  <r>
    <s v="ORD09330"/>
    <d v="2025-07-28T00:00:00"/>
    <x v="0"/>
    <x v="12"/>
    <x v="1"/>
    <s v="Australia"/>
    <x v="15"/>
    <x v="10"/>
    <n v="30033"/>
    <n v="29482"/>
  </r>
  <r>
    <s v="ORD09331"/>
    <d v="2025-10-11T00:00:00"/>
    <x v="4"/>
    <x v="45"/>
    <x v="1"/>
    <s v="Spain"/>
    <x v="33"/>
    <x v="6"/>
    <n v="31957"/>
    <n v="40449"/>
  </r>
  <r>
    <s v="ORD09332"/>
    <d v="2025-12-11T00:00:00"/>
    <x v="10"/>
    <x v="32"/>
    <x v="4"/>
    <s v="France"/>
    <x v="3"/>
    <x v="0"/>
    <n v="20030"/>
    <n v="17716"/>
  </r>
  <r>
    <s v="ORD09333"/>
    <d v="2025-08-29T00:00:00"/>
    <x v="11"/>
    <x v="28"/>
    <x v="2"/>
    <s v="Singapore"/>
    <x v="9"/>
    <x v="18"/>
    <n v="31528"/>
    <n v="39765"/>
  </r>
  <r>
    <s v="ORD09334"/>
    <d v="2025-04-24T00:00:00"/>
    <x v="7"/>
    <x v="38"/>
    <x v="1"/>
    <s v="Italy"/>
    <x v="17"/>
    <x v="13"/>
    <n v="24606"/>
    <n v="19099"/>
  </r>
  <r>
    <s v="ORD09335"/>
    <d v="2025-12-09T00:00:00"/>
    <x v="10"/>
    <x v="32"/>
    <x v="1"/>
    <s v="Russia"/>
    <x v="28"/>
    <x v="8"/>
    <n v="27189"/>
    <n v="27279"/>
  </r>
  <r>
    <s v="ORD09336"/>
    <d v="2025-05-12T00:00:00"/>
    <x v="8"/>
    <x v="17"/>
    <x v="0"/>
    <s v="India"/>
    <x v="37"/>
    <x v="7"/>
    <n v="39237"/>
    <n v="29622"/>
  </r>
  <r>
    <s v="ORD09337"/>
    <d v="2025-07-13T00:00:00"/>
    <x v="0"/>
    <x v="47"/>
    <x v="3"/>
    <s v="Malaysia"/>
    <x v="13"/>
    <x v="4"/>
    <n v="18769"/>
    <n v="21414"/>
  </r>
  <r>
    <s v="ORD09338"/>
    <d v="2025-08-05T00:00:00"/>
    <x v="11"/>
    <x v="23"/>
    <x v="6"/>
    <s v="Australia"/>
    <x v="28"/>
    <x v="4"/>
    <n v="32550"/>
    <n v="27383"/>
  </r>
  <r>
    <s v="ORD09339"/>
    <d v="2025-11-21T00:00:00"/>
    <x v="2"/>
    <x v="9"/>
    <x v="1"/>
    <s v="Spain"/>
    <x v="25"/>
    <x v="0"/>
    <n v="30291"/>
    <n v="26953"/>
  </r>
  <r>
    <s v="ORD09340"/>
    <d v="2025-12-28T00:00:00"/>
    <x v="10"/>
    <x v="42"/>
    <x v="3"/>
    <s v="Turkey"/>
    <x v="30"/>
    <x v="5"/>
    <n v="36733"/>
    <n v="40176"/>
  </r>
  <r>
    <s v="ORD09341"/>
    <d v="2025-08-05T00:00:00"/>
    <x v="11"/>
    <x v="23"/>
    <x v="2"/>
    <s v="France"/>
    <x v="16"/>
    <x v="24"/>
    <n v="21488"/>
    <n v="22560"/>
  </r>
  <r>
    <s v="ORD09342"/>
    <d v="2025-10-29T00:00:00"/>
    <x v="4"/>
    <x v="2"/>
    <x v="3"/>
    <s v="Singapore"/>
    <x v="15"/>
    <x v="14"/>
    <n v="30820"/>
    <n v="23387"/>
  </r>
  <r>
    <s v="ORD09343"/>
    <d v="2025-01-24T00:00:00"/>
    <x v="1"/>
    <x v="7"/>
    <x v="3"/>
    <s v="Russia"/>
    <x v="23"/>
    <x v="26"/>
    <n v="26737"/>
    <n v="26698"/>
  </r>
  <r>
    <s v="ORD09344"/>
    <d v="2025-12-12T00:00:00"/>
    <x v="10"/>
    <x v="32"/>
    <x v="2"/>
    <s v="Mexico"/>
    <x v="13"/>
    <x v="8"/>
    <n v="25248"/>
    <n v="25317"/>
  </r>
  <r>
    <s v="ORD09345"/>
    <d v="2025-10-14T00:00:00"/>
    <x v="4"/>
    <x v="10"/>
    <x v="1"/>
    <s v="Brazil"/>
    <x v="9"/>
    <x v="25"/>
    <n v="39334"/>
    <n v="43715"/>
  </r>
  <r>
    <s v="ORD09346"/>
    <d v="2025-09-05T00:00:00"/>
    <x v="3"/>
    <x v="4"/>
    <x v="3"/>
    <s v="Japan"/>
    <x v="49"/>
    <x v="18"/>
    <n v="38468"/>
    <n v="48152"/>
  </r>
  <r>
    <s v="ORD09347"/>
    <d v="2025-02-21T00:00:00"/>
    <x v="6"/>
    <x v="15"/>
    <x v="5"/>
    <s v="France"/>
    <x v="26"/>
    <x v="12"/>
    <n v="35312"/>
    <n v="43585"/>
  </r>
  <r>
    <s v="ORD09348"/>
    <d v="2025-03-06T00:00:00"/>
    <x v="9"/>
    <x v="35"/>
    <x v="4"/>
    <s v="Spain"/>
    <x v="20"/>
    <x v="13"/>
    <n v="17546"/>
    <n v="21957"/>
  </r>
  <r>
    <s v="ORD09349"/>
    <d v="2025-06-04T00:00:00"/>
    <x v="5"/>
    <x v="41"/>
    <x v="1"/>
    <s v="Italy"/>
    <x v="5"/>
    <x v="5"/>
    <n v="17671"/>
    <n v="22554"/>
  </r>
  <r>
    <s v="ORD09350"/>
    <d v="2025-05-12T00:00:00"/>
    <x v="8"/>
    <x v="17"/>
    <x v="5"/>
    <s v="Germany"/>
    <x v="41"/>
    <x v="2"/>
    <n v="33800"/>
    <n v="24689"/>
  </r>
  <r>
    <s v="ORD09351"/>
    <d v="2025-10-22T00:00:00"/>
    <x v="4"/>
    <x v="50"/>
    <x v="4"/>
    <s v="Russia"/>
    <x v="5"/>
    <x v="17"/>
    <n v="32898"/>
    <n v="29660"/>
  </r>
  <r>
    <s v="ORD09352"/>
    <d v="2025-03-22T00:00:00"/>
    <x v="9"/>
    <x v="39"/>
    <x v="5"/>
    <s v="USA"/>
    <x v="16"/>
    <x v="5"/>
    <n v="39135"/>
    <n v="28409"/>
  </r>
  <r>
    <s v="ORD09353"/>
    <d v="2025-07-11T00:00:00"/>
    <x v="0"/>
    <x v="47"/>
    <x v="5"/>
    <s v="India"/>
    <x v="9"/>
    <x v="8"/>
    <n v="20593"/>
    <n v="23435"/>
  </r>
  <r>
    <s v="ORD09354"/>
    <d v="2025-12-19T00:00:00"/>
    <x v="10"/>
    <x v="21"/>
    <x v="2"/>
    <s v="Turkey"/>
    <x v="36"/>
    <x v="5"/>
    <n v="16893"/>
    <n v="13352"/>
  </r>
  <r>
    <s v="ORD09355"/>
    <d v="2025-03-31T00:00:00"/>
    <x v="9"/>
    <x v="34"/>
    <x v="3"/>
    <s v="Spain"/>
    <x v="34"/>
    <x v="17"/>
    <n v="19027"/>
    <n v="17890"/>
  </r>
  <r>
    <s v="ORD09356"/>
    <d v="2025-07-25T00:00:00"/>
    <x v="0"/>
    <x v="0"/>
    <x v="6"/>
    <s v="Germany"/>
    <x v="13"/>
    <x v="8"/>
    <n v="33984"/>
    <n v="42846"/>
  </r>
  <r>
    <s v="ORD09357"/>
    <d v="2025-07-28T00:00:00"/>
    <x v="0"/>
    <x v="12"/>
    <x v="3"/>
    <s v="Japan"/>
    <x v="39"/>
    <x v="25"/>
    <n v="16350"/>
    <n v="14943"/>
  </r>
  <r>
    <s v="ORD09358"/>
    <d v="2025-06-28T00:00:00"/>
    <x v="5"/>
    <x v="36"/>
    <x v="2"/>
    <s v="Australia"/>
    <x v="32"/>
    <x v="5"/>
    <n v="23120"/>
    <n v="23651"/>
  </r>
  <r>
    <s v="ORD09359"/>
    <d v="2025-11-26T00:00:00"/>
    <x v="2"/>
    <x v="11"/>
    <x v="1"/>
    <s v="UK"/>
    <x v="25"/>
    <x v="18"/>
    <n v="29866"/>
    <n v="30239"/>
  </r>
  <r>
    <s v="ORD09360"/>
    <d v="2025-06-18T00:00:00"/>
    <x v="5"/>
    <x v="13"/>
    <x v="4"/>
    <s v="Canada"/>
    <x v="0"/>
    <x v="18"/>
    <n v="39755"/>
    <n v="47992"/>
  </r>
  <r>
    <s v="ORD09361"/>
    <d v="2025-09-14T00:00:00"/>
    <x v="3"/>
    <x v="31"/>
    <x v="6"/>
    <s v="Canada"/>
    <x v="9"/>
    <x v="16"/>
    <n v="19606"/>
    <n v="16717"/>
  </r>
  <r>
    <s v="ORD09362"/>
    <d v="2025-02-03T00:00:00"/>
    <x v="6"/>
    <x v="48"/>
    <x v="6"/>
    <s v="Mexico"/>
    <x v="48"/>
    <x v="1"/>
    <n v="31571"/>
    <n v="29835"/>
  </r>
  <r>
    <s v="ORD09363"/>
    <d v="2025-10-13T00:00:00"/>
    <x v="4"/>
    <x v="10"/>
    <x v="5"/>
    <s v="Thailand"/>
    <x v="2"/>
    <x v="6"/>
    <n v="37946"/>
    <n v="40218"/>
  </r>
  <r>
    <s v="ORD09364"/>
    <d v="2025-07-24T00:00:00"/>
    <x v="0"/>
    <x v="0"/>
    <x v="2"/>
    <s v="Brazil"/>
    <x v="3"/>
    <x v="18"/>
    <n v="30250"/>
    <n v="29233"/>
  </r>
  <r>
    <s v="ORD09365"/>
    <d v="2025-10-31T00:00:00"/>
    <x v="4"/>
    <x v="2"/>
    <x v="1"/>
    <s v="Mexico"/>
    <x v="25"/>
    <x v="28"/>
    <n v="18290"/>
    <n v="20333"/>
  </r>
  <r>
    <s v="ORD09366"/>
    <d v="2025-02-19T00:00:00"/>
    <x v="6"/>
    <x v="15"/>
    <x v="3"/>
    <s v="China"/>
    <x v="26"/>
    <x v="9"/>
    <n v="26775"/>
    <n v="24697"/>
  </r>
  <r>
    <s v="ORD09367"/>
    <d v="2025-11-20T00:00:00"/>
    <x v="2"/>
    <x v="9"/>
    <x v="4"/>
    <s v="Brazil"/>
    <x v="0"/>
    <x v="8"/>
    <n v="39191"/>
    <n v="46138"/>
  </r>
  <r>
    <s v="ORD09368"/>
    <d v="2025-08-04T00:00:00"/>
    <x v="11"/>
    <x v="23"/>
    <x v="0"/>
    <s v="Mexico"/>
    <x v="35"/>
    <x v="28"/>
    <n v="21660"/>
    <n v="17998"/>
  </r>
  <r>
    <s v="ORD09369"/>
    <d v="2025-11-07T00:00:00"/>
    <x v="2"/>
    <x v="51"/>
    <x v="0"/>
    <s v="China"/>
    <x v="46"/>
    <x v="12"/>
    <n v="23154"/>
    <n v="18717"/>
  </r>
  <r>
    <s v="ORD09370"/>
    <d v="2025-11-02T00:00:00"/>
    <x v="2"/>
    <x v="2"/>
    <x v="6"/>
    <s v="Spain"/>
    <x v="15"/>
    <x v="22"/>
    <n v="28308"/>
    <n v="29647"/>
  </r>
  <r>
    <s v="ORD09371"/>
    <d v="2025-04-12T00:00:00"/>
    <x v="7"/>
    <x v="16"/>
    <x v="4"/>
    <s v="USA"/>
    <x v="19"/>
    <x v="7"/>
    <n v="16041"/>
    <n v="12618"/>
  </r>
  <r>
    <s v="ORD09372"/>
    <d v="2025-11-09T00:00:00"/>
    <x v="2"/>
    <x v="51"/>
    <x v="6"/>
    <s v="UAE"/>
    <x v="29"/>
    <x v="9"/>
    <n v="37837"/>
    <n v="39254"/>
  </r>
  <r>
    <s v="ORD09373"/>
    <d v="2025-08-30T00:00:00"/>
    <x v="11"/>
    <x v="28"/>
    <x v="1"/>
    <s v="USA"/>
    <x v="38"/>
    <x v="20"/>
    <n v="20364"/>
    <n v="22190"/>
  </r>
  <r>
    <s v="ORD09374"/>
    <d v="2025-10-18T00:00:00"/>
    <x v="4"/>
    <x v="10"/>
    <x v="2"/>
    <s v="India"/>
    <x v="38"/>
    <x v="3"/>
    <n v="38171"/>
    <n v="36317"/>
  </r>
  <r>
    <s v="ORD09375"/>
    <d v="2025-06-03T00:00:00"/>
    <x v="5"/>
    <x v="41"/>
    <x v="1"/>
    <s v="UK"/>
    <x v="49"/>
    <x v="29"/>
    <n v="30770"/>
    <n v="38418"/>
  </r>
  <r>
    <s v="ORD09376"/>
    <d v="2025-06-07T00:00:00"/>
    <x v="5"/>
    <x v="41"/>
    <x v="4"/>
    <s v="USA"/>
    <x v="14"/>
    <x v="14"/>
    <n v="28278"/>
    <n v="21453"/>
  </r>
  <r>
    <s v="ORD09377"/>
    <d v="2025-08-07T00:00:00"/>
    <x v="11"/>
    <x v="23"/>
    <x v="0"/>
    <s v="Germany"/>
    <x v="13"/>
    <x v="28"/>
    <n v="15118"/>
    <n v="14311"/>
  </r>
  <r>
    <s v="ORD09378"/>
    <d v="2025-10-22T00:00:00"/>
    <x v="4"/>
    <x v="50"/>
    <x v="0"/>
    <s v="South Africa"/>
    <x v="43"/>
    <x v="21"/>
    <n v="33406"/>
    <n v="36651"/>
  </r>
  <r>
    <s v="ORD09379"/>
    <d v="2025-06-02T00:00:00"/>
    <x v="5"/>
    <x v="41"/>
    <x v="2"/>
    <s v="Canada"/>
    <x v="44"/>
    <x v="28"/>
    <n v="25627"/>
    <n v="27754"/>
  </r>
  <r>
    <s v="ORD09380"/>
    <d v="2025-05-09T00:00:00"/>
    <x v="8"/>
    <x v="18"/>
    <x v="6"/>
    <s v="USA"/>
    <x v="30"/>
    <x v="26"/>
    <n v="27417"/>
    <n v="24549"/>
  </r>
  <r>
    <s v="ORD09381"/>
    <d v="2025-01-01T00:00:00"/>
    <x v="1"/>
    <x v="5"/>
    <x v="3"/>
    <s v="Brazil"/>
    <x v="4"/>
    <x v="12"/>
    <n v="17758"/>
    <n v="12769"/>
  </r>
  <r>
    <s v="ORD09382"/>
    <d v="2025-03-18T00:00:00"/>
    <x v="9"/>
    <x v="39"/>
    <x v="5"/>
    <s v="Italy"/>
    <x v="27"/>
    <x v="20"/>
    <n v="21407"/>
    <n v="22199"/>
  </r>
  <r>
    <s v="ORD09383"/>
    <d v="2025-04-06T00:00:00"/>
    <x v="7"/>
    <x v="34"/>
    <x v="2"/>
    <s v="USA"/>
    <x v="13"/>
    <x v="24"/>
    <n v="35801"/>
    <n v="27852"/>
  </r>
  <r>
    <s v="ORD09384"/>
    <d v="2025-03-28T00:00:00"/>
    <x v="9"/>
    <x v="33"/>
    <x v="4"/>
    <s v="Singapore"/>
    <x v="1"/>
    <x v="27"/>
    <n v="17918"/>
    <n v="19132"/>
  </r>
  <r>
    <s v="ORD09385"/>
    <d v="2025-07-21T00:00:00"/>
    <x v="0"/>
    <x v="0"/>
    <x v="6"/>
    <s v="Spain"/>
    <x v="42"/>
    <x v="17"/>
    <n v="39435"/>
    <n v="32221"/>
  </r>
  <r>
    <s v="ORD09386"/>
    <d v="2025-01-29T00:00:00"/>
    <x v="1"/>
    <x v="3"/>
    <x v="2"/>
    <s v="Canada"/>
    <x v="11"/>
    <x v="13"/>
    <n v="32977"/>
    <n v="23262"/>
  </r>
  <r>
    <s v="ORD09387"/>
    <d v="2025-09-23T00:00:00"/>
    <x v="3"/>
    <x v="25"/>
    <x v="3"/>
    <s v="Germany"/>
    <x v="0"/>
    <x v="13"/>
    <n v="37653"/>
    <n v="35550"/>
  </r>
  <r>
    <s v="ORD09388"/>
    <d v="2025-04-25T00:00:00"/>
    <x v="7"/>
    <x v="38"/>
    <x v="5"/>
    <s v="France"/>
    <x v="46"/>
    <x v="25"/>
    <n v="32600"/>
    <n v="30401"/>
  </r>
  <r>
    <s v="ORD09389"/>
    <d v="2025-07-06T00:00:00"/>
    <x v="0"/>
    <x v="37"/>
    <x v="1"/>
    <s v="Turkey"/>
    <x v="8"/>
    <x v="19"/>
    <n v="25163"/>
    <n v="27958"/>
  </r>
  <r>
    <s v="ORD09390"/>
    <d v="2025-12-29T00:00:00"/>
    <x v="10"/>
    <x v="5"/>
    <x v="6"/>
    <s v="Malaysia"/>
    <x v="45"/>
    <x v="0"/>
    <n v="38572"/>
    <n v="46426"/>
  </r>
  <r>
    <s v="ORD09391"/>
    <d v="2025-06-02T00:00:00"/>
    <x v="5"/>
    <x v="41"/>
    <x v="3"/>
    <s v="Canada"/>
    <x v="46"/>
    <x v="26"/>
    <n v="36105"/>
    <n v="30776"/>
  </r>
  <r>
    <s v="ORD09392"/>
    <d v="2025-02-25T00:00:00"/>
    <x v="6"/>
    <x v="22"/>
    <x v="4"/>
    <s v="Australia"/>
    <x v="12"/>
    <x v="17"/>
    <n v="17955"/>
    <n v="18787"/>
  </r>
  <r>
    <s v="ORD09393"/>
    <d v="2025-08-04T00:00:00"/>
    <x v="11"/>
    <x v="23"/>
    <x v="5"/>
    <s v="UK"/>
    <x v="33"/>
    <x v="21"/>
    <n v="22066"/>
    <n v="16129"/>
  </r>
  <r>
    <s v="ORD09394"/>
    <d v="2025-02-10T00:00:00"/>
    <x v="6"/>
    <x v="29"/>
    <x v="1"/>
    <s v="China"/>
    <x v="40"/>
    <x v="12"/>
    <n v="24232"/>
    <n v="29396"/>
  </r>
  <r>
    <s v="ORD09395"/>
    <d v="2025-06-29T00:00:00"/>
    <x v="5"/>
    <x v="36"/>
    <x v="5"/>
    <s v="Brazil"/>
    <x v="7"/>
    <x v="28"/>
    <n v="18638"/>
    <n v="23127"/>
  </r>
  <r>
    <s v="ORD09396"/>
    <d v="2025-06-03T00:00:00"/>
    <x v="5"/>
    <x v="41"/>
    <x v="3"/>
    <s v="Russia"/>
    <x v="45"/>
    <x v="24"/>
    <n v="29512"/>
    <n v="37285"/>
  </r>
  <r>
    <s v="ORD09397"/>
    <d v="2025-04-27T00:00:00"/>
    <x v="7"/>
    <x v="38"/>
    <x v="6"/>
    <s v="Spain"/>
    <x v="12"/>
    <x v="12"/>
    <n v="34329"/>
    <n v="39077"/>
  </r>
  <r>
    <s v="ORD09398"/>
    <d v="2025-04-25T00:00:00"/>
    <x v="7"/>
    <x v="38"/>
    <x v="1"/>
    <s v="France"/>
    <x v="39"/>
    <x v="9"/>
    <n v="28526"/>
    <n v="24120"/>
  </r>
  <r>
    <s v="ORD09399"/>
    <d v="2025-04-07T00:00:00"/>
    <x v="7"/>
    <x v="16"/>
    <x v="5"/>
    <s v="Italy"/>
    <x v="33"/>
    <x v="26"/>
    <n v="36487"/>
    <n v="44610"/>
  </r>
  <r>
    <s v="ORD09400"/>
    <d v="2025-12-14T00:00:00"/>
    <x v="10"/>
    <x v="32"/>
    <x v="3"/>
    <s v="Singapore"/>
    <x v="22"/>
    <x v="8"/>
    <n v="21707"/>
    <n v="22624"/>
  </r>
  <r>
    <s v="ORD09401"/>
    <d v="2025-01-27T00:00:00"/>
    <x v="1"/>
    <x v="3"/>
    <x v="4"/>
    <s v="Singapore"/>
    <x v="29"/>
    <x v="9"/>
    <n v="29521"/>
    <n v="29784"/>
  </r>
  <r>
    <s v="ORD09402"/>
    <d v="2025-03-14T00:00:00"/>
    <x v="9"/>
    <x v="19"/>
    <x v="2"/>
    <s v="Japan"/>
    <x v="44"/>
    <x v="12"/>
    <n v="29347"/>
    <n v="37072"/>
  </r>
  <r>
    <s v="ORD09403"/>
    <d v="2025-01-05T00:00:00"/>
    <x v="1"/>
    <x v="5"/>
    <x v="3"/>
    <s v="China"/>
    <x v="24"/>
    <x v="25"/>
    <n v="23437"/>
    <n v="19675"/>
  </r>
  <r>
    <s v="ORD09404"/>
    <d v="2025-09-22T00:00:00"/>
    <x v="3"/>
    <x v="25"/>
    <x v="1"/>
    <s v="Spain"/>
    <x v="32"/>
    <x v="14"/>
    <n v="32421"/>
    <n v="41842"/>
  </r>
  <r>
    <s v="ORD09405"/>
    <d v="2025-01-30T00:00:00"/>
    <x v="1"/>
    <x v="3"/>
    <x v="5"/>
    <s v="UK"/>
    <x v="46"/>
    <x v="24"/>
    <n v="17839"/>
    <n v="16578"/>
  </r>
  <r>
    <s v="ORD09406"/>
    <d v="2025-08-05T00:00:00"/>
    <x v="11"/>
    <x v="23"/>
    <x v="1"/>
    <s v="Thailand"/>
    <x v="6"/>
    <x v="21"/>
    <n v="15417"/>
    <n v="19040"/>
  </r>
  <r>
    <s v="ORD09407"/>
    <d v="2025-06-23T00:00:00"/>
    <x v="5"/>
    <x v="36"/>
    <x v="0"/>
    <s v="UAE"/>
    <x v="29"/>
    <x v="2"/>
    <n v="15942"/>
    <n v="12886"/>
  </r>
  <r>
    <s v="ORD09408"/>
    <d v="2025-07-11T00:00:00"/>
    <x v="0"/>
    <x v="47"/>
    <x v="2"/>
    <s v="Thailand"/>
    <x v="41"/>
    <x v="2"/>
    <n v="36814"/>
    <n v="42080"/>
  </r>
  <r>
    <s v="ORD09409"/>
    <d v="2025-02-21T00:00:00"/>
    <x v="6"/>
    <x v="15"/>
    <x v="6"/>
    <s v="Turkey"/>
    <x v="11"/>
    <x v="13"/>
    <n v="22528"/>
    <n v="23898"/>
  </r>
  <r>
    <s v="ORD09410"/>
    <d v="2025-09-14T00:00:00"/>
    <x v="3"/>
    <x v="31"/>
    <x v="2"/>
    <s v="China"/>
    <x v="25"/>
    <x v="25"/>
    <n v="31121"/>
    <n v="23980"/>
  </r>
  <r>
    <s v="ORD09411"/>
    <d v="2025-08-20T00:00:00"/>
    <x v="11"/>
    <x v="46"/>
    <x v="4"/>
    <s v="China"/>
    <x v="0"/>
    <x v="27"/>
    <n v="28228"/>
    <n v="21049"/>
  </r>
  <r>
    <s v="ORD09412"/>
    <d v="2025-02-05T00:00:00"/>
    <x v="6"/>
    <x v="48"/>
    <x v="0"/>
    <s v="Canada"/>
    <x v="18"/>
    <x v="8"/>
    <n v="38629"/>
    <n v="33328"/>
  </r>
  <r>
    <s v="ORD09413"/>
    <d v="2025-04-22T00:00:00"/>
    <x v="7"/>
    <x v="38"/>
    <x v="0"/>
    <s v="Thailand"/>
    <x v="39"/>
    <x v="25"/>
    <n v="15025"/>
    <n v="11771"/>
  </r>
  <r>
    <s v="ORD09414"/>
    <d v="2025-08-30T00:00:00"/>
    <x v="11"/>
    <x v="28"/>
    <x v="3"/>
    <s v="Spain"/>
    <x v="8"/>
    <x v="15"/>
    <n v="27727"/>
    <n v="19819"/>
  </r>
  <r>
    <s v="ORD09415"/>
    <d v="2025-06-16T00:00:00"/>
    <x v="5"/>
    <x v="13"/>
    <x v="1"/>
    <s v="Germany"/>
    <x v="9"/>
    <x v="8"/>
    <n v="35492"/>
    <n v="38076"/>
  </r>
  <r>
    <s v="ORD09416"/>
    <d v="2025-04-10T00:00:00"/>
    <x v="7"/>
    <x v="16"/>
    <x v="5"/>
    <s v="India"/>
    <x v="17"/>
    <x v="22"/>
    <n v="21213"/>
    <n v="23662"/>
  </r>
  <r>
    <s v="ORD09417"/>
    <d v="2025-10-25T00:00:00"/>
    <x v="4"/>
    <x v="50"/>
    <x v="3"/>
    <s v="Mexico"/>
    <x v="44"/>
    <x v="9"/>
    <n v="32329"/>
    <n v="36364"/>
  </r>
  <r>
    <s v="ORD09418"/>
    <d v="2025-03-12T00:00:00"/>
    <x v="9"/>
    <x v="19"/>
    <x v="3"/>
    <s v="Thailand"/>
    <x v="0"/>
    <x v="13"/>
    <n v="38362"/>
    <n v="31779"/>
  </r>
  <r>
    <s v="ORD09419"/>
    <d v="2025-10-25T00:00:00"/>
    <x v="4"/>
    <x v="50"/>
    <x v="3"/>
    <s v="Italy"/>
    <x v="35"/>
    <x v="4"/>
    <n v="34498"/>
    <n v="29311"/>
  </r>
  <r>
    <s v="ORD09420"/>
    <d v="2025-09-22T00:00:00"/>
    <x v="3"/>
    <x v="25"/>
    <x v="5"/>
    <s v="Malaysia"/>
    <x v="31"/>
    <x v="5"/>
    <n v="31712"/>
    <n v="29366"/>
  </r>
  <r>
    <s v="ORD09421"/>
    <d v="2025-08-22T00:00:00"/>
    <x v="11"/>
    <x v="46"/>
    <x v="5"/>
    <s v="Thailand"/>
    <x v="48"/>
    <x v="16"/>
    <n v="27938"/>
    <n v="26285"/>
  </r>
  <r>
    <s v="ORD09422"/>
    <d v="2025-07-18T00:00:00"/>
    <x v="0"/>
    <x v="14"/>
    <x v="4"/>
    <s v="Russia"/>
    <x v="36"/>
    <x v="18"/>
    <n v="33069"/>
    <n v="23450"/>
  </r>
  <r>
    <s v="ORD09423"/>
    <d v="2025-10-18T00:00:00"/>
    <x v="4"/>
    <x v="10"/>
    <x v="5"/>
    <s v="Italy"/>
    <x v="38"/>
    <x v="14"/>
    <n v="21469"/>
    <n v="19856"/>
  </r>
  <r>
    <s v="ORD09424"/>
    <d v="2025-02-06T00:00:00"/>
    <x v="6"/>
    <x v="48"/>
    <x v="4"/>
    <s v="China"/>
    <x v="37"/>
    <x v="13"/>
    <n v="18267"/>
    <n v="18293"/>
  </r>
  <r>
    <s v="ORD09425"/>
    <d v="2025-04-15T00:00:00"/>
    <x v="7"/>
    <x v="20"/>
    <x v="5"/>
    <s v="Spain"/>
    <x v="20"/>
    <x v="2"/>
    <n v="17238"/>
    <n v="19165"/>
  </r>
  <r>
    <s v="ORD09426"/>
    <d v="2025-06-06T00:00:00"/>
    <x v="5"/>
    <x v="41"/>
    <x v="2"/>
    <s v="China"/>
    <x v="5"/>
    <x v="1"/>
    <n v="22602"/>
    <n v="24018"/>
  </r>
  <r>
    <s v="ORD09427"/>
    <d v="2025-06-19T00:00:00"/>
    <x v="5"/>
    <x v="13"/>
    <x v="3"/>
    <s v="Spain"/>
    <x v="45"/>
    <x v="19"/>
    <n v="23738"/>
    <n v="29924"/>
  </r>
  <r>
    <s v="ORD09428"/>
    <d v="2025-10-21T00:00:00"/>
    <x v="4"/>
    <x v="50"/>
    <x v="2"/>
    <s v="Mexico"/>
    <x v="13"/>
    <x v="7"/>
    <n v="28891"/>
    <n v="22938"/>
  </r>
  <r>
    <s v="ORD09429"/>
    <d v="2025-10-03T00:00:00"/>
    <x v="4"/>
    <x v="49"/>
    <x v="1"/>
    <s v="France"/>
    <x v="43"/>
    <x v="6"/>
    <n v="24964"/>
    <n v="26091"/>
  </r>
  <r>
    <s v="ORD09430"/>
    <d v="2025-12-12T00:00:00"/>
    <x v="10"/>
    <x v="32"/>
    <x v="2"/>
    <s v="Malaysia"/>
    <x v="11"/>
    <x v="23"/>
    <n v="25553"/>
    <n v="21502"/>
  </r>
  <r>
    <s v="ORD09431"/>
    <d v="2025-10-21T00:00:00"/>
    <x v="4"/>
    <x v="50"/>
    <x v="0"/>
    <s v="Germany"/>
    <x v="15"/>
    <x v="2"/>
    <n v="28250"/>
    <n v="33000"/>
  </r>
  <r>
    <s v="ORD09432"/>
    <d v="2025-08-13T00:00:00"/>
    <x v="11"/>
    <x v="30"/>
    <x v="3"/>
    <s v="Malaysia"/>
    <x v="24"/>
    <x v="22"/>
    <n v="21791"/>
    <n v="26303"/>
  </r>
  <r>
    <s v="ORD09433"/>
    <d v="2025-01-14T00:00:00"/>
    <x v="1"/>
    <x v="1"/>
    <x v="5"/>
    <s v="India"/>
    <x v="13"/>
    <x v="25"/>
    <n v="34154"/>
    <n v="36453"/>
  </r>
  <r>
    <s v="ORD09434"/>
    <d v="2025-08-15T00:00:00"/>
    <x v="11"/>
    <x v="30"/>
    <x v="5"/>
    <s v="Thailand"/>
    <x v="15"/>
    <x v="10"/>
    <n v="38973"/>
    <n v="27398"/>
  </r>
  <r>
    <s v="ORD09435"/>
    <d v="2025-11-08T00:00:00"/>
    <x v="2"/>
    <x v="51"/>
    <x v="1"/>
    <s v="Thailand"/>
    <x v="27"/>
    <x v="4"/>
    <n v="38157"/>
    <n v="28784"/>
  </r>
  <r>
    <s v="ORD09436"/>
    <d v="2025-04-11T00:00:00"/>
    <x v="7"/>
    <x v="16"/>
    <x v="2"/>
    <s v="Australia"/>
    <x v="32"/>
    <x v="1"/>
    <n v="20581"/>
    <n v="24383"/>
  </r>
  <r>
    <s v="ORD09437"/>
    <d v="2025-03-25T00:00:00"/>
    <x v="9"/>
    <x v="33"/>
    <x v="0"/>
    <s v="Brazil"/>
    <x v="32"/>
    <x v="28"/>
    <n v="19530"/>
    <n v="18072"/>
  </r>
  <r>
    <s v="ORD09438"/>
    <d v="2025-04-01T00:00:00"/>
    <x v="7"/>
    <x v="34"/>
    <x v="5"/>
    <s v="Germany"/>
    <x v="1"/>
    <x v="17"/>
    <n v="24043"/>
    <n v="17870"/>
  </r>
  <r>
    <s v="ORD09439"/>
    <d v="2025-08-24T00:00:00"/>
    <x v="11"/>
    <x v="46"/>
    <x v="5"/>
    <s v="Singapore"/>
    <x v="32"/>
    <x v="23"/>
    <n v="34182"/>
    <n v="31489"/>
  </r>
  <r>
    <s v="ORD09440"/>
    <d v="2025-09-28T00:00:00"/>
    <x v="3"/>
    <x v="25"/>
    <x v="3"/>
    <s v="South Africa"/>
    <x v="23"/>
    <x v="29"/>
    <n v="26997"/>
    <n v="25245"/>
  </r>
  <r>
    <s v="ORD09441"/>
    <d v="2025-11-01T00:00:00"/>
    <x v="2"/>
    <x v="2"/>
    <x v="2"/>
    <s v="USA"/>
    <x v="37"/>
    <x v="11"/>
    <n v="25400"/>
    <n v="19559"/>
  </r>
  <r>
    <s v="ORD09442"/>
    <d v="2025-02-26T00:00:00"/>
    <x v="6"/>
    <x v="22"/>
    <x v="3"/>
    <s v="Canada"/>
    <x v="2"/>
    <x v="4"/>
    <n v="24529"/>
    <n v="21848"/>
  </r>
  <r>
    <s v="ORD09443"/>
    <d v="2025-10-10T00:00:00"/>
    <x v="4"/>
    <x v="45"/>
    <x v="4"/>
    <s v="Germany"/>
    <x v="32"/>
    <x v="2"/>
    <n v="16812"/>
    <n v="15360"/>
  </r>
  <r>
    <s v="ORD09444"/>
    <d v="2025-01-06T00:00:00"/>
    <x v="1"/>
    <x v="6"/>
    <x v="4"/>
    <s v="UAE"/>
    <x v="2"/>
    <x v="17"/>
    <n v="21215"/>
    <n v="20710"/>
  </r>
  <r>
    <s v="ORD09445"/>
    <d v="2025-04-24T00:00:00"/>
    <x v="7"/>
    <x v="38"/>
    <x v="2"/>
    <s v="USA"/>
    <x v="30"/>
    <x v="20"/>
    <n v="30518"/>
    <n v="25932"/>
  </r>
  <r>
    <s v="ORD09446"/>
    <d v="2025-06-03T00:00:00"/>
    <x v="5"/>
    <x v="41"/>
    <x v="3"/>
    <s v="Singapore"/>
    <x v="20"/>
    <x v="16"/>
    <n v="26186"/>
    <n v="31581"/>
  </r>
  <r>
    <s v="ORD09447"/>
    <d v="2025-12-27T00:00:00"/>
    <x v="10"/>
    <x v="42"/>
    <x v="6"/>
    <s v="Mexico"/>
    <x v="27"/>
    <x v="0"/>
    <n v="23402"/>
    <n v="23721"/>
  </r>
  <r>
    <s v="ORD09448"/>
    <d v="2025-08-15T00:00:00"/>
    <x v="11"/>
    <x v="30"/>
    <x v="4"/>
    <s v="Turkey"/>
    <x v="12"/>
    <x v="17"/>
    <n v="20967"/>
    <n v="17116"/>
  </r>
  <r>
    <s v="ORD09449"/>
    <d v="2025-06-20T00:00:00"/>
    <x v="5"/>
    <x v="13"/>
    <x v="3"/>
    <s v="France"/>
    <x v="23"/>
    <x v="21"/>
    <n v="15252"/>
    <n v="12282"/>
  </r>
  <r>
    <s v="ORD09450"/>
    <d v="2025-06-01T00:00:00"/>
    <x v="5"/>
    <x v="24"/>
    <x v="1"/>
    <s v="South Africa"/>
    <x v="21"/>
    <x v="22"/>
    <n v="20596"/>
    <n v="25532"/>
  </r>
  <r>
    <s v="ORD09451"/>
    <d v="2025-02-24T00:00:00"/>
    <x v="6"/>
    <x v="22"/>
    <x v="3"/>
    <s v="South Africa"/>
    <x v="16"/>
    <x v="21"/>
    <n v="35840"/>
    <n v="27144"/>
  </r>
  <r>
    <s v="ORD09452"/>
    <d v="2025-09-02T00:00:00"/>
    <x v="3"/>
    <x v="4"/>
    <x v="6"/>
    <s v="France"/>
    <x v="48"/>
    <x v="2"/>
    <n v="35221"/>
    <n v="31215"/>
  </r>
  <r>
    <s v="ORD09453"/>
    <d v="2025-08-27T00:00:00"/>
    <x v="11"/>
    <x v="28"/>
    <x v="6"/>
    <s v="China"/>
    <x v="46"/>
    <x v="22"/>
    <n v="39164"/>
    <n v="31813"/>
  </r>
  <r>
    <s v="ORD09454"/>
    <d v="2025-11-01T00:00:00"/>
    <x v="2"/>
    <x v="2"/>
    <x v="0"/>
    <s v="USA"/>
    <x v="45"/>
    <x v="4"/>
    <n v="33309"/>
    <n v="36192"/>
  </r>
  <r>
    <s v="ORD09455"/>
    <d v="2025-02-28T00:00:00"/>
    <x v="6"/>
    <x v="22"/>
    <x v="5"/>
    <s v="Malaysia"/>
    <x v="25"/>
    <x v="22"/>
    <n v="17382"/>
    <n v="13331"/>
  </r>
  <r>
    <s v="ORD09456"/>
    <d v="2025-05-03T00:00:00"/>
    <x v="8"/>
    <x v="27"/>
    <x v="3"/>
    <s v="France"/>
    <x v="27"/>
    <x v="10"/>
    <n v="22403"/>
    <n v="22464"/>
  </r>
  <r>
    <s v="ORD09457"/>
    <d v="2025-11-16T00:00:00"/>
    <x v="2"/>
    <x v="44"/>
    <x v="1"/>
    <s v="China"/>
    <x v="41"/>
    <x v="13"/>
    <n v="39646"/>
    <n v="38849"/>
  </r>
  <r>
    <s v="ORD09458"/>
    <d v="2025-07-04T00:00:00"/>
    <x v="0"/>
    <x v="37"/>
    <x v="3"/>
    <s v="UK"/>
    <x v="3"/>
    <x v="5"/>
    <n v="37163"/>
    <n v="28785"/>
  </r>
  <r>
    <s v="ORD09459"/>
    <d v="2025-02-19T00:00:00"/>
    <x v="6"/>
    <x v="15"/>
    <x v="4"/>
    <s v="China"/>
    <x v="15"/>
    <x v="21"/>
    <n v="16614"/>
    <n v="14382"/>
  </r>
  <r>
    <s v="ORD09460"/>
    <d v="2025-11-06T00:00:00"/>
    <x v="2"/>
    <x v="51"/>
    <x v="1"/>
    <s v="Mexico"/>
    <x v="1"/>
    <x v="22"/>
    <n v="39409"/>
    <n v="45899"/>
  </r>
  <r>
    <s v="ORD09461"/>
    <d v="2025-05-22T00:00:00"/>
    <x v="8"/>
    <x v="26"/>
    <x v="2"/>
    <s v="Mexico"/>
    <x v="44"/>
    <x v="12"/>
    <n v="23483"/>
    <n v="22634"/>
  </r>
  <r>
    <s v="ORD09462"/>
    <d v="2025-01-25T00:00:00"/>
    <x v="1"/>
    <x v="7"/>
    <x v="0"/>
    <s v="France"/>
    <x v="30"/>
    <x v="19"/>
    <n v="27761"/>
    <n v="30716"/>
  </r>
  <r>
    <s v="ORD09463"/>
    <d v="2025-04-28T00:00:00"/>
    <x v="7"/>
    <x v="27"/>
    <x v="0"/>
    <s v="Spain"/>
    <x v="28"/>
    <x v="25"/>
    <n v="22734"/>
    <n v="16147"/>
  </r>
  <r>
    <s v="ORD09464"/>
    <d v="2025-06-27T00:00:00"/>
    <x v="5"/>
    <x v="36"/>
    <x v="3"/>
    <s v="China"/>
    <x v="10"/>
    <x v="25"/>
    <n v="15521"/>
    <n v="17147"/>
  </r>
  <r>
    <s v="ORD09465"/>
    <d v="2025-10-22T00:00:00"/>
    <x v="4"/>
    <x v="50"/>
    <x v="6"/>
    <s v="France"/>
    <x v="18"/>
    <x v="27"/>
    <n v="37017"/>
    <n v="28630"/>
  </r>
  <r>
    <s v="ORD09466"/>
    <d v="2025-05-12T00:00:00"/>
    <x v="8"/>
    <x v="17"/>
    <x v="3"/>
    <s v="USA"/>
    <x v="3"/>
    <x v="24"/>
    <n v="27540"/>
    <n v="23439"/>
  </r>
  <r>
    <s v="ORD09467"/>
    <d v="2025-07-29T00:00:00"/>
    <x v="0"/>
    <x v="12"/>
    <x v="2"/>
    <s v="Brazil"/>
    <x v="37"/>
    <x v="4"/>
    <n v="29758"/>
    <n v="26472"/>
  </r>
  <r>
    <s v="ORD09468"/>
    <d v="2025-09-21T00:00:00"/>
    <x v="3"/>
    <x v="8"/>
    <x v="3"/>
    <s v="India"/>
    <x v="0"/>
    <x v="20"/>
    <n v="33254"/>
    <n v="41722"/>
  </r>
  <r>
    <s v="ORD09469"/>
    <d v="2025-06-07T00:00:00"/>
    <x v="5"/>
    <x v="41"/>
    <x v="3"/>
    <s v="Turkey"/>
    <x v="30"/>
    <x v="11"/>
    <n v="35879"/>
    <n v="42575"/>
  </r>
  <r>
    <s v="ORD09470"/>
    <d v="2025-06-19T00:00:00"/>
    <x v="5"/>
    <x v="13"/>
    <x v="6"/>
    <s v="Spain"/>
    <x v="20"/>
    <x v="3"/>
    <n v="37048"/>
    <n v="25957"/>
  </r>
  <r>
    <s v="ORD09471"/>
    <d v="2025-02-27T00:00:00"/>
    <x v="6"/>
    <x v="22"/>
    <x v="3"/>
    <s v="USA"/>
    <x v="10"/>
    <x v="15"/>
    <n v="31009"/>
    <n v="35846"/>
  </r>
  <r>
    <s v="ORD09472"/>
    <d v="2025-12-09T00:00:00"/>
    <x v="10"/>
    <x v="32"/>
    <x v="1"/>
    <s v="China"/>
    <x v="47"/>
    <x v="19"/>
    <n v="26933"/>
    <n v="30681"/>
  </r>
  <r>
    <s v="ORD09473"/>
    <d v="2025-11-27T00:00:00"/>
    <x v="2"/>
    <x v="11"/>
    <x v="5"/>
    <s v="Australia"/>
    <x v="13"/>
    <x v="1"/>
    <n v="22443"/>
    <n v="22261"/>
  </r>
  <r>
    <s v="ORD09474"/>
    <d v="2025-08-01T00:00:00"/>
    <x v="11"/>
    <x v="12"/>
    <x v="2"/>
    <s v="China"/>
    <x v="14"/>
    <x v="20"/>
    <n v="21510"/>
    <n v="23893"/>
  </r>
  <r>
    <s v="ORD09475"/>
    <d v="2025-07-01T00:00:00"/>
    <x v="0"/>
    <x v="37"/>
    <x v="6"/>
    <s v="Malaysia"/>
    <x v="15"/>
    <x v="17"/>
    <n v="16417"/>
    <n v="14995"/>
  </r>
  <r>
    <s v="ORD09476"/>
    <d v="2025-01-11T00:00:00"/>
    <x v="1"/>
    <x v="6"/>
    <x v="1"/>
    <s v="UK"/>
    <x v="40"/>
    <x v="16"/>
    <n v="29556"/>
    <n v="28471"/>
  </r>
  <r>
    <s v="ORD09477"/>
    <d v="2025-11-10T00:00:00"/>
    <x v="2"/>
    <x v="44"/>
    <x v="2"/>
    <s v="Spain"/>
    <x v="10"/>
    <x v="5"/>
    <n v="29863"/>
    <n v="31217"/>
  </r>
  <r>
    <s v="ORD09478"/>
    <d v="2025-04-09T00:00:00"/>
    <x v="7"/>
    <x v="16"/>
    <x v="5"/>
    <s v="Turkey"/>
    <x v="27"/>
    <x v="2"/>
    <n v="35669"/>
    <n v="37780"/>
  </r>
  <r>
    <s v="ORD09479"/>
    <d v="2025-09-14T00:00:00"/>
    <x v="3"/>
    <x v="31"/>
    <x v="0"/>
    <s v="Singapore"/>
    <x v="48"/>
    <x v="3"/>
    <n v="19341"/>
    <n v="17602"/>
  </r>
  <r>
    <s v="ORD09480"/>
    <d v="2025-12-19T00:00:00"/>
    <x v="10"/>
    <x v="21"/>
    <x v="1"/>
    <s v="UK"/>
    <x v="41"/>
    <x v="11"/>
    <n v="25363"/>
    <n v="28546"/>
  </r>
  <r>
    <s v="ORD09481"/>
    <d v="2025-02-14T00:00:00"/>
    <x v="6"/>
    <x v="29"/>
    <x v="4"/>
    <s v="Italy"/>
    <x v="29"/>
    <x v="14"/>
    <n v="31174"/>
    <n v="22742"/>
  </r>
  <r>
    <s v="ORD09482"/>
    <d v="2025-08-09T00:00:00"/>
    <x v="11"/>
    <x v="23"/>
    <x v="4"/>
    <s v="China"/>
    <x v="24"/>
    <x v="20"/>
    <n v="30430"/>
    <n v="25529"/>
  </r>
  <r>
    <s v="ORD09483"/>
    <d v="2025-10-11T00:00:00"/>
    <x v="4"/>
    <x v="45"/>
    <x v="6"/>
    <s v="China"/>
    <x v="49"/>
    <x v="4"/>
    <n v="34976"/>
    <n v="42511"/>
  </r>
  <r>
    <s v="ORD09484"/>
    <d v="2025-01-08T00:00:00"/>
    <x v="1"/>
    <x v="6"/>
    <x v="2"/>
    <s v="India"/>
    <x v="28"/>
    <x v="17"/>
    <n v="31328"/>
    <n v="24553"/>
  </r>
  <r>
    <s v="ORD09485"/>
    <d v="2025-10-14T00:00:00"/>
    <x v="4"/>
    <x v="10"/>
    <x v="6"/>
    <s v="France"/>
    <x v="10"/>
    <x v="8"/>
    <n v="24113"/>
    <n v="23026"/>
  </r>
  <r>
    <s v="ORD09486"/>
    <d v="2025-04-14T00:00:00"/>
    <x v="7"/>
    <x v="20"/>
    <x v="5"/>
    <s v="UK"/>
    <x v="2"/>
    <x v="27"/>
    <n v="37267"/>
    <n v="33769"/>
  </r>
  <r>
    <s v="ORD09487"/>
    <d v="2025-07-11T00:00:00"/>
    <x v="0"/>
    <x v="47"/>
    <x v="1"/>
    <s v="Australia"/>
    <x v="13"/>
    <x v="2"/>
    <n v="32004"/>
    <n v="24797"/>
  </r>
  <r>
    <s v="ORD09488"/>
    <d v="2025-08-05T00:00:00"/>
    <x v="11"/>
    <x v="23"/>
    <x v="2"/>
    <s v="Spain"/>
    <x v="42"/>
    <x v="27"/>
    <n v="39685"/>
    <n v="28352"/>
  </r>
  <r>
    <s v="ORD09489"/>
    <d v="2025-09-07T00:00:00"/>
    <x v="3"/>
    <x v="4"/>
    <x v="4"/>
    <s v="Japan"/>
    <x v="28"/>
    <x v="0"/>
    <n v="28165"/>
    <n v="33715"/>
  </r>
  <r>
    <s v="ORD09490"/>
    <d v="2025-07-05T00:00:00"/>
    <x v="0"/>
    <x v="37"/>
    <x v="4"/>
    <s v="USA"/>
    <x v="23"/>
    <x v="4"/>
    <n v="24708"/>
    <n v="23081"/>
  </r>
  <r>
    <s v="ORD09491"/>
    <d v="2025-07-02T00:00:00"/>
    <x v="0"/>
    <x v="37"/>
    <x v="3"/>
    <s v="India"/>
    <x v="6"/>
    <x v="7"/>
    <n v="28035"/>
    <n v="33039"/>
  </r>
  <r>
    <s v="ORD09492"/>
    <d v="2025-09-02T00:00:00"/>
    <x v="3"/>
    <x v="4"/>
    <x v="5"/>
    <s v="Turkey"/>
    <x v="1"/>
    <x v="15"/>
    <n v="39267"/>
    <n v="44284"/>
  </r>
  <r>
    <s v="ORD09493"/>
    <d v="2025-10-23T00:00:00"/>
    <x v="4"/>
    <x v="50"/>
    <x v="5"/>
    <s v="India"/>
    <x v="18"/>
    <x v="26"/>
    <n v="28027"/>
    <n v="26110"/>
  </r>
  <r>
    <s v="ORD09494"/>
    <d v="2025-09-18T00:00:00"/>
    <x v="3"/>
    <x v="8"/>
    <x v="3"/>
    <s v="Germany"/>
    <x v="24"/>
    <x v="21"/>
    <n v="15334"/>
    <n v="15343"/>
  </r>
  <r>
    <s v="ORD09495"/>
    <d v="2025-06-04T00:00:00"/>
    <x v="5"/>
    <x v="41"/>
    <x v="1"/>
    <s v="Brazil"/>
    <x v="28"/>
    <x v="14"/>
    <n v="29817"/>
    <n v="31017"/>
  </r>
  <r>
    <s v="ORD09496"/>
    <d v="2025-12-25T00:00:00"/>
    <x v="10"/>
    <x v="42"/>
    <x v="2"/>
    <s v="UK"/>
    <x v="24"/>
    <x v="23"/>
    <n v="28491"/>
    <n v="21183"/>
  </r>
  <r>
    <s v="ORD09497"/>
    <d v="2025-10-09T00:00:00"/>
    <x v="4"/>
    <x v="45"/>
    <x v="6"/>
    <s v="UAE"/>
    <x v="16"/>
    <x v="23"/>
    <n v="32037"/>
    <n v="35218"/>
  </r>
  <r>
    <s v="ORD09498"/>
    <d v="2025-09-21T00:00:00"/>
    <x v="3"/>
    <x v="8"/>
    <x v="2"/>
    <s v="Russia"/>
    <x v="20"/>
    <x v="0"/>
    <n v="24721"/>
    <n v="18579"/>
  </r>
  <r>
    <s v="ORD09499"/>
    <d v="2025-01-26T00:00:00"/>
    <x v="1"/>
    <x v="7"/>
    <x v="6"/>
    <s v="Canada"/>
    <x v="1"/>
    <x v="7"/>
    <n v="31291"/>
    <n v="40077"/>
  </r>
  <r>
    <s v="ORD09500"/>
    <d v="2025-06-11T00:00:00"/>
    <x v="5"/>
    <x v="40"/>
    <x v="0"/>
    <s v="Thailand"/>
    <x v="22"/>
    <x v="2"/>
    <n v="25084"/>
    <n v="31386"/>
  </r>
  <r>
    <s v="ORD09501"/>
    <d v="2025-01-19T00:00:00"/>
    <x v="1"/>
    <x v="1"/>
    <x v="3"/>
    <s v="Italy"/>
    <x v="40"/>
    <x v="6"/>
    <n v="22348"/>
    <n v="23109"/>
  </r>
  <r>
    <s v="ORD09502"/>
    <d v="2025-05-16T00:00:00"/>
    <x v="8"/>
    <x v="17"/>
    <x v="2"/>
    <s v="USA"/>
    <x v="20"/>
    <x v="23"/>
    <n v="28862"/>
    <n v="25524"/>
  </r>
  <r>
    <s v="ORD09503"/>
    <d v="2025-06-29T00:00:00"/>
    <x v="5"/>
    <x v="36"/>
    <x v="6"/>
    <s v="Germany"/>
    <x v="42"/>
    <x v="14"/>
    <n v="26087"/>
    <n v="30593"/>
  </r>
  <r>
    <s v="ORD09504"/>
    <d v="2025-11-23T00:00:00"/>
    <x v="2"/>
    <x v="9"/>
    <x v="5"/>
    <s v="China"/>
    <x v="1"/>
    <x v="6"/>
    <n v="21786"/>
    <n v="15501"/>
  </r>
  <r>
    <s v="ORD09505"/>
    <d v="2025-02-08T00:00:00"/>
    <x v="6"/>
    <x v="48"/>
    <x v="4"/>
    <s v="Russia"/>
    <x v="48"/>
    <x v="7"/>
    <n v="19786"/>
    <n v="22634"/>
  </r>
  <r>
    <s v="ORD09506"/>
    <d v="2025-10-30T00:00:00"/>
    <x v="4"/>
    <x v="2"/>
    <x v="6"/>
    <s v="Italy"/>
    <x v="40"/>
    <x v="27"/>
    <n v="35146"/>
    <n v="38957"/>
  </r>
  <r>
    <s v="ORD09507"/>
    <d v="2025-07-05T00:00:00"/>
    <x v="0"/>
    <x v="37"/>
    <x v="2"/>
    <s v="Brazil"/>
    <x v="47"/>
    <x v="17"/>
    <n v="39194"/>
    <n v="50032"/>
  </r>
  <r>
    <s v="ORD09508"/>
    <d v="2025-10-24T00:00:00"/>
    <x v="4"/>
    <x v="50"/>
    <x v="4"/>
    <s v="Brazil"/>
    <x v="5"/>
    <x v="5"/>
    <n v="15699"/>
    <n v="13576"/>
  </r>
  <r>
    <s v="ORD09509"/>
    <d v="2025-06-12T00:00:00"/>
    <x v="5"/>
    <x v="40"/>
    <x v="0"/>
    <s v="Japan"/>
    <x v="19"/>
    <x v="10"/>
    <n v="33140"/>
    <n v="43067"/>
  </r>
  <r>
    <s v="ORD09510"/>
    <d v="2025-04-30T00:00:00"/>
    <x v="7"/>
    <x v="27"/>
    <x v="5"/>
    <s v="France"/>
    <x v="37"/>
    <x v="11"/>
    <n v="25206"/>
    <n v="26255"/>
  </r>
  <r>
    <s v="ORD09511"/>
    <d v="2025-01-25T00:00:00"/>
    <x v="1"/>
    <x v="7"/>
    <x v="3"/>
    <s v="USA"/>
    <x v="20"/>
    <x v="15"/>
    <n v="22107"/>
    <n v="18016"/>
  </r>
  <r>
    <s v="ORD09512"/>
    <d v="2025-05-27T00:00:00"/>
    <x v="8"/>
    <x v="24"/>
    <x v="0"/>
    <s v="UK"/>
    <x v="34"/>
    <x v="1"/>
    <n v="29024"/>
    <n v="28622"/>
  </r>
  <r>
    <s v="ORD09513"/>
    <d v="2025-06-12T00:00:00"/>
    <x v="5"/>
    <x v="40"/>
    <x v="1"/>
    <s v="UK"/>
    <x v="1"/>
    <x v="0"/>
    <n v="38720"/>
    <n v="34168"/>
  </r>
  <r>
    <s v="ORD09514"/>
    <d v="2025-12-23T00:00:00"/>
    <x v="10"/>
    <x v="42"/>
    <x v="2"/>
    <s v="Russia"/>
    <x v="34"/>
    <x v="0"/>
    <n v="27193"/>
    <n v="26713"/>
  </r>
  <r>
    <s v="ORD09515"/>
    <d v="2025-07-16T00:00:00"/>
    <x v="0"/>
    <x v="14"/>
    <x v="2"/>
    <s v="Malaysia"/>
    <x v="30"/>
    <x v="29"/>
    <n v="18721"/>
    <n v="15895"/>
  </r>
  <r>
    <s v="ORD09516"/>
    <d v="2025-08-31T00:00:00"/>
    <x v="11"/>
    <x v="28"/>
    <x v="2"/>
    <s v="Canada"/>
    <x v="25"/>
    <x v="1"/>
    <n v="31314"/>
    <n v="31509"/>
  </r>
  <r>
    <s v="ORD09517"/>
    <d v="2025-01-01T00:00:00"/>
    <x v="1"/>
    <x v="5"/>
    <x v="1"/>
    <s v="Mexico"/>
    <x v="13"/>
    <x v="1"/>
    <n v="23212"/>
    <n v="21691"/>
  </r>
  <r>
    <s v="ORD09518"/>
    <d v="2025-08-03T00:00:00"/>
    <x v="11"/>
    <x v="12"/>
    <x v="2"/>
    <s v="UAE"/>
    <x v="31"/>
    <x v="14"/>
    <n v="31725"/>
    <n v="31646"/>
  </r>
  <r>
    <s v="ORD09519"/>
    <d v="2025-04-21T00:00:00"/>
    <x v="7"/>
    <x v="38"/>
    <x v="1"/>
    <s v="India"/>
    <x v="46"/>
    <x v="23"/>
    <n v="25829"/>
    <n v="31755"/>
  </r>
  <r>
    <s v="ORD09520"/>
    <d v="2025-02-25T00:00:00"/>
    <x v="6"/>
    <x v="22"/>
    <x v="5"/>
    <s v="Australia"/>
    <x v="44"/>
    <x v="9"/>
    <n v="19335"/>
    <n v="14660"/>
  </r>
  <r>
    <s v="ORD09521"/>
    <d v="2025-02-28T00:00:00"/>
    <x v="6"/>
    <x v="22"/>
    <x v="2"/>
    <s v="UK"/>
    <x v="32"/>
    <x v="10"/>
    <n v="35339"/>
    <n v="38407"/>
  </r>
  <r>
    <s v="ORD09522"/>
    <d v="2025-08-06T00:00:00"/>
    <x v="11"/>
    <x v="23"/>
    <x v="6"/>
    <s v="Malaysia"/>
    <x v="41"/>
    <x v="8"/>
    <n v="23399"/>
    <n v="23913"/>
  </r>
  <r>
    <s v="ORD09523"/>
    <d v="2025-09-02T00:00:00"/>
    <x v="3"/>
    <x v="4"/>
    <x v="1"/>
    <s v="UAE"/>
    <x v="39"/>
    <x v="2"/>
    <n v="31751"/>
    <n v="40026"/>
  </r>
  <r>
    <s v="ORD09524"/>
    <d v="2025-04-28T00:00:00"/>
    <x v="7"/>
    <x v="27"/>
    <x v="0"/>
    <s v="Spain"/>
    <x v="8"/>
    <x v="12"/>
    <n v="31772"/>
    <n v="31073"/>
  </r>
  <r>
    <s v="ORD09525"/>
    <d v="2025-06-09T00:00:00"/>
    <x v="5"/>
    <x v="40"/>
    <x v="6"/>
    <s v="Singapore"/>
    <x v="4"/>
    <x v="1"/>
    <n v="38572"/>
    <n v="35924"/>
  </r>
  <r>
    <s v="ORD09526"/>
    <d v="2025-08-08T00:00:00"/>
    <x v="11"/>
    <x v="23"/>
    <x v="4"/>
    <s v="Brazil"/>
    <x v="7"/>
    <x v="12"/>
    <n v="35630"/>
    <n v="32100"/>
  </r>
  <r>
    <s v="ORD09527"/>
    <d v="2025-03-01T00:00:00"/>
    <x v="9"/>
    <x v="22"/>
    <x v="1"/>
    <s v="USA"/>
    <x v="32"/>
    <x v="0"/>
    <n v="18135"/>
    <n v="21925"/>
  </r>
  <r>
    <s v="ORD09528"/>
    <d v="2025-01-05T00:00:00"/>
    <x v="1"/>
    <x v="5"/>
    <x v="3"/>
    <s v="Germany"/>
    <x v="16"/>
    <x v="7"/>
    <n v="28153"/>
    <n v="21231"/>
  </r>
  <r>
    <s v="ORD09529"/>
    <d v="2025-06-02T00:00:00"/>
    <x v="5"/>
    <x v="41"/>
    <x v="6"/>
    <s v="Brazil"/>
    <x v="28"/>
    <x v="29"/>
    <n v="19330"/>
    <n v="15285"/>
  </r>
  <r>
    <s v="ORD09530"/>
    <d v="2025-02-27T00:00:00"/>
    <x v="6"/>
    <x v="22"/>
    <x v="5"/>
    <s v="Malaysia"/>
    <x v="28"/>
    <x v="1"/>
    <n v="26789"/>
    <n v="32975"/>
  </r>
  <r>
    <s v="ORD09531"/>
    <d v="2025-07-31T00:00:00"/>
    <x v="0"/>
    <x v="12"/>
    <x v="1"/>
    <s v="Turkey"/>
    <x v="10"/>
    <x v="10"/>
    <n v="22929"/>
    <n v="20865"/>
  </r>
  <r>
    <s v="ORD09532"/>
    <d v="2025-04-19T00:00:00"/>
    <x v="7"/>
    <x v="20"/>
    <x v="2"/>
    <s v="Mexico"/>
    <x v="21"/>
    <x v="11"/>
    <n v="29303"/>
    <n v="33041"/>
  </r>
  <r>
    <s v="ORD09533"/>
    <d v="2025-06-13T00:00:00"/>
    <x v="5"/>
    <x v="40"/>
    <x v="2"/>
    <s v="Italy"/>
    <x v="11"/>
    <x v="18"/>
    <n v="26220"/>
    <n v="30814"/>
  </r>
  <r>
    <s v="ORD09534"/>
    <d v="2025-01-27T00:00:00"/>
    <x v="1"/>
    <x v="3"/>
    <x v="2"/>
    <s v="Australia"/>
    <x v="28"/>
    <x v="19"/>
    <n v="39393"/>
    <n v="42602"/>
  </r>
  <r>
    <s v="ORD09535"/>
    <d v="2025-06-26T00:00:00"/>
    <x v="5"/>
    <x v="36"/>
    <x v="4"/>
    <s v="South Africa"/>
    <x v="30"/>
    <x v="25"/>
    <n v="23137"/>
    <n v="28789"/>
  </r>
  <r>
    <s v="ORD09536"/>
    <d v="2025-03-15T00:00:00"/>
    <x v="9"/>
    <x v="19"/>
    <x v="5"/>
    <s v="Canada"/>
    <x v="44"/>
    <x v="2"/>
    <n v="37409"/>
    <n v="37944"/>
  </r>
  <r>
    <s v="ORD09537"/>
    <d v="2025-07-19T00:00:00"/>
    <x v="0"/>
    <x v="14"/>
    <x v="6"/>
    <s v="Malaysia"/>
    <x v="36"/>
    <x v="0"/>
    <n v="18953"/>
    <n v="19859"/>
  </r>
  <r>
    <s v="ORD09538"/>
    <d v="2025-03-22T00:00:00"/>
    <x v="9"/>
    <x v="39"/>
    <x v="5"/>
    <s v="Spain"/>
    <x v="14"/>
    <x v="15"/>
    <n v="27153"/>
    <n v="31287"/>
  </r>
  <r>
    <s v="ORD09539"/>
    <d v="2025-11-25T00:00:00"/>
    <x v="2"/>
    <x v="11"/>
    <x v="4"/>
    <s v="Spain"/>
    <x v="21"/>
    <x v="16"/>
    <n v="37569"/>
    <n v="28324"/>
  </r>
  <r>
    <s v="ORD09540"/>
    <d v="2025-05-13T00:00:00"/>
    <x v="8"/>
    <x v="17"/>
    <x v="1"/>
    <s v="France"/>
    <x v="2"/>
    <x v="26"/>
    <n v="15850"/>
    <n v="11560"/>
  </r>
  <r>
    <s v="ORD09541"/>
    <d v="2025-01-02T00:00:00"/>
    <x v="1"/>
    <x v="5"/>
    <x v="1"/>
    <s v="China"/>
    <x v="17"/>
    <x v="24"/>
    <n v="39116"/>
    <n v="28754"/>
  </r>
  <r>
    <s v="ORD09542"/>
    <d v="2025-07-16T00:00:00"/>
    <x v="0"/>
    <x v="14"/>
    <x v="1"/>
    <s v="Spain"/>
    <x v="43"/>
    <x v="25"/>
    <n v="38927"/>
    <n v="43346"/>
  </r>
  <r>
    <s v="ORD09543"/>
    <d v="2025-06-02T00:00:00"/>
    <x v="5"/>
    <x v="41"/>
    <x v="2"/>
    <s v="Thailand"/>
    <x v="19"/>
    <x v="28"/>
    <n v="28639"/>
    <n v="23188"/>
  </r>
  <r>
    <s v="ORD09544"/>
    <d v="2025-11-26T00:00:00"/>
    <x v="2"/>
    <x v="11"/>
    <x v="4"/>
    <s v="UK"/>
    <x v="11"/>
    <x v="19"/>
    <n v="35022"/>
    <n v="29050"/>
  </r>
  <r>
    <s v="ORD09545"/>
    <d v="2025-04-05T00:00:00"/>
    <x v="7"/>
    <x v="34"/>
    <x v="1"/>
    <s v="Mexico"/>
    <x v="35"/>
    <x v="19"/>
    <n v="23712"/>
    <n v="28634"/>
  </r>
  <r>
    <s v="ORD09546"/>
    <d v="2025-05-21T00:00:00"/>
    <x v="8"/>
    <x v="26"/>
    <x v="2"/>
    <s v="Italy"/>
    <x v="41"/>
    <x v="17"/>
    <n v="28576"/>
    <n v="27126"/>
  </r>
  <r>
    <s v="ORD09547"/>
    <d v="2025-09-18T00:00:00"/>
    <x v="3"/>
    <x v="8"/>
    <x v="2"/>
    <s v="China"/>
    <x v="9"/>
    <x v="24"/>
    <n v="21736"/>
    <n v="22080"/>
  </r>
  <r>
    <s v="ORD09548"/>
    <d v="2025-08-28T00:00:00"/>
    <x v="11"/>
    <x v="28"/>
    <x v="1"/>
    <s v="Spain"/>
    <x v="3"/>
    <x v="2"/>
    <n v="25500"/>
    <n v="25312"/>
  </r>
  <r>
    <s v="ORD09549"/>
    <d v="2025-09-29T00:00:00"/>
    <x v="3"/>
    <x v="49"/>
    <x v="6"/>
    <s v="Spain"/>
    <x v="32"/>
    <x v="13"/>
    <n v="23298"/>
    <n v="20731"/>
  </r>
  <r>
    <s v="ORD09550"/>
    <d v="2025-11-16T00:00:00"/>
    <x v="2"/>
    <x v="44"/>
    <x v="1"/>
    <s v="UK"/>
    <x v="4"/>
    <x v="9"/>
    <n v="18064"/>
    <n v="21831"/>
  </r>
  <r>
    <s v="ORD09551"/>
    <d v="2025-12-20T00:00:00"/>
    <x v="10"/>
    <x v="21"/>
    <x v="2"/>
    <s v="Turkey"/>
    <x v="17"/>
    <x v="22"/>
    <n v="27985"/>
    <n v="22073"/>
  </r>
  <r>
    <s v="ORD09552"/>
    <d v="2025-03-01T00:00:00"/>
    <x v="9"/>
    <x v="22"/>
    <x v="2"/>
    <s v="South Africa"/>
    <x v="35"/>
    <x v="20"/>
    <n v="18682"/>
    <n v="15207"/>
  </r>
  <r>
    <s v="ORD09553"/>
    <d v="2025-06-12T00:00:00"/>
    <x v="5"/>
    <x v="40"/>
    <x v="0"/>
    <s v="Italy"/>
    <x v="19"/>
    <x v="16"/>
    <n v="19994"/>
    <n v="19158"/>
  </r>
  <r>
    <s v="ORD09554"/>
    <d v="2025-11-11T00:00:00"/>
    <x v="2"/>
    <x v="44"/>
    <x v="4"/>
    <s v="Brazil"/>
    <x v="0"/>
    <x v="27"/>
    <n v="19826"/>
    <n v="17420"/>
  </r>
  <r>
    <s v="ORD09555"/>
    <d v="2025-08-28T00:00:00"/>
    <x v="11"/>
    <x v="28"/>
    <x v="0"/>
    <s v="Australia"/>
    <x v="14"/>
    <x v="13"/>
    <n v="33520"/>
    <n v="31693"/>
  </r>
  <r>
    <s v="ORD09556"/>
    <d v="2025-01-08T00:00:00"/>
    <x v="1"/>
    <x v="6"/>
    <x v="1"/>
    <s v="Italy"/>
    <x v="18"/>
    <x v="3"/>
    <n v="17487"/>
    <n v="21466"/>
  </r>
  <r>
    <s v="ORD09557"/>
    <d v="2025-03-29T00:00:00"/>
    <x v="9"/>
    <x v="33"/>
    <x v="4"/>
    <s v="Turkey"/>
    <x v="33"/>
    <x v="25"/>
    <n v="20202"/>
    <n v="25030"/>
  </r>
  <r>
    <s v="ORD09558"/>
    <d v="2025-12-19T00:00:00"/>
    <x v="10"/>
    <x v="21"/>
    <x v="3"/>
    <s v="UAE"/>
    <x v="35"/>
    <x v="8"/>
    <n v="26677"/>
    <n v="21025"/>
  </r>
  <r>
    <s v="ORD09559"/>
    <d v="2025-10-21T00:00:00"/>
    <x v="4"/>
    <x v="50"/>
    <x v="0"/>
    <s v="Japan"/>
    <x v="37"/>
    <x v="15"/>
    <n v="29929"/>
    <n v="33850"/>
  </r>
  <r>
    <s v="ORD09560"/>
    <d v="2025-11-22T00:00:00"/>
    <x v="2"/>
    <x v="9"/>
    <x v="0"/>
    <s v="South Africa"/>
    <x v="45"/>
    <x v="5"/>
    <n v="37868"/>
    <n v="36070"/>
  </r>
  <r>
    <s v="ORD09561"/>
    <d v="2025-12-12T00:00:00"/>
    <x v="10"/>
    <x v="32"/>
    <x v="6"/>
    <s v="South Africa"/>
    <x v="28"/>
    <x v="1"/>
    <n v="35068"/>
    <n v="38533"/>
  </r>
  <r>
    <s v="ORD09562"/>
    <d v="2025-10-16T00:00:00"/>
    <x v="4"/>
    <x v="10"/>
    <x v="0"/>
    <s v="Germany"/>
    <x v="25"/>
    <x v="26"/>
    <n v="16544"/>
    <n v="13296"/>
  </r>
  <r>
    <s v="ORD09563"/>
    <d v="2025-01-18T00:00:00"/>
    <x v="1"/>
    <x v="1"/>
    <x v="1"/>
    <s v="Brazil"/>
    <x v="4"/>
    <x v="5"/>
    <n v="31236"/>
    <n v="22649"/>
  </r>
  <r>
    <s v="ORD09564"/>
    <d v="2025-02-27T00:00:00"/>
    <x v="6"/>
    <x v="22"/>
    <x v="6"/>
    <s v="UK"/>
    <x v="10"/>
    <x v="21"/>
    <n v="31327"/>
    <n v="31736"/>
  </r>
  <r>
    <s v="ORD09565"/>
    <d v="2025-10-07T00:00:00"/>
    <x v="4"/>
    <x v="45"/>
    <x v="5"/>
    <s v="Italy"/>
    <x v="11"/>
    <x v="13"/>
    <n v="29168"/>
    <n v="23469"/>
  </r>
  <r>
    <s v="ORD09566"/>
    <d v="2025-05-01T00:00:00"/>
    <x v="8"/>
    <x v="27"/>
    <x v="5"/>
    <s v="UAE"/>
    <x v="27"/>
    <x v="19"/>
    <n v="34375"/>
    <n v="43743"/>
  </r>
  <r>
    <s v="ORD09567"/>
    <d v="2025-05-18T00:00:00"/>
    <x v="8"/>
    <x v="17"/>
    <x v="2"/>
    <s v="Australia"/>
    <x v="24"/>
    <x v="20"/>
    <n v="38558"/>
    <n v="37419"/>
  </r>
  <r>
    <s v="ORD09568"/>
    <d v="2025-11-07T00:00:00"/>
    <x v="2"/>
    <x v="51"/>
    <x v="3"/>
    <s v="China"/>
    <x v="36"/>
    <x v="17"/>
    <n v="30785"/>
    <n v="37169"/>
  </r>
  <r>
    <s v="ORD09569"/>
    <d v="2025-04-22T00:00:00"/>
    <x v="7"/>
    <x v="38"/>
    <x v="4"/>
    <s v="Japan"/>
    <x v="11"/>
    <x v="20"/>
    <n v="21344"/>
    <n v="19020"/>
  </r>
  <r>
    <s v="ORD09570"/>
    <d v="2025-08-13T00:00:00"/>
    <x v="11"/>
    <x v="30"/>
    <x v="6"/>
    <s v="Mexico"/>
    <x v="11"/>
    <x v="15"/>
    <n v="30611"/>
    <n v="34694"/>
  </r>
  <r>
    <s v="ORD09571"/>
    <d v="2025-09-02T00:00:00"/>
    <x v="3"/>
    <x v="4"/>
    <x v="3"/>
    <s v="Japan"/>
    <x v="28"/>
    <x v="2"/>
    <n v="24633"/>
    <n v="28297"/>
  </r>
  <r>
    <s v="ORD09572"/>
    <d v="2025-02-11T00:00:00"/>
    <x v="6"/>
    <x v="29"/>
    <x v="3"/>
    <s v="Turkey"/>
    <x v="24"/>
    <x v="13"/>
    <n v="27354"/>
    <n v="24541"/>
  </r>
  <r>
    <s v="ORD09573"/>
    <d v="2025-12-30T00:00:00"/>
    <x v="10"/>
    <x v="5"/>
    <x v="0"/>
    <s v="Singapore"/>
    <x v="49"/>
    <x v="26"/>
    <n v="38627"/>
    <n v="34336"/>
  </r>
  <r>
    <s v="ORD09574"/>
    <d v="2025-06-05T00:00:00"/>
    <x v="5"/>
    <x v="41"/>
    <x v="3"/>
    <s v="China"/>
    <x v="17"/>
    <x v="27"/>
    <n v="30013"/>
    <n v="34471"/>
  </r>
  <r>
    <s v="ORD09575"/>
    <d v="2025-09-03T00:00:00"/>
    <x v="3"/>
    <x v="4"/>
    <x v="0"/>
    <s v="India"/>
    <x v="45"/>
    <x v="0"/>
    <n v="37376"/>
    <n v="40614"/>
  </r>
  <r>
    <s v="ORD09576"/>
    <d v="2025-04-11T00:00:00"/>
    <x v="7"/>
    <x v="16"/>
    <x v="4"/>
    <s v="Germany"/>
    <x v="30"/>
    <x v="9"/>
    <n v="17619"/>
    <n v="15066"/>
  </r>
  <r>
    <s v="ORD09577"/>
    <d v="2025-02-13T00:00:00"/>
    <x v="6"/>
    <x v="29"/>
    <x v="2"/>
    <s v="Canada"/>
    <x v="48"/>
    <x v="24"/>
    <n v="15620"/>
    <n v="14070"/>
  </r>
  <r>
    <s v="ORD09578"/>
    <d v="2025-07-23T00:00:00"/>
    <x v="0"/>
    <x v="0"/>
    <x v="2"/>
    <s v="Australia"/>
    <x v="25"/>
    <x v="18"/>
    <n v="18721"/>
    <n v="17080"/>
  </r>
  <r>
    <s v="ORD09579"/>
    <d v="2025-06-16T00:00:00"/>
    <x v="5"/>
    <x v="13"/>
    <x v="1"/>
    <s v="USA"/>
    <x v="22"/>
    <x v="10"/>
    <n v="36605"/>
    <n v="32992"/>
  </r>
  <r>
    <s v="ORD09580"/>
    <d v="2025-08-08T00:00:00"/>
    <x v="11"/>
    <x v="23"/>
    <x v="1"/>
    <s v="UAE"/>
    <x v="47"/>
    <x v="18"/>
    <n v="27228"/>
    <n v="26264"/>
  </r>
  <r>
    <s v="ORD09581"/>
    <d v="2025-08-12T00:00:00"/>
    <x v="11"/>
    <x v="30"/>
    <x v="1"/>
    <s v="India"/>
    <x v="30"/>
    <x v="10"/>
    <n v="38844"/>
    <n v="32686"/>
  </r>
  <r>
    <s v="ORD09582"/>
    <d v="2025-02-19T00:00:00"/>
    <x v="6"/>
    <x v="15"/>
    <x v="4"/>
    <s v="South Africa"/>
    <x v="43"/>
    <x v="15"/>
    <n v="32452"/>
    <n v="25384"/>
  </r>
  <r>
    <s v="ORD09583"/>
    <d v="2025-06-04T00:00:00"/>
    <x v="5"/>
    <x v="41"/>
    <x v="0"/>
    <s v="Singapore"/>
    <x v="26"/>
    <x v="2"/>
    <n v="15852"/>
    <n v="13144"/>
  </r>
  <r>
    <s v="ORD09584"/>
    <d v="2025-09-11T00:00:00"/>
    <x v="3"/>
    <x v="31"/>
    <x v="2"/>
    <s v="Thailand"/>
    <x v="4"/>
    <x v="22"/>
    <n v="18376"/>
    <n v="13060"/>
  </r>
  <r>
    <s v="ORD09585"/>
    <d v="2025-08-26T00:00:00"/>
    <x v="11"/>
    <x v="28"/>
    <x v="4"/>
    <s v="Spain"/>
    <x v="10"/>
    <x v="22"/>
    <n v="29131"/>
    <n v="35806"/>
  </r>
  <r>
    <s v="ORD09586"/>
    <d v="2025-06-07T00:00:00"/>
    <x v="5"/>
    <x v="41"/>
    <x v="5"/>
    <s v="UAE"/>
    <x v="46"/>
    <x v="25"/>
    <n v="19799"/>
    <n v="23128"/>
  </r>
  <r>
    <s v="ORD09587"/>
    <d v="2025-01-14T00:00:00"/>
    <x v="1"/>
    <x v="1"/>
    <x v="1"/>
    <s v="Brazil"/>
    <x v="28"/>
    <x v="14"/>
    <n v="26911"/>
    <n v="23910"/>
  </r>
  <r>
    <s v="ORD09588"/>
    <d v="2025-01-10T00:00:00"/>
    <x v="1"/>
    <x v="6"/>
    <x v="5"/>
    <s v="Malaysia"/>
    <x v="8"/>
    <x v="26"/>
    <n v="25494"/>
    <n v="30036"/>
  </r>
  <r>
    <s v="ORD09589"/>
    <d v="2025-06-09T00:00:00"/>
    <x v="5"/>
    <x v="40"/>
    <x v="6"/>
    <s v="Japan"/>
    <x v="32"/>
    <x v="21"/>
    <n v="32576"/>
    <n v="27198"/>
  </r>
  <r>
    <s v="ORD09590"/>
    <d v="2025-05-29T00:00:00"/>
    <x v="8"/>
    <x v="24"/>
    <x v="5"/>
    <s v="Turkey"/>
    <x v="47"/>
    <x v="25"/>
    <n v="33017"/>
    <n v="30775"/>
  </r>
  <r>
    <s v="ORD09591"/>
    <d v="2025-01-23T00:00:00"/>
    <x v="1"/>
    <x v="7"/>
    <x v="4"/>
    <s v="Russia"/>
    <x v="46"/>
    <x v="3"/>
    <n v="36905"/>
    <n v="31354"/>
  </r>
  <r>
    <s v="ORD09592"/>
    <d v="2025-08-18T00:00:00"/>
    <x v="11"/>
    <x v="46"/>
    <x v="4"/>
    <s v="USA"/>
    <x v="27"/>
    <x v="1"/>
    <n v="23573"/>
    <n v="29968"/>
  </r>
  <r>
    <s v="ORD09593"/>
    <d v="2025-08-23T00:00:00"/>
    <x v="11"/>
    <x v="46"/>
    <x v="5"/>
    <s v="Canada"/>
    <x v="18"/>
    <x v="7"/>
    <n v="16446"/>
    <n v="20644"/>
  </r>
  <r>
    <s v="ORD09594"/>
    <d v="2025-11-11T00:00:00"/>
    <x v="2"/>
    <x v="44"/>
    <x v="3"/>
    <s v="UAE"/>
    <x v="36"/>
    <x v="18"/>
    <n v="30833"/>
    <n v="28074"/>
  </r>
  <r>
    <s v="ORD09595"/>
    <d v="2025-05-29T00:00:00"/>
    <x v="8"/>
    <x v="24"/>
    <x v="5"/>
    <s v="Thailand"/>
    <x v="30"/>
    <x v="16"/>
    <n v="25549"/>
    <n v="26521"/>
  </r>
  <r>
    <s v="ORD09596"/>
    <d v="2025-03-13T00:00:00"/>
    <x v="9"/>
    <x v="19"/>
    <x v="4"/>
    <s v="USA"/>
    <x v="44"/>
    <x v="7"/>
    <n v="34860"/>
    <n v="40987"/>
  </r>
  <r>
    <s v="ORD09597"/>
    <d v="2025-08-26T00:00:00"/>
    <x v="11"/>
    <x v="28"/>
    <x v="3"/>
    <s v="Spain"/>
    <x v="48"/>
    <x v="13"/>
    <n v="17059"/>
    <n v="12230"/>
  </r>
  <r>
    <s v="ORD09598"/>
    <d v="2025-05-01T00:00:00"/>
    <x v="8"/>
    <x v="27"/>
    <x v="6"/>
    <s v="South Africa"/>
    <x v="8"/>
    <x v="29"/>
    <n v="38134"/>
    <n v="47415"/>
  </r>
  <r>
    <s v="ORD09599"/>
    <d v="2025-04-11T00:00:00"/>
    <x v="7"/>
    <x v="16"/>
    <x v="6"/>
    <s v="Thailand"/>
    <x v="45"/>
    <x v="0"/>
    <n v="18460"/>
    <n v="14622"/>
  </r>
  <r>
    <s v="ORD09600"/>
    <d v="2025-07-24T00:00:00"/>
    <x v="0"/>
    <x v="0"/>
    <x v="1"/>
    <s v="Brazil"/>
    <x v="6"/>
    <x v="10"/>
    <n v="24223"/>
    <n v="24601"/>
  </r>
  <r>
    <s v="ORD09601"/>
    <d v="2025-12-23T00:00:00"/>
    <x v="10"/>
    <x v="42"/>
    <x v="4"/>
    <s v="UK"/>
    <x v="28"/>
    <x v="22"/>
    <n v="26923"/>
    <n v="22701"/>
  </r>
  <r>
    <s v="ORD09602"/>
    <d v="2025-06-04T00:00:00"/>
    <x v="5"/>
    <x v="41"/>
    <x v="1"/>
    <s v="Thailand"/>
    <x v="13"/>
    <x v="10"/>
    <n v="37494"/>
    <n v="27500"/>
  </r>
  <r>
    <s v="ORD09603"/>
    <d v="2025-01-24T00:00:00"/>
    <x v="1"/>
    <x v="7"/>
    <x v="3"/>
    <s v="Russia"/>
    <x v="41"/>
    <x v="17"/>
    <n v="20420"/>
    <n v="20251"/>
  </r>
  <r>
    <s v="ORD09604"/>
    <d v="2025-09-11T00:00:00"/>
    <x v="3"/>
    <x v="31"/>
    <x v="2"/>
    <s v="Singapore"/>
    <x v="22"/>
    <x v="19"/>
    <n v="21553"/>
    <n v="18900"/>
  </r>
  <r>
    <s v="ORD09605"/>
    <d v="2025-03-28T00:00:00"/>
    <x v="9"/>
    <x v="33"/>
    <x v="3"/>
    <s v="UAE"/>
    <x v="18"/>
    <x v="8"/>
    <n v="30784"/>
    <n v="37171"/>
  </r>
  <r>
    <s v="ORD09606"/>
    <d v="2025-04-20T00:00:00"/>
    <x v="7"/>
    <x v="20"/>
    <x v="6"/>
    <s v="USA"/>
    <x v="9"/>
    <x v="15"/>
    <n v="31619"/>
    <n v="39801"/>
  </r>
  <r>
    <s v="ORD09607"/>
    <d v="2025-12-04T00:00:00"/>
    <x v="10"/>
    <x v="43"/>
    <x v="0"/>
    <s v="USA"/>
    <x v="5"/>
    <x v="29"/>
    <n v="20526"/>
    <n v="24387"/>
  </r>
  <r>
    <s v="ORD09608"/>
    <d v="2025-08-10T00:00:00"/>
    <x v="11"/>
    <x v="23"/>
    <x v="0"/>
    <s v="Australia"/>
    <x v="40"/>
    <x v="6"/>
    <n v="25732"/>
    <n v="28741"/>
  </r>
  <r>
    <s v="ORD09609"/>
    <d v="2025-11-11T00:00:00"/>
    <x v="2"/>
    <x v="44"/>
    <x v="5"/>
    <s v="Germany"/>
    <x v="48"/>
    <x v="27"/>
    <n v="38384"/>
    <n v="35757"/>
  </r>
  <r>
    <s v="ORD09610"/>
    <d v="2025-10-15T00:00:00"/>
    <x v="4"/>
    <x v="10"/>
    <x v="4"/>
    <s v="Spain"/>
    <x v="0"/>
    <x v="4"/>
    <n v="37998"/>
    <n v="37839"/>
  </r>
  <r>
    <s v="ORD09611"/>
    <d v="2025-05-20T00:00:00"/>
    <x v="8"/>
    <x v="26"/>
    <x v="5"/>
    <s v="Mexico"/>
    <x v="24"/>
    <x v="3"/>
    <n v="38633"/>
    <n v="35747"/>
  </r>
  <r>
    <s v="ORD09612"/>
    <d v="2025-02-02T00:00:00"/>
    <x v="6"/>
    <x v="3"/>
    <x v="2"/>
    <s v="Australia"/>
    <x v="38"/>
    <x v="6"/>
    <n v="28351"/>
    <n v="29620"/>
  </r>
  <r>
    <s v="ORD09613"/>
    <d v="2025-05-07T00:00:00"/>
    <x v="8"/>
    <x v="18"/>
    <x v="0"/>
    <s v="Brazil"/>
    <x v="42"/>
    <x v="5"/>
    <n v="19444"/>
    <n v="17862"/>
  </r>
  <r>
    <s v="ORD09614"/>
    <d v="2025-09-27T00:00:00"/>
    <x v="3"/>
    <x v="25"/>
    <x v="5"/>
    <s v="Brazil"/>
    <x v="32"/>
    <x v="6"/>
    <n v="34225"/>
    <n v="42724"/>
  </r>
  <r>
    <s v="ORD09615"/>
    <d v="2025-08-07T00:00:00"/>
    <x v="11"/>
    <x v="23"/>
    <x v="3"/>
    <s v="Italy"/>
    <x v="45"/>
    <x v="14"/>
    <n v="39425"/>
    <n v="38802"/>
  </r>
  <r>
    <s v="ORD09616"/>
    <d v="2025-04-30T00:00:00"/>
    <x v="7"/>
    <x v="27"/>
    <x v="0"/>
    <s v="South Africa"/>
    <x v="29"/>
    <x v="26"/>
    <n v="25446"/>
    <n v="20583"/>
  </r>
  <r>
    <s v="ORD09617"/>
    <d v="2025-09-20T00:00:00"/>
    <x v="3"/>
    <x v="8"/>
    <x v="2"/>
    <s v="USA"/>
    <x v="45"/>
    <x v="28"/>
    <n v="27651"/>
    <n v="28717"/>
  </r>
  <r>
    <s v="ORD09618"/>
    <d v="2025-11-12T00:00:00"/>
    <x v="2"/>
    <x v="44"/>
    <x v="1"/>
    <s v="China"/>
    <x v="9"/>
    <x v="10"/>
    <n v="31808"/>
    <n v="29912"/>
  </r>
  <r>
    <s v="ORD09619"/>
    <d v="2025-11-13T00:00:00"/>
    <x v="2"/>
    <x v="44"/>
    <x v="4"/>
    <s v="Singapore"/>
    <x v="49"/>
    <x v="26"/>
    <n v="16408"/>
    <n v="20038"/>
  </r>
  <r>
    <s v="ORD09620"/>
    <d v="2025-10-15T00:00:00"/>
    <x v="4"/>
    <x v="10"/>
    <x v="3"/>
    <s v="Malaysia"/>
    <x v="40"/>
    <x v="1"/>
    <n v="36409"/>
    <n v="28174"/>
  </r>
  <r>
    <s v="ORD09621"/>
    <d v="2025-10-18T00:00:00"/>
    <x v="4"/>
    <x v="10"/>
    <x v="6"/>
    <s v="UK"/>
    <x v="36"/>
    <x v="11"/>
    <n v="35581"/>
    <n v="38678"/>
  </r>
  <r>
    <s v="ORD09622"/>
    <d v="2025-07-08T00:00:00"/>
    <x v="0"/>
    <x v="47"/>
    <x v="2"/>
    <s v="UK"/>
    <x v="18"/>
    <x v="9"/>
    <n v="37968"/>
    <n v="37779"/>
  </r>
  <r>
    <s v="ORD09623"/>
    <d v="2025-02-07T00:00:00"/>
    <x v="6"/>
    <x v="48"/>
    <x v="5"/>
    <s v="South Africa"/>
    <x v="35"/>
    <x v="5"/>
    <n v="33303"/>
    <n v="25466"/>
  </r>
  <r>
    <s v="ORD09624"/>
    <d v="2025-05-25T00:00:00"/>
    <x v="8"/>
    <x v="26"/>
    <x v="5"/>
    <s v="Thailand"/>
    <x v="39"/>
    <x v="25"/>
    <n v="29008"/>
    <n v="34670"/>
  </r>
  <r>
    <s v="ORD09625"/>
    <d v="2025-06-30T00:00:00"/>
    <x v="5"/>
    <x v="37"/>
    <x v="4"/>
    <s v="Turkey"/>
    <x v="27"/>
    <x v="26"/>
    <n v="32520"/>
    <n v="31855"/>
  </r>
  <r>
    <s v="ORD09626"/>
    <d v="2025-03-30T00:00:00"/>
    <x v="9"/>
    <x v="33"/>
    <x v="2"/>
    <s v="Thailand"/>
    <x v="31"/>
    <x v="10"/>
    <n v="20830"/>
    <n v="23680"/>
  </r>
  <r>
    <s v="ORD09627"/>
    <d v="2025-01-27T00:00:00"/>
    <x v="1"/>
    <x v="3"/>
    <x v="3"/>
    <s v="South Africa"/>
    <x v="19"/>
    <x v="4"/>
    <n v="28650"/>
    <n v="21118"/>
  </r>
  <r>
    <s v="ORD09628"/>
    <d v="2025-06-18T00:00:00"/>
    <x v="5"/>
    <x v="13"/>
    <x v="2"/>
    <s v="India"/>
    <x v="2"/>
    <x v="3"/>
    <n v="17235"/>
    <n v="21294"/>
  </r>
  <r>
    <s v="ORD09629"/>
    <d v="2025-01-23T00:00:00"/>
    <x v="1"/>
    <x v="7"/>
    <x v="4"/>
    <s v="Japan"/>
    <x v="31"/>
    <x v="7"/>
    <n v="23694"/>
    <n v="22064"/>
  </r>
  <r>
    <s v="ORD09630"/>
    <d v="2025-05-10T00:00:00"/>
    <x v="8"/>
    <x v="18"/>
    <x v="1"/>
    <s v="Canada"/>
    <x v="3"/>
    <x v="5"/>
    <n v="19675"/>
    <n v="14070"/>
  </r>
  <r>
    <s v="ORD09631"/>
    <d v="2025-06-19T00:00:00"/>
    <x v="5"/>
    <x v="13"/>
    <x v="6"/>
    <s v="Malaysia"/>
    <x v="4"/>
    <x v="28"/>
    <n v="39321"/>
    <n v="43711"/>
  </r>
  <r>
    <s v="ORD09632"/>
    <d v="2025-05-16T00:00:00"/>
    <x v="8"/>
    <x v="17"/>
    <x v="6"/>
    <s v="Brazil"/>
    <x v="2"/>
    <x v="6"/>
    <n v="17129"/>
    <n v="21529"/>
  </r>
  <r>
    <s v="ORD09633"/>
    <d v="2025-05-13T00:00:00"/>
    <x v="8"/>
    <x v="17"/>
    <x v="0"/>
    <s v="USA"/>
    <x v="24"/>
    <x v="26"/>
    <n v="17515"/>
    <n v="19602"/>
  </r>
  <r>
    <s v="ORD09634"/>
    <d v="2025-04-20T00:00:00"/>
    <x v="7"/>
    <x v="20"/>
    <x v="5"/>
    <s v="India"/>
    <x v="36"/>
    <x v="2"/>
    <n v="17752"/>
    <n v="12829"/>
  </r>
  <r>
    <s v="ORD09635"/>
    <d v="2025-06-24T00:00:00"/>
    <x v="5"/>
    <x v="36"/>
    <x v="2"/>
    <s v="China"/>
    <x v="1"/>
    <x v="25"/>
    <n v="21894"/>
    <n v="16156"/>
  </r>
  <r>
    <s v="ORD09636"/>
    <d v="2025-11-11T00:00:00"/>
    <x v="2"/>
    <x v="44"/>
    <x v="2"/>
    <s v="South Africa"/>
    <x v="34"/>
    <x v="25"/>
    <n v="18197"/>
    <n v="18546"/>
  </r>
  <r>
    <s v="ORD09637"/>
    <d v="2025-03-29T00:00:00"/>
    <x v="9"/>
    <x v="33"/>
    <x v="5"/>
    <s v="Mexico"/>
    <x v="18"/>
    <x v="0"/>
    <n v="28380"/>
    <n v="28474"/>
  </r>
  <r>
    <s v="ORD09638"/>
    <d v="2025-11-16T00:00:00"/>
    <x v="2"/>
    <x v="44"/>
    <x v="0"/>
    <s v="Germany"/>
    <x v="34"/>
    <x v="10"/>
    <n v="17284"/>
    <n v="20817"/>
  </r>
  <r>
    <s v="ORD09639"/>
    <d v="2025-10-16T00:00:00"/>
    <x v="4"/>
    <x v="10"/>
    <x v="4"/>
    <s v="Brazil"/>
    <x v="35"/>
    <x v="25"/>
    <n v="15395"/>
    <n v="12195"/>
  </r>
  <r>
    <s v="ORD09640"/>
    <d v="2025-04-18T00:00:00"/>
    <x v="7"/>
    <x v="20"/>
    <x v="1"/>
    <s v="Malaysia"/>
    <x v="10"/>
    <x v="10"/>
    <n v="19460"/>
    <n v="19876"/>
  </r>
  <r>
    <s v="ORD09641"/>
    <d v="2025-05-31T00:00:00"/>
    <x v="8"/>
    <x v="24"/>
    <x v="4"/>
    <s v="UK"/>
    <x v="38"/>
    <x v="29"/>
    <n v="19951"/>
    <n v="20837"/>
  </r>
  <r>
    <s v="ORD09642"/>
    <d v="2025-10-15T00:00:00"/>
    <x v="4"/>
    <x v="10"/>
    <x v="6"/>
    <s v="China"/>
    <x v="5"/>
    <x v="24"/>
    <n v="22721"/>
    <n v="20379"/>
  </r>
  <r>
    <s v="ORD09643"/>
    <d v="2025-12-14T00:00:00"/>
    <x v="10"/>
    <x v="32"/>
    <x v="0"/>
    <s v="UAE"/>
    <x v="33"/>
    <x v="28"/>
    <n v="32314"/>
    <n v="39236"/>
  </r>
  <r>
    <s v="ORD09644"/>
    <d v="2025-04-24T00:00:00"/>
    <x v="7"/>
    <x v="38"/>
    <x v="0"/>
    <s v="Spain"/>
    <x v="27"/>
    <x v="11"/>
    <n v="34400"/>
    <n v="27892"/>
  </r>
  <r>
    <s v="ORD09645"/>
    <d v="2025-06-27T00:00:00"/>
    <x v="5"/>
    <x v="36"/>
    <x v="3"/>
    <s v="Malaysia"/>
    <x v="19"/>
    <x v="8"/>
    <n v="17203"/>
    <n v="17226"/>
  </r>
  <r>
    <s v="ORD09646"/>
    <d v="2025-05-08T00:00:00"/>
    <x v="8"/>
    <x v="18"/>
    <x v="2"/>
    <s v="India"/>
    <x v="31"/>
    <x v="0"/>
    <n v="20624"/>
    <n v="17420"/>
  </r>
  <r>
    <s v="ORD09647"/>
    <d v="2025-04-13T00:00:00"/>
    <x v="7"/>
    <x v="16"/>
    <x v="6"/>
    <s v="South Africa"/>
    <x v="33"/>
    <x v="20"/>
    <n v="28994"/>
    <n v="32010"/>
  </r>
  <r>
    <s v="ORD09648"/>
    <d v="2025-08-18T00:00:00"/>
    <x v="11"/>
    <x v="46"/>
    <x v="3"/>
    <s v="Italy"/>
    <x v="20"/>
    <x v="20"/>
    <n v="20326"/>
    <n v="23511"/>
  </r>
  <r>
    <s v="ORD09649"/>
    <d v="2025-08-21T00:00:00"/>
    <x v="11"/>
    <x v="46"/>
    <x v="3"/>
    <s v="Russia"/>
    <x v="29"/>
    <x v="17"/>
    <n v="26703"/>
    <n v="22433"/>
  </r>
  <r>
    <s v="ORD09650"/>
    <d v="2025-10-28T00:00:00"/>
    <x v="4"/>
    <x v="2"/>
    <x v="2"/>
    <s v="Japan"/>
    <x v="16"/>
    <x v="12"/>
    <n v="38107"/>
    <n v="44204"/>
  </r>
  <r>
    <s v="ORD09651"/>
    <d v="2025-10-30T00:00:00"/>
    <x v="4"/>
    <x v="2"/>
    <x v="1"/>
    <s v="Russia"/>
    <x v="21"/>
    <x v="7"/>
    <n v="35351"/>
    <n v="27636"/>
  </r>
  <r>
    <s v="ORD09652"/>
    <d v="2025-11-22T00:00:00"/>
    <x v="2"/>
    <x v="9"/>
    <x v="3"/>
    <s v="Brazil"/>
    <x v="22"/>
    <x v="2"/>
    <n v="24239"/>
    <n v="24561"/>
  </r>
  <r>
    <s v="ORD09653"/>
    <d v="2025-02-18T00:00:00"/>
    <x v="6"/>
    <x v="15"/>
    <x v="1"/>
    <s v="UAE"/>
    <x v="38"/>
    <x v="13"/>
    <n v="39384"/>
    <n v="32599"/>
  </r>
  <r>
    <s v="ORD09654"/>
    <d v="2025-12-01T00:00:00"/>
    <x v="10"/>
    <x v="43"/>
    <x v="3"/>
    <s v="UAE"/>
    <x v="29"/>
    <x v="22"/>
    <n v="33645"/>
    <n v="41438"/>
  </r>
  <r>
    <s v="ORD09655"/>
    <d v="2025-12-09T00:00:00"/>
    <x v="10"/>
    <x v="32"/>
    <x v="0"/>
    <s v="Canada"/>
    <x v="8"/>
    <x v="5"/>
    <n v="35671"/>
    <n v="25561"/>
  </r>
  <r>
    <s v="ORD09656"/>
    <d v="2025-11-15T00:00:00"/>
    <x v="2"/>
    <x v="44"/>
    <x v="6"/>
    <s v="South Africa"/>
    <x v="47"/>
    <x v="7"/>
    <n v="16058"/>
    <n v="20624"/>
  </r>
  <r>
    <s v="ORD09657"/>
    <d v="2025-11-12T00:00:00"/>
    <x v="2"/>
    <x v="44"/>
    <x v="4"/>
    <s v="China"/>
    <x v="9"/>
    <x v="27"/>
    <n v="24474"/>
    <n v="30921"/>
  </r>
  <r>
    <s v="ORD09658"/>
    <d v="2025-09-14T00:00:00"/>
    <x v="3"/>
    <x v="31"/>
    <x v="4"/>
    <s v="UAE"/>
    <x v="35"/>
    <x v="1"/>
    <n v="24364"/>
    <n v="30108"/>
  </r>
  <r>
    <s v="ORD09659"/>
    <d v="2025-01-02T00:00:00"/>
    <x v="1"/>
    <x v="5"/>
    <x v="0"/>
    <s v="Italy"/>
    <x v="34"/>
    <x v="7"/>
    <n v="22764"/>
    <n v="21392"/>
  </r>
  <r>
    <s v="ORD09660"/>
    <d v="2025-06-01T00:00:00"/>
    <x v="5"/>
    <x v="24"/>
    <x v="0"/>
    <s v="South Africa"/>
    <x v="17"/>
    <x v="29"/>
    <n v="24511"/>
    <n v="20938"/>
  </r>
  <r>
    <s v="ORD09661"/>
    <d v="2025-01-08T00:00:00"/>
    <x v="1"/>
    <x v="6"/>
    <x v="2"/>
    <s v="India"/>
    <x v="3"/>
    <x v="28"/>
    <n v="36754"/>
    <n v="30948"/>
  </r>
  <r>
    <s v="ORD09662"/>
    <d v="2025-03-04T00:00:00"/>
    <x v="9"/>
    <x v="35"/>
    <x v="6"/>
    <s v="UK"/>
    <x v="26"/>
    <x v="22"/>
    <n v="26952"/>
    <n v="27752"/>
  </r>
  <r>
    <s v="ORD09663"/>
    <d v="2025-04-11T00:00:00"/>
    <x v="7"/>
    <x v="16"/>
    <x v="0"/>
    <s v="UAE"/>
    <x v="10"/>
    <x v="25"/>
    <n v="19789"/>
    <n v="19789"/>
  </r>
  <r>
    <s v="ORD09664"/>
    <d v="2025-10-04T00:00:00"/>
    <x v="4"/>
    <x v="49"/>
    <x v="1"/>
    <s v="USA"/>
    <x v="27"/>
    <x v="14"/>
    <n v="15176"/>
    <n v="13947"/>
  </r>
  <r>
    <s v="ORD09665"/>
    <d v="2025-09-23T00:00:00"/>
    <x v="3"/>
    <x v="25"/>
    <x v="6"/>
    <s v="Italy"/>
    <x v="36"/>
    <x v="23"/>
    <n v="15983"/>
    <n v="18692"/>
  </r>
  <r>
    <s v="ORD09666"/>
    <d v="2025-10-10T00:00:00"/>
    <x v="4"/>
    <x v="45"/>
    <x v="5"/>
    <s v="Australia"/>
    <x v="33"/>
    <x v="21"/>
    <n v="24520"/>
    <n v="22050"/>
  </r>
  <r>
    <s v="ORD09667"/>
    <d v="2025-10-30T00:00:00"/>
    <x v="4"/>
    <x v="2"/>
    <x v="1"/>
    <s v="South Africa"/>
    <x v="9"/>
    <x v="11"/>
    <n v="33381"/>
    <n v="35909"/>
  </r>
  <r>
    <s v="ORD09668"/>
    <d v="2025-07-03T00:00:00"/>
    <x v="0"/>
    <x v="37"/>
    <x v="6"/>
    <s v="Spain"/>
    <x v="19"/>
    <x v="12"/>
    <n v="22611"/>
    <n v="25889"/>
  </r>
  <r>
    <s v="ORD09669"/>
    <d v="2025-06-12T00:00:00"/>
    <x v="5"/>
    <x v="40"/>
    <x v="2"/>
    <s v="Canada"/>
    <x v="23"/>
    <x v="27"/>
    <n v="20247"/>
    <n v="23567"/>
  </r>
  <r>
    <s v="ORD09670"/>
    <d v="2025-09-05T00:00:00"/>
    <x v="3"/>
    <x v="4"/>
    <x v="1"/>
    <s v="Japan"/>
    <x v="22"/>
    <x v="26"/>
    <n v="27960"/>
    <n v="28652"/>
  </r>
  <r>
    <s v="ORD09671"/>
    <d v="2025-03-01T00:00:00"/>
    <x v="9"/>
    <x v="22"/>
    <x v="3"/>
    <s v="Turkey"/>
    <x v="18"/>
    <x v="8"/>
    <n v="31600"/>
    <n v="40300"/>
  </r>
  <r>
    <s v="ORD09672"/>
    <d v="2025-03-01T00:00:00"/>
    <x v="9"/>
    <x v="22"/>
    <x v="2"/>
    <s v="Japan"/>
    <x v="28"/>
    <x v="10"/>
    <n v="19293"/>
    <n v="13877"/>
  </r>
  <r>
    <s v="ORD09673"/>
    <d v="2025-12-28T00:00:00"/>
    <x v="10"/>
    <x v="42"/>
    <x v="0"/>
    <s v="UK"/>
    <x v="49"/>
    <x v="0"/>
    <n v="32230"/>
    <n v="26063"/>
  </r>
  <r>
    <s v="ORD09674"/>
    <d v="2025-12-21T00:00:00"/>
    <x v="10"/>
    <x v="21"/>
    <x v="2"/>
    <s v="USA"/>
    <x v="15"/>
    <x v="28"/>
    <n v="31955"/>
    <n v="33630"/>
  </r>
  <r>
    <s v="ORD09675"/>
    <d v="2025-12-16T00:00:00"/>
    <x v="10"/>
    <x v="21"/>
    <x v="6"/>
    <s v="Thailand"/>
    <x v="31"/>
    <x v="14"/>
    <n v="39952"/>
    <n v="34570"/>
  </r>
  <r>
    <s v="ORD09676"/>
    <d v="2025-03-05T00:00:00"/>
    <x v="9"/>
    <x v="35"/>
    <x v="2"/>
    <s v="Malaysia"/>
    <x v="4"/>
    <x v="3"/>
    <n v="29581"/>
    <n v="31760"/>
  </r>
  <r>
    <s v="ORD09677"/>
    <d v="2025-09-14T00:00:00"/>
    <x v="3"/>
    <x v="31"/>
    <x v="1"/>
    <s v="UAE"/>
    <x v="24"/>
    <x v="28"/>
    <n v="15115"/>
    <n v="17294"/>
  </r>
  <r>
    <s v="ORD09678"/>
    <d v="2025-07-11T00:00:00"/>
    <x v="0"/>
    <x v="47"/>
    <x v="2"/>
    <s v="USA"/>
    <x v="47"/>
    <x v="10"/>
    <n v="20206"/>
    <n v="16367"/>
  </r>
  <r>
    <s v="ORD09679"/>
    <d v="2025-12-23T00:00:00"/>
    <x v="10"/>
    <x v="42"/>
    <x v="6"/>
    <s v="Brazil"/>
    <x v="36"/>
    <x v="5"/>
    <n v="37481"/>
    <n v="32565"/>
  </r>
  <r>
    <s v="ORD09680"/>
    <d v="2025-03-01T00:00:00"/>
    <x v="9"/>
    <x v="22"/>
    <x v="1"/>
    <s v="Mexico"/>
    <x v="32"/>
    <x v="10"/>
    <n v="32717"/>
    <n v="42398"/>
  </r>
  <r>
    <s v="ORD09681"/>
    <d v="2025-01-07T00:00:00"/>
    <x v="1"/>
    <x v="6"/>
    <x v="6"/>
    <s v="UAE"/>
    <x v="43"/>
    <x v="1"/>
    <n v="24518"/>
    <n v="28605"/>
  </r>
  <r>
    <s v="ORD09682"/>
    <d v="2025-06-15T00:00:00"/>
    <x v="5"/>
    <x v="40"/>
    <x v="3"/>
    <s v="Russia"/>
    <x v="42"/>
    <x v="4"/>
    <n v="15536"/>
    <n v="12245"/>
  </r>
  <r>
    <s v="ORD09683"/>
    <d v="2025-03-12T00:00:00"/>
    <x v="9"/>
    <x v="19"/>
    <x v="1"/>
    <s v="Mexico"/>
    <x v="9"/>
    <x v="29"/>
    <n v="33515"/>
    <n v="35509"/>
  </r>
  <r>
    <s v="ORD09684"/>
    <d v="2025-08-18T00:00:00"/>
    <x v="11"/>
    <x v="46"/>
    <x v="2"/>
    <s v="UAE"/>
    <x v="34"/>
    <x v="7"/>
    <n v="21780"/>
    <n v="16998"/>
  </r>
  <r>
    <s v="ORD09685"/>
    <d v="2025-10-10T00:00:00"/>
    <x v="4"/>
    <x v="45"/>
    <x v="4"/>
    <s v="UAE"/>
    <x v="39"/>
    <x v="24"/>
    <n v="30222"/>
    <n v="28100"/>
  </r>
  <r>
    <s v="ORD09686"/>
    <d v="2025-09-27T00:00:00"/>
    <x v="3"/>
    <x v="25"/>
    <x v="4"/>
    <s v="Italy"/>
    <x v="12"/>
    <x v="24"/>
    <n v="29186"/>
    <n v="28435"/>
  </r>
  <r>
    <s v="ORD09687"/>
    <d v="2025-05-21T00:00:00"/>
    <x v="8"/>
    <x v="26"/>
    <x v="6"/>
    <s v="Turkey"/>
    <x v="19"/>
    <x v="22"/>
    <n v="37362"/>
    <n v="29865"/>
  </r>
  <r>
    <s v="ORD09688"/>
    <d v="2025-03-23T00:00:00"/>
    <x v="9"/>
    <x v="39"/>
    <x v="6"/>
    <s v="Germany"/>
    <x v="39"/>
    <x v="6"/>
    <n v="17391"/>
    <n v="17531"/>
  </r>
  <r>
    <s v="ORD09689"/>
    <d v="2025-05-21T00:00:00"/>
    <x v="8"/>
    <x v="26"/>
    <x v="1"/>
    <s v="South Africa"/>
    <x v="16"/>
    <x v="16"/>
    <n v="18584"/>
    <n v="18293"/>
  </r>
  <r>
    <s v="ORD09690"/>
    <d v="2025-03-23T00:00:00"/>
    <x v="9"/>
    <x v="39"/>
    <x v="2"/>
    <s v="Germany"/>
    <x v="14"/>
    <x v="1"/>
    <n v="18611"/>
    <n v="23853"/>
  </r>
  <r>
    <s v="ORD09691"/>
    <d v="2025-11-01T00:00:00"/>
    <x v="2"/>
    <x v="2"/>
    <x v="2"/>
    <s v="Japan"/>
    <x v="19"/>
    <x v="12"/>
    <n v="35442"/>
    <n v="30979"/>
  </r>
  <r>
    <s v="ORD09692"/>
    <d v="2025-09-08T00:00:00"/>
    <x v="3"/>
    <x v="31"/>
    <x v="6"/>
    <s v="Australia"/>
    <x v="5"/>
    <x v="0"/>
    <n v="30698"/>
    <n v="22807"/>
  </r>
  <r>
    <s v="ORD09693"/>
    <d v="2025-01-24T00:00:00"/>
    <x v="1"/>
    <x v="7"/>
    <x v="2"/>
    <s v="Thailand"/>
    <x v="21"/>
    <x v="18"/>
    <n v="37094"/>
    <n v="45888"/>
  </r>
  <r>
    <s v="ORD09694"/>
    <d v="2025-05-06T00:00:00"/>
    <x v="8"/>
    <x v="18"/>
    <x v="4"/>
    <s v="Russia"/>
    <x v="8"/>
    <x v="7"/>
    <n v="30058"/>
    <n v="38393"/>
  </r>
  <r>
    <s v="ORD09695"/>
    <d v="2025-05-11T00:00:00"/>
    <x v="8"/>
    <x v="18"/>
    <x v="0"/>
    <s v="China"/>
    <x v="41"/>
    <x v="0"/>
    <n v="17994"/>
    <n v="21329"/>
  </r>
  <r>
    <s v="ORD09696"/>
    <d v="2025-04-29T00:00:00"/>
    <x v="7"/>
    <x v="27"/>
    <x v="4"/>
    <s v="Russia"/>
    <x v="48"/>
    <x v="12"/>
    <n v="31395"/>
    <n v="40133"/>
  </r>
  <r>
    <s v="ORD09697"/>
    <d v="2025-05-21T00:00:00"/>
    <x v="8"/>
    <x v="26"/>
    <x v="5"/>
    <s v="Germany"/>
    <x v="1"/>
    <x v="27"/>
    <n v="19853"/>
    <n v="14280"/>
  </r>
  <r>
    <s v="ORD09698"/>
    <d v="2025-12-18T00:00:00"/>
    <x v="10"/>
    <x v="21"/>
    <x v="2"/>
    <s v="Japan"/>
    <x v="7"/>
    <x v="7"/>
    <n v="39540"/>
    <n v="43227"/>
  </r>
  <r>
    <s v="ORD09699"/>
    <d v="2025-11-12T00:00:00"/>
    <x v="2"/>
    <x v="44"/>
    <x v="2"/>
    <s v="Singapore"/>
    <x v="2"/>
    <x v="23"/>
    <n v="18591"/>
    <n v="21285"/>
  </r>
  <r>
    <s v="ORD09700"/>
    <d v="2025-12-08T00:00:00"/>
    <x v="10"/>
    <x v="32"/>
    <x v="6"/>
    <s v="Malaysia"/>
    <x v="5"/>
    <x v="22"/>
    <n v="20935"/>
    <n v="20713"/>
  </r>
  <r>
    <s v="ORD09701"/>
    <d v="2025-04-30T00:00:00"/>
    <x v="7"/>
    <x v="27"/>
    <x v="6"/>
    <s v="Russia"/>
    <x v="0"/>
    <x v="7"/>
    <n v="30425"/>
    <n v="31759"/>
  </r>
  <r>
    <s v="ORD09702"/>
    <d v="2025-04-01T00:00:00"/>
    <x v="7"/>
    <x v="34"/>
    <x v="0"/>
    <s v="Malaysia"/>
    <x v="49"/>
    <x v="28"/>
    <n v="18422"/>
    <n v="16404"/>
  </r>
  <r>
    <s v="ORD09703"/>
    <d v="2025-11-14T00:00:00"/>
    <x v="2"/>
    <x v="44"/>
    <x v="4"/>
    <s v="Australia"/>
    <x v="48"/>
    <x v="20"/>
    <n v="35779"/>
    <n v="37503"/>
  </r>
  <r>
    <s v="ORD09704"/>
    <d v="2025-06-29T00:00:00"/>
    <x v="5"/>
    <x v="36"/>
    <x v="2"/>
    <s v="India"/>
    <x v="14"/>
    <x v="14"/>
    <n v="39073"/>
    <n v="28483"/>
  </r>
  <r>
    <s v="ORD09705"/>
    <d v="2025-03-08T00:00:00"/>
    <x v="9"/>
    <x v="35"/>
    <x v="6"/>
    <s v="Australia"/>
    <x v="27"/>
    <x v="29"/>
    <n v="23275"/>
    <n v="22376"/>
  </r>
  <r>
    <s v="ORD09706"/>
    <d v="2025-10-30T00:00:00"/>
    <x v="4"/>
    <x v="2"/>
    <x v="1"/>
    <s v="Spain"/>
    <x v="47"/>
    <x v="20"/>
    <n v="23697"/>
    <n v="20426"/>
  </r>
  <r>
    <s v="ORD09707"/>
    <d v="2025-09-27T00:00:00"/>
    <x v="3"/>
    <x v="25"/>
    <x v="0"/>
    <s v="Japan"/>
    <x v="26"/>
    <x v="22"/>
    <n v="39658"/>
    <n v="50085"/>
  </r>
  <r>
    <s v="ORD09708"/>
    <d v="2025-11-03T00:00:00"/>
    <x v="2"/>
    <x v="51"/>
    <x v="3"/>
    <s v="Malaysia"/>
    <x v="45"/>
    <x v="16"/>
    <n v="39824"/>
    <n v="47545"/>
  </r>
  <r>
    <s v="ORD09709"/>
    <d v="2025-06-21T00:00:00"/>
    <x v="5"/>
    <x v="13"/>
    <x v="5"/>
    <s v="Brazil"/>
    <x v="13"/>
    <x v="24"/>
    <n v="27493"/>
    <n v="22074"/>
  </r>
  <r>
    <s v="ORD09710"/>
    <d v="2025-06-26T00:00:00"/>
    <x v="5"/>
    <x v="36"/>
    <x v="5"/>
    <s v="France"/>
    <x v="31"/>
    <x v="15"/>
    <n v="17742"/>
    <n v="16389"/>
  </r>
  <r>
    <s v="ORD09711"/>
    <d v="2025-01-17T00:00:00"/>
    <x v="1"/>
    <x v="1"/>
    <x v="2"/>
    <s v="USA"/>
    <x v="8"/>
    <x v="10"/>
    <n v="28117"/>
    <n v="24866"/>
  </r>
  <r>
    <s v="ORD09712"/>
    <d v="2025-10-10T00:00:00"/>
    <x v="4"/>
    <x v="45"/>
    <x v="3"/>
    <s v="Spain"/>
    <x v="27"/>
    <x v="6"/>
    <n v="37625"/>
    <n v="33534"/>
  </r>
  <r>
    <s v="ORD09713"/>
    <d v="2025-01-14T00:00:00"/>
    <x v="1"/>
    <x v="1"/>
    <x v="0"/>
    <s v="India"/>
    <x v="10"/>
    <x v="21"/>
    <n v="31617"/>
    <n v="22249"/>
  </r>
  <r>
    <s v="ORD09714"/>
    <d v="2025-10-02T00:00:00"/>
    <x v="4"/>
    <x v="49"/>
    <x v="5"/>
    <s v="USA"/>
    <x v="46"/>
    <x v="22"/>
    <n v="24029"/>
    <n v="22157"/>
  </r>
  <r>
    <s v="ORD09715"/>
    <d v="2025-01-29T00:00:00"/>
    <x v="1"/>
    <x v="3"/>
    <x v="0"/>
    <s v="Germany"/>
    <x v="35"/>
    <x v="14"/>
    <n v="25504"/>
    <n v="30354"/>
  </r>
  <r>
    <s v="ORD09716"/>
    <d v="2025-07-26T00:00:00"/>
    <x v="0"/>
    <x v="0"/>
    <x v="3"/>
    <s v="Russia"/>
    <x v="25"/>
    <x v="0"/>
    <n v="26086"/>
    <n v="29434"/>
  </r>
  <r>
    <s v="ORD09717"/>
    <d v="2025-04-10T00:00:00"/>
    <x v="7"/>
    <x v="16"/>
    <x v="0"/>
    <s v="China"/>
    <x v="37"/>
    <x v="2"/>
    <n v="27046"/>
    <n v="21430"/>
  </r>
  <r>
    <s v="ORD09718"/>
    <d v="2025-05-28T00:00:00"/>
    <x v="8"/>
    <x v="24"/>
    <x v="6"/>
    <s v="Brazil"/>
    <x v="36"/>
    <x v="28"/>
    <n v="22518"/>
    <n v="20744"/>
  </r>
  <r>
    <s v="ORD09719"/>
    <d v="2025-12-25T00:00:00"/>
    <x v="10"/>
    <x v="42"/>
    <x v="3"/>
    <s v="Australia"/>
    <x v="5"/>
    <x v="11"/>
    <n v="21307"/>
    <n v="15964"/>
  </r>
  <r>
    <s v="ORD09720"/>
    <d v="2025-04-08T00:00:00"/>
    <x v="7"/>
    <x v="16"/>
    <x v="5"/>
    <s v="Turkey"/>
    <x v="34"/>
    <x v="20"/>
    <n v="38452"/>
    <n v="33119"/>
  </r>
  <r>
    <s v="ORD09721"/>
    <d v="2025-10-11T00:00:00"/>
    <x v="4"/>
    <x v="45"/>
    <x v="4"/>
    <s v="France"/>
    <x v="23"/>
    <x v="2"/>
    <n v="24253"/>
    <n v="24718"/>
  </r>
  <r>
    <s v="ORD09722"/>
    <d v="2025-08-30T00:00:00"/>
    <x v="11"/>
    <x v="28"/>
    <x v="0"/>
    <s v="Turkey"/>
    <x v="34"/>
    <x v="12"/>
    <n v="25383"/>
    <n v="20633"/>
  </r>
  <r>
    <s v="ORD09723"/>
    <d v="2025-12-15T00:00:00"/>
    <x v="10"/>
    <x v="21"/>
    <x v="2"/>
    <s v="Mexico"/>
    <x v="11"/>
    <x v="16"/>
    <n v="15528"/>
    <n v="18993"/>
  </r>
  <r>
    <s v="ORD09724"/>
    <d v="2025-11-13T00:00:00"/>
    <x v="2"/>
    <x v="44"/>
    <x v="4"/>
    <s v="Turkey"/>
    <x v="19"/>
    <x v="10"/>
    <n v="27101"/>
    <n v="34412"/>
  </r>
  <r>
    <s v="ORD09725"/>
    <d v="2025-12-10T00:00:00"/>
    <x v="10"/>
    <x v="32"/>
    <x v="2"/>
    <s v="Mexico"/>
    <x v="46"/>
    <x v="16"/>
    <n v="38131"/>
    <n v="33560"/>
  </r>
  <r>
    <s v="ORD09726"/>
    <d v="2025-05-13T00:00:00"/>
    <x v="8"/>
    <x v="17"/>
    <x v="6"/>
    <s v="Russia"/>
    <x v="17"/>
    <x v="27"/>
    <n v="28410"/>
    <n v="27423"/>
  </r>
  <r>
    <s v="ORD09727"/>
    <d v="2025-03-22T00:00:00"/>
    <x v="9"/>
    <x v="39"/>
    <x v="0"/>
    <s v="UK"/>
    <x v="48"/>
    <x v="22"/>
    <n v="17821"/>
    <n v="19122"/>
  </r>
  <r>
    <s v="ORD09728"/>
    <d v="2025-01-28T00:00:00"/>
    <x v="1"/>
    <x v="3"/>
    <x v="3"/>
    <s v="Mexico"/>
    <x v="48"/>
    <x v="27"/>
    <n v="38672"/>
    <n v="37005"/>
  </r>
  <r>
    <s v="ORD09729"/>
    <d v="2025-02-17T00:00:00"/>
    <x v="6"/>
    <x v="15"/>
    <x v="3"/>
    <s v="South Africa"/>
    <x v="31"/>
    <x v="21"/>
    <n v="35009"/>
    <n v="32673"/>
  </r>
  <r>
    <s v="ORD09730"/>
    <d v="2025-11-02T00:00:00"/>
    <x v="2"/>
    <x v="2"/>
    <x v="3"/>
    <s v="Mexico"/>
    <x v="1"/>
    <x v="1"/>
    <n v="25607"/>
    <n v="17998"/>
  </r>
  <r>
    <s v="ORD09731"/>
    <d v="2025-06-15T00:00:00"/>
    <x v="5"/>
    <x v="40"/>
    <x v="2"/>
    <s v="Australia"/>
    <x v="11"/>
    <x v="11"/>
    <n v="34741"/>
    <n v="26158"/>
  </r>
  <r>
    <s v="ORD09732"/>
    <d v="2025-04-01T00:00:00"/>
    <x v="7"/>
    <x v="34"/>
    <x v="2"/>
    <s v="USA"/>
    <x v="0"/>
    <x v="23"/>
    <n v="32028"/>
    <n v="39759"/>
  </r>
  <r>
    <s v="ORD09733"/>
    <d v="2025-11-13T00:00:00"/>
    <x v="2"/>
    <x v="44"/>
    <x v="5"/>
    <s v="Brazil"/>
    <x v="25"/>
    <x v="15"/>
    <n v="31502"/>
    <n v="26765"/>
  </r>
  <r>
    <s v="ORD09734"/>
    <d v="2025-11-22T00:00:00"/>
    <x v="2"/>
    <x v="9"/>
    <x v="0"/>
    <s v="Thailand"/>
    <x v="11"/>
    <x v="4"/>
    <n v="21641"/>
    <n v="22747"/>
  </r>
  <r>
    <s v="ORD09735"/>
    <d v="2025-11-19T00:00:00"/>
    <x v="2"/>
    <x v="9"/>
    <x v="4"/>
    <s v="Japan"/>
    <x v="14"/>
    <x v="7"/>
    <n v="24786"/>
    <n v="29262"/>
  </r>
  <r>
    <s v="ORD09736"/>
    <d v="2025-01-23T00:00:00"/>
    <x v="1"/>
    <x v="7"/>
    <x v="6"/>
    <s v="UAE"/>
    <x v="25"/>
    <x v="29"/>
    <n v="37930"/>
    <n v="43638"/>
  </r>
  <r>
    <s v="ORD09737"/>
    <d v="2025-08-19T00:00:00"/>
    <x v="11"/>
    <x v="46"/>
    <x v="0"/>
    <s v="Canada"/>
    <x v="1"/>
    <x v="14"/>
    <n v="16022"/>
    <n v="19112"/>
  </r>
  <r>
    <s v="ORD09738"/>
    <d v="2025-07-11T00:00:00"/>
    <x v="0"/>
    <x v="47"/>
    <x v="3"/>
    <s v="Thailand"/>
    <x v="26"/>
    <x v="1"/>
    <n v="37869"/>
    <n v="34122"/>
  </r>
  <r>
    <s v="ORD09739"/>
    <d v="2025-12-03T00:00:00"/>
    <x v="10"/>
    <x v="43"/>
    <x v="4"/>
    <s v="Russia"/>
    <x v="5"/>
    <x v="23"/>
    <n v="19073"/>
    <n v="18754"/>
  </r>
  <r>
    <s v="ORD09740"/>
    <d v="2025-04-04T00:00:00"/>
    <x v="7"/>
    <x v="34"/>
    <x v="4"/>
    <s v="USA"/>
    <x v="2"/>
    <x v="10"/>
    <n v="22059"/>
    <n v="15926"/>
  </r>
  <r>
    <s v="ORD09741"/>
    <d v="2025-07-27T00:00:00"/>
    <x v="0"/>
    <x v="0"/>
    <x v="3"/>
    <s v="Thailand"/>
    <x v="5"/>
    <x v="0"/>
    <n v="38832"/>
    <n v="30624"/>
  </r>
  <r>
    <s v="ORD09742"/>
    <d v="2025-01-03T00:00:00"/>
    <x v="1"/>
    <x v="5"/>
    <x v="0"/>
    <s v="Canada"/>
    <x v="21"/>
    <x v="7"/>
    <n v="22469"/>
    <n v="26629"/>
  </r>
  <r>
    <s v="ORD09743"/>
    <d v="2025-07-26T00:00:00"/>
    <x v="0"/>
    <x v="0"/>
    <x v="6"/>
    <s v="Russia"/>
    <x v="16"/>
    <x v="18"/>
    <n v="32193"/>
    <n v="41816"/>
  </r>
  <r>
    <s v="ORD09744"/>
    <d v="2025-01-19T00:00:00"/>
    <x v="1"/>
    <x v="1"/>
    <x v="2"/>
    <s v="Canada"/>
    <x v="9"/>
    <x v="10"/>
    <n v="15995"/>
    <n v="18477"/>
  </r>
  <r>
    <s v="ORD09745"/>
    <d v="2025-07-16T00:00:00"/>
    <x v="0"/>
    <x v="14"/>
    <x v="5"/>
    <s v="China"/>
    <x v="0"/>
    <x v="21"/>
    <n v="35567"/>
    <n v="37012"/>
  </r>
  <r>
    <s v="ORD09746"/>
    <d v="2025-10-25T00:00:00"/>
    <x v="4"/>
    <x v="50"/>
    <x v="4"/>
    <s v="China"/>
    <x v="32"/>
    <x v="16"/>
    <n v="29760"/>
    <n v="34592"/>
  </r>
  <r>
    <s v="ORD09747"/>
    <d v="2025-11-05T00:00:00"/>
    <x v="2"/>
    <x v="51"/>
    <x v="1"/>
    <s v="South Africa"/>
    <x v="42"/>
    <x v="29"/>
    <n v="35874"/>
    <n v="36802"/>
  </r>
  <r>
    <s v="ORD09748"/>
    <d v="2025-11-23T00:00:00"/>
    <x v="2"/>
    <x v="9"/>
    <x v="1"/>
    <s v="Mexico"/>
    <x v="16"/>
    <x v="1"/>
    <n v="31095"/>
    <n v="39464"/>
  </r>
  <r>
    <s v="ORD09749"/>
    <d v="2025-04-09T00:00:00"/>
    <x v="7"/>
    <x v="16"/>
    <x v="1"/>
    <s v="China"/>
    <x v="6"/>
    <x v="14"/>
    <n v="29479"/>
    <n v="32324"/>
  </r>
  <r>
    <s v="ORD09750"/>
    <d v="2025-01-27T00:00:00"/>
    <x v="1"/>
    <x v="3"/>
    <x v="6"/>
    <s v="UK"/>
    <x v="36"/>
    <x v="6"/>
    <n v="24735"/>
    <n v="18291"/>
  </r>
  <r>
    <s v="ORD09751"/>
    <d v="2025-06-15T00:00:00"/>
    <x v="5"/>
    <x v="40"/>
    <x v="3"/>
    <s v="Brazil"/>
    <x v="36"/>
    <x v="9"/>
    <n v="15190"/>
    <n v="13333"/>
  </r>
  <r>
    <s v="ORD09752"/>
    <d v="2025-08-28T00:00:00"/>
    <x v="11"/>
    <x v="28"/>
    <x v="4"/>
    <s v="France"/>
    <x v="11"/>
    <x v="13"/>
    <n v="31818"/>
    <n v="30320"/>
  </r>
  <r>
    <s v="ORD09753"/>
    <d v="2025-11-13T00:00:00"/>
    <x v="2"/>
    <x v="44"/>
    <x v="1"/>
    <s v="USA"/>
    <x v="34"/>
    <x v="21"/>
    <n v="30082"/>
    <n v="38233"/>
  </r>
  <r>
    <s v="ORD09754"/>
    <d v="2025-01-19T00:00:00"/>
    <x v="1"/>
    <x v="1"/>
    <x v="5"/>
    <s v="Australia"/>
    <x v="6"/>
    <x v="12"/>
    <n v="19821"/>
    <n v="22558"/>
  </r>
  <r>
    <s v="ORD09755"/>
    <d v="2025-05-18T00:00:00"/>
    <x v="8"/>
    <x v="17"/>
    <x v="6"/>
    <s v="South Africa"/>
    <x v="13"/>
    <x v="10"/>
    <n v="32536"/>
    <n v="27449"/>
  </r>
  <r>
    <s v="ORD09756"/>
    <d v="2025-05-06T00:00:00"/>
    <x v="8"/>
    <x v="18"/>
    <x v="0"/>
    <s v="Italy"/>
    <x v="8"/>
    <x v="16"/>
    <n v="20758"/>
    <n v="26761"/>
  </r>
  <r>
    <s v="ORD09757"/>
    <d v="2025-09-01T00:00:00"/>
    <x v="3"/>
    <x v="4"/>
    <x v="3"/>
    <s v="UK"/>
    <x v="1"/>
    <x v="28"/>
    <n v="37477"/>
    <n v="42131"/>
  </r>
  <r>
    <s v="ORD09758"/>
    <d v="2025-02-06T00:00:00"/>
    <x v="6"/>
    <x v="48"/>
    <x v="4"/>
    <s v="France"/>
    <x v="11"/>
    <x v="17"/>
    <n v="18903"/>
    <n v="21099"/>
  </r>
  <r>
    <s v="ORD09759"/>
    <d v="2025-01-27T00:00:00"/>
    <x v="1"/>
    <x v="3"/>
    <x v="1"/>
    <s v="Mexico"/>
    <x v="38"/>
    <x v="27"/>
    <n v="37855"/>
    <n v="40784"/>
  </r>
  <r>
    <s v="ORD09760"/>
    <d v="2025-08-12T00:00:00"/>
    <x v="11"/>
    <x v="30"/>
    <x v="2"/>
    <s v="Mexico"/>
    <x v="43"/>
    <x v="11"/>
    <n v="39884"/>
    <n v="35217"/>
  </r>
  <r>
    <s v="ORD09761"/>
    <d v="2025-04-21T00:00:00"/>
    <x v="7"/>
    <x v="38"/>
    <x v="5"/>
    <s v="Italy"/>
    <x v="31"/>
    <x v="2"/>
    <n v="17451"/>
    <n v="20598"/>
  </r>
  <r>
    <s v="ORD09762"/>
    <d v="2025-02-20T00:00:00"/>
    <x v="6"/>
    <x v="15"/>
    <x v="6"/>
    <s v="UAE"/>
    <x v="12"/>
    <x v="13"/>
    <n v="23136"/>
    <n v="20441"/>
  </r>
  <r>
    <s v="ORD09763"/>
    <d v="2025-01-25T00:00:00"/>
    <x v="1"/>
    <x v="7"/>
    <x v="2"/>
    <s v="China"/>
    <x v="40"/>
    <x v="21"/>
    <n v="36727"/>
    <n v="33491"/>
  </r>
  <r>
    <s v="ORD09764"/>
    <d v="2025-10-04T00:00:00"/>
    <x v="4"/>
    <x v="49"/>
    <x v="4"/>
    <s v="Brazil"/>
    <x v="9"/>
    <x v="4"/>
    <n v="32231"/>
    <n v="34965"/>
  </r>
  <r>
    <s v="ORD09765"/>
    <d v="2025-07-11T00:00:00"/>
    <x v="0"/>
    <x v="47"/>
    <x v="6"/>
    <s v="Japan"/>
    <x v="18"/>
    <x v="5"/>
    <n v="21721"/>
    <n v="18730"/>
  </r>
  <r>
    <s v="ORD09766"/>
    <d v="2025-11-10T00:00:00"/>
    <x v="2"/>
    <x v="44"/>
    <x v="5"/>
    <s v="UK"/>
    <x v="46"/>
    <x v="13"/>
    <n v="28419"/>
    <n v="29348"/>
  </r>
  <r>
    <s v="ORD09767"/>
    <d v="2025-03-17T00:00:00"/>
    <x v="9"/>
    <x v="39"/>
    <x v="5"/>
    <s v="Malaysia"/>
    <x v="5"/>
    <x v="27"/>
    <n v="26891"/>
    <n v="28019"/>
  </r>
  <r>
    <s v="ORD09768"/>
    <d v="2025-03-30T00:00:00"/>
    <x v="9"/>
    <x v="33"/>
    <x v="2"/>
    <s v="Canada"/>
    <x v="41"/>
    <x v="23"/>
    <n v="17153"/>
    <n v="18243"/>
  </r>
  <r>
    <s v="ORD09769"/>
    <d v="2025-11-11T00:00:00"/>
    <x v="2"/>
    <x v="44"/>
    <x v="4"/>
    <s v="Mexico"/>
    <x v="39"/>
    <x v="11"/>
    <n v="30114"/>
    <n v="31369"/>
  </r>
  <r>
    <s v="ORD09770"/>
    <d v="2025-10-02T00:00:00"/>
    <x v="4"/>
    <x v="49"/>
    <x v="4"/>
    <s v="Mexico"/>
    <x v="29"/>
    <x v="8"/>
    <n v="34956"/>
    <n v="31340"/>
  </r>
  <r>
    <s v="ORD09771"/>
    <d v="2025-09-22T00:00:00"/>
    <x v="3"/>
    <x v="25"/>
    <x v="0"/>
    <s v="USA"/>
    <x v="34"/>
    <x v="6"/>
    <n v="26001"/>
    <n v="21086"/>
  </r>
  <r>
    <s v="ORD09772"/>
    <d v="2025-05-08T00:00:00"/>
    <x v="8"/>
    <x v="18"/>
    <x v="2"/>
    <s v="Thailand"/>
    <x v="30"/>
    <x v="18"/>
    <n v="21775"/>
    <n v="26706"/>
  </r>
  <r>
    <s v="ORD09773"/>
    <d v="2025-07-11T00:00:00"/>
    <x v="0"/>
    <x v="47"/>
    <x v="2"/>
    <s v="USA"/>
    <x v="6"/>
    <x v="7"/>
    <n v="25973"/>
    <n v="30999"/>
  </r>
  <r>
    <s v="ORD09774"/>
    <d v="2025-10-05T00:00:00"/>
    <x v="4"/>
    <x v="49"/>
    <x v="2"/>
    <s v="China"/>
    <x v="48"/>
    <x v="8"/>
    <n v="29484"/>
    <n v="33773"/>
  </r>
  <r>
    <s v="ORD09775"/>
    <d v="2025-11-23T00:00:00"/>
    <x v="2"/>
    <x v="9"/>
    <x v="3"/>
    <s v="Singapore"/>
    <x v="38"/>
    <x v="5"/>
    <n v="28775"/>
    <n v="31587"/>
  </r>
  <r>
    <s v="ORD09776"/>
    <d v="2025-11-06T00:00:00"/>
    <x v="2"/>
    <x v="51"/>
    <x v="2"/>
    <s v="Singapore"/>
    <x v="43"/>
    <x v="22"/>
    <n v="18519"/>
    <n v="17356"/>
  </r>
  <r>
    <s v="ORD09777"/>
    <d v="2025-06-30T00:00:00"/>
    <x v="5"/>
    <x v="37"/>
    <x v="4"/>
    <s v="Russia"/>
    <x v="4"/>
    <x v="18"/>
    <n v="32089"/>
    <n v="39520"/>
  </r>
  <r>
    <s v="ORD09778"/>
    <d v="2025-10-29T00:00:00"/>
    <x v="4"/>
    <x v="2"/>
    <x v="1"/>
    <s v="Brazil"/>
    <x v="9"/>
    <x v="14"/>
    <n v="15148"/>
    <n v="17121"/>
  </r>
  <r>
    <s v="ORD09779"/>
    <d v="2025-06-06T00:00:00"/>
    <x v="5"/>
    <x v="41"/>
    <x v="4"/>
    <s v="USA"/>
    <x v="5"/>
    <x v="12"/>
    <n v="23207"/>
    <n v="28392"/>
  </r>
  <r>
    <s v="ORD09780"/>
    <d v="2025-11-24T00:00:00"/>
    <x v="2"/>
    <x v="11"/>
    <x v="0"/>
    <s v="Italy"/>
    <x v="8"/>
    <x v="17"/>
    <n v="34055"/>
    <n v="38498"/>
  </r>
  <r>
    <s v="ORD09781"/>
    <d v="2025-03-24T00:00:00"/>
    <x v="9"/>
    <x v="33"/>
    <x v="6"/>
    <s v="Germany"/>
    <x v="7"/>
    <x v="5"/>
    <n v="26292"/>
    <n v="31187"/>
  </r>
  <r>
    <s v="ORD09782"/>
    <d v="2025-11-21T00:00:00"/>
    <x v="2"/>
    <x v="9"/>
    <x v="2"/>
    <s v="Spain"/>
    <x v="18"/>
    <x v="12"/>
    <n v="17550"/>
    <n v="19489"/>
  </r>
  <r>
    <s v="ORD09783"/>
    <d v="2025-08-20T00:00:00"/>
    <x v="11"/>
    <x v="46"/>
    <x v="2"/>
    <s v="China"/>
    <x v="36"/>
    <x v="2"/>
    <n v="22622"/>
    <n v="18069"/>
  </r>
  <r>
    <s v="ORD09784"/>
    <d v="2025-01-19T00:00:00"/>
    <x v="1"/>
    <x v="1"/>
    <x v="0"/>
    <s v="China"/>
    <x v="29"/>
    <x v="8"/>
    <n v="36306"/>
    <n v="46851"/>
  </r>
  <r>
    <s v="ORD09785"/>
    <d v="2025-08-18T00:00:00"/>
    <x v="11"/>
    <x v="46"/>
    <x v="1"/>
    <s v="USA"/>
    <x v="3"/>
    <x v="4"/>
    <n v="18548"/>
    <n v="16253"/>
  </r>
  <r>
    <s v="ORD09786"/>
    <d v="2025-01-19T00:00:00"/>
    <x v="1"/>
    <x v="1"/>
    <x v="0"/>
    <s v="Germany"/>
    <x v="4"/>
    <x v="24"/>
    <n v="21128"/>
    <n v="18104"/>
  </r>
  <r>
    <s v="ORD09787"/>
    <d v="2025-09-21T00:00:00"/>
    <x v="3"/>
    <x v="8"/>
    <x v="2"/>
    <s v="Italy"/>
    <x v="13"/>
    <x v="0"/>
    <n v="22769"/>
    <n v="23023"/>
  </r>
  <r>
    <s v="ORD09788"/>
    <d v="2025-02-05T00:00:00"/>
    <x v="6"/>
    <x v="48"/>
    <x v="4"/>
    <s v="Turkey"/>
    <x v="8"/>
    <x v="22"/>
    <n v="33558"/>
    <n v="34926"/>
  </r>
  <r>
    <s v="ORD09789"/>
    <d v="2025-07-31T00:00:00"/>
    <x v="0"/>
    <x v="12"/>
    <x v="5"/>
    <s v="Turkey"/>
    <x v="37"/>
    <x v="29"/>
    <n v="16026"/>
    <n v="16869"/>
  </r>
  <r>
    <s v="ORD09790"/>
    <d v="2025-09-06T00:00:00"/>
    <x v="3"/>
    <x v="4"/>
    <x v="0"/>
    <s v="UAE"/>
    <x v="18"/>
    <x v="28"/>
    <n v="36006"/>
    <n v="46218"/>
  </r>
  <r>
    <s v="ORD09791"/>
    <d v="2025-02-04T00:00:00"/>
    <x v="6"/>
    <x v="48"/>
    <x v="4"/>
    <s v="Canada"/>
    <x v="2"/>
    <x v="5"/>
    <n v="33562"/>
    <n v="34832"/>
  </r>
  <r>
    <s v="ORD09792"/>
    <d v="2025-07-13T00:00:00"/>
    <x v="0"/>
    <x v="47"/>
    <x v="1"/>
    <s v="UK"/>
    <x v="5"/>
    <x v="16"/>
    <n v="17370"/>
    <n v="18514"/>
  </r>
  <r>
    <s v="ORD09793"/>
    <d v="2025-05-27T00:00:00"/>
    <x v="8"/>
    <x v="24"/>
    <x v="3"/>
    <s v="South Africa"/>
    <x v="12"/>
    <x v="15"/>
    <n v="19129"/>
    <n v="15972"/>
  </r>
  <r>
    <s v="ORD09794"/>
    <d v="2025-09-18T00:00:00"/>
    <x v="3"/>
    <x v="8"/>
    <x v="6"/>
    <s v="France"/>
    <x v="37"/>
    <x v="15"/>
    <n v="35976"/>
    <n v="26780"/>
  </r>
  <r>
    <s v="ORD09795"/>
    <d v="2025-12-25T00:00:00"/>
    <x v="10"/>
    <x v="42"/>
    <x v="4"/>
    <s v="Australia"/>
    <x v="31"/>
    <x v="2"/>
    <n v="20158"/>
    <n v="21581"/>
  </r>
  <r>
    <s v="ORD09796"/>
    <d v="2025-02-24T00:00:00"/>
    <x v="6"/>
    <x v="22"/>
    <x v="6"/>
    <s v="China"/>
    <x v="39"/>
    <x v="8"/>
    <n v="18175"/>
    <n v="13206"/>
  </r>
  <r>
    <s v="ORD09797"/>
    <d v="2025-08-07T00:00:00"/>
    <x v="11"/>
    <x v="23"/>
    <x v="5"/>
    <s v="Russia"/>
    <x v="43"/>
    <x v="23"/>
    <n v="22117"/>
    <n v="25652"/>
  </r>
  <r>
    <s v="ORD09798"/>
    <d v="2025-12-24T00:00:00"/>
    <x v="10"/>
    <x v="42"/>
    <x v="2"/>
    <s v="USA"/>
    <x v="29"/>
    <x v="27"/>
    <n v="28052"/>
    <n v="33173"/>
  </r>
  <r>
    <s v="ORD09799"/>
    <d v="2025-12-01T00:00:00"/>
    <x v="10"/>
    <x v="43"/>
    <x v="2"/>
    <s v="UK"/>
    <x v="9"/>
    <x v="1"/>
    <n v="17673"/>
    <n v="14792"/>
  </r>
  <r>
    <s v="ORD09800"/>
    <d v="2025-02-26T00:00:00"/>
    <x v="6"/>
    <x v="22"/>
    <x v="5"/>
    <s v="Russia"/>
    <x v="35"/>
    <x v="16"/>
    <n v="20068"/>
    <n v="16790"/>
  </r>
  <r>
    <s v="ORD09801"/>
    <d v="2025-01-14T00:00:00"/>
    <x v="1"/>
    <x v="1"/>
    <x v="2"/>
    <s v="Mexico"/>
    <x v="13"/>
    <x v="25"/>
    <n v="36361"/>
    <n v="41435"/>
  </r>
  <r>
    <s v="ORD09802"/>
    <d v="2025-07-25T00:00:00"/>
    <x v="0"/>
    <x v="0"/>
    <x v="2"/>
    <s v="Turkey"/>
    <x v="14"/>
    <x v="0"/>
    <n v="20783"/>
    <n v="21654"/>
  </r>
  <r>
    <s v="ORD09803"/>
    <d v="2025-01-17T00:00:00"/>
    <x v="1"/>
    <x v="1"/>
    <x v="5"/>
    <s v="Italy"/>
    <x v="41"/>
    <x v="24"/>
    <n v="36121"/>
    <n v="42225"/>
  </r>
  <r>
    <s v="ORD09804"/>
    <d v="2025-06-14T00:00:00"/>
    <x v="5"/>
    <x v="40"/>
    <x v="1"/>
    <s v="UAE"/>
    <x v="44"/>
    <x v="4"/>
    <n v="32641"/>
    <n v="30566"/>
  </r>
  <r>
    <s v="ORD09805"/>
    <d v="2025-04-16T00:00:00"/>
    <x v="7"/>
    <x v="20"/>
    <x v="4"/>
    <s v="USA"/>
    <x v="33"/>
    <x v="2"/>
    <n v="25826"/>
    <n v="20617"/>
  </r>
  <r>
    <s v="ORD09806"/>
    <d v="2025-08-06T00:00:00"/>
    <x v="11"/>
    <x v="23"/>
    <x v="1"/>
    <s v="India"/>
    <x v="48"/>
    <x v="18"/>
    <n v="24638"/>
    <n v="23593"/>
  </r>
  <r>
    <s v="ORD09807"/>
    <d v="2025-10-02T00:00:00"/>
    <x v="4"/>
    <x v="49"/>
    <x v="4"/>
    <s v="China"/>
    <x v="2"/>
    <x v="2"/>
    <n v="27301"/>
    <n v="30262"/>
  </r>
  <r>
    <s v="ORD09808"/>
    <d v="2025-02-18T00:00:00"/>
    <x v="6"/>
    <x v="15"/>
    <x v="0"/>
    <s v="Germany"/>
    <x v="16"/>
    <x v="13"/>
    <n v="25953"/>
    <n v="33198"/>
  </r>
  <r>
    <s v="ORD09809"/>
    <d v="2025-09-16T00:00:00"/>
    <x v="3"/>
    <x v="8"/>
    <x v="5"/>
    <s v="USA"/>
    <x v="42"/>
    <x v="1"/>
    <n v="26184"/>
    <n v="22981"/>
  </r>
  <r>
    <s v="ORD09810"/>
    <d v="2025-09-22T00:00:00"/>
    <x v="3"/>
    <x v="25"/>
    <x v="0"/>
    <s v="Mexico"/>
    <x v="18"/>
    <x v="6"/>
    <n v="21017"/>
    <n v="18680"/>
  </r>
  <r>
    <s v="ORD09811"/>
    <d v="2025-07-12T00:00:00"/>
    <x v="0"/>
    <x v="47"/>
    <x v="1"/>
    <s v="Thailand"/>
    <x v="5"/>
    <x v="6"/>
    <n v="18845"/>
    <n v="14017"/>
  </r>
  <r>
    <s v="ORD09812"/>
    <d v="2025-09-08T00:00:00"/>
    <x v="3"/>
    <x v="31"/>
    <x v="6"/>
    <s v="Japan"/>
    <x v="46"/>
    <x v="20"/>
    <n v="17867"/>
    <n v="18208"/>
  </r>
  <r>
    <s v="ORD09813"/>
    <d v="2025-02-01T00:00:00"/>
    <x v="6"/>
    <x v="3"/>
    <x v="5"/>
    <s v="Brazil"/>
    <x v="25"/>
    <x v="0"/>
    <n v="15707"/>
    <n v="12093"/>
  </r>
  <r>
    <s v="ORD09814"/>
    <d v="2025-06-27T00:00:00"/>
    <x v="5"/>
    <x v="36"/>
    <x v="2"/>
    <s v="Thailand"/>
    <x v="45"/>
    <x v="29"/>
    <n v="37533"/>
    <n v="26556"/>
  </r>
  <r>
    <s v="ORD09815"/>
    <d v="2025-11-08T00:00:00"/>
    <x v="2"/>
    <x v="51"/>
    <x v="0"/>
    <s v="Spain"/>
    <x v="15"/>
    <x v="14"/>
    <n v="36081"/>
    <n v="26589"/>
  </r>
  <r>
    <s v="ORD09816"/>
    <d v="2025-04-10T00:00:00"/>
    <x v="7"/>
    <x v="16"/>
    <x v="4"/>
    <s v="Italy"/>
    <x v="44"/>
    <x v="28"/>
    <n v="16721"/>
    <n v="15482"/>
  </r>
  <r>
    <s v="ORD09817"/>
    <d v="2025-07-11T00:00:00"/>
    <x v="0"/>
    <x v="47"/>
    <x v="4"/>
    <s v="Mexico"/>
    <x v="14"/>
    <x v="16"/>
    <n v="20511"/>
    <n v="21169"/>
  </r>
  <r>
    <s v="ORD09818"/>
    <d v="2025-07-14T00:00:00"/>
    <x v="0"/>
    <x v="14"/>
    <x v="1"/>
    <s v="Mexico"/>
    <x v="2"/>
    <x v="0"/>
    <n v="39258"/>
    <n v="44574"/>
  </r>
  <r>
    <s v="ORD09819"/>
    <d v="2025-05-19T00:00:00"/>
    <x v="8"/>
    <x v="26"/>
    <x v="0"/>
    <s v="UK"/>
    <x v="27"/>
    <x v="19"/>
    <n v="38097"/>
    <n v="39193"/>
  </r>
  <r>
    <s v="ORD09820"/>
    <d v="2025-11-29T00:00:00"/>
    <x v="2"/>
    <x v="11"/>
    <x v="2"/>
    <s v="Singapore"/>
    <x v="12"/>
    <x v="14"/>
    <n v="20545"/>
    <n v="23698"/>
  </r>
  <r>
    <s v="ORD09821"/>
    <d v="2025-05-25T00:00:00"/>
    <x v="8"/>
    <x v="26"/>
    <x v="2"/>
    <s v="Italy"/>
    <x v="30"/>
    <x v="4"/>
    <n v="31626"/>
    <n v="23511"/>
  </r>
  <r>
    <s v="ORD09822"/>
    <d v="2025-03-20T00:00:00"/>
    <x v="9"/>
    <x v="39"/>
    <x v="4"/>
    <s v="Japan"/>
    <x v="19"/>
    <x v="19"/>
    <n v="28074"/>
    <n v="25028"/>
  </r>
  <r>
    <s v="ORD09823"/>
    <d v="2025-10-20T00:00:00"/>
    <x v="4"/>
    <x v="50"/>
    <x v="2"/>
    <s v="Thailand"/>
    <x v="3"/>
    <x v="1"/>
    <n v="17585"/>
    <n v="19365"/>
  </r>
  <r>
    <s v="ORD09824"/>
    <d v="2025-07-13T00:00:00"/>
    <x v="0"/>
    <x v="47"/>
    <x v="3"/>
    <s v="UAE"/>
    <x v="34"/>
    <x v="12"/>
    <n v="39171"/>
    <n v="44600"/>
  </r>
  <r>
    <s v="ORD09825"/>
    <d v="2025-05-03T00:00:00"/>
    <x v="8"/>
    <x v="27"/>
    <x v="4"/>
    <s v="Canada"/>
    <x v="3"/>
    <x v="21"/>
    <n v="27268"/>
    <n v="27362"/>
  </r>
  <r>
    <s v="ORD09826"/>
    <d v="2025-05-31T00:00:00"/>
    <x v="8"/>
    <x v="24"/>
    <x v="6"/>
    <s v="UK"/>
    <x v="19"/>
    <x v="26"/>
    <n v="33705"/>
    <n v="40702"/>
  </r>
  <r>
    <s v="ORD09827"/>
    <d v="2025-10-23T00:00:00"/>
    <x v="4"/>
    <x v="50"/>
    <x v="6"/>
    <s v="Russia"/>
    <x v="10"/>
    <x v="12"/>
    <n v="35723"/>
    <n v="25513"/>
  </r>
  <r>
    <s v="ORD09828"/>
    <d v="2025-09-16T00:00:00"/>
    <x v="3"/>
    <x v="8"/>
    <x v="0"/>
    <s v="China"/>
    <x v="42"/>
    <x v="20"/>
    <n v="31358"/>
    <n v="26379"/>
  </r>
  <r>
    <s v="ORD09829"/>
    <d v="2025-12-22T00:00:00"/>
    <x v="10"/>
    <x v="42"/>
    <x v="5"/>
    <s v="France"/>
    <x v="31"/>
    <x v="29"/>
    <n v="15498"/>
    <n v="13122"/>
  </r>
  <r>
    <s v="ORD09830"/>
    <d v="2025-05-04T00:00:00"/>
    <x v="8"/>
    <x v="27"/>
    <x v="4"/>
    <s v="USA"/>
    <x v="22"/>
    <x v="23"/>
    <n v="29042"/>
    <n v="22023"/>
  </r>
  <r>
    <s v="ORD09831"/>
    <d v="2025-04-12T00:00:00"/>
    <x v="7"/>
    <x v="16"/>
    <x v="3"/>
    <s v="Malaysia"/>
    <x v="47"/>
    <x v="13"/>
    <n v="25363"/>
    <n v="27809"/>
  </r>
  <r>
    <s v="ORD09832"/>
    <d v="2025-08-10T00:00:00"/>
    <x v="11"/>
    <x v="23"/>
    <x v="3"/>
    <s v="France"/>
    <x v="0"/>
    <x v="23"/>
    <n v="35641"/>
    <n v="42479"/>
  </r>
  <r>
    <s v="ORD09833"/>
    <d v="2025-02-04T00:00:00"/>
    <x v="6"/>
    <x v="48"/>
    <x v="5"/>
    <s v="UAE"/>
    <x v="11"/>
    <x v="28"/>
    <n v="16608"/>
    <n v="20359"/>
  </r>
  <r>
    <s v="ORD09834"/>
    <d v="2025-10-29T00:00:00"/>
    <x v="4"/>
    <x v="2"/>
    <x v="5"/>
    <s v="UAE"/>
    <x v="13"/>
    <x v="21"/>
    <n v="20640"/>
    <n v="26100"/>
  </r>
  <r>
    <s v="ORD09835"/>
    <d v="2025-07-27T00:00:00"/>
    <x v="0"/>
    <x v="0"/>
    <x v="4"/>
    <s v="Spain"/>
    <x v="40"/>
    <x v="1"/>
    <n v="24921"/>
    <n v="27011"/>
  </r>
  <r>
    <s v="ORD09836"/>
    <d v="2025-09-30T00:00:00"/>
    <x v="3"/>
    <x v="49"/>
    <x v="5"/>
    <s v="Thailand"/>
    <x v="2"/>
    <x v="0"/>
    <n v="33871"/>
    <n v="29656"/>
  </r>
  <r>
    <s v="ORD09837"/>
    <d v="2025-10-22T00:00:00"/>
    <x v="4"/>
    <x v="50"/>
    <x v="5"/>
    <s v="Brazil"/>
    <x v="28"/>
    <x v="9"/>
    <n v="21240"/>
    <n v="17011"/>
  </r>
  <r>
    <s v="ORD09838"/>
    <d v="2025-10-18T00:00:00"/>
    <x v="4"/>
    <x v="10"/>
    <x v="2"/>
    <s v="UK"/>
    <x v="49"/>
    <x v="14"/>
    <n v="39747"/>
    <n v="28804"/>
  </r>
  <r>
    <s v="ORD09839"/>
    <d v="2025-02-24T00:00:00"/>
    <x v="6"/>
    <x v="22"/>
    <x v="3"/>
    <s v="India"/>
    <x v="41"/>
    <x v="0"/>
    <n v="31037"/>
    <n v="36315"/>
  </r>
  <r>
    <s v="ORD09840"/>
    <d v="2025-11-04T00:00:00"/>
    <x v="2"/>
    <x v="51"/>
    <x v="4"/>
    <s v="Malaysia"/>
    <x v="6"/>
    <x v="14"/>
    <n v="29918"/>
    <n v="22575"/>
  </r>
  <r>
    <s v="ORD09841"/>
    <d v="2025-08-23T00:00:00"/>
    <x v="11"/>
    <x v="46"/>
    <x v="4"/>
    <s v="Germany"/>
    <x v="28"/>
    <x v="20"/>
    <n v="16319"/>
    <n v="15158"/>
  </r>
  <r>
    <s v="ORD09842"/>
    <d v="2025-09-11T00:00:00"/>
    <x v="3"/>
    <x v="31"/>
    <x v="0"/>
    <s v="Spain"/>
    <x v="23"/>
    <x v="18"/>
    <n v="17637"/>
    <n v="20613"/>
  </r>
  <r>
    <s v="ORD09843"/>
    <d v="2025-10-14T00:00:00"/>
    <x v="4"/>
    <x v="10"/>
    <x v="1"/>
    <s v="UAE"/>
    <x v="17"/>
    <x v="18"/>
    <n v="33316"/>
    <n v="27033"/>
  </r>
  <r>
    <s v="ORD09844"/>
    <d v="2025-06-28T00:00:00"/>
    <x v="5"/>
    <x v="36"/>
    <x v="4"/>
    <s v="UAE"/>
    <x v="28"/>
    <x v="20"/>
    <n v="36155"/>
    <n v="33010"/>
  </r>
  <r>
    <s v="ORD09845"/>
    <d v="2025-04-11T00:00:00"/>
    <x v="7"/>
    <x v="16"/>
    <x v="4"/>
    <s v="Malaysia"/>
    <x v="46"/>
    <x v="25"/>
    <n v="30554"/>
    <n v="24687"/>
  </r>
  <r>
    <s v="ORD09846"/>
    <d v="2025-10-01T00:00:00"/>
    <x v="4"/>
    <x v="49"/>
    <x v="3"/>
    <s v="Germany"/>
    <x v="29"/>
    <x v="20"/>
    <n v="18770"/>
    <n v="17338"/>
  </r>
  <r>
    <s v="ORD09847"/>
    <d v="2025-10-12T00:00:00"/>
    <x v="4"/>
    <x v="45"/>
    <x v="3"/>
    <s v="UAE"/>
    <x v="14"/>
    <x v="22"/>
    <n v="23477"/>
    <n v="21838"/>
  </r>
  <r>
    <s v="ORD09848"/>
    <d v="2025-06-14T00:00:00"/>
    <x v="5"/>
    <x v="40"/>
    <x v="1"/>
    <s v="UK"/>
    <x v="39"/>
    <x v="20"/>
    <n v="16804"/>
    <n v="18832"/>
  </r>
  <r>
    <s v="ORD09849"/>
    <d v="2025-12-06T00:00:00"/>
    <x v="10"/>
    <x v="43"/>
    <x v="2"/>
    <s v="Germany"/>
    <x v="45"/>
    <x v="17"/>
    <n v="38338"/>
    <n v="42959"/>
  </r>
  <r>
    <s v="ORD09850"/>
    <d v="2025-11-01T00:00:00"/>
    <x v="2"/>
    <x v="2"/>
    <x v="6"/>
    <s v="UK"/>
    <x v="33"/>
    <x v="9"/>
    <n v="25270"/>
    <n v="20221"/>
  </r>
  <r>
    <s v="ORD09851"/>
    <d v="2025-10-27T00:00:00"/>
    <x v="4"/>
    <x v="2"/>
    <x v="0"/>
    <s v="UK"/>
    <x v="14"/>
    <x v="17"/>
    <n v="33626"/>
    <n v="28951"/>
  </r>
  <r>
    <s v="ORD09852"/>
    <d v="2025-06-25T00:00:00"/>
    <x v="5"/>
    <x v="36"/>
    <x v="3"/>
    <s v="China"/>
    <x v="41"/>
    <x v="0"/>
    <n v="18427"/>
    <n v="14746"/>
  </r>
  <r>
    <s v="ORD09853"/>
    <d v="2025-07-04T00:00:00"/>
    <x v="0"/>
    <x v="37"/>
    <x v="2"/>
    <s v="USA"/>
    <x v="4"/>
    <x v="9"/>
    <n v="27986"/>
    <n v="34806"/>
  </r>
  <r>
    <s v="ORD09854"/>
    <d v="2025-02-22T00:00:00"/>
    <x v="6"/>
    <x v="15"/>
    <x v="6"/>
    <s v="China"/>
    <x v="16"/>
    <x v="24"/>
    <n v="20260"/>
    <n v="21961"/>
  </r>
  <r>
    <s v="ORD09855"/>
    <d v="2025-09-11T00:00:00"/>
    <x v="3"/>
    <x v="31"/>
    <x v="1"/>
    <s v="Australia"/>
    <x v="3"/>
    <x v="15"/>
    <n v="25766"/>
    <n v="32431"/>
  </r>
  <r>
    <s v="ORD09856"/>
    <d v="2025-02-15T00:00:00"/>
    <x v="6"/>
    <x v="29"/>
    <x v="1"/>
    <s v="South Africa"/>
    <x v="22"/>
    <x v="16"/>
    <n v="34490"/>
    <n v="36906"/>
  </r>
  <r>
    <s v="ORD09857"/>
    <d v="2025-09-29T00:00:00"/>
    <x v="3"/>
    <x v="49"/>
    <x v="2"/>
    <s v="Mexico"/>
    <x v="42"/>
    <x v="20"/>
    <n v="27696"/>
    <n v="22889"/>
  </r>
  <r>
    <s v="ORD09858"/>
    <d v="2025-05-26T00:00:00"/>
    <x v="8"/>
    <x v="24"/>
    <x v="5"/>
    <s v="Russia"/>
    <x v="11"/>
    <x v="6"/>
    <n v="31384"/>
    <n v="36348"/>
  </r>
  <r>
    <s v="ORD09859"/>
    <d v="2025-06-14T00:00:00"/>
    <x v="5"/>
    <x v="40"/>
    <x v="5"/>
    <s v="Brazil"/>
    <x v="8"/>
    <x v="3"/>
    <n v="38590"/>
    <n v="33453"/>
  </r>
  <r>
    <s v="ORD09860"/>
    <d v="2025-03-10T00:00:00"/>
    <x v="9"/>
    <x v="19"/>
    <x v="4"/>
    <s v="Australia"/>
    <x v="23"/>
    <x v="21"/>
    <n v="21115"/>
    <n v="14799"/>
  </r>
  <r>
    <s v="ORD09861"/>
    <d v="2025-09-26T00:00:00"/>
    <x v="3"/>
    <x v="25"/>
    <x v="6"/>
    <s v="Russia"/>
    <x v="42"/>
    <x v="19"/>
    <n v="25423"/>
    <n v="19423"/>
  </r>
  <r>
    <s v="ORD09862"/>
    <d v="2025-11-05T00:00:00"/>
    <x v="2"/>
    <x v="51"/>
    <x v="3"/>
    <s v="Russia"/>
    <x v="23"/>
    <x v="20"/>
    <n v="19835"/>
    <n v="14712"/>
  </r>
  <r>
    <s v="ORD09863"/>
    <d v="2025-01-31T00:00:00"/>
    <x v="1"/>
    <x v="3"/>
    <x v="6"/>
    <s v="Turkey"/>
    <x v="35"/>
    <x v="16"/>
    <n v="21209"/>
    <n v="22469"/>
  </r>
  <r>
    <s v="ORD09864"/>
    <d v="2025-12-06T00:00:00"/>
    <x v="10"/>
    <x v="43"/>
    <x v="2"/>
    <s v="Brazil"/>
    <x v="15"/>
    <x v="10"/>
    <n v="15384"/>
    <n v="18490"/>
  </r>
  <r>
    <s v="ORD09865"/>
    <d v="2025-01-30T00:00:00"/>
    <x v="1"/>
    <x v="3"/>
    <x v="1"/>
    <s v="Russia"/>
    <x v="19"/>
    <x v="15"/>
    <n v="37853"/>
    <n v="44891"/>
  </r>
  <r>
    <s v="ORD09866"/>
    <d v="2025-03-15T00:00:00"/>
    <x v="9"/>
    <x v="19"/>
    <x v="3"/>
    <s v="Australia"/>
    <x v="9"/>
    <x v="2"/>
    <n v="25272"/>
    <n v="18227"/>
  </r>
  <r>
    <s v="ORD09867"/>
    <d v="2025-01-09T00:00:00"/>
    <x v="1"/>
    <x v="6"/>
    <x v="3"/>
    <s v="Singapore"/>
    <x v="1"/>
    <x v="21"/>
    <n v="31631"/>
    <n v="23166"/>
  </r>
  <r>
    <s v="ORD09868"/>
    <d v="2025-09-17T00:00:00"/>
    <x v="3"/>
    <x v="8"/>
    <x v="5"/>
    <s v="Germany"/>
    <x v="46"/>
    <x v="15"/>
    <n v="18140"/>
    <n v="21243"/>
  </r>
  <r>
    <s v="ORD09869"/>
    <d v="2025-08-23T00:00:00"/>
    <x v="11"/>
    <x v="46"/>
    <x v="2"/>
    <s v="Spain"/>
    <x v="14"/>
    <x v="7"/>
    <n v="19358"/>
    <n v="19521"/>
  </r>
  <r>
    <s v="ORD09870"/>
    <d v="2025-07-11T00:00:00"/>
    <x v="0"/>
    <x v="47"/>
    <x v="0"/>
    <s v="Spain"/>
    <x v="20"/>
    <x v="17"/>
    <n v="17961"/>
    <n v="16495"/>
  </r>
  <r>
    <s v="ORD09871"/>
    <d v="2025-06-27T00:00:00"/>
    <x v="5"/>
    <x v="36"/>
    <x v="4"/>
    <s v="Italy"/>
    <x v="43"/>
    <x v="5"/>
    <n v="26042"/>
    <n v="22673"/>
  </r>
  <r>
    <s v="ORD09872"/>
    <d v="2025-11-12T00:00:00"/>
    <x v="2"/>
    <x v="44"/>
    <x v="0"/>
    <s v="France"/>
    <x v="24"/>
    <x v="6"/>
    <n v="16227"/>
    <n v="17237"/>
  </r>
  <r>
    <s v="ORD09873"/>
    <d v="2025-04-11T00:00:00"/>
    <x v="7"/>
    <x v="16"/>
    <x v="2"/>
    <s v="UK"/>
    <x v="29"/>
    <x v="9"/>
    <n v="16607"/>
    <n v="16688"/>
  </r>
  <r>
    <s v="ORD09874"/>
    <d v="2025-12-24T00:00:00"/>
    <x v="10"/>
    <x v="42"/>
    <x v="5"/>
    <s v="South Africa"/>
    <x v="1"/>
    <x v="29"/>
    <n v="19056"/>
    <n v="13424"/>
  </r>
  <r>
    <s v="ORD09875"/>
    <d v="2025-11-10T00:00:00"/>
    <x v="2"/>
    <x v="44"/>
    <x v="1"/>
    <s v="Thailand"/>
    <x v="20"/>
    <x v="0"/>
    <n v="17613"/>
    <n v="15296"/>
  </r>
  <r>
    <s v="ORD09876"/>
    <d v="2025-12-20T00:00:00"/>
    <x v="10"/>
    <x v="21"/>
    <x v="1"/>
    <s v="Mexico"/>
    <x v="19"/>
    <x v="5"/>
    <n v="26411"/>
    <n v="26003"/>
  </r>
  <r>
    <s v="ORD09877"/>
    <d v="2025-07-01T00:00:00"/>
    <x v="0"/>
    <x v="37"/>
    <x v="5"/>
    <s v="France"/>
    <x v="33"/>
    <x v="29"/>
    <n v="30450"/>
    <n v="29388"/>
  </r>
  <r>
    <s v="ORD09878"/>
    <d v="2025-04-27T00:00:00"/>
    <x v="7"/>
    <x v="38"/>
    <x v="1"/>
    <s v="South Africa"/>
    <x v="1"/>
    <x v="23"/>
    <n v="18522"/>
    <n v="15529"/>
  </r>
  <r>
    <s v="ORD09879"/>
    <d v="2025-12-20T00:00:00"/>
    <x v="10"/>
    <x v="21"/>
    <x v="5"/>
    <s v="Canada"/>
    <x v="32"/>
    <x v="4"/>
    <n v="19405"/>
    <n v="22407"/>
  </r>
  <r>
    <s v="ORD09880"/>
    <d v="2025-07-28T00:00:00"/>
    <x v="0"/>
    <x v="12"/>
    <x v="2"/>
    <s v="China"/>
    <x v="3"/>
    <x v="24"/>
    <n v="36998"/>
    <n v="39268"/>
  </r>
  <r>
    <s v="ORD09881"/>
    <d v="2025-09-19T00:00:00"/>
    <x v="3"/>
    <x v="8"/>
    <x v="4"/>
    <s v="Australia"/>
    <x v="32"/>
    <x v="3"/>
    <n v="32903"/>
    <n v="24882"/>
  </r>
  <r>
    <s v="ORD09882"/>
    <d v="2025-01-15T00:00:00"/>
    <x v="1"/>
    <x v="1"/>
    <x v="3"/>
    <s v="Turkey"/>
    <x v="22"/>
    <x v="14"/>
    <n v="28348"/>
    <n v="28373"/>
  </r>
  <r>
    <s v="ORD09883"/>
    <d v="2025-05-21T00:00:00"/>
    <x v="8"/>
    <x v="26"/>
    <x v="3"/>
    <s v="Singapore"/>
    <x v="11"/>
    <x v="29"/>
    <n v="19205"/>
    <n v="20068"/>
  </r>
  <r>
    <s v="ORD09884"/>
    <d v="2025-07-01T00:00:00"/>
    <x v="0"/>
    <x v="37"/>
    <x v="5"/>
    <s v="India"/>
    <x v="36"/>
    <x v="1"/>
    <n v="32105"/>
    <n v="35397"/>
  </r>
  <r>
    <s v="ORD09885"/>
    <d v="2025-01-02T00:00:00"/>
    <x v="1"/>
    <x v="5"/>
    <x v="1"/>
    <s v="South Africa"/>
    <x v="6"/>
    <x v="23"/>
    <n v="16338"/>
    <n v="16459"/>
  </r>
  <r>
    <s v="ORD09886"/>
    <d v="2025-02-25T00:00:00"/>
    <x v="6"/>
    <x v="22"/>
    <x v="0"/>
    <s v="Germany"/>
    <x v="15"/>
    <x v="23"/>
    <n v="25423"/>
    <n v="18326"/>
  </r>
  <r>
    <s v="ORD09887"/>
    <d v="2025-02-25T00:00:00"/>
    <x v="6"/>
    <x v="22"/>
    <x v="6"/>
    <s v="UAE"/>
    <x v="34"/>
    <x v="26"/>
    <n v="29304"/>
    <n v="28090"/>
  </r>
  <r>
    <s v="ORD09888"/>
    <d v="2025-05-24T00:00:00"/>
    <x v="8"/>
    <x v="26"/>
    <x v="0"/>
    <s v="Russia"/>
    <x v="19"/>
    <x v="14"/>
    <n v="26899"/>
    <n v="19746"/>
  </r>
  <r>
    <s v="ORD09889"/>
    <d v="2025-06-26T00:00:00"/>
    <x v="5"/>
    <x v="36"/>
    <x v="3"/>
    <s v="Malaysia"/>
    <x v="30"/>
    <x v="6"/>
    <n v="38568"/>
    <n v="49627"/>
  </r>
  <r>
    <s v="ORD09890"/>
    <d v="2025-10-13T00:00:00"/>
    <x v="4"/>
    <x v="10"/>
    <x v="0"/>
    <s v="India"/>
    <x v="44"/>
    <x v="19"/>
    <n v="17429"/>
    <n v="13830"/>
  </r>
  <r>
    <s v="ORD09891"/>
    <d v="2025-11-27T00:00:00"/>
    <x v="2"/>
    <x v="11"/>
    <x v="2"/>
    <s v="UAE"/>
    <x v="37"/>
    <x v="9"/>
    <n v="20067"/>
    <n v="16402"/>
  </r>
  <r>
    <s v="ORD09892"/>
    <d v="2025-10-23T00:00:00"/>
    <x v="4"/>
    <x v="50"/>
    <x v="5"/>
    <s v="Singapore"/>
    <x v="27"/>
    <x v="9"/>
    <n v="25992"/>
    <n v="32246"/>
  </r>
  <r>
    <s v="ORD09893"/>
    <d v="2025-09-07T00:00:00"/>
    <x v="3"/>
    <x v="4"/>
    <x v="0"/>
    <s v="Singapore"/>
    <x v="46"/>
    <x v="27"/>
    <n v="37451"/>
    <n v="40184"/>
  </r>
  <r>
    <s v="ORD09894"/>
    <d v="2025-04-22T00:00:00"/>
    <x v="7"/>
    <x v="38"/>
    <x v="1"/>
    <s v="France"/>
    <x v="8"/>
    <x v="22"/>
    <n v="16342"/>
    <n v="17900"/>
  </r>
  <r>
    <s v="ORD09895"/>
    <d v="2025-11-06T00:00:00"/>
    <x v="2"/>
    <x v="51"/>
    <x v="6"/>
    <s v="China"/>
    <x v="41"/>
    <x v="3"/>
    <n v="27063"/>
    <n v="29307"/>
  </r>
  <r>
    <s v="ORD09896"/>
    <d v="2025-12-27T00:00:00"/>
    <x v="10"/>
    <x v="42"/>
    <x v="4"/>
    <s v="Italy"/>
    <x v="39"/>
    <x v="25"/>
    <n v="19667"/>
    <n v="25085"/>
  </r>
  <r>
    <s v="ORD09897"/>
    <d v="2025-01-23T00:00:00"/>
    <x v="1"/>
    <x v="7"/>
    <x v="1"/>
    <s v="UK"/>
    <x v="33"/>
    <x v="25"/>
    <n v="19338"/>
    <n v="22202"/>
  </r>
  <r>
    <s v="ORD09898"/>
    <d v="2025-05-18T00:00:00"/>
    <x v="8"/>
    <x v="17"/>
    <x v="6"/>
    <s v="Turkey"/>
    <x v="34"/>
    <x v="3"/>
    <n v="31417"/>
    <n v="25886"/>
  </r>
  <r>
    <s v="ORD09899"/>
    <d v="2025-10-18T00:00:00"/>
    <x v="4"/>
    <x v="10"/>
    <x v="3"/>
    <s v="Germany"/>
    <x v="0"/>
    <x v="5"/>
    <n v="30734"/>
    <n v="28545"/>
  </r>
  <r>
    <s v="ORD09900"/>
    <d v="2025-02-24T00:00:00"/>
    <x v="6"/>
    <x v="22"/>
    <x v="0"/>
    <s v="Germany"/>
    <x v="25"/>
    <x v="2"/>
    <n v="15663"/>
    <n v="13148"/>
  </r>
  <r>
    <s v="ORD09901"/>
    <d v="2025-08-26T00:00:00"/>
    <x v="11"/>
    <x v="28"/>
    <x v="4"/>
    <s v="Italy"/>
    <x v="4"/>
    <x v="29"/>
    <n v="35040"/>
    <n v="31256"/>
  </r>
  <r>
    <s v="ORD09902"/>
    <d v="2025-05-19T00:00:00"/>
    <x v="8"/>
    <x v="26"/>
    <x v="5"/>
    <s v="India"/>
    <x v="11"/>
    <x v="22"/>
    <n v="39373"/>
    <n v="31718"/>
  </r>
  <r>
    <s v="ORD09903"/>
    <d v="2025-04-07T00:00:00"/>
    <x v="7"/>
    <x v="16"/>
    <x v="6"/>
    <s v="China"/>
    <x v="46"/>
    <x v="10"/>
    <n v="33328"/>
    <n v="29167"/>
  </r>
  <r>
    <s v="ORD09904"/>
    <d v="2025-09-09T00:00:00"/>
    <x v="3"/>
    <x v="31"/>
    <x v="1"/>
    <s v="Brazil"/>
    <x v="2"/>
    <x v="2"/>
    <n v="25986"/>
    <n v="28984"/>
  </r>
  <r>
    <s v="ORD09905"/>
    <d v="2025-04-27T00:00:00"/>
    <x v="7"/>
    <x v="38"/>
    <x v="4"/>
    <s v="Japan"/>
    <x v="32"/>
    <x v="11"/>
    <n v="17442"/>
    <n v="14261"/>
  </r>
  <r>
    <s v="ORD09906"/>
    <d v="2025-01-17T00:00:00"/>
    <x v="1"/>
    <x v="1"/>
    <x v="5"/>
    <s v="UAE"/>
    <x v="23"/>
    <x v="28"/>
    <n v="23311"/>
    <n v="24666"/>
  </r>
  <r>
    <s v="ORD09907"/>
    <d v="2025-01-27T00:00:00"/>
    <x v="1"/>
    <x v="3"/>
    <x v="5"/>
    <s v="UK"/>
    <x v="3"/>
    <x v="4"/>
    <n v="21298"/>
    <n v="18092"/>
  </r>
  <r>
    <s v="ORD09908"/>
    <d v="2025-05-26T00:00:00"/>
    <x v="8"/>
    <x v="24"/>
    <x v="1"/>
    <s v="Italy"/>
    <x v="33"/>
    <x v="29"/>
    <n v="23534"/>
    <n v="28544"/>
  </r>
  <r>
    <s v="ORD09909"/>
    <d v="2025-04-27T00:00:00"/>
    <x v="7"/>
    <x v="38"/>
    <x v="6"/>
    <s v="UAE"/>
    <x v="19"/>
    <x v="2"/>
    <n v="19473"/>
    <n v="24592"/>
  </r>
  <r>
    <s v="ORD09910"/>
    <d v="2025-01-25T00:00:00"/>
    <x v="1"/>
    <x v="7"/>
    <x v="1"/>
    <s v="Brazil"/>
    <x v="44"/>
    <x v="6"/>
    <n v="30307"/>
    <n v="37580"/>
  </r>
  <r>
    <s v="ORD09911"/>
    <d v="2025-10-08T00:00:00"/>
    <x v="4"/>
    <x v="45"/>
    <x v="5"/>
    <s v="Malaysia"/>
    <x v="21"/>
    <x v="18"/>
    <n v="27088"/>
    <n v="35141"/>
  </r>
  <r>
    <s v="ORD09912"/>
    <d v="2025-02-05T00:00:00"/>
    <x v="6"/>
    <x v="48"/>
    <x v="5"/>
    <s v="Thailand"/>
    <x v="34"/>
    <x v="7"/>
    <n v="15974"/>
    <n v="18806"/>
  </r>
  <r>
    <s v="ORD09913"/>
    <d v="2025-01-06T00:00:00"/>
    <x v="1"/>
    <x v="6"/>
    <x v="6"/>
    <s v="Mexico"/>
    <x v="42"/>
    <x v="18"/>
    <n v="27724"/>
    <n v="26235"/>
  </r>
  <r>
    <s v="ORD09914"/>
    <d v="2025-04-10T00:00:00"/>
    <x v="7"/>
    <x v="16"/>
    <x v="0"/>
    <s v="France"/>
    <x v="12"/>
    <x v="15"/>
    <n v="32530"/>
    <n v="33515"/>
  </r>
  <r>
    <s v="ORD09915"/>
    <d v="2025-03-11T00:00:00"/>
    <x v="9"/>
    <x v="19"/>
    <x v="2"/>
    <s v="Thailand"/>
    <x v="42"/>
    <x v="7"/>
    <n v="16000"/>
    <n v="20674"/>
  </r>
  <r>
    <s v="ORD09916"/>
    <d v="2025-11-17T00:00:00"/>
    <x v="2"/>
    <x v="9"/>
    <x v="3"/>
    <s v="France"/>
    <x v="1"/>
    <x v="17"/>
    <n v="23048"/>
    <n v="23134"/>
  </r>
  <r>
    <s v="ORD09917"/>
    <d v="2025-09-10T00:00:00"/>
    <x v="3"/>
    <x v="31"/>
    <x v="4"/>
    <s v="Brazil"/>
    <x v="3"/>
    <x v="21"/>
    <n v="24859"/>
    <n v="23939"/>
  </r>
  <r>
    <s v="ORD09918"/>
    <d v="2025-05-21T00:00:00"/>
    <x v="8"/>
    <x v="26"/>
    <x v="6"/>
    <s v="UAE"/>
    <x v="27"/>
    <x v="2"/>
    <n v="21898"/>
    <n v="25065"/>
  </r>
  <r>
    <s v="ORD09919"/>
    <d v="2025-05-15T00:00:00"/>
    <x v="8"/>
    <x v="17"/>
    <x v="2"/>
    <s v="Russia"/>
    <x v="2"/>
    <x v="17"/>
    <n v="22862"/>
    <n v="20833"/>
  </r>
  <r>
    <s v="ORD09920"/>
    <d v="2025-06-28T00:00:00"/>
    <x v="5"/>
    <x v="36"/>
    <x v="3"/>
    <s v="Brazil"/>
    <x v="10"/>
    <x v="20"/>
    <n v="38093"/>
    <n v="33482"/>
  </r>
  <r>
    <s v="ORD09921"/>
    <d v="2025-05-27T00:00:00"/>
    <x v="8"/>
    <x v="24"/>
    <x v="2"/>
    <s v="Japan"/>
    <x v="28"/>
    <x v="18"/>
    <n v="35828"/>
    <n v="36603"/>
  </r>
  <r>
    <s v="ORD09922"/>
    <d v="2025-03-26T00:00:00"/>
    <x v="9"/>
    <x v="33"/>
    <x v="2"/>
    <s v="China"/>
    <x v="12"/>
    <x v="11"/>
    <n v="17096"/>
    <n v="16242"/>
  </r>
  <r>
    <s v="ORD09923"/>
    <d v="2025-09-07T00:00:00"/>
    <x v="3"/>
    <x v="4"/>
    <x v="6"/>
    <s v="Spain"/>
    <x v="4"/>
    <x v="14"/>
    <n v="16250"/>
    <n v="16213"/>
  </r>
  <r>
    <s v="ORD09924"/>
    <d v="2025-02-06T00:00:00"/>
    <x v="6"/>
    <x v="48"/>
    <x v="6"/>
    <s v="Australia"/>
    <x v="23"/>
    <x v="5"/>
    <n v="31458"/>
    <n v="37689"/>
  </r>
  <r>
    <s v="ORD09925"/>
    <d v="2025-05-02T00:00:00"/>
    <x v="8"/>
    <x v="27"/>
    <x v="0"/>
    <s v="USA"/>
    <x v="18"/>
    <x v="2"/>
    <n v="22731"/>
    <n v="24540"/>
  </r>
  <r>
    <s v="ORD09926"/>
    <d v="2025-09-13T00:00:00"/>
    <x v="3"/>
    <x v="31"/>
    <x v="1"/>
    <s v="Russia"/>
    <x v="10"/>
    <x v="15"/>
    <n v="34733"/>
    <n v="24462"/>
  </r>
  <r>
    <s v="ORD09927"/>
    <d v="2025-01-11T00:00:00"/>
    <x v="1"/>
    <x v="6"/>
    <x v="1"/>
    <s v="UK"/>
    <x v="27"/>
    <x v="24"/>
    <n v="16819"/>
    <n v="13986"/>
  </r>
  <r>
    <s v="ORD09928"/>
    <d v="2025-05-05T00:00:00"/>
    <x v="8"/>
    <x v="18"/>
    <x v="6"/>
    <s v="Australia"/>
    <x v="45"/>
    <x v="19"/>
    <n v="24093"/>
    <n v="24051"/>
  </r>
  <r>
    <s v="ORD09929"/>
    <d v="2025-01-10T00:00:00"/>
    <x v="1"/>
    <x v="6"/>
    <x v="3"/>
    <s v="Thailand"/>
    <x v="38"/>
    <x v="7"/>
    <n v="35204"/>
    <n v="45169"/>
  </r>
  <r>
    <s v="ORD09930"/>
    <d v="2025-02-10T00:00:00"/>
    <x v="6"/>
    <x v="29"/>
    <x v="3"/>
    <s v="Australia"/>
    <x v="13"/>
    <x v="15"/>
    <n v="15536"/>
    <n v="18730"/>
  </r>
  <r>
    <s v="ORD09931"/>
    <d v="2025-07-20T00:00:00"/>
    <x v="0"/>
    <x v="14"/>
    <x v="4"/>
    <s v="Japan"/>
    <x v="23"/>
    <x v="16"/>
    <n v="22965"/>
    <n v="26209"/>
  </r>
  <r>
    <s v="ORD09932"/>
    <d v="2025-02-07T00:00:00"/>
    <x v="6"/>
    <x v="48"/>
    <x v="4"/>
    <s v="India"/>
    <x v="32"/>
    <x v="18"/>
    <n v="36314"/>
    <n v="40016"/>
  </r>
  <r>
    <s v="ORD09933"/>
    <d v="2025-07-03T00:00:00"/>
    <x v="0"/>
    <x v="37"/>
    <x v="3"/>
    <s v="Spain"/>
    <x v="9"/>
    <x v="20"/>
    <n v="33064"/>
    <n v="23333"/>
  </r>
  <r>
    <s v="ORD09934"/>
    <d v="2025-01-16T00:00:00"/>
    <x v="1"/>
    <x v="1"/>
    <x v="2"/>
    <s v="Brazil"/>
    <x v="11"/>
    <x v="2"/>
    <n v="18083"/>
    <n v="15504"/>
  </r>
  <r>
    <s v="ORD09935"/>
    <d v="2025-01-11T00:00:00"/>
    <x v="1"/>
    <x v="6"/>
    <x v="4"/>
    <s v="Australia"/>
    <x v="3"/>
    <x v="21"/>
    <n v="15066"/>
    <n v="18070"/>
  </r>
  <r>
    <s v="ORD09936"/>
    <d v="2025-07-19T00:00:00"/>
    <x v="0"/>
    <x v="14"/>
    <x v="2"/>
    <s v="Italy"/>
    <x v="1"/>
    <x v="26"/>
    <n v="35684"/>
    <n v="37217"/>
  </r>
  <r>
    <s v="ORD09937"/>
    <d v="2025-04-16T00:00:00"/>
    <x v="7"/>
    <x v="20"/>
    <x v="4"/>
    <s v="Australia"/>
    <x v="4"/>
    <x v="24"/>
    <n v="38644"/>
    <n v="39258"/>
  </r>
  <r>
    <s v="ORD09938"/>
    <d v="2025-05-22T00:00:00"/>
    <x v="8"/>
    <x v="26"/>
    <x v="3"/>
    <s v="Spain"/>
    <x v="44"/>
    <x v="27"/>
    <n v="30360"/>
    <n v="24189"/>
  </r>
  <r>
    <s v="ORD09939"/>
    <d v="2025-01-08T00:00:00"/>
    <x v="1"/>
    <x v="6"/>
    <x v="3"/>
    <s v="Turkey"/>
    <x v="13"/>
    <x v="29"/>
    <n v="33610"/>
    <n v="36056"/>
  </r>
  <r>
    <s v="ORD09940"/>
    <d v="2025-11-25T00:00:00"/>
    <x v="2"/>
    <x v="11"/>
    <x v="6"/>
    <s v="Canada"/>
    <x v="6"/>
    <x v="27"/>
    <n v="37133"/>
    <n v="29844"/>
  </r>
  <r>
    <s v="ORD09941"/>
    <d v="2025-05-31T00:00:00"/>
    <x v="8"/>
    <x v="24"/>
    <x v="1"/>
    <s v="Canada"/>
    <x v="25"/>
    <x v="11"/>
    <n v="17613"/>
    <n v="17895"/>
  </r>
  <r>
    <s v="ORD09942"/>
    <d v="2025-02-06T00:00:00"/>
    <x v="6"/>
    <x v="48"/>
    <x v="0"/>
    <s v="Japan"/>
    <x v="5"/>
    <x v="21"/>
    <n v="39333"/>
    <n v="39153"/>
  </r>
  <r>
    <s v="ORD09943"/>
    <d v="2025-10-08T00:00:00"/>
    <x v="4"/>
    <x v="45"/>
    <x v="3"/>
    <s v="Turkey"/>
    <x v="4"/>
    <x v="2"/>
    <n v="20133"/>
    <n v="21000"/>
  </r>
  <r>
    <s v="ORD09944"/>
    <d v="2025-12-22T00:00:00"/>
    <x v="10"/>
    <x v="42"/>
    <x v="0"/>
    <s v="France"/>
    <x v="49"/>
    <x v="28"/>
    <n v="35592"/>
    <n v="31734"/>
  </r>
  <r>
    <s v="ORD09945"/>
    <d v="2025-04-07T00:00:00"/>
    <x v="7"/>
    <x v="16"/>
    <x v="0"/>
    <s v="Brazil"/>
    <x v="1"/>
    <x v="23"/>
    <n v="16622"/>
    <n v="17135"/>
  </r>
  <r>
    <s v="ORD09946"/>
    <d v="2025-11-26T00:00:00"/>
    <x v="2"/>
    <x v="11"/>
    <x v="4"/>
    <s v="UK"/>
    <x v="27"/>
    <x v="9"/>
    <n v="36854"/>
    <n v="28372"/>
  </r>
  <r>
    <s v="ORD09947"/>
    <d v="2025-08-25T00:00:00"/>
    <x v="11"/>
    <x v="28"/>
    <x v="2"/>
    <s v="Russia"/>
    <x v="48"/>
    <x v="1"/>
    <n v="28797"/>
    <n v="36988"/>
  </r>
  <r>
    <s v="ORD09948"/>
    <d v="2025-03-16T00:00:00"/>
    <x v="9"/>
    <x v="19"/>
    <x v="6"/>
    <s v="Turkey"/>
    <x v="1"/>
    <x v="26"/>
    <n v="31805"/>
    <n v="25176"/>
  </r>
  <r>
    <s v="ORD09949"/>
    <d v="2025-11-21T00:00:00"/>
    <x v="2"/>
    <x v="9"/>
    <x v="1"/>
    <s v="Russia"/>
    <x v="48"/>
    <x v="23"/>
    <n v="15509"/>
    <n v="13705"/>
  </r>
  <r>
    <s v="ORD09950"/>
    <d v="2025-10-24T00:00:00"/>
    <x v="4"/>
    <x v="50"/>
    <x v="5"/>
    <s v="Spain"/>
    <x v="0"/>
    <x v="12"/>
    <n v="15059"/>
    <n v="17511"/>
  </r>
  <r>
    <s v="ORD09951"/>
    <d v="2025-03-28T00:00:00"/>
    <x v="9"/>
    <x v="33"/>
    <x v="0"/>
    <s v="Singapore"/>
    <x v="28"/>
    <x v="12"/>
    <n v="27083"/>
    <n v="28911"/>
  </r>
  <r>
    <s v="ORD09952"/>
    <d v="2025-03-08T00:00:00"/>
    <x v="9"/>
    <x v="35"/>
    <x v="0"/>
    <s v="UAE"/>
    <x v="40"/>
    <x v="22"/>
    <n v="24844"/>
    <n v="31589"/>
  </r>
  <r>
    <s v="ORD09953"/>
    <d v="2025-10-25T00:00:00"/>
    <x v="4"/>
    <x v="50"/>
    <x v="6"/>
    <s v="Canada"/>
    <x v="29"/>
    <x v="21"/>
    <n v="29913"/>
    <n v="28725"/>
  </r>
  <r>
    <s v="ORD09954"/>
    <d v="2025-09-03T00:00:00"/>
    <x v="3"/>
    <x v="4"/>
    <x v="4"/>
    <s v="Brazil"/>
    <x v="5"/>
    <x v="8"/>
    <n v="35326"/>
    <n v="43926"/>
  </r>
  <r>
    <s v="ORD09955"/>
    <d v="2025-02-09T00:00:00"/>
    <x v="6"/>
    <x v="48"/>
    <x v="1"/>
    <s v="UK"/>
    <x v="18"/>
    <x v="9"/>
    <n v="34719"/>
    <n v="44795"/>
  </r>
  <r>
    <s v="ORD09956"/>
    <d v="2025-11-24T00:00:00"/>
    <x v="2"/>
    <x v="11"/>
    <x v="4"/>
    <s v="Turkey"/>
    <x v="18"/>
    <x v="5"/>
    <n v="29178"/>
    <n v="20727"/>
  </r>
  <r>
    <s v="ORD09957"/>
    <d v="2025-06-04T00:00:00"/>
    <x v="5"/>
    <x v="41"/>
    <x v="3"/>
    <s v="Singapore"/>
    <x v="36"/>
    <x v="18"/>
    <n v="21840"/>
    <n v="20022"/>
  </r>
  <r>
    <s v="ORD09958"/>
    <d v="2025-02-05T00:00:00"/>
    <x v="6"/>
    <x v="48"/>
    <x v="4"/>
    <s v="Japan"/>
    <x v="25"/>
    <x v="27"/>
    <n v="25904"/>
    <n v="30160"/>
  </r>
  <r>
    <s v="ORD09959"/>
    <d v="2025-11-21T00:00:00"/>
    <x v="2"/>
    <x v="9"/>
    <x v="3"/>
    <s v="South Africa"/>
    <x v="48"/>
    <x v="19"/>
    <n v="35518"/>
    <n v="32181"/>
  </r>
  <r>
    <s v="ORD09960"/>
    <d v="2025-04-03T00:00:00"/>
    <x v="7"/>
    <x v="34"/>
    <x v="6"/>
    <s v="Thailand"/>
    <x v="43"/>
    <x v="3"/>
    <n v="31230"/>
    <n v="36403"/>
  </r>
  <r>
    <s v="ORD09961"/>
    <d v="2025-10-26T00:00:00"/>
    <x v="4"/>
    <x v="50"/>
    <x v="6"/>
    <s v="Brazil"/>
    <x v="46"/>
    <x v="1"/>
    <n v="20151"/>
    <n v="17755"/>
  </r>
  <r>
    <s v="ORD09962"/>
    <d v="2025-12-17T00:00:00"/>
    <x v="10"/>
    <x v="21"/>
    <x v="3"/>
    <s v="Malaysia"/>
    <x v="6"/>
    <x v="24"/>
    <n v="22071"/>
    <n v="24401"/>
  </r>
  <r>
    <s v="ORD09963"/>
    <d v="2025-11-12T00:00:00"/>
    <x v="2"/>
    <x v="44"/>
    <x v="3"/>
    <s v="China"/>
    <x v="38"/>
    <x v="4"/>
    <n v="16764"/>
    <n v="14855"/>
  </r>
  <r>
    <s v="ORD09964"/>
    <d v="2025-05-28T00:00:00"/>
    <x v="8"/>
    <x v="24"/>
    <x v="2"/>
    <s v="Turkey"/>
    <x v="6"/>
    <x v="2"/>
    <n v="18600"/>
    <n v="22880"/>
  </r>
  <r>
    <s v="ORD09965"/>
    <d v="2025-02-04T00:00:00"/>
    <x v="6"/>
    <x v="48"/>
    <x v="6"/>
    <s v="UK"/>
    <x v="13"/>
    <x v="0"/>
    <n v="32534"/>
    <n v="33080"/>
  </r>
  <r>
    <s v="ORD09966"/>
    <d v="2025-06-22T00:00:00"/>
    <x v="5"/>
    <x v="13"/>
    <x v="4"/>
    <s v="Turkey"/>
    <x v="21"/>
    <x v="27"/>
    <n v="33811"/>
    <n v="38880"/>
  </r>
  <r>
    <s v="ORD09967"/>
    <d v="2025-05-12T00:00:00"/>
    <x v="8"/>
    <x v="17"/>
    <x v="5"/>
    <s v="Australia"/>
    <x v="19"/>
    <x v="5"/>
    <n v="35303"/>
    <n v="29030"/>
  </r>
  <r>
    <s v="ORD09968"/>
    <d v="2025-05-18T00:00:00"/>
    <x v="8"/>
    <x v="17"/>
    <x v="6"/>
    <s v="Canada"/>
    <x v="14"/>
    <x v="9"/>
    <n v="31333"/>
    <n v="29545"/>
  </r>
  <r>
    <s v="ORD09969"/>
    <d v="2025-03-11T00:00:00"/>
    <x v="9"/>
    <x v="19"/>
    <x v="6"/>
    <s v="Malaysia"/>
    <x v="15"/>
    <x v="11"/>
    <n v="16083"/>
    <n v="12059"/>
  </r>
  <r>
    <s v="ORD09970"/>
    <d v="2025-10-20T00:00:00"/>
    <x v="4"/>
    <x v="50"/>
    <x v="1"/>
    <s v="Thailand"/>
    <x v="10"/>
    <x v="18"/>
    <n v="17229"/>
    <n v="16991"/>
  </r>
  <r>
    <s v="ORD09971"/>
    <d v="2025-05-10T00:00:00"/>
    <x v="8"/>
    <x v="18"/>
    <x v="6"/>
    <s v="UAE"/>
    <x v="0"/>
    <x v="8"/>
    <n v="33325"/>
    <n v="40510"/>
  </r>
  <r>
    <s v="ORD09972"/>
    <d v="2025-04-17T00:00:00"/>
    <x v="7"/>
    <x v="20"/>
    <x v="1"/>
    <s v="China"/>
    <x v="0"/>
    <x v="0"/>
    <n v="26793"/>
    <n v="20330"/>
  </r>
  <r>
    <s v="ORD09973"/>
    <d v="2025-09-02T00:00:00"/>
    <x v="3"/>
    <x v="4"/>
    <x v="3"/>
    <s v="India"/>
    <x v="32"/>
    <x v="26"/>
    <n v="22374"/>
    <n v="26866"/>
  </r>
  <r>
    <s v="ORD09974"/>
    <d v="2025-01-24T00:00:00"/>
    <x v="1"/>
    <x v="7"/>
    <x v="4"/>
    <s v="Germany"/>
    <x v="20"/>
    <x v="14"/>
    <n v="15012"/>
    <n v="16848"/>
  </r>
  <r>
    <s v="ORD09975"/>
    <d v="2025-10-20T00:00:00"/>
    <x v="4"/>
    <x v="50"/>
    <x v="4"/>
    <s v="Japan"/>
    <x v="48"/>
    <x v="16"/>
    <n v="25820"/>
    <n v="19098"/>
  </r>
  <r>
    <s v="ORD09976"/>
    <d v="2025-06-20T00:00:00"/>
    <x v="5"/>
    <x v="13"/>
    <x v="0"/>
    <s v="Spain"/>
    <x v="26"/>
    <x v="2"/>
    <n v="22730"/>
    <n v="26036"/>
  </r>
  <r>
    <s v="ORD09977"/>
    <d v="2025-09-30T00:00:00"/>
    <x v="3"/>
    <x v="49"/>
    <x v="3"/>
    <s v="Germany"/>
    <x v="30"/>
    <x v="27"/>
    <n v="35046"/>
    <n v="31731"/>
  </r>
  <r>
    <s v="ORD09978"/>
    <d v="2025-10-23T00:00:00"/>
    <x v="4"/>
    <x v="50"/>
    <x v="4"/>
    <s v="Malaysia"/>
    <x v="1"/>
    <x v="6"/>
    <n v="38084"/>
    <n v="41499"/>
  </r>
  <r>
    <s v="ORD09979"/>
    <d v="2025-10-22T00:00:00"/>
    <x v="4"/>
    <x v="50"/>
    <x v="3"/>
    <s v="South Africa"/>
    <x v="24"/>
    <x v="1"/>
    <n v="24634"/>
    <n v="20664"/>
  </r>
  <r>
    <s v="ORD09980"/>
    <d v="2025-04-26T00:00:00"/>
    <x v="7"/>
    <x v="38"/>
    <x v="0"/>
    <s v="Germany"/>
    <x v="30"/>
    <x v="5"/>
    <n v="37815"/>
    <n v="40890"/>
  </r>
  <r>
    <s v="ORD09981"/>
    <d v="2025-01-13T00:00:00"/>
    <x v="1"/>
    <x v="1"/>
    <x v="0"/>
    <s v="Singapore"/>
    <x v="18"/>
    <x v="0"/>
    <n v="23690"/>
    <n v="24383"/>
  </r>
  <r>
    <s v="ORD09982"/>
    <d v="2025-05-16T00:00:00"/>
    <x v="8"/>
    <x v="17"/>
    <x v="3"/>
    <s v="Russia"/>
    <x v="24"/>
    <x v="22"/>
    <n v="20582"/>
    <n v="22328"/>
  </r>
  <r>
    <s v="ORD09983"/>
    <d v="2025-03-20T00:00:00"/>
    <x v="9"/>
    <x v="39"/>
    <x v="3"/>
    <s v="France"/>
    <x v="30"/>
    <x v="25"/>
    <n v="23149"/>
    <n v="21419"/>
  </r>
  <r>
    <s v="ORD09984"/>
    <d v="2025-04-16T00:00:00"/>
    <x v="7"/>
    <x v="20"/>
    <x v="6"/>
    <s v="Mexico"/>
    <x v="27"/>
    <x v="18"/>
    <n v="27095"/>
    <n v="32822"/>
  </r>
  <r>
    <s v="ORD09985"/>
    <d v="2025-02-23T00:00:00"/>
    <x v="6"/>
    <x v="15"/>
    <x v="5"/>
    <s v="Canada"/>
    <x v="35"/>
    <x v="1"/>
    <n v="34108"/>
    <n v="37560"/>
  </r>
  <r>
    <s v="ORD09986"/>
    <d v="2025-12-02T00:00:00"/>
    <x v="10"/>
    <x v="43"/>
    <x v="4"/>
    <s v="Brazil"/>
    <x v="16"/>
    <x v="19"/>
    <n v="33424"/>
    <n v="41855"/>
  </r>
  <r>
    <s v="ORD09987"/>
    <d v="2025-05-10T00:00:00"/>
    <x v="8"/>
    <x v="18"/>
    <x v="2"/>
    <s v="France"/>
    <x v="16"/>
    <x v="6"/>
    <n v="17970"/>
    <n v="21658"/>
  </r>
  <r>
    <s v="ORD09988"/>
    <d v="2025-10-26T00:00:00"/>
    <x v="4"/>
    <x v="50"/>
    <x v="4"/>
    <s v="France"/>
    <x v="37"/>
    <x v="7"/>
    <n v="18537"/>
    <n v="24079"/>
  </r>
  <r>
    <s v="ORD09989"/>
    <d v="2025-03-01T00:00:00"/>
    <x v="9"/>
    <x v="22"/>
    <x v="5"/>
    <s v="Thailand"/>
    <x v="20"/>
    <x v="11"/>
    <n v="34317"/>
    <n v="32112"/>
  </r>
  <r>
    <s v="ORD09990"/>
    <d v="2025-01-31T00:00:00"/>
    <x v="1"/>
    <x v="3"/>
    <x v="4"/>
    <s v="Canada"/>
    <x v="31"/>
    <x v="9"/>
    <n v="17523"/>
    <n v="20882"/>
  </r>
  <r>
    <s v="ORD09991"/>
    <d v="2025-01-10T00:00:00"/>
    <x v="1"/>
    <x v="6"/>
    <x v="3"/>
    <s v="France"/>
    <x v="15"/>
    <x v="16"/>
    <n v="38794"/>
    <n v="40356"/>
  </r>
  <r>
    <s v="ORD09992"/>
    <d v="2025-07-06T00:00:00"/>
    <x v="0"/>
    <x v="37"/>
    <x v="1"/>
    <s v="South Africa"/>
    <x v="26"/>
    <x v="4"/>
    <n v="22574"/>
    <n v="18653"/>
  </r>
  <r>
    <s v="ORD09993"/>
    <d v="2025-08-27T00:00:00"/>
    <x v="11"/>
    <x v="28"/>
    <x v="5"/>
    <s v="Malaysia"/>
    <x v="2"/>
    <x v="26"/>
    <n v="22826"/>
    <n v="27689"/>
  </r>
  <r>
    <s v="ORD09994"/>
    <d v="2025-11-25T00:00:00"/>
    <x v="2"/>
    <x v="11"/>
    <x v="0"/>
    <s v="India"/>
    <x v="15"/>
    <x v="28"/>
    <n v="32180"/>
    <n v="32421"/>
  </r>
  <r>
    <s v="ORD09995"/>
    <d v="2025-02-25T00:00:00"/>
    <x v="6"/>
    <x v="22"/>
    <x v="4"/>
    <s v="Spain"/>
    <x v="22"/>
    <x v="2"/>
    <n v="25573"/>
    <n v="23385"/>
  </r>
  <r>
    <s v="ORD09996"/>
    <d v="2025-02-09T00:00:00"/>
    <x v="6"/>
    <x v="48"/>
    <x v="0"/>
    <s v="Turkey"/>
    <x v="44"/>
    <x v="26"/>
    <n v="31673"/>
    <n v="37355"/>
  </r>
  <r>
    <s v="ORD09997"/>
    <d v="2025-12-19T00:00:00"/>
    <x v="10"/>
    <x v="21"/>
    <x v="6"/>
    <s v="UAE"/>
    <x v="17"/>
    <x v="3"/>
    <n v="22881"/>
    <n v="27290"/>
  </r>
  <r>
    <s v="ORD09998"/>
    <d v="2025-12-09T00:00:00"/>
    <x v="10"/>
    <x v="32"/>
    <x v="1"/>
    <s v="South Africa"/>
    <x v="12"/>
    <x v="29"/>
    <n v="26388"/>
    <n v="25098"/>
  </r>
  <r>
    <s v="ORD09999"/>
    <d v="2025-01-12T00:00:00"/>
    <x v="1"/>
    <x v="6"/>
    <x v="0"/>
    <s v="Turkey"/>
    <x v="46"/>
    <x v="15"/>
    <n v="19296"/>
    <n v="19909"/>
  </r>
  <r>
    <s v="ORD10000"/>
    <d v="2025-01-10T00:00:00"/>
    <x v="1"/>
    <x v="6"/>
    <x v="5"/>
    <s v="Italy"/>
    <x v="35"/>
    <x v="7"/>
    <n v="19996"/>
    <n v="251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353D3F-DDC1-4AC4-99DA-F190FB3487A5}"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82:H95" firstHeaderRow="1" firstDataRow="1" firstDataCol="1"/>
  <pivotFields count="10">
    <pivotField showAll="0"/>
    <pivotField numFmtId="164" showAll="0"/>
    <pivotField axis="axisRow" showAll="0">
      <items count="13">
        <item x="1"/>
        <item x="6"/>
        <item x="9"/>
        <item x="7"/>
        <item x="8"/>
        <item x="5"/>
        <item x="0"/>
        <item x="11"/>
        <item x="3"/>
        <item x="4"/>
        <item x="2"/>
        <item x="10"/>
        <item t="default"/>
      </items>
    </pivotField>
    <pivotField showAll="0"/>
    <pivotField showAll="0"/>
    <pivotField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AF6EBE-A0CE-463A-9ADC-0B93DD3D12CE}"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1:C85" firstHeaderRow="1" firstDataRow="1" firstDataCol="1"/>
  <pivotFields count="10">
    <pivotField showAll="0"/>
    <pivotField numFmtId="164" showAll="0"/>
    <pivotField showAll="0"/>
    <pivotField showAll="0"/>
    <pivotField showAll="0"/>
    <pivotField showAll="0"/>
    <pivotField axis="axisRow" showAll="0" measureFilter="1">
      <items count="51">
        <item x="7"/>
        <item x="21"/>
        <item x="20"/>
        <item x="18"/>
        <item x="40"/>
        <item x="0"/>
        <item x="36"/>
        <item x="33"/>
        <item x="29"/>
        <item x="6"/>
        <item x="26"/>
        <item x="9"/>
        <item x="46"/>
        <item x="10"/>
        <item x="32"/>
        <item x="13"/>
        <item x="31"/>
        <item x="43"/>
        <item x="12"/>
        <item x="8"/>
        <item x="23"/>
        <item x="44"/>
        <item x="38"/>
        <item x="15"/>
        <item x="42"/>
        <item x="3"/>
        <item x="19"/>
        <item x="47"/>
        <item x="48"/>
        <item x="11"/>
        <item x="25"/>
        <item x="5"/>
        <item x="27"/>
        <item x="49"/>
        <item x="37"/>
        <item x="28"/>
        <item x="24"/>
        <item x="39"/>
        <item x="41"/>
        <item x="34"/>
        <item x="30"/>
        <item x="22"/>
        <item x="4"/>
        <item x="16"/>
        <item x="2"/>
        <item x="1"/>
        <item x="14"/>
        <item x="17"/>
        <item x="45"/>
        <item x="35"/>
        <item t="default"/>
      </items>
    </pivotField>
    <pivotField showAll="0"/>
    <pivotField showAll="0"/>
    <pivotField dataField="1" showAll="0"/>
  </pivotFields>
  <rowFields count="1">
    <field x="6"/>
  </rowFields>
  <rowItems count="4">
    <i>
      <x v="6"/>
    </i>
    <i>
      <x v="41"/>
    </i>
    <i>
      <x v="45"/>
    </i>
    <i t="grand">
      <x/>
    </i>
  </rowItems>
  <colItems count="1">
    <i/>
  </colItems>
  <dataFields count="1">
    <dataField name="Sum of ActualSales" fld="9" baseField="0" baseItem="0"/>
  </dataFields>
  <pivotTableStyleInfo name="PivotStyleLight16" showRowHeaders="1" showColHeaders="1" showRowStripes="0" showColStripes="0" showLastColumn="1"/>
  <filters count="1">
    <filter fld="6"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92A5F4-9C0D-42A8-9C69-E694F90B7086}"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E66:F74" firstHeaderRow="1" firstDataRow="1" firstDataCol="1"/>
  <pivotFields count="10">
    <pivotField showAll="0"/>
    <pivotField numFmtId="164" showAll="0"/>
    <pivotField showAll="0"/>
    <pivotField showAll="0"/>
    <pivotField axis="axisRow" showAll="0">
      <items count="8">
        <item x="0"/>
        <item x="5"/>
        <item x="4"/>
        <item x="1"/>
        <item x="2"/>
        <item x="6"/>
        <item x="3"/>
        <item t="default"/>
      </items>
    </pivotField>
    <pivotField showAll="0"/>
    <pivotField showAll="0"/>
    <pivotField showAll="0"/>
    <pivotField showAll="0"/>
    <pivotField dataField="1" showAll="0"/>
  </pivotFields>
  <rowFields count="1">
    <field x="4"/>
  </rowFields>
  <rowItems count="8">
    <i>
      <x/>
    </i>
    <i>
      <x v="1"/>
    </i>
    <i>
      <x v="2"/>
    </i>
    <i>
      <x v="3"/>
    </i>
    <i>
      <x v="4"/>
    </i>
    <i>
      <x v="5"/>
    </i>
    <i>
      <x v="6"/>
    </i>
    <i t="grand">
      <x/>
    </i>
  </rowItems>
  <colItems count="1">
    <i/>
  </colItems>
  <dataFields count="1">
    <dataField name="Sum of ActualSales" fld="9" baseField="0" baseItem="0"/>
  </dataFields>
  <chartFormats count="9">
    <chartFormat chart="9" format="0"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0"/>
          </reference>
        </references>
      </pivotArea>
    </chartFormat>
    <chartFormat chart="16" format="10">
      <pivotArea type="data" outline="0" fieldPosition="0">
        <references count="2">
          <reference field="4294967294" count="1" selected="0">
            <x v="0"/>
          </reference>
          <reference field="4" count="1" selected="0">
            <x v="0"/>
          </reference>
        </references>
      </pivotArea>
    </chartFormat>
    <chartFormat chart="16" format="11">
      <pivotArea type="data" outline="0" fieldPosition="0">
        <references count="2">
          <reference field="4294967294" count="1" selected="0">
            <x v="0"/>
          </reference>
          <reference field="4" count="1" selected="0">
            <x v="1"/>
          </reference>
        </references>
      </pivotArea>
    </chartFormat>
    <chartFormat chart="16" format="12">
      <pivotArea type="data" outline="0" fieldPosition="0">
        <references count="2">
          <reference field="4294967294" count="1" selected="0">
            <x v="0"/>
          </reference>
          <reference field="4" count="1" selected="0">
            <x v="2"/>
          </reference>
        </references>
      </pivotArea>
    </chartFormat>
    <chartFormat chart="16" format="13">
      <pivotArea type="data" outline="0" fieldPosition="0">
        <references count="2">
          <reference field="4294967294" count="1" selected="0">
            <x v="0"/>
          </reference>
          <reference field="4" count="1" selected="0">
            <x v="3"/>
          </reference>
        </references>
      </pivotArea>
    </chartFormat>
    <chartFormat chart="16" format="14">
      <pivotArea type="data" outline="0" fieldPosition="0">
        <references count="2">
          <reference field="4294967294" count="1" selected="0">
            <x v="0"/>
          </reference>
          <reference field="4" count="1" selected="0">
            <x v="4"/>
          </reference>
        </references>
      </pivotArea>
    </chartFormat>
    <chartFormat chart="16" format="15">
      <pivotArea type="data" outline="0" fieldPosition="0">
        <references count="2">
          <reference field="4294967294" count="1" selected="0">
            <x v="0"/>
          </reference>
          <reference field="4" count="1" selected="0">
            <x v="5"/>
          </reference>
        </references>
      </pivotArea>
    </chartFormat>
    <chartFormat chart="16" format="16">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363FC1-FC23-4FEE-BA4F-30D183B9DE53}"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43:F54" firstHeaderRow="1" firstDataRow="1" firstDataCol="1"/>
  <pivotFields count="10">
    <pivotField showAll="0"/>
    <pivotField numFmtId="164" showAll="0"/>
    <pivotField showAll="0"/>
    <pivotField showAll="0"/>
    <pivotField showAll="0"/>
    <pivotField showAll="0"/>
    <pivotField showAll="0"/>
    <pivotField axis="axisRow" showAll="0" measureFilter="1">
      <items count="31">
        <item x="15"/>
        <item x="5"/>
        <item x="3"/>
        <item x="17"/>
        <item x="10"/>
        <item x="7"/>
        <item x="19"/>
        <item x="4"/>
        <item x="8"/>
        <item x="23"/>
        <item x="6"/>
        <item x="21"/>
        <item x="16"/>
        <item x="2"/>
        <item x="12"/>
        <item x="25"/>
        <item x="20"/>
        <item x="1"/>
        <item x="18"/>
        <item x="13"/>
        <item x="27"/>
        <item x="26"/>
        <item x="0"/>
        <item x="24"/>
        <item x="14"/>
        <item x="9"/>
        <item x="29"/>
        <item x="28"/>
        <item x="22"/>
        <item x="11"/>
        <item t="default"/>
      </items>
    </pivotField>
    <pivotField showAll="0"/>
    <pivotField dataField="1" showAll="0"/>
  </pivotFields>
  <rowFields count="1">
    <field x="7"/>
  </rowFields>
  <rowItems count="11">
    <i>
      <x/>
    </i>
    <i>
      <x v="3"/>
    </i>
    <i>
      <x v="5"/>
    </i>
    <i>
      <x v="7"/>
    </i>
    <i>
      <x v="13"/>
    </i>
    <i>
      <x v="18"/>
    </i>
    <i>
      <x v="19"/>
    </i>
    <i>
      <x v="20"/>
    </i>
    <i>
      <x v="22"/>
    </i>
    <i>
      <x v="24"/>
    </i>
    <i t="grand">
      <x/>
    </i>
  </rowItems>
  <colItems count="1">
    <i/>
  </colItems>
  <dataFields count="1">
    <dataField name="Sum of ActualSales"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8046AD-69AB-4435-A8C2-2467E2C02F58}"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1:B74" firstHeaderRow="1" firstDataRow="1" firstDataCol="1"/>
  <pivotFields count="10">
    <pivotField showAll="0"/>
    <pivotField numFmtId="164" showAll="0"/>
    <pivotField showAll="0"/>
    <pivotField axis="axisRow" showAll="0">
      <items count="53">
        <item x="5"/>
        <item x="6"/>
        <item x="1"/>
        <item x="7"/>
        <item x="3"/>
        <item x="48"/>
        <item x="29"/>
        <item x="15"/>
        <item x="22"/>
        <item x="35"/>
        <item x="19"/>
        <item x="39"/>
        <item x="33"/>
        <item x="34"/>
        <item x="16"/>
        <item x="20"/>
        <item x="38"/>
        <item x="27"/>
        <item x="18"/>
        <item x="17"/>
        <item x="26"/>
        <item x="24"/>
        <item x="41"/>
        <item x="40"/>
        <item x="13"/>
        <item x="36"/>
        <item x="37"/>
        <item x="47"/>
        <item x="14"/>
        <item x="0"/>
        <item x="12"/>
        <item x="23"/>
        <item x="30"/>
        <item x="46"/>
        <item x="28"/>
        <item x="4"/>
        <item x="31"/>
        <item x="8"/>
        <item x="25"/>
        <item x="49"/>
        <item x="45"/>
        <item x="10"/>
        <item x="50"/>
        <item x="2"/>
        <item x="51"/>
        <item x="44"/>
        <item x="9"/>
        <item x="11"/>
        <item x="43"/>
        <item x="32"/>
        <item x="21"/>
        <item x="42"/>
        <item t="default"/>
      </items>
    </pivotField>
    <pivotField showAll="0"/>
    <pivotField showAll="0"/>
    <pivotField showAll="0"/>
    <pivotField showAll="0"/>
    <pivotField showAll="0"/>
    <pivotField dataField="1" showAll="0"/>
  </pivotFields>
  <rowFields count="1">
    <field x="3"/>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rowItems>
  <colItems count="1">
    <i/>
  </colItems>
  <dataFields count="1">
    <dataField name="Sum of ActualSales" fld="9"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5C4E8F-BB96-46EF-A114-2600126FB97C}"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16" firstHeaderRow="0" firstDataRow="1" firstDataCol="1"/>
  <pivotFields count="10">
    <pivotField showAll="0"/>
    <pivotField numFmtId="164" showAll="0"/>
    <pivotField axis="axisRow" showAll="0">
      <items count="13">
        <item x="1"/>
        <item x="6"/>
        <item x="9"/>
        <item x="7"/>
        <item x="8"/>
        <item x="5"/>
        <item x="0"/>
        <item x="11"/>
        <item x="3"/>
        <item x="4"/>
        <item x="2"/>
        <item x="10"/>
        <item t="default"/>
      </items>
    </pivotField>
    <pivotField showAll="0"/>
    <pivotField showAll="0"/>
    <pivotField showAll="0"/>
    <pivotField showAll="0"/>
    <pivotField showAll="0"/>
    <pivotField dataField="1" showAll="0"/>
    <pivotField dataField="1" showAll="0"/>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TargetSales" fld="8" baseField="0" baseItem="0"/>
    <dataField name="Sum of ActualSales" fld="9"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DC95D57-8ADC-4B3C-980A-1F772083E569}" sourceName="Month">
  <pivotTables>
    <pivotTable tabId="4" name="PivotTable6"/>
  </pivotTables>
  <data>
    <tabular pivotCacheId="57221503">
      <items count="12">
        <i x="1" s="1"/>
        <i x="6" s="1"/>
        <i x="9" s="1"/>
        <i x="7" s="1"/>
        <i x="8" s="1"/>
        <i x="5" s="1"/>
        <i x="0" s="1"/>
        <i x="11" s="1"/>
        <i x="3" s="1"/>
        <i x="4" s="1"/>
        <i x="2"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8D06101D-044F-42C1-B17E-40D3525C4762}" cache="Slicer_Month" caption="Mont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54339F15-FA95-4A69-A28F-F4C41CBD01D1}" cache="Slicer_Month" caption="Month" columnCount="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DA2F8-49C2-4E78-8F26-6BDF9138C374}">
  <dimension ref="A3:H95"/>
  <sheetViews>
    <sheetView topLeftCell="A79" workbookViewId="0">
      <selection activeCell="H82" sqref="H82:H95"/>
    </sheetView>
  </sheetViews>
  <sheetFormatPr defaultRowHeight="14.4" x14ac:dyDescent="0.3"/>
  <cols>
    <col min="1" max="2" width="12.5546875" bestFit="1" customWidth="1"/>
    <col min="3" max="3" width="17.21875" bestFit="1" customWidth="1"/>
    <col min="5" max="5" width="12.5546875" bestFit="1" customWidth="1"/>
    <col min="6" max="6" width="17.21875" bestFit="1" customWidth="1"/>
    <col min="8" max="8" width="12.5546875" bestFit="1" customWidth="1"/>
  </cols>
  <sheetData>
    <row r="3" spans="1:3" x14ac:dyDescent="0.3">
      <c r="A3" s="3" t="s">
        <v>10131</v>
      </c>
      <c r="B3" t="s">
        <v>10129</v>
      </c>
      <c r="C3" t="s">
        <v>10130</v>
      </c>
    </row>
    <row r="4" spans="1:3" x14ac:dyDescent="0.3">
      <c r="A4" s="4" t="s">
        <v>17</v>
      </c>
      <c r="B4" s="2">
        <v>24113980</v>
      </c>
      <c r="C4" s="2">
        <v>24280637</v>
      </c>
    </row>
    <row r="5" spans="1:3" x14ac:dyDescent="0.3">
      <c r="A5" s="4" t="s">
        <v>82</v>
      </c>
      <c r="B5" s="2">
        <v>20086449</v>
      </c>
      <c r="C5" s="2">
        <v>20079094</v>
      </c>
    </row>
    <row r="6" spans="1:3" x14ac:dyDescent="0.3">
      <c r="A6" s="4" t="s">
        <v>95</v>
      </c>
      <c r="B6" s="2">
        <v>22636831</v>
      </c>
      <c r="C6" s="2">
        <v>22645660</v>
      </c>
    </row>
    <row r="7" spans="1:3" x14ac:dyDescent="0.3">
      <c r="A7" s="4" t="s">
        <v>86</v>
      </c>
      <c r="B7" s="2">
        <v>21090928</v>
      </c>
      <c r="C7" s="2">
        <v>21094966</v>
      </c>
    </row>
    <row r="8" spans="1:3" x14ac:dyDescent="0.3">
      <c r="A8" s="4" t="s">
        <v>90</v>
      </c>
      <c r="B8" s="2">
        <v>23741565</v>
      </c>
      <c r="C8" s="2">
        <v>23836034</v>
      </c>
    </row>
    <row r="9" spans="1:3" x14ac:dyDescent="0.3">
      <c r="A9" s="4" t="s">
        <v>74</v>
      </c>
      <c r="B9" s="2">
        <v>21358975</v>
      </c>
      <c r="C9" s="2">
        <v>21359401</v>
      </c>
    </row>
    <row r="10" spans="1:3" x14ac:dyDescent="0.3">
      <c r="A10" s="4" t="s">
        <v>11</v>
      </c>
      <c r="B10" s="2">
        <v>24087163</v>
      </c>
      <c r="C10" s="2">
        <v>23993919</v>
      </c>
    </row>
    <row r="11" spans="1:3" x14ac:dyDescent="0.3">
      <c r="A11" s="4" t="s">
        <v>113</v>
      </c>
      <c r="B11" s="2">
        <v>24795589</v>
      </c>
      <c r="C11" s="2">
        <v>24503074</v>
      </c>
    </row>
    <row r="12" spans="1:3" x14ac:dyDescent="0.3">
      <c r="A12" s="4" t="s">
        <v>38</v>
      </c>
      <c r="B12" s="2">
        <v>24007463</v>
      </c>
      <c r="C12" s="2">
        <v>23987112</v>
      </c>
    </row>
    <row r="13" spans="1:3" x14ac:dyDescent="0.3">
      <c r="A13" s="4" t="s">
        <v>66</v>
      </c>
      <c r="B13" s="2">
        <v>23020127</v>
      </c>
      <c r="C13" s="2">
        <v>22920301</v>
      </c>
    </row>
    <row r="14" spans="1:3" x14ac:dyDescent="0.3">
      <c r="A14" s="4" t="s">
        <v>23</v>
      </c>
      <c r="B14" s="2">
        <v>22363079</v>
      </c>
      <c r="C14" s="2">
        <v>22189228</v>
      </c>
    </row>
    <row r="15" spans="1:3" x14ac:dyDescent="0.3">
      <c r="A15" s="4" t="s">
        <v>100</v>
      </c>
      <c r="B15" s="2">
        <v>23919085</v>
      </c>
      <c r="C15" s="2">
        <v>23906358</v>
      </c>
    </row>
    <row r="16" spans="1:3" x14ac:dyDescent="0.3">
      <c r="A16" s="4" t="s">
        <v>10132</v>
      </c>
      <c r="B16" s="2">
        <v>275221234</v>
      </c>
      <c r="C16" s="2">
        <v>274795784</v>
      </c>
    </row>
    <row r="21" spans="1:2" x14ac:dyDescent="0.3">
      <c r="A21" s="3" t="s">
        <v>10131</v>
      </c>
      <c r="B21" t="s">
        <v>10130</v>
      </c>
    </row>
    <row r="22" spans="1:2" x14ac:dyDescent="0.3">
      <c r="A22" s="4">
        <v>1</v>
      </c>
      <c r="B22" s="2">
        <v>6171434</v>
      </c>
    </row>
    <row r="23" spans="1:2" x14ac:dyDescent="0.3">
      <c r="A23" s="4">
        <v>2</v>
      </c>
      <c r="B23" s="2">
        <v>5753140</v>
      </c>
    </row>
    <row r="24" spans="1:2" x14ac:dyDescent="0.3">
      <c r="A24" s="4">
        <v>3</v>
      </c>
      <c r="B24" s="2">
        <v>5557298</v>
      </c>
    </row>
    <row r="25" spans="1:2" x14ac:dyDescent="0.3">
      <c r="A25" s="4">
        <v>4</v>
      </c>
      <c r="B25" s="2">
        <v>5630411</v>
      </c>
    </row>
    <row r="26" spans="1:2" x14ac:dyDescent="0.3">
      <c r="A26" s="4">
        <v>5</v>
      </c>
      <c r="B26" s="2">
        <v>4893211</v>
      </c>
    </row>
    <row r="27" spans="1:2" x14ac:dyDescent="0.3">
      <c r="A27" s="4">
        <v>6</v>
      </c>
      <c r="B27" s="2">
        <v>5343498</v>
      </c>
    </row>
    <row r="28" spans="1:2" x14ac:dyDescent="0.3">
      <c r="A28" s="4">
        <v>7</v>
      </c>
      <c r="B28" s="2">
        <v>4205085</v>
      </c>
    </row>
    <row r="29" spans="1:2" x14ac:dyDescent="0.3">
      <c r="A29" s="4">
        <v>8</v>
      </c>
      <c r="B29" s="2">
        <v>5141169</v>
      </c>
    </row>
    <row r="30" spans="1:2" x14ac:dyDescent="0.3">
      <c r="A30" s="4">
        <v>9</v>
      </c>
      <c r="B30" s="2">
        <v>5801272</v>
      </c>
    </row>
    <row r="31" spans="1:2" x14ac:dyDescent="0.3">
      <c r="A31" s="4">
        <v>10</v>
      </c>
      <c r="B31" s="2">
        <v>4816134</v>
      </c>
    </row>
    <row r="32" spans="1:2" x14ac:dyDescent="0.3">
      <c r="A32" s="4">
        <v>11</v>
      </c>
      <c r="B32" s="2">
        <v>5022510</v>
      </c>
    </row>
    <row r="33" spans="1:6" x14ac:dyDescent="0.3">
      <c r="A33" s="4">
        <v>12</v>
      </c>
      <c r="B33" s="2">
        <v>4794148</v>
      </c>
    </row>
    <row r="34" spans="1:6" x14ac:dyDescent="0.3">
      <c r="A34" s="4">
        <v>13</v>
      </c>
      <c r="B34" s="2">
        <v>5271067</v>
      </c>
    </row>
    <row r="35" spans="1:6" x14ac:dyDescent="0.3">
      <c r="A35" s="4">
        <v>14</v>
      </c>
      <c r="B35" s="2">
        <v>5285638</v>
      </c>
    </row>
    <row r="36" spans="1:6" x14ac:dyDescent="0.3">
      <c r="A36" s="4">
        <v>15</v>
      </c>
      <c r="B36" s="2">
        <v>4678334</v>
      </c>
    </row>
    <row r="37" spans="1:6" x14ac:dyDescent="0.3">
      <c r="A37" s="4">
        <v>16</v>
      </c>
      <c r="B37" s="2">
        <v>5108003</v>
      </c>
    </row>
    <row r="38" spans="1:6" x14ac:dyDescent="0.3">
      <c r="A38" s="4">
        <v>17</v>
      </c>
      <c r="B38" s="2">
        <v>4781561</v>
      </c>
    </row>
    <row r="39" spans="1:6" x14ac:dyDescent="0.3">
      <c r="A39" s="4">
        <v>18</v>
      </c>
      <c r="B39" s="2">
        <v>5875434</v>
      </c>
    </row>
    <row r="40" spans="1:6" x14ac:dyDescent="0.3">
      <c r="A40" s="4">
        <v>19</v>
      </c>
      <c r="B40" s="2">
        <v>5607859</v>
      </c>
    </row>
    <row r="41" spans="1:6" x14ac:dyDescent="0.3">
      <c r="A41" s="4">
        <v>20</v>
      </c>
      <c r="B41" s="2">
        <v>4736450</v>
      </c>
    </row>
    <row r="42" spans="1:6" x14ac:dyDescent="0.3">
      <c r="A42" s="4">
        <v>21</v>
      </c>
      <c r="B42" s="2">
        <v>5026142</v>
      </c>
    </row>
    <row r="43" spans="1:6" x14ac:dyDescent="0.3">
      <c r="A43" s="4">
        <v>22</v>
      </c>
      <c r="B43" s="2">
        <v>5139925</v>
      </c>
      <c r="E43" s="3" t="s">
        <v>10131</v>
      </c>
      <c r="F43" t="s">
        <v>10130</v>
      </c>
    </row>
    <row r="44" spans="1:6" x14ac:dyDescent="0.3">
      <c r="A44" s="4">
        <v>23</v>
      </c>
      <c r="B44" s="2">
        <v>4669970</v>
      </c>
      <c r="E44" s="4" t="s">
        <v>98</v>
      </c>
      <c r="F44" s="2">
        <v>9792929</v>
      </c>
    </row>
    <row r="45" spans="1:6" x14ac:dyDescent="0.3">
      <c r="A45" s="4">
        <v>24</v>
      </c>
      <c r="B45" s="2">
        <v>5128072</v>
      </c>
      <c r="E45" s="4" t="s">
        <v>111</v>
      </c>
      <c r="F45" s="2">
        <v>9594063</v>
      </c>
    </row>
    <row r="46" spans="1:6" x14ac:dyDescent="0.3">
      <c r="A46" s="4">
        <v>25</v>
      </c>
      <c r="B46" s="2">
        <v>4948324</v>
      </c>
      <c r="E46" s="4" t="s">
        <v>52</v>
      </c>
      <c r="F46" s="2">
        <v>10233503</v>
      </c>
    </row>
    <row r="47" spans="1:6" x14ac:dyDescent="0.3">
      <c r="A47" s="4">
        <v>26</v>
      </c>
      <c r="B47" s="2">
        <v>5305902</v>
      </c>
      <c r="E47" s="4" t="s">
        <v>36</v>
      </c>
      <c r="F47" s="2">
        <v>9954029</v>
      </c>
    </row>
    <row r="48" spans="1:6" x14ac:dyDescent="0.3">
      <c r="A48" s="4">
        <v>27</v>
      </c>
      <c r="B48" s="2">
        <v>5942496</v>
      </c>
      <c r="E48" s="4" t="s">
        <v>27</v>
      </c>
      <c r="F48" s="2">
        <v>9747980</v>
      </c>
    </row>
    <row r="49" spans="1:6" x14ac:dyDescent="0.3">
      <c r="A49" s="4">
        <v>28</v>
      </c>
      <c r="B49" s="2">
        <v>4773110</v>
      </c>
      <c r="E49" s="4" t="s">
        <v>116</v>
      </c>
      <c r="F49" s="2">
        <v>9844399</v>
      </c>
    </row>
    <row r="50" spans="1:6" x14ac:dyDescent="0.3">
      <c r="A50" s="4">
        <v>29</v>
      </c>
      <c r="B50" s="2">
        <v>5392519</v>
      </c>
      <c r="E50" s="4" t="s">
        <v>84</v>
      </c>
      <c r="F50" s="2">
        <v>9801281</v>
      </c>
    </row>
    <row r="51" spans="1:6" x14ac:dyDescent="0.3">
      <c r="A51" s="4">
        <v>30</v>
      </c>
      <c r="B51" s="2">
        <v>5560283</v>
      </c>
      <c r="E51" s="4" t="s">
        <v>188</v>
      </c>
      <c r="F51" s="2">
        <v>10130248</v>
      </c>
    </row>
    <row r="52" spans="1:6" x14ac:dyDescent="0.3">
      <c r="A52" s="4">
        <v>31</v>
      </c>
      <c r="B52" s="2">
        <v>5361127</v>
      </c>
      <c r="E52" s="4" t="s">
        <v>15</v>
      </c>
      <c r="F52" s="2">
        <v>9456547</v>
      </c>
    </row>
    <row r="53" spans="1:6" x14ac:dyDescent="0.3">
      <c r="A53" s="4">
        <v>32</v>
      </c>
      <c r="B53" s="2">
        <v>5567822</v>
      </c>
      <c r="E53" s="4" t="s">
        <v>96</v>
      </c>
      <c r="F53" s="2">
        <v>9534721</v>
      </c>
    </row>
    <row r="54" spans="1:6" x14ac:dyDescent="0.3">
      <c r="A54" s="4">
        <v>33</v>
      </c>
      <c r="B54" s="2">
        <v>5205245</v>
      </c>
      <c r="E54" s="4" t="s">
        <v>10132</v>
      </c>
      <c r="F54" s="2">
        <v>98089700</v>
      </c>
    </row>
    <row r="55" spans="1:6" x14ac:dyDescent="0.3">
      <c r="A55" s="4">
        <v>34</v>
      </c>
      <c r="B55" s="2">
        <v>5251112</v>
      </c>
    </row>
    <row r="56" spans="1:6" x14ac:dyDescent="0.3">
      <c r="A56" s="4">
        <v>35</v>
      </c>
      <c r="B56" s="2">
        <v>6310133</v>
      </c>
    </row>
    <row r="57" spans="1:6" x14ac:dyDescent="0.3">
      <c r="A57" s="4">
        <v>36</v>
      </c>
      <c r="B57" s="2">
        <v>5635928</v>
      </c>
    </row>
    <row r="58" spans="1:6" x14ac:dyDescent="0.3">
      <c r="A58" s="4">
        <v>37</v>
      </c>
      <c r="B58" s="2">
        <v>5456261</v>
      </c>
    </row>
    <row r="59" spans="1:6" x14ac:dyDescent="0.3">
      <c r="A59" s="4">
        <v>38</v>
      </c>
      <c r="B59" s="2">
        <v>5374516</v>
      </c>
    </row>
    <row r="60" spans="1:6" x14ac:dyDescent="0.3">
      <c r="A60" s="4">
        <v>39</v>
      </c>
      <c r="B60" s="2">
        <v>5940347</v>
      </c>
    </row>
    <row r="61" spans="1:6" x14ac:dyDescent="0.3">
      <c r="A61" s="4">
        <v>40</v>
      </c>
      <c r="B61" s="2">
        <v>5486937</v>
      </c>
    </row>
    <row r="62" spans="1:6" x14ac:dyDescent="0.3">
      <c r="A62" s="4">
        <v>41</v>
      </c>
      <c r="B62" s="2">
        <v>4795672</v>
      </c>
    </row>
    <row r="63" spans="1:6" x14ac:dyDescent="0.3">
      <c r="A63" s="4">
        <v>42</v>
      </c>
      <c r="B63" s="2">
        <v>5119940</v>
      </c>
    </row>
    <row r="64" spans="1:6" x14ac:dyDescent="0.3">
      <c r="A64" s="4">
        <v>43</v>
      </c>
      <c r="B64" s="2">
        <v>5351092</v>
      </c>
    </row>
    <row r="65" spans="1:6" x14ac:dyDescent="0.3">
      <c r="A65" s="4">
        <v>44</v>
      </c>
      <c r="B65" s="2">
        <v>5244859</v>
      </c>
    </row>
    <row r="66" spans="1:6" x14ac:dyDescent="0.3">
      <c r="A66" s="4">
        <v>45</v>
      </c>
      <c r="B66" s="2">
        <v>5016988</v>
      </c>
      <c r="E66" s="3" t="s">
        <v>10131</v>
      </c>
      <c r="F66" t="s">
        <v>10130</v>
      </c>
    </row>
    <row r="67" spans="1:6" x14ac:dyDescent="0.3">
      <c r="A67" s="4">
        <v>46</v>
      </c>
      <c r="B67" s="2">
        <v>5570703</v>
      </c>
      <c r="E67" s="4" t="s">
        <v>12</v>
      </c>
      <c r="F67" s="2">
        <v>37595767</v>
      </c>
    </row>
    <row r="68" spans="1:6" x14ac:dyDescent="0.3">
      <c r="A68" s="4">
        <v>47</v>
      </c>
      <c r="B68" s="2">
        <v>4830003</v>
      </c>
      <c r="E68" s="4" t="s">
        <v>61</v>
      </c>
      <c r="F68" s="2">
        <v>40104181</v>
      </c>
    </row>
    <row r="69" spans="1:6" x14ac:dyDescent="0.3">
      <c r="A69" s="4">
        <v>48</v>
      </c>
      <c r="B69" s="2">
        <v>5273395</v>
      </c>
      <c r="E69" s="4" t="s">
        <v>39</v>
      </c>
      <c r="F69" s="2">
        <v>39096265</v>
      </c>
    </row>
    <row r="70" spans="1:6" x14ac:dyDescent="0.3">
      <c r="A70" s="4">
        <v>49</v>
      </c>
      <c r="B70" s="2">
        <v>5171451</v>
      </c>
      <c r="E70" s="4" t="s">
        <v>18</v>
      </c>
      <c r="F70" s="2">
        <v>39566010</v>
      </c>
    </row>
    <row r="71" spans="1:6" x14ac:dyDescent="0.3">
      <c r="A71" s="4">
        <v>50</v>
      </c>
      <c r="B71" s="2">
        <v>5413827</v>
      </c>
      <c r="E71" s="4" t="s">
        <v>24</v>
      </c>
      <c r="F71" s="2">
        <v>40093720</v>
      </c>
    </row>
    <row r="72" spans="1:6" x14ac:dyDescent="0.3">
      <c r="A72" s="4">
        <v>51</v>
      </c>
      <c r="B72" s="2">
        <v>5452437</v>
      </c>
      <c r="E72" s="4" t="s">
        <v>70</v>
      </c>
      <c r="F72" s="2">
        <v>38503029</v>
      </c>
    </row>
    <row r="73" spans="1:6" x14ac:dyDescent="0.3">
      <c r="A73" s="4">
        <v>52</v>
      </c>
      <c r="B73" s="2">
        <v>5605590</v>
      </c>
      <c r="E73" s="4" t="s">
        <v>33</v>
      </c>
      <c r="F73" s="2">
        <v>39836812</v>
      </c>
    </row>
    <row r="74" spans="1:6" x14ac:dyDescent="0.3">
      <c r="A74" s="4" t="s">
        <v>10132</v>
      </c>
      <c r="B74" s="2">
        <v>274795784</v>
      </c>
      <c r="E74" s="4" t="s">
        <v>10132</v>
      </c>
      <c r="F74" s="2">
        <v>274795784</v>
      </c>
    </row>
    <row r="81" spans="2:8" x14ac:dyDescent="0.3">
      <c r="B81" s="3" t="s">
        <v>10131</v>
      </c>
      <c r="C81" t="s">
        <v>10130</v>
      </c>
    </row>
    <row r="82" spans="2:8" x14ac:dyDescent="0.3">
      <c r="B82" s="4" t="s">
        <v>182</v>
      </c>
      <c r="C82" s="2">
        <v>6284138</v>
      </c>
      <c r="H82" s="3" t="s">
        <v>10131</v>
      </c>
    </row>
    <row r="83" spans="2:8" x14ac:dyDescent="0.3">
      <c r="B83" s="4" t="s">
        <v>115</v>
      </c>
      <c r="C83" s="2">
        <v>6211479</v>
      </c>
      <c r="H83" s="4" t="s">
        <v>17</v>
      </c>
    </row>
    <row r="84" spans="2:8" x14ac:dyDescent="0.3">
      <c r="B84" s="4" t="s">
        <v>20</v>
      </c>
      <c r="C84" s="2">
        <v>6258232</v>
      </c>
      <c r="H84" s="4" t="s">
        <v>82</v>
      </c>
    </row>
    <row r="85" spans="2:8" x14ac:dyDescent="0.3">
      <c r="B85" s="4" t="s">
        <v>10132</v>
      </c>
      <c r="C85" s="2">
        <v>18753849</v>
      </c>
      <c r="H85" s="4" t="s">
        <v>95</v>
      </c>
    </row>
    <row r="86" spans="2:8" x14ac:dyDescent="0.3">
      <c r="H86" s="4" t="s">
        <v>86</v>
      </c>
    </row>
    <row r="87" spans="2:8" x14ac:dyDescent="0.3">
      <c r="H87" s="4" t="s">
        <v>90</v>
      </c>
    </row>
    <row r="88" spans="2:8" x14ac:dyDescent="0.3">
      <c r="H88" s="4" t="s">
        <v>74</v>
      </c>
    </row>
    <row r="89" spans="2:8" x14ac:dyDescent="0.3">
      <c r="H89" s="4" t="s">
        <v>11</v>
      </c>
    </row>
    <row r="90" spans="2:8" x14ac:dyDescent="0.3">
      <c r="H90" s="4" t="s">
        <v>113</v>
      </c>
    </row>
    <row r="91" spans="2:8" x14ac:dyDescent="0.3">
      <c r="H91" s="4" t="s">
        <v>38</v>
      </c>
    </row>
    <row r="92" spans="2:8" x14ac:dyDescent="0.3">
      <c r="H92" s="4" t="s">
        <v>66</v>
      </c>
    </row>
    <row r="93" spans="2:8" x14ac:dyDescent="0.3">
      <c r="H93" s="4" t="s">
        <v>23</v>
      </c>
    </row>
    <row r="94" spans="2:8" x14ac:dyDescent="0.3">
      <c r="H94" s="4" t="s">
        <v>100</v>
      </c>
    </row>
    <row r="95" spans="2:8" x14ac:dyDescent="0.3">
      <c r="H95" s="4" t="s">
        <v>10132</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01"/>
  <sheetViews>
    <sheetView workbookViewId="0"/>
  </sheetViews>
  <sheetFormatPr defaultRowHeight="14.4" x14ac:dyDescent="0.3"/>
  <sheetData>
    <row r="1" spans="1:10" x14ac:dyDescent="0.3">
      <c r="A1" t="s">
        <v>0</v>
      </c>
      <c r="B1" t="s">
        <v>1</v>
      </c>
      <c r="C1" t="s">
        <v>2</v>
      </c>
      <c r="D1" t="s">
        <v>3</v>
      </c>
      <c r="E1" t="s">
        <v>4</v>
      </c>
      <c r="F1" t="s">
        <v>5</v>
      </c>
      <c r="G1" t="s">
        <v>6</v>
      </c>
      <c r="H1" t="s">
        <v>7</v>
      </c>
      <c r="I1" t="s">
        <v>8</v>
      </c>
      <c r="J1" t="s">
        <v>9</v>
      </c>
    </row>
    <row r="2" spans="1:10" x14ac:dyDescent="0.3">
      <c r="A2" t="s">
        <v>10</v>
      </c>
      <c r="B2" s="1">
        <v>45860</v>
      </c>
      <c r="C2" t="s">
        <v>11</v>
      </c>
      <c r="D2">
        <v>30</v>
      </c>
      <c r="E2" t="s">
        <v>12</v>
      </c>
      <c r="F2" t="s">
        <v>13</v>
      </c>
      <c r="G2" t="s">
        <v>14</v>
      </c>
      <c r="H2" t="s">
        <v>15</v>
      </c>
      <c r="I2">
        <v>19699</v>
      </c>
      <c r="J2">
        <v>24658</v>
      </c>
    </row>
    <row r="3" spans="1:10" x14ac:dyDescent="0.3">
      <c r="A3" t="s">
        <v>16</v>
      </c>
      <c r="B3" s="1">
        <v>45671</v>
      </c>
      <c r="C3" t="s">
        <v>17</v>
      </c>
      <c r="D3">
        <v>3</v>
      </c>
      <c r="E3" t="s">
        <v>18</v>
      </c>
      <c r="F3" t="s">
        <v>19</v>
      </c>
      <c r="G3" t="s">
        <v>20</v>
      </c>
      <c r="H3" t="s">
        <v>21</v>
      </c>
      <c r="I3">
        <v>18760</v>
      </c>
      <c r="J3">
        <v>22952</v>
      </c>
    </row>
    <row r="4" spans="1:10" x14ac:dyDescent="0.3">
      <c r="A4" t="s">
        <v>22</v>
      </c>
      <c r="B4" s="1">
        <v>45963</v>
      </c>
      <c r="C4" t="s">
        <v>23</v>
      </c>
      <c r="D4">
        <v>44</v>
      </c>
      <c r="E4" t="s">
        <v>24</v>
      </c>
      <c r="F4" t="s">
        <v>25</v>
      </c>
      <c r="G4" t="s">
        <v>26</v>
      </c>
      <c r="H4" t="s">
        <v>27</v>
      </c>
      <c r="I4">
        <v>36651</v>
      </c>
      <c r="J4">
        <v>31290</v>
      </c>
    </row>
    <row r="5" spans="1:10" x14ac:dyDescent="0.3">
      <c r="A5" t="s">
        <v>28</v>
      </c>
      <c r="B5" s="1">
        <v>45684</v>
      </c>
      <c r="C5" t="s">
        <v>17</v>
      </c>
      <c r="D5">
        <v>5</v>
      </c>
      <c r="E5" t="s">
        <v>24</v>
      </c>
      <c r="F5" t="s">
        <v>29</v>
      </c>
      <c r="G5" t="s">
        <v>30</v>
      </c>
      <c r="H5" t="s">
        <v>31</v>
      </c>
      <c r="I5">
        <v>24976</v>
      </c>
      <c r="J5">
        <v>27852</v>
      </c>
    </row>
    <row r="6" spans="1:10" x14ac:dyDescent="0.3">
      <c r="A6" t="s">
        <v>32</v>
      </c>
      <c r="B6" s="1">
        <v>45672</v>
      </c>
      <c r="C6" t="s">
        <v>17</v>
      </c>
      <c r="D6">
        <v>3</v>
      </c>
      <c r="E6" t="s">
        <v>33</v>
      </c>
      <c r="F6" t="s">
        <v>34</v>
      </c>
      <c r="G6" t="s">
        <v>35</v>
      </c>
      <c r="H6" t="s">
        <v>36</v>
      </c>
      <c r="I6">
        <v>33159</v>
      </c>
      <c r="J6">
        <v>42189</v>
      </c>
    </row>
    <row r="7" spans="1:10" x14ac:dyDescent="0.3">
      <c r="A7" t="s">
        <v>37</v>
      </c>
      <c r="B7" s="1">
        <v>45902</v>
      </c>
      <c r="C7" t="s">
        <v>38</v>
      </c>
      <c r="D7">
        <v>36</v>
      </c>
      <c r="E7" t="s">
        <v>39</v>
      </c>
      <c r="F7" t="s">
        <v>29</v>
      </c>
      <c r="G7" t="s">
        <v>40</v>
      </c>
      <c r="H7" t="s">
        <v>41</v>
      </c>
      <c r="I7">
        <v>34867</v>
      </c>
      <c r="J7">
        <v>26191</v>
      </c>
    </row>
    <row r="8" spans="1:10" x14ac:dyDescent="0.3">
      <c r="A8" t="s">
        <v>42</v>
      </c>
      <c r="B8" s="1">
        <v>45662</v>
      </c>
      <c r="C8" t="s">
        <v>17</v>
      </c>
      <c r="D8">
        <v>1</v>
      </c>
      <c r="E8" t="s">
        <v>24</v>
      </c>
      <c r="F8" t="s">
        <v>43</v>
      </c>
      <c r="G8" t="s">
        <v>44</v>
      </c>
      <c r="H8" t="s">
        <v>15</v>
      </c>
      <c r="I8">
        <v>29895</v>
      </c>
      <c r="J8">
        <v>33031</v>
      </c>
    </row>
    <row r="9" spans="1:10" x14ac:dyDescent="0.3">
      <c r="A9" t="s">
        <v>45</v>
      </c>
      <c r="B9" s="1">
        <v>45666</v>
      </c>
      <c r="C9" t="s">
        <v>17</v>
      </c>
      <c r="D9">
        <v>2</v>
      </c>
      <c r="E9" t="s">
        <v>24</v>
      </c>
      <c r="F9" t="s">
        <v>46</v>
      </c>
      <c r="G9" t="s">
        <v>47</v>
      </c>
      <c r="H9" t="s">
        <v>48</v>
      </c>
      <c r="I9">
        <v>21059</v>
      </c>
      <c r="J9">
        <v>24375</v>
      </c>
    </row>
    <row r="10" spans="1:10" x14ac:dyDescent="0.3">
      <c r="A10" t="s">
        <v>49</v>
      </c>
      <c r="B10" s="1">
        <v>45677</v>
      </c>
      <c r="C10" t="s">
        <v>17</v>
      </c>
      <c r="D10">
        <v>4</v>
      </c>
      <c r="E10" t="s">
        <v>18</v>
      </c>
      <c r="F10" t="s">
        <v>50</v>
      </c>
      <c r="G10" t="s">
        <v>51</v>
      </c>
      <c r="H10" t="s">
        <v>52</v>
      </c>
      <c r="I10">
        <v>35192</v>
      </c>
      <c r="J10">
        <v>33008</v>
      </c>
    </row>
    <row r="11" spans="1:10" x14ac:dyDescent="0.3">
      <c r="A11" t="s">
        <v>53</v>
      </c>
      <c r="B11" s="1">
        <v>45681</v>
      </c>
      <c r="C11" t="s">
        <v>17</v>
      </c>
      <c r="D11">
        <v>4</v>
      </c>
      <c r="E11" t="s">
        <v>18</v>
      </c>
      <c r="F11" t="s">
        <v>13</v>
      </c>
      <c r="G11" t="s">
        <v>54</v>
      </c>
      <c r="H11" t="s">
        <v>55</v>
      </c>
      <c r="I11">
        <v>24705</v>
      </c>
      <c r="J11">
        <v>25365</v>
      </c>
    </row>
    <row r="12" spans="1:10" x14ac:dyDescent="0.3">
      <c r="A12" t="s">
        <v>56</v>
      </c>
      <c r="B12" s="1">
        <v>45921</v>
      </c>
      <c r="C12" t="s">
        <v>38</v>
      </c>
      <c r="D12">
        <v>38</v>
      </c>
      <c r="E12" t="s">
        <v>18</v>
      </c>
      <c r="F12" t="s">
        <v>57</v>
      </c>
      <c r="G12" t="s">
        <v>58</v>
      </c>
      <c r="H12" t="s">
        <v>59</v>
      </c>
      <c r="I12">
        <v>22259</v>
      </c>
      <c r="J12">
        <v>20774</v>
      </c>
    </row>
    <row r="13" spans="1:10" x14ac:dyDescent="0.3">
      <c r="A13" t="s">
        <v>60</v>
      </c>
      <c r="B13" s="1">
        <v>45983</v>
      </c>
      <c r="C13" t="s">
        <v>23</v>
      </c>
      <c r="D13">
        <v>47</v>
      </c>
      <c r="E13" t="s">
        <v>61</v>
      </c>
      <c r="F13" t="s">
        <v>62</v>
      </c>
      <c r="G13" t="s">
        <v>63</v>
      </c>
      <c r="H13" t="s">
        <v>64</v>
      </c>
      <c r="I13">
        <v>29699</v>
      </c>
      <c r="J13">
        <v>26547</v>
      </c>
    </row>
    <row r="14" spans="1:10" x14ac:dyDescent="0.3">
      <c r="A14" t="s">
        <v>65</v>
      </c>
      <c r="B14" s="1">
        <v>45947</v>
      </c>
      <c r="C14" t="s">
        <v>66</v>
      </c>
      <c r="D14">
        <v>42</v>
      </c>
      <c r="E14" t="s">
        <v>61</v>
      </c>
      <c r="F14" t="s">
        <v>62</v>
      </c>
      <c r="G14" t="s">
        <v>67</v>
      </c>
      <c r="H14" t="s">
        <v>68</v>
      </c>
      <c r="I14">
        <v>16859</v>
      </c>
      <c r="J14">
        <v>14892</v>
      </c>
    </row>
    <row r="15" spans="1:10" x14ac:dyDescent="0.3">
      <c r="A15" t="s">
        <v>69</v>
      </c>
      <c r="B15" s="1">
        <v>45987</v>
      </c>
      <c r="C15" t="s">
        <v>23</v>
      </c>
      <c r="D15">
        <v>48</v>
      </c>
      <c r="E15" t="s">
        <v>70</v>
      </c>
      <c r="F15" t="s">
        <v>19</v>
      </c>
      <c r="G15" t="s">
        <v>58</v>
      </c>
      <c r="H15" t="s">
        <v>59</v>
      </c>
      <c r="I15">
        <v>25814</v>
      </c>
      <c r="J15">
        <v>33450</v>
      </c>
    </row>
    <row r="16" spans="1:10" x14ac:dyDescent="0.3">
      <c r="A16" t="s">
        <v>71</v>
      </c>
      <c r="B16" s="1">
        <v>45866</v>
      </c>
      <c r="C16" t="s">
        <v>11</v>
      </c>
      <c r="D16">
        <v>31</v>
      </c>
      <c r="E16" t="s">
        <v>61</v>
      </c>
      <c r="F16" t="s">
        <v>25</v>
      </c>
      <c r="G16" t="s">
        <v>72</v>
      </c>
      <c r="H16" t="s">
        <v>59</v>
      </c>
      <c r="I16">
        <v>18328</v>
      </c>
      <c r="J16">
        <v>17104</v>
      </c>
    </row>
    <row r="17" spans="1:10" x14ac:dyDescent="0.3">
      <c r="A17" t="s">
        <v>73</v>
      </c>
      <c r="B17" s="1">
        <v>45828</v>
      </c>
      <c r="C17" t="s">
        <v>74</v>
      </c>
      <c r="D17">
        <v>25</v>
      </c>
      <c r="E17" t="s">
        <v>12</v>
      </c>
      <c r="F17" t="s">
        <v>75</v>
      </c>
      <c r="G17" t="s">
        <v>76</v>
      </c>
      <c r="H17" t="s">
        <v>52</v>
      </c>
      <c r="I17">
        <v>30181</v>
      </c>
      <c r="J17">
        <v>31533</v>
      </c>
    </row>
    <row r="18" spans="1:10" x14ac:dyDescent="0.3">
      <c r="A18" t="s">
        <v>77</v>
      </c>
      <c r="B18" s="1">
        <v>45852</v>
      </c>
      <c r="C18" t="s">
        <v>11</v>
      </c>
      <c r="D18">
        <v>29</v>
      </c>
      <c r="E18" t="s">
        <v>61</v>
      </c>
      <c r="F18" t="s">
        <v>78</v>
      </c>
      <c r="G18" t="s">
        <v>79</v>
      </c>
      <c r="H18" t="s">
        <v>80</v>
      </c>
      <c r="I18">
        <v>16499</v>
      </c>
      <c r="J18">
        <v>20348</v>
      </c>
    </row>
    <row r="19" spans="1:10" x14ac:dyDescent="0.3">
      <c r="A19" t="s">
        <v>81</v>
      </c>
      <c r="B19" s="1">
        <v>45706</v>
      </c>
      <c r="C19" t="s">
        <v>82</v>
      </c>
      <c r="D19">
        <v>8</v>
      </c>
      <c r="E19" t="s">
        <v>18</v>
      </c>
      <c r="F19" t="s">
        <v>25</v>
      </c>
      <c r="G19" t="s">
        <v>83</v>
      </c>
      <c r="H19" t="s">
        <v>84</v>
      </c>
      <c r="I19">
        <v>32423</v>
      </c>
      <c r="J19">
        <v>30110</v>
      </c>
    </row>
    <row r="20" spans="1:10" x14ac:dyDescent="0.3">
      <c r="A20" t="s">
        <v>85</v>
      </c>
      <c r="B20" s="1">
        <v>45755</v>
      </c>
      <c r="C20" t="s">
        <v>86</v>
      </c>
      <c r="D20">
        <v>15</v>
      </c>
      <c r="E20" t="s">
        <v>12</v>
      </c>
      <c r="F20" t="s">
        <v>87</v>
      </c>
      <c r="G20" t="s">
        <v>88</v>
      </c>
      <c r="H20" t="s">
        <v>59</v>
      </c>
      <c r="I20">
        <v>29263</v>
      </c>
      <c r="J20">
        <v>23015</v>
      </c>
    </row>
    <row r="21" spans="1:10" x14ac:dyDescent="0.3">
      <c r="A21" t="s">
        <v>89</v>
      </c>
      <c r="B21" s="1">
        <v>45795</v>
      </c>
      <c r="C21" t="s">
        <v>90</v>
      </c>
      <c r="D21">
        <v>20</v>
      </c>
      <c r="E21" t="s">
        <v>24</v>
      </c>
      <c r="F21" t="s">
        <v>29</v>
      </c>
      <c r="G21" t="s">
        <v>83</v>
      </c>
      <c r="H21" t="s">
        <v>41</v>
      </c>
      <c r="I21">
        <v>29432</v>
      </c>
      <c r="J21">
        <v>25875</v>
      </c>
    </row>
    <row r="22" spans="1:10" x14ac:dyDescent="0.3">
      <c r="A22" t="s">
        <v>91</v>
      </c>
      <c r="B22" s="1">
        <v>45787</v>
      </c>
      <c r="C22" t="s">
        <v>90</v>
      </c>
      <c r="D22">
        <v>19</v>
      </c>
      <c r="E22" t="s">
        <v>12</v>
      </c>
      <c r="F22" t="s">
        <v>92</v>
      </c>
      <c r="G22" t="s">
        <v>93</v>
      </c>
      <c r="H22" t="s">
        <v>80</v>
      </c>
      <c r="I22">
        <v>39847</v>
      </c>
      <c r="J22">
        <v>36759</v>
      </c>
    </row>
    <row r="23" spans="1:10" x14ac:dyDescent="0.3">
      <c r="A23" t="s">
        <v>94</v>
      </c>
      <c r="B23" s="1">
        <v>45731</v>
      </c>
      <c r="C23" t="s">
        <v>95</v>
      </c>
      <c r="D23">
        <v>11</v>
      </c>
      <c r="E23" t="s">
        <v>12</v>
      </c>
      <c r="F23" t="s">
        <v>29</v>
      </c>
      <c r="G23" t="s">
        <v>35</v>
      </c>
      <c r="H23" t="s">
        <v>96</v>
      </c>
      <c r="I23">
        <v>29567</v>
      </c>
      <c r="J23">
        <v>36880</v>
      </c>
    </row>
    <row r="24" spans="1:10" x14ac:dyDescent="0.3">
      <c r="A24" t="s">
        <v>97</v>
      </c>
      <c r="B24" s="1">
        <v>45767</v>
      </c>
      <c r="C24" t="s">
        <v>86</v>
      </c>
      <c r="D24">
        <v>16</v>
      </c>
      <c r="E24" t="s">
        <v>18</v>
      </c>
      <c r="F24" t="s">
        <v>50</v>
      </c>
      <c r="G24" t="s">
        <v>20</v>
      </c>
      <c r="H24" t="s">
        <v>98</v>
      </c>
      <c r="I24">
        <v>22502</v>
      </c>
      <c r="J24">
        <v>21293</v>
      </c>
    </row>
    <row r="25" spans="1:10" x14ac:dyDescent="0.3">
      <c r="A25" t="s">
        <v>99</v>
      </c>
      <c r="B25" s="1">
        <v>46007</v>
      </c>
      <c r="C25" t="s">
        <v>100</v>
      </c>
      <c r="D25">
        <v>51</v>
      </c>
      <c r="E25" t="s">
        <v>18</v>
      </c>
      <c r="F25" t="s">
        <v>101</v>
      </c>
      <c r="G25" t="s">
        <v>102</v>
      </c>
      <c r="H25" t="s">
        <v>103</v>
      </c>
      <c r="I25">
        <v>24021</v>
      </c>
      <c r="J25">
        <v>17271</v>
      </c>
    </row>
    <row r="26" spans="1:10" x14ac:dyDescent="0.3">
      <c r="A26" t="s">
        <v>104</v>
      </c>
      <c r="B26" s="1">
        <v>45716</v>
      </c>
      <c r="C26" t="s">
        <v>82</v>
      </c>
      <c r="D26">
        <v>9</v>
      </c>
      <c r="E26" t="s">
        <v>61</v>
      </c>
      <c r="F26" t="s">
        <v>78</v>
      </c>
      <c r="G26" t="s">
        <v>88</v>
      </c>
      <c r="H26" t="s">
        <v>96</v>
      </c>
      <c r="I26">
        <v>31212</v>
      </c>
      <c r="J26">
        <v>37806</v>
      </c>
    </row>
    <row r="27" spans="1:10" x14ac:dyDescent="0.3">
      <c r="A27" t="s">
        <v>105</v>
      </c>
      <c r="B27" s="1">
        <v>45729</v>
      </c>
      <c r="C27" t="s">
        <v>95</v>
      </c>
      <c r="D27">
        <v>11</v>
      </c>
      <c r="E27" t="s">
        <v>24</v>
      </c>
      <c r="F27" t="s">
        <v>62</v>
      </c>
      <c r="G27" t="s">
        <v>102</v>
      </c>
      <c r="H27" t="s">
        <v>103</v>
      </c>
      <c r="I27">
        <v>18987</v>
      </c>
      <c r="J27">
        <v>22632</v>
      </c>
    </row>
    <row r="28" spans="1:10" x14ac:dyDescent="0.3">
      <c r="A28" t="s">
        <v>106</v>
      </c>
      <c r="B28" s="1">
        <v>45707</v>
      </c>
      <c r="C28" t="s">
        <v>82</v>
      </c>
      <c r="D28">
        <v>8</v>
      </c>
      <c r="E28" t="s">
        <v>24</v>
      </c>
      <c r="F28" t="s">
        <v>19</v>
      </c>
      <c r="G28" t="s">
        <v>107</v>
      </c>
      <c r="H28" t="s">
        <v>80</v>
      </c>
      <c r="I28">
        <v>21784</v>
      </c>
      <c r="J28">
        <v>20593</v>
      </c>
    </row>
    <row r="29" spans="1:10" x14ac:dyDescent="0.3">
      <c r="A29" t="s">
        <v>108</v>
      </c>
      <c r="B29" s="1">
        <v>45711</v>
      </c>
      <c r="C29" t="s">
        <v>82</v>
      </c>
      <c r="D29">
        <v>8</v>
      </c>
      <c r="E29" t="s">
        <v>24</v>
      </c>
      <c r="F29" t="s">
        <v>109</v>
      </c>
      <c r="G29" t="s">
        <v>110</v>
      </c>
      <c r="H29" t="s">
        <v>111</v>
      </c>
      <c r="I29">
        <v>33188</v>
      </c>
      <c r="J29">
        <v>26010</v>
      </c>
    </row>
    <row r="30" spans="1:10" x14ac:dyDescent="0.3">
      <c r="A30" t="s">
        <v>112</v>
      </c>
      <c r="B30" s="1">
        <v>45876</v>
      </c>
      <c r="C30" t="s">
        <v>113</v>
      </c>
      <c r="D30">
        <v>32</v>
      </c>
      <c r="E30" t="s">
        <v>12</v>
      </c>
      <c r="F30" t="s">
        <v>114</v>
      </c>
      <c r="G30" t="s">
        <v>115</v>
      </c>
      <c r="H30" t="s">
        <v>116</v>
      </c>
      <c r="I30">
        <v>22669</v>
      </c>
      <c r="J30">
        <v>27671</v>
      </c>
    </row>
    <row r="31" spans="1:10" x14ac:dyDescent="0.3">
      <c r="A31" t="s">
        <v>117</v>
      </c>
      <c r="B31" s="1">
        <v>45870</v>
      </c>
      <c r="C31" t="s">
        <v>113</v>
      </c>
      <c r="D31">
        <v>31</v>
      </c>
      <c r="E31" t="s">
        <v>12</v>
      </c>
      <c r="F31" t="s">
        <v>87</v>
      </c>
      <c r="G31" t="s">
        <v>118</v>
      </c>
      <c r="H31" t="s">
        <v>119</v>
      </c>
      <c r="I31">
        <v>27628</v>
      </c>
      <c r="J31">
        <v>33205</v>
      </c>
    </row>
    <row r="32" spans="1:10" x14ac:dyDescent="0.3">
      <c r="A32" t="s">
        <v>120</v>
      </c>
      <c r="B32" s="1">
        <v>45808</v>
      </c>
      <c r="C32" t="s">
        <v>90</v>
      </c>
      <c r="D32">
        <v>22</v>
      </c>
      <c r="E32" t="s">
        <v>61</v>
      </c>
      <c r="F32" t="s">
        <v>43</v>
      </c>
      <c r="G32" t="s">
        <v>67</v>
      </c>
      <c r="H32" t="s">
        <v>96</v>
      </c>
      <c r="I32">
        <v>16367</v>
      </c>
      <c r="J32">
        <v>19079</v>
      </c>
    </row>
    <row r="33" spans="1:10" x14ac:dyDescent="0.3">
      <c r="A33" t="s">
        <v>121</v>
      </c>
      <c r="B33" s="1">
        <v>45863</v>
      </c>
      <c r="C33" t="s">
        <v>11</v>
      </c>
      <c r="D33">
        <v>30</v>
      </c>
      <c r="E33" t="s">
        <v>18</v>
      </c>
      <c r="F33" t="s">
        <v>122</v>
      </c>
      <c r="G33" t="s">
        <v>47</v>
      </c>
      <c r="H33" t="s">
        <v>123</v>
      </c>
      <c r="I33">
        <v>25204</v>
      </c>
      <c r="J33">
        <v>18099</v>
      </c>
    </row>
    <row r="34" spans="1:10" x14ac:dyDescent="0.3">
      <c r="A34" t="s">
        <v>124</v>
      </c>
      <c r="B34" s="1">
        <v>45860</v>
      </c>
      <c r="C34" t="s">
        <v>11</v>
      </c>
      <c r="D34">
        <v>30</v>
      </c>
      <c r="E34" t="s">
        <v>18</v>
      </c>
      <c r="F34" t="s">
        <v>62</v>
      </c>
      <c r="G34" t="s">
        <v>102</v>
      </c>
      <c r="H34" t="s">
        <v>84</v>
      </c>
      <c r="I34">
        <v>32801</v>
      </c>
      <c r="J34">
        <v>25922</v>
      </c>
    </row>
    <row r="35" spans="1:10" x14ac:dyDescent="0.3">
      <c r="A35" t="s">
        <v>125</v>
      </c>
      <c r="B35" s="1">
        <v>45922</v>
      </c>
      <c r="C35" t="s">
        <v>38</v>
      </c>
      <c r="D35">
        <v>39</v>
      </c>
      <c r="E35" t="s">
        <v>18</v>
      </c>
      <c r="F35" t="s">
        <v>92</v>
      </c>
      <c r="G35" t="s">
        <v>126</v>
      </c>
      <c r="H35" t="s">
        <v>48</v>
      </c>
      <c r="I35">
        <v>30741</v>
      </c>
      <c r="J35">
        <v>27344</v>
      </c>
    </row>
    <row r="36" spans="1:10" x14ac:dyDescent="0.3">
      <c r="A36" t="s">
        <v>127</v>
      </c>
      <c r="B36" s="1">
        <v>45861</v>
      </c>
      <c r="C36" t="s">
        <v>11</v>
      </c>
      <c r="D36">
        <v>30</v>
      </c>
      <c r="E36" t="s">
        <v>61</v>
      </c>
      <c r="F36" t="s">
        <v>13</v>
      </c>
      <c r="G36" t="s">
        <v>128</v>
      </c>
      <c r="H36" t="s">
        <v>111</v>
      </c>
      <c r="I36">
        <v>25130</v>
      </c>
      <c r="J36">
        <v>23480</v>
      </c>
    </row>
    <row r="37" spans="1:10" x14ac:dyDescent="0.3">
      <c r="A37" t="s">
        <v>129</v>
      </c>
      <c r="B37" s="1">
        <v>45799</v>
      </c>
      <c r="C37" t="s">
        <v>90</v>
      </c>
      <c r="D37">
        <v>21</v>
      </c>
      <c r="E37" t="s">
        <v>12</v>
      </c>
      <c r="F37" t="s">
        <v>43</v>
      </c>
      <c r="G37" t="s">
        <v>130</v>
      </c>
      <c r="H37" t="s">
        <v>52</v>
      </c>
      <c r="I37">
        <v>33246</v>
      </c>
      <c r="J37">
        <v>40857</v>
      </c>
    </row>
    <row r="38" spans="1:10" x14ac:dyDescent="0.3">
      <c r="A38" t="s">
        <v>131</v>
      </c>
      <c r="B38" s="1">
        <v>45779</v>
      </c>
      <c r="C38" t="s">
        <v>90</v>
      </c>
      <c r="D38">
        <v>18</v>
      </c>
      <c r="E38" t="s">
        <v>33</v>
      </c>
      <c r="F38" t="s">
        <v>114</v>
      </c>
      <c r="G38" t="s">
        <v>132</v>
      </c>
      <c r="H38" t="s">
        <v>133</v>
      </c>
      <c r="I38">
        <v>25958</v>
      </c>
      <c r="J38">
        <v>32663</v>
      </c>
    </row>
    <row r="39" spans="1:10" x14ac:dyDescent="0.3">
      <c r="A39" t="s">
        <v>134</v>
      </c>
      <c r="B39" s="1">
        <v>46021</v>
      </c>
      <c r="C39" t="s">
        <v>100</v>
      </c>
      <c r="D39">
        <v>1</v>
      </c>
      <c r="E39" t="s">
        <v>70</v>
      </c>
      <c r="F39" t="s">
        <v>50</v>
      </c>
      <c r="G39" t="s">
        <v>135</v>
      </c>
      <c r="H39" t="s">
        <v>116</v>
      </c>
      <c r="I39">
        <v>26441</v>
      </c>
      <c r="J39">
        <v>25772</v>
      </c>
    </row>
    <row r="40" spans="1:10" x14ac:dyDescent="0.3">
      <c r="A40" t="s">
        <v>136</v>
      </c>
      <c r="B40" s="1">
        <v>45989</v>
      </c>
      <c r="C40" t="s">
        <v>23</v>
      </c>
      <c r="D40">
        <v>48</v>
      </c>
      <c r="E40" t="s">
        <v>70</v>
      </c>
      <c r="F40" t="s">
        <v>46</v>
      </c>
      <c r="G40" t="s">
        <v>137</v>
      </c>
      <c r="H40" t="s">
        <v>52</v>
      </c>
      <c r="I40">
        <v>18827</v>
      </c>
      <c r="J40">
        <v>20835</v>
      </c>
    </row>
    <row r="41" spans="1:10" x14ac:dyDescent="0.3">
      <c r="A41" t="s">
        <v>138</v>
      </c>
      <c r="B41" s="1">
        <v>45825</v>
      </c>
      <c r="C41" t="s">
        <v>74</v>
      </c>
      <c r="D41">
        <v>25</v>
      </c>
      <c r="E41" t="s">
        <v>70</v>
      </c>
      <c r="F41" t="s">
        <v>87</v>
      </c>
      <c r="G41" t="s">
        <v>102</v>
      </c>
      <c r="H41" t="s">
        <v>55</v>
      </c>
      <c r="I41">
        <v>32396</v>
      </c>
      <c r="J41">
        <v>30903</v>
      </c>
    </row>
    <row r="42" spans="1:10" x14ac:dyDescent="0.3">
      <c r="A42" t="s">
        <v>139</v>
      </c>
      <c r="B42" s="1">
        <v>45894</v>
      </c>
      <c r="C42" t="s">
        <v>113</v>
      </c>
      <c r="D42">
        <v>35</v>
      </c>
      <c r="E42" t="s">
        <v>39</v>
      </c>
      <c r="F42" t="s">
        <v>140</v>
      </c>
      <c r="G42" t="s">
        <v>141</v>
      </c>
      <c r="H42" t="s">
        <v>119</v>
      </c>
      <c r="I42">
        <v>24056</v>
      </c>
      <c r="J42">
        <v>20758</v>
      </c>
    </row>
    <row r="43" spans="1:10" x14ac:dyDescent="0.3">
      <c r="A43" t="s">
        <v>142</v>
      </c>
      <c r="B43" s="1">
        <v>45830</v>
      </c>
      <c r="C43" t="s">
        <v>74</v>
      </c>
      <c r="D43">
        <v>25</v>
      </c>
      <c r="E43" t="s">
        <v>39</v>
      </c>
      <c r="F43" t="s">
        <v>87</v>
      </c>
      <c r="G43" t="s">
        <v>47</v>
      </c>
      <c r="H43" t="s">
        <v>21</v>
      </c>
      <c r="I43">
        <v>19225</v>
      </c>
      <c r="J43">
        <v>19346</v>
      </c>
    </row>
    <row r="44" spans="1:10" x14ac:dyDescent="0.3">
      <c r="A44" t="s">
        <v>143</v>
      </c>
      <c r="B44" s="1">
        <v>45794</v>
      </c>
      <c r="C44" t="s">
        <v>90</v>
      </c>
      <c r="D44">
        <v>20</v>
      </c>
      <c r="E44" t="s">
        <v>18</v>
      </c>
      <c r="F44" t="s">
        <v>57</v>
      </c>
      <c r="G44" t="s">
        <v>30</v>
      </c>
      <c r="H44" t="s">
        <v>27</v>
      </c>
      <c r="I44">
        <v>27005</v>
      </c>
      <c r="J44">
        <v>26191</v>
      </c>
    </row>
    <row r="45" spans="1:10" x14ac:dyDescent="0.3">
      <c r="A45" t="s">
        <v>144</v>
      </c>
      <c r="B45" s="1">
        <v>45708</v>
      </c>
      <c r="C45" t="s">
        <v>82</v>
      </c>
      <c r="D45">
        <v>8</v>
      </c>
      <c r="E45" t="s">
        <v>24</v>
      </c>
      <c r="F45" t="s">
        <v>43</v>
      </c>
      <c r="G45" t="s">
        <v>145</v>
      </c>
      <c r="H45" t="s">
        <v>119</v>
      </c>
      <c r="I45">
        <v>31539</v>
      </c>
      <c r="J45">
        <v>25505</v>
      </c>
    </row>
    <row r="46" spans="1:10" x14ac:dyDescent="0.3">
      <c r="A46" t="s">
        <v>146</v>
      </c>
      <c r="B46" s="1">
        <v>45701</v>
      </c>
      <c r="C46" t="s">
        <v>82</v>
      </c>
      <c r="D46">
        <v>7</v>
      </c>
      <c r="E46" t="s">
        <v>39</v>
      </c>
      <c r="F46" t="s">
        <v>109</v>
      </c>
      <c r="G46" t="s">
        <v>147</v>
      </c>
      <c r="H46" t="s">
        <v>36</v>
      </c>
      <c r="I46">
        <v>39005</v>
      </c>
      <c r="J46">
        <v>49936</v>
      </c>
    </row>
    <row r="47" spans="1:10" x14ac:dyDescent="0.3">
      <c r="A47" t="s">
        <v>148</v>
      </c>
      <c r="B47" s="1">
        <v>45882</v>
      </c>
      <c r="C47" t="s">
        <v>113</v>
      </c>
      <c r="D47">
        <v>33</v>
      </c>
      <c r="E47" t="s">
        <v>33</v>
      </c>
      <c r="F47" t="s">
        <v>34</v>
      </c>
      <c r="G47" t="s">
        <v>149</v>
      </c>
      <c r="H47" t="s">
        <v>98</v>
      </c>
      <c r="I47">
        <v>34608</v>
      </c>
      <c r="J47">
        <v>31309</v>
      </c>
    </row>
    <row r="48" spans="1:10" x14ac:dyDescent="0.3">
      <c r="A48" t="s">
        <v>150</v>
      </c>
      <c r="B48" s="1">
        <v>45912</v>
      </c>
      <c r="C48" t="s">
        <v>38</v>
      </c>
      <c r="D48">
        <v>37</v>
      </c>
      <c r="E48" t="s">
        <v>70</v>
      </c>
      <c r="F48" t="s">
        <v>34</v>
      </c>
      <c r="G48" t="s">
        <v>20</v>
      </c>
      <c r="H48" t="s">
        <v>151</v>
      </c>
      <c r="I48">
        <v>21219</v>
      </c>
      <c r="J48">
        <v>18689</v>
      </c>
    </row>
    <row r="49" spans="1:10" x14ac:dyDescent="0.3">
      <c r="A49" t="s">
        <v>152</v>
      </c>
      <c r="B49" s="1">
        <v>46004</v>
      </c>
      <c r="C49" t="s">
        <v>100</v>
      </c>
      <c r="D49">
        <v>50</v>
      </c>
      <c r="E49" t="s">
        <v>39</v>
      </c>
      <c r="F49" t="s">
        <v>43</v>
      </c>
      <c r="G49" t="s">
        <v>118</v>
      </c>
      <c r="H49" t="s">
        <v>48</v>
      </c>
      <c r="I49">
        <v>19837</v>
      </c>
      <c r="J49">
        <v>14284</v>
      </c>
    </row>
    <row r="50" spans="1:10" x14ac:dyDescent="0.3">
      <c r="A50" t="s">
        <v>153</v>
      </c>
      <c r="B50" s="1">
        <v>45743</v>
      </c>
      <c r="C50" t="s">
        <v>95</v>
      </c>
      <c r="D50">
        <v>13</v>
      </c>
      <c r="E50" t="s">
        <v>33</v>
      </c>
      <c r="F50" t="s">
        <v>87</v>
      </c>
      <c r="G50" t="s">
        <v>63</v>
      </c>
      <c r="H50" t="s">
        <v>31</v>
      </c>
      <c r="I50">
        <v>32053</v>
      </c>
      <c r="J50">
        <v>26672</v>
      </c>
    </row>
    <row r="51" spans="1:10" x14ac:dyDescent="0.3">
      <c r="A51" t="s">
        <v>154</v>
      </c>
      <c r="B51" s="1">
        <v>45753</v>
      </c>
      <c r="C51" t="s">
        <v>86</v>
      </c>
      <c r="D51">
        <v>14</v>
      </c>
      <c r="E51" t="s">
        <v>33</v>
      </c>
      <c r="F51" t="s">
        <v>46</v>
      </c>
      <c r="G51" t="s">
        <v>35</v>
      </c>
      <c r="H51" t="s">
        <v>155</v>
      </c>
      <c r="I51">
        <v>24775</v>
      </c>
      <c r="J51">
        <v>28164</v>
      </c>
    </row>
    <row r="52" spans="1:10" x14ac:dyDescent="0.3">
      <c r="A52" t="s">
        <v>156</v>
      </c>
      <c r="B52" s="1">
        <v>45720</v>
      </c>
      <c r="C52" t="s">
        <v>95</v>
      </c>
      <c r="D52">
        <v>10</v>
      </c>
      <c r="E52" t="s">
        <v>18</v>
      </c>
      <c r="F52" t="s">
        <v>29</v>
      </c>
      <c r="G52" t="s">
        <v>141</v>
      </c>
      <c r="H52" t="s">
        <v>157</v>
      </c>
      <c r="I52">
        <v>17186</v>
      </c>
      <c r="J52">
        <v>19282</v>
      </c>
    </row>
    <row r="53" spans="1:10" x14ac:dyDescent="0.3">
      <c r="A53" t="s">
        <v>158</v>
      </c>
      <c r="B53" s="1">
        <v>45874</v>
      </c>
      <c r="C53" t="s">
        <v>113</v>
      </c>
      <c r="D53">
        <v>32</v>
      </c>
      <c r="E53" t="s">
        <v>61</v>
      </c>
      <c r="F53" t="s">
        <v>29</v>
      </c>
      <c r="G53" t="s">
        <v>149</v>
      </c>
      <c r="H53" t="s">
        <v>48</v>
      </c>
      <c r="I53">
        <v>34448</v>
      </c>
      <c r="J53">
        <v>32268</v>
      </c>
    </row>
    <row r="54" spans="1:10" x14ac:dyDescent="0.3">
      <c r="A54" t="s">
        <v>159</v>
      </c>
      <c r="B54" s="1">
        <v>45912</v>
      </c>
      <c r="C54" t="s">
        <v>38</v>
      </c>
      <c r="D54">
        <v>37</v>
      </c>
      <c r="E54" t="s">
        <v>70</v>
      </c>
      <c r="F54" t="s">
        <v>87</v>
      </c>
      <c r="G54" t="s">
        <v>160</v>
      </c>
      <c r="H54" t="s">
        <v>21</v>
      </c>
      <c r="I54">
        <v>21327</v>
      </c>
      <c r="J54">
        <v>26450</v>
      </c>
    </row>
    <row r="55" spans="1:10" x14ac:dyDescent="0.3">
      <c r="A55" t="s">
        <v>161</v>
      </c>
      <c r="B55" s="1">
        <v>45902</v>
      </c>
      <c r="C55" t="s">
        <v>38</v>
      </c>
      <c r="D55">
        <v>36</v>
      </c>
      <c r="E55" t="s">
        <v>33</v>
      </c>
      <c r="F55" t="s">
        <v>57</v>
      </c>
      <c r="G55" t="s">
        <v>147</v>
      </c>
      <c r="H55" t="s">
        <v>21</v>
      </c>
      <c r="I55">
        <v>17429</v>
      </c>
      <c r="J55">
        <v>14082</v>
      </c>
    </row>
    <row r="56" spans="1:10" x14ac:dyDescent="0.3">
      <c r="A56" t="s">
        <v>162</v>
      </c>
      <c r="B56" s="1">
        <v>45752</v>
      </c>
      <c r="C56" t="s">
        <v>86</v>
      </c>
      <c r="D56">
        <v>14</v>
      </c>
      <c r="E56" t="s">
        <v>61</v>
      </c>
      <c r="F56" t="s">
        <v>43</v>
      </c>
      <c r="G56" t="s">
        <v>72</v>
      </c>
      <c r="H56" t="s">
        <v>163</v>
      </c>
      <c r="I56">
        <v>24739</v>
      </c>
      <c r="J56">
        <v>25049</v>
      </c>
    </row>
    <row r="57" spans="1:10" x14ac:dyDescent="0.3">
      <c r="A57" t="s">
        <v>164</v>
      </c>
      <c r="B57" s="1">
        <v>45807</v>
      </c>
      <c r="C57" t="s">
        <v>90</v>
      </c>
      <c r="D57">
        <v>22</v>
      </c>
      <c r="E57" t="s">
        <v>70</v>
      </c>
      <c r="F57" t="s">
        <v>78</v>
      </c>
      <c r="G57" t="s">
        <v>40</v>
      </c>
      <c r="H57" t="s">
        <v>165</v>
      </c>
      <c r="I57">
        <v>34484</v>
      </c>
      <c r="J57">
        <v>44450</v>
      </c>
    </row>
    <row r="58" spans="1:10" x14ac:dyDescent="0.3">
      <c r="A58" t="s">
        <v>166</v>
      </c>
      <c r="B58" s="1">
        <v>45836</v>
      </c>
      <c r="C58" t="s">
        <v>74</v>
      </c>
      <c r="D58">
        <v>26</v>
      </c>
      <c r="E58" t="s">
        <v>24</v>
      </c>
      <c r="F58" t="s">
        <v>122</v>
      </c>
      <c r="G58" t="s">
        <v>72</v>
      </c>
      <c r="H58" t="s">
        <v>21</v>
      </c>
      <c r="I58">
        <v>38820</v>
      </c>
      <c r="J58">
        <v>33573</v>
      </c>
    </row>
    <row r="59" spans="1:10" x14ac:dyDescent="0.3">
      <c r="A59" t="s">
        <v>167</v>
      </c>
      <c r="B59" s="1">
        <v>45958</v>
      </c>
      <c r="C59" t="s">
        <v>66</v>
      </c>
      <c r="D59">
        <v>44</v>
      </c>
      <c r="E59" t="s">
        <v>33</v>
      </c>
      <c r="F59" t="s">
        <v>25</v>
      </c>
      <c r="G59" t="s">
        <v>35</v>
      </c>
      <c r="H59" t="s">
        <v>98</v>
      </c>
      <c r="I59">
        <v>33702</v>
      </c>
      <c r="J59">
        <v>41831</v>
      </c>
    </row>
    <row r="60" spans="1:10" x14ac:dyDescent="0.3">
      <c r="A60" t="s">
        <v>168</v>
      </c>
      <c r="B60" s="1">
        <v>46007</v>
      </c>
      <c r="C60" t="s">
        <v>100</v>
      </c>
      <c r="D60">
        <v>51</v>
      </c>
      <c r="E60" t="s">
        <v>61</v>
      </c>
      <c r="F60" t="s">
        <v>46</v>
      </c>
      <c r="G60" t="s">
        <v>135</v>
      </c>
      <c r="H60" t="s">
        <v>84</v>
      </c>
      <c r="I60">
        <v>20570</v>
      </c>
      <c r="J60">
        <v>14643</v>
      </c>
    </row>
    <row r="61" spans="1:10" x14ac:dyDescent="0.3">
      <c r="A61" t="s">
        <v>169</v>
      </c>
      <c r="B61" s="1">
        <v>45747</v>
      </c>
      <c r="C61" t="s">
        <v>95</v>
      </c>
      <c r="D61">
        <v>14</v>
      </c>
      <c r="E61" t="s">
        <v>12</v>
      </c>
      <c r="F61" t="s">
        <v>122</v>
      </c>
      <c r="G61" t="s">
        <v>63</v>
      </c>
      <c r="H61" t="s">
        <v>111</v>
      </c>
      <c r="I61">
        <v>36883</v>
      </c>
      <c r="J61">
        <v>44547</v>
      </c>
    </row>
    <row r="62" spans="1:10" x14ac:dyDescent="0.3">
      <c r="A62" t="s">
        <v>170</v>
      </c>
      <c r="B62" s="1">
        <v>45842</v>
      </c>
      <c r="C62" t="s">
        <v>11</v>
      </c>
      <c r="D62">
        <v>27</v>
      </c>
      <c r="E62" t="s">
        <v>70</v>
      </c>
      <c r="F62" t="s">
        <v>140</v>
      </c>
      <c r="G62" t="s">
        <v>171</v>
      </c>
      <c r="H62" t="s">
        <v>96</v>
      </c>
      <c r="I62">
        <v>38143</v>
      </c>
      <c r="J62">
        <v>34840</v>
      </c>
    </row>
    <row r="63" spans="1:10" x14ac:dyDescent="0.3">
      <c r="A63" t="s">
        <v>172</v>
      </c>
      <c r="B63" s="1">
        <v>45990</v>
      </c>
      <c r="C63" t="s">
        <v>23</v>
      </c>
      <c r="D63">
        <v>48</v>
      </c>
      <c r="E63" t="s">
        <v>33</v>
      </c>
      <c r="F63" t="s">
        <v>46</v>
      </c>
      <c r="G63" t="s">
        <v>102</v>
      </c>
      <c r="H63" t="s">
        <v>103</v>
      </c>
      <c r="I63">
        <v>32341</v>
      </c>
      <c r="J63">
        <v>26614</v>
      </c>
    </row>
    <row r="64" spans="1:10" x14ac:dyDescent="0.3">
      <c r="A64" t="s">
        <v>173</v>
      </c>
      <c r="B64" s="1">
        <v>45798</v>
      </c>
      <c r="C64" t="s">
        <v>90</v>
      </c>
      <c r="D64">
        <v>21</v>
      </c>
      <c r="E64" t="s">
        <v>18</v>
      </c>
      <c r="F64" t="s">
        <v>62</v>
      </c>
      <c r="G64" t="s">
        <v>30</v>
      </c>
      <c r="H64" t="s">
        <v>59</v>
      </c>
      <c r="I64">
        <v>33224</v>
      </c>
      <c r="J64">
        <v>39049</v>
      </c>
    </row>
    <row r="65" spans="1:10" x14ac:dyDescent="0.3">
      <c r="A65" t="s">
        <v>174</v>
      </c>
      <c r="B65" s="1">
        <v>45770</v>
      </c>
      <c r="C65" t="s">
        <v>86</v>
      </c>
      <c r="D65">
        <v>17</v>
      </c>
      <c r="E65" t="s">
        <v>39</v>
      </c>
      <c r="F65" t="s">
        <v>101</v>
      </c>
      <c r="G65" t="s">
        <v>141</v>
      </c>
      <c r="H65" t="s">
        <v>21</v>
      </c>
      <c r="I65">
        <v>29337</v>
      </c>
      <c r="J65">
        <v>32431</v>
      </c>
    </row>
    <row r="66" spans="1:10" x14ac:dyDescent="0.3">
      <c r="A66" t="s">
        <v>175</v>
      </c>
      <c r="B66" s="1">
        <v>45801</v>
      </c>
      <c r="C66" t="s">
        <v>90</v>
      </c>
      <c r="D66">
        <v>21</v>
      </c>
      <c r="E66" t="s">
        <v>18</v>
      </c>
      <c r="F66" t="s">
        <v>13</v>
      </c>
      <c r="G66" t="s">
        <v>72</v>
      </c>
      <c r="H66" t="s">
        <v>165</v>
      </c>
      <c r="I66">
        <v>23224</v>
      </c>
      <c r="J66">
        <v>21337</v>
      </c>
    </row>
    <row r="67" spans="1:10" x14ac:dyDescent="0.3">
      <c r="A67" t="s">
        <v>176</v>
      </c>
      <c r="B67" s="1">
        <v>45733</v>
      </c>
      <c r="C67" t="s">
        <v>95</v>
      </c>
      <c r="D67">
        <v>12</v>
      </c>
      <c r="E67" t="s">
        <v>61</v>
      </c>
      <c r="F67" t="s">
        <v>62</v>
      </c>
      <c r="G67" t="s">
        <v>102</v>
      </c>
      <c r="H67" t="s">
        <v>64</v>
      </c>
      <c r="I67">
        <v>16117</v>
      </c>
      <c r="J67">
        <v>11433</v>
      </c>
    </row>
    <row r="68" spans="1:10" x14ac:dyDescent="0.3">
      <c r="A68" t="s">
        <v>177</v>
      </c>
      <c r="B68" s="1">
        <v>45876</v>
      </c>
      <c r="C68" t="s">
        <v>113</v>
      </c>
      <c r="D68">
        <v>32</v>
      </c>
      <c r="E68" t="s">
        <v>70</v>
      </c>
      <c r="F68" t="s">
        <v>114</v>
      </c>
      <c r="G68" t="s">
        <v>149</v>
      </c>
      <c r="H68" t="s">
        <v>59</v>
      </c>
      <c r="I68">
        <v>33031</v>
      </c>
      <c r="J68">
        <v>25644</v>
      </c>
    </row>
    <row r="69" spans="1:10" x14ac:dyDescent="0.3">
      <c r="A69" t="s">
        <v>178</v>
      </c>
      <c r="B69" s="1">
        <v>46012</v>
      </c>
      <c r="C69" t="s">
        <v>100</v>
      </c>
      <c r="D69">
        <v>51</v>
      </c>
      <c r="E69" t="s">
        <v>61</v>
      </c>
      <c r="F69" t="s">
        <v>114</v>
      </c>
      <c r="G69" t="s">
        <v>141</v>
      </c>
      <c r="H69" t="s">
        <v>27</v>
      </c>
      <c r="I69">
        <v>17400</v>
      </c>
      <c r="J69">
        <v>22513</v>
      </c>
    </row>
    <row r="70" spans="1:10" x14ac:dyDescent="0.3">
      <c r="A70" t="s">
        <v>179</v>
      </c>
      <c r="B70" s="1">
        <v>45981</v>
      </c>
      <c r="C70" t="s">
        <v>23</v>
      </c>
      <c r="D70">
        <v>47</v>
      </c>
      <c r="E70" t="s">
        <v>33</v>
      </c>
      <c r="F70" t="s">
        <v>140</v>
      </c>
      <c r="G70" t="s">
        <v>135</v>
      </c>
      <c r="H70" t="s">
        <v>123</v>
      </c>
      <c r="I70">
        <v>22314</v>
      </c>
      <c r="J70">
        <v>24175</v>
      </c>
    </row>
    <row r="71" spans="1:10" x14ac:dyDescent="0.3">
      <c r="A71" t="s">
        <v>180</v>
      </c>
      <c r="B71" s="1">
        <v>45894</v>
      </c>
      <c r="C71" t="s">
        <v>113</v>
      </c>
      <c r="D71">
        <v>35</v>
      </c>
      <c r="E71" t="s">
        <v>70</v>
      </c>
      <c r="F71" t="s">
        <v>75</v>
      </c>
      <c r="G71" t="s">
        <v>72</v>
      </c>
      <c r="H71" t="s">
        <v>133</v>
      </c>
      <c r="I71">
        <v>39104</v>
      </c>
      <c r="J71">
        <v>35623</v>
      </c>
    </row>
    <row r="72" spans="1:10" x14ac:dyDescent="0.3">
      <c r="A72" t="s">
        <v>181</v>
      </c>
      <c r="B72" s="1">
        <v>45835</v>
      </c>
      <c r="C72" t="s">
        <v>74</v>
      </c>
      <c r="D72">
        <v>26</v>
      </c>
      <c r="E72" t="s">
        <v>70</v>
      </c>
      <c r="F72" t="s">
        <v>92</v>
      </c>
      <c r="G72" t="s">
        <v>182</v>
      </c>
      <c r="H72" t="s">
        <v>27</v>
      </c>
      <c r="I72">
        <v>39956</v>
      </c>
      <c r="J72">
        <v>45816</v>
      </c>
    </row>
    <row r="73" spans="1:10" x14ac:dyDescent="0.3">
      <c r="A73" t="s">
        <v>183</v>
      </c>
      <c r="B73" s="1">
        <v>45872</v>
      </c>
      <c r="C73" t="s">
        <v>113</v>
      </c>
      <c r="D73">
        <v>31</v>
      </c>
      <c r="E73" t="s">
        <v>18</v>
      </c>
      <c r="F73" t="s">
        <v>57</v>
      </c>
      <c r="G73" t="s">
        <v>26</v>
      </c>
      <c r="H73" t="s">
        <v>55</v>
      </c>
      <c r="I73">
        <v>31996</v>
      </c>
      <c r="J73">
        <v>40850</v>
      </c>
    </row>
    <row r="74" spans="1:10" x14ac:dyDescent="0.3">
      <c r="A74" t="s">
        <v>184</v>
      </c>
      <c r="B74" s="1">
        <v>45818</v>
      </c>
      <c r="C74" t="s">
        <v>74</v>
      </c>
      <c r="D74">
        <v>24</v>
      </c>
      <c r="E74" t="s">
        <v>39</v>
      </c>
      <c r="F74" t="s">
        <v>13</v>
      </c>
      <c r="G74" t="s">
        <v>115</v>
      </c>
      <c r="H74" t="s">
        <v>31</v>
      </c>
      <c r="I74">
        <v>36406</v>
      </c>
      <c r="J74">
        <v>45818</v>
      </c>
    </row>
    <row r="75" spans="1:10" x14ac:dyDescent="0.3">
      <c r="A75" t="s">
        <v>185</v>
      </c>
      <c r="B75" s="1">
        <v>46022</v>
      </c>
      <c r="C75" t="s">
        <v>100</v>
      </c>
      <c r="D75">
        <v>1</v>
      </c>
      <c r="E75" t="s">
        <v>70</v>
      </c>
      <c r="F75" t="s">
        <v>57</v>
      </c>
      <c r="G75" t="s">
        <v>30</v>
      </c>
      <c r="H75" t="s">
        <v>116</v>
      </c>
      <c r="I75">
        <v>19320</v>
      </c>
      <c r="J75">
        <v>22367</v>
      </c>
    </row>
    <row r="76" spans="1:10" x14ac:dyDescent="0.3">
      <c r="A76" t="s">
        <v>186</v>
      </c>
      <c r="B76" s="1">
        <v>45812</v>
      </c>
      <c r="C76" t="s">
        <v>74</v>
      </c>
      <c r="D76">
        <v>23</v>
      </c>
      <c r="E76" t="s">
        <v>24</v>
      </c>
      <c r="F76" t="s">
        <v>101</v>
      </c>
      <c r="G76" t="s">
        <v>35</v>
      </c>
      <c r="H76" t="s">
        <v>84</v>
      </c>
      <c r="I76">
        <v>20730</v>
      </c>
      <c r="J76">
        <v>21864</v>
      </c>
    </row>
    <row r="77" spans="1:10" x14ac:dyDescent="0.3">
      <c r="A77" t="s">
        <v>187</v>
      </c>
      <c r="B77" s="1">
        <v>45718</v>
      </c>
      <c r="C77" t="s">
        <v>95</v>
      </c>
      <c r="D77">
        <v>9</v>
      </c>
      <c r="E77" t="s">
        <v>24</v>
      </c>
      <c r="F77" t="s">
        <v>13</v>
      </c>
      <c r="G77" t="s">
        <v>137</v>
      </c>
      <c r="H77" t="s">
        <v>188</v>
      </c>
      <c r="I77">
        <v>22973</v>
      </c>
      <c r="J77">
        <v>29267</v>
      </c>
    </row>
    <row r="78" spans="1:10" x14ac:dyDescent="0.3">
      <c r="A78" t="s">
        <v>189</v>
      </c>
      <c r="B78" s="1">
        <v>46008</v>
      </c>
      <c r="C78" t="s">
        <v>100</v>
      </c>
      <c r="D78">
        <v>51</v>
      </c>
      <c r="E78" t="s">
        <v>39</v>
      </c>
      <c r="F78" t="s">
        <v>78</v>
      </c>
      <c r="G78" t="s">
        <v>30</v>
      </c>
      <c r="H78" t="s">
        <v>55</v>
      </c>
      <c r="I78">
        <v>34209</v>
      </c>
      <c r="J78">
        <v>26704</v>
      </c>
    </row>
    <row r="79" spans="1:10" x14ac:dyDescent="0.3">
      <c r="A79" t="s">
        <v>190</v>
      </c>
      <c r="B79" s="1">
        <v>45920</v>
      </c>
      <c r="C79" t="s">
        <v>38</v>
      </c>
      <c r="D79">
        <v>38</v>
      </c>
      <c r="E79" t="s">
        <v>24</v>
      </c>
      <c r="F79" t="s">
        <v>46</v>
      </c>
      <c r="G79" t="s">
        <v>191</v>
      </c>
      <c r="H79" t="s">
        <v>133</v>
      </c>
      <c r="I79">
        <v>35581</v>
      </c>
      <c r="J79">
        <v>42728</v>
      </c>
    </row>
    <row r="80" spans="1:10" x14ac:dyDescent="0.3">
      <c r="A80" t="s">
        <v>192</v>
      </c>
      <c r="B80" s="1">
        <v>45810</v>
      </c>
      <c r="C80" t="s">
        <v>74</v>
      </c>
      <c r="D80">
        <v>23</v>
      </c>
      <c r="E80" t="s">
        <v>24</v>
      </c>
      <c r="F80" t="s">
        <v>193</v>
      </c>
      <c r="G80" t="s">
        <v>58</v>
      </c>
      <c r="H80" t="s">
        <v>116</v>
      </c>
      <c r="I80">
        <v>25059</v>
      </c>
      <c r="J80">
        <v>18396</v>
      </c>
    </row>
    <row r="81" spans="1:10" x14ac:dyDescent="0.3">
      <c r="A81" t="s">
        <v>194</v>
      </c>
      <c r="B81" s="1">
        <v>45668</v>
      </c>
      <c r="C81" t="s">
        <v>17</v>
      </c>
      <c r="D81">
        <v>2</v>
      </c>
      <c r="E81" t="s">
        <v>33</v>
      </c>
      <c r="F81" t="s">
        <v>50</v>
      </c>
      <c r="G81" t="s">
        <v>137</v>
      </c>
      <c r="H81" t="s">
        <v>151</v>
      </c>
      <c r="I81">
        <v>39477</v>
      </c>
      <c r="J81">
        <v>50371</v>
      </c>
    </row>
    <row r="82" spans="1:10" x14ac:dyDescent="0.3">
      <c r="A82" t="s">
        <v>195</v>
      </c>
      <c r="B82" s="1">
        <v>45744</v>
      </c>
      <c r="C82" t="s">
        <v>95</v>
      </c>
      <c r="D82">
        <v>13</v>
      </c>
      <c r="E82" t="s">
        <v>39</v>
      </c>
      <c r="F82" t="s">
        <v>13</v>
      </c>
      <c r="G82" t="s">
        <v>79</v>
      </c>
      <c r="H82" t="s">
        <v>133</v>
      </c>
      <c r="I82">
        <v>34451</v>
      </c>
      <c r="J82">
        <v>32309</v>
      </c>
    </row>
    <row r="83" spans="1:10" x14ac:dyDescent="0.3">
      <c r="A83" t="s">
        <v>196</v>
      </c>
      <c r="B83" s="1">
        <v>45873</v>
      </c>
      <c r="C83" t="s">
        <v>113</v>
      </c>
      <c r="D83">
        <v>32</v>
      </c>
      <c r="E83" t="s">
        <v>24</v>
      </c>
      <c r="F83" t="s">
        <v>34</v>
      </c>
      <c r="G83" t="s">
        <v>171</v>
      </c>
      <c r="H83" t="s">
        <v>116</v>
      </c>
      <c r="I83">
        <v>20909</v>
      </c>
      <c r="J83">
        <v>21140</v>
      </c>
    </row>
    <row r="84" spans="1:10" x14ac:dyDescent="0.3">
      <c r="A84" t="s">
        <v>197</v>
      </c>
      <c r="B84" s="1">
        <v>46013</v>
      </c>
      <c r="C84" t="s">
        <v>100</v>
      </c>
      <c r="D84">
        <v>52</v>
      </c>
      <c r="E84" t="s">
        <v>33</v>
      </c>
      <c r="F84" t="s">
        <v>43</v>
      </c>
      <c r="G84" t="s">
        <v>182</v>
      </c>
      <c r="H84" t="s">
        <v>119</v>
      </c>
      <c r="I84">
        <v>37114</v>
      </c>
      <c r="J84">
        <v>45641</v>
      </c>
    </row>
    <row r="85" spans="1:10" x14ac:dyDescent="0.3">
      <c r="A85" t="s">
        <v>198</v>
      </c>
      <c r="B85" s="1">
        <v>45992</v>
      </c>
      <c r="C85" t="s">
        <v>100</v>
      </c>
      <c r="D85">
        <v>49</v>
      </c>
      <c r="E85" t="s">
        <v>33</v>
      </c>
      <c r="F85" t="s">
        <v>50</v>
      </c>
      <c r="G85" t="s">
        <v>199</v>
      </c>
      <c r="H85" t="s">
        <v>116</v>
      </c>
      <c r="I85">
        <v>33473</v>
      </c>
      <c r="J85">
        <v>42518</v>
      </c>
    </row>
    <row r="86" spans="1:10" x14ac:dyDescent="0.3">
      <c r="A86" t="s">
        <v>200</v>
      </c>
      <c r="B86" s="1">
        <v>45882</v>
      </c>
      <c r="C86" t="s">
        <v>113</v>
      </c>
      <c r="D86">
        <v>33</v>
      </c>
      <c r="E86" t="s">
        <v>33</v>
      </c>
      <c r="F86" t="s">
        <v>25</v>
      </c>
      <c r="G86" t="s">
        <v>201</v>
      </c>
      <c r="H86" t="s">
        <v>98</v>
      </c>
      <c r="I86">
        <v>32028</v>
      </c>
      <c r="J86">
        <v>30172</v>
      </c>
    </row>
    <row r="87" spans="1:10" x14ac:dyDescent="0.3">
      <c r="A87" t="s">
        <v>202</v>
      </c>
      <c r="B87" s="1">
        <v>45909</v>
      </c>
      <c r="C87" t="s">
        <v>38</v>
      </c>
      <c r="D87">
        <v>37</v>
      </c>
      <c r="E87" t="s">
        <v>70</v>
      </c>
      <c r="F87" t="s">
        <v>25</v>
      </c>
      <c r="G87" t="s">
        <v>118</v>
      </c>
      <c r="H87" t="s">
        <v>165</v>
      </c>
      <c r="I87">
        <v>17566</v>
      </c>
      <c r="J87">
        <v>17412</v>
      </c>
    </row>
    <row r="88" spans="1:10" x14ac:dyDescent="0.3">
      <c r="A88" t="s">
        <v>203</v>
      </c>
      <c r="B88" s="1">
        <v>45865</v>
      </c>
      <c r="C88" t="s">
        <v>11</v>
      </c>
      <c r="D88">
        <v>30</v>
      </c>
      <c r="E88" t="s">
        <v>70</v>
      </c>
      <c r="F88" t="s">
        <v>62</v>
      </c>
      <c r="G88" t="s">
        <v>93</v>
      </c>
      <c r="H88" t="s">
        <v>111</v>
      </c>
      <c r="I88">
        <v>36983</v>
      </c>
      <c r="J88">
        <v>27445</v>
      </c>
    </row>
    <row r="89" spans="1:10" x14ac:dyDescent="0.3">
      <c r="A89" t="s">
        <v>204</v>
      </c>
      <c r="B89" s="1">
        <v>45699</v>
      </c>
      <c r="C89" t="s">
        <v>82</v>
      </c>
      <c r="D89">
        <v>7</v>
      </c>
      <c r="E89" t="s">
        <v>12</v>
      </c>
      <c r="F89" t="s">
        <v>25</v>
      </c>
      <c r="G89" t="s">
        <v>135</v>
      </c>
      <c r="H89" t="s">
        <v>36</v>
      </c>
      <c r="I89">
        <v>19995</v>
      </c>
      <c r="J89">
        <v>22073</v>
      </c>
    </row>
    <row r="90" spans="1:10" x14ac:dyDescent="0.3">
      <c r="A90" t="s">
        <v>205</v>
      </c>
      <c r="B90" s="1">
        <v>45976</v>
      </c>
      <c r="C90" t="s">
        <v>23</v>
      </c>
      <c r="D90">
        <v>46</v>
      </c>
      <c r="E90" t="s">
        <v>24</v>
      </c>
      <c r="F90" t="s">
        <v>78</v>
      </c>
      <c r="G90" t="s">
        <v>206</v>
      </c>
      <c r="H90" t="s">
        <v>155</v>
      </c>
      <c r="I90">
        <v>39432</v>
      </c>
      <c r="J90">
        <v>49326</v>
      </c>
    </row>
    <row r="91" spans="1:10" x14ac:dyDescent="0.3">
      <c r="A91" t="s">
        <v>207</v>
      </c>
      <c r="B91" s="1">
        <v>45659</v>
      </c>
      <c r="C91" t="s">
        <v>17</v>
      </c>
      <c r="D91">
        <v>1</v>
      </c>
      <c r="E91" t="s">
        <v>39</v>
      </c>
      <c r="F91" t="s">
        <v>78</v>
      </c>
      <c r="G91" t="s">
        <v>35</v>
      </c>
      <c r="H91" t="s">
        <v>36</v>
      </c>
      <c r="I91">
        <v>23714</v>
      </c>
      <c r="J91">
        <v>25469</v>
      </c>
    </row>
    <row r="92" spans="1:10" x14ac:dyDescent="0.3">
      <c r="A92" t="s">
        <v>208</v>
      </c>
      <c r="B92" s="1">
        <v>45732</v>
      </c>
      <c r="C92" t="s">
        <v>95</v>
      </c>
      <c r="D92">
        <v>11</v>
      </c>
      <c r="E92" t="s">
        <v>24</v>
      </c>
      <c r="F92" t="s">
        <v>43</v>
      </c>
      <c r="G92" t="s">
        <v>40</v>
      </c>
      <c r="H92" t="s">
        <v>98</v>
      </c>
      <c r="I92">
        <v>38406</v>
      </c>
      <c r="J92">
        <v>31893</v>
      </c>
    </row>
    <row r="93" spans="1:10" x14ac:dyDescent="0.3">
      <c r="A93" t="s">
        <v>209</v>
      </c>
      <c r="B93" s="1">
        <v>45838</v>
      </c>
      <c r="C93" t="s">
        <v>74</v>
      </c>
      <c r="D93">
        <v>27</v>
      </c>
      <c r="E93" t="s">
        <v>39</v>
      </c>
      <c r="F93" t="s">
        <v>101</v>
      </c>
      <c r="G93" t="s">
        <v>93</v>
      </c>
      <c r="H93" t="s">
        <v>98</v>
      </c>
      <c r="I93">
        <v>30271</v>
      </c>
      <c r="J93">
        <v>25271</v>
      </c>
    </row>
    <row r="94" spans="1:10" x14ac:dyDescent="0.3">
      <c r="A94" t="s">
        <v>210</v>
      </c>
      <c r="B94" s="1">
        <v>46016</v>
      </c>
      <c r="C94" t="s">
        <v>100</v>
      </c>
      <c r="D94">
        <v>52</v>
      </c>
      <c r="E94" t="s">
        <v>18</v>
      </c>
      <c r="F94" t="s">
        <v>109</v>
      </c>
      <c r="G94" t="s">
        <v>72</v>
      </c>
      <c r="H94" t="s">
        <v>211</v>
      </c>
      <c r="I94">
        <v>24918</v>
      </c>
      <c r="J94">
        <v>31444</v>
      </c>
    </row>
    <row r="95" spans="1:10" x14ac:dyDescent="0.3">
      <c r="A95" t="s">
        <v>212</v>
      </c>
      <c r="B95" s="1">
        <v>46008</v>
      </c>
      <c r="C95" t="s">
        <v>100</v>
      </c>
      <c r="D95">
        <v>51</v>
      </c>
      <c r="E95" t="s">
        <v>61</v>
      </c>
      <c r="F95" t="s">
        <v>25</v>
      </c>
      <c r="G95" t="s">
        <v>63</v>
      </c>
      <c r="H95" t="s">
        <v>64</v>
      </c>
      <c r="I95">
        <v>33927</v>
      </c>
      <c r="J95">
        <v>25470</v>
      </c>
    </row>
    <row r="96" spans="1:10" x14ac:dyDescent="0.3">
      <c r="A96" t="s">
        <v>213</v>
      </c>
      <c r="B96" s="1">
        <v>45831</v>
      </c>
      <c r="C96" t="s">
        <v>74</v>
      </c>
      <c r="D96">
        <v>26</v>
      </c>
      <c r="E96" t="s">
        <v>33</v>
      </c>
      <c r="F96" t="s">
        <v>109</v>
      </c>
      <c r="G96" t="s">
        <v>160</v>
      </c>
      <c r="H96" t="s">
        <v>80</v>
      </c>
      <c r="I96">
        <v>31924</v>
      </c>
      <c r="J96">
        <v>25290</v>
      </c>
    </row>
    <row r="97" spans="1:10" x14ac:dyDescent="0.3">
      <c r="A97" t="s">
        <v>214</v>
      </c>
      <c r="B97" s="1">
        <v>45816</v>
      </c>
      <c r="C97" t="s">
        <v>74</v>
      </c>
      <c r="D97">
        <v>23</v>
      </c>
      <c r="E97" t="s">
        <v>24</v>
      </c>
      <c r="F97" t="s">
        <v>50</v>
      </c>
      <c r="G97" t="s">
        <v>107</v>
      </c>
      <c r="H97" t="s">
        <v>151</v>
      </c>
      <c r="I97">
        <v>38036</v>
      </c>
      <c r="J97">
        <v>44760</v>
      </c>
    </row>
    <row r="98" spans="1:10" x14ac:dyDescent="0.3">
      <c r="A98" t="s">
        <v>215</v>
      </c>
      <c r="B98" s="1">
        <v>45940</v>
      </c>
      <c r="C98" t="s">
        <v>66</v>
      </c>
      <c r="D98">
        <v>41</v>
      </c>
      <c r="E98" t="s">
        <v>24</v>
      </c>
      <c r="F98" t="s">
        <v>62</v>
      </c>
      <c r="G98" t="s">
        <v>51</v>
      </c>
      <c r="H98" t="s">
        <v>59</v>
      </c>
      <c r="I98">
        <v>15703</v>
      </c>
      <c r="J98">
        <v>16202</v>
      </c>
    </row>
    <row r="99" spans="1:10" x14ac:dyDescent="0.3">
      <c r="A99" t="s">
        <v>216</v>
      </c>
      <c r="B99" s="1">
        <v>45760</v>
      </c>
      <c r="C99" t="s">
        <v>86</v>
      </c>
      <c r="D99">
        <v>15</v>
      </c>
      <c r="E99" t="s">
        <v>33</v>
      </c>
      <c r="F99" t="s">
        <v>193</v>
      </c>
      <c r="G99" t="s">
        <v>130</v>
      </c>
      <c r="H99" t="s">
        <v>211</v>
      </c>
      <c r="I99">
        <v>18546</v>
      </c>
      <c r="J99">
        <v>17900</v>
      </c>
    </row>
    <row r="100" spans="1:10" x14ac:dyDescent="0.3">
      <c r="A100" t="s">
        <v>217</v>
      </c>
      <c r="B100" s="1">
        <v>45874</v>
      </c>
      <c r="C100" t="s">
        <v>113</v>
      </c>
      <c r="D100">
        <v>32</v>
      </c>
      <c r="E100" t="s">
        <v>24</v>
      </c>
      <c r="F100" t="s">
        <v>140</v>
      </c>
      <c r="G100" t="s">
        <v>182</v>
      </c>
      <c r="H100" t="s">
        <v>119</v>
      </c>
      <c r="I100">
        <v>33379</v>
      </c>
      <c r="J100">
        <v>31480</v>
      </c>
    </row>
    <row r="101" spans="1:10" x14ac:dyDescent="0.3">
      <c r="A101" t="s">
        <v>218</v>
      </c>
      <c r="B101" s="1">
        <v>45670</v>
      </c>
      <c r="C101" t="s">
        <v>17</v>
      </c>
      <c r="D101">
        <v>3</v>
      </c>
      <c r="E101" t="s">
        <v>33</v>
      </c>
      <c r="F101" t="s">
        <v>29</v>
      </c>
      <c r="G101" t="s">
        <v>118</v>
      </c>
      <c r="H101" t="s">
        <v>98</v>
      </c>
      <c r="I101">
        <v>38894</v>
      </c>
      <c r="J101">
        <v>27551</v>
      </c>
    </row>
    <row r="102" spans="1:10" x14ac:dyDescent="0.3">
      <c r="A102" t="s">
        <v>219</v>
      </c>
      <c r="B102" s="1">
        <v>45757</v>
      </c>
      <c r="C102" t="s">
        <v>86</v>
      </c>
      <c r="D102">
        <v>15</v>
      </c>
      <c r="E102" t="s">
        <v>24</v>
      </c>
      <c r="F102" t="s">
        <v>13</v>
      </c>
      <c r="G102" t="s">
        <v>26</v>
      </c>
      <c r="H102" t="s">
        <v>155</v>
      </c>
      <c r="I102">
        <v>30283</v>
      </c>
      <c r="J102">
        <v>22436</v>
      </c>
    </row>
    <row r="103" spans="1:10" x14ac:dyDescent="0.3">
      <c r="A103" t="s">
        <v>220</v>
      </c>
      <c r="B103" s="1">
        <v>45891</v>
      </c>
      <c r="C103" t="s">
        <v>113</v>
      </c>
      <c r="D103">
        <v>34</v>
      </c>
      <c r="E103" t="s">
        <v>70</v>
      </c>
      <c r="F103" t="s">
        <v>13</v>
      </c>
      <c r="G103" t="s">
        <v>26</v>
      </c>
      <c r="H103" t="s">
        <v>119</v>
      </c>
      <c r="I103">
        <v>34881</v>
      </c>
      <c r="J103">
        <v>32430</v>
      </c>
    </row>
    <row r="104" spans="1:10" x14ac:dyDescent="0.3">
      <c r="A104" t="s">
        <v>221</v>
      </c>
      <c r="B104" s="1">
        <v>45683</v>
      </c>
      <c r="C104" t="s">
        <v>17</v>
      </c>
      <c r="D104">
        <v>4</v>
      </c>
      <c r="E104" t="s">
        <v>70</v>
      </c>
      <c r="F104" t="s">
        <v>122</v>
      </c>
      <c r="G104" t="s">
        <v>191</v>
      </c>
      <c r="H104" t="s">
        <v>119</v>
      </c>
      <c r="I104">
        <v>30806</v>
      </c>
      <c r="J104">
        <v>31693</v>
      </c>
    </row>
    <row r="105" spans="1:10" x14ac:dyDescent="0.3">
      <c r="A105" t="s">
        <v>222</v>
      </c>
      <c r="B105" s="1">
        <v>45774</v>
      </c>
      <c r="C105" t="s">
        <v>86</v>
      </c>
      <c r="D105">
        <v>17</v>
      </c>
      <c r="E105" t="s">
        <v>61</v>
      </c>
      <c r="F105" t="s">
        <v>46</v>
      </c>
      <c r="G105" t="s">
        <v>130</v>
      </c>
      <c r="H105" t="s">
        <v>151</v>
      </c>
      <c r="I105">
        <v>31269</v>
      </c>
      <c r="J105">
        <v>40165</v>
      </c>
    </row>
    <row r="106" spans="1:10" x14ac:dyDescent="0.3">
      <c r="A106" t="s">
        <v>223</v>
      </c>
      <c r="B106" s="1">
        <v>45774</v>
      </c>
      <c r="C106" t="s">
        <v>86</v>
      </c>
      <c r="D106">
        <v>17</v>
      </c>
      <c r="E106" t="s">
        <v>33</v>
      </c>
      <c r="F106" t="s">
        <v>122</v>
      </c>
      <c r="G106" t="s">
        <v>224</v>
      </c>
      <c r="H106" t="s">
        <v>163</v>
      </c>
      <c r="I106">
        <v>30763</v>
      </c>
      <c r="J106">
        <v>24939</v>
      </c>
    </row>
    <row r="107" spans="1:10" x14ac:dyDescent="0.3">
      <c r="A107" t="s">
        <v>225</v>
      </c>
      <c r="B107" s="1">
        <v>45846</v>
      </c>
      <c r="C107" t="s">
        <v>11</v>
      </c>
      <c r="D107">
        <v>28</v>
      </c>
      <c r="E107" t="s">
        <v>33</v>
      </c>
      <c r="F107" t="s">
        <v>57</v>
      </c>
      <c r="G107" t="s">
        <v>30</v>
      </c>
      <c r="H107" t="s">
        <v>211</v>
      </c>
      <c r="I107">
        <v>17546</v>
      </c>
      <c r="J107">
        <v>13637</v>
      </c>
    </row>
    <row r="108" spans="1:10" x14ac:dyDescent="0.3">
      <c r="A108" t="s">
        <v>226</v>
      </c>
      <c r="B108" s="1">
        <v>45908</v>
      </c>
      <c r="C108" t="s">
        <v>38</v>
      </c>
      <c r="D108">
        <v>37</v>
      </c>
      <c r="E108" t="s">
        <v>33</v>
      </c>
      <c r="F108" t="s">
        <v>78</v>
      </c>
      <c r="G108" t="s">
        <v>130</v>
      </c>
      <c r="H108" t="s">
        <v>84</v>
      </c>
      <c r="I108">
        <v>16547</v>
      </c>
      <c r="J108">
        <v>19781</v>
      </c>
    </row>
    <row r="109" spans="1:10" x14ac:dyDescent="0.3">
      <c r="A109" t="s">
        <v>227</v>
      </c>
      <c r="B109" s="1">
        <v>45804</v>
      </c>
      <c r="C109" t="s">
        <v>90</v>
      </c>
      <c r="D109">
        <v>22</v>
      </c>
      <c r="E109" t="s">
        <v>70</v>
      </c>
      <c r="F109" t="s">
        <v>19</v>
      </c>
      <c r="G109" t="s">
        <v>130</v>
      </c>
      <c r="H109" t="s">
        <v>80</v>
      </c>
      <c r="I109">
        <v>21530</v>
      </c>
      <c r="J109">
        <v>17580</v>
      </c>
    </row>
    <row r="110" spans="1:10" x14ac:dyDescent="0.3">
      <c r="A110" t="s">
        <v>228</v>
      </c>
      <c r="B110" s="1">
        <v>45804</v>
      </c>
      <c r="C110" t="s">
        <v>90</v>
      </c>
      <c r="D110">
        <v>22</v>
      </c>
      <c r="E110" t="s">
        <v>70</v>
      </c>
      <c r="F110" t="s">
        <v>101</v>
      </c>
      <c r="G110" t="s">
        <v>137</v>
      </c>
      <c r="H110" t="s">
        <v>21</v>
      </c>
      <c r="I110">
        <v>32369</v>
      </c>
      <c r="J110">
        <v>23225</v>
      </c>
    </row>
    <row r="111" spans="1:10" x14ac:dyDescent="0.3">
      <c r="A111" t="s">
        <v>229</v>
      </c>
      <c r="B111" s="1">
        <v>45728</v>
      </c>
      <c r="C111" t="s">
        <v>95</v>
      </c>
      <c r="D111">
        <v>11</v>
      </c>
      <c r="E111" t="s">
        <v>12</v>
      </c>
      <c r="F111" t="s">
        <v>50</v>
      </c>
      <c r="G111" t="s">
        <v>230</v>
      </c>
      <c r="H111" t="s">
        <v>36</v>
      </c>
      <c r="I111">
        <v>38620</v>
      </c>
      <c r="J111">
        <v>32509</v>
      </c>
    </row>
    <row r="112" spans="1:10" x14ac:dyDescent="0.3">
      <c r="A112" t="s">
        <v>231</v>
      </c>
      <c r="B112" s="1">
        <v>45980</v>
      </c>
      <c r="C112" t="s">
        <v>23</v>
      </c>
      <c r="D112">
        <v>47</v>
      </c>
      <c r="E112" t="s">
        <v>61</v>
      </c>
      <c r="F112" t="s">
        <v>43</v>
      </c>
      <c r="G112" t="s">
        <v>147</v>
      </c>
      <c r="H112" t="s">
        <v>103</v>
      </c>
      <c r="I112">
        <v>30908</v>
      </c>
      <c r="J112">
        <v>35108</v>
      </c>
    </row>
    <row r="113" spans="1:10" x14ac:dyDescent="0.3">
      <c r="A113" t="s">
        <v>232</v>
      </c>
      <c r="B113" s="1">
        <v>45981</v>
      </c>
      <c r="C113" t="s">
        <v>23</v>
      </c>
      <c r="D113">
        <v>47</v>
      </c>
      <c r="E113" t="s">
        <v>70</v>
      </c>
      <c r="F113" t="s">
        <v>92</v>
      </c>
      <c r="G113" t="s">
        <v>102</v>
      </c>
      <c r="H113" t="s">
        <v>188</v>
      </c>
      <c r="I113">
        <v>23385</v>
      </c>
      <c r="J113">
        <v>26356</v>
      </c>
    </row>
    <row r="114" spans="1:10" x14ac:dyDescent="0.3">
      <c r="A114" t="s">
        <v>233</v>
      </c>
      <c r="B114" s="1">
        <v>45702</v>
      </c>
      <c r="C114" t="s">
        <v>82</v>
      </c>
      <c r="D114">
        <v>7</v>
      </c>
      <c r="E114" t="s">
        <v>33</v>
      </c>
      <c r="F114" t="s">
        <v>109</v>
      </c>
      <c r="G114" t="s">
        <v>234</v>
      </c>
      <c r="H114" t="s">
        <v>64</v>
      </c>
      <c r="I114">
        <v>30207</v>
      </c>
      <c r="J114">
        <v>29114</v>
      </c>
    </row>
    <row r="115" spans="1:10" x14ac:dyDescent="0.3">
      <c r="A115" t="s">
        <v>235</v>
      </c>
      <c r="B115" s="1">
        <v>45912</v>
      </c>
      <c r="C115" t="s">
        <v>38</v>
      </c>
      <c r="D115">
        <v>37</v>
      </c>
      <c r="E115" t="s">
        <v>24</v>
      </c>
      <c r="F115" t="s">
        <v>140</v>
      </c>
      <c r="G115" t="s">
        <v>224</v>
      </c>
      <c r="H115" t="s">
        <v>188</v>
      </c>
      <c r="I115">
        <v>20713</v>
      </c>
      <c r="J115">
        <v>24174</v>
      </c>
    </row>
    <row r="116" spans="1:10" x14ac:dyDescent="0.3">
      <c r="A116" t="s">
        <v>236</v>
      </c>
      <c r="B116" s="1">
        <v>45884</v>
      </c>
      <c r="C116" t="s">
        <v>113</v>
      </c>
      <c r="D116">
        <v>33</v>
      </c>
      <c r="E116" t="s">
        <v>39</v>
      </c>
      <c r="F116" t="s">
        <v>92</v>
      </c>
      <c r="G116" t="s">
        <v>67</v>
      </c>
      <c r="H116" t="s">
        <v>84</v>
      </c>
      <c r="I116">
        <v>26723</v>
      </c>
      <c r="J116">
        <v>24826</v>
      </c>
    </row>
    <row r="117" spans="1:10" x14ac:dyDescent="0.3">
      <c r="A117" t="s">
        <v>237</v>
      </c>
      <c r="B117" s="1">
        <v>45698</v>
      </c>
      <c r="C117" t="s">
        <v>82</v>
      </c>
      <c r="D117">
        <v>7</v>
      </c>
      <c r="E117" t="s">
        <v>70</v>
      </c>
      <c r="F117" t="s">
        <v>193</v>
      </c>
      <c r="G117" t="s">
        <v>44</v>
      </c>
      <c r="H117" t="s">
        <v>15</v>
      </c>
      <c r="I117">
        <v>30766</v>
      </c>
      <c r="J117">
        <v>26923</v>
      </c>
    </row>
    <row r="118" spans="1:10" x14ac:dyDescent="0.3">
      <c r="A118" t="s">
        <v>238</v>
      </c>
      <c r="B118" s="1">
        <v>45924</v>
      </c>
      <c r="C118" t="s">
        <v>38</v>
      </c>
      <c r="D118">
        <v>39</v>
      </c>
      <c r="E118" t="s">
        <v>39</v>
      </c>
      <c r="F118" t="s">
        <v>62</v>
      </c>
      <c r="G118" t="s">
        <v>54</v>
      </c>
      <c r="H118" t="s">
        <v>133</v>
      </c>
      <c r="I118">
        <v>35428</v>
      </c>
      <c r="J118">
        <v>45556</v>
      </c>
    </row>
    <row r="119" spans="1:10" x14ac:dyDescent="0.3">
      <c r="A119" t="s">
        <v>239</v>
      </c>
      <c r="B119" s="1">
        <v>45884</v>
      </c>
      <c r="C119" t="s">
        <v>113</v>
      </c>
      <c r="D119">
        <v>33</v>
      </c>
      <c r="E119" t="s">
        <v>33</v>
      </c>
      <c r="F119" t="s">
        <v>43</v>
      </c>
      <c r="G119" t="s">
        <v>240</v>
      </c>
      <c r="H119" t="s">
        <v>163</v>
      </c>
      <c r="I119">
        <v>16363</v>
      </c>
      <c r="J119">
        <v>20222</v>
      </c>
    </row>
    <row r="120" spans="1:10" x14ac:dyDescent="0.3">
      <c r="A120" t="s">
        <v>241</v>
      </c>
      <c r="B120" s="1">
        <v>46000</v>
      </c>
      <c r="C120" t="s">
        <v>100</v>
      </c>
      <c r="D120">
        <v>50</v>
      </c>
      <c r="E120" t="s">
        <v>12</v>
      </c>
      <c r="F120" t="s">
        <v>43</v>
      </c>
      <c r="G120" t="s">
        <v>145</v>
      </c>
      <c r="H120" t="s">
        <v>123</v>
      </c>
      <c r="I120">
        <v>28833</v>
      </c>
      <c r="J120">
        <v>23867</v>
      </c>
    </row>
    <row r="121" spans="1:10" x14ac:dyDescent="0.3">
      <c r="A121" t="s">
        <v>242</v>
      </c>
      <c r="B121" s="1">
        <v>45811</v>
      </c>
      <c r="C121" t="s">
        <v>74</v>
      </c>
      <c r="D121">
        <v>23</v>
      </c>
      <c r="E121" t="s">
        <v>61</v>
      </c>
      <c r="F121" t="s">
        <v>78</v>
      </c>
      <c r="G121" t="s">
        <v>63</v>
      </c>
      <c r="H121" t="s">
        <v>243</v>
      </c>
      <c r="I121">
        <v>18270</v>
      </c>
      <c r="J121">
        <v>13869</v>
      </c>
    </row>
    <row r="122" spans="1:10" x14ac:dyDescent="0.3">
      <c r="A122" t="s">
        <v>244</v>
      </c>
      <c r="B122" s="1">
        <v>45927</v>
      </c>
      <c r="C122" t="s">
        <v>38</v>
      </c>
      <c r="D122">
        <v>39</v>
      </c>
      <c r="E122" t="s">
        <v>18</v>
      </c>
      <c r="F122" t="s">
        <v>19</v>
      </c>
      <c r="G122" t="s">
        <v>147</v>
      </c>
      <c r="H122" t="s">
        <v>123</v>
      </c>
      <c r="I122">
        <v>22141</v>
      </c>
      <c r="J122">
        <v>24510</v>
      </c>
    </row>
    <row r="123" spans="1:10" x14ac:dyDescent="0.3">
      <c r="A123" t="s">
        <v>245</v>
      </c>
      <c r="B123" s="1">
        <v>45912</v>
      </c>
      <c r="C123" t="s">
        <v>38</v>
      </c>
      <c r="D123">
        <v>37</v>
      </c>
      <c r="E123" t="s">
        <v>33</v>
      </c>
      <c r="F123" t="s">
        <v>46</v>
      </c>
      <c r="G123" t="s">
        <v>130</v>
      </c>
      <c r="H123" t="s">
        <v>55</v>
      </c>
      <c r="I123">
        <v>32577</v>
      </c>
      <c r="J123">
        <v>39337</v>
      </c>
    </row>
    <row r="124" spans="1:10" x14ac:dyDescent="0.3">
      <c r="A124" t="s">
        <v>246</v>
      </c>
      <c r="B124" s="1">
        <v>45753</v>
      </c>
      <c r="C124" t="s">
        <v>86</v>
      </c>
      <c r="D124">
        <v>14</v>
      </c>
      <c r="E124" t="s">
        <v>70</v>
      </c>
      <c r="F124" t="s">
        <v>46</v>
      </c>
      <c r="G124" t="s">
        <v>44</v>
      </c>
      <c r="H124" t="s">
        <v>103</v>
      </c>
      <c r="I124">
        <v>33366</v>
      </c>
      <c r="J124">
        <v>28946</v>
      </c>
    </row>
    <row r="125" spans="1:10" x14ac:dyDescent="0.3">
      <c r="A125" t="s">
        <v>247</v>
      </c>
      <c r="B125" s="1">
        <v>45856</v>
      </c>
      <c r="C125" t="s">
        <v>11</v>
      </c>
      <c r="D125">
        <v>29</v>
      </c>
      <c r="E125" t="s">
        <v>70</v>
      </c>
      <c r="F125" t="s">
        <v>19</v>
      </c>
      <c r="G125" t="s">
        <v>26</v>
      </c>
      <c r="H125" t="s">
        <v>31</v>
      </c>
      <c r="I125">
        <v>24544</v>
      </c>
      <c r="J125">
        <v>22723</v>
      </c>
    </row>
    <row r="126" spans="1:10" x14ac:dyDescent="0.3">
      <c r="A126" t="s">
        <v>248</v>
      </c>
      <c r="B126" s="1">
        <v>45739</v>
      </c>
      <c r="C126" t="s">
        <v>95</v>
      </c>
      <c r="D126">
        <v>12</v>
      </c>
      <c r="E126" t="s">
        <v>70</v>
      </c>
      <c r="F126" t="s">
        <v>78</v>
      </c>
      <c r="G126" t="s">
        <v>224</v>
      </c>
      <c r="H126" t="s">
        <v>155</v>
      </c>
      <c r="I126">
        <v>25012</v>
      </c>
      <c r="J126">
        <v>27163</v>
      </c>
    </row>
    <row r="127" spans="1:10" x14ac:dyDescent="0.3">
      <c r="A127" t="s">
        <v>249</v>
      </c>
      <c r="B127" s="1">
        <v>45710</v>
      </c>
      <c r="C127" t="s">
        <v>82</v>
      </c>
      <c r="D127">
        <v>8</v>
      </c>
      <c r="E127" t="s">
        <v>12</v>
      </c>
      <c r="F127" t="s">
        <v>75</v>
      </c>
      <c r="G127" t="s">
        <v>182</v>
      </c>
      <c r="H127" t="s">
        <v>96</v>
      </c>
      <c r="I127">
        <v>22249</v>
      </c>
      <c r="J127">
        <v>25015</v>
      </c>
    </row>
    <row r="128" spans="1:10" x14ac:dyDescent="0.3">
      <c r="A128" t="s">
        <v>250</v>
      </c>
      <c r="B128" s="1">
        <v>45692</v>
      </c>
      <c r="C128" t="s">
        <v>82</v>
      </c>
      <c r="D128">
        <v>6</v>
      </c>
      <c r="E128" t="s">
        <v>70</v>
      </c>
      <c r="F128" t="s">
        <v>13</v>
      </c>
      <c r="G128" t="s">
        <v>26</v>
      </c>
      <c r="H128" t="s">
        <v>96</v>
      </c>
      <c r="I128">
        <v>18620</v>
      </c>
      <c r="J128">
        <v>17117</v>
      </c>
    </row>
    <row r="129" spans="1:10" x14ac:dyDescent="0.3">
      <c r="A129" t="s">
        <v>251</v>
      </c>
      <c r="B129" s="1">
        <v>45930</v>
      </c>
      <c r="C129" t="s">
        <v>38</v>
      </c>
      <c r="D129">
        <v>40</v>
      </c>
      <c r="E129" t="s">
        <v>33</v>
      </c>
      <c r="F129" t="s">
        <v>87</v>
      </c>
      <c r="G129" t="s">
        <v>51</v>
      </c>
      <c r="H129" t="s">
        <v>64</v>
      </c>
      <c r="I129">
        <v>24420</v>
      </c>
      <c r="J129">
        <v>30852</v>
      </c>
    </row>
    <row r="130" spans="1:10" x14ac:dyDescent="0.3">
      <c r="A130" t="s">
        <v>252</v>
      </c>
      <c r="B130" s="1">
        <v>45821</v>
      </c>
      <c r="C130" t="s">
        <v>74</v>
      </c>
      <c r="D130">
        <v>24</v>
      </c>
      <c r="E130" t="s">
        <v>39</v>
      </c>
      <c r="F130" t="s">
        <v>34</v>
      </c>
      <c r="G130" t="s">
        <v>253</v>
      </c>
      <c r="H130" t="s">
        <v>163</v>
      </c>
      <c r="I130">
        <v>15132</v>
      </c>
      <c r="J130">
        <v>11784</v>
      </c>
    </row>
    <row r="131" spans="1:10" x14ac:dyDescent="0.3">
      <c r="A131" t="s">
        <v>254</v>
      </c>
      <c r="B131" s="1">
        <v>45753</v>
      </c>
      <c r="C131" t="s">
        <v>86</v>
      </c>
      <c r="D131">
        <v>14</v>
      </c>
      <c r="E131" t="s">
        <v>33</v>
      </c>
      <c r="F131" t="s">
        <v>50</v>
      </c>
      <c r="G131" t="s">
        <v>30</v>
      </c>
      <c r="H131" t="s">
        <v>188</v>
      </c>
      <c r="I131">
        <v>32935</v>
      </c>
      <c r="J131">
        <v>30264</v>
      </c>
    </row>
    <row r="132" spans="1:10" x14ac:dyDescent="0.3">
      <c r="A132" t="s">
        <v>255</v>
      </c>
      <c r="B132" s="1">
        <v>45780</v>
      </c>
      <c r="C132" t="s">
        <v>90</v>
      </c>
      <c r="D132">
        <v>18</v>
      </c>
      <c r="E132" t="s">
        <v>12</v>
      </c>
      <c r="F132" t="s">
        <v>101</v>
      </c>
      <c r="G132" t="s">
        <v>40</v>
      </c>
      <c r="H132" t="s">
        <v>98</v>
      </c>
      <c r="I132">
        <v>18043</v>
      </c>
      <c r="J132">
        <v>22563</v>
      </c>
    </row>
    <row r="133" spans="1:10" x14ac:dyDescent="0.3">
      <c r="A133" t="s">
        <v>256</v>
      </c>
      <c r="B133" s="1">
        <v>45945</v>
      </c>
      <c r="C133" t="s">
        <v>66</v>
      </c>
      <c r="D133">
        <v>42</v>
      </c>
      <c r="E133" t="s">
        <v>24</v>
      </c>
      <c r="F133" t="s">
        <v>101</v>
      </c>
      <c r="G133" t="s">
        <v>149</v>
      </c>
      <c r="H133" t="s">
        <v>103</v>
      </c>
      <c r="I133">
        <v>38558</v>
      </c>
      <c r="J133">
        <v>44040</v>
      </c>
    </row>
    <row r="134" spans="1:10" x14ac:dyDescent="0.3">
      <c r="A134" t="s">
        <v>257</v>
      </c>
      <c r="B134" s="1">
        <v>45744</v>
      </c>
      <c r="C134" t="s">
        <v>95</v>
      </c>
      <c r="D134">
        <v>13</v>
      </c>
      <c r="E134" t="s">
        <v>24</v>
      </c>
      <c r="F134" t="s">
        <v>87</v>
      </c>
      <c r="G134" t="s">
        <v>54</v>
      </c>
      <c r="H134" t="s">
        <v>59</v>
      </c>
      <c r="I134">
        <v>30471</v>
      </c>
      <c r="J134">
        <v>31138</v>
      </c>
    </row>
    <row r="135" spans="1:10" x14ac:dyDescent="0.3">
      <c r="A135" t="s">
        <v>258</v>
      </c>
      <c r="B135" s="1">
        <v>45691</v>
      </c>
      <c r="C135" t="s">
        <v>82</v>
      </c>
      <c r="D135">
        <v>6</v>
      </c>
      <c r="E135" t="s">
        <v>33</v>
      </c>
      <c r="F135" t="s">
        <v>193</v>
      </c>
      <c r="G135" t="s">
        <v>67</v>
      </c>
      <c r="H135" t="s">
        <v>116</v>
      </c>
      <c r="I135">
        <v>27693</v>
      </c>
      <c r="J135">
        <v>21239</v>
      </c>
    </row>
    <row r="136" spans="1:10" x14ac:dyDescent="0.3">
      <c r="A136" t="s">
        <v>259</v>
      </c>
      <c r="B136" s="1">
        <v>45763</v>
      </c>
      <c r="C136" t="s">
        <v>86</v>
      </c>
      <c r="D136">
        <v>16</v>
      </c>
      <c r="E136" t="s">
        <v>39</v>
      </c>
      <c r="F136" t="s">
        <v>92</v>
      </c>
      <c r="G136" t="s">
        <v>47</v>
      </c>
      <c r="H136" t="s">
        <v>163</v>
      </c>
      <c r="I136">
        <v>17983</v>
      </c>
      <c r="J136">
        <v>18619</v>
      </c>
    </row>
    <row r="137" spans="1:10" x14ac:dyDescent="0.3">
      <c r="A137" t="s">
        <v>260</v>
      </c>
      <c r="B137" s="1">
        <v>45859</v>
      </c>
      <c r="C137" t="s">
        <v>11</v>
      </c>
      <c r="D137">
        <v>30</v>
      </c>
      <c r="E137" t="s">
        <v>39</v>
      </c>
      <c r="F137" t="s">
        <v>57</v>
      </c>
      <c r="G137" t="s">
        <v>130</v>
      </c>
      <c r="H137" t="s">
        <v>188</v>
      </c>
      <c r="I137">
        <v>18033</v>
      </c>
      <c r="J137">
        <v>19270</v>
      </c>
    </row>
    <row r="138" spans="1:10" x14ac:dyDescent="0.3">
      <c r="A138" t="s">
        <v>261</v>
      </c>
      <c r="B138" s="1">
        <v>45974</v>
      </c>
      <c r="C138" t="s">
        <v>23</v>
      </c>
      <c r="D138">
        <v>46</v>
      </c>
      <c r="E138" t="s">
        <v>18</v>
      </c>
      <c r="F138" t="s">
        <v>43</v>
      </c>
      <c r="G138" t="s">
        <v>234</v>
      </c>
      <c r="H138" t="s">
        <v>55</v>
      </c>
      <c r="I138">
        <v>33085</v>
      </c>
      <c r="J138">
        <v>33967</v>
      </c>
    </row>
    <row r="139" spans="1:10" x14ac:dyDescent="0.3">
      <c r="A139" t="s">
        <v>262</v>
      </c>
      <c r="B139" s="1">
        <v>45667</v>
      </c>
      <c r="C139" t="s">
        <v>17</v>
      </c>
      <c r="D139">
        <v>2</v>
      </c>
      <c r="E139" t="s">
        <v>12</v>
      </c>
      <c r="F139" t="s">
        <v>25</v>
      </c>
      <c r="G139" t="s">
        <v>79</v>
      </c>
      <c r="H139" t="s">
        <v>103</v>
      </c>
      <c r="I139">
        <v>22095</v>
      </c>
      <c r="J139">
        <v>27563</v>
      </c>
    </row>
    <row r="140" spans="1:10" x14ac:dyDescent="0.3">
      <c r="A140" t="s">
        <v>263</v>
      </c>
      <c r="B140" s="1">
        <v>45862</v>
      </c>
      <c r="C140" t="s">
        <v>11</v>
      </c>
      <c r="D140">
        <v>30</v>
      </c>
      <c r="E140" t="s">
        <v>12</v>
      </c>
      <c r="F140" t="s">
        <v>101</v>
      </c>
      <c r="G140" t="s">
        <v>253</v>
      </c>
      <c r="H140" t="s">
        <v>31</v>
      </c>
      <c r="I140">
        <v>39651</v>
      </c>
      <c r="J140">
        <v>40233</v>
      </c>
    </row>
    <row r="141" spans="1:10" x14ac:dyDescent="0.3">
      <c r="A141" t="s">
        <v>264</v>
      </c>
      <c r="B141" s="1">
        <v>45735</v>
      </c>
      <c r="C141" t="s">
        <v>95</v>
      </c>
      <c r="D141">
        <v>12</v>
      </c>
      <c r="E141" t="s">
        <v>61</v>
      </c>
      <c r="F141" t="s">
        <v>87</v>
      </c>
      <c r="G141" t="s">
        <v>72</v>
      </c>
      <c r="H141" t="s">
        <v>157</v>
      </c>
      <c r="I141">
        <v>37642</v>
      </c>
      <c r="J141">
        <v>31502</v>
      </c>
    </row>
    <row r="142" spans="1:10" x14ac:dyDescent="0.3">
      <c r="A142" t="s">
        <v>265</v>
      </c>
      <c r="B142" s="1">
        <v>45739</v>
      </c>
      <c r="C142" t="s">
        <v>95</v>
      </c>
      <c r="D142">
        <v>12</v>
      </c>
      <c r="E142" t="s">
        <v>24</v>
      </c>
      <c r="F142" t="s">
        <v>87</v>
      </c>
      <c r="G142" t="s">
        <v>266</v>
      </c>
      <c r="H142" t="s">
        <v>41</v>
      </c>
      <c r="I142">
        <v>29879</v>
      </c>
      <c r="J142">
        <v>35509</v>
      </c>
    </row>
    <row r="143" spans="1:10" x14ac:dyDescent="0.3">
      <c r="A143" t="s">
        <v>267</v>
      </c>
      <c r="B143" s="1">
        <v>45899</v>
      </c>
      <c r="C143" t="s">
        <v>113</v>
      </c>
      <c r="D143">
        <v>35</v>
      </c>
      <c r="E143" t="s">
        <v>33</v>
      </c>
      <c r="F143" t="s">
        <v>34</v>
      </c>
      <c r="G143" t="s">
        <v>137</v>
      </c>
      <c r="H143" t="s">
        <v>48</v>
      </c>
      <c r="I143">
        <v>39804</v>
      </c>
      <c r="J143">
        <v>29054</v>
      </c>
    </row>
    <row r="144" spans="1:10" x14ac:dyDescent="0.3">
      <c r="A144" t="s">
        <v>268</v>
      </c>
      <c r="B144" s="1">
        <v>45974</v>
      </c>
      <c r="C144" t="s">
        <v>23</v>
      </c>
      <c r="D144">
        <v>46</v>
      </c>
      <c r="E144" t="s">
        <v>61</v>
      </c>
      <c r="F144" t="s">
        <v>46</v>
      </c>
      <c r="G144" t="s">
        <v>63</v>
      </c>
      <c r="H144" t="s">
        <v>21</v>
      </c>
      <c r="I144">
        <v>21117</v>
      </c>
      <c r="J144">
        <v>16571</v>
      </c>
    </row>
    <row r="145" spans="1:10" x14ac:dyDescent="0.3">
      <c r="A145" t="s">
        <v>269</v>
      </c>
      <c r="B145" s="1">
        <v>46019</v>
      </c>
      <c r="C145" t="s">
        <v>100</v>
      </c>
      <c r="D145">
        <v>52</v>
      </c>
      <c r="E145" t="s">
        <v>61</v>
      </c>
      <c r="F145" t="s">
        <v>19</v>
      </c>
      <c r="G145" t="s">
        <v>128</v>
      </c>
      <c r="H145" t="s">
        <v>111</v>
      </c>
      <c r="I145">
        <v>32343</v>
      </c>
      <c r="J145">
        <v>33258</v>
      </c>
    </row>
    <row r="146" spans="1:10" x14ac:dyDescent="0.3">
      <c r="A146" t="s">
        <v>270</v>
      </c>
      <c r="B146" s="1">
        <v>45779</v>
      </c>
      <c r="C146" t="s">
        <v>90</v>
      </c>
      <c r="D146">
        <v>18</v>
      </c>
      <c r="E146" t="s">
        <v>61</v>
      </c>
      <c r="F146" t="s">
        <v>140</v>
      </c>
      <c r="G146" t="s">
        <v>126</v>
      </c>
      <c r="H146" t="s">
        <v>68</v>
      </c>
      <c r="I146">
        <v>25088</v>
      </c>
      <c r="J146">
        <v>20225</v>
      </c>
    </row>
    <row r="147" spans="1:10" x14ac:dyDescent="0.3">
      <c r="A147" t="s">
        <v>271</v>
      </c>
      <c r="B147" s="1">
        <v>45741</v>
      </c>
      <c r="C147" t="s">
        <v>95</v>
      </c>
      <c r="D147">
        <v>13</v>
      </c>
      <c r="E147" t="s">
        <v>61</v>
      </c>
      <c r="F147" t="s">
        <v>101</v>
      </c>
      <c r="G147" t="s">
        <v>58</v>
      </c>
      <c r="H147" t="s">
        <v>15</v>
      </c>
      <c r="I147">
        <v>24318</v>
      </c>
      <c r="J147">
        <v>29569</v>
      </c>
    </row>
    <row r="148" spans="1:10" x14ac:dyDescent="0.3">
      <c r="A148" t="s">
        <v>272</v>
      </c>
      <c r="B148" s="1">
        <v>46019</v>
      </c>
      <c r="C148" t="s">
        <v>100</v>
      </c>
      <c r="D148">
        <v>52</v>
      </c>
      <c r="E148" t="s">
        <v>39</v>
      </c>
      <c r="F148" t="s">
        <v>57</v>
      </c>
      <c r="G148" t="s">
        <v>126</v>
      </c>
      <c r="H148" t="s">
        <v>111</v>
      </c>
      <c r="I148">
        <v>17057</v>
      </c>
      <c r="J148">
        <v>21175</v>
      </c>
    </row>
    <row r="149" spans="1:10" x14ac:dyDescent="0.3">
      <c r="A149" t="s">
        <v>273</v>
      </c>
      <c r="B149" s="1">
        <v>45796</v>
      </c>
      <c r="C149" t="s">
        <v>90</v>
      </c>
      <c r="D149">
        <v>21</v>
      </c>
      <c r="E149" t="s">
        <v>61</v>
      </c>
      <c r="F149" t="s">
        <v>78</v>
      </c>
      <c r="G149" t="s">
        <v>128</v>
      </c>
      <c r="H149" t="s">
        <v>41</v>
      </c>
      <c r="I149">
        <v>28291</v>
      </c>
      <c r="J149">
        <v>20754</v>
      </c>
    </row>
    <row r="150" spans="1:10" x14ac:dyDescent="0.3">
      <c r="A150" t="s">
        <v>274</v>
      </c>
      <c r="B150" s="1">
        <v>45928</v>
      </c>
      <c r="C150" t="s">
        <v>38</v>
      </c>
      <c r="D150">
        <v>39</v>
      </c>
      <c r="E150" t="s">
        <v>39</v>
      </c>
      <c r="F150" t="s">
        <v>193</v>
      </c>
      <c r="G150" t="s">
        <v>115</v>
      </c>
      <c r="H150" t="s">
        <v>111</v>
      </c>
      <c r="I150">
        <v>33107</v>
      </c>
      <c r="J150">
        <v>27530</v>
      </c>
    </row>
    <row r="151" spans="1:10" x14ac:dyDescent="0.3">
      <c r="A151" t="s">
        <v>275</v>
      </c>
      <c r="B151" s="1">
        <v>46003</v>
      </c>
      <c r="C151" t="s">
        <v>100</v>
      </c>
      <c r="D151">
        <v>50</v>
      </c>
      <c r="E151" t="s">
        <v>33</v>
      </c>
      <c r="F151" t="s">
        <v>92</v>
      </c>
      <c r="G151" t="s">
        <v>126</v>
      </c>
      <c r="H151" t="s">
        <v>163</v>
      </c>
      <c r="I151">
        <v>18579</v>
      </c>
      <c r="J151">
        <v>14478</v>
      </c>
    </row>
    <row r="152" spans="1:10" x14ac:dyDescent="0.3">
      <c r="A152" t="s">
        <v>276</v>
      </c>
      <c r="B152" s="1">
        <v>45764</v>
      </c>
      <c r="C152" t="s">
        <v>86</v>
      </c>
      <c r="D152">
        <v>16</v>
      </c>
      <c r="E152" t="s">
        <v>24</v>
      </c>
      <c r="F152" t="s">
        <v>92</v>
      </c>
      <c r="G152" t="s">
        <v>126</v>
      </c>
      <c r="H152" t="s">
        <v>27</v>
      </c>
      <c r="I152">
        <v>16299</v>
      </c>
      <c r="J152">
        <v>20246</v>
      </c>
    </row>
    <row r="153" spans="1:10" x14ac:dyDescent="0.3">
      <c r="A153" t="s">
        <v>277</v>
      </c>
      <c r="B153" s="1">
        <v>46013</v>
      </c>
      <c r="C153" t="s">
        <v>100</v>
      </c>
      <c r="D153">
        <v>52</v>
      </c>
      <c r="E153" t="s">
        <v>12</v>
      </c>
      <c r="F153" t="s">
        <v>34</v>
      </c>
      <c r="G153" t="s">
        <v>35</v>
      </c>
      <c r="H153" t="s">
        <v>151</v>
      </c>
      <c r="I153">
        <v>34005</v>
      </c>
      <c r="J153">
        <v>37104</v>
      </c>
    </row>
    <row r="154" spans="1:10" x14ac:dyDescent="0.3">
      <c r="A154" t="s">
        <v>278</v>
      </c>
      <c r="B154" s="1">
        <v>45711</v>
      </c>
      <c r="C154" t="s">
        <v>82</v>
      </c>
      <c r="D154">
        <v>8</v>
      </c>
      <c r="E154" t="s">
        <v>70</v>
      </c>
      <c r="F154" t="s">
        <v>87</v>
      </c>
      <c r="G154" t="s">
        <v>40</v>
      </c>
      <c r="H154" t="s">
        <v>116</v>
      </c>
      <c r="I154">
        <v>19363</v>
      </c>
      <c r="J154">
        <v>18187</v>
      </c>
    </row>
    <row r="155" spans="1:10" x14ac:dyDescent="0.3">
      <c r="A155" t="s">
        <v>279</v>
      </c>
      <c r="B155" s="1">
        <v>45693</v>
      </c>
      <c r="C155" t="s">
        <v>82</v>
      </c>
      <c r="D155">
        <v>6</v>
      </c>
      <c r="E155" t="s">
        <v>39</v>
      </c>
      <c r="F155" t="s">
        <v>78</v>
      </c>
      <c r="G155" t="s">
        <v>230</v>
      </c>
      <c r="H155" t="s">
        <v>84</v>
      </c>
      <c r="I155">
        <v>28866</v>
      </c>
      <c r="J155">
        <v>36404</v>
      </c>
    </row>
    <row r="156" spans="1:10" x14ac:dyDescent="0.3">
      <c r="A156" t="s">
        <v>280</v>
      </c>
      <c r="B156" s="1">
        <v>45956</v>
      </c>
      <c r="C156" t="s">
        <v>66</v>
      </c>
      <c r="D156">
        <v>43</v>
      </c>
      <c r="E156" t="s">
        <v>24</v>
      </c>
      <c r="F156" t="s">
        <v>50</v>
      </c>
      <c r="G156" t="s">
        <v>14</v>
      </c>
      <c r="H156" t="s">
        <v>155</v>
      </c>
      <c r="I156">
        <v>37476</v>
      </c>
      <c r="J156">
        <v>45894</v>
      </c>
    </row>
    <row r="157" spans="1:10" x14ac:dyDescent="0.3">
      <c r="A157" t="s">
        <v>281</v>
      </c>
      <c r="B157" s="1">
        <v>45895</v>
      </c>
      <c r="C157" t="s">
        <v>113</v>
      </c>
      <c r="D157">
        <v>35</v>
      </c>
      <c r="E157" t="s">
        <v>33</v>
      </c>
      <c r="F157" t="s">
        <v>101</v>
      </c>
      <c r="G157" t="s">
        <v>137</v>
      </c>
      <c r="H157" t="s">
        <v>111</v>
      </c>
      <c r="I157">
        <v>32797</v>
      </c>
      <c r="J157">
        <v>23083</v>
      </c>
    </row>
    <row r="158" spans="1:10" x14ac:dyDescent="0.3">
      <c r="A158" t="s">
        <v>282</v>
      </c>
      <c r="B158" s="1">
        <v>45865</v>
      </c>
      <c r="C158" t="s">
        <v>11</v>
      </c>
      <c r="D158">
        <v>30</v>
      </c>
      <c r="E158" t="s">
        <v>70</v>
      </c>
      <c r="F158" t="s">
        <v>109</v>
      </c>
      <c r="G158" t="s">
        <v>76</v>
      </c>
      <c r="H158" t="s">
        <v>31</v>
      </c>
      <c r="I158">
        <v>31424</v>
      </c>
      <c r="J158">
        <v>22959</v>
      </c>
    </row>
    <row r="159" spans="1:10" x14ac:dyDescent="0.3">
      <c r="A159" t="s">
        <v>283</v>
      </c>
      <c r="B159" s="1">
        <v>45905</v>
      </c>
      <c r="C159" t="s">
        <v>38</v>
      </c>
      <c r="D159">
        <v>36</v>
      </c>
      <c r="E159" t="s">
        <v>70</v>
      </c>
      <c r="F159" t="s">
        <v>92</v>
      </c>
      <c r="G159" t="s">
        <v>54</v>
      </c>
      <c r="H159" t="s">
        <v>165</v>
      </c>
      <c r="I159">
        <v>38274</v>
      </c>
      <c r="J159">
        <v>43301</v>
      </c>
    </row>
    <row r="160" spans="1:10" x14ac:dyDescent="0.3">
      <c r="A160" t="s">
        <v>284</v>
      </c>
      <c r="B160" s="1">
        <v>45783</v>
      </c>
      <c r="C160" t="s">
        <v>90</v>
      </c>
      <c r="D160">
        <v>19</v>
      </c>
      <c r="E160" t="s">
        <v>12</v>
      </c>
      <c r="F160" t="s">
        <v>43</v>
      </c>
      <c r="G160" t="s">
        <v>130</v>
      </c>
      <c r="H160" t="s">
        <v>55</v>
      </c>
      <c r="I160">
        <v>26516</v>
      </c>
      <c r="J160">
        <v>19910</v>
      </c>
    </row>
    <row r="161" spans="1:10" x14ac:dyDescent="0.3">
      <c r="A161" t="s">
        <v>285</v>
      </c>
      <c r="B161" s="1">
        <v>45945</v>
      </c>
      <c r="C161" t="s">
        <v>66</v>
      </c>
      <c r="D161">
        <v>42</v>
      </c>
      <c r="E161" t="s">
        <v>18</v>
      </c>
      <c r="F161" t="s">
        <v>75</v>
      </c>
      <c r="G161" t="s">
        <v>253</v>
      </c>
      <c r="H161" t="s">
        <v>48</v>
      </c>
      <c r="I161">
        <v>26311</v>
      </c>
      <c r="J161">
        <v>27860</v>
      </c>
    </row>
    <row r="162" spans="1:10" x14ac:dyDescent="0.3">
      <c r="A162" t="s">
        <v>286</v>
      </c>
      <c r="B162" s="1">
        <v>45776</v>
      </c>
      <c r="C162" t="s">
        <v>86</v>
      </c>
      <c r="D162">
        <v>18</v>
      </c>
      <c r="E162" t="s">
        <v>33</v>
      </c>
      <c r="F162" t="s">
        <v>109</v>
      </c>
      <c r="G162" t="s">
        <v>30</v>
      </c>
      <c r="H162" t="s">
        <v>119</v>
      </c>
      <c r="I162">
        <v>32862</v>
      </c>
      <c r="J162">
        <v>35373</v>
      </c>
    </row>
    <row r="163" spans="1:10" x14ac:dyDescent="0.3">
      <c r="A163" t="s">
        <v>287</v>
      </c>
      <c r="B163" s="1">
        <v>45659</v>
      </c>
      <c r="C163" t="s">
        <v>17</v>
      </c>
      <c r="D163">
        <v>1</v>
      </c>
      <c r="E163" t="s">
        <v>18</v>
      </c>
      <c r="F163" t="s">
        <v>62</v>
      </c>
      <c r="G163" t="s">
        <v>266</v>
      </c>
      <c r="H163" t="s">
        <v>31</v>
      </c>
      <c r="I163">
        <v>24066</v>
      </c>
      <c r="J163">
        <v>28881</v>
      </c>
    </row>
    <row r="164" spans="1:10" x14ac:dyDescent="0.3">
      <c r="A164" t="s">
        <v>288</v>
      </c>
      <c r="B164" s="1">
        <v>45690</v>
      </c>
      <c r="C164" t="s">
        <v>82</v>
      </c>
      <c r="D164">
        <v>5</v>
      </c>
      <c r="E164" t="s">
        <v>18</v>
      </c>
      <c r="F164" t="s">
        <v>193</v>
      </c>
      <c r="G164" t="s">
        <v>110</v>
      </c>
      <c r="H164" t="s">
        <v>111</v>
      </c>
      <c r="I164">
        <v>39007</v>
      </c>
      <c r="J164">
        <v>42651</v>
      </c>
    </row>
    <row r="165" spans="1:10" x14ac:dyDescent="0.3">
      <c r="A165" t="s">
        <v>289</v>
      </c>
      <c r="B165" s="1">
        <v>45691</v>
      </c>
      <c r="C165" t="s">
        <v>82</v>
      </c>
      <c r="D165">
        <v>6</v>
      </c>
      <c r="E165" t="s">
        <v>61</v>
      </c>
      <c r="F165" t="s">
        <v>114</v>
      </c>
      <c r="G165" t="s">
        <v>63</v>
      </c>
      <c r="H165" t="s">
        <v>96</v>
      </c>
      <c r="I165">
        <v>35564</v>
      </c>
      <c r="J165">
        <v>27058</v>
      </c>
    </row>
    <row r="166" spans="1:10" x14ac:dyDescent="0.3">
      <c r="A166" t="s">
        <v>290</v>
      </c>
      <c r="B166" s="1">
        <v>45905</v>
      </c>
      <c r="C166" t="s">
        <v>38</v>
      </c>
      <c r="D166">
        <v>36</v>
      </c>
      <c r="E166" t="s">
        <v>70</v>
      </c>
      <c r="F166" t="s">
        <v>101</v>
      </c>
      <c r="G166" t="s">
        <v>291</v>
      </c>
      <c r="H166" t="s">
        <v>119</v>
      </c>
      <c r="I166">
        <v>38015</v>
      </c>
      <c r="J166">
        <v>27551</v>
      </c>
    </row>
    <row r="167" spans="1:10" x14ac:dyDescent="0.3">
      <c r="A167" t="s">
        <v>292</v>
      </c>
      <c r="B167" s="1">
        <v>45975</v>
      </c>
      <c r="C167" t="s">
        <v>23</v>
      </c>
      <c r="D167">
        <v>46</v>
      </c>
      <c r="E167" t="s">
        <v>24</v>
      </c>
      <c r="F167" t="s">
        <v>29</v>
      </c>
      <c r="G167" t="s">
        <v>20</v>
      </c>
      <c r="H167" t="s">
        <v>116</v>
      </c>
      <c r="I167">
        <v>32045</v>
      </c>
      <c r="J167">
        <v>34454</v>
      </c>
    </row>
    <row r="168" spans="1:10" x14ac:dyDescent="0.3">
      <c r="A168" t="s">
        <v>293</v>
      </c>
      <c r="B168" s="1">
        <v>45764</v>
      </c>
      <c r="C168" t="s">
        <v>86</v>
      </c>
      <c r="D168">
        <v>16</v>
      </c>
      <c r="E168" t="s">
        <v>24</v>
      </c>
      <c r="F168" t="s">
        <v>13</v>
      </c>
      <c r="G168" t="s">
        <v>20</v>
      </c>
      <c r="H168" t="s">
        <v>123</v>
      </c>
      <c r="I168">
        <v>37082</v>
      </c>
      <c r="J168">
        <v>31431</v>
      </c>
    </row>
    <row r="169" spans="1:10" x14ac:dyDescent="0.3">
      <c r="A169" t="s">
        <v>294</v>
      </c>
      <c r="B169" s="1">
        <v>45923</v>
      </c>
      <c r="C169" t="s">
        <v>38</v>
      </c>
      <c r="D169">
        <v>39</v>
      </c>
      <c r="E169" t="s">
        <v>39</v>
      </c>
      <c r="F169" t="s">
        <v>25</v>
      </c>
      <c r="G169" t="s">
        <v>83</v>
      </c>
      <c r="H169" t="s">
        <v>36</v>
      </c>
      <c r="I169">
        <v>20471</v>
      </c>
      <c r="J169">
        <v>20854</v>
      </c>
    </row>
    <row r="170" spans="1:10" x14ac:dyDescent="0.3">
      <c r="A170" t="s">
        <v>295</v>
      </c>
      <c r="B170" s="1">
        <v>45677</v>
      </c>
      <c r="C170" t="s">
        <v>17</v>
      </c>
      <c r="D170">
        <v>4</v>
      </c>
      <c r="E170" t="s">
        <v>61</v>
      </c>
      <c r="F170" t="s">
        <v>43</v>
      </c>
      <c r="G170" t="s">
        <v>110</v>
      </c>
      <c r="H170" t="s">
        <v>98</v>
      </c>
      <c r="I170">
        <v>22064</v>
      </c>
      <c r="J170">
        <v>20455</v>
      </c>
    </row>
    <row r="171" spans="1:10" x14ac:dyDescent="0.3">
      <c r="A171" t="s">
        <v>296</v>
      </c>
      <c r="B171" s="1">
        <v>45895</v>
      </c>
      <c r="C171" t="s">
        <v>113</v>
      </c>
      <c r="D171">
        <v>35</v>
      </c>
      <c r="E171" t="s">
        <v>70</v>
      </c>
      <c r="F171" t="s">
        <v>29</v>
      </c>
      <c r="G171" t="s">
        <v>171</v>
      </c>
      <c r="H171" t="s">
        <v>157</v>
      </c>
      <c r="I171">
        <v>31471</v>
      </c>
      <c r="J171">
        <v>29682</v>
      </c>
    </row>
    <row r="172" spans="1:10" x14ac:dyDescent="0.3">
      <c r="A172" t="s">
        <v>297</v>
      </c>
      <c r="B172" s="1">
        <v>45821</v>
      </c>
      <c r="C172" t="s">
        <v>74</v>
      </c>
      <c r="D172">
        <v>24</v>
      </c>
      <c r="E172" t="s">
        <v>12</v>
      </c>
      <c r="F172" t="s">
        <v>193</v>
      </c>
      <c r="G172" t="s">
        <v>199</v>
      </c>
      <c r="H172" t="s">
        <v>27</v>
      </c>
      <c r="I172">
        <v>31578</v>
      </c>
      <c r="J172">
        <v>29124</v>
      </c>
    </row>
    <row r="173" spans="1:10" x14ac:dyDescent="0.3">
      <c r="A173" t="s">
        <v>298</v>
      </c>
      <c r="B173" s="1">
        <v>45841</v>
      </c>
      <c r="C173" t="s">
        <v>11</v>
      </c>
      <c r="D173">
        <v>27</v>
      </c>
      <c r="E173" t="s">
        <v>70</v>
      </c>
      <c r="F173" t="s">
        <v>25</v>
      </c>
      <c r="G173" t="s">
        <v>132</v>
      </c>
      <c r="H173" t="s">
        <v>96</v>
      </c>
      <c r="I173">
        <v>36654</v>
      </c>
      <c r="J173">
        <v>32076</v>
      </c>
    </row>
    <row r="174" spans="1:10" x14ac:dyDescent="0.3">
      <c r="A174" t="s">
        <v>299</v>
      </c>
      <c r="B174" s="1">
        <v>45720</v>
      </c>
      <c r="C174" t="s">
        <v>95</v>
      </c>
      <c r="D174">
        <v>10</v>
      </c>
      <c r="E174" t="s">
        <v>61</v>
      </c>
      <c r="F174" t="s">
        <v>92</v>
      </c>
      <c r="G174" t="s">
        <v>201</v>
      </c>
      <c r="H174" t="s">
        <v>133</v>
      </c>
      <c r="I174">
        <v>22824</v>
      </c>
      <c r="J174">
        <v>22613</v>
      </c>
    </row>
    <row r="175" spans="1:10" x14ac:dyDescent="0.3">
      <c r="A175" t="s">
        <v>300</v>
      </c>
      <c r="B175" s="1">
        <v>45663</v>
      </c>
      <c r="C175" t="s">
        <v>17</v>
      </c>
      <c r="D175">
        <v>2</v>
      </c>
      <c r="E175" t="s">
        <v>12</v>
      </c>
      <c r="F175" t="s">
        <v>87</v>
      </c>
      <c r="G175" t="s">
        <v>30</v>
      </c>
      <c r="H175" t="s">
        <v>157</v>
      </c>
      <c r="I175">
        <v>33125</v>
      </c>
      <c r="J175">
        <v>42754</v>
      </c>
    </row>
    <row r="176" spans="1:10" x14ac:dyDescent="0.3">
      <c r="A176" t="s">
        <v>301</v>
      </c>
      <c r="B176" s="1">
        <v>45850</v>
      </c>
      <c r="C176" t="s">
        <v>11</v>
      </c>
      <c r="D176">
        <v>28</v>
      </c>
      <c r="E176" t="s">
        <v>24</v>
      </c>
      <c r="F176" t="s">
        <v>62</v>
      </c>
      <c r="G176" t="s">
        <v>40</v>
      </c>
      <c r="H176" t="s">
        <v>96</v>
      </c>
      <c r="I176">
        <v>25027</v>
      </c>
      <c r="J176">
        <v>18109</v>
      </c>
    </row>
    <row r="177" spans="1:10" x14ac:dyDescent="0.3">
      <c r="A177" t="s">
        <v>302</v>
      </c>
      <c r="B177" s="1">
        <v>46018</v>
      </c>
      <c r="C177" t="s">
        <v>100</v>
      </c>
      <c r="D177">
        <v>52</v>
      </c>
      <c r="E177" t="s">
        <v>70</v>
      </c>
      <c r="F177" t="s">
        <v>57</v>
      </c>
      <c r="G177" t="s">
        <v>291</v>
      </c>
      <c r="H177" t="s">
        <v>21</v>
      </c>
      <c r="I177">
        <v>23788</v>
      </c>
      <c r="J177">
        <v>30189</v>
      </c>
    </row>
    <row r="178" spans="1:10" x14ac:dyDescent="0.3">
      <c r="A178" t="s">
        <v>303</v>
      </c>
      <c r="B178" s="1">
        <v>45955</v>
      </c>
      <c r="C178" t="s">
        <v>66</v>
      </c>
      <c r="D178">
        <v>43</v>
      </c>
      <c r="E178" t="s">
        <v>24</v>
      </c>
      <c r="F178" t="s">
        <v>57</v>
      </c>
      <c r="G178" t="s">
        <v>44</v>
      </c>
      <c r="H178" t="s">
        <v>59</v>
      </c>
      <c r="I178">
        <v>27013</v>
      </c>
      <c r="J178">
        <v>25864</v>
      </c>
    </row>
    <row r="179" spans="1:10" x14ac:dyDescent="0.3">
      <c r="A179" t="s">
        <v>304</v>
      </c>
      <c r="B179" s="1">
        <v>45922</v>
      </c>
      <c r="C179" t="s">
        <v>38</v>
      </c>
      <c r="D179">
        <v>39</v>
      </c>
      <c r="E179" t="s">
        <v>61</v>
      </c>
      <c r="F179" t="s">
        <v>13</v>
      </c>
      <c r="G179" t="s">
        <v>40</v>
      </c>
      <c r="H179" t="s">
        <v>80</v>
      </c>
      <c r="I179">
        <v>19214</v>
      </c>
      <c r="J179">
        <v>19816</v>
      </c>
    </row>
    <row r="180" spans="1:10" x14ac:dyDescent="0.3">
      <c r="A180" t="s">
        <v>305</v>
      </c>
      <c r="B180" s="1">
        <v>45896</v>
      </c>
      <c r="C180" t="s">
        <v>113</v>
      </c>
      <c r="D180">
        <v>35</v>
      </c>
      <c r="E180" t="s">
        <v>70</v>
      </c>
      <c r="F180" t="s">
        <v>46</v>
      </c>
      <c r="G180" t="s">
        <v>47</v>
      </c>
      <c r="H180" t="s">
        <v>98</v>
      </c>
      <c r="I180">
        <v>25589</v>
      </c>
      <c r="J180">
        <v>32460</v>
      </c>
    </row>
    <row r="181" spans="1:10" x14ac:dyDescent="0.3">
      <c r="A181" t="s">
        <v>306</v>
      </c>
      <c r="B181" s="1">
        <v>45996</v>
      </c>
      <c r="C181" t="s">
        <v>100</v>
      </c>
      <c r="D181">
        <v>49</v>
      </c>
      <c r="E181" t="s">
        <v>18</v>
      </c>
      <c r="F181" t="s">
        <v>19</v>
      </c>
      <c r="G181" t="s">
        <v>76</v>
      </c>
      <c r="H181" t="s">
        <v>84</v>
      </c>
      <c r="I181">
        <v>19487</v>
      </c>
      <c r="J181">
        <v>13886</v>
      </c>
    </row>
    <row r="182" spans="1:10" x14ac:dyDescent="0.3">
      <c r="A182" t="s">
        <v>307</v>
      </c>
      <c r="B182" s="1">
        <v>45908</v>
      </c>
      <c r="C182" t="s">
        <v>38</v>
      </c>
      <c r="D182">
        <v>37</v>
      </c>
      <c r="E182" t="s">
        <v>61</v>
      </c>
      <c r="F182" t="s">
        <v>25</v>
      </c>
      <c r="G182" t="s">
        <v>128</v>
      </c>
      <c r="H182" t="s">
        <v>98</v>
      </c>
      <c r="I182">
        <v>21179</v>
      </c>
      <c r="J182">
        <v>25397</v>
      </c>
    </row>
    <row r="183" spans="1:10" x14ac:dyDescent="0.3">
      <c r="A183" t="s">
        <v>308</v>
      </c>
      <c r="B183" s="1">
        <v>45773</v>
      </c>
      <c r="C183" t="s">
        <v>86</v>
      </c>
      <c r="D183">
        <v>17</v>
      </c>
      <c r="E183" t="s">
        <v>24</v>
      </c>
      <c r="F183" t="s">
        <v>101</v>
      </c>
      <c r="G183" t="s">
        <v>118</v>
      </c>
      <c r="H183" t="s">
        <v>55</v>
      </c>
      <c r="I183">
        <v>30984</v>
      </c>
      <c r="J183">
        <v>32170</v>
      </c>
    </row>
    <row r="184" spans="1:10" x14ac:dyDescent="0.3">
      <c r="A184" t="s">
        <v>309</v>
      </c>
      <c r="B184" s="1">
        <v>45757</v>
      </c>
      <c r="C184" t="s">
        <v>86</v>
      </c>
      <c r="D184">
        <v>15</v>
      </c>
      <c r="E184" t="s">
        <v>24</v>
      </c>
      <c r="F184" t="s">
        <v>109</v>
      </c>
      <c r="G184" t="s">
        <v>171</v>
      </c>
      <c r="H184" t="s">
        <v>163</v>
      </c>
      <c r="I184">
        <v>37206</v>
      </c>
      <c r="J184">
        <v>27670</v>
      </c>
    </row>
    <row r="185" spans="1:10" x14ac:dyDescent="0.3">
      <c r="A185" t="s">
        <v>310</v>
      </c>
      <c r="B185" s="1">
        <v>45758</v>
      </c>
      <c r="C185" t="s">
        <v>86</v>
      </c>
      <c r="D185">
        <v>15</v>
      </c>
      <c r="E185" t="s">
        <v>18</v>
      </c>
      <c r="F185" t="s">
        <v>13</v>
      </c>
      <c r="G185" t="s">
        <v>201</v>
      </c>
      <c r="H185" t="s">
        <v>80</v>
      </c>
      <c r="I185">
        <v>27102</v>
      </c>
      <c r="J185">
        <v>32304</v>
      </c>
    </row>
    <row r="186" spans="1:10" x14ac:dyDescent="0.3">
      <c r="A186" t="s">
        <v>311</v>
      </c>
      <c r="B186" s="1">
        <v>45897</v>
      </c>
      <c r="C186" t="s">
        <v>113</v>
      </c>
      <c r="D186">
        <v>35</v>
      </c>
      <c r="E186" t="s">
        <v>39</v>
      </c>
      <c r="F186" t="s">
        <v>29</v>
      </c>
      <c r="G186" t="s">
        <v>26</v>
      </c>
      <c r="H186" t="s">
        <v>59</v>
      </c>
      <c r="I186">
        <v>31553</v>
      </c>
      <c r="J186">
        <v>29280</v>
      </c>
    </row>
    <row r="187" spans="1:10" x14ac:dyDescent="0.3">
      <c r="A187" t="s">
        <v>312</v>
      </c>
      <c r="B187" s="1">
        <v>45764</v>
      </c>
      <c r="C187" t="s">
        <v>86</v>
      </c>
      <c r="D187">
        <v>16</v>
      </c>
      <c r="E187" t="s">
        <v>70</v>
      </c>
      <c r="F187" t="s">
        <v>75</v>
      </c>
      <c r="G187" t="s">
        <v>79</v>
      </c>
      <c r="H187" t="s">
        <v>111</v>
      </c>
      <c r="I187">
        <v>17635</v>
      </c>
      <c r="J187">
        <v>15116</v>
      </c>
    </row>
    <row r="188" spans="1:10" x14ac:dyDescent="0.3">
      <c r="A188" t="s">
        <v>313</v>
      </c>
      <c r="B188" s="1">
        <v>46016</v>
      </c>
      <c r="C188" t="s">
        <v>100</v>
      </c>
      <c r="D188">
        <v>52</v>
      </c>
      <c r="E188" t="s">
        <v>18</v>
      </c>
      <c r="F188" t="s">
        <v>101</v>
      </c>
      <c r="G188" t="s">
        <v>141</v>
      </c>
      <c r="H188" t="s">
        <v>36</v>
      </c>
      <c r="I188">
        <v>24398</v>
      </c>
      <c r="J188">
        <v>28235</v>
      </c>
    </row>
    <row r="189" spans="1:10" x14ac:dyDescent="0.3">
      <c r="A189" t="s">
        <v>314</v>
      </c>
      <c r="B189" s="1">
        <v>45703</v>
      </c>
      <c r="C189" t="s">
        <v>82</v>
      </c>
      <c r="D189">
        <v>7</v>
      </c>
      <c r="E189" t="s">
        <v>39</v>
      </c>
      <c r="F189" t="s">
        <v>78</v>
      </c>
      <c r="G189" t="s">
        <v>118</v>
      </c>
      <c r="H189" t="s">
        <v>155</v>
      </c>
      <c r="I189">
        <v>35605</v>
      </c>
      <c r="J189">
        <v>29181</v>
      </c>
    </row>
    <row r="190" spans="1:10" x14ac:dyDescent="0.3">
      <c r="A190" t="s">
        <v>315</v>
      </c>
      <c r="B190" s="1">
        <v>45757</v>
      </c>
      <c r="C190" t="s">
        <v>86</v>
      </c>
      <c r="D190">
        <v>15</v>
      </c>
      <c r="E190" t="s">
        <v>33</v>
      </c>
      <c r="F190" t="s">
        <v>92</v>
      </c>
      <c r="G190" t="s">
        <v>266</v>
      </c>
      <c r="H190" t="s">
        <v>31</v>
      </c>
      <c r="I190">
        <v>19301</v>
      </c>
      <c r="J190">
        <v>22405</v>
      </c>
    </row>
    <row r="191" spans="1:10" x14ac:dyDescent="0.3">
      <c r="A191" t="s">
        <v>316</v>
      </c>
      <c r="B191" s="1">
        <v>45864</v>
      </c>
      <c r="C191" t="s">
        <v>11</v>
      </c>
      <c r="D191">
        <v>30</v>
      </c>
      <c r="E191" t="s">
        <v>61</v>
      </c>
      <c r="F191" t="s">
        <v>193</v>
      </c>
      <c r="G191" t="s">
        <v>26</v>
      </c>
      <c r="H191" t="s">
        <v>151</v>
      </c>
      <c r="I191">
        <v>15469</v>
      </c>
      <c r="J191">
        <v>12427</v>
      </c>
    </row>
    <row r="192" spans="1:10" x14ac:dyDescent="0.3">
      <c r="A192" t="s">
        <v>317</v>
      </c>
      <c r="B192" s="1">
        <v>45708</v>
      </c>
      <c r="C192" t="s">
        <v>82</v>
      </c>
      <c r="D192">
        <v>8</v>
      </c>
      <c r="E192" t="s">
        <v>70</v>
      </c>
      <c r="F192" t="s">
        <v>46</v>
      </c>
      <c r="G192" t="s">
        <v>182</v>
      </c>
      <c r="H192" t="s">
        <v>52</v>
      </c>
      <c r="I192">
        <v>30936</v>
      </c>
      <c r="J192">
        <v>32137</v>
      </c>
    </row>
    <row r="193" spans="1:10" x14ac:dyDescent="0.3">
      <c r="A193" t="s">
        <v>318</v>
      </c>
      <c r="B193" s="1">
        <v>45677</v>
      </c>
      <c r="C193" t="s">
        <v>17</v>
      </c>
      <c r="D193">
        <v>4</v>
      </c>
      <c r="E193" t="s">
        <v>18</v>
      </c>
      <c r="F193" t="s">
        <v>50</v>
      </c>
      <c r="G193" t="s">
        <v>147</v>
      </c>
      <c r="H193" t="s">
        <v>41</v>
      </c>
      <c r="I193">
        <v>37089</v>
      </c>
      <c r="J193">
        <v>41442</v>
      </c>
    </row>
    <row r="194" spans="1:10" x14ac:dyDescent="0.3">
      <c r="A194" t="s">
        <v>319</v>
      </c>
      <c r="B194" s="1">
        <v>45732</v>
      </c>
      <c r="C194" t="s">
        <v>95</v>
      </c>
      <c r="D194">
        <v>11</v>
      </c>
      <c r="E194" t="s">
        <v>70</v>
      </c>
      <c r="F194" t="s">
        <v>114</v>
      </c>
      <c r="G194" t="s">
        <v>128</v>
      </c>
      <c r="H194" t="s">
        <v>48</v>
      </c>
      <c r="I194">
        <v>32482</v>
      </c>
      <c r="J194">
        <v>37197</v>
      </c>
    </row>
    <row r="195" spans="1:10" x14ac:dyDescent="0.3">
      <c r="A195" t="s">
        <v>320</v>
      </c>
      <c r="B195" s="1">
        <v>45951</v>
      </c>
      <c r="C195" t="s">
        <v>66</v>
      </c>
      <c r="D195">
        <v>43</v>
      </c>
      <c r="E195" t="s">
        <v>39</v>
      </c>
      <c r="F195" t="s">
        <v>193</v>
      </c>
      <c r="G195" t="s">
        <v>130</v>
      </c>
      <c r="H195" t="s">
        <v>151</v>
      </c>
      <c r="I195">
        <v>37852</v>
      </c>
      <c r="J195">
        <v>28614</v>
      </c>
    </row>
    <row r="196" spans="1:10" x14ac:dyDescent="0.3">
      <c r="A196" t="s">
        <v>321</v>
      </c>
      <c r="B196" s="1">
        <v>45678</v>
      </c>
      <c r="C196" t="s">
        <v>17</v>
      </c>
      <c r="D196">
        <v>4</v>
      </c>
      <c r="E196" t="s">
        <v>61</v>
      </c>
      <c r="F196" t="s">
        <v>140</v>
      </c>
      <c r="G196" t="s">
        <v>191</v>
      </c>
      <c r="H196" t="s">
        <v>84</v>
      </c>
      <c r="I196">
        <v>18438</v>
      </c>
      <c r="J196">
        <v>21851</v>
      </c>
    </row>
    <row r="197" spans="1:10" x14ac:dyDescent="0.3">
      <c r="A197" t="s">
        <v>322</v>
      </c>
      <c r="B197" s="1">
        <v>45809</v>
      </c>
      <c r="C197" t="s">
        <v>74</v>
      </c>
      <c r="D197">
        <v>22</v>
      </c>
      <c r="E197" t="s">
        <v>12</v>
      </c>
      <c r="F197" t="s">
        <v>78</v>
      </c>
      <c r="G197" t="s">
        <v>240</v>
      </c>
      <c r="H197" t="s">
        <v>64</v>
      </c>
      <c r="I197">
        <v>34592</v>
      </c>
      <c r="J197">
        <v>24822</v>
      </c>
    </row>
    <row r="198" spans="1:10" x14ac:dyDescent="0.3">
      <c r="A198" t="s">
        <v>323</v>
      </c>
      <c r="B198" s="1">
        <v>45925</v>
      </c>
      <c r="C198" t="s">
        <v>38</v>
      </c>
      <c r="D198">
        <v>39</v>
      </c>
      <c r="E198" t="s">
        <v>39</v>
      </c>
      <c r="F198" t="s">
        <v>92</v>
      </c>
      <c r="G198" t="s">
        <v>324</v>
      </c>
      <c r="H198" t="s">
        <v>211</v>
      </c>
      <c r="I198">
        <v>15330</v>
      </c>
      <c r="J198">
        <v>17838</v>
      </c>
    </row>
    <row r="199" spans="1:10" x14ac:dyDescent="0.3">
      <c r="A199" t="s">
        <v>325</v>
      </c>
      <c r="B199" s="1">
        <v>45904</v>
      </c>
      <c r="C199" t="s">
        <v>38</v>
      </c>
      <c r="D199">
        <v>36</v>
      </c>
      <c r="E199" t="s">
        <v>39</v>
      </c>
      <c r="F199" t="s">
        <v>25</v>
      </c>
      <c r="G199" t="s">
        <v>326</v>
      </c>
      <c r="H199" t="s">
        <v>59</v>
      </c>
      <c r="I199">
        <v>35554</v>
      </c>
      <c r="J199">
        <v>37931</v>
      </c>
    </row>
    <row r="200" spans="1:10" x14ac:dyDescent="0.3">
      <c r="A200" t="s">
        <v>327</v>
      </c>
      <c r="B200" s="1">
        <v>45959</v>
      </c>
      <c r="C200" t="s">
        <v>66</v>
      </c>
      <c r="D200">
        <v>44</v>
      </c>
      <c r="E200" t="s">
        <v>61</v>
      </c>
      <c r="F200" t="s">
        <v>193</v>
      </c>
      <c r="G200" t="s">
        <v>40</v>
      </c>
      <c r="H200" t="s">
        <v>41</v>
      </c>
      <c r="I200">
        <v>30795</v>
      </c>
      <c r="J200">
        <v>23547</v>
      </c>
    </row>
    <row r="201" spans="1:10" x14ac:dyDescent="0.3">
      <c r="A201" t="s">
        <v>328</v>
      </c>
      <c r="B201" s="1">
        <v>45836</v>
      </c>
      <c r="C201" t="s">
        <v>74</v>
      </c>
      <c r="D201">
        <v>26</v>
      </c>
      <c r="E201" t="s">
        <v>12</v>
      </c>
      <c r="F201" t="s">
        <v>57</v>
      </c>
      <c r="G201" t="s">
        <v>145</v>
      </c>
      <c r="H201" t="s">
        <v>151</v>
      </c>
      <c r="I201">
        <v>38196</v>
      </c>
      <c r="J201">
        <v>32214</v>
      </c>
    </row>
    <row r="202" spans="1:10" x14ac:dyDescent="0.3">
      <c r="A202" t="s">
        <v>329</v>
      </c>
      <c r="B202" s="1">
        <v>45795</v>
      </c>
      <c r="C202" t="s">
        <v>90</v>
      </c>
      <c r="D202">
        <v>20</v>
      </c>
      <c r="E202" t="s">
        <v>18</v>
      </c>
      <c r="F202" t="s">
        <v>87</v>
      </c>
      <c r="G202" t="s">
        <v>51</v>
      </c>
      <c r="H202" t="s">
        <v>98</v>
      </c>
      <c r="I202">
        <v>28706</v>
      </c>
      <c r="J202">
        <v>34428</v>
      </c>
    </row>
    <row r="203" spans="1:10" x14ac:dyDescent="0.3">
      <c r="A203" t="s">
        <v>330</v>
      </c>
      <c r="B203" s="1">
        <v>45701</v>
      </c>
      <c r="C203" t="s">
        <v>82</v>
      </c>
      <c r="D203">
        <v>7</v>
      </c>
      <c r="E203" t="s">
        <v>70</v>
      </c>
      <c r="F203" t="s">
        <v>57</v>
      </c>
      <c r="G203" t="s">
        <v>63</v>
      </c>
      <c r="H203" t="s">
        <v>59</v>
      </c>
      <c r="I203">
        <v>23442</v>
      </c>
      <c r="J203">
        <v>21219</v>
      </c>
    </row>
    <row r="204" spans="1:10" x14ac:dyDescent="0.3">
      <c r="A204" t="s">
        <v>331</v>
      </c>
      <c r="B204" s="1">
        <v>45839</v>
      </c>
      <c r="C204" t="s">
        <v>11</v>
      </c>
      <c r="D204">
        <v>27</v>
      </c>
      <c r="E204" t="s">
        <v>24</v>
      </c>
      <c r="F204" t="s">
        <v>122</v>
      </c>
      <c r="G204" t="s">
        <v>141</v>
      </c>
      <c r="H204" t="s">
        <v>41</v>
      </c>
      <c r="I204">
        <v>27634</v>
      </c>
      <c r="J204">
        <v>20729</v>
      </c>
    </row>
    <row r="205" spans="1:10" x14ac:dyDescent="0.3">
      <c r="A205" t="s">
        <v>332</v>
      </c>
      <c r="B205" s="1">
        <v>45975</v>
      </c>
      <c r="C205" t="s">
        <v>23</v>
      </c>
      <c r="D205">
        <v>46</v>
      </c>
      <c r="E205" t="s">
        <v>18</v>
      </c>
      <c r="F205" t="s">
        <v>193</v>
      </c>
      <c r="G205" t="s">
        <v>79</v>
      </c>
      <c r="H205" t="s">
        <v>59</v>
      </c>
      <c r="I205">
        <v>28686</v>
      </c>
      <c r="J205">
        <v>33083</v>
      </c>
    </row>
    <row r="206" spans="1:10" x14ac:dyDescent="0.3">
      <c r="A206" t="s">
        <v>333</v>
      </c>
      <c r="B206" s="1">
        <v>45871</v>
      </c>
      <c r="C206" t="s">
        <v>113</v>
      </c>
      <c r="D206">
        <v>31</v>
      </c>
      <c r="E206" t="s">
        <v>70</v>
      </c>
      <c r="F206" t="s">
        <v>193</v>
      </c>
      <c r="G206" t="s">
        <v>40</v>
      </c>
      <c r="H206" t="s">
        <v>211</v>
      </c>
      <c r="I206">
        <v>21734</v>
      </c>
      <c r="J206">
        <v>19887</v>
      </c>
    </row>
    <row r="207" spans="1:10" x14ac:dyDescent="0.3">
      <c r="A207" t="s">
        <v>334</v>
      </c>
      <c r="B207" s="1">
        <v>45856</v>
      </c>
      <c r="C207" t="s">
        <v>11</v>
      </c>
      <c r="D207">
        <v>29</v>
      </c>
      <c r="E207" t="s">
        <v>61</v>
      </c>
      <c r="F207" t="s">
        <v>19</v>
      </c>
      <c r="G207" t="s">
        <v>102</v>
      </c>
      <c r="H207" t="s">
        <v>133</v>
      </c>
      <c r="I207">
        <v>27242</v>
      </c>
      <c r="J207">
        <v>25202</v>
      </c>
    </row>
    <row r="208" spans="1:10" x14ac:dyDescent="0.3">
      <c r="A208" t="s">
        <v>335</v>
      </c>
      <c r="B208" s="1">
        <v>45965</v>
      </c>
      <c r="C208" t="s">
        <v>23</v>
      </c>
      <c r="D208">
        <v>45</v>
      </c>
      <c r="E208" t="s">
        <v>70</v>
      </c>
      <c r="F208" t="s">
        <v>19</v>
      </c>
      <c r="G208" t="s">
        <v>182</v>
      </c>
      <c r="H208" t="s">
        <v>48</v>
      </c>
      <c r="I208">
        <v>29857</v>
      </c>
      <c r="J208">
        <v>30759</v>
      </c>
    </row>
    <row r="209" spans="1:10" x14ac:dyDescent="0.3">
      <c r="A209" t="s">
        <v>336</v>
      </c>
      <c r="B209" s="1">
        <v>45931</v>
      </c>
      <c r="C209" t="s">
        <v>66</v>
      </c>
      <c r="D209">
        <v>40</v>
      </c>
      <c r="E209" t="s">
        <v>33</v>
      </c>
      <c r="F209" t="s">
        <v>25</v>
      </c>
      <c r="G209" t="s">
        <v>147</v>
      </c>
      <c r="H209" t="s">
        <v>52</v>
      </c>
      <c r="I209">
        <v>28035</v>
      </c>
      <c r="J209">
        <v>29193</v>
      </c>
    </row>
    <row r="210" spans="1:10" x14ac:dyDescent="0.3">
      <c r="A210" t="s">
        <v>337</v>
      </c>
      <c r="B210" s="1">
        <v>45694</v>
      </c>
      <c r="C210" t="s">
        <v>82</v>
      </c>
      <c r="D210">
        <v>6</v>
      </c>
      <c r="E210" t="s">
        <v>70</v>
      </c>
      <c r="F210" t="s">
        <v>92</v>
      </c>
      <c r="G210" t="s">
        <v>240</v>
      </c>
      <c r="H210" t="s">
        <v>52</v>
      </c>
      <c r="I210">
        <v>29441</v>
      </c>
      <c r="J210">
        <v>28923</v>
      </c>
    </row>
    <row r="211" spans="1:10" x14ac:dyDescent="0.3">
      <c r="A211" t="s">
        <v>338</v>
      </c>
      <c r="B211" s="1">
        <v>45972</v>
      </c>
      <c r="C211" t="s">
        <v>23</v>
      </c>
      <c r="D211">
        <v>46</v>
      </c>
      <c r="E211" t="s">
        <v>39</v>
      </c>
      <c r="F211" t="s">
        <v>122</v>
      </c>
      <c r="G211" t="s">
        <v>20</v>
      </c>
      <c r="H211" t="s">
        <v>96</v>
      </c>
      <c r="I211">
        <v>28129</v>
      </c>
      <c r="J211">
        <v>35994</v>
      </c>
    </row>
    <row r="212" spans="1:10" x14ac:dyDescent="0.3">
      <c r="A212" t="s">
        <v>339</v>
      </c>
      <c r="B212" s="1">
        <v>45834</v>
      </c>
      <c r="C212" t="s">
        <v>74</v>
      </c>
      <c r="D212">
        <v>26</v>
      </c>
      <c r="E212" t="s">
        <v>24</v>
      </c>
      <c r="F212" t="s">
        <v>50</v>
      </c>
      <c r="G212" t="s">
        <v>206</v>
      </c>
      <c r="H212" t="s">
        <v>80</v>
      </c>
      <c r="I212">
        <v>37448</v>
      </c>
      <c r="J212">
        <v>29193</v>
      </c>
    </row>
    <row r="213" spans="1:10" x14ac:dyDescent="0.3">
      <c r="A213" t="s">
        <v>340</v>
      </c>
      <c r="B213" s="1">
        <v>45722</v>
      </c>
      <c r="C213" t="s">
        <v>95</v>
      </c>
      <c r="D213">
        <v>10</v>
      </c>
      <c r="E213" t="s">
        <v>39</v>
      </c>
      <c r="F213" t="s">
        <v>87</v>
      </c>
      <c r="G213" t="s">
        <v>147</v>
      </c>
      <c r="H213" t="s">
        <v>96</v>
      </c>
      <c r="I213">
        <v>26486</v>
      </c>
      <c r="J213">
        <v>26311</v>
      </c>
    </row>
    <row r="214" spans="1:10" x14ac:dyDescent="0.3">
      <c r="A214" t="s">
        <v>341</v>
      </c>
      <c r="B214" s="1">
        <v>45949</v>
      </c>
      <c r="C214" t="s">
        <v>66</v>
      </c>
      <c r="D214">
        <v>42</v>
      </c>
      <c r="E214" t="s">
        <v>39</v>
      </c>
      <c r="F214" t="s">
        <v>46</v>
      </c>
      <c r="G214" t="s">
        <v>26</v>
      </c>
      <c r="H214" t="s">
        <v>123</v>
      </c>
      <c r="I214">
        <v>38560</v>
      </c>
      <c r="J214">
        <v>48052</v>
      </c>
    </row>
    <row r="215" spans="1:10" x14ac:dyDescent="0.3">
      <c r="A215" t="s">
        <v>342</v>
      </c>
      <c r="B215" s="1">
        <v>45799</v>
      </c>
      <c r="C215" t="s">
        <v>90</v>
      </c>
      <c r="D215">
        <v>21</v>
      </c>
      <c r="E215" t="s">
        <v>39</v>
      </c>
      <c r="F215" t="s">
        <v>62</v>
      </c>
      <c r="G215" t="s">
        <v>35</v>
      </c>
      <c r="H215" t="s">
        <v>133</v>
      </c>
      <c r="I215">
        <v>37709</v>
      </c>
      <c r="J215">
        <v>41560</v>
      </c>
    </row>
    <row r="216" spans="1:10" x14ac:dyDescent="0.3">
      <c r="A216" t="s">
        <v>343</v>
      </c>
      <c r="B216" s="1">
        <v>45954</v>
      </c>
      <c r="C216" t="s">
        <v>66</v>
      </c>
      <c r="D216">
        <v>43</v>
      </c>
      <c r="E216" t="s">
        <v>33</v>
      </c>
      <c r="F216" t="s">
        <v>87</v>
      </c>
      <c r="G216" t="s">
        <v>115</v>
      </c>
      <c r="H216" t="s">
        <v>188</v>
      </c>
      <c r="I216">
        <v>15830</v>
      </c>
      <c r="J216">
        <v>14106</v>
      </c>
    </row>
    <row r="217" spans="1:10" x14ac:dyDescent="0.3">
      <c r="A217" t="s">
        <v>344</v>
      </c>
      <c r="B217" s="1">
        <v>45769</v>
      </c>
      <c r="C217" t="s">
        <v>86</v>
      </c>
      <c r="D217">
        <v>17</v>
      </c>
      <c r="E217" t="s">
        <v>12</v>
      </c>
      <c r="F217" t="s">
        <v>62</v>
      </c>
      <c r="G217" t="s">
        <v>141</v>
      </c>
      <c r="H217" t="s">
        <v>123</v>
      </c>
      <c r="I217">
        <v>32286</v>
      </c>
      <c r="J217">
        <v>31566</v>
      </c>
    </row>
    <row r="218" spans="1:10" x14ac:dyDescent="0.3">
      <c r="A218" t="s">
        <v>345</v>
      </c>
      <c r="B218" s="1">
        <v>45794</v>
      </c>
      <c r="C218" t="s">
        <v>90</v>
      </c>
      <c r="D218">
        <v>20</v>
      </c>
      <c r="E218" t="s">
        <v>24</v>
      </c>
      <c r="F218" t="s">
        <v>50</v>
      </c>
      <c r="G218" t="s">
        <v>118</v>
      </c>
      <c r="H218" t="s">
        <v>41</v>
      </c>
      <c r="I218">
        <v>30561</v>
      </c>
      <c r="J218">
        <v>22248</v>
      </c>
    </row>
    <row r="219" spans="1:10" x14ac:dyDescent="0.3">
      <c r="A219" t="s">
        <v>346</v>
      </c>
      <c r="B219" s="1">
        <v>45807</v>
      </c>
      <c r="C219" t="s">
        <v>90</v>
      </c>
      <c r="D219">
        <v>22</v>
      </c>
      <c r="E219" t="s">
        <v>12</v>
      </c>
      <c r="F219" t="s">
        <v>62</v>
      </c>
      <c r="G219" t="s">
        <v>63</v>
      </c>
      <c r="H219" t="s">
        <v>243</v>
      </c>
      <c r="I219">
        <v>26952</v>
      </c>
      <c r="J219">
        <v>31047</v>
      </c>
    </row>
    <row r="220" spans="1:10" x14ac:dyDescent="0.3">
      <c r="A220" t="s">
        <v>347</v>
      </c>
      <c r="B220" s="1">
        <v>45741</v>
      </c>
      <c r="C220" t="s">
        <v>95</v>
      </c>
      <c r="D220">
        <v>13</v>
      </c>
      <c r="E220" t="s">
        <v>12</v>
      </c>
      <c r="F220" t="s">
        <v>193</v>
      </c>
      <c r="G220" t="s">
        <v>79</v>
      </c>
      <c r="H220" t="s">
        <v>111</v>
      </c>
      <c r="I220">
        <v>20760</v>
      </c>
      <c r="J220">
        <v>16547</v>
      </c>
    </row>
    <row r="221" spans="1:10" x14ac:dyDescent="0.3">
      <c r="A221" t="s">
        <v>348</v>
      </c>
      <c r="B221" s="1">
        <v>45975</v>
      </c>
      <c r="C221" t="s">
        <v>23</v>
      </c>
      <c r="D221">
        <v>46</v>
      </c>
      <c r="E221" t="s">
        <v>61</v>
      </c>
      <c r="F221" t="s">
        <v>122</v>
      </c>
      <c r="G221" t="s">
        <v>182</v>
      </c>
      <c r="H221" t="s">
        <v>155</v>
      </c>
      <c r="I221">
        <v>34812</v>
      </c>
      <c r="J221">
        <v>31226</v>
      </c>
    </row>
    <row r="222" spans="1:10" x14ac:dyDescent="0.3">
      <c r="A222" t="s">
        <v>349</v>
      </c>
      <c r="B222" s="1">
        <v>45986</v>
      </c>
      <c r="C222" t="s">
        <v>23</v>
      </c>
      <c r="D222">
        <v>48</v>
      </c>
      <c r="E222" t="s">
        <v>33</v>
      </c>
      <c r="F222" t="s">
        <v>193</v>
      </c>
      <c r="G222" t="s">
        <v>88</v>
      </c>
      <c r="H222" t="s">
        <v>123</v>
      </c>
      <c r="I222">
        <v>32210</v>
      </c>
      <c r="J222">
        <v>37419</v>
      </c>
    </row>
    <row r="223" spans="1:10" x14ac:dyDescent="0.3">
      <c r="A223" t="s">
        <v>350</v>
      </c>
      <c r="B223" s="1">
        <v>45949</v>
      </c>
      <c r="C223" t="s">
        <v>66</v>
      </c>
      <c r="D223">
        <v>42</v>
      </c>
      <c r="E223" t="s">
        <v>12</v>
      </c>
      <c r="F223" t="s">
        <v>29</v>
      </c>
      <c r="G223" t="s">
        <v>234</v>
      </c>
      <c r="H223" t="s">
        <v>155</v>
      </c>
      <c r="I223">
        <v>19273</v>
      </c>
      <c r="J223">
        <v>23270</v>
      </c>
    </row>
    <row r="224" spans="1:10" x14ac:dyDescent="0.3">
      <c r="A224" t="s">
        <v>351</v>
      </c>
      <c r="B224" s="1">
        <v>45902</v>
      </c>
      <c r="C224" t="s">
        <v>38</v>
      </c>
      <c r="D224">
        <v>36</v>
      </c>
      <c r="E224" t="s">
        <v>12</v>
      </c>
      <c r="F224" t="s">
        <v>50</v>
      </c>
      <c r="G224" t="s">
        <v>147</v>
      </c>
      <c r="H224" t="s">
        <v>211</v>
      </c>
      <c r="I224">
        <v>37480</v>
      </c>
      <c r="J224">
        <v>26395</v>
      </c>
    </row>
    <row r="225" spans="1:10" x14ac:dyDescent="0.3">
      <c r="A225" t="s">
        <v>352</v>
      </c>
      <c r="B225" s="1">
        <v>45827</v>
      </c>
      <c r="C225" t="s">
        <v>74</v>
      </c>
      <c r="D225">
        <v>25</v>
      </c>
      <c r="E225" t="s">
        <v>70</v>
      </c>
      <c r="F225" t="s">
        <v>57</v>
      </c>
      <c r="G225" t="s">
        <v>130</v>
      </c>
      <c r="H225" t="s">
        <v>188</v>
      </c>
      <c r="I225">
        <v>29834</v>
      </c>
      <c r="J225">
        <v>38659</v>
      </c>
    </row>
    <row r="226" spans="1:10" x14ac:dyDescent="0.3">
      <c r="A226" t="s">
        <v>353</v>
      </c>
      <c r="B226" s="1">
        <v>45672</v>
      </c>
      <c r="C226" t="s">
        <v>17</v>
      </c>
      <c r="D226">
        <v>3</v>
      </c>
      <c r="E226" t="s">
        <v>61</v>
      </c>
      <c r="F226" t="s">
        <v>50</v>
      </c>
      <c r="G226" t="s">
        <v>63</v>
      </c>
      <c r="H226" t="s">
        <v>119</v>
      </c>
      <c r="I226">
        <v>29969</v>
      </c>
      <c r="J226">
        <v>31289</v>
      </c>
    </row>
    <row r="227" spans="1:10" x14ac:dyDescent="0.3">
      <c r="A227" t="s">
        <v>354</v>
      </c>
      <c r="B227" s="1">
        <v>45982</v>
      </c>
      <c r="C227" t="s">
        <v>23</v>
      </c>
      <c r="D227">
        <v>47</v>
      </c>
      <c r="E227" t="s">
        <v>12</v>
      </c>
      <c r="F227" t="s">
        <v>25</v>
      </c>
      <c r="G227" t="s">
        <v>88</v>
      </c>
      <c r="H227" t="s">
        <v>111</v>
      </c>
      <c r="I227">
        <v>28261</v>
      </c>
      <c r="J227">
        <v>26466</v>
      </c>
    </row>
    <row r="228" spans="1:10" x14ac:dyDescent="0.3">
      <c r="A228" t="s">
        <v>355</v>
      </c>
      <c r="B228" s="1">
        <v>45923</v>
      </c>
      <c r="C228" t="s">
        <v>38</v>
      </c>
      <c r="D228">
        <v>39</v>
      </c>
      <c r="E228" t="s">
        <v>70</v>
      </c>
      <c r="F228" t="s">
        <v>140</v>
      </c>
      <c r="G228" t="s">
        <v>47</v>
      </c>
      <c r="H228" t="s">
        <v>52</v>
      </c>
      <c r="I228">
        <v>15262</v>
      </c>
      <c r="J228">
        <v>14052</v>
      </c>
    </row>
    <row r="229" spans="1:10" x14ac:dyDescent="0.3">
      <c r="A229" t="s">
        <v>356</v>
      </c>
      <c r="B229" s="1">
        <v>45734</v>
      </c>
      <c r="C229" t="s">
        <v>95</v>
      </c>
      <c r="D229">
        <v>12</v>
      </c>
      <c r="E229" t="s">
        <v>39</v>
      </c>
      <c r="F229" t="s">
        <v>57</v>
      </c>
      <c r="G229" t="s">
        <v>110</v>
      </c>
      <c r="H229" t="s">
        <v>64</v>
      </c>
      <c r="I229">
        <v>15247</v>
      </c>
      <c r="J229">
        <v>17866</v>
      </c>
    </row>
    <row r="230" spans="1:10" x14ac:dyDescent="0.3">
      <c r="A230" t="s">
        <v>357</v>
      </c>
      <c r="B230" s="1">
        <v>45858</v>
      </c>
      <c r="C230" t="s">
        <v>11</v>
      </c>
      <c r="D230">
        <v>29</v>
      </c>
      <c r="E230" t="s">
        <v>39</v>
      </c>
      <c r="F230" t="s">
        <v>87</v>
      </c>
      <c r="G230" t="s">
        <v>240</v>
      </c>
      <c r="H230" t="s">
        <v>111</v>
      </c>
      <c r="I230">
        <v>24528</v>
      </c>
      <c r="J230">
        <v>19817</v>
      </c>
    </row>
    <row r="231" spans="1:10" x14ac:dyDescent="0.3">
      <c r="A231" t="s">
        <v>358</v>
      </c>
      <c r="B231" s="1">
        <v>45805</v>
      </c>
      <c r="C231" t="s">
        <v>90</v>
      </c>
      <c r="D231">
        <v>22</v>
      </c>
      <c r="E231" t="s">
        <v>39</v>
      </c>
      <c r="F231" t="s">
        <v>57</v>
      </c>
      <c r="G231" t="s">
        <v>147</v>
      </c>
      <c r="H231" t="s">
        <v>155</v>
      </c>
      <c r="I231">
        <v>16987</v>
      </c>
      <c r="J231">
        <v>18979</v>
      </c>
    </row>
    <row r="232" spans="1:10" x14ac:dyDescent="0.3">
      <c r="A232" t="s">
        <v>359</v>
      </c>
      <c r="B232" s="1">
        <v>45946</v>
      </c>
      <c r="C232" t="s">
        <v>66</v>
      </c>
      <c r="D232">
        <v>42</v>
      </c>
      <c r="E232" t="s">
        <v>33</v>
      </c>
      <c r="F232" t="s">
        <v>50</v>
      </c>
      <c r="G232" t="s">
        <v>14</v>
      </c>
      <c r="H232" t="s">
        <v>41</v>
      </c>
      <c r="I232">
        <v>36465</v>
      </c>
      <c r="J232">
        <v>35194</v>
      </c>
    </row>
    <row r="233" spans="1:10" x14ac:dyDescent="0.3">
      <c r="A233" t="s">
        <v>360</v>
      </c>
      <c r="B233" s="1">
        <v>45996</v>
      </c>
      <c r="C233" t="s">
        <v>100</v>
      </c>
      <c r="D233">
        <v>49</v>
      </c>
      <c r="E233" t="s">
        <v>61</v>
      </c>
      <c r="F233" t="s">
        <v>13</v>
      </c>
      <c r="G233" t="s">
        <v>110</v>
      </c>
      <c r="H233" t="s">
        <v>21</v>
      </c>
      <c r="I233">
        <v>23927</v>
      </c>
      <c r="J233">
        <v>30897</v>
      </c>
    </row>
    <row r="234" spans="1:10" x14ac:dyDescent="0.3">
      <c r="A234" t="s">
        <v>361</v>
      </c>
      <c r="B234" s="1">
        <v>45981</v>
      </c>
      <c r="C234" t="s">
        <v>23</v>
      </c>
      <c r="D234">
        <v>47</v>
      </c>
      <c r="E234" t="s">
        <v>61</v>
      </c>
      <c r="F234" t="s">
        <v>50</v>
      </c>
      <c r="G234" t="s">
        <v>135</v>
      </c>
      <c r="H234" t="s">
        <v>103</v>
      </c>
      <c r="I234">
        <v>17724</v>
      </c>
      <c r="J234">
        <v>16098</v>
      </c>
    </row>
    <row r="235" spans="1:10" x14ac:dyDescent="0.3">
      <c r="A235" t="s">
        <v>362</v>
      </c>
      <c r="B235" s="1">
        <v>46011</v>
      </c>
      <c r="C235" t="s">
        <v>100</v>
      </c>
      <c r="D235">
        <v>51</v>
      </c>
      <c r="E235" t="s">
        <v>24</v>
      </c>
      <c r="F235" t="s">
        <v>122</v>
      </c>
      <c r="G235" t="s">
        <v>58</v>
      </c>
      <c r="H235" t="s">
        <v>80</v>
      </c>
      <c r="I235">
        <v>16686</v>
      </c>
      <c r="J235">
        <v>18689</v>
      </c>
    </row>
    <row r="236" spans="1:10" x14ac:dyDescent="0.3">
      <c r="A236" t="s">
        <v>363</v>
      </c>
      <c r="B236" s="1">
        <v>45663</v>
      </c>
      <c r="C236" t="s">
        <v>17</v>
      </c>
      <c r="D236">
        <v>2</v>
      </c>
      <c r="E236" t="s">
        <v>70</v>
      </c>
      <c r="F236" t="s">
        <v>46</v>
      </c>
      <c r="G236" t="s">
        <v>326</v>
      </c>
      <c r="H236" t="s">
        <v>36</v>
      </c>
      <c r="I236">
        <v>17554</v>
      </c>
      <c r="J236">
        <v>20254</v>
      </c>
    </row>
    <row r="237" spans="1:10" x14ac:dyDescent="0.3">
      <c r="A237" t="s">
        <v>364</v>
      </c>
      <c r="B237" s="1">
        <v>45916</v>
      </c>
      <c r="C237" t="s">
        <v>38</v>
      </c>
      <c r="D237">
        <v>38</v>
      </c>
      <c r="E237" t="s">
        <v>70</v>
      </c>
      <c r="F237" t="s">
        <v>122</v>
      </c>
      <c r="G237" t="s">
        <v>253</v>
      </c>
      <c r="H237" t="s">
        <v>21</v>
      </c>
      <c r="I237">
        <v>21279</v>
      </c>
      <c r="J237">
        <v>15493</v>
      </c>
    </row>
    <row r="238" spans="1:10" x14ac:dyDescent="0.3">
      <c r="A238" t="s">
        <v>365</v>
      </c>
      <c r="B238" s="1">
        <v>45855</v>
      </c>
      <c r="C238" t="s">
        <v>11</v>
      </c>
      <c r="D238">
        <v>29</v>
      </c>
      <c r="E238" t="s">
        <v>61</v>
      </c>
      <c r="F238" t="s">
        <v>101</v>
      </c>
      <c r="G238" t="s">
        <v>51</v>
      </c>
      <c r="H238" t="s">
        <v>64</v>
      </c>
      <c r="I238">
        <v>31602</v>
      </c>
      <c r="J238">
        <v>23236</v>
      </c>
    </row>
    <row r="239" spans="1:10" x14ac:dyDescent="0.3">
      <c r="A239" t="s">
        <v>366</v>
      </c>
      <c r="B239" s="1">
        <v>45831</v>
      </c>
      <c r="C239" t="s">
        <v>74</v>
      </c>
      <c r="D239">
        <v>26</v>
      </c>
      <c r="E239" t="s">
        <v>61</v>
      </c>
      <c r="F239" t="s">
        <v>29</v>
      </c>
      <c r="G239" t="s">
        <v>137</v>
      </c>
      <c r="H239" t="s">
        <v>165</v>
      </c>
      <c r="I239">
        <v>18665</v>
      </c>
      <c r="J239">
        <v>20985</v>
      </c>
    </row>
    <row r="240" spans="1:10" x14ac:dyDescent="0.3">
      <c r="A240" t="s">
        <v>367</v>
      </c>
      <c r="B240" s="1">
        <v>45762</v>
      </c>
      <c r="C240" t="s">
        <v>86</v>
      </c>
      <c r="D240">
        <v>16</v>
      </c>
      <c r="E240" t="s">
        <v>24</v>
      </c>
      <c r="F240" t="s">
        <v>25</v>
      </c>
      <c r="G240" t="s">
        <v>63</v>
      </c>
      <c r="H240" t="s">
        <v>98</v>
      </c>
      <c r="I240">
        <v>16771</v>
      </c>
      <c r="J240">
        <v>17855</v>
      </c>
    </row>
    <row r="241" spans="1:10" x14ac:dyDescent="0.3">
      <c r="A241" t="s">
        <v>368</v>
      </c>
      <c r="B241" s="1">
        <v>45745</v>
      </c>
      <c r="C241" t="s">
        <v>95</v>
      </c>
      <c r="D241">
        <v>13</v>
      </c>
      <c r="E241" t="s">
        <v>24</v>
      </c>
      <c r="F241" t="s">
        <v>62</v>
      </c>
      <c r="G241" t="s">
        <v>40</v>
      </c>
      <c r="H241" t="s">
        <v>133</v>
      </c>
      <c r="I241">
        <v>23789</v>
      </c>
      <c r="J241">
        <v>29548</v>
      </c>
    </row>
    <row r="242" spans="1:10" x14ac:dyDescent="0.3">
      <c r="A242" t="s">
        <v>369</v>
      </c>
      <c r="B242" s="1">
        <v>45700</v>
      </c>
      <c r="C242" t="s">
        <v>82</v>
      </c>
      <c r="D242">
        <v>7</v>
      </c>
      <c r="E242" t="s">
        <v>24</v>
      </c>
      <c r="F242" t="s">
        <v>25</v>
      </c>
      <c r="G242" t="s">
        <v>141</v>
      </c>
      <c r="H242" t="s">
        <v>15</v>
      </c>
      <c r="I242">
        <v>25457</v>
      </c>
      <c r="J242">
        <v>25263</v>
      </c>
    </row>
    <row r="243" spans="1:10" x14ac:dyDescent="0.3">
      <c r="A243" t="s">
        <v>370</v>
      </c>
      <c r="B243" s="1">
        <v>45684</v>
      </c>
      <c r="C243" t="s">
        <v>17</v>
      </c>
      <c r="D243">
        <v>5</v>
      </c>
      <c r="E243" t="s">
        <v>24</v>
      </c>
      <c r="F243" t="s">
        <v>29</v>
      </c>
      <c r="G243" t="s">
        <v>107</v>
      </c>
      <c r="H243" t="s">
        <v>41</v>
      </c>
      <c r="I243">
        <v>28381</v>
      </c>
      <c r="J243">
        <v>30079</v>
      </c>
    </row>
    <row r="244" spans="1:10" x14ac:dyDescent="0.3">
      <c r="A244" t="s">
        <v>371</v>
      </c>
      <c r="B244" s="1">
        <v>45873</v>
      </c>
      <c r="C244" t="s">
        <v>113</v>
      </c>
      <c r="D244">
        <v>32</v>
      </c>
      <c r="E244" t="s">
        <v>33</v>
      </c>
      <c r="F244" t="s">
        <v>34</v>
      </c>
      <c r="G244" t="s">
        <v>137</v>
      </c>
      <c r="H244" t="s">
        <v>48</v>
      </c>
      <c r="I244">
        <v>18618</v>
      </c>
      <c r="J244">
        <v>16700</v>
      </c>
    </row>
    <row r="245" spans="1:10" x14ac:dyDescent="0.3">
      <c r="A245" t="s">
        <v>372</v>
      </c>
      <c r="B245" s="1">
        <v>45678</v>
      </c>
      <c r="C245" t="s">
        <v>17</v>
      </c>
      <c r="D245">
        <v>4</v>
      </c>
      <c r="E245" t="s">
        <v>39</v>
      </c>
      <c r="F245" t="s">
        <v>57</v>
      </c>
      <c r="G245" t="s">
        <v>206</v>
      </c>
      <c r="H245" t="s">
        <v>59</v>
      </c>
      <c r="I245">
        <v>34621</v>
      </c>
      <c r="J245">
        <v>29588</v>
      </c>
    </row>
    <row r="246" spans="1:10" x14ac:dyDescent="0.3">
      <c r="A246" t="s">
        <v>373</v>
      </c>
      <c r="B246" s="1">
        <v>45711</v>
      </c>
      <c r="C246" t="s">
        <v>82</v>
      </c>
      <c r="D246">
        <v>8</v>
      </c>
      <c r="E246" t="s">
        <v>12</v>
      </c>
      <c r="F246" t="s">
        <v>78</v>
      </c>
      <c r="G246" t="s">
        <v>240</v>
      </c>
      <c r="H246" t="s">
        <v>41</v>
      </c>
      <c r="I246">
        <v>19422</v>
      </c>
      <c r="J246">
        <v>20934</v>
      </c>
    </row>
    <row r="247" spans="1:10" x14ac:dyDescent="0.3">
      <c r="A247" t="s">
        <v>374</v>
      </c>
      <c r="B247" s="1">
        <v>45977</v>
      </c>
      <c r="C247" t="s">
        <v>23</v>
      </c>
      <c r="D247">
        <v>46</v>
      </c>
      <c r="E247" t="s">
        <v>12</v>
      </c>
      <c r="F247" t="s">
        <v>57</v>
      </c>
      <c r="G247" t="s">
        <v>40</v>
      </c>
      <c r="H247" t="s">
        <v>64</v>
      </c>
      <c r="I247">
        <v>15520</v>
      </c>
      <c r="J247">
        <v>15709</v>
      </c>
    </row>
    <row r="248" spans="1:10" x14ac:dyDescent="0.3">
      <c r="A248" t="s">
        <v>375</v>
      </c>
      <c r="B248" s="1">
        <v>45752</v>
      </c>
      <c r="C248" t="s">
        <v>86</v>
      </c>
      <c r="D248">
        <v>14</v>
      </c>
      <c r="E248" t="s">
        <v>24</v>
      </c>
      <c r="F248" t="s">
        <v>19</v>
      </c>
      <c r="G248" t="s">
        <v>230</v>
      </c>
      <c r="H248" t="s">
        <v>31</v>
      </c>
      <c r="I248">
        <v>20095</v>
      </c>
      <c r="J248">
        <v>20682</v>
      </c>
    </row>
    <row r="249" spans="1:10" x14ac:dyDescent="0.3">
      <c r="A249" t="s">
        <v>376</v>
      </c>
      <c r="B249" s="1">
        <v>45841</v>
      </c>
      <c r="C249" t="s">
        <v>11</v>
      </c>
      <c r="D249">
        <v>27</v>
      </c>
      <c r="E249" t="s">
        <v>61</v>
      </c>
      <c r="F249" t="s">
        <v>19</v>
      </c>
      <c r="G249" t="s">
        <v>132</v>
      </c>
      <c r="H249" t="s">
        <v>157</v>
      </c>
      <c r="I249">
        <v>28432</v>
      </c>
      <c r="J249">
        <v>32605</v>
      </c>
    </row>
    <row r="250" spans="1:10" x14ac:dyDescent="0.3">
      <c r="A250" t="s">
        <v>377</v>
      </c>
      <c r="B250" s="1">
        <v>45715</v>
      </c>
      <c r="C250" t="s">
        <v>82</v>
      </c>
      <c r="D250">
        <v>9</v>
      </c>
      <c r="E250" t="s">
        <v>18</v>
      </c>
      <c r="F250" t="s">
        <v>46</v>
      </c>
      <c r="G250" t="s">
        <v>102</v>
      </c>
      <c r="H250" t="s">
        <v>188</v>
      </c>
      <c r="I250">
        <v>15995</v>
      </c>
      <c r="J250">
        <v>19215</v>
      </c>
    </row>
    <row r="251" spans="1:10" x14ac:dyDescent="0.3">
      <c r="A251" t="s">
        <v>378</v>
      </c>
      <c r="B251" s="1">
        <v>45893</v>
      </c>
      <c r="C251" t="s">
        <v>113</v>
      </c>
      <c r="D251">
        <v>34</v>
      </c>
      <c r="E251" t="s">
        <v>70</v>
      </c>
      <c r="F251" t="s">
        <v>87</v>
      </c>
      <c r="G251" t="s">
        <v>76</v>
      </c>
      <c r="H251" t="s">
        <v>165</v>
      </c>
      <c r="I251">
        <v>26551</v>
      </c>
      <c r="J251">
        <v>33294</v>
      </c>
    </row>
    <row r="252" spans="1:10" x14ac:dyDescent="0.3">
      <c r="A252" t="s">
        <v>379</v>
      </c>
      <c r="B252" s="1">
        <v>45726</v>
      </c>
      <c r="C252" t="s">
        <v>95</v>
      </c>
      <c r="D252">
        <v>11</v>
      </c>
      <c r="E252" t="s">
        <v>61</v>
      </c>
      <c r="F252" t="s">
        <v>92</v>
      </c>
      <c r="G252" t="s">
        <v>44</v>
      </c>
      <c r="H252" t="s">
        <v>68</v>
      </c>
      <c r="I252">
        <v>28476</v>
      </c>
      <c r="J252">
        <v>28762</v>
      </c>
    </row>
    <row r="253" spans="1:10" x14ac:dyDescent="0.3">
      <c r="A253" t="s">
        <v>380</v>
      </c>
      <c r="B253" s="1">
        <v>45983</v>
      </c>
      <c r="C253" t="s">
        <v>23</v>
      </c>
      <c r="D253">
        <v>47</v>
      </c>
      <c r="E253" t="s">
        <v>61</v>
      </c>
      <c r="F253" t="s">
        <v>13</v>
      </c>
      <c r="G253" t="s">
        <v>83</v>
      </c>
      <c r="H253" t="s">
        <v>41</v>
      </c>
      <c r="I253">
        <v>30543</v>
      </c>
      <c r="J253">
        <v>34287</v>
      </c>
    </row>
    <row r="254" spans="1:10" x14ac:dyDescent="0.3">
      <c r="A254" t="s">
        <v>381</v>
      </c>
      <c r="B254" s="1">
        <v>45893</v>
      </c>
      <c r="C254" t="s">
        <v>113</v>
      </c>
      <c r="D254">
        <v>34</v>
      </c>
      <c r="E254" t="s">
        <v>39</v>
      </c>
      <c r="F254" t="s">
        <v>13</v>
      </c>
      <c r="G254" t="s">
        <v>110</v>
      </c>
      <c r="H254" t="s">
        <v>133</v>
      </c>
      <c r="I254">
        <v>34963</v>
      </c>
      <c r="J254">
        <v>33262</v>
      </c>
    </row>
    <row r="255" spans="1:10" x14ac:dyDescent="0.3">
      <c r="A255" t="s">
        <v>382</v>
      </c>
      <c r="B255" s="1">
        <v>45929</v>
      </c>
      <c r="C255" t="s">
        <v>38</v>
      </c>
      <c r="D255">
        <v>40</v>
      </c>
      <c r="E255" t="s">
        <v>70</v>
      </c>
      <c r="F255" t="s">
        <v>114</v>
      </c>
      <c r="G255" t="s">
        <v>115</v>
      </c>
      <c r="H255" t="s">
        <v>157</v>
      </c>
      <c r="I255">
        <v>37965</v>
      </c>
      <c r="J255">
        <v>39679</v>
      </c>
    </row>
    <row r="256" spans="1:10" x14ac:dyDescent="0.3">
      <c r="A256" t="s">
        <v>383</v>
      </c>
      <c r="B256" s="1">
        <v>45704</v>
      </c>
      <c r="C256" t="s">
        <v>82</v>
      </c>
      <c r="D256">
        <v>7</v>
      </c>
      <c r="E256" t="s">
        <v>24</v>
      </c>
      <c r="F256" t="s">
        <v>140</v>
      </c>
      <c r="G256" t="s">
        <v>93</v>
      </c>
      <c r="H256" t="s">
        <v>188</v>
      </c>
      <c r="I256">
        <v>32481</v>
      </c>
      <c r="J256">
        <v>30192</v>
      </c>
    </row>
    <row r="257" spans="1:10" x14ac:dyDescent="0.3">
      <c r="A257" t="s">
        <v>384</v>
      </c>
      <c r="B257" s="1">
        <v>45975</v>
      </c>
      <c r="C257" t="s">
        <v>23</v>
      </c>
      <c r="D257">
        <v>46</v>
      </c>
      <c r="E257" t="s">
        <v>70</v>
      </c>
      <c r="F257" t="s">
        <v>29</v>
      </c>
      <c r="G257" t="s">
        <v>76</v>
      </c>
      <c r="H257" t="s">
        <v>96</v>
      </c>
      <c r="I257">
        <v>32915</v>
      </c>
      <c r="J257">
        <v>31887</v>
      </c>
    </row>
    <row r="258" spans="1:10" x14ac:dyDescent="0.3">
      <c r="A258" t="s">
        <v>385</v>
      </c>
      <c r="B258" s="1">
        <v>45838</v>
      </c>
      <c r="C258" t="s">
        <v>74</v>
      </c>
      <c r="D258">
        <v>27</v>
      </c>
      <c r="E258" t="s">
        <v>12</v>
      </c>
      <c r="F258" t="s">
        <v>75</v>
      </c>
      <c r="G258" t="s">
        <v>14</v>
      </c>
      <c r="H258" t="s">
        <v>96</v>
      </c>
      <c r="I258">
        <v>32637</v>
      </c>
      <c r="J258">
        <v>25553</v>
      </c>
    </row>
    <row r="259" spans="1:10" x14ac:dyDescent="0.3">
      <c r="A259" t="s">
        <v>386</v>
      </c>
      <c r="B259" s="1">
        <v>45858</v>
      </c>
      <c r="C259" t="s">
        <v>11</v>
      </c>
      <c r="D259">
        <v>29</v>
      </c>
      <c r="E259" t="s">
        <v>24</v>
      </c>
      <c r="F259" t="s">
        <v>114</v>
      </c>
      <c r="G259" t="s">
        <v>266</v>
      </c>
      <c r="H259" t="s">
        <v>52</v>
      </c>
      <c r="I259">
        <v>15711</v>
      </c>
      <c r="J259">
        <v>14998</v>
      </c>
    </row>
    <row r="260" spans="1:10" x14ac:dyDescent="0.3">
      <c r="A260" t="s">
        <v>387</v>
      </c>
      <c r="B260" s="1">
        <v>45678</v>
      </c>
      <c r="C260" t="s">
        <v>17</v>
      </c>
      <c r="D260">
        <v>4</v>
      </c>
      <c r="E260" t="s">
        <v>61</v>
      </c>
      <c r="F260" t="s">
        <v>62</v>
      </c>
      <c r="G260" t="s">
        <v>51</v>
      </c>
      <c r="H260" t="s">
        <v>48</v>
      </c>
      <c r="I260">
        <v>22315</v>
      </c>
      <c r="J260">
        <v>15722</v>
      </c>
    </row>
    <row r="261" spans="1:10" x14ac:dyDescent="0.3">
      <c r="A261" t="s">
        <v>388</v>
      </c>
      <c r="B261" s="1">
        <v>45675</v>
      </c>
      <c r="C261" t="s">
        <v>17</v>
      </c>
      <c r="D261">
        <v>3</v>
      </c>
      <c r="E261" t="s">
        <v>61</v>
      </c>
      <c r="F261" t="s">
        <v>109</v>
      </c>
      <c r="G261" t="s">
        <v>234</v>
      </c>
      <c r="H261" t="s">
        <v>151</v>
      </c>
      <c r="I261">
        <v>36756</v>
      </c>
      <c r="J261">
        <v>47706</v>
      </c>
    </row>
    <row r="262" spans="1:10" x14ac:dyDescent="0.3">
      <c r="A262" t="s">
        <v>389</v>
      </c>
      <c r="B262" s="1">
        <v>45823</v>
      </c>
      <c r="C262" t="s">
        <v>74</v>
      </c>
      <c r="D262">
        <v>24</v>
      </c>
      <c r="E262" t="s">
        <v>61</v>
      </c>
      <c r="F262" t="s">
        <v>62</v>
      </c>
      <c r="G262" t="s">
        <v>201</v>
      </c>
      <c r="H262" t="s">
        <v>68</v>
      </c>
      <c r="I262">
        <v>37463</v>
      </c>
      <c r="J262">
        <v>32111</v>
      </c>
    </row>
    <row r="263" spans="1:10" x14ac:dyDescent="0.3">
      <c r="A263" t="s">
        <v>390</v>
      </c>
      <c r="B263" s="1">
        <v>45780</v>
      </c>
      <c r="C263" t="s">
        <v>90</v>
      </c>
      <c r="D263">
        <v>18</v>
      </c>
      <c r="E263" t="s">
        <v>33</v>
      </c>
      <c r="F263" t="s">
        <v>193</v>
      </c>
      <c r="G263" t="s">
        <v>160</v>
      </c>
      <c r="H263" t="s">
        <v>111</v>
      </c>
      <c r="I263">
        <v>23179</v>
      </c>
      <c r="J263">
        <v>29612</v>
      </c>
    </row>
    <row r="264" spans="1:10" x14ac:dyDescent="0.3">
      <c r="A264" t="s">
        <v>391</v>
      </c>
      <c r="B264" s="1">
        <v>45728</v>
      </c>
      <c r="C264" t="s">
        <v>95</v>
      </c>
      <c r="D264">
        <v>11</v>
      </c>
      <c r="E264" t="s">
        <v>70</v>
      </c>
      <c r="F264" t="s">
        <v>114</v>
      </c>
      <c r="G264" t="s">
        <v>14</v>
      </c>
      <c r="H264" t="s">
        <v>123</v>
      </c>
      <c r="I264">
        <v>26488</v>
      </c>
      <c r="J264">
        <v>23975</v>
      </c>
    </row>
    <row r="265" spans="1:10" x14ac:dyDescent="0.3">
      <c r="A265" t="s">
        <v>392</v>
      </c>
      <c r="B265" s="1">
        <v>45735</v>
      </c>
      <c r="C265" t="s">
        <v>95</v>
      </c>
      <c r="D265">
        <v>12</v>
      </c>
      <c r="E265" t="s">
        <v>18</v>
      </c>
      <c r="F265" t="s">
        <v>122</v>
      </c>
      <c r="G265" t="s">
        <v>76</v>
      </c>
      <c r="H265" t="s">
        <v>64</v>
      </c>
      <c r="I265">
        <v>28508</v>
      </c>
      <c r="J265">
        <v>20176</v>
      </c>
    </row>
    <row r="266" spans="1:10" x14ac:dyDescent="0.3">
      <c r="A266" t="s">
        <v>393</v>
      </c>
      <c r="B266" s="1">
        <v>46021</v>
      </c>
      <c r="C266" t="s">
        <v>100</v>
      </c>
      <c r="D266">
        <v>1</v>
      </c>
      <c r="E266" t="s">
        <v>18</v>
      </c>
      <c r="F266" t="s">
        <v>109</v>
      </c>
      <c r="G266" t="s">
        <v>145</v>
      </c>
      <c r="H266" t="s">
        <v>163</v>
      </c>
      <c r="I266">
        <v>29030</v>
      </c>
      <c r="J266">
        <v>28027</v>
      </c>
    </row>
    <row r="267" spans="1:10" x14ac:dyDescent="0.3">
      <c r="A267" t="s">
        <v>394</v>
      </c>
      <c r="B267" s="1">
        <v>45810</v>
      </c>
      <c r="C267" t="s">
        <v>74</v>
      </c>
      <c r="D267">
        <v>23</v>
      </c>
      <c r="E267" t="s">
        <v>12</v>
      </c>
      <c r="F267" t="s">
        <v>25</v>
      </c>
      <c r="G267" t="s">
        <v>149</v>
      </c>
      <c r="H267" t="s">
        <v>96</v>
      </c>
      <c r="I267">
        <v>16535</v>
      </c>
      <c r="J267">
        <v>12052</v>
      </c>
    </row>
    <row r="268" spans="1:10" x14ac:dyDescent="0.3">
      <c r="A268" t="s">
        <v>395</v>
      </c>
      <c r="B268" s="1">
        <v>45968</v>
      </c>
      <c r="C268" t="s">
        <v>23</v>
      </c>
      <c r="D268">
        <v>45</v>
      </c>
      <c r="E268" t="s">
        <v>33</v>
      </c>
      <c r="F268" t="s">
        <v>19</v>
      </c>
      <c r="G268" t="s">
        <v>135</v>
      </c>
      <c r="H268" t="s">
        <v>59</v>
      </c>
      <c r="I268">
        <v>28072</v>
      </c>
      <c r="J268">
        <v>31899</v>
      </c>
    </row>
    <row r="269" spans="1:10" x14ac:dyDescent="0.3">
      <c r="A269" t="s">
        <v>396</v>
      </c>
      <c r="B269" s="1">
        <v>45852</v>
      </c>
      <c r="C269" t="s">
        <v>11</v>
      </c>
      <c r="D269">
        <v>29</v>
      </c>
      <c r="E269" t="s">
        <v>61</v>
      </c>
      <c r="F269" t="s">
        <v>92</v>
      </c>
      <c r="G269" t="s">
        <v>141</v>
      </c>
      <c r="H269" t="s">
        <v>155</v>
      </c>
      <c r="I269">
        <v>38960</v>
      </c>
      <c r="J269">
        <v>28340</v>
      </c>
    </row>
    <row r="270" spans="1:10" x14ac:dyDescent="0.3">
      <c r="A270" t="s">
        <v>397</v>
      </c>
      <c r="B270" s="1">
        <v>45950</v>
      </c>
      <c r="C270" t="s">
        <v>66</v>
      </c>
      <c r="D270">
        <v>43</v>
      </c>
      <c r="E270" t="s">
        <v>12</v>
      </c>
      <c r="F270" t="s">
        <v>109</v>
      </c>
      <c r="G270" t="s">
        <v>26</v>
      </c>
      <c r="H270" t="s">
        <v>211</v>
      </c>
      <c r="I270">
        <v>16427</v>
      </c>
      <c r="J270">
        <v>13728</v>
      </c>
    </row>
    <row r="271" spans="1:10" x14ac:dyDescent="0.3">
      <c r="A271" t="s">
        <v>398</v>
      </c>
      <c r="B271" s="1">
        <v>45991</v>
      </c>
      <c r="C271" t="s">
        <v>23</v>
      </c>
      <c r="D271">
        <v>48</v>
      </c>
      <c r="E271" t="s">
        <v>70</v>
      </c>
      <c r="F271" t="s">
        <v>34</v>
      </c>
      <c r="G271" t="s">
        <v>141</v>
      </c>
      <c r="H271" t="s">
        <v>52</v>
      </c>
      <c r="I271">
        <v>28437</v>
      </c>
      <c r="J271">
        <v>24064</v>
      </c>
    </row>
    <row r="272" spans="1:10" x14ac:dyDescent="0.3">
      <c r="A272" t="s">
        <v>399</v>
      </c>
      <c r="B272" s="1">
        <v>45876</v>
      </c>
      <c r="C272" t="s">
        <v>113</v>
      </c>
      <c r="D272">
        <v>32</v>
      </c>
      <c r="E272" t="s">
        <v>12</v>
      </c>
      <c r="F272" t="s">
        <v>50</v>
      </c>
      <c r="G272" t="s">
        <v>130</v>
      </c>
      <c r="H272" t="s">
        <v>123</v>
      </c>
      <c r="I272">
        <v>18425</v>
      </c>
      <c r="J272">
        <v>16910</v>
      </c>
    </row>
    <row r="273" spans="1:10" x14ac:dyDescent="0.3">
      <c r="A273" t="s">
        <v>400</v>
      </c>
      <c r="B273" s="1">
        <v>45677</v>
      </c>
      <c r="C273" t="s">
        <v>17</v>
      </c>
      <c r="D273">
        <v>4</v>
      </c>
      <c r="E273" t="s">
        <v>70</v>
      </c>
      <c r="F273" t="s">
        <v>46</v>
      </c>
      <c r="G273" t="s">
        <v>47</v>
      </c>
      <c r="H273" t="s">
        <v>157</v>
      </c>
      <c r="I273">
        <v>32110</v>
      </c>
      <c r="J273">
        <v>27728</v>
      </c>
    </row>
    <row r="274" spans="1:10" x14ac:dyDescent="0.3">
      <c r="A274" t="s">
        <v>401</v>
      </c>
      <c r="B274" s="1">
        <v>45758</v>
      </c>
      <c r="C274" t="s">
        <v>86</v>
      </c>
      <c r="D274">
        <v>15</v>
      </c>
      <c r="E274" t="s">
        <v>24</v>
      </c>
      <c r="F274" t="s">
        <v>78</v>
      </c>
      <c r="G274" t="s">
        <v>206</v>
      </c>
      <c r="H274" t="s">
        <v>98</v>
      </c>
      <c r="I274">
        <v>16680</v>
      </c>
      <c r="J274">
        <v>18788</v>
      </c>
    </row>
    <row r="275" spans="1:10" x14ac:dyDescent="0.3">
      <c r="A275" t="s">
        <v>402</v>
      </c>
      <c r="B275" s="1">
        <v>45668</v>
      </c>
      <c r="C275" t="s">
        <v>17</v>
      </c>
      <c r="D275">
        <v>2</v>
      </c>
      <c r="E275" t="s">
        <v>33</v>
      </c>
      <c r="F275" t="s">
        <v>122</v>
      </c>
      <c r="G275" t="s">
        <v>199</v>
      </c>
      <c r="H275" t="s">
        <v>96</v>
      </c>
      <c r="I275">
        <v>34339</v>
      </c>
      <c r="J275">
        <v>29597</v>
      </c>
    </row>
    <row r="276" spans="1:10" x14ac:dyDescent="0.3">
      <c r="A276" t="s">
        <v>403</v>
      </c>
      <c r="B276" s="1">
        <v>45997</v>
      </c>
      <c r="C276" t="s">
        <v>100</v>
      </c>
      <c r="D276">
        <v>49</v>
      </c>
      <c r="E276" t="s">
        <v>33</v>
      </c>
      <c r="F276" t="s">
        <v>122</v>
      </c>
      <c r="G276" t="s">
        <v>14</v>
      </c>
      <c r="H276" t="s">
        <v>55</v>
      </c>
      <c r="I276">
        <v>25109</v>
      </c>
      <c r="J276">
        <v>28080</v>
      </c>
    </row>
    <row r="277" spans="1:10" x14ac:dyDescent="0.3">
      <c r="A277" t="s">
        <v>404</v>
      </c>
      <c r="B277" s="1">
        <v>46015</v>
      </c>
      <c r="C277" t="s">
        <v>100</v>
      </c>
      <c r="D277">
        <v>52</v>
      </c>
      <c r="E277" t="s">
        <v>24</v>
      </c>
      <c r="F277" t="s">
        <v>25</v>
      </c>
      <c r="G277" t="s">
        <v>171</v>
      </c>
      <c r="H277" t="s">
        <v>55</v>
      </c>
      <c r="I277">
        <v>32953</v>
      </c>
      <c r="J277">
        <v>29870</v>
      </c>
    </row>
    <row r="278" spans="1:10" x14ac:dyDescent="0.3">
      <c r="A278" t="s">
        <v>405</v>
      </c>
      <c r="B278" s="1">
        <v>45672</v>
      </c>
      <c r="C278" t="s">
        <v>17</v>
      </c>
      <c r="D278">
        <v>3</v>
      </c>
      <c r="E278" t="s">
        <v>12</v>
      </c>
      <c r="F278" t="s">
        <v>13</v>
      </c>
      <c r="G278" t="s">
        <v>132</v>
      </c>
      <c r="H278" t="s">
        <v>27</v>
      </c>
      <c r="I278">
        <v>25538</v>
      </c>
      <c r="J278">
        <v>24717</v>
      </c>
    </row>
    <row r="279" spans="1:10" x14ac:dyDescent="0.3">
      <c r="A279" t="s">
        <v>406</v>
      </c>
      <c r="B279" s="1">
        <v>45702</v>
      </c>
      <c r="C279" t="s">
        <v>82</v>
      </c>
      <c r="D279">
        <v>7</v>
      </c>
      <c r="E279" t="s">
        <v>33</v>
      </c>
      <c r="F279" t="s">
        <v>62</v>
      </c>
      <c r="G279" t="s">
        <v>76</v>
      </c>
      <c r="H279" t="s">
        <v>116</v>
      </c>
      <c r="I279">
        <v>34239</v>
      </c>
      <c r="J279">
        <v>27031</v>
      </c>
    </row>
    <row r="280" spans="1:10" x14ac:dyDescent="0.3">
      <c r="A280" t="s">
        <v>407</v>
      </c>
      <c r="B280" s="1">
        <v>46019</v>
      </c>
      <c r="C280" t="s">
        <v>100</v>
      </c>
      <c r="D280">
        <v>52</v>
      </c>
      <c r="E280" t="s">
        <v>61</v>
      </c>
      <c r="F280" t="s">
        <v>46</v>
      </c>
      <c r="G280" t="s">
        <v>126</v>
      </c>
      <c r="H280" t="s">
        <v>119</v>
      </c>
      <c r="I280">
        <v>34443</v>
      </c>
      <c r="J280">
        <v>40235</v>
      </c>
    </row>
    <row r="281" spans="1:10" x14ac:dyDescent="0.3">
      <c r="A281" t="s">
        <v>408</v>
      </c>
      <c r="B281" s="1">
        <v>45823</v>
      </c>
      <c r="C281" t="s">
        <v>74</v>
      </c>
      <c r="D281">
        <v>24</v>
      </c>
      <c r="E281" t="s">
        <v>12</v>
      </c>
      <c r="F281" t="s">
        <v>29</v>
      </c>
      <c r="G281" t="s">
        <v>147</v>
      </c>
      <c r="H281" t="s">
        <v>163</v>
      </c>
      <c r="I281">
        <v>20962</v>
      </c>
      <c r="J281">
        <v>15277</v>
      </c>
    </row>
    <row r="282" spans="1:10" x14ac:dyDescent="0.3">
      <c r="A282" t="s">
        <v>409</v>
      </c>
      <c r="B282" s="1">
        <v>45870</v>
      </c>
      <c r="C282" t="s">
        <v>113</v>
      </c>
      <c r="D282">
        <v>31</v>
      </c>
      <c r="E282" t="s">
        <v>24</v>
      </c>
      <c r="F282" t="s">
        <v>75</v>
      </c>
      <c r="G282" t="s">
        <v>130</v>
      </c>
      <c r="H282" t="s">
        <v>68</v>
      </c>
      <c r="I282">
        <v>26746</v>
      </c>
      <c r="J282">
        <v>31883</v>
      </c>
    </row>
    <row r="283" spans="1:10" x14ac:dyDescent="0.3">
      <c r="A283" t="s">
        <v>410</v>
      </c>
      <c r="B283" s="1">
        <v>45895</v>
      </c>
      <c r="C283" t="s">
        <v>113</v>
      </c>
      <c r="D283">
        <v>35</v>
      </c>
      <c r="E283" t="s">
        <v>70</v>
      </c>
      <c r="F283" t="s">
        <v>57</v>
      </c>
      <c r="G283" t="s">
        <v>72</v>
      </c>
      <c r="H283" t="s">
        <v>15</v>
      </c>
      <c r="I283">
        <v>26918</v>
      </c>
      <c r="J283">
        <v>34328</v>
      </c>
    </row>
    <row r="284" spans="1:10" x14ac:dyDescent="0.3">
      <c r="A284" t="s">
        <v>411</v>
      </c>
      <c r="B284" s="1">
        <v>45685</v>
      </c>
      <c r="C284" t="s">
        <v>17</v>
      </c>
      <c r="D284">
        <v>5</v>
      </c>
      <c r="E284" t="s">
        <v>18</v>
      </c>
      <c r="F284" t="s">
        <v>29</v>
      </c>
      <c r="G284" t="s">
        <v>107</v>
      </c>
      <c r="H284" t="s">
        <v>163</v>
      </c>
      <c r="I284">
        <v>27179</v>
      </c>
      <c r="J284">
        <v>34405</v>
      </c>
    </row>
    <row r="285" spans="1:10" x14ac:dyDescent="0.3">
      <c r="A285" t="s">
        <v>412</v>
      </c>
      <c r="B285" s="1">
        <v>45800</v>
      </c>
      <c r="C285" t="s">
        <v>90</v>
      </c>
      <c r="D285">
        <v>21</v>
      </c>
      <c r="E285" t="s">
        <v>39</v>
      </c>
      <c r="F285" t="s">
        <v>29</v>
      </c>
      <c r="G285" t="s">
        <v>14</v>
      </c>
      <c r="H285" t="s">
        <v>41</v>
      </c>
      <c r="I285">
        <v>24574</v>
      </c>
      <c r="J285">
        <v>24442</v>
      </c>
    </row>
    <row r="286" spans="1:10" x14ac:dyDescent="0.3">
      <c r="A286" t="s">
        <v>413</v>
      </c>
      <c r="B286" s="1">
        <v>45900</v>
      </c>
      <c r="C286" t="s">
        <v>113</v>
      </c>
      <c r="D286">
        <v>35</v>
      </c>
      <c r="E286" t="s">
        <v>33</v>
      </c>
      <c r="F286" t="s">
        <v>13</v>
      </c>
      <c r="G286" t="s">
        <v>76</v>
      </c>
      <c r="H286" t="s">
        <v>68</v>
      </c>
      <c r="I286">
        <v>37431</v>
      </c>
      <c r="J286">
        <v>45401</v>
      </c>
    </row>
    <row r="287" spans="1:10" x14ac:dyDescent="0.3">
      <c r="A287" t="s">
        <v>414</v>
      </c>
      <c r="B287" s="1">
        <v>45766</v>
      </c>
      <c r="C287" t="s">
        <v>86</v>
      </c>
      <c r="D287">
        <v>16</v>
      </c>
      <c r="E287" t="s">
        <v>70</v>
      </c>
      <c r="F287" t="s">
        <v>140</v>
      </c>
      <c r="G287" t="s">
        <v>240</v>
      </c>
      <c r="H287" t="s">
        <v>133</v>
      </c>
      <c r="I287">
        <v>31813</v>
      </c>
      <c r="J287">
        <v>32191</v>
      </c>
    </row>
    <row r="288" spans="1:10" x14ac:dyDescent="0.3">
      <c r="A288" t="s">
        <v>415</v>
      </c>
      <c r="B288" s="1">
        <v>45684</v>
      </c>
      <c r="C288" t="s">
        <v>17</v>
      </c>
      <c r="D288">
        <v>5</v>
      </c>
      <c r="E288" t="s">
        <v>12</v>
      </c>
      <c r="F288" t="s">
        <v>25</v>
      </c>
      <c r="G288" t="s">
        <v>141</v>
      </c>
      <c r="H288" t="s">
        <v>84</v>
      </c>
      <c r="I288">
        <v>34813</v>
      </c>
      <c r="J288">
        <v>37666</v>
      </c>
    </row>
    <row r="289" spans="1:10" x14ac:dyDescent="0.3">
      <c r="A289" t="s">
        <v>416</v>
      </c>
      <c r="B289" s="1">
        <v>45793</v>
      </c>
      <c r="C289" t="s">
        <v>90</v>
      </c>
      <c r="D289">
        <v>20</v>
      </c>
      <c r="E289" t="s">
        <v>24</v>
      </c>
      <c r="F289" t="s">
        <v>29</v>
      </c>
      <c r="G289" t="s">
        <v>126</v>
      </c>
      <c r="H289" t="s">
        <v>188</v>
      </c>
      <c r="I289">
        <v>29130</v>
      </c>
      <c r="J289">
        <v>29966</v>
      </c>
    </row>
    <row r="290" spans="1:10" x14ac:dyDescent="0.3">
      <c r="A290" t="s">
        <v>417</v>
      </c>
      <c r="B290" s="1">
        <v>45943</v>
      </c>
      <c r="C290" t="s">
        <v>66</v>
      </c>
      <c r="D290">
        <v>42</v>
      </c>
      <c r="E290" t="s">
        <v>61</v>
      </c>
      <c r="F290" t="s">
        <v>92</v>
      </c>
      <c r="G290" t="s">
        <v>206</v>
      </c>
      <c r="H290" t="s">
        <v>68</v>
      </c>
      <c r="I290">
        <v>23377</v>
      </c>
      <c r="J290">
        <v>21864</v>
      </c>
    </row>
    <row r="291" spans="1:10" x14ac:dyDescent="0.3">
      <c r="A291" t="s">
        <v>418</v>
      </c>
      <c r="B291" s="1">
        <v>45835</v>
      </c>
      <c r="C291" t="s">
        <v>74</v>
      </c>
      <c r="D291">
        <v>26</v>
      </c>
      <c r="E291" t="s">
        <v>12</v>
      </c>
      <c r="F291" t="s">
        <v>87</v>
      </c>
      <c r="G291" t="s">
        <v>199</v>
      </c>
      <c r="H291" t="s">
        <v>243</v>
      </c>
      <c r="I291">
        <v>17338</v>
      </c>
      <c r="J291">
        <v>15097</v>
      </c>
    </row>
    <row r="292" spans="1:10" x14ac:dyDescent="0.3">
      <c r="A292" t="s">
        <v>419</v>
      </c>
      <c r="B292" s="1">
        <v>45884</v>
      </c>
      <c r="C292" t="s">
        <v>113</v>
      </c>
      <c r="D292">
        <v>33</v>
      </c>
      <c r="E292" t="s">
        <v>12</v>
      </c>
      <c r="F292" t="s">
        <v>78</v>
      </c>
      <c r="G292" t="s">
        <v>35</v>
      </c>
      <c r="H292" t="s">
        <v>188</v>
      </c>
      <c r="I292">
        <v>33435</v>
      </c>
      <c r="J292">
        <v>28532</v>
      </c>
    </row>
    <row r="293" spans="1:10" x14ac:dyDescent="0.3">
      <c r="A293" t="s">
        <v>420</v>
      </c>
      <c r="B293" s="1">
        <v>45665</v>
      </c>
      <c r="C293" t="s">
        <v>17</v>
      </c>
      <c r="D293">
        <v>2</v>
      </c>
      <c r="E293" t="s">
        <v>12</v>
      </c>
      <c r="F293" t="s">
        <v>62</v>
      </c>
      <c r="G293" t="s">
        <v>72</v>
      </c>
      <c r="H293" t="s">
        <v>21</v>
      </c>
      <c r="I293">
        <v>29915</v>
      </c>
      <c r="J293">
        <v>23499</v>
      </c>
    </row>
    <row r="294" spans="1:10" x14ac:dyDescent="0.3">
      <c r="A294" t="s">
        <v>421</v>
      </c>
      <c r="B294" s="1">
        <v>45955</v>
      </c>
      <c r="C294" t="s">
        <v>66</v>
      </c>
      <c r="D294">
        <v>43</v>
      </c>
      <c r="E294" t="s">
        <v>61</v>
      </c>
      <c r="F294" t="s">
        <v>193</v>
      </c>
      <c r="G294" t="s">
        <v>72</v>
      </c>
      <c r="H294" t="s">
        <v>41</v>
      </c>
      <c r="I294">
        <v>38461</v>
      </c>
      <c r="J294">
        <v>29767</v>
      </c>
    </row>
    <row r="295" spans="1:10" x14ac:dyDescent="0.3">
      <c r="A295" t="s">
        <v>422</v>
      </c>
      <c r="B295" s="1">
        <v>45868</v>
      </c>
      <c r="C295" t="s">
        <v>11</v>
      </c>
      <c r="D295">
        <v>31</v>
      </c>
      <c r="E295" t="s">
        <v>33</v>
      </c>
      <c r="F295" t="s">
        <v>78</v>
      </c>
      <c r="G295" t="s">
        <v>171</v>
      </c>
      <c r="H295" t="s">
        <v>21</v>
      </c>
      <c r="I295">
        <v>16856</v>
      </c>
      <c r="J295">
        <v>20320</v>
      </c>
    </row>
    <row r="296" spans="1:10" x14ac:dyDescent="0.3">
      <c r="A296" t="s">
        <v>423</v>
      </c>
      <c r="B296" s="1">
        <v>45833</v>
      </c>
      <c r="C296" t="s">
        <v>74</v>
      </c>
      <c r="D296">
        <v>26</v>
      </c>
      <c r="E296" t="s">
        <v>39</v>
      </c>
      <c r="F296" t="s">
        <v>19</v>
      </c>
      <c r="G296" t="s">
        <v>93</v>
      </c>
      <c r="H296" t="s">
        <v>64</v>
      </c>
      <c r="I296">
        <v>22181</v>
      </c>
      <c r="J296">
        <v>25285</v>
      </c>
    </row>
    <row r="297" spans="1:10" x14ac:dyDescent="0.3">
      <c r="A297" t="s">
        <v>424</v>
      </c>
      <c r="B297" s="1">
        <v>45775</v>
      </c>
      <c r="C297" t="s">
        <v>86</v>
      </c>
      <c r="D297">
        <v>18</v>
      </c>
      <c r="E297" t="s">
        <v>61</v>
      </c>
      <c r="F297" t="s">
        <v>193</v>
      </c>
      <c r="G297" t="s">
        <v>130</v>
      </c>
      <c r="H297" t="s">
        <v>55</v>
      </c>
      <c r="I297">
        <v>26142</v>
      </c>
      <c r="J297">
        <v>22631</v>
      </c>
    </row>
    <row r="298" spans="1:10" x14ac:dyDescent="0.3">
      <c r="A298" t="s">
        <v>425</v>
      </c>
      <c r="B298" s="1">
        <v>45840</v>
      </c>
      <c r="C298" t="s">
        <v>11</v>
      </c>
      <c r="D298">
        <v>27</v>
      </c>
      <c r="E298" t="s">
        <v>39</v>
      </c>
      <c r="F298" t="s">
        <v>87</v>
      </c>
      <c r="G298" t="s">
        <v>63</v>
      </c>
      <c r="H298" t="s">
        <v>52</v>
      </c>
      <c r="I298">
        <v>16554</v>
      </c>
      <c r="J298">
        <v>14426</v>
      </c>
    </row>
    <row r="299" spans="1:10" x14ac:dyDescent="0.3">
      <c r="A299" t="s">
        <v>426</v>
      </c>
      <c r="B299" s="1">
        <v>45741</v>
      </c>
      <c r="C299" t="s">
        <v>95</v>
      </c>
      <c r="D299">
        <v>13</v>
      </c>
      <c r="E299" t="s">
        <v>70</v>
      </c>
      <c r="F299" t="s">
        <v>92</v>
      </c>
      <c r="G299" t="s">
        <v>145</v>
      </c>
      <c r="H299" t="s">
        <v>123</v>
      </c>
      <c r="I299">
        <v>26968</v>
      </c>
      <c r="J299">
        <v>20875</v>
      </c>
    </row>
    <row r="300" spans="1:10" x14ac:dyDescent="0.3">
      <c r="A300" t="s">
        <v>427</v>
      </c>
      <c r="B300" s="1">
        <v>45990</v>
      </c>
      <c r="C300" t="s">
        <v>23</v>
      </c>
      <c r="D300">
        <v>48</v>
      </c>
      <c r="E300" t="s">
        <v>70</v>
      </c>
      <c r="F300" t="s">
        <v>140</v>
      </c>
      <c r="G300" t="s">
        <v>324</v>
      </c>
      <c r="H300" t="s">
        <v>103</v>
      </c>
      <c r="I300">
        <v>36154</v>
      </c>
      <c r="J300">
        <v>42774</v>
      </c>
    </row>
    <row r="301" spans="1:10" x14ac:dyDescent="0.3">
      <c r="A301" t="s">
        <v>428</v>
      </c>
      <c r="B301" s="1">
        <v>45887</v>
      </c>
      <c r="C301" t="s">
        <v>113</v>
      </c>
      <c r="D301">
        <v>34</v>
      </c>
      <c r="E301" t="s">
        <v>12</v>
      </c>
      <c r="F301" t="s">
        <v>25</v>
      </c>
      <c r="G301" t="s">
        <v>230</v>
      </c>
      <c r="H301" t="s">
        <v>155</v>
      </c>
      <c r="I301">
        <v>18291</v>
      </c>
      <c r="J301">
        <v>13998</v>
      </c>
    </row>
    <row r="302" spans="1:10" x14ac:dyDescent="0.3">
      <c r="A302" t="s">
        <v>429</v>
      </c>
      <c r="B302" s="1">
        <v>45808</v>
      </c>
      <c r="C302" t="s">
        <v>90</v>
      </c>
      <c r="D302">
        <v>22</v>
      </c>
      <c r="E302" t="s">
        <v>61</v>
      </c>
      <c r="F302" t="s">
        <v>140</v>
      </c>
      <c r="G302" t="s">
        <v>206</v>
      </c>
      <c r="H302" t="s">
        <v>80</v>
      </c>
      <c r="I302">
        <v>37973</v>
      </c>
      <c r="J302">
        <v>38172</v>
      </c>
    </row>
    <row r="303" spans="1:10" x14ac:dyDescent="0.3">
      <c r="A303" t="s">
        <v>430</v>
      </c>
      <c r="B303" s="1">
        <v>45838</v>
      </c>
      <c r="C303" t="s">
        <v>74</v>
      </c>
      <c r="D303">
        <v>27</v>
      </c>
      <c r="E303" t="s">
        <v>18</v>
      </c>
      <c r="F303" t="s">
        <v>140</v>
      </c>
      <c r="G303" t="s">
        <v>191</v>
      </c>
      <c r="H303" t="s">
        <v>41</v>
      </c>
      <c r="I303">
        <v>30951</v>
      </c>
      <c r="J303">
        <v>30047</v>
      </c>
    </row>
    <row r="304" spans="1:10" x14ac:dyDescent="0.3">
      <c r="A304" t="s">
        <v>431</v>
      </c>
      <c r="B304" s="1">
        <v>45798</v>
      </c>
      <c r="C304" t="s">
        <v>90</v>
      </c>
      <c r="D304">
        <v>21</v>
      </c>
      <c r="E304" t="s">
        <v>18</v>
      </c>
      <c r="F304" t="s">
        <v>193</v>
      </c>
      <c r="G304" t="s">
        <v>126</v>
      </c>
      <c r="H304" t="s">
        <v>21</v>
      </c>
      <c r="I304">
        <v>35874</v>
      </c>
      <c r="J304">
        <v>33410</v>
      </c>
    </row>
    <row r="305" spans="1:10" x14ac:dyDescent="0.3">
      <c r="A305" t="s">
        <v>432</v>
      </c>
      <c r="B305" s="1">
        <v>45968</v>
      </c>
      <c r="C305" t="s">
        <v>23</v>
      </c>
      <c r="D305">
        <v>45</v>
      </c>
      <c r="E305" t="s">
        <v>33</v>
      </c>
      <c r="F305" t="s">
        <v>50</v>
      </c>
      <c r="G305" t="s">
        <v>160</v>
      </c>
      <c r="H305" t="s">
        <v>41</v>
      </c>
      <c r="I305">
        <v>22444</v>
      </c>
      <c r="J305">
        <v>17959</v>
      </c>
    </row>
    <row r="306" spans="1:10" x14ac:dyDescent="0.3">
      <c r="A306" t="s">
        <v>433</v>
      </c>
      <c r="B306" s="1">
        <v>45683</v>
      </c>
      <c r="C306" t="s">
        <v>17</v>
      </c>
      <c r="D306">
        <v>4</v>
      </c>
      <c r="E306" t="s">
        <v>70</v>
      </c>
      <c r="F306" t="s">
        <v>193</v>
      </c>
      <c r="G306" t="s">
        <v>132</v>
      </c>
      <c r="H306" t="s">
        <v>84</v>
      </c>
      <c r="I306">
        <v>17733</v>
      </c>
      <c r="J306">
        <v>22486</v>
      </c>
    </row>
    <row r="307" spans="1:10" x14ac:dyDescent="0.3">
      <c r="A307" t="s">
        <v>434</v>
      </c>
      <c r="B307" s="1">
        <v>45921</v>
      </c>
      <c r="C307" t="s">
        <v>38</v>
      </c>
      <c r="D307">
        <v>38</v>
      </c>
      <c r="E307" t="s">
        <v>39</v>
      </c>
      <c r="F307" t="s">
        <v>101</v>
      </c>
      <c r="G307" t="s">
        <v>35</v>
      </c>
      <c r="H307" t="s">
        <v>21</v>
      </c>
      <c r="I307">
        <v>25882</v>
      </c>
      <c r="J307">
        <v>22522</v>
      </c>
    </row>
    <row r="308" spans="1:10" x14ac:dyDescent="0.3">
      <c r="A308" t="s">
        <v>435</v>
      </c>
      <c r="B308" s="1">
        <v>45780</v>
      </c>
      <c r="C308" t="s">
        <v>90</v>
      </c>
      <c r="D308">
        <v>18</v>
      </c>
      <c r="E308" t="s">
        <v>33</v>
      </c>
      <c r="F308" t="s">
        <v>43</v>
      </c>
      <c r="G308" t="s">
        <v>230</v>
      </c>
      <c r="H308" t="s">
        <v>133</v>
      </c>
      <c r="I308">
        <v>30445</v>
      </c>
      <c r="J308">
        <v>28310</v>
      </c>
    </row>
    <row r="309" spans="1:10" x14ac:dyDescent="0.3">
      <c r="A309" t="s">
        <v>436</v>
      </c>
      <c r="B309" s="1">
        <v>45667</v>
      </c>
      <c r="C309" t="s">
        <v>17</v>
      </c>
      <c r="D309">
        <v>2</v>
      </c>
      <c r="E309" t="s">
        <v>18</v>
      </c>
      <c r="F309" t="s">
        <v>92</v>
      </c>
      <c r="G309" t="s">
        <v>191</v>
      </c>
      <c r="H309" t="s">
        <v>151</v>
      </c>
      <c r="I309">
        <v>26599</v>
      </c>
      <c r="J309">
        <v>26185</v>
      </c>
    </row>
    <row r="310" spans="1:10" x14ac:dyDescent="0.3">
      <c r="A310" t="s">
        <v>437</v>
      </c>
      <c r="B310" s="1">
        <v>45938</v>
      </c>
      <c r="C310" t="s">
        <v>66</v>
      </c>
      <c r="D310">
        <v>41</v>
      </c>
      <c r="E310" t="s">
        <v>61</v>
      </c>
      <c r="F310" t="s">
        <v>50</v>
      </c>
      <c r="G310" t="s">
        <v>137</v>
      </c>
      <c r="H310" t="s">
        <v>155</v>
      </c>
      <c r="I310">
        <v>36103</v>
      </c>
      <c r="J310">
        <v>27412</v>
      </c>
    </row>
    <row r="311" spans="1:10" x14ac:dyDescent="0.3">
      <c r="A311" t="s">
        <v>438</v>
      </c>
      <c r="B311" s="1">
        <v>45779</v>
      </c>
      <c r="C311" t="s">
        <v>90</v>
      </c>
      <c r="D311">
        <v>18</v>
      </c>
      <c r="E311" t="s">
        <v>61</v>
      </c>
      <c r="F311" t="s">
        <v>75</v>
      </c>
      <c r="G311" t="s">
        <v>58</v>
      </c>
      <c r="H311" t="s">
        <v>123</v>
      </c>
      <c r="I311">
        <v>28840</v>
      </c>
      <c r="J311">
        <v>31042</v>
      </c>
    </row>
    <row r="312" spans="1:10" x14ac:dyDescent="0.3">
      <c r="A312" t="s">
        <v>439</v>
      </c>
      <c r="B312" s="1">
        <v>45665</v>
      </c>
      <c r="C312" t="s">
        <v>17</v>
      </c>
      <c r="D312">
        <v>2</v>
      </c>
      <c r="E312" t="s">
        <v>24</v>
      </c>
      <c r="F312" t="s">
        <v>92</v>
      </c>
      <c r="G312" t="s">
        <v>79</v>
      </c>
      <c r="H312" t="s">
        <v>111</v>
      </c>
      <c r="I312">
        <v>21972</v>
      </c>
      <c r="J312">
        <v>25374</v>
      </c>
    </row>
    <row r="313" spans="1:10" x14ac:dyDescent="0.3">
      <c r="A313" t="s">
        <v>440</v>
      </c>
      <c r="B313" s="1">
        <v>45906</v>
      </c>
      <c r="C313" t="s">
        <v>38</v>
      </c>
      <c r="D313">
        <v>36</v>
      </c>
      <c r="E313" t="s">
        <v>24</v>
      </c>
      <c r="F313" t="s">
        <v>29</v>
      </c>
      <c r="G313" t="s">
        <v>147</v>
      </c>
      <c r="H313" t="s">
        <v>52</v>
      </c>
      <c r="I313">
        <v>34418</v>
      </c>
      <c r="J313">
        <v>39632</v>
      </c>
    </row>
    <row r="314" spans="1:10" x14ac:dyDescent="0.3">
      <c r="A314" t="s">
        <v>441</v>
      </c>
      <c r="B314" s="1">
        <v>45867</v>
      </c>
      <c r="C314" t="s">
        <v>11</v>
      </c>
      <c r="D314">
        <v>31</v>
      </c>
      <c r="E314" t="s">
        <v>12</v>
      </c>
      <c r="F314" t="s">
        <v>19</v>
      </c>
      <c r="G314" t="s">
        <v>141</v>
      </c>
      <c r="H314" t="s">
        <v>151</v>
      </c>
      <c r="I314">
        <v>35613</v>
      </c>
      <c r="J314">
        <v>30184</v>
      </c>
    </row>
    <row r="315" spans="1:10" x14ac:dyDescent="0.3">
      <c r="A315" t="s">
        <v>442</v>
      </c>
      <c r="B315" s="1">
        <v>45687</v>
      </c>
      <c r="C315" t="s">
        <v>17</v>
      </c>
      <c r="D315">
        <v>5</v>
      </c>
      <c r="E315" t="s">
        <v>18</v>
      </c>
      <c r="F315" t="s">
        <v>62</v>
      </c>
      <c r="G315" t="s">
        <v>240</v>
      </c>
      <c r="H315" t="s">
        <v>96</v>
      </c>
      <c r="I315">
        <v>24048</v>
      </c>
      <c r="J315">
        <v>29970</v>
      </c>
    </row>
    <row r="316" spans="1:10" x14ac:dyDescent="0.3">
      <c r="A316" t="s">
        <v>443</v>
      </c>
      <c r="B316" s="1">
        <v>45712</v>
      </c>
      <c r="C316" t="s">
        <v>82</v>
      </c>
      <c r="D316">
        <v>9</v>
      </c>
      <c r="E316" t="s">
        <v>61</v>
      </c>
      <c r="F316" t="s">
        <v>92</v>
      </c>
      <c r="G316" t="s">
        <v>88</v>
      </c>
      <c r="H316" t="s">
        <v>41</v>
      </c>
      <c r="I316">
        <v>32845</v>
      </c>
      <c r="J316">
        <v>34499</v>
      </c>
    </row>
    <row r="317" spans="1:10" x14ac:dyDescent="0.3">
      <c r="A317" t="s">
        <v>444</v>
      </c>
      <c r="B317" s="1">
        <v>46012</v>
      </c>
      <c r="C317" t="s">
        <v>100</v>
      </c>
      <c r="D317">
        <v>51</v>
      </c>
      <c r="E317" t="s">
        <v>61</v>
      </c>
      <c r="F317" t="s">
        <v>34</v>
      </c>
      <c r="G317" t="s">
        <v>79</v>
      </c>
      <c r="H317" t="s">
        <v>15</v>
      </c>
      <c r="I317">
        <v>27589</v>
      </c>
      <c r="J317">
        <v>33254</v>
      </c>
    </row>
    <row r="318" spans="1:10" x14ac:dyDescent="0.3">
      <c r="A318" t="s">
        <v>445</v>
      </c>
      <c r="B318" s="1">
        <v>45858</v>
      </c>
      <c r="C318" t="s">
        <v>11</v>
      </c>
      <c r="D318">
        <v>29</v>
      </c>
      <c r="E318" t="s">
        <v>39</v>
      </c>
      <c r="F318" t="s">
        <v>46</v>
      </c>
      <c r="G318" t="s">
        <v>76</v>
      </c>
      <c r="H318" t="s">
        <v>188</v>
      </c>
      <c r="I318">
        <v>35315</v>
      </c>
      <c r="J318">
        <v>27861</v>
      </c>
    </row>
    <row r="319" spans="1:10" x14ac:dyDescent="0.3">
      <c r="A319" t="s">
        <v>446</v>
      </c>
      <c r="B319" s="1">
        <v>45938</v>
      </c>
      <c r="C319" t="s">
        <v>66</v>
      </c>
      <c r="D319">
        <v>41</v>
      </c>
      <c r="E319" t="s">
        <v>33</v>
      </c>
      <c r="F319" t="s">
        <v>193</v>
      </c>
      <c r="G319" t="s">
        <v>324</v>
      </c>
      <c r="H319" t="s">
        <v>133</v>
      </c>
      <c r="I319">
        <v>36150</v>
      </c>
      <c r="J319">
        <v>42350</v>
      </c>
    </row>
    <row r="320" spans="1:10" x14ac:dyDescent="0.3">
      <c r="A320" t="s">
        <v>447</v>
      </c>
      <c r="B320" s="1">
        <v>45849</v>
      </c>
      <c r="C320" t="s">
        <v>11</v>
      </c>
      <c r="D320">
        <v>28</v>
      </c>
      <c r="E320" t="s">
        <v>24</v>
      </c>
      <c r="F320" t="s">
        <v>109</v>
      </c>
      <c r="G320" t="s">
        <v>88</v>
      </c>
      <c r="H320" t="s">
        <v>116</v>
      </c>
      <c r="I320">
        <v>36187</v>
      </c>
      <c r="J320">
        <v>32976</v>
      </c>
    </row>
    <row r="321" spans="1:10" x14ac:dyDescent="0.3">
      <c r="A321" t="s">
        <v>448</v>
      </c>
      <c r="B321" s="1">
        <v>45899</v>
      </c>
      <c r="C321" t="s">
        <v>113</v>
      </c>
      <c r="D321">
        <v>35</v>
      </c>
      <c r="E321" t="s">
        <v>70</v>
      </c>
      <c r="F321" t="s">
        <v>25</v>
      </c>
      <c r="G321" t="s">
        <v>26</v>
      </c>
      <c r="H321" t="s">
        <v>119</v>
      </c>
      <c r="I321">
        <v>21967</v>
      </c>
      <c r="J321">
        <v>17839</v>
      </c>
    </row>
    <row r="322" spans="1:10" x14ac:dyDescent="0.3">
      <c r="A322" t="s">
        <v>449</v>
      </c>
      <c r="B322" s="1">
        <v>45771</v>
      </c>
      <c r="C322" t="s">
        <v>86</v>
      </c>
      <c r="D322">
        <v>17</v>
      </c>
      <c r="E322" t="s">
        <v>33</v>
      </c>
      <c r="F322" t="s">
        <v>46</v>
      </c>
      <c r="G322" t="s">
        <v>266</v>
      </c>
      <c r="H322" t="s">
        <v>21</v>
      </c>
      <c r="I322">
        <v>28677</v>
      </c>
      <c r="J322">
        <v>26873</v>
      </c>
    </row>
    <row r="323" spans="1:10" x14ac:dyDescent="0.3">
      <c r="A323" t="s">
        <v>450</v>
      </c>
      <c r="B323" s="1">
        <v>45699</v>
      </c>
      <c r="C323" t="s">
        <v>82</v>
      </c>
      <c r="D323">
        <v>7</v>
      </c>
      <c r="E323" t="s">
        <v>18</v>
      </c>
      <c r="F323" t="s">
        <v>101</v>
      </c>
      <c r="G323" t="s">
        <v>141</v>
      </c>
      <c r="H323" t="s">
        <v>15</v>
      </c>
      <c r="I323">
        <v>24157</v>
      </c>
      <c r="J323">
        <v>26013</v>
      </c>
    </row>
    <row r="324" spans="1:10" x14ac:dyDescent="0.3">
      <c r="A324" t="s">
        <v>451</v>
      </c>
      <c r="B324" s="1">
        <v>45704</v>
      </c>
      <c r="C324" t="s">
        <v>82</v>
      </c>
      <c r="D324">
        <v>7</v>
      </c>
      <c r="E324" t="s">
        <v>70</v>
      </c>
      <c r="F324" t="s">
        <v>140</v>
      </c>
      <c r="G324" t="s">
        <v>63</v>
      </c>
      <c r="H324" t="s">
        <v>21</v>
      </c>
      <c r="I324">
        <v>17932</v>
      </c>
      <c r="J324">
        <v>17515</v>
      </c>
    </row>
    <row r="325" spans="1:10" x14ac:dyDescent="0.3">
      <c r="A325" t="s">
        <v>452</v>
      </c>
      <c r="B325" s="1">
        <v>45837</v>
      </c>
      <c r="C325" t="s">
        <v>74</v>
      </c>
      <c r="D325">
        <v>26</v>
      </c>
      <c r="E325" t="s">
        <v>24</v>
      </c>
      <c r="F325" t="s">
        <v>50</v>
      </c>
      <c r="G325" t="s">
        <v>266</v>
      </c>
      <c r="H325" t="s">
        <v>119</v>
      </c>
      <c r="I325">
        <v>34032</v>
      </c>
      <c r="J325">
        <v>36619</v>
      </c>
    </row>
    <row r="326" spans="1:10" x14ac:dyDescent="0.3">
      <c r="A326" t="s">
        <v>453</v>
      </c>
      <c r="B326" s="1">
        <v>45956</v>
      </c>
      <c r="C326" t="s">
        <v>66</v>
      </c>
      <c r="D326">
        <v>43</v>
      </c>
      <c r="E326" t="s">
        <v>12</v>
      </c>
      <c r="F326" t="s">
        <v>114</v>
      </c>
      <c r="G326" t="s">
        <v>224</v>
      </c>
      <c r="H326" t="s">
        <v>123</v>
      </c>
      <c r="I326">
        <v>32166</v>
      </c>
      <c r="J326">
        <v>39761</v>
      </c>
    </row>
    <row r="327" spans="1:10" x14ac:dyDescent="0.3">
      <c r="A327" t="s">
        <v>454</v>
      </c>
      <c r="B327" s="1">
        <v>45705</v>
      </c>
      <c r="C327" t="s">
        <v>82</v>
      </c>
      <c r="D327">
        <v>8</v>
      </c>
      <c r="E327" t="s">
        <v>61</v>
      </c>
      <c r="F327" t="s">
        <v>122</v>
      </c>
      <c r="G327" t="s">
        <v>35</v>
      </c>
      <c r="H327" t="s">
        <v>157</v>
      </c>
      <c r="I327">
        <v>29558</v>
      </c>
      <c r="J327">
        <v>34576</v>
      </c>
    </row>
    <row r="328" spans="1:10" x14ac:dyDescent="0.3">
      <c r="A328" t="s">
        <v>455</v>
      </c>
      <c r="B328" s="1">
        <v>45842</v>
      </c>
      <c r="C328" t="s">
        <v>11</v>
      </c>
      <c r="D328">
        <v>27</v>
      </c>
      <c r="E328" t="s">
        <v>33</v>
      </c>
      <c r="F328" t="s">
        <v>25</v>
      </c>
      <c r="G328" t="s">
        <v>76</v>
      </c>
      <c r="H328" t="s">
        <v>103</v>
      </c>
      <c r="I328">
        <v>36716</v>
      </c>
      <c r="J328">
        <v>46156</v>
      </c>
    </row>
    <row r="329" spans="1:10" x14ac:dyDescent="0.3">
      <c r="A329" t="s">
        <v>456</v>
      </c>
      <c r="B329" s="1">
        <v>45900</v>
      </c>
      <c r="C329" t="s">
        <v>113</v>
      </c>
      <c r="D329">
        <v>35</v>
      </c>
      <c r="E329" t="s">
        <v>70</v>
      </c>
      <c r="F329" t="s">
        <v>29</v>
      </c>
      <c r="G329" t="s">
        <v>63</v>
      </c>
      <c r="H329" t="s">
        <v>96</v>
      </c>
      <c r="I329">
        <v>21836</v>
      </c>
      <c r="J329">
        <v>21075</v>
      </c>
    </row>
    <row r="330" spans="1:10" x14ac:dyDescent="0.3">
      <c r="A330" t="s">
        <v>457</v>
      </c>
      <c r="B330" s="1">
        <v>45907</v>
      </c>
      <c r="C330" t="s">
        <v>38</v>
      </c>
      <c r="D330">
        <v>36</v>
      </c>
      <c r="E330" t="s">
        <v>24</v>
      </c>
      <c r="F330" t="s">
        <v>114</v>
      </c>
      <c r="G330" t="s">
        <v>72</v>
      </c>
      <c r="H330" t="s">
        <v>243</v>
      </c>
      <c r="I330">
        <v>25935</v>
      </c>
      <c r="J330">
        <v>18958</v>
      </c>
    </row>
    <row r="331" spans="1:10" x14ac:dyDescent="0.3">
      <c r="A331" t="s">
        <v>458</v>
      </c>
      <c r="B331" s="1">
        <v>45800</v>
      </c>
      <c r="C331" t="s">
        <v>90</v>
      </c>
      <c r="D331">
        <v>21</v>
      </c>
      <c r="E331" t="s">
        <v>61</v>
      </c>
      <c r="F331" t="s">
        <v>101</v>
      </c>
      <c r="G331" t="s">
        <v>206</v>
      </c>
      <c r="H331" t="s">
        <v>188</v>
      </c>
      <c r="I331">
        <v>22359</v>
      </c>
      <c r="J331">
        <v>19289</v>
      </c>
    </row>
    <row r="332" spans="1:10" x14ac:dyDescent="0.3">
      <c r="A332" t="s">
        <v>459</v>
      </c>
      <c r="B332" s="1">
        <v>45978</v>
      </c>
      <c r="C332" t="s">
        <v>23</v>
      </c>
      <c r="D332">
        <v>47</v>
      </c>
      <c r="E332" t="s">
        <v>33</v>
      </c>
      <c r="F332" t="s">
        <v>87</v>
      </c>
      <c r="G332" t="s">
        <v>14</v>
      </c>
      <c r="H332" t="s">
        <v>211</v>
      </c>
      <c r="I332">
        <v>25948</v>
      </c>
      <c r="J332">
        <v>24160</v>
      </c>
    </row>
    <row r="333" spans="1:10" x14ac:dyDescent="0.3">
      <c r="A333" t="s">
        <v>460</v>
      </c>
      <c r="B333" s="1">
        <v>45665</v>
      </c>
      <c r="C333" t="s">
        <v>17</v>
      </c>
      <c r="D333">
        <v>2</v>
      </c>
      <c r="E333" t="s">
        <v>24</v>
      </c>
      <c r="F333" t="s">
        <v>50</v>
      </c>
      <c r="G333" t="s">
        <v>160</v>
      </c>
      <c r="H333" t="s">
        <v>116</v>
      </c>
      <c r="I333">
        <v>27295</v>
      </c>
      <c r="J333">
        <v>24269</v>
      </c>
    </row>
    <row r="334" spans="1:10" x14ac:dyDescent="0.3">
      <c r="A334" t="s">
        <v>461</v>
      </c>
      <c r="B334" s="1">
        <v>45746</v>
      </c>
      <c r="C334" t="s">
        <v>95</v>
      </c>
      <c r="D334">
        <v>13</v>
      </c>
      <c r="E334" t="s">
        <v>18</v>
      </c>
      <c r="F334" t="s">
        <v>50</v>
      </c>
      <c r="G334" t="s">
        <v>35</v>
      </c>
      <c r="H334" t="s">
        <v>31</v>
      </c>
      <c r="I334">
        <v>19379</v>
      </c>
      <c r="J334">
        <v>21178</v>
      </c>
    </row>
    <row r="335" spans="1:10" x14ac:dyDescent="0.3">
      <c r="A335" t="s">
        <v>462</v>
      </c>
      <c r="B335" s="1">
        <v>45898</v>
      </c>
      <c r="C335" t="s">
        <v>113</v>
      </c>
      <c r="D335">
        <v>35</v>
      </c>
      <c r="E335" t="s">
        <v>61</v>
      </c>
      <c r="F335" t="s">
        <v>75</v>
      </c>
      <c r="G335" t="s">
        <v>47</v>
      </c>
      <c r="H335" t="s">
        <v>133</v>
      </c>
      <c r="I335">
        <v>17867</v>
      </c>
      <c r="J335">
        <v>13536</v>
      </c>
    </row>
    <row r="336" spans="1:10" x14ac:dyDescent="0.3">
      <c r="A336" t="s">
        <v>463</v>
      </c>
      <c r="B336" s="1">
        <v>46022</v>
      </c>
      <c r="C336" t="s">
        <v>100</v>
      </c>
      <c r="D336">
        <v>1</v>
      </c>
      <c r="E336" t="s">
        <v>12</v>
      </c>
      <c r="F336" t="s">
        <v>50</v>
      </c>
      <c r="G336" t="s">
        <v>72</v>
      </c>
      <c r="H336" t="s">
        <v>84</v>
      </c>
      <c r="I336">
        <v>23420</v>
      </c>
      <c r="J336">
        <v>30376</v>
      </c>
    </row>
    <row r="337" spans="1:10" x14ac:dyDescent="0.3">
      <c r="A337" t="s">
        <v>464</v>
      </c>
      <c r="B337" s="1">
        <v>46012</v>
      </c>
      <c r="C337" t="s">
        <v>100</v>
      </c>
      <c r="D337">
        <v>51</v>
      </c>
      <c r="E337" t="s">
        <v>18</v>
      </c>
      <c r="F337" t="s">
        <v>78</v>
      </c>
      <c r="G337" t="s">
        <v>324</v>
      </c>
      <c r="H337" t="s">
        <v>41</v>
      </c>
      <c r="I337">
        <v>22001</v>
      </c>
      <c r="J337">
        <v>20369</v>
      </c>
    </row>
    <row r="338" spans="1:10" x14ac:dyDescent="0.3">
      <c r="A338" t="s">
        <v>465</v>
      </c>
      <c r="B338" s="1">
        <v>45921</v>
      </c>
      <c r="C338" t="s">
        <v>38</v>
      </c>
      <c r="D338">
        <v>38</v>
      </c>
      <c r="E338" t="s">
        <v>12</v>
      </c>
      <c r="F338" t="s">
        <v>29</v>
      </c>
      <c r="G338" t="s">
        <v>107</v>
      </c>
      <c r="H338" t="s">
        <v>243</v>
      </c>
      <c r="I338">
        <v>19368</v>
      </c>
      <c r="J338">
        <v>19098</v>
      </c>
    </row>
    <row r="339" spans="1:10" x14ac:dyDescent="0.3">
      <c r="A339" t="s">
        <v>466</v>
      </c>
      <c r="B339" s="1">
        <v>45867</v>
      </c>
      <c r="C339" t="s">
        <v>11</v>
      </c>
      <c r="D339">
        <v>31</v>
      </c>
      <c r="E339" t="s">
        <v>24</v>
      </c>
      <c r="F339" t="s">
        <v>29</v>
      </c>
      <c r="G339" t="s">
        <v>107</v>
      </c>
      <c r="H339" t="s">
        <v>55</v>
      </c>
      <c r="I339">
        <v>19470</v>
      </c>
      <c r="J339">
        <v>16395</v>
      </c>
    </row>
    <row r="340" spans="1:10" x14ac:dyDescent="0.3">
      <c r="A340" t="s">
        <v>467</v>
      </c>
      <c r="B340" s="1">
        <v>45949</v>
      </c>
      <c r="C340" t="s">
        <v>66</v>
      </c>
      <c r="D340">
        <v>42</v>
      </c>
      <c r="E340" t="s">
        <v>61</v>
      </c>
      <c r="F340" t="s">
        <v>46</v>
      </c>
      <c r="G340" t="s">
        <v>58</v>
      </c>
      <c r="H340" t="s">
        <v>157</v>
      </c>
      <c r="I340">
        <v>15403</v>
      </c>
      <c r="J340">
        <v>13166</v>
      </c>
    </row>
    <row r="341" spans="1:10" x14ac:dyDescent="0.3">
      <c r="A341" t="s">
        <v>468</v>
      </c>
      <c r="B341" s="1">
        <v>45914</v>
      </c>
      <c r="C341" t="s">
        <v>38</v>
      </c>
      <c r="D341">
        <v>37</v>
      </c>
      <c r="E341" t="s">
        <v>39</v>
      </c>
      <c r="F341" t="s">
        <v>75</v>
      </c>
      <c r="G341" t="s">
        <v>171</v>
      </c>
      <c r="H341" t="s">
        <v>165</v>
      </c>
      <c r="I341">
        <v>38073</v>
      </c>
      <c r="J341">
        <v>44574</v>
      </c>
    </row>
    <row r="342" spans="1:10" x14ac:dyDescent="0.3">
      <c r="A342" t="s">
        <v>469</v>
      </c>
      <c r="B342" s="1">
        <v>45895</v>
      </c>
      <c r="C342" t="s">
        <v>113</v>
      </c>
      <c r="D342">
        <v>35</v>
      </c>
      <c r="E342" t="s">
        <v>70</v>
      </c>
      <c r="F342" t="s">
        <v>43</v>
      </c>
      <c r="G342" t="s">
        <v>14</v>
      </c>
      <c r="H342" t="s">
        <v>103</v>
      </c>
      <c r="I342">
        <v>35347</v>
      </c>
      <c r="J342">
        <v>43955</v>
      </c>
    </row>
    <row r="343" spans="1:10" x14ac:dyDescent="0.3">
      <c r="A343" t="s">
        <v>470</v>
      </c>
      <c r="B343" s="1">
        <v>45845</v>
      </c>
      <c r="C343" t="s">
        <v>11</v>
      </c>
      <c r="D343">
        <v>28</v>
      </c>
      <c r="E343" t="s">
        <v>33</v>
      </c>
      <c r="F343" t="s">
        <v>140</v>
      </c>
      <c r="G343" t="s">
        <v>40</v>
      </c>
      <c r="H343" t="s">
        <v>111</v>
      </c>
      <c r="I343">
        <v>38909</v>
      </c>
      <c r="J343">
        <v>34559</v>
      </c>
    </row>
    <row r="344" spans="1:10" x14ac:dyDescent="0.3">
      <c r="A344" t="s">
        <v>471</v>
      </c>
      <c r="B344" s="1">
        <v>45988</v>
      </c>
      <c r="C344" t="s">
        <v>23</v>
      </c>
      <c r="D344">
        <v>48</v>
      </c>
      <c r="E344" t="s">
        <v>70</v>
      </c>
      <c r="F344" t="s">
        <v>78</v>
      </c>
      <c r="G344" t="s">
        <v>128</v>
      </c>
      <c r="H344" t="s">
        <v>165</v>
      </c>
      <c r="I344">
        <v>30276</v>
      </c>
      <c r="J344">
        <v>33087</v>
      </c>
    </row>
    <row r="345" spans="1:10" x14ac:dyDescent="0.3">
      <c r="A345" t="s">
        <v>472</v>
      </c>
      <c r="B345" s="1">
        <v>45680</v>
      </c>
      <c r="C345" t="s">
        <v>17</v>
      </c>
      <c r="D345">
        <v>4</v>
      </c>
      <c r="E345" t="s">
        <v>33</v>
      </c>
      <c r="F345" t="s">
        <v>87</v>
      </c>
      <c r="G345" t="s">
        <v>63</v>
      </c>
      <c r="H345" t="s">
        <v>123</v>
      </c>
      <c r="I345">
        <v>27651</v>
      </c>
      <c r="J345">
        <v>28701</v>
      </c>
    </row>
    <row r="346" spans="1:10" x14ac:dyDescent="0.3">
      <c r="A346" t="s">
        <v>473</v>
      </c>
      <c r="B346" s="1">
        <v>45732</v>
      </c>
      <c r="C346" t="s">
        <v>95</v>
      </c>
      <c r="D346">
        <v>11</v>
      </c>
      <c r="E346" t="s">
        <v>33</v>
      </c>
      <c r="F346" t="s">
        <v>193</v>
      </c>
      <c r="G346" t="s">
        <v>182</v>
      </c>
      <c r="H346" t="s">
        <v>64</v>
      </c>
      <c r="I346">
        <v>20640</v>
      </c>
      <c r="J346">
        <v>24599</v>
      </c>
    </row>
    <row r="347" spans="1:10" x14ac:dyDescent="0.3">
      <c r="A347" t="s">
        <v>474</v>
      </c>
      <c r="B347" s="1">
        <v>45978</v>
      </c>
      <c r="C347" t="s">
        <v>23</v>
      </c>
      <c r="D347">
        <v>47</v>
      </c>
      <c r="E347" t="s">
        <v>12</v>
      </c>
      <c r="F347" t="s">
        <v>114</v>
      </c>
      <c r="G347" t="s">
        <v>253</v>
      </c>
      <c r="H347" t="s">
        <v>68</v>
      </c>
      <c r="I347">
        <v>35467</v>
      </c>
      <c r="J347">
        <v>39402</v>
      </c>
    </row>
    <row r="348" spans="1:10" x14ac:dyDescent="0.3">
      <c r="A348" t="s">
        <v>475</v>
      </c>
      <c r="B348" s="1">
        <v>45754</v>
      </c>
      <c r="C348" t="s">
        <v>86</v>
      </c>
      <c r="D348">
        <v>15</v>
      </c>
      <c r="E348" t="s">
        <v>70</v>
      </c>
      <c r="F348" t="s">
        <v>43</v>
      </c>
      <c r="G348" t="s">
        <v>110</v>
      </c>
      <c r="H348" t="s">
        <v>41</v>
      </c>
      <c r="I348">
        <v>18149</v>
      </c>
      <c r="J348">
        <v>14146</v>
      </c>
    </row>
    <row r="349" spans="1:10" x14ac:dyDescent="0.3">
      <c r="A349" t="s">
        <v>476</v>
      </c>
      <c r="B349" s="1">
        <v>45764</v>
      </c>
      <c r="C349" t="s">
        <v>86</v>
      </c>
      <c r="D349">
        <v>16</v>
      </c>
      <c r="E349" t="s">
        <v>39</v>
      </c>
      <c r="F349" t="s">
        <v>50</v>
      </c>
      <c r="G349" t="s">
        <v>191</v>
      </c>
      <c r="H349" t="s">
        <v>103</v>
      </c>
      <c r="I349">
        <v>15279</v>
      </c>
      <c r="J349">
        <v>19452</v>
      </c>
    </row>
    <row r="350" spans="1:10" x14ac:dyDescent="0.3">
      <c r="A350" t="s">
        <v>477</v>
      </c>
      <c r="B350" s="1">
        <v>45976</v>
      </c>
      <c r="C350" t="s">
        <v>23</v>
      </c>
      <c r="D350">
        <v>46</v>
      </c>
      <c r="E350" t="s">
        <v>12</v>
      </c>
      <c r="F350" t="s">
        <v>13</v>
      </c>
      <c r="G350" t="s">
        <v>141</v>
      </c>
      <c r="H350" t="s">
        <v>96</v>
      </c>
      <c r="I350">
        <v>39970</v>
      </c>
      <c r="J350">
        <v>46362</v>
      </c>
    </row>
    <row r="351" spans="1:10" x14ac:dyDescent="0.3">
      <c r="A351" t="s">
        <v>478</v>
      </c>
      <c r="B351" s="1">
        <v>45774</v>
      </c>
      <c r="C351" t="s">
        <v>86</v>
      </c>
      <c r="D351">
        <v>17</v>
      </c>
      <c r="E351" t="s">
        <v>39</v>
      </c>
      <c r="F351" t="s">
        <v>122</v>
      </c>
      <c r="G351" t="s">
        <v>234</v>
      </c>
      <c r="H351" t="s">
        <v>48</v>
      </c>
      <c r="I351">
        <v>21014</v>
      </c>
      <c r="J351">
        <v>16948</v>
      </c>
    </row>
    <row r="352" spans="1:10" x14ac:dyDescent="0.3">
      <c r="A352" t="s">
        <v>479</v>
      </c>
      <c r="B352" s="1">
        <v>45839</v>
      </c>
      <c r="C352" t="s">
        <v>11</v>
      </c>
      <c r="D352">
        <v>27</v>
      </c>
      <c r="E352" t="s">
        <v>39</v>
      </c>
      <c r="F352" t="s">
        <v>57</v>
      </c>
      <c r="G352" t="s">
        <v>191</v>
      </c>
      <c r="H352" t="s">
        <v>188</v>
      </c>
      <c r="I352">
        <v>37885</v>
      </c>
      <c r="J352">
        <v>48501</v>
      </c>
    </row>
    <row r="353" spans="1:10" x14ac:dyDescent="0.3">
      <c r="A353" t="s">
        <v>480</v>
      </c>
      <c r="B353" s="1">
        <v>45831</v>
      </c>
      <c r="C353" t="s">
        <v>74</v>
      </c>
      <c r="D353">
        <v>26</v>
      </c>
      <c r="E353" t="s">
        <v>39</v>
      </c>
      <c r="F353" t="s">
        <v>29</v>
      </c>
      <c r="G353" t="s">
        <v>26</v>
      </c>
      <c r="H353" t="s">
        <v>163</v>
      </c>
      <c r="I353">
        <v>27707</v>
      </c>
      <c r="J353">
        <v>28947</v>
      </c>
    </row>
    <row r="354" spans="1:10" x14ac:dyDescent="0.3">
      <c r="A354" t="s">
        <v>481</v>
      </c>
      <c r="B354" s="1">
        <v>45666</v>
      </c>
      <c r="C354" t="s">
        <v>17</v>
      </c>
      <c r="D354">
        <v>2</v>
      </c>
      <c r="E354" t="s">
        <v>18</v>
      </c>
      <c r="F354" t="s">
        <v>114</v>
      </c>
      <c r="G354" t="s">
        <v>40</v>
      </c>
      <c r="H354" t="s">
        <v>59</v>
      </c>
      <c r="I354">
        <v>16523</v>
      </c>
      <c r="J354">
        <v>20922</v>
      </c>
    </row>
    <row r="355" spans="1:10" x14ac:dyDescent="0.3">
      <c r="A355" t="s">
        <v>482</v>
      </c>
      <c r="B355" s="1">
        <v>45779</v>
      </c>
      <c r="C355" t="s">
        <v>90</v>
      </c>
      <c r="D355">
        <v>18</v>
      </c>
      <c r="E355" t="s">
        <v>24</v>
      </c>
      <c r="F355" t="s">
        <v>29</v>
      </c>
      <c r="G355" t="s">
        <v>79</v>
      </c>
      <c r="H355" t="s">
        <v>80</v>
      </c>
      <c r="I355">
        <v>28709</v>
      </c>
      <c r="J355">
        <v>36174</v>
      </c>
    </row>
    <row r="356" spans="1:10" x14ac:dyDescent="0.3">
      <c r="A356" t="s">
        <v>483</v>
      </c>
      <c r="B356" s="1">
        <v>45744</v>
      </c>
      <c r="C356" t="s">
        <v>95</v>
      </c>
      <c r="D356">
        <v>13</v>
      </c>
      <c r="E356" t="s">
        <v>24</v>
      </c>
      <c r="F356" t="s">
        <v>114</v>
      </c>
      <c r="G356" t="s">
        <v>47</v>
      </c>
      <c r="H356" t="s">
        <v>41</v>
      </c>
      <c r="I356">
        <v>29182</v>
      </c>
      <c r="J356">
        <v>24004</v>
      </c>
    </row>
    <row r="357" spans="1:10" x14ac:dyDescent="0.3">
      <c r="A357" t="s">
        <v>484</v>
      </c>
      <c r="B357" s="1">
        <v>45995</v>
      </c>
      <c r="C357" t="s">
        <v>100</v>
      </c>
      <c r="D357">
        <v>49</v>
      </c>
      <c r="E357" t="s">
        <v>18</v>
      </c>
      <c r="F357" t="s">
        <v>34</v>
      </c>
      <c r="G357" t="s">
        <v>44</v>
      </c>
      <c r="H357" t="s">
        <v>15</v>
      </c>
      <c r="I357">
        <v>27151</v>
      </c>
      <c r="J357">
        <v>25051</v>
      </c>
    </row>
    <row r="358" spans="1:10" x14ac:dyDescent="0.3">
      <c r="A358" t="s">
        <v>485</v>
      </c>
      <c r="B358" s="1">
        <v>45961</v>
      </c>
      <c r="C358" t="s">
        <v>66</v>
      </c>
      <c r="D358">
        <v>44</v>
      </c>
      <c r="E358" t="s">
        <v>12</v>
      </c>
      <c r="F358" t="s">
        <v>13</v>
      </c>
      <c r="G358" t="s">
        <v>76</v>
      </c>
      <c r="H358" t="s">
        <v>155</v>
      </c>
      <c r="I358">
        <v>19191</v>
      </c>
      <c r="J358">
        <v>22070</v>
      </c>
    </row>
    <row r="359" spans="1:10" x14ac:dyDescent="0.3">
      <c r="A359" t="s">
        <v>486</v>
      </c>
      <c r="B359" s="1">
        <v>45869</v>
      </c>
      <c r="C359" t="s">
        <v>11</v>
      </c>
      <c r="D359">
        <v>31</v>
      </c>
      <c r="E359" t="s">
        <v>39</v>
      </c>
      <c r="F359" t="s">
        <v>109</v>
      </c>
      <c r="G359" t="s">
        <v>266</v>
      </c>
      <c r="H359" t="s">
        <v>84</v>
      </c>
      <c r="I359">
        <v>39025</v>
      </c>
      <c r="J359">
        <v>46567</v>
      </c>
    </row>
    <row r="360" spans="1:10" x14ac:dyDescent="0.3">
      <c r="A360" t="s">
        <v>487</v>
      </c>
      <c r="B360" s="1">
        <v>45717</v>
      </c>
      <c r="C360" t="s">
        <v>95</v>
      </c>
      <c r="D360">
        <v>9</v>
      </c>
      <c r="E360" t="s">
        <v>33</v>
      </c>
      <c r="F360" t="s">
        <v>13</v>
      </c>
      <c r="G360" t="s">
        <v>160</v>
      </c>
      <c r="H360" t="s">
        <v>80</v>
      </c>
      <c r="I360">
        <v>36661</v>
      </c>
      <c r="J360">
        <v>38888</v>
      </c>
    </row>
    <row r="361" spans="1:10" x14ac:dyDescent="0.3">
      <c r="A361" t="s">
        <v>488</v>
      </c>
      <c r="B361" s="1">
        <v>45908</v>
      </c>
      <c r="C361" t="s">
        <v>38</v>
      </c>
      <c r="D361">
        <v>37</v>
      </c>
      <c r="E361" t="s">
        <v>61</v>
      </c>
      <c r="F361" t="s">
        <v>75</v>
      </c>
      <c r="G361" t="s">
        <v>230</v>
      </c>
      <c r="H361" t="s">
        <v>165</v>
      </c>
      <c r="I361">
        <v>37113</v>
      </c>
      <c r="J361">
        <v>26148</v>
      </c>
    </row>
    <row r="362" spans="1:10" x14ac:dyDescent="0.3">
      <c r="A362" t="s">
        <v>489</v>
      </c>
      <c r="B362" s="1">
        <v>45803</v>
      </c>
      <c r="C362" t="s">
        <v>90</v>
      </c>
      <c r="D362">
        <v>22</v>
      </c>
      <c r="E362" t="s">
        <v>24</v>
      </c>
      <c r="F362" t="s">
        <v>34</v>
      </c>
      <c r="G362" t="s">
        <v>201</v>
      </c>
      <c r="H362" t="s">
        <v>151</v>
      </c>
      <c r="I362">
        <v>28389</v>
      </c>
      <c r="J362">
        <v>31562</v>
      </c>
    </row>
    <row r="363" spans="1:10" x14ac:dyDescent="0.3">
      <c r="A363" t="s">
        <v>490</v>
      </c>
      <c r="B363" s="1">
        <v>46000</v>
      </c>
      <c r="C363" t="s">
        <v>100</v>
      </c>
      <c r="D363">
        <v>50</v>
      </c>
      <c r="E363" t="s">
        <v>24</v>
      </c>
      <c r="F363" t="s">
        <v>57</v>
      </c>
      <c r="G363" t="s">
        <v>83</v>
      </c>
      <c r="H363" t="s">
        <v>48</v>
      </c>
      <c r="I363">
        <v>39442</v>
      </c>
      <c r="J363">
        <v>34481</v>
      </c>
    </row>
    <row r="364" spans="1:10" x14ac:dyDescent="0.3">
      <c r="A364" t="s">
        <v>491</v>
      </c>
      <c r="B364" s="1">
        <v>45703</v>
      </c>
      <c r="C364" t="s">
        <v>82</v>
      </c>
      <c r="D364">
        <v>7</v>
      </c>
      <c r="E364" t="s">
        <v>61</v>
      </c>
      <c r="F364" t="s">
        <v>50</v>
      </c>
      <c r="G364" t="s">
        <v>324</v>
      </c>
      <c r="H364" t="s">
        <v>52</v>
      </c>
      <c r="I364">
        <v>23732</v>
      </c>
      <c r="J364">
        <v>28278</v>
      </c>
    </row>
    <row r="365" spans="1:10" x14ac:dyDescent="0.3">
      <c r="A365" t="s">
        <v>492</v>
      </c>
      <c r="B365" s="1">
        <v>45678</v>
      </c>
      <c r="C365" t="s">
        <v>17</v>
      </c>
      <c r="D365">
        <v>4</v>
      </c>
      <c r="E365" t="s">
        <v>18</v>
      </c>
      <c r="F365" t="s">
        <v>50</v>
      </c>
      <c r="G365" t="s">
        <v>76</v>
      </c>
      <c r="H365" t="s">
        <v>111</v>
      </c>
      <c r="I365">
        <v>33481</v>
      </c>
      <c r="J365">
        <v>24954</v>
      </c>
    </row>
    <row r="366" spans="1:10" x14ac:dyDescent="0.3">
      <c r="A366" t="s">
        <v>493</v>
      </c>
      <c r="B366" s="1">
        <v>45860</v>
      </c>
      <c r="C366" t="s">
        <v>11</v>
      </c>
      <c r="D366">
        <v>30</v>
      </c>
      <c r="E366" t="s">
        <v>39</v>
      </c>
      <c r="F366" t="s">
        <v>29</v>
      </c>
      <c r="G366" t="s">
        <v>230</v>
      </c>
      <c r="H366" t="s">
        <v>98</v>
      </c>
      <c r="I366">
        <v>20913</v>
      </c>
      <c r="J366">
        <v>26523</v>
      </c>
    </row>
    <row r="367" spans="1:10" x14ac:dyDescent="0.3">
      <c r="A367" t="s">
        <v>494</v>
      </c>
      <c r="B367" s="1">
        <v>45955</v>
      </c>
      <c r="C367" t="s">
        <v>66</v>
      </c>
      <c r="D367">
        <v>43</v>
      </c>
      <c r="E367" t="s">
        <v>39</v>
      </c>
      <c r="F367" t="s">
        <v>19</v>
      </c>
      <c r="G367" t="s">
        <v>230</v>
      </c>
      <c r="H367" t="s">
        <v>163</v>
      </c>
      <c r="I367">
        <v>39807</v>
      </c>
      <c r="J367">
        <v>49509</v>
      </c>
    </row>
    <row r="368" spans="1:10" x14ac:dyDescent="0.3">
      <c r="A368" t="s">
        <v>495</v>
      </c>
      <c r="B368" s="1">
        <v>45960</v>
      </c>
      <c r="C368" t="s">
        <v>66</v>
      </c>
      <c r="D368">
        <v>44</v>
      </c>
      <c r="E368" t="s">
        <v>33</v>
      </c>
      <c r="F368" t="s">
        <v>78</v>
      </c>
      <c r="G368" t="s">
        <v>126</v>
      </c>
      <c r="H368" t="s">
        <v>41</v>
      </c>
      <c r="I368">
        <v>16053</v>
      </c>
      <c r="J368">
        <v>14489</v>
      </c>
    </row>
    <row r="369" spans="1:10" x14ac:dyDescent="0.3">
      <c r="A369" t="s">
        <v>496</v>
      </c>
      <c r="B369" s="1">
        <v>45984</v>
      </c>
      <c r="C369" t="s">
        <v>23</v>
      </c>
      <c r="D369">
        <v>47</v>
      </c>
      <c r="E369" t="s">
        <v>61</v>
      </c>
      <c r="F369" t="s">
        <v>25</v>
      </c>
      <c r="G369" t="s">
        <v>240</v>
      </c>
      <c r="H369" t="s">
        <v>21</v>
      </c>
      <c r="I369">
        <v>26328</v>
      </c>
      <c r="J369">
        <v>18679</v>
      </c>
    </row>
    <row r="370" spans="1:10" x14ac:dyDescent="0.3">
      <c r="A370" t="s">
        <v>497</v>
      </c>
      <c r="B370" s="1">
        <v>45786</v>
      </c>
      <c r="C370" t="s">
        <v>90</v>
      </c>
      <c r="D370">
        <v>19</v>
      </c>
      <c r="E370" t="s">
        <v>18</v>
      </c>
      <c r="F370" t="s">
        <v>92</v>
      </c>
      <c r="G370" t="s">
        <v>30</v>
      </c>
      <c r="H370" t="s">
        <v>103</v>
      </c>
      <c r="I370">
        <v>32814</v>
      </c>
      <c r="J370">
        <v>28784</v>
      </c>
    </row>
    <row r="371" spans="1:10" x14ac:dyDescent="0.3">
      <c r="A371" t="s">
        <v>498</v>
      </c>
      <c r="B371" s="1">
        <v>45832</v>
      </c>
      <c r="C371" t="s">
        <v>74</v>
      </c>
      <c r="D371">
        <v>26</v>
      </c>
      <c r="E371" t="s">
        <v>24</v>
      </c>
      <c r="F371" t="s">
        <v>25</v>
      </c>
      <c r="G371" t="s">
        <v>14</v>
      </c>
      <c r="H371" t="s">
        <v>243</v>
      </c>
      <c r="I371">
        <v>30699</v>
      </c>
      <c r="J371">
        <v>22844</v>
      </c>
    </row>
    <row r="372" spans="1:10" x14ac:dyDescent="0.3">
      <c r="A372" t="s">
        <v>499</v>
      </c>
      <c r="B372" s="1">
        <v>46005</v>
      </c>
      <c r="C372" t="s">
        <v>100</v>
      </c>
      <c r="D372">
        <v>50</v>
      </c>
      <c r="E372" t="s">
        <v>18</v>
      </c>
      <c r="F372" t="s">
        <v>25</v>
      </c>
      <c r="G372" t="s">
        <v>58</v>
      </c>
      <c r="H372" t="s">
        <v>96</v>
      </c>
      <c r="I372">
        <v>33617</v>
      </c>
      <c r="J372">
        <v>30090</v>
      </c>
    </row>
    <row r="373" spans="1:10" x14ac:dyDescent="0.3">
      <c r="A373" t="s">
        <v>500</v>
      </c>
      <c r="B373" s="1">
        <v>46007</v>
      </c>
      <c r="C373" t="s">
        <v>100</v>
      </c>
      <c r="D373">
        <v>51</v>
      </c>
      <c r="E373" t="s">
        <v>24</v>
      </c>
      <c r="F373" t="s">
        <v>25</v>
      </c>
      <c r="G373" t="s">
        <v>240</v>
      </c>
      <c r="H373" t="s">
        <v>211</v>
      </c>
      <c r="I373">
        <v>31835</v>
      </c>
      <c r="J373">
        <v>24504</v>
      </c>
    </row>
    <row r="374" spans="1:10" x14ac:dyDescent="0.3">
      <c r="A374" t="s">
        <v>501</v>
      </c>
      <c r="B374" s="1">
        <v>46022</v>
      </c>
      <c r="C374" t="s">
        <v>100</v>
      </c>
      <c r="D374">
        <v>1</v>
      </c>
      <c r="E374" t="s">
        <v>12</v>
      </c>
      <c r="F374" t="s">
        <v>114</v>
      </c>
      <c r="G374" t="s">
        <v>182</v>
      </c>
      <c r="H374" t="s">
        <v>59</v>
      </c>
      <c r="I374">
        <v>15448</v>
      </c>
      <c r="J374">
        <v>19728</v>
      </c>
    </row>
    <row r="375" spans="1:10" x14ac:dyDescent="0.3">
      <c r="A375" t="s">
        <v>502</v>
      </c>
      <c r="B375" s="1">
        <v>45784</v>
      </c>
      <c r="C375" t="s">
        <v>90</v>
      </c>
      <c r="D375">
        <v>19</v>
      </c>
      <c r="E375" t="s">
        <v>24</v>
      </c>
      <c r="F375" t="s">
        <v>193</v>
      </c>
      <c r="G375" t="s">
        <v>35</v>
      </c>
      <c r="H375" t="s">
        <v>59</v>
      </c>
      <c r="I375">
        <v>22976</v>
      </c>
      <c r="J375">
        <v>26976</v>
      </c>
    </row>
    <row r="376" spans="1:10" x14ac:dyDescent="0.3">
      <c r="A376" t="s">
        <v>503</v>
      </c>
      <c r="B376" s="1">
        <v>45762</v>
      </c>
      <c r="C376" t="s">
        <v>86</v>
      </c>
      <c r="D376">
        <v>16</v>
      </c>
      <c r="E376" t="s">
        <v>70</v>
      </c>
      <c r="F376" t="s">
        <v>92</v>
      </c>
      <c r="G376" t="s">
        <v>291</v>
      </c>
      <c r="H376" t="s">
        <v>188</v>
      </c>
      <c r="I376">
        <v>18565</v>
      </c>
      <c r="J376">
        <v>23603</v>
      </c>
    </row>
    <row r="377" spans="1:10" x14ac:dyDescent="0.3">
      <c r="A377" t="s">
        <v>504</v>
      </c>
      <c r="B377" s="1">
        <v>46018</v>
      </c>
      <c r="C377" t="s">
        <v>100</v>
      </c>
      <c r="D377">
        <v>52</v>
      </c>
      <c r="E377" t="s">
        <v>24</v>
      </c>
      <c r="F377" t="s">
        <v>57</v>
      </c>
      <c r="G377" t="s">
        <v>83</v>
      </c>
      <c r="H377" t="s">
        <v>15</v>
      </c>
      <c r="I377">
        <v>34966</v>
      </c>
      <c r="J377">
        <v>40486</v>
      </c>
    </row>
    <row r="378" spans="1:10" x14ac:dyDescent="0.3">
      <c r="A378" t="s">
        <v>505</v>
      </c>
      <c r="B378" s="1">
        <v>45857</v>
      </c>
      <c r="C378" t="s">
        <v>11</v>
      </c>
      <c r="D378">
        <v>29</v>
      </c>
      <c r="E378" t="s">
        <v>12</v>
      </c>
      <c r="F378" t="s">
        <v>109</v>
      </c>
      <c r="G378" t="s">
        <v>206</v>
      </c>
      <c r="H378" t="s">
        <v>84</v>
      </c>
      <c r="I378">
        <v>20150</v>
      </c>
      <c r="J378">
        <v>18278</v>
      </c>
    </row>
    <row r="379" spans="1:10" x14ac:dyDescent="0.3">
      <c r="A379" t="s">
        <v>506</v>
      </c>
      <c r="B379" s="1">
        <v>45682</v>
      </c>
      <c r="C379" t="s">
        <v>17</v>
      </c>
      <c r="D379">
        <v>4</v>
      </c>
      <c r="E379" t="s">
        <v>24</v>
      </c>
      <c r="F379" t="s">
        <v>140</v>
      </c>
      <c r="G379" t="s">
        <v>199</v>
      </c>
      <c r="H379" t="s">
        <v>96</v>
      </c>
      <c r="I379">
        <v>23727</v>
      </c>
      <c r="J379">
        <v>17790</v>
      </c>
    </row>
    <row r="380" spans="1:10" x14ac:dyDescent="0.3">
      <c r="A380" t="s">
        <v>507</v>
      </c>
      <c r="B380" s="1">
        <v>45857</v>
      </c>
      <c r="C380" t="s">
        <v>11</v>
      </c>
      <c r="D380">
        <v>29</v>
      </c>
      <c r="E380" t="s">
        <v>12</v>
      </c>
      <c r="F380" t="s">
        <v>92</v>
      </c>
      <c r="G380" t="s">
        <v>234</v>
      </c>
      <c r="H380" t="s">
        <v>243</v>
      </c>
      <c r="I380">
        <v>15494</v>
      </c>
      <c r="J380">
        <v>13973</v>
      </c>
    </row>
    <row r="381" spans="1:10" x14ac:dyDescent="0.3">
      <c r="A381" t="s">
        <v>508</v>
      </c>
      <c r="B381" s="1">
        <v>45866</v>
      </c>
      <c r="C381" t="s">
        <v>11</v>
      </c>
      <c r="D381">
        <v>31</v>
      </c>
      <c r="E381" t="s">
        <v>39</v>
      </c>
      <c r="F381" t="s">
        <v>19</v>
      </c>
      <c r="G381" t="s">
        <v>149</v>
      </c>
      <c r="H381" t="s">
        <v>98</v>
      </c>
      <c r="I381">
        <v>25473</v>
      </c>
      <c r="J381">
        <v>26447</v>
      </c>
    </row>
    <row r="382" spans="1:10" x14ac:dyDescent="0.3">
      <c r="A382" t="s">
        <v>509</v>
      </c>
      <c r="B382" s="1">
        <v>45722</v>
      </c>
      <c r="C382" t="s">
        <v>95</v>
      </c>
      <c r="D382">
        <v>10</v>
      </c>
      <c r="E382" t="s">
        <v>18</v>
      </c>
      <c r="F382" t="s">
        <v>78</v>
      </c>
      <c r="G382" t="s">
        <v>76</v>
      </c>
      <c r="H382" t="s">
        <v>31</v>
      </c>
      <c r="I382">
        <v>29864</v>
      </c>
      <c r="J382">
        <v>20944</v>
      </c>
    </row>
    <row r="383" spans="1:10" x14ac:dyDescent="0.3">
      <c r="A383" t="s">
        <v>510</v>
      </c>
      <c r="B383" s="1">
        <v>45775</v>
      </c>
      <c r="C383" t="s">
        <v>86</v>
      </c>
      <c r="D383">
        <v>18</v>
      </c>
      <c r="E383" t="s">
        <v>18</v>
      </c>
      <c r="F383" t="s">
        <v>25</v>
      </c>
      <c r="G383" t="s">
        <v>132</v>
      </c>
      <c r="H383" t="s">
        <v>188</v>
      </c>
      <c r="I383">
        <v>34515</v>
      </c>
      <c r="J383">
        <v>28596</v>
      </c>
    </row>
    <row r="384" spans="1:10" x14ac:dyDescent="0.3">
      <c r="A384" t="s">
        <v>511</v>
      </c>
      <c r="B384" s="1">
        <v>45912</v>
      </c>
      <c r="C384" t="s">
        <v>38</v>
      </c>
      <c r="D384">
        <v>37</v>
      </c>
      <c r="E384" t="s">
        <v>24</v>
      </c>
      <c r="F384" t="s">
        <v>122</v>
      </c>
      <c r="G384" t="s">
        <v>253</v>
      </c>
      <c r="H384" t="s">
        <v>165</v>
      </c>
      <c r="I384">
        <v>29816</v>
      </c>
      <c r="J384">
        <v>20901</v>
      </c>
    </row>
    <row r="385" spans="1:10" x14ac:dyDescent="0.3">
      <c r="A385" t="s">
        <v>512</v>
      </c>
      <c r="B385" s="1">
        <v>46016</v>
      </c>
      <c r="C385" t="s">
        <v>100</v>
      </c>
      <c r="D385">
        <v>52</v>
      </c>
      <c r="E385" t="s">
        <v>12</v>
      </c>
      <c r="F385" t="s">
        <v>87</v>
      </c>
      <c r="G385" t="s">
        <v>107</v>
      </c>
      <c r="H385" t="s">
        <v>188</v>
      </c>
      <c r="I385">
        <v>30689</v>
      </c>
      <c r="J385">
        <v>39810</v>
      </c>
    </row>
    <row r="386" spans="1:10" x14ac:dyDescent="0.3">
      <c r="A386" t="s">
        <v>513</v>
      </c>
      <c r="B386" s="1">
        <v>46003</v>
      </c>
      <c r="C386" t="s">
        <v>100</v>
      </c>
      <c r="D386">
        <v>50</v>
      </c>
      <c r="E386" t="s">
        <v>39</v>
      </c>
      <c r="F386" t="s">
        <v>19</v>
      </c>
      <c r="G386" t="s">
        <v>126</v>
      </c>
      <c r="H386" t="s">
        <v>188</v>
      </c>
      <c r="I386">
        <v>37331</v>
      </c>
      <c r="J386">
        <v>48156</v>
      </c>
    </row>
    <row r="387" spans="1:10" x14ac:dyDescent="0.3">
      <c r="A387" t="s">
        <v>514</v>
      </c>
      <c r="B387" s="1">
        <v>45782</v>
      </c>
      <c r="C387" t="s">
        <v>90</v>
      </c>
      <c r="D387">
        <v>19</v>
      </c>
      <c r="E387" t="s">
        <v>24</v>
      </c>
      <c r="F387" t="s">
        <v>75</v>
      </c>
      <c r="G387" t="s">
        <v>107</v>
      </c>
      <c r="H387" t="s">
        <v>163</v>
      </c>
      <c r="I387">
        <v>20543</v>
      </c>
      <c r="J387">
        <v>23383</v>
      </c>
    </row>
    <row r="388" spans="1:10" x14ac:dyDescent="0.3">
      <c r="A388" t="s">
        <v>515</v>
      </c>
      <c r="B388" s="1">
        <v>45741</v>
      </c>
      <c r="C388" t="s">
        <v>95</v>
      </c>
      <c r="D388">
        <v>13</v>
      </c>
      <c r="E388" t="s">
        <v>39</v>
      </c>
      <c r="F388" t="s">
        <v>122</v>
      </c>
      <c r="G388" t="s">
        <v>110</v>
      </c>
      <c r="H388" t="s">
        <v>84</v>
      </c>
      <c r="I388">
        <v>27243</v>
      </c>
      <c r="J388">
        <v>29673</v>
      </c>
    </row>
    <row r="389" spans="1:10" x14ac:dyDescent="0.3">
      <c r="A389" t="s">
        <v>516</v>
      </c>
      <c r="B389" s="1">
        <v>45696</v>
      </c>
      <c r="C389" t="s">
        <v>82</v>
      </c>
      <c r="D389">
        <v>6</v>
      </c>
      <c r="E389" t="s">
        <v>70</v>
      </c>
      <c r="F389" t="s">
        <v>34</v>
      </c>
      <c r="G389" t="s">
        <v>191</v>
      </c>
      <c r="H389" t="s">
        <v>59</v>
      </c>
      <c r="I389">
        <v>23552</v>
      </c>
      <c r="J389">
        <v>29972</v>
      </c>
    </row>
    <row r="390" spans="1:10" x14ac:dyDescent="0.3">
      <c r="A390" t="s">
        <v>517</v>
      </c>
      <c r="B390" s="1">
        <v>45907</v>
      </c>
      <c r="C390" t="s">
        <v>38</v>
      </c>
      <c r="D390">
        <v>36</v>
      </c>
      <c r="E390" t="s">
        <v>33</v>
      </c>
      <c r="F390" t="s">
        <v>122</v>
      </c>
      <c r="G390" t="s">
        <v>63</v>
      </c>
      <c r="H390" t="s">
        <v>103</v>
      </c>
      <c r="I390">
        <v>39935</v>
      </c>
      <c r="J390">
        <v>45693</v>
      </c>
    </row>
    <row r="391" spans="1:10" x14ac:dyDescent="0.3">
      <c r="A391" t="s">
        <v>518</v>
      </c>
      <c r="B391" s="1">
        <v>45847</v>
      </c>
      <c r="C391" t="s">
        <v>11</v>
      </c>
      <c r="D391">
        <v>28</v>
      </c>
      <c r="E391" t="s">
        <v>18</v>
      </c>
      <c r="F391" t="s">
        <v>29</v>
      </c>
      <c r="G391" t="s">
        <v>126</v>
      </c>
      <c r="H391" t="s">
        <v>165</v>
      </c>
      <c r="I391">
        <v>37584</v>
      </c>
      <c r="J391">
        <v>28366</v>
      </c>
    </row>
    <row r="392" spans="1:10" x14ac:dyDescent="0.3">
      <c r="A392" t="s">
        <v>519</v>
      </c>
      <c r="B392" s="1">
        <v>45679</v>
      </c>
      <c r="C392" t="s">
        <v>17</v>
      </c>
      <c r="D392">
        <v>4</v>
      </c>
      <c r="E392" t="s">
        <v>18</v>
      </c>
      <c r="F392" t="s">
        <v>75</v>
      </c>
      <c r="G392" t="s">
        <v>35</v>
      </c>
      <c r="H392" t="s">
        <v>119</v>
      </c>
      <c r="I392">
        <v>17530</v>
      </c>
      <c r="J392">
        <v>22542</v>
      </c>
    </row>
    <row r="393" spans="1:10" x14ac:dyDescent="0.3">
      <c r="A393" t="s">
        <v>520</v>
      </c>
      <c r="B393" s="1">
        <v>45787</v>
      </c>
      <c r="C393" t="s">
        <v>90</v>
      </c>
      <c r="D393">
        <v>19</v>
      </c>
      <c r="E393" t="s">
        <v>24</v>
      </c>
      <c r="F393" t="s">
        <v>29</v>
      </c>
      <c r="G393" t="s">
        <v>291</v>
      </c>
      <c r="H393" t="s">
        <v>80</v>
      </c>
      <c r="I393">
        <v>38795</v>
      </c>
      <c r="J393">
        <v>29465</v>
      </c>
    </row>
    <row r="394" spans="1:10" x14ac:dyDescent="0.3">
      <c r="A394" t="s">
        <v>521</v>
      </c>
      <c r="B394" s="1">
        <v>45759</v>
      </c>
      <c r="C394" t="s">
        <v>86</v>
      </c>
      <c r="D394">
        <v>15</v>
      </c>
      <c r="E394" t="s">
        <v>18</v>
      </c>
      <c r="F394" t="s">
        <v>114</v>
      </c>
      <c r="G394" t="s">
        <v>141</v>
      </c>
      <c r="H394" t="s">
        <v>211</v>
      </c>
      <c r="I394">
        <v>38093</v>
      </c>
      <c r="J394">
        <v>28898</v>
      </c>
    </row>
    <row r="395" spans="1:10" x14ac:dyDescent="0.3">
      <c r="A395" t="s">
        <v>522</v>
      </c>
      <c r="B395" s="1">
        <v>45969</v>
      </c>
      <c r="C395" t="s">
        <v>23</v>
      </c>
      <c r="D395">
        <v>45</v>
      </c>
      <c r="E395" t="s">
        <v>24</v>
      </c>
      <c r="F395" t="s">
        <v>50</v>
      </c>
      <c r="G395" t="s">
        <v>147</v>
      </c>
      <c r="H395" t="s">
        <v>64</v>
      </c>
      <c r="I395">
        <v>18713</v>
      </c>
      <c r="J395">
        <v>13946</v>
      </c>
    </row>
    <row r="396" spans="1:10" x14ac:dyDescent="0.3">
      <c r="A396" t="s">
        <v>523</v>
      </c>
      <c r="B396" s="1">
        <v>45762</v>
      </c>
      <c r="C396" t="s">
        <v>86</v>
      </c>
      <c r="D396">
        <v>16</v>
      </c>
      <c r="E396" t="s">
        <v>12</v>
      </c>
      <c r="F396" t="s">
        <v>140</v>
      </c>
      <c r="G396" t="s">
        <v>14</v>
      </c>
      <c r="H396" t="s">
        <v>64</v>
      </c>
      <c r="I396">
        <v>38129</v>
      </c>
      <c r="J396">
        <v>41875</v>
      </c>
    </row>
    <row r="397" spans="1:10" x14ac:dyDescent="0.3">
      <c r="A397" t="s">
        <v>524</v>
      </c>
      <c r="B397" s="1">
        <v>45945</v>
      </c>
      <c r="C397" t="s">
        <v>66</v>
      </c>
      <c r="D397">
        <v>42</v>
      </c>
      <c r="E397" t="s">
        <v>61</v>
      </c>
      <c r="F397" t="s">
        <v>29</v>
      </c>
      <c r="G397" t="s">
        <v>126</v>
      </c>
      <c r="H397" t="s">
        <v>243</v>
      </c>
      <c r="I397">
        <v>23482</v>
      </c>
      <c r="J397">
        <v>30097</v>
      </c>
    </row>
    <row r="398" spans="1:10" x14ac:dyDescent="0.3">
      <c r="A398" t="s">
        <v>525</v>
      </c>
      <c r="B398" s="1">
        <v>45761</v>
      </c>
      <c r="C398" t="s">
        <v>86</v>
      </c>
      <c r="D398">
        <v>16</v>
      </c>
      <c r="E398" t="s">
        <v>39</v>
      </c>
      <c r="F398" t="s">
        <v>29</v>
      </c>
      <c r="G398" t="s">
        <v>107</v>
      </c>
      <c r="H398" t="s">
        <v>151</v>
      </c>
      <c r="I398">
        <v>37884</v>
      </c>
      <c r="J398">
        <v>32755</v>
      </c>
    </row>
    <row r="399" spans="1:10" x14ac:dyDescent="0.3">
      <c r="A399" t="s">
        <v>526</v>
      </c>
      <c r="B399" s="1">
        <v>45814</v>
      </c>
      <c r="C399" t="s">
        <v>74</v>
      </c>
      <c r="D399">
        <v>23</v>
      </c>
      <c r="E399" t="s">
        <v>61</v>
      </c>
      <c r="F399" t="s">
        <v>193</v>
      </c>
      <c r="G399" t="s">
        <v>118</v>
      </c>
      <c r="H399" t="s">
        <v>96</v>
      </c>
      <c r="I399">
        <v>15692</v>
      </c>
      <c r="J399">
        <v>13040</v>
      </c>
    </row>
    <row r="400" spans="1:10" x14ac:dyDescent="0.3">
      <c r="A400" t="s">
        <v>527</v>
      </c>
      <c r="B400" s="1">
        <v>46011</v>
      </c>
      <c r="C400" t="s">
        <v>100</v>
      </c>
      <c r="D400">
        <v>51</v>
      </c>
      <c r="E400" t="s">
        <v>12</v>
      </c>
      <c r="F400" t="s">
        <v>109</v>
      </c>
      <c r="G400" t="s">
        <v>160</v>
      </c>
      <c r="H400" t="s">
        <v>163</v>
      </c>
      <c r="I400">
        <v>39819</v>
      </c>
      <c r="J400">
        <v>39188</v>
      </c>
    </row>
    <row r="401" spans="1:10" x14ac:dyDescent="0.3">
      <c r="A401" t="s">
        <v>528</v>
      </c>
      <c r="B401" s="1">
        <v>45848</v>
      </c>
      <c r="C401" t="s">
        <v>11</v>
      </c>
      <c r="D401">
        <v>28</v>
      </c>
      <c r="E401" t="s">
        <v>18</v>
      </c>
      <c r="F401" t="s">
        <v>50</v>
      </c>
      <c r="G401" t="s">
        <v>253</v>
      </c>
      <c r="H401" t="s">
        <v>111</v>
      </c>
      <c r="I401">
        <v>37585</v>
      </c>
      <c r="J401">
        <v>44657</v>
      </c>
    </row>
    <row r="402" spans="1:10" x14ac:dyDescent="0.3">
      <c r="A402" t="s">
        <v>529</v>
      </c>
      <c r="B402" s="1">
        <v>45803</v>
      </c>
      <c r="C402" t="s">
        <v>90</v>
      </c>
      <c r="D402">
        <v>22</v>
      </c>
      <c r="E402" t="s">
        <v>61</v>
      </c>
      <c r="F402" t="s">
        <v>29</v>
      </c>
      <c r="G402" t="s">
        <v>14</v>
      </c>
      <c r="H402" t="s">
        <v>165</v>
      </c>
      <c r="I402">
        <v>39641</v>
      </c>
      <c r="J402">
        <v>35319</v>
      </c>
    </row>
    <row r="403" spans="1:10" x14ac:dyDescent="0.3">
      <c r="A403" t="s">
        <v>530</v>
      </c>
      <c r="B403" s="1">
        <v>45824</v>
      </c>
      <c r="C403" t="s">
        <v>74</v>
      </c>
      <c r="D403">
        <v>25</v>
      </c>
      <c r="E403" t="s">
        <v>61</v>
      </c>
      <c r="F403" t="s">
        <v>19</v>
      </c>
      <c r="G403" t="s">
        <v>54</v>
      </c>
      <c r="H403" t="s">
        <v>80</v>
      </c>
      <c r="I403">
        <v>35633</v>
      </c>
      <c r="J403">
        <v>43181</v>
      </c>
    </row>
    <row r="404" spans="1:10" x14ac:dyDescent="0.3">
      <c r="A404" t="s">
        <v>531</v>
      </c>
      <c r="B404" s="1">
        <v>45696</v>
      </c>
      <c r="C404" t="s">
        <v>82</v>
      </c>
      <c r="D404">
        <v>6</v>
      </c>
      <c r="E404" t="s">
        <v>18</v>
      </c>
      <c r="F404" t="s">
        <v>13</v>
      </c>
      <c r="G404" t="s">
        <v>147</v>
      </c>
      <c r="H404" t="s">
        <v>123</v>
      </c>
      <c r="I404">
        <v>35315</v>
      </c>
      <c r="J404">
        <v>31886</v>
      </c>
    </row>
    <row r="405" spans="1:10" x14ac:dyDescent="0.3">
      <c r="A405" t="s">
        <v>532</v>
      </c>
      <c r="B405" s="1">
        <v>45881</v>
      </c>
      <c r="C405" t="s">
        <v>113</v>
      </c>
      <c r="D405">
        <v>33</v>
      </c>
      <c r="E405" t="s">
        <v>12</v>
      </c>
      <c r="F405" t="s">
        <v>34</v>
      </c>
      <c r="G405" t="s">
        <v>234</v>
      </c>
      <c r="H405" t="s">
        <v>211</v>
      </c>
      <c r="I405">
        <v>38579</v>
      </c>
      <c r="J405">
        <v>36943</v>
      </c>
    </row>
    <row r="406" spans="1:10" x14ac:dyDescent="0.3">
      <c r="A406" t="s">
        <v>533</v>
      </c>
      <c r="B406" s="1">
        <v>45987</v>
      </c>
      <c r="C406" t="s">
        <v>23</v>
      </c>
      <c r="D406">
        <v>48</v>
      </c>
      <c r="E406" t="s">
        <v>39</v>
      </c>
      <c r="F406" t="s">
        <v>75</v>
      </c>
      <c r="G406" t="s">
        <v>20</v>
      </c>
      <c r="H406" t="s">
        <v>188</v>
      </c>
      <c r="I406">
        <v>18428</v>
      </c>
      <c r="J406">
        <v>21152</v>
      </c>
    </row>
    <row r="407" spans="1:10" x14ac:dyDescent="0.3">
      <c r="A407" t="s">
        <v>534</v>
      </c>
      <c r="B407" s="1">
        <v>45761</v>
      </c>
      <c r="C407" t="s">
        <v>86</v>
      </c>
      <c r="D407">
        <v>16</v>
      </c>
      <c r="E407" t="s">
        <v>24</v>
      </c>
      <c r="F407" t="s">
        <v>19</v>
      </c>
      <c r="G407" t="s">
        <v>253</v>
      </c>
      <c r="H407" t="s">
        <v>111</v>
      </c>
      <c r="I407">
        <v>38665</v>
      </c>
      <c r="J407">
        <v>35779</v>
      </c>
    </row>
    <row r="408" spans="1:10" x14ac:dyDescent="0.3">
      <c r="A408" t="s">
        <v>535</v>
      </c>
      <c r="B408" s="1">
        <v>45897</v>
      </c>
      <c r="C408" t="s">
        <v>113</v>
      </c>
      <c r="D408">
        <v>35</v>
      </c>
      <c r="E408" t="s">
        <v>12</v>
      </c>
      <c r="F408" t="s">
        <v>13</v>
      </c>
      <c r="G408" t="s">
        <v>171</v>
      </c>
      <c r="H408" t="s">
        <v>116</v>
      </c>
      <c r="I408">
        <v>19330</v>
      </c>
      <c r="J408">
        <v>13816</v>
      </c>
    </row>
    <row r="409" spans="1:10" x14ac:dyDescent="0.3">
      <c r="A409" t="s">
        <v>536</v>
      </c>
      <c r="B409" s="1">
        <v>45865</v>
      </c>
      <c r="C409" t="s">
        <v>11</v>
      </c>
      <c r="D409">
        <v>30</v>
      </c>
      <c r="E409" t="s">
        <v>33</v>
      </c>
      <c r="F409" t="s">
        <v>62</v>
      </c>
      <c r="G409" t="s">
        <v>93</v>
      </c>
      <c r="H409" t="s">
        <v>27</v>
      </c>
      <c r="I409">
        <v>29122</v>
      </c>
      <c r="J409">
        <v>37280</v>
      </c>
    </row>
    <row r="410" spans="1:10" x14ac:dyDescent="0.3">
      <c r="A410" t="s">
        <v>537</v>
      </c>
      <c r="B410" s="1">
        <v>45762</v>
      </c>
      <c r="C410" t="s">
        <v>86</v>
      </c>
      <c r="D410">
        <v>16</v>
      </c>
      <c r="E410" t="s">
        <v>24</v>
      </c>
      <c r="F410" t="s">
        <v>101</v>
      </c>
      <c r="G410" t="s">
        <v>191</v>
      </c>
      <c r="H410" t="s">
        <v>165</v>
      </c>
      <c r="I410">
        <v>36045</v>
      </c>
      <c r="J410">
        <v>40462</v>
      </c>
    </row>
    <row r="411" spans="1:10" x14ac:dyDescent="0.3">
      <c r="A411" t="s">
        <v>538</v>
      </c>
      <c r="B411" s="1">
        <v>45741</v>
      </c>
      <c r="C411" t="s">
        <v>95</v>
      </c>
      <c r="D411">
        <v>13</v>
      </c>
      <c r="E411" t="s">
        <v>61</v>
      </c>
      <c r="F411" t="s">
        <v>75</v>
      </c>
      <c r="G411" t="s">
        <v>206</v>
      </c>
      <c r="H411" t="s">
        <v>123</v>
      </c>
      <c r="I411">
        <v>36285</v>
      </c>
      <c r="J411">
        <v>45084</v>
      </c>
    </row>
    <row r="412" spans="1:10" x14ac:dyDescent="0.3">
      <c r="A412" t="s">
        <v>539</v>
      </c>
      <c r="B412" s="1">
        <v>45842</v>
      </c>
      <c r="C412" t="s">
        <v>11</v>
      </c>
      <c r="D412">
        <v>27</v>
      </c>
      <c r="E412" t="s">
        <v>18</v>
      </c>
      <c r="F412" t="s">
        <v>43</v>
      </c>
      <c r="G412" t="s">
        <v>149</v>
      </c>
      <c r="H412" t="s">
        <v>21</v>
      </c>
      <c r="I412">
        <v>30638</v>
      </c>
      <c r="J412">
        <v>25513</v>
      </c>
    </row>
    <row r="413" spans="1:10" x14ac:dyDescent="0.3">
      <c r="A413" t="s">
        <v>540</v>
      </c>
      <c r="B413" s="1">
        <v>45677</v>
      </c>
      <c r="C413" t="s">
        <v>17</v>
      </c>
      <c r="D413">
        <v>4</v>
      </c>
      <c r="E413" t="s">
        <v>18</v>
      </c>
      <c r="F413" t="s">
        <v>43</v>
      </c>
      <c r="G413" t="s">
        <v>201</v>
      </c>
      <c r="H413" t="s">
        <v>48</v>
      </c>
      <c r="I413">
        <v>31520</v>
      </c>
      <c r="J413">
        <v>35990</v>
      </c>
    </row>
    <row r="414" spans="1:10" x14ac:dyDescent="0.3">
      <c r="A414" t="s">
        <v>541</v>
      </c>
      <c r="B414" s="1">
        <v>45925</v>
      </c>
      <c r="C414" t="s">
        <v>38</v>
      </c>
      <c r="D414">
        <v>39</v>
      </c>
      <c r="E414" t="s">
        <v>70</v>
      </c>
      <c r="F414" t="s">
        <v>122</v>
      </c>
      <c r="G414" t="s">
        <v>35</v>
      </c>
      <c r="H414" t="s">
        <v>64</v>
      </c>
      <c r="I414">
        <v>25314</v>
      </c>
      <c r="J414">
        <v>18732</v>
      </c>
    </row>
    <row r="415" spans="1:10" x14ac:dyDescent="0.3">
      <c r="A415" t="s">
        <v>542</v>
      </c>
      <c r="B415" s="1">
        <v>45738</v>
      </c>
      <c r="C415" t="s">
        <v>95</v>
      </c>
      <c r="D415">
        <v>12</v>
      </c>
      <c r="E415" t="s">
        <v>12</v>
      </c>
      <c r="F415" t="s">
        <v>13</v>
      </c>
      <c r="G415" t="s">
        <v>40</v>
      </c>
      <c r="H415" t="s">
        <v>188</v>
      </c>
      <c r="I415">
        <v>21939</v>
      </c>
      <c r="J415">
        <v>27309</v>
      </c>
    </row>
    <row r="416" spans="1:10" x14ac:dyDescent="0.3">
      <c r="A416" t="s">
        <v>543</v>
      </c>
      <c r="B416" s="1">
        <v>45995</v>
      </c>
      <c r="C416" t="s">
        <v>100</v>
      </c>
      <c r="D416">
        <v>49</v>
      </c>
      <c r="E416" t="s">
        <v>18</v>
      </c>
      <c r="F416" t="s">
        <v>25</v>
      </c>
      <c r="G416" t="s">
        <v>182</v>
      </c>
      <c r="H416" t="s">
        <v>211</v>
      </c>
      <c r="I416">
        <v>23471</v>
      </c>
      <c r="J416">
        <v>27164</v>
      </c>
    </row>
    <row r="417" spans="1:10" x14ac:dyDescent="0.3">
      <c r="A417" t="s">
        <v>544</v>
      </c>
      <c r="B417" s="1">
        <v>45997</v>
      </c>
      <c r="C417" t="s">
        <v>100</v>
      </c>
      <c r="D417">
        <v>49</v>
      </c>
      <c r="E417" t="s">
        <v>33</v>
      </c>
      <c r="F417" t="s">
        <v>25</v>
      </c>
      <c r="G417" t="s">
        <v>88</v>
      </c>
      <c r="H417" t="s">
        <v>243</v>
      </c>
      <c r="I417">
        <v>37515</v>
      </c>
      <c r="J417">
        <v>46111</v>
      </c>
    </row>
    <row r="418" spans="1:10" x14ac:dyDescent="0.3">
      <c r="A418" t="s">
        <v>545</v>
      </c>
      <c r="B418" s="1">
        <v>45891</v>
      </c>
      <c r="C418" t="s">
        <v>113</v>
      </c>
      <c r="D418">
        <v>34</v>
      </c>
      <c r="E418" t="s">
        <v>70</v>
      </c>
      <c r="F418" t="s">
        <v>34</v>
      </c>
      <c r="G418" t="s">
        <v>83</v>
      </c>
      <c r="H418" t="s">
        <v>188</v>
      </c>
      <c r="I418">
        <v>17373</v>
      </c>
      <c r="J418">
        <v>14678</v>
      </c>
    </row>
    <row r="419" spans="1:10" x14ac:dyDescent="0.3">
      <c r="A419" t="s">
        <v>546</v>
      </c>
      <c r="B419" s="1">
        <v>45932</v>
      </c>
      <c r="C419" t="s">
        <v>66</v>
      </c>
      <c r="D419">
        <v>40</v>
      </c>
      <c r="E419" t="s">
        <v>33</v>
      </c>
      <c r="F419" t="s">
        <v>140</v>
      </c>
      <c r="G419" t="s">
        <v>234</v>
      </c>
      <c r="H419" t="s">
        <v>52</v>
      </c>
      <c r="I419">
        <v>31914</v>
      </c>
      <c r="J419">
        <v>25187</v>
      </c>
    </row>
    <row r="420" spans="1:10" x14ac:dyDescent="0.3">
      <c r="A420" t="s">
        <v>547</v>
      </c>
      <c r="B420" s="1">
        <v>45878</v>
      </c>
      <c r="C420" t="s">
        <v>113</v>
      </c>
      <c r="D420">
        <v>32</v>
      </c>
      <c r="E420" t="s">
        <v>12</v>
      </c>
      <c r="F420" t="s">
        <v>57</v>
      </c>
      <c r="G420" t="s">
        <v>93</v>
      </c>
      <c r="H420" t="s">
        <v>68</v>
      </c>
      <c r="I420">
        <v>23715</v>
      </c>
      <c r="J420">
        <v>29347</v>
      </c>
    </row>
    <row r="421" spans="1:10" x14ac:dyDescent="0.3">
      <c r="A421" t="s">
        <v>548</v>
      </c>
      <c r="B421" s="1">
        <v>45757</v>
      </c>
      <c r="C421" t="s">
        <v>86</v>
      </c>
      <c r="D421">
        <v>15</v>
      </c>
      <c r="E421" t="s">
        <v>18</v>
      </c>
      <c r="F421" t="s">
        <v>92</v>
      </c>
      <c r="G421" t="s">
        <v>35</v>
      </c>
      <c r="H421" t="s">
        <v>163</v>
      </c>
      <c r="I421">
        <v>27616</v>
      </c>
      <c r="J421">
        <v>22294</v>
      </c>
    </row>
    <row r="422" spans="1:10" x14ac:dyDescent="0.3">
      <c r="A422" t="s">
        <v>549</v>
      </c>
      <c r="B422" s="1">
        <v>45664</v>
      </c>
      <c r="C422" t="s">
        <v>17</v>
      </c>
      <c r="D422">
        <v>2</v>
      </c>
      <c r="E422" t="s">
        <v>12</v>
      </c>
      <c r="F422" t="s">
        <v>29</v>
      </c>
      <c r="G422" t="s">
        <v>128</v>
      </c>
      <c r="H422" t="s">
        <v>103</v>
      </c>
      <c r="I422">
        <v>38674</v>
      </c>
      <c r="J422">
        <v>40669</v>
      </c>
    </row>
    <row r="423" spans="1:10" x14ac:dyDescent="0.3">
      <c r="A423" t="s">
        <v>550</v>
      </c>
      <c r="B423" s="1">
        <v>45855</v>
      </c>
      <c r="C423" t="s">
        <v>11</v>
      </c>
      <c r="D423">
        <v>29</v>
      </c>
      <c r="E423" t="s">
        <v>33</v>
      </c>
      <c r="F423" t="s">
        <v>87</v>
      </c>
      <c r="G423" t="s">
        <v>30</v>
      </c>
      <c r="H423" t="s">
        <v>55</v>
      </c>
      <c r="I423">
        <v>36707</v>
      </c>
      <c r="J423">
        <v>37547</v>
      </c>
    </row>
    <row r="424" spans="1:10" x14ac:dyDescent="0.3">
      <c r="A424" t="s">
        <v>551</v>
      </c>
      <c r="B424" s="1">
        <v>45790</v>
      </c>
      <c r="C424" t="s">
        <v>90</v>
      </c>
      <c r="D424">
        <v>20</v>
      </c>
      <c r="E424" t="s">
        <v>18</v>
      </c>
      <c r="F424" t="s">
        <v>109</v>
      </c>
      <c r="G424" t="s">
        <v>224</v>
      </c>
      <c r="H424" t="s">
        <v>155</v>
      </c>
      <c r="I424">
        <v>18950</v>
      </c>
      <c r="J424">
        <v>19376</v>
      </c>
    </row>
    <row r="425" spans="1:10" x14ac:dyDescent="0.3">
      <c r="A425" t="s">
        <v>552</v>
      </c>
      <c r="B425" s="1">
        <v>45896</v>
      </c>
      <c r="C425" t="s">
        <v>113</v>
      </c>
      <c r="D425">
        <v>35</v>
      </c>
      <c r="E425" t="s">
        <v>39</v>
      </c>
      <c r="F425" t="s">
        <v>13</v>
      </c>
      <c r="G425" t="s">
        <v>79</v>
      </c>
      <c r="H425" t="s">
        <v>165</v>
      </c>
      <c r="I425">
        <v>22918</v>
      </c>
      <c r="J425">
        <v>28981</v>
      </c>
    </row>
    <row r="426" spans="1:10" x14ac:dyDescent="0.3">
      <c r="A426" t="s">
        <v>553</v>
      </c>
      <c r="B426" s="1">
        <v>45949</v>
      </c>
      <c r="C426" t="s">
        <v>66</v>
      </c>
      <c r="D426">
        <v>42</v>
      </c>
      <c r="E426" t="s">
        <v>33</v>
      </c>
      <c r="F426" t="s">
        <v>57</v>
      </c>
      <c r="G426" t="s">
        <v>137</v>
      </c>
      <c r="H426" t="s">
        <v>36</v>
      </c>
      <c r="I426">
        <v>27715</v>
      </c>
      <c r="J426">
        <v>32368</v>
      </c>
    </row>
    <row r="427" spans="1:10" x14ac:dyDescent="0.3">
      <c r="A427" t="s">
        <v>554</v>
      </c>
      <c r="B427" s="1">
        <v>45675</v>
      </c>
      <c r="C427" t="s">
        <v>17</v>
      </c>
      <c r="D427">
        <v>3</v>
      </c>
      <c r="E427" t="s">
        <v>39</v>
      </c>
      <c r="F427" t="s">
        <v>29</v>
      </c>
      <c r="G427" t="s">
        <v>234</v>
      </c>
      <c r="H427" t="s">
        <v>211</v>
      </c>
      <c r="I427">
        <v>36355</v>
      </c>
      <c r="J427">
        <v>35176</v>
      </c>
    </row>
    <row r="428" spans="1:10" x14ac:dyDescent="0.3">
      <c r="A428" t="s">
        <v>555</v>
      </c>
      <c r="B428" s="1">
        <v>45777</v>
      </c>
      <c r="C428" t="s">
        <v>86</v>
      </c>
      <c r="D428">
        <v>18</v>
      </c>
      <c r="E428" t="s">
        <v>39</v>
      </c>
      <c r="F428" t="s">
        <v>193</v>
      </c>
      <c r="G428" t="s">
        <v>79</v>
      </c>
      <c r="H428" t="s">
        <v>59</v>
      </c>
      <c r="I428">
        <v>20582</v>
      </c>
      <c r="J428">
        <v>24828</v>
      </c>
    </row>
    <row r="429" spans="1:10" x14ac:dyDescent="0.3">
      <c r="A429" t="s">
        <v>556</v>
      </c>
      <c r="B429" s="1">
        <v>45781</v>
      </c>
      <c r="C429" t="s">
        <v>90</v>
      </c>
      <c r="D429">
        <v>18</v>
      </c>
      <c r="E429" t="s">
        <v>70</v>
      </c>
      <c r="F429" t="s">
        <v>101</v>
      </c>
      <c r="G429" t="s">
        <v>240</v>
      </c>
      <c r="H429" t="s">
        <v>68</v>
      </c>
      <c r="I429">
        <v>33528</v>
      </c>
      <c r="J429">
        <v>38086</v>
      </c>
    </row>
    <row r="430" spans="1:10" x14ac:dyDescent="0.3">
      <c r="A430" t="s">
        <v>557</v>
      </c>
      <c r="B430" s="1">
        <v>45661</v>
      </c>
      <c r="C430" t="s">
        <v>17</v>
      </c>
      <c r="D430">
        <v>1</v>
      </c>
      <c r="E430" t="s">
        <v>24</v>
      </c>
      <c r="F430" t="s">
        <v>19</v>
      </c>
      <c r="G430" t="s">
        <v>54</v>
      </c>
      <c r="H430" t="s">
        <v>31</v>
      </c>
      <c r="I430">
        <v>33560</v>
      </c>
      <c r="J430">
        <v>41710</v>
      </c>
    </row>
    <row r="431" spans="1:10" x14ac:dyDescent="0.3">
      <c r="A431" t="s">
        <v>558</v>
      </c>
      <c r="B431" s="1">
        <v>45898</v>
      </c>
      <c r="C431" t="s">
        <v>113</v>
      </c>
      <c r="D431">
        <v>35</v>
      </c>
      <c r="E431" t="s">
        <v>12</v>
      </c>
      <c r="F431" t="s">
        <v>75</v>
      </c>
      <c r="G431" t="s">
        <v>137</v>
      </c>
      <c r="H431" t="s">
        <v>48</v>
      </c>
      <c r="I431">
        <v>27863</v>
      </c>
      <c r="J431">
        <v>32792</v>
      </c>
    </row>
    <row r="432" spans="1:10" x14ac:dyDescent="0.3">
      <c r="A432" t="s">
        <v>559</v>
      </c>
      <c r="B432" s="1">
        <v>45789</v>
      </c>
      <c r="C432" t="s">
        <v>90</v>
      </c>
      <c r="D432">
        <v>20</v>
      </c>
      <c r="E432" t="s">
        <v>18</v>
      </c>
      <c r="F432" t="s">
        <v>13</v>
      </c>
      <c r="G432" t="s">
        <v>128</v>
      </c>
      <c r="H432" t="s">
        <v>103</v>
      </c>
      <c r="I432">
        <v>15858</v>
      </c>
      <c r="J432">
        <v>18474</v>
      </c>
    </row>
    <row r="433" spans="1:10" x14ac:dyDescent="0.3">
      <c r="A433" t="s">
        <v>560</v>
      </c>
      <c r="B433" s="1">
        <v>45990</v>
      </c>
      <c r="C433" t="s">
        <v>23</v>
      </c>
      <c r="D433">
        <v>48</v>
      </c>
      <c r="E433" t="s">
        <v>39</v>
      </c>
      <c r="F433" t="s">
        <v>13</v>
      </c>
      <c r="G433" t="s">
        <v>88</v>
      </c>
      <c r="H433" t="s">
        <v>59</v>
      </c>
      <c r="I433">
        <v>36970</v>
      </c>
      <c r="J433">
        <v>27990</v>
      </c>
    </row>
    <row r="434" spans="1:10" x14ac:dyDescent="0.3">
      <c r="A434" t="s">
        <v>561</v>
      </c>
      <c r="B434" s="1">
        <v>45772</v>
      </c>
      <c r="C434" t="s">
        <v>86</v>
      </c>
      <c r="D434">
        <v>17</v>
      </c>
      <c r="E434" t="s">
        <v>24</v>
      </c>
      <c r="F434" t="s">
        <v>13</v>
      </c>
      <c r="G434" t="s">
        <v>182</v>
      </c>
      <c r="H434" t="s">
        <v>103</v>
      </c>
      <c r="I434">
        <v>22103</v>
      </c>
      <c r="J434">
        <v>26191</v>
      </c>
    </row>
    <row r="435" spans="1:10" x14ac:dyDescent="0.3">
      <c r="A435" t="s">
        <v>562</v>
      </c>
      <c r="B435" s="1">
        <v>45775</v>
      </c>
      <c r="C435" t="s">
        <v>86</v>
      </c>
      <c r="D435">
        <v>18</v>
      </c>
      <c r="E435" t="s">
        <v>24</v>
      </c>
      <c r="F435" t="s">
        <v>25</v>
      </c>
      <c r="G435" t="s">
        <v>199</v>
      </c>
      <c r="H435" t="s">
        <v>31</v>
      </c>
      <c r="I435">
        <v>15141</v>
      </c>
      <c r="J435">
        <v>18255</v>
      </c>
    </row>
    <row r="436" spans="1:10" x14ac:dyDescent="0.3">
      <c r="A436" t="s">
        <v>563</v>
      </c>
      <c r="B436" s="1">
        <v>45759</v>
      </c>
      <c r="C436" t="s">
        <v>86</v>
      </c>
      <c r="D436">
        <v>15</v>
      </c>
      <c r="E436" t="s">
        <v>39</v>
      </c>
      <c r="F436" t="s">
        <v>101</v>
      </c>
      <c r="G436" t="s">
        <v>72</v>
      </c>
      <c r="H436" t="s">
        <v>80</v>
      </c>
      <c r="I436">
        <v>31901</v>
      </c>
      <c r="J436">
        <v>25613</v>
      </c>
    </row>
    <row r="437" spans="1:10" x14ac:dyDescent="0.3">
      <c r="A437" t="s">
        <v>564</v>
      </c>
      <c r="B437" s="1">
        <v>45905</v>
      </c>
      <c r="C437" t="s">
        <v>38</v>
      </c>
      <c r="D437">
        <v>36</v>
      </c>
      <c r="E437" t="s">
        <v>39</v>
      </c>
      <c r="F437" t="s">
        <v>46</v>
      </c>
      <c r="G437" t="s">
        <v>160</v>
      </c>
      <c r="H437" t="s">
        <v>52</v>
      </c>
      <c r="I437">
        <v>37050</v>
      </c>
      <c r="J437">
        <v>31607</v>
      </c>
    </row>
    <row r="438" spans="1:10" x14ac:dyDescent="0.3">
      <c r="A438" t="s">
        <v>565</v>
      </c>
      <c r="B438" s="1">
        <v>45822</v>
      </c>
      <c r="C438" t="s">
        <v>74</v>
      </c>
      <c r="D438">
        <v>24</v>
      </c>
      <c r="E438" t="s">
        <v>70</v>
      </c>
      <c r="F438" t="s">
        <v>109</v>
      </c>
      <c r="G438" t="s">
        <v>93</v>
      </c>
      <c r="H438" t="s">
        <v>111</v>
      </c>
      <c r="I438">
        <v>35497</v>
      </c>
      <c r="J438">
        <v>25368</v>
      </c>
    </row>
    <row r="439" spans="1:10" x14ac:dyDescent="0.3">
      <c r="A439" t="s">
        <v>566</v>
      </c>
      <c r="B439" s="1">
        <v>45709</v>
      </c>
      <c r="C439" t="s">
        <v>82</v>
      </c>
      <c r="D439">
        <v>8</v>
      </c>
      <c r="E439" t="s">
        <v>61</v>
      </c>
      <c r="F439" t="s">
        <v>29</v>
      </c>
      <c r="G439" t="s">
        <v>110</v>
      </c>
      <c r="H439" t="s">
        <v>59</v>
      </c>
      <c r="I439">
        <v>34456</v>
      </c>
      <c r="J439">
        <v>24898</v>
      </c>
    </row>
    <row r="440" spans="1:10" x14ac:dyDescent="0.3">
      <c r="A440" t="s">
        <v>567</v>
      </c>
      <c r="B440" s="1">
        <v>45905</v>
      </c>
      <c r="C440" t="s">
        <v>38</v>
      </c>
      <c r="D440">
        <v>36</v>
      </c>
      <c r="E440" t="s">
        <v>61</v>
      </c>
      <c r="F440" t="s">
        <v>57</v>
      </c>
      <c r="G440" t="s">
        <v>115</v>
      </c>
      <c r="H440" t="s">
        <v>52</v>
      </c>
      <c r="I440">
        <v>29275</v>
      </c>
      <c r="J440">
        <v>22080</v>
      </c>
    </row>
    <row r="441" spans="1:10" x14ac:dyDescent="0.3">
      <c r="A441" t="s">
        <v>568</v>
      </c>
      <c r="B441" s="1">
        <v>45922</v>
      </c>
      <c r="C441" t="s">
        <v>38</v>
      </c>
      <c r="D441">
        <v>39</v>
      </c>
      <c r="E441" t="s">
        <v>12</v>
      </c>
      <c r="F441" t="s">
        <v>25</v>
      </c>
      <c r="G441" t="s">
        <v>47</v>
      </c>
      <c r="H441" t="s">
        <v>151</v>
      </c>
      <c r="I441">
        <v>20624</v>
      </c>
      <c r="J441">
        <v>25853</v>
      </c>
    </row>
    <row r="442" spans="1:10" x14ac:dyDescent="0.3">
      <c r="A442" t="s">
        <v>569</v>
      </c>
      <c r="B442" s="1">
        <v>45932</v>
      </c>
      <c r="C442" t="s">
        <v>66</v>
      </c>
      <c r="D442">
        <v>40</v>
      </c>
      <c r="E442" t="s">
        <v>39</v>
      </c>
      <c r="F442" t="s">
        <v>50</v>
      </c>
      <c r="G442" t="s">
        <v>88</v>
      </c>
      <c r="H442" t="s">
        <v>157</v>
      </c>
      <c r="I442">
        <v>32864</v>
      </c>
      <c r="J442">
        <v>24973</v>
      </c>
    </row>
    <row r="443" spans="1:10" x14ac:dyDescent="0.3">
      <c r="A443" t="s">
        <v>570</v>
      </c>
      <c r="B443" s="1">
        <v>45838</v>
      </c>
      <c r="C443" t="s">
        <v>74</v>
      </c>
      <c r="D443">
        <v>27</v>
      </c>
      <c r="E443" t="s">
        <v>70</v>
      </c>
      <c r="F443" t="s">
        <v>92</v>
      </c>
      <c r="G443" t="s">
        <v>171</v>
      </c>
      <c r="H443" t="s">
        <v>21</v>
      </c>
      <c r="I443">
        <v>22453</v>
      </c>
      <c r="J443">
        <v>27042</v>
      </c>
    </row>
    <row r="444" spans="1:10" x14ac:dyDescent="0.3">
      <c r="A444" t="s">
        <v>571</v>
      </c>
      <c r="B444" s="1">
        <v>45802</v>
      </c>
      <c r="C444" t="s">
        <v>90</v>
      </c>
      <c r="D444">
        <v>21</v>
      </c>
      <c r="E444" t="s">
        <v>70</v>
      </c>
      <c r="F444" t="s">
        <v>62</v>
      </c>
      <c r="G444" t="s">
        <v>118</v>
      </c>
      <c r="H444" t="s">
        <v>48</v>
      </c>
      <c r="I444">
        <v>25587</v>
      </c>
      <c r="J444">
        <v>20492</v>
      </c>
    </row>
    <row r="445" spans="1:10" x14ac:dyDescent="0.3">
      <c r="A445" t="s">
        <v>572</v>
      </c>
      <c r="B445" s="1">
        <v>45919</v>
      </c>
      <c r="C445" t="s">
        <v>38</v>
      </c>
      <c r="D445">
        <v>38</v>
      </c>
      <c r="E445" t="s">
        <v>33</v>
      </c>
      <c r="F445" t="s">
        <v>92</v>
      </c>
      <c r="G445" t="s">
        <v>132</v>
      </c>
      <c r="H445" t="s">
        <v>111</v>
      </c>
      <c r="I445">
        <v>32818</v>
      </c>
      <c r="J445">
        <v>31319</v>
      </c>
    </row>
    <row r="446" spans="1:10" x14ac:dyDescent="0.3">
      <c r="A446" t="s">
        <v>573</v>
      </c>
      <c r="B446" s="1">
        <v>45999</v>
      </c>
      <c r="C446" t="s">
        <v>100</v>
      </c>
      <c r="D446">
        <v>50</v>
      </c>
      <c r="E446" t="s">
        <v>33</v>
      </c>
      <c r="F446" t="s">
        <v>101</v>
      </c>
      <c r="G446" t="s">
        <v>145</v>
      </c>
      <c r="H446" t="s">
        <v>188</v>
      </c>
      <c r="I446">
        <v>16927</v>
      </c>
      <c r="J446">
        <v>13821</v>
      </c>
    </row>
    <row r="447" spans="1:10" x14ac:dyDescent="0.3">
      <c r="A447" t="s">
        <v>574</v>
      </c>
      <c r="B447" s="1">
        <v>45851</v>
      </c>
      <c r="C447" t="s">
        <v>11</v>
      </c>
      <c r="D447">
        <v>28</v>
      </c>
      <c r="E447" t="s">
        <v>18</v>
      </c>
      <c r="F447" t="s">
        <v>46</v>
      </c>
      <c r="G447" t="s">
        <v>147</v>
      </c>
      <c r="H447" t="s">
        <v>119</v>
      </c>
      <c r="I447">
        <v>15281</v>
      </c>
      <c r="J447">
        <v>11327</v>
      </c>
    </row>
    <row r="448" spans="1:10" x14ac:dyDescent="0.3">
      <c r="A448" t="s">
        <v>575</v>
      </c>
      <c r="B448" s="1">
        <v>45871</v>
      </c>
      <c r="C448" t="s">
        <v>113</v>
      </c>
      <c r="D448">
        <v>31</v>
      </c>
      <c r="E448" t="s">
        <v>39</v>
      </c>
      <c r="F448" t="s">
        <v>140</v>
      </c>
      <c r="G448" t="s">
        <v>135</v>
      </c>
      <c r="H448" t="s">
        <v>133</v>
      </c>
      <c r="I448">
        <v>26506</v>
      </c>
      <c r="J448">
        <v>33494</v>
      </c>
    </row>
    <row r="449" spans="1:10" x14ac:dyDescent="0.3">
      <c r="A449" t="s">
        <v>576</v>
      </c>
      <c r="B449" s="1">
        <v>45789</v>
      </c>
      <c r="C449" t="s">
        <v>90</v>
      </c>
      <c r="D449">
        <v>20</v>
      </c>
      <c r="E449" t="s">
        <v>70</v>
      </c>
      <c r="F449" t="s">
        <v>13</v>
      </c>
      <c r="G449" t="s">
        <v>79</v>
      </c>
      <c r="H449" t="s">
        <v>103</v>
      </c>
      <c r="I449">
        <v>19348</v>
      </c>
      <c r="J449">
        <v>24336</v>
      </c>
    </row>
    <row r="450" spans="1:10" x14ac:dyDescent="0.3">
      <c r="A450" t="s">
        <v>577</v>
      </c>
      <c r="B450" s="1">
        <v>46022</v>
      </c>
      <c r="C450" t="s">
        <v>100</v>
      </c>
      <c r="D450">
        <v>1</v>
      </c>
      <c r="E450" t="s">
        <v>39</v>
      </c>
      <c r="F450" t="s">
        <v>101</v>
      </c>
      <c r="G450" t="s">
        <v>44</v>
      </c>
      <c r="H450" t="s">
        <v>41</v>
      </c>
      <c r="I450">
        <v>23408</v>
      </c>
      <c r="J450">
        <v>22975</v>
      </c>
    </row>
    <row r="451" spans="1:10" x14ac:dyDescent="0.3">
      <c r="A451" t="s">
        <v>578</v>
      </c>
      <c r="B451" s="1">
        <v>46013</v>
      </c>
      <c r="C451" t="s">
        <v>100</v>
      </c>
      <c r="D451">
        <v>52</v>
      </c>
      <c r="E451" t="s">
        <v>39</v>
      </c>
      <c r="F451" t="s">
        <v>87</v>
      </c>
      <c r="G451" t="s">
        <v>76</v>
      </c>
      <c r="H451" t="s">
        <v>36</v>
      </c>
      <c r="I451">
        <v>30469</v>
      </c>
      <c r="J451">
        <v>31302</v>
      </c>
    </row>
    <row r="452" spans="1:10" x14ac:dyDescent="0.3">
      <c r="A452" t="s">
        <v>579</v>
      </c>
      <c r="B452" s="1">
        <v>45894</v>
      </c>
      <c r="C452" t="s">
        <v>113</v>
      </c>
      <c r="D452">
        <v>35</v>
      </c>
      <c r="E452" t="s">
        <v>12</v>
      </c>
      <c r="F452" t="s">
        <v>43</v>
      </c>
      <c r="G452" t="s">
        <v>199</v>
      </c>
      <c r="H452" t="s">
        <v>31</v>
      </c>
      <c r="I452">
        <v>27546</v>
      </c>
      <c r="J452">
        <v>27700</v>
      </c>
    </row>
    <row r="453" spans="1:10" x14ac:dyDescent="0.3">
      <c r="A453" t="s">
        <v>580</v>
      </c>
      <c r="B453" s="1">
        <v>45941</v>
      </c>
      <c r="C453" t="s">
        <v>66</v>
      </c>
      <c r="D453">
        <v>41</v>
      </c>
      <c r="E453" t="s">
        <v>24</v>
      </c>
      <c r="F453" t="s">
        <v>75</v>
      </c>
      <c r="G453" t="s">
        <v>40</v>
      </c>
      <c r="H453" t="s">
        <v>80</v>
      </c>
      <c r="I453">
        <v>23915</v>
      </c>
      <c r="J453">
        <v>27465</v>
      </c>
    </row>
    <row r="454" spans="1:10" x14ac:dyDescent="0.3">
      <c r="A454" t="s">
        <v>581</v>
      </c>
      <c r="B454" s="1">
        <v>45793</v>
      </c>
      <c r="C454" t="s">
        <v>90</v>
      </c>
      <c r="D454">
        <v>20</v>
      </c>
      <c r="E454" t="s">
        <v>61</v>
      </c>
      <c r="F454" t="s">
        <v>19</v>
      </c>
      <c r="G454" t="s">
        <v>182</v>
      </c>
      <c r="H454" t="s">
        <v>123</v>
      </c>
      <c r="I454">
        <v>30799</v>
      </c>
      <c r="J454">
        <v>29227</v>
      </c>
    </row>
    <row r="455" spans="1:10" x14ac:dyDescent="0.3">
      <c r="A455" t="s">
        <v>582</v>
      </c>
      <c r="B455" s="1">
        <v>45943</v>
      </c>
      <c r="C455" t="s">
        <v>66</v>
      </c>
      <c r="D455">
        <v>42</v>
      </c>
      <c r="E455" t="s">
        <v>61</v>
      </c>
      <c r="F455" t="s">
        <v>193</v>
      </c>
      <c r="G455" t="s">
        <v>191</v>
      </c>
      <c r="H455" t="s">
        <v>64</v>
      </c>
      <c r="I455">
        <v>35988</v>
      </c>
      <c r="J455">
        <v>32177</v>
      </c>
    </row>
    <row r="456" spans="1:10" x14ac:dyDescent="0.3">
      <c r="A456" t="s">
        <v>583</v>
      </c>
      <c r="B456" s="1">
        <v>45893</v>
      </c>
      <c r="C456" t="s">
        <v>113</v>
      </c>
      <c r="D456">
        <v>34</v>
      </c>
      <c r="E456" t="s">
        <v>12</v>
      </c>
      <c r="F456" t="s">
        <v>122</v>
      </c>
      <c r="G456" t="s">
        <v>182</v>
      </c>
      <c r="H456" t="s">
        <v>68</v>
      </c>
      <c r="I456">
        <v>32173</v>
      </c>
      <c r="J456">
        <v>30338</v>
      </c>
    </row>
    <row r="457" spans="1:10" x14ac:dyDescent="0.3">
      <c r="A457" t="s">
        <v>584</v>
      </c>
      <c r="B457" s="1">
        <v>45901</v>
      </c>
      <c r="C457" t="s">
        <v>38</v>
      </c>
      <c r="D457">
        <v>36</v>
      </c>
      <c r="E457" t="s">
        <v>70</v>
      </c>
      <c r="F457" t="s">
        <v>193</v>
      </c>
      <c r="G457" t="s">
        <v>107</v>
      </c>
      <c r="H457" t="s">
        <v>116</v>
      </c>
      <c r="I457">
        <v>36356</v>
      </c>
      <c r="J457">
        <v>26299</v>
      </c>
    </row>
    <row r="458" spans="1:10" x14ac:dyDescent="0.3">
      <c r="A458" t="s">
        <v>585</v>
      </c>
      <c r="B458" s="1">
        <v>45745</v>
      </c>
      <c r="C458" t="s">
        <v>95</v>
      </c>
      <c r="D458">
        <v>13</v>
      </c>
      <c r="E458" t="s">
        <v>18</v>
      </c>
      <c r="F458" t="s">
        <v>92</v>
      </c>
      <c r="G458" t="s">
        <v>26</v>
      </c>
      <c r="H458" t="s">
        <v>98</v>
      </c>
      <c r="I458">
        <v>18329</v>
      </c>
      <c r="J458">
        <v>20312</v>
      </c>
    </row>
    <row r="459" spans="1:10" x14ac:dyDescent="0.3">
      <c r="A459" t="s">
        <v>586</v>
      </c>
      <c r="B459" s="1">
        <v>45785</v>
      </c>
      <c r="C459" t="s">
        <v>90</v>
      </c>
      <c r="D459">
        <v>19</v>
      </c>
      <c r="E459" t="s">
        <v>24</v>
      </c>
      <c r="F459" t="s">
        <v>109</v>
      </c>
      <c r="G459" t="s">
        <v>141</v>
      </c>
      <c r="H459" t="s">
        <v>243</v>
      </c>
      <c r="I459">
        <v>36605</v>
      </c>
      <c r="J459">
        <v>42339</v>
      </c>
    </row>
    <row r="460" spans="1:10" x14ac:dyDescent="0.3">
      <c r="A460" t="s">
        <v>587</v>
      </c>
      <c r="B460" s="1">
        <v>45910</v>
      </c>
      <c r="C460" t="s">
        <v>38</v>
      </c>
      <c r="D460">
        <v>37</v>
      </c>
      <c r="E460" t="s">
        <v>18</v>
      </c>
      <c r="F460" t="s">
        <v>78</v>
      </c>
      <c r="G460" t="s">
        <v>137</v>
      </c>
      <c r="H460" t="s">
        <v>48</v>
      </c>
      <c r="I460">
        <v>18523</v>
      </c>
      <c r="J460">
        <v>15962</v>
      </c>
    </row>
    <row r="461" spans="1:10" x14ac:dyDescent="0.3">
      <c r="A461" t="s">
        <v>588</v>
      </c>
      <c r="B461" s="1">
        <v>45920</v>
      </c>
      <c r="C461" t="s">
        <v>38</v>
      </c>
      <c r="D461">
        <v>38</v>
      </c>
      <c r="E461" t="s">
        <v>24</v>
      </c>
      <c r="F461" t="s">
        <v>109</v>
      </c>
      <c r="G461" t="s">
        <v>234</v>
      </c>
      <c r="H461" t="s">
        <v>116</v>
      </c>
      <c r="I461">
        <v>15937</v>
      </c>
      <c r="J461">
        <v>20633</v>
      </c>
    </row>
    <row r="462" spans="1:10" x14ac:dyDescent="0.3">
      <c r="A462" t="s">
        <v>589</v>
      </c>
      <c r="B462" s="1">
        <v>45921</v>
      </c>
      <c r="C462" t="s">
        <v>38</v>
      </c>
      <c r="D462">
        <v>38</v>
      </c>
      <c r="E462" t="s">
        <v>24</v>
      </c>
      <c r="F462" t="s">
        <v>101</v>
      </c>
      <c r="G462" t="s">
        <v>26</v>
      </c>
      <c r="H462" t="s">
        <v>52</v>
      </c>
      <c r="I462">
        <v>32689</v>
      </c>
      <c r="J462">
        <v>33403</v>
      </c>
    </row>
    <row r="463" spans="1:10" x14ac:dyDescent="0.3">
      <c r="A463" t="s">
        <v>590</v>
      </c>
      <c r="B463" s="1">
        <v>45864</v>
      </c>
      <c r="C463" t="s">
        <v>11</v>
      </c>
      <c r="D463">
        <v>30</v>
      </c>
      <c r="E463" t="s">
        <v>70</v>
      </c>
      <c r="F463" t="s">
        <v>114</v>
      </c>
      <c r="G463" t="s">
        <v>145</v>
      </c>
      <c r="H463" t="s">
        <v>59</v>
      </c>
      <c r="I463">
        <v>26964</v>
      </c>
      <c r="J463">
        <v>19770</v>
      </c>
    </row>
    <row r="464" spans="1:10" x14ac:dyDescent="0.3">
      <c r="A464" t="s">
        <v>591</v>
      </c>
      <c r="B464" s="1">
        <v>45754</v>
      </c>
      <c r="C464" t="s">
        <v>86</v>
      </c>
      <c r="D464">
        <v>15</v>
      </c>
      <c r="E464" t="s">
        <v>61</v>
      </c>
      <c r="F464" t="s">
        <v>140</v>
      </c>
      <c r="G464" t="s">
        <v>76</v>
      </c>
      <c r="H464" t="s">
        <v>96</v>
      </c>
      <c r="I464">
        <v>27855</v>
      </c>
      <c r="J464">
        <v>32100</v>
      </c>
    </row>
    <row r="465" spans="1:10" x14ac:dyDescent="0.3">
      <c r="A465" t="s">
        <v>592</v>
      </c>
      <c r="B465" s="1">
        <v>45865</v>
      </c>
      <c r="C465" t="s">
        <v>11</v>
      </c>
      <c r="D465">
        <v>30</v>
      </c>
      <c r="E465" t="s">
        <v>18</v>
      </c>
      <c r="F465" t="s">
        <v>25</v>
      </c>
      <c r="G465" t="s">
        <v>132</v>
      </c>
      <c r="H465" t="s">
        <v>98</v>
      </c>
      <c r="I465">
        <v>29918</v>
      </c>
      <c r="J465">
        <v>24433</v>
      </c>
    </row>
    <row r="466" spans="1:10" x14ac:dyDescent="0.3">
      <c r="A466" t="s">
        <v>593</v>
      </c>
      <c r="B466" s="1">
        <v>45701</v>
      </c>
      <c r="C466" t="s">
        <v>82</v>
      </c>
      <c r="D466">
        <v>7</v>
      </c>
      <c r="E466" t="s">
        <v>70</v>
      </c>
      <c r="F466" t="s">
        <v>34</v>
      </c>
      <c r="G466" t="s">
        <v>234</v>
      </c>
      <c r="H466" t="s">
        <v>116</v>
      </c>
      <c r="I466">
        <v>19801</v>
      </c>
      <c r="J466">
        <v>25002</v>
      </c>
    </row>
    <row r="467" spans="1:10" x14ac:dyDescent="0.3">
      <c r="A467" t="s">
        <v>594</v>
      </c>
      <c r="B467" s="1">
        <v>45872</v>
      </c>
      <c r="C467" t="s">
        <v>113</v>
      </c>
      <c r="D467">
        <v>31</v>
      </c>
      <c r="E467" t="s">
        <v>61</v>
      </c>
      <c r="F467" t="s">
        <v>101</v>
      </c>
      <c r="G467" t="s">
        <v>234</v>
      </c>
      <c r="H467" t="s">
        <v>84</v>
      </c>
      <c r="I467">
        <v>31584</v>
      </c>
      <c r="J467">
        <v>22560</v>
      </c>
    </row>
    <row r="468" spans="1:10" x14ac:dyDescent="0.3">
      <c r="A468" t="s">
        <v>595</v>
      </c>
      <c r="B468" s="1">
        <v>45867</v>
      </c>
      <c r="C468" t="s">
        <v>11</v>
      </c>
      <c r="D468">
        <v>31</v>
      </c>
      <c r="E468" t="s">
        <v>12</v>
      </c>
      <c r="F468" t="s">
        <v>109</v>
      </c>
      <c r="G468" t="s">
        <v>20</v>
      </c>
      <c r="H468" t="s">
        <v>133</v>
      </c>
      <c r="I468">
        <v>28459</v>
      </c>
      <c r="J468">
        <v>27765</v>
      </c>
    </row>
    <row r="469" spans="1:10" x14ac:dyDescent="0.3">
      <c r="A469" t="s">
        <v>596</v>
      </c>
      <c r="B469" s="1">
        <v>45942</v>
      </c>
      <c r="C469" t="s">
        <v>66</v>
      </c>
      <c r="D469">
        <v>41</v>
      </c>
      <c r="E469" t="s">
        <v>24</v>
      </c>
      <c r="F469" t="s">
        <v>92</v>
      </c>
      <c r="G469" t="s">
        <v>171</v>
      </c>
      <c r="H469" t="s">
        <v>15</v>
      </c>
      <c r="I469">
        <v>35742</v>
      </c>
      <c r="J469">
        <v>33672</v>
      </c>
    </row>
    <row r="470" spans="1:10" x14ac:dyDescent="0.3">
      <c r="A470" t="s">
        <v>597</v>
      </c>
      <c r="B470" s="1">
        <v>45917</v>
      </c>
      <c r="C470" t="s">
        <v>38</v>
      </c>
      <c r="D470">
        <v>38</v>
      </c>
      <c r="E470" t="s">
        <v>24</v>
      </c>
      <c r="F470" t="s">
        <v>13</v>
      </c>
      <c r="G470" t="s">
        <v>26</v>
      </c>
      <c r="H470" t="s">
        <v>151</v>
      </c>
      <c r="I470">
        <v>17011</v>
      </c>
      <c r="J470">
        <v>12029</v>
      </c>
    </row>
    <row r="471" spans="1:10" x14ac:dyDescent="0.3">
      <c r="A471" t="s">
        <v>598</v>
      </c>
      <c r="B471" s="1">
        <v>45807</v>
      </c>
      <c r="C471" t="s">
        <v>90</v>
      </c>
      <c r="D471">
        <v>22</v>
      </c>
      <c r="E471" t="s">
        <v>70</v>
      </c>
      <c r="F471" t="s">
        <v>75</v>
      </c>
      <c r="G471" t="s">
        <v>115</v>
      </c>
      <c r="H471" t="s">
        <v>80</v>
      </c>
      <c r="I471">
        <v>21122</v>
      </c>
      <c r="J471">
        <v>24893</v>
      </c>
    </row>
    <row r="472" spans="1:10" x14ac:dyDescent="0.3">
      <c r="A472" t="s">
        <v>599</v>
      </c>
      <c r="B472" s="1">
        <v>45865</v>
      </c>
      <c r="C472" t="s">
        <v>11</v>
      </c>
      <c r="D472">
        <v>30</v>
      </c>
      <c r="E472" t="s">
        <v>18</v>
      </c>
      <c r="F472" t="s">
        <v>193</v>
      </c>
      <c r="G472" t="s">
        <v>141</v>
      </c>
      <c r="H472" t="s">
        <v>188</v>
      </c>
      <c r="I472">
        <v>32125</v>
      </c>
      <c r="J472">
        <v>37122</v>
      </c>
    </row>
    <row r="473" spans="1:10" x14ac:dyDescent="0.3">
      <c r="A473" t="s">
        <v>600</v>
      </c>
      <c r="B473" s="1">
        <v>45847</v>
      </c>
      <c r="C473" t="s">
        <v>11</v>
      </c>
      <c r="D473">
        <v>28</v>
      </c>
      <c r="E473" t="s">
        <v>24</v>
      </c>
      <c r="F473" t="s">
        <v>109</v>
      </c>
      <c r="G473" t="s">
        <v>67</v>
      </c>
      <c r="H473" t="s">
        <v>36</v>
      </c>
      <c r="I473">
        <v>35381</v>
      </c>
      <c r="J473">
        <v>40035</v>
      </c>
    </row>
    <row r="474" spans="1:10" x14ac:dyDescent="0.3">
      <c r="A474" t="s">
        <v>601</v>
      </c>
      <c r="B474" s="1">
        <v>45707</v>
      </c>
      <c r="C474" t="s">
        <v>82</v>
      </c>
      <c r="D474">
        <v>8</v>
      </c>
      <c r="E474" t="s">
        <v>33</v>
      </c>
      <c r="F474" t="s">
        <v>19</v>
      </c>
      <c r="G474" t="s">
        <v>20</v>
      </c>
      <c r="H474" t="s">
        <v>211</v>
      </c>
      <c r="I474">
        <v>39267</v>
      </c>
      <c r="J474">
        <v>40118</v>
      </c>
    </row>
    <row r="475" spans="1:10" x14ac:dyDescent="0.3">
      <c r="A475" t="s">
        <v>602</v>
      </c>
      <c r="B475" s="1">
        <v>45976</v>
      </c>
      <c r="C475" t="s">
        <v>23</v>
      </c>
      <c r="D475">
        <v>46</v>
      </c>
      <c r="E475" t="s">
        <v>33</v>
      </c>
      <c r="F475" t="s">
        <v>50</v>
      </c>
      <c r="G475" t="s">
        <v>326</v>
      </c>
      <c r="H475" t="s">
        <v>211</v>
      </c>
      <c r="I475">
        <v>23710</v>
      </c>
      <c r="J475">
        <v>27865</v>
      </c>
    </row>
    <row r="476" spans="1:10" x14ac:dyDescent="0.3">
      <c r="A476" t="s">
        <v>603</v>
      </c>
      <c r="B476" s="1">
        <v>45846</v>
      </c>
      <c r="C476" t="s">
        <v>11</v>
      </c>
      <c r="D476">
        <v>28</v>
      </c>
      <c r="E476" t="s">
        <v>70</v>
      </c>
      <c r="F476" t="s">
        <v>109</v>
      </c>
      <c r="G476" t="s">
        <v>20</v>
      </c>
      <c r="H476" t="s">
        <v>15</v>
      </c>
      <c r="I476">
        <v>21003</v>
      </c>
      <c r="J476">
        <v>23555</v>
      </c>
    </row>
    <row r="477" spans="1:10" x14ac:dyDescent="0.3">
      <c r="A477" t="s">
        <v>604</v>
      </c>
      <c r="B477" s="1">
        <v>45884</v>
      </c>
      <c r="C477" t="s">
        <v>113</v>
      </c>
      <c r="D477">
        <v>33</v>
      </c>
      <c r="E477" t="s">
        <v>70</v>
      </c>
      <c r="F477" t="s">
        <v>87</v>
      </c>
      <c r="G477" t="s">
        <v>47</v>
      </c>
      <c r="H477" t="s">
        <v>68</v>
      </c>
      <c r="I477">
        <v>31444</v>
      </c>
      <c r="J477">
        <v>24655</v>
      </c>
    </row>
    <row r="478" spans="1:10" x14ac:dyDescent="0.3">
      <c r="A478" t="s">
        <v>605</v>
      </c>
      <c r="B478" s="1">
        <v>45900</v>
      </c>
      <c r="C478" t="s">
        <v>113</v>
      </c>
      <c r="D478">
        <v>35</v>
      </c>
      <c r="E478" t="s">
        <v>70</v>
      </c>
      <c r="F478" t="s">
        <v>57</v>
      </c>
      <c r="G478" t="s">
        <v>79</v>
      </c>
      <c r="H478" t="s">
        <v>59</v>
      </c>
      <c r="I478">
        <v>37380</v>
      </c>
      <c r="J478">
        <v>39616</v>
      </c>
    </row>
    <row r="479" spans="1:10" x14ac:dyDescent="0.3">
      <c r="A479" t="s">
        <v>606</v>
      </c>
      <c r="B479" s="1">
        <v>45739</v>
      </c>
      <c r="C479" t="s">
        <v>95</v>
      </c>
      <c r="D479">
        <v>12</v>
      </c>
      <c r="E479" t="s">
        <v>61</v>
      </c>
      <c r="F479" t="s">
        <v>92</v>
      </c>
      <c r="G479" t="s">
        <v>47</v>
      </c>
      <c r="H479" t="s">
        <v>165</v>
      </c>
      <c r="I479">
        <v>23182</v>
      </c>
      <c r="J479">
        <v>16761</v>
      </c>
    </row>
    <row r="480" spans="1:10" x14ac:dyDescent="0.3">
      <c r="A480" t="s">
        <v>607</v>
      </c>
      <c r="B480" s="1">
        <v>45758</v>
      </c>
      <c r="C480" t="s">
        <v>86</v>
      </c>
      <c r="D480">
        <v>15</v>
      </c>
      <c r="E480" t="s">
        <v>33</v>
      </c>
      <c r="F480" t="s">
        <v>78</v>
      </c>
      <c r="G480" t="s">
        <v>326</v>
      </c>
      <c r="H480" t="s">
        <v>41</v>
      </c>
      <c r="I480">
        <v>23702</v>
      </c>
      <c r="J480">
        <v>20843</v>
      </c>
    </row>
    <row r="481" spans="1:10" x14ac:dyDescent="0.3">
      <c r="A481" t="s">
        <v>608</v>
      </c>
      <c r="B481" s="1">
        <v>45750</v>
      </c>
      <c r="C481" t="s">
        <v>86</v>
      </c>
      <c r="D481">
        <v>14</v>
      </c>
      <c r="E481" t="s">
        <v>33</v>
      </c>
      <c r="F481" t="s">
        <v>57</v>
      </c>
      <c r="G481" t="s">
        <v>141</v>
      </c>
      <c r="H481" t="s">
        <v>84</v>
      </c>
      <c r="I481">
        <v>36781</v>
      </c>
      <c r="J481">
        <v>46085</v>
      </c>
    </row>
    <row r="482" spans="1:10" x14ac:dyDescent="0.3">
      <c r="A482" t="s">
        <v>609</v>
      </c>
      <c r="B482" s="1">
        <v>45784</v>
      </c>
      <c r="C482" t="s">
        <v>90</v>
      </c>
      <c r="D482">
        <v>19</v>
      </c>
      <c r="E482" t="s">
        <v>70</v>
      </c>
      <c r="F482" t="s">
        <v>92</v>
      </c>
      <c r="G482" t="s">
        <v>147</v>
      </c>
      <c r="H482" t="s">
        <v>103</v>
      </c>
      <c r="I482">
        <v>20452</v>
      </c>
      <c r="J482">
        <v>17099</v>
      </c>
    </row>
    <row r="483" spans="1:10" x14ac:dyDescent="0.3">
      <c r="A483" t="s">
        <v>610</v>
      </c>
      <c r="B483" s="1">
        <v>45787</v>
      </c>
      <c r="C483" t="s">
        <v>90</v>
      </c>
      <c r="D483">
        <v>19</v>
      </c>
      <c r="E483" t="s">
        <v>24</v>
      </c>
      <c r="F483" t="s">
        <v>193</v>
      </c>
      <c r="G483" t="s">
        <v>51</v>
      </c>
      <c r="H483" t="s">
        <v>123</v>
      </c>
      <c r="I483">
        <v>38449</v>
      </c>
      <c r="J483">
        <v>29630</v>
      </c>
    </row>
    <row r="484" spans="1:10" x14ac:dyDescent="0.3">
      <c r="A484" t="s">
        <v>611</v>
      </c>
      <c r="B484" s="1">
        <v>45920</v>
      </c>
      <c r="C484" t="s">
        <v>38</v>
      </c>
      <c r="D484">
        <v>38</v>
      </c>
      <c r="E484" t="s">
        <v>24</v>
      </c>
      <c r="F484" t="s">
        <v>140</v>
      </c>
      <c r="G484" t="s">
        <v>182</v>
      </c>
      <c r="H484" t="s">
        <v>68</v>
      </c>
      <c r="I484">
        <v>39956</v>
      </c>
      <c r="J484">
        <v>31807</v>
      </c>
    </row>
    <row r="485" spans="1:10" x14ac:dyDescent="0.3">
      <c r="A485" t="s">
        <v>612</v>
      </c>
      <c r="B485" s="1">
        <v>45709</v>
      </c>
      <c r="C485" t="s">
        <v>82</v>
      </c>
      <c r="D485">
        <v>8</v>
      </c>
      <c r="E485" t="s">
        <v>18</v>
      </c>
      <c r="F485" t="s">
        <v>62</v>
      </c>
      <c r="G485" t="s">
        <v>76</v>
      </c>
      <c r="H485" t="s">
        <v>21</v>
      </c>
      <c r="I485">
        <v>24336</v>
      </c>
      <c r="J485">
        <v>24632</v>
      </c>
    </row>
    <row r="486" spans="1:10" x14ac:dyDescent="0.3">
      <c r="A486" t="s">
        <v>613</v>
      </c>
      <c r="B486" s="1">
        <v>46018</v>
      </c>
      <c r="C486" t="s">
        <v>100</v>
      </c>
      <c r="D486">
        <v>52</v>
      </c>
      <c r="E486" t="s">
        <v>24</v>
      </c>
      <c r="F486" t="s">
        <v>46</v>
      </c>
      <c r="G486" t="s">
        <v>118</v>
      </c>
      <c r="H486" t="s">
        <v>15</v>
      </c>
      <c r="I486">
        <v>39340</v>
      </c>
      <c r="J486">
        <v>31738</v>
      </c>
    </row>
    <row r="487" spans="1:10" x14ac:dyDescent="0.3">
      <c r="A487" t="s">
        <v>614</v>
      </c>
      <c r="B487" s="1">
        <v>45668</v>
      </c>
      <c r="C487" t="s">
        <v>17</v>
      </c>
      <c r="D487">
        <v>2</v>
      </c>
      <c r="E487" t="s">
        <v>12</v>
      </c>
      <c r="F487" t="s">
        <v>101</v>
      </c>
      <c r="G487" t="s">
        <v>201</v>
      </c>
      <c r="H487" t="s">
        <v>243</v>
      </c>
      <c r="I487">
        <v>34865</v>
      </c>
      <c r="J487">
        <v>44822</v>
      </c>
    </row>
    <row r="488" spans="1:10" x14ac:dyDescent="0.3">
      <c r="A488" t="s">
        <v>615</v>
      </c>
      <c r="B488" s="1">
        <v>45984</v>
      </c>
      <c r="C488" t="s">
        <v>23</v>
      </c>
      <c r="D488">
        <v>47</v>
      </c>
      <c r="E488" t="s">
        <v>33</v>
      </c>
      <c r="F488" t="s">
        <v>109</v>
      </c>
      <c r="G488" t="s">
        <v>20</v>
      </c>
      <c r="H488" t="s">
        <v>165</v>
      </c>
      <c r="I488">
        <v>38738</v>
      </c>
      <c r="J488">
        <v>36478</v>
      </c>
    </row>
    <row r="489" spans="1:10" x14ac:dyDescent="0.3">
      <c r="A489" t="s">
        <v>616</v>
      </c>
      <c r="B489" s="1">
        <v>45850</v>
      </c>
      <c r="C489" t="s">
        <v>11</v>
      </c>
      <c r="D489">
        <v>28</v>
      </c>
      <c r="E489" t="s">
        <v>12</v>
      </c>
      <c r="F489" t="s">
        <v>109</v>
      </c>
      <c r="G489" t="s">
        <v>26</v>
      </c>
      <c r="H489" t="s">
        <v>36</v>
      </c>
      <c r="I489">
        <v>27818</v>
      </c>
      <c r="J489">
        <v>26684</v>
      </c>
    </row>
    <row r="490" spans="1:10" x14ac:dyDescent="0.3">
      <c r="A490" t="s">
        <v>617</v>
      </c>
      <c r="B490" s="1">
        <v>46006</v>
      </c>
      <c r="C490" t="s">
        <v>100</v>
      </c>
      <c r="D490">
        <v>51</v>
      </c>
      <c r="E490" t="s">
        <v>24</v>
      </c>
      <c r="F490" t="s">
        <v>109</v>
      </c>
      <c r="G490" t="s">
        <v>130</v>
      </c>
      <c r="H490" t="s">
        <v>243</v>
      </c>
      <c r="I490">
        <v>38580</v>
      </c>
      <c r="J490">
        <v>31641</v>
      </c>
    </row>
    <row r="491" spans="1:10" x14ac:dyDescent="0.3">
      <c r="A491" t="s">
        <v>618</v>
      </c>
      <c r="B491" s="1">
        <v>45832</v>
      </c>
      <c r="C491" t="s">
        <v>74</v>
      </c>
      <c r="D491">
        <v>26</v>
      </c>
      <c r="E491" t="s">
        <v>70</v>
      </c>
      <c r="F491" t="s">
        <v>46</v>
      </c>
      <c r="G491" t="s">
        <v>324</v>
      </c>
      <c r="H491" t="s">
        <v>55</v>
      </c>
      <c r="I491">
        <v>38422</v>
      </c>
      <c r="J491">
        <v>42368</v>
      </c>
    </row>
    <row r="492" spans="1:10" x14ac:dyDescent="0.3">
      <c r="A492" t="s">
        <v>619</v>
      </c>
      <c r="B492" s="1">
        <v>45880</v>
      </c>
      <c r="C492" t="s">
        <v>113</v>
      </c>
      <c r="D492">
        <v>33</v>
      </c>
      <c r="E492" t="s">
        <v>33</v>
      </c>
      <c r="F492" t="s">
        <v>25</v>
      </c>
      <c r="G492" t="s">
        <v>206</v>
      </c>
      <c r="H492" t="s">
        <v>163</v>
      </c>
      <c r="I492">
        <v>27918</v>
      </c>
      <c r="J492">
        <v>35056</v>
      </c>
    </row>
    <row r="493" spans="1:10" x14ac:dyDescent="0.3">
      <c r="A493" t="s">
        <v>620</v>
      </c>
      <c r="B493" s="1">
        <v>45967</v>
      </c>
      <c r="C493" t="s">
        <v>23</v>
      </c>
      <c r="D493">
        <v>45</v>
      </c>
      <c r="E493" t="s">
        <v>18</v>
      </c>
      <c r="F493" t="s">
        <v>92</v>
      </c>
      <c r="G493" t="s">
        <v>126</v>
      </c>
      <c r="H493" t="s">
        <v>165</v>
      </c>
      <c r="I493">
        <v>34150</v>
      </c>
      <c r="J493">
        <v>38683</v>
      </c>
    </row>
    <row r="494" spans="1:10" x14ac:dyDescent="0.3">
      <c r="A494" t="s">
        <v>621</v>
      </c>
      <c r="B494" s="1">
        <v>45735</v>
      </c>
      <c r="C494" t="s">
        <v>95</v>
      </c>
      <c r="D494">
        <v>12</v>
      </c>
      <c r="E494" t="s">
        <v>61</v>
      </c>
      <c r="F494" t="s">
        <v>78</v>
      </c>
      <c r="G494" t="s">
        <v>107</v>
      </c>
      <c r="H494" t="s">
        <v>68</v>
      </c>
      <c r="I494">
        <v>16726</v>
      </c>
      <c r="J494">
        <v>12101</v>
      </c>
    </row>
    <row r="495" spans="1:10" x14ac:dyDescent="0.3">
      <c r="A495" t="s">
        <v>622</v>
      </c>
      <c r="B495" s="1">
        <v>45754</v>
      </c>
      <c r="C495" t="s">
        <v>86</v>
      </c>
      <c r="D495">
        <v>15</v>
      </c>
      <c r="E495" t="s">
        <v>12</v>
      </c>
      <c r="F495" t="s">
        <v>13</v>
      </c>
      <c r="G495" t="s">
        <v>324</v>
      </c>
      <c r="H495" t="s">
        <v>84</v>
      </c>
      <c r="I495">
        <v>25961</v>
      </c>
      <c r="J495">
        <v>23818</v>
      </c>
    </row>
    <row r="496" spans="1:10" x14ac:dyDescent="0.3">
      <c r="A496" t="s">
        <v>623</v>
      </c>
      <c r="B496" s="1">
        <v>45987</v>
      </c>
      <c r="C496" t="s">
        <v>23</v>
      </c>
      <c r="D496">
        <v>48</v>
      </c>
      <c r="E496" t="s">
        <v>18</v>
      </c>
      <c r="F496" t="s">
        <v>78</v>
      </c>
      <c r="G496" t="s">
        <v>110</v>
      </c>
      <c r="H496" t="s">
        <v>165</v>
      </c>
      <c r="I496">
        <v>31269</v>
      </c>
      <c r="J496">
        <v>37927</v>
      </c>
    </row>
    <row r="497" spans="1:10" x14ac:dyDescent="0.3">
      <c r="A497" t="s">
        <v>624</v>
      </c>
      <c r="B497" s="1">
        <v>45862</v>
      </c>
      <c r="C497" t="s">
        <v>11</v>
      </c>
      <c r="D497">
        <v>30</v>
      </c>
      <c r="E497" t="s">
        <v>18</v>
      </c>
      <c r="F497" t="s">
        <v>50</v>
      </c>
      <c r="G497" t="s">
        <v>230</v>
      </c>
      <c r="H497" t="s">
        <v>80</v>
      </c>
      <c r="I497">
        <v>25683</v>
      </c>
      <c r="J497">
        <v>27568</v>
      </c>
    </row>
    <row r="498" spans="1:10" x14ac:dyDescent="0.3">
      <c r="A498" t="s">
        <v>625</v>
      </c>
      <c r="B498" s="1">
        <v>46004</v>
      </c>
      <c r="C498" t="s">
        <v>100</v>
      </c>
      <c r="D498">
        <v>50</v>
      </c>
      <c r="E498" t="s">
        <v>24</v>
      </c>
      <c r="F498" t="s">
        <v>57</v>
      </c>
      <c r="G498" t="s">
        <v>51</v>
      </c>
      <c r="H498" t="s">
        <v>116</v>
      </c>
      <c r="I498">
        <v>23442</v>
      </c>
      <c r="J498">
        <v>24217</v>
      </c>
    </row>
    <row r="499" spans="1:10" x14ac:dyDescent="0.3">
      <c r="A499" t="s">
        <v>626</v>
      </c>
      <c r="B499" s="1">
        <v>45952</v>
      </c>
      <c r="C499" t="s">
        <v>66</v>
      </c>
      <c r="D499">
        <v>43</v>
      </c>
      <c r="E499" t="s">
        <v>39</v>
      </c>
      <c r="F499" t="s">
        <v>46</v>
      </c>
      <c r="G499" t="s">
        <v>102</v>
      </c>
      <c r="H499" t="s">
        <v>64</v>
      </c>
      <c r="I499">
        <v>25803</v>
      </c>
      <c r="J499">
        <v>32758</v>
      </c>
    </row>
    <row r="500" spans="1:10" x14ac:dyDescent="0.3">
      <c r="A500" t="s">
        <v>627</v>
      </c>
      <c r="B500" s="1">
        <v>45809</v>
      </c>
      <c r="C500" t="s">
        <v>74</v>
      </c>
      <c r="D500">
        <v>22</v>
      </c>
      <c r="E500" t="s">
        <v>61</v>
      </c>
      <c r="F500" t="s">
        <v>140</v>
      </c>
      <c r="G500" t="s">
        <v>20</v>
      </c>
      <c r="H500" t="s">
        <v>163</v>
      </c>
      <c r="I500">
        <v>34421</v>
      </c>
      <c r="J500">
        <v>27704</v>
      </c>
    </row>
    <row r="501" spans="1:10" x14ac:dyDescent="0.3">
      <c r="A501" t="s">
        <v>628</v>
      </c>
      <c r="B501" s="1">
        <v>45763</v>
      </c>
      <c r="C501" t="s">
        <v>86</v>
      </c>
      <c r="D501">
        <v>16</v>
      </c>
      <c r="E501" t="s">
        <v>61</v>
      </c>
      <c r="F501" t="s">
        <v>78</v>
      </c>
      <c r="G501" t="s">
        <v>40</v>
      </c>
      <c r="H501" t="s">
        <v>155</v>
      </c>
      <c r="I501">
        <v>29889</v>
      </c>
      <c r="J501">
        <v>30984</v>
      </c>
    </row>
    <row r="502" spans="1:10" x14ac:dyDescent="0.3">
      <c r="A502" t="s">
        <v>629</v>
      </c>
      <c r="B502" s="1">
        <v>45868</v>
      </c>
      <c r="C502" t="s">
        <v>11</v>
      </c>
      <c r="D502">
        <v>31</v>
      </c>
      <c r="E502" t="s">
        <v>24</v>
      </c>
      <c r="F502" t="s">
        <v>114</v>
      </c>
      <c r="G502" t="s">
        <v>201</v>
      </c>
      <c r="H502" t="s">
        <v>157</v>
      </c>
      <c r="I502">
        <v>39415</v>
      </c>
      <c r="J502">
        <v>40843</v>
      </c>
    </row>
    <row r="503" spans="1:10" x14ac:dyDescent="0.3">
      <c r="A503" t="s">
        <v>630</v>
      </c>
      <c r="B503" s="1">
        <v>45882</v>
      </c>
      <c r="C503" t="s">
        <v>113</v>
      </c>
      <c r="D503">
        <v>33</v>
      </c>
      <c r="E503" t="s">
        <v>18</v>
      </c>
      <c r="F503" t="s">
        <v>101</v>
      </c>
      <c r="G503" t="s">
        <v>54</v>
      </c>
      <c r="H503" t="s">
        <v>165</v>
      </c>
      <c r="I503">
        <v>35199</v>
      </c>
      <c r="J503">
        <v>30620</v>
      </c>
    </row>
    <row r="504" spans="1:10" x14ac:dyDescent="0.3">
      <c r="A504" t="s">
        <v>631</v>
      </c>
      <c r="B504" s="1">
        <v>45715</v>
      </c>
      <c r="C504" t="s">
        <v>82</v>
      </c>
      <c r="D504">
        <v>9</v>
      </c>
      <c r="E504" t="s">
        <v>18</v>
      </c>
      <c r="F504" t="s">
        <v>19</v>
      </c>
      <c r="G504" t="s">
        <v>83</v>
      </c>
      <c r="H504" t="s">
        <v>151</v>
      </c>
      <c r="I504">
        <v>33559</v>
      </c>
      <c r="J504">
        <v>31136</v>
      </c>
    </row>
    <row r="505" spans="1:10" x14ac:dyDescent="0.3">
      <c r="A505" t="s">
        <v>632</v>
      </c>
      <c r="B505" s="1">
        <v>45825</v>
      </c>
      <c r="C505" t="s">
        <v>74</v>
      </c>
      <c r="D505">
        <v>25</v>
      </c>
      <c r="E505" t="s">
        <v>39</v>
      </c>
      <c r="F505" t="s">
        <v>25</v>
      </c>
      <c r="G505" t="s">
        <v>206</v>
      </c>
      <c r="H505" t="s">
        <v>64</v>
      </c>
      <c r="I505">
        <v>25561</v>
      </c>
      <c r="J505">
        <v>21008</v>
      </c>
    </row>
    <row r="506" spans="1:10" x14ac:dyDescent="0.3">
      <c r="A506" t="s">
        <v>633</v>
      </c>
      <c r="B506" s="1">
        <v>45921</v>
      </c>
      <c r="C506" t="s">
        <v>38</v>
      </c>
      <c r="D506">
        <v>38</v>
      </c>
      <c r="E506" t="s">
        <v>12</v>
      </c>
      <c r="F506" t="s">
        <v>122</v>
      </c>
      <c r="G506" t="s">
        <v>63</v>
      </c>
      <c r="H506" t="s">
        <v>52</v>
      </c>
      <c r="I506">
        <v>31620</v>
      </c>
      <c r="J506">
        <v>24561</v>
      </c>
    </row>
    <row r="507" spans="1:10" x14ac:dyDescent="0.3">
      <c r="A507" t="s">
        <v>634</v>
      </c>
      <c r="B507" s="1">
        <v>45862</v>
      </c>
      <c r="C507" t="s">
        <v>11</v>
      </c>
      <c r="D507">
        <v>30</v>
      </c>
      <c r="E507" t="s">
        <v>70</v>
      </c>
      <c r="F507" t="s">
        <v>101</v>
      </c>
      <c r="G507" t="s">
        <v>191</v>
      </c>
      <c r="H507" t="s">
        <v>15</v>
      </c>
      <c r="I507">
        <v>38495</v>
      </c>
      <c r="J507">
        <v>31321</v>
      </c>
    </row>
    <row r="508" spans="1:10" x14ac:dyDescent="0.3">
      <c r="A508" t="s">
        <v>635</v>
      </c>
      <c r="B508" s="1">
        <v>45858</v>
      </c>
      <c r="C508" t="s">
        <v>11</v>
      </c>
      <c r="D508">
        <v>29</v>
      </c>
      <c r="E508" t="s">
        <v>33</v>
      </c>
      <c r="F508" t="s">
        <v>101</v>
      </c>
      <c r="G508" t="s">
        <v>201</v>
      </c>
      <c r="H508" t="s">
        <v>133</v>
      </c>
      <c r="I508">
        <v>28585</v>
      </c>
      <c r="J508">
        <v>36717</v>
      </c>
    </row>
    <row r="509" spans="1:10" x14ac:dyDescent="0.3">
      <c r="A509" t="s">
        <v>636</v>
      </c>
      <c r="B509" s="1">
        <v>45669</v>
      </c>
      <c r="C509" t="s">
        <v>17</v>
      </c>
      <c r="D509">
        <v>2</v>
      </c>
      <c r="E509" t="s">
        <v>39</v>
      </c>
      <c r="F509" t="s">
        <v>114</v>
      </c>
      <c r="G509" t="s">
        <v>253</v>
      </c>
      <c r="H509" t="s">
        <v>36</v>
      </c>
      <c r="I509">
        <v>30234</v>
      </c>
      <c r="J509">
        <v>27915</v>
      </c>
    </row>
    <row r="510" spans="1:10" x14ac:dyDescent="0.3">
      <c r="A510" t="s">
        <v>637</v>
      </c>
      <c r="B510" s="1">
        <v>46014</v>
      </c>
      <c r="C510" t="s">
        <v>100</v>
      </c>
      <c r="D510">
        <v>52</v>
      </c>
      <c r="E510" t="s">
        <v>61</v>
      </c>
      <c r="F510" t="s">
        <v>78</v>
      </c>
      <c r="G510" t="s">
        <v>54</v>
      </c>
      <c r="H510" t="s">
        <v>155</v>
      </c>
      <c r="I510">
        <v>32638</v>
      </c>
      <c r="J510">
        <v>38039</v>
      </c>
    </row>
    <row r="511" spans="1:10" x14ac:dyDescent="0.3">
      <c r="A511" t="s">
        <v>638</v>
      </c>
      <c r="B511" s="1">
        <v>45999</v>
      </c>
      <c r="C511" t="s">
        <v>100</v>
      </c>
      <c r="D511">
        <v>50</v>
      </c>
      <c r="E511" t="s">
        <v>33</v>
      </c>
      <c r="F511" t="s">
        <v>87</v>
      </c>
      <c r="G511" t="s">
        <v>115</v>
      </c>
      <c r="H511" t="s">
        <v>211</v>
      </c>
      <c r="I511">
        <v>34966</v>
      </c>
      <c r="J511">
        <v>31569</v>
      </c>
    </row>
    <row r="512" spans="1:10" x14ac:dyDescent="0.3">
      <c r="A512" t="s">
        <v>639</v>
      </c>
      <c r="B512" s="1">
        <v>45928</v>
      </c>
      <c r="C512" t="s">
        <v>38</v>
      </c>
      <c r="D512">
        <v>39</v>
      </c>
      <c r="E512" t="s">
        <v>12</v>
      </c>
      <c r="F512" t="s">
        <v>122</v>
      </c>
      <c r="G512" t="s">
        <v>291</v>
      </c>
      <c r="H512" t="s">
        <v>157</v>
      </c>
      <c r="I512">
        <v>36379</v>
      </c>
      <c r="J512">
        <v>44487</v>
      </c>
    </row>
    <row r="513" spans="1:10" x14ac:dyDescent="0.3">
      <c r="A513" t="s">
        <v>640</v>
      </c>
      <c r="B513" s="1">
        <v>45850</v>
      </c>
      <c r="C513" t="s">
        <v>11</v>
      </c>
      <c r="D513">
        <v>28</v>
      </c>
      <c r="E513" t="s">
        <v>18</v>
      </c>
      <c r="F513" t="s">
        <v>43</v>
      </c>
      <c r="G513" t="s">
        <v>191</v>
      </c>
      <c r="H513" t="s">
        <v>36</v>
      </c>
      <c r="I513">
        <v>30463</v>
      </c>
      <c r="J513">
        <v>35407</v>
      </c>
    </row>
    <row r="514" spans="1:10" x14ac:dyDescent="0.3">
      <c r="A514" t="s">
        <v>641</v>
      </c>
      <c r="B514" s="1">
        <v>45798</v>
      </c>
      <c r="C514" t="s">
        <v>90</v>
      </c>
      <c r="D514">
        <v>21</v>
      </c>
      <c r="E514" t="s">
        <v>33</v>
      </c>
      <c r="F514" t="s">
        <v>62</v>
      </c>
      <c r="G514" t="s">
        <v>160</v>
      </c>
      <c r="H514" t="s">
        <v>59</v>
      </c>
      <c r="I514">
        <v>15840</v>
      </c>
      <c r="J514">
        <v>11212</v>
      </c>
    </row>
    <row r="515" spans="1:10" x14ac:dyDescent="0.3">
      <c r="A515" t="s">
        <v>642</v>
      </c>
      <c r="B515" s="1">
        <v>45962</v>
      </c>
      <c r="C515" t="s">
        <v>23</v>
      </c>
      <c r="D515">
        <v>44</v>
      </c>
      <c r="E515" t="s">
        <v>61</v>
      </c>
      <c r="F515" t="s">
        <v>43</v>
      </c>
      <c r="G515" t="s">
        <v>110</v>
      </c>
      <c r="H515" t="s">
        <v>21</v>
      </c>
      <c r="I515">
        <v>35256</v>
      </c>
      <c r="J515">
        <v>32837</v>
      </c>
    </row>
    <row r="516" spans="1:10" x14ac:dyDescent="0.3">
      <c r="A516" t="s">
        <v>643</v>
      </c>
      <c r="B516" s="1">
        <v>46018</v>
      </c>
      <c r="C516" t="s">
        <v>100</v>
      </c>
      <c r="D516">
        <v>52</v>
      </c>
      <c r="E516" t="s">
        <v>18</v>
      </c>
      <c r="F516" t="s">
        <v>50</v>
      </c>
      <c r="G516" t="s">
        <v>126</v>
      </c>
      <c r="H516" t="s">
        <v>103</v>
      </c>
      <c r="I516">
        <v>32367</v>
      </c>
      <c r="J516">
        <v>25004</v>
      </c>
    </row>
    <row r="517" spans="1:10" x14ac:dyDescent="0.3">
      <c r="A517" t="s">
        <v>644</v>
      </c>
      <c r="B517" s="1">
        <v>45774</v>
      </c>
      <c r="C517" t="s">
        <v>86</v>
      </c>
      <c r="D517">
        <v>17</v>
      </c>
      <c r="E517" t="s">
        <v>70</v>
      </c>
      <c r="F517" t="s">
        <v>34</v>
      </c>
      <c r="G517" t="s">
        <v>171</v>
      </c>
      <c r="H517" t="s">
        <v>64</v>
      </c>
      <c r="I517">
        <v>17584</v>
      </c>
      <c r="J517">
        <v>22331</v>
      </c>
    </row>
    <row r="518" spans="1:10" x14ac:dyDescent="0.3">
      <c r="A518" t="s">
        <v>645</v>
      </c>
      <c r="B518" s="1">
        <v>46020</v>
      </c>
      <c r="C518" t="s">
        <v>100</v>
      </c>
      <c r="D518">
        <v>1</v>
      </c>
      <c r="E518" t="s">
        <v>70</v>
      </c>
      <c r="F518" t="s">
        <v>19</v>
      </c>
      <c r="G518" t="s">
        <v>58</v>
      </c>
      <c r="H518" t="s">
        <v>84</v>
      </c>
      <c r="I518">
        <v>26809</v>
      </c>
      <c r="J518">
        <v>25685</v>
      </c>
    </row>
    <row r="519" spans="1:10" x14ac:dyDescent="0.3">
      <c r="A519" t="s">
        <v>646</v>
      </c>
      <c r="B519" s="1">
        <v>45890</v>
      </c>
      <c r="C519" t="s">
        <v>113</v>
      </c>
      <c r="D519">
        <v>34</v>
      </c>
      <c r="E519" t="s">
        <v>70</v>
      </c>
      <c r="F519" t="s">
        <v>57</v>
      </c>
      <c r="G519" t="s">
        <v>326</v>
      </c>
      <c r="H519" t="s">
        <v>133</v>
      </c>
      <c r="I519">
        <v>31222</v>
      </c>
      <c r="J519">
        <v>28499</v>
      </c>
    </row>
    <row r="520" spans="1:10" x14ac:dyDescent="0.3">
      <c r="A520" t="s">
        <v>647</v>
      </c>
      <c r="B520" s="1">
        <v>45975</v>
      </c>
      <c r="C520" t="s">
        <v>23</v>
      </c>
      <c r="D520">
        <v>46</v>
      </c>
      <c r="E520" t="s">
        <v>70</v>
      </c>
      <c r="F520" t="s">
        <v>109</v>
      </c>
      <c r="G520" t="s">
        <v>206</v>
      </c>
      <c r="H520" t="s">
        <v>123</v>
      </c>
      <c r="I520">
        <v>23274</v>
      </c>
      <c r="J520">
        <v>28580</v>
      </c>
    </row>
    <row r="521" spans="1:10" x14ac:dyDescent="0.3">
      <c r="A521" t="s">
        <v>648</v>
      </c>
      <c r="B521" s="1">
        <v>45987</v>
      </c>
      <c r="C521" t="s">
        <v>23</v>
      </c>
      <c r="D521">
        <v>48</v>
      </c>
      <c r="E521" t="s">
        <v>70</v>
      </c>
      <c r="F521" t="s">
        <v>109</v>
      </c>
      <c r="G521" t="s">
        <v>182</v>
      </c>
      <c r="H521" t="s">
        <v>27</v>
      </c>
      <c r="I521">
        <v>30657</v>
      </c>
      <c r="J521">
        <v>21600</v>
      </c>
    </row>
    <row r="522" spans="1:10" x14ac:dyDescent="0.3">
      <c r="A522" t="s">
        <v>649</v>
      </c>
      <c r="B522" s="1">
        <v>46018</v>
      </c>
      <c r="C522" t="s">
        <v>100</v>
      </c>
      <c r="D522">
        <v>52</v>
      </c>
      <c r="E522" t="s">
        <v>18</v>
      </c>
      <c r="F522" t="s">
        <v>193</v>
      </c>
      <c r="G522" t="s">
        <v>83</v>
      </c>
      <c r="H522" t="s">
        <v>80</v>
      </c>
      <c r="I522">
        <v>20077</v>
      </c>
      <c r="J522">
        <v>16534</v>
      </c>
    </row>
    <row r="523" spans="1:10" x14ac:dyDescent="0.3">
      <c r="A523" t="s">
        <v>650</v>
      </c>
      <c r="B523" s="1">
        <v>45676</v>
      </c>
      <c r="C523" t="s">
        <v>17</v>
      </c>
      <c r="D523">
        <v>3</v>
      </c>
      <c r="E523" t="s">
        <v>70</v>
      </c>
      <c r="F523" t="s">
        <v>46</v>
      </c>
      <c r="G523" t="s">
        <v>93</v>
      </c>
      <c r="H523" t="s">
        <v>133</v>
      </c>
      <c r="I523">
        <v>37349</v>
      </c>
      <c r="J523">
        <v>29444</v>
      </c>
    </row>
    <row r="524" spans="1:10" x14ac:dyDescent="0.3">
      <c r="A524" t="s">
        <v>651</v>
      </c>
      <c r="B524" s="1">
        <v>45747</v>
      </c>
      <c r="C524" t="s">
        <v>95</v>
      </c>
      <c r="D524">
        <v>14</v>
      </c>
      <c r="E524" t="s">
        <v>33</v>
      </c>
      <c r="F524" t="s">
        <v>29</v>
      </c>
      <c r="G524" t="s">
        <v>107</v>
      </c>
      <c r="H524" t="s">
        <v>188</v>
      </c>
      <c r="I524">
        <v>19456</v>
      </c>
      <c r="J524">
        <v>15947</v>
      </c>
    </row>
    <row r="525" spans="1:10" x14ac:dyDescent="0.3">
      <c r="A525" t="s">
        <v>652</v>
      </c>
      <c r="B525" s="1">
        <v>45938</v>
      </c>
      <c r="C525" t="s">
        <v>66</v>
      </c>
      <c r="D525">
        <v>41</v>
      </c>
      <c r="E525" t="s">
        <v>24</v>
      </c>
      <c r="F525" t="s">
        <v>50</v>
      </c>
      <c r="G525" t="s">
        <v>324</v>
      </c>
      <c r="H525" t="s">
        <v>103</v>
      </c>
      <c r="I525">
        <v>38686</v>
      </c>
      <c r="J525">
        <v>48020</v>
      </c>
    </row>
    <row r="526" spans="1:10" x14ac:dyDescent="0.3">
      <c r="A526" t="s">
        <v>653</v>
      </c>
      <c r="B526" s="1">
        <v>45765</v>
      </c>
      <c r="C526" t="s">
        <v>86</v>
      </c>
      <c r="D526">
        <v>16</v>
      </c>
      <c r="E526" t="s">
        <v>61</v>
      </c>
      <c r="F526" t="s">
        <v>62</v>
      </c>
      <c r="G526" t="s">
        <v>115</v>
      </c>
      <c r="H526" t="s">
        <v>188</v>
      </c>
      <c r="I526">
        <v>37068</v>
      </c>
      <c r="J526">
        <v>29424</v>
      </c>
    </row>
    <row r="527" spans="1:10" x14ac:dyDescent="0.3">
      <c r="A527" t="s">
        <v>654</v>
      </c>
      <c r="B527" s="1">
        <v>45753</v>
      </c>
      <c r="C527" t="s">
        <v>86</v>
      </c>
      <c r="D527">
        <v>14</v>
      </c>
      <c r="E527" t="s">
        <v>18</v>
      </c>
      <c r="F527" t="s">
        <v>114</v>
      </c>
      <c r="G527" t="s">
        <v>83</v>
      </c>
      <c r="H527" t="s">
        <v>151</v>
      </c>
      <c r="I527">
        <v>32926</v>
      </c>
      <c r="J527">
        <v>39904</v>
      </c>
    </row>
    <row r="528" spans="1:10" x14ac:dyDescent="0.3">
      <c r="A528" t="s">
        <v>655</v>
      </c>
      <c r="B528" s="1">
        <v>45734</v>
      </c>
      <c r="C528" t="s">
        <v>95</v>
      </c>
      <c r="D528">
        <v>12</v>
      </c>
      <c r="E528" t="s">
        <v>39</v>
      </c>
      <c r="F528" t="s">
        <v>50</v>
      </c>
      <c r="G528" t="s">
        <v>326</v>
      </c>
      <c r="H528" t="s">
        <v>123</v>
      </c>
      <c r="I528">
        <v>31422</v>
      </c>
      <c r="J528">
        <v>29366</v>
      </c>
    </row>
    <row r="529" spans="1:10" x14ac:dyDescent="0.3">
      <c r="A529" t="s">
        <v>656</v>
      </c>
      <c r="B529" s="1">
        <v>45937</v>
      </c>
      <c r="C529" t="s">
        <v>66</v>
      </c>
      <c r="D529">
        <v>41</v>
      </c>
      <c r="E529" t="s">
        <v>18</v>
      </c>
      <c r="F529" t="s">
        <v>122</v>
      </c>
      <c r="G529" t="s">
        <v>35</v>
      </c>
      <c r="H529" t="s">
        <v>123</v>
      </c>
      <c r="I529">
        <v>36229</v>
      </c>
      <c r="J529">
        <v>26497</v>
      </c>
    </row>
    <row r="530" spans="1:10" x14ac:dyDescent="0.3">
      <c r="A530" t="s">
        <v>657</v>
      </c>
      <c r="B530" s="1">
        <v>46018</v>
      </c>
      <c r="C530" t="s">
        <v>100</v>
      </c>
      <c r="D530">
        <v>52</v>
      </c>
      <c r="E530" t="s">
        <v>12</v>
      </c>
      <c r="F530" t="s">
        <v>92</v>
      </c>
      <c r="G530" t="s">
        <v>206</v>
      </c>
      <c r="H530" t="s">
        <v>103</v>
      </c>
      <c r="I530">
        <v>30977</v>
      </c>
      <c r="J530">
        <v>24625</v>
      </c>
    </row>
    <row r="531" spans="1:10" x14ac:dyDescent="0.3">
      <c r="A531" t="s">
        <v>658</v>
      </c>
      <c r="B531" s="1">
        <v>45927</v>
      </c>
      <c r="C531" t="s">
        <v>38</v>
      </c>
      <c r="D531">
        <v>39</v>
      </c>
      <c r="E531" t="s">
        <v>39</v>
      </c>
      <c r="F531" t="s">
        <v>25</v>
      </c>
      <c r="G531" t="s">
        <v>126</v>
      </c>
      <c r="H531" t="s">
        <v>36</v>
      </c>
      <c r="I531">
        <v>20951</v>
      </c>
      <c r="J531">
        <v>20886</v>
      </c>
    </row>
    <row r="532" spans="1:10" x14ac:dyDescent="0.3">
      <c r="A532" t="s">
        <v>659</v>
      </c>
      <c r="B532" s="1">
        <v>45733</v>
      </c>
      <c r="C532" t="s">
        <v>95</v>
      </c>
      <c r="D532">
        <v>12</v>
      </c>
      <c r="E532" t="s">
        <v>61</v>
      </c>
      <c r="F532" t="s">
        <v>122</v>
      </c>
      <c r="G532" t="s">
        <v>240</v>
      </c>
      <c r="H532" t="s">
        <v>41</v>
      </c>
      <c r="I532">
        <v>34711</v>
      </c>
      <c r="J532">
        <v>43816</v>
      </c>
    </row>
    <row r="533" spans="1:10" x14ac:dyDescent="0.3">
      <c r="A533" t="s">
        <v>660</v>
      </c>
      <c r="B533" s="1">
        <v>45962</v>
      </c>
      <c r="C533" t="s">
        <v>23</v>
      </c>
      <c r="D533">
        <v>44</v>
      </c>
      <c r="E533" t="s">
        <v>70</v>
      </c>
      <c r="F533" t="s">
        <v>193</v>
      </c>
      <c r="G533" t="s">
        <v>201</v>
      </c>
      <c r="H533" t="s">
        <v>68</v>
      </c>
      <c r="I533">
        <v>29457</v>
      </c>
      <c r="J533">
        <v>36505</v>
      </c>
    </row>
    <row r="534" spans="1:10" x14ac:dyDescent="0.3">
      <c r="A534" t="s">
        <v>661</v>
      </c>
      <c r="B534" s="1">
        <v>45913</v>
      </c>
      <c r="C534" t="s">
        <v>38</v>
      </c>
      <c r="D534">
        <v>37</v>
      </c>
      <c r="E534" t="s">
        <v>39</v>
      </c>
      <c r="F534" t="s">
        <v>46</v>
      </c>
      <c r="G534" t="s">
        <v>58</v>
      </c>
      <c r="H534" t="s">
        <v>151</v>
      </c>
      <c r="I534">
        <v>38952</v>
      </c>
      <c r="J534">
        <v>40662</v>
      </c>
    </row>
    <row r="535" spans="1:10" x14ac:dyDescent="0.3">
      <c r="A535" t="s">
        <v>662</v>
      </c>
      <c r="B535" s="1">
        <v>45701</v>
      </c>
      <c r="C535" t="s">
        <v>82</v>
      </c>
      <c r="D535">
        <v>7</v>
      </c>
      <c r="E535" t="s">
        <v>18</v>
      </c>
      <c r="F535" t="s">
        <v>140</v>
      </c>
      <c r="G535" t="s">
        <v>171</v>
      </c>
      <c r="H535" t="s">
        <v>111</v>
      </c>
      <c r="I535">
        <v>37506</v>
      </c>
      <c r="J535">
        <v>35893</v>
      </c>
    </row>
    <row r="536" spans="1:10" x14ac:dyDescent="0.3">
      <c r="A536" t="s">
        <v>663</v>
      </c>
      <c r="B536" s="1">
        <v>45896</v>
      </c>
      <c r="C536" t="s">
        <v>113</v>
      </c>
      <c r="D536">
        <v>35</v>
      </c>
      <c r="E536" t="s">
        <v>12</v>
      </c>
      <c r="F536" t="s">
        <v>193</v>
      </c>
      <c r="G536" t="s">
        <v>137</v>
      </c>
      <c r="H536" t="s">
        <v>188</v>
      </c>
      <c r="I536">
        <v>16975</v>
      </c>
      <c r="J536">
        <v>18934</v>
      </c>
    </row>
    <row r="537" spans="1:10" x14ac:dyDescent="0.3">
      <c r="A537" t="s">
        <v>664</v>
      </c>
      <c r="B537" s="1">
        <v>45721</v>
      </c>
      <c r="C537" t="s">
        <v>95</v>
      </c>
      <c r="D537">
        <v>10</v>
      </c>
      <c r="E537" t="s">
        <v>12</v>
      </c>
      <c r="F537" t="s">
        <v>75</v>
      </c>
      <c r="G537" t="s">
        <v>182</v>
      </c>
      <c r="H537" t="s">
        <v>163</v>
      </c>
      <c r="I537">
        <v>36242</v>
      </c>
      <c r="J537">
        <v>32102</v>
      </c>
    </row>
    <row r="538" spans="1:10" x14ac:dyDescent="0.3">
      <c r="A538" t="s">
        <v>665</v>
      </c>
      <c r="B538" s="1">
        <v>45682</v>
      </c>
      <c r="C538" t="s">
        <v>17</v>
      </c>
      <c r="D538">
        <v>4</v>
      </c>
      <c r="E538" t="s">
        <v>33</v>
      </c>
      <c r="F538" t="s">
        <v>109</v>
      </c>
      <c r="G538" t="s">
        <v>40</v>
      </c>
      <c r="H538" t="s">
        <v>163</v>
      </c>
      <c r="I538">
        <v>39554</v>
      </c>
      <c r="J538">
        <v>51301</v>
      </c>
    </row>
    <row r="539" spans="1:10" x14ac:dyDescent="0.3">
      <c r="A539" t="s">
        <v>666</v>
      </c>
      <c r="B539" s="1">
        <v>45968</v>
      </c>
      <c r="C539" t="s">
        <v>23</v>
      </c>
      <c r="D539">
        <v>45</v>
      </c>
      <c r="E539" t="s">
        <v>70</v>
      </c>
      <c r="F539" t="s">
        <v>25</v>
      </c>
      <c r="G539" t="s">
        <v>110</v>
      </c>
      <c r="H539" t="s">
        <v>64</v>
      </c>
      <c r="I539">
        <v>33251</v>
      </c>
      <c r="J539">
        <v>28328</v>
      </c>
    </row>
    <row r="540" spans="1:10" x14ac:dyDescent="0.3">
      <c r="A540" t="s">
        <v>667</v>
      </c>
      <c r="B540" s="1">
        <v>46000</v>
      </c>
      <c r="C540" t="s">
        <v>100</v>
      </c>
      <c r="D540">
        <v>50</v>
      </c>
      <c r="E540" t="s">
        <v>39</v>
      </c>
      <c r="F540" t="s">
        <v>92</v>
      </c>
      <c r="G540" t="s">
        <v>93</v>
      </c>
      <c r="H540" t="s">
        <v>119</v>
      </c>
      <c r="I540">
        <v>30590</v>
      </c>
      <c r="J540">
        <v>38673</v>
      </c>
    </row>
    <row r="541" spans="1:10" x14ac:dyDescent="0.3">
      <c r="A541" t="s">
        <v>668</v>
      </c>
      <c r="B541" s="1">
        <v>45868</v>
      </c>
      <c r="C541" t="s">
        <v>11</v>
      </c>
      <c r="D541">
        <v>31</v>
      </c>
      <c r="E541" t="s">
        <v>61</v>
      </c>
      <c r="F541" t="s">
        <v>34</v>
      </c>
      <c r="G541" t="s">
        <v>115</v>
      </c>
      <c r="H541" t="s">
        <v>123</v>
      </c>
      <c r="I541">
        <v>34320</v>
      </c>
      <c r="J541">
        <v>40518</v>
      </c>
    </row>
    <row r="542" spans="1:10" x14ac:dyDescent="0.3">
      <c r="A542" t="s">
        <v>669</v>
      </c>
      <c r="B542" s="1">
        <v>45827</v>
      </c>
      <c r="C542" t="s">
        <v>74</v>
      </c>
      <c r="D542">
        <v>25</v>
      </c>
      <c r="E542" t="s">
        <v>24</v>
      </c>
      <c r="F542" t="s">
        <v>109</v>
      </c>
      <c r="G542" t="s">
        <v>160</v>
      </c>
      <c r="H542" t="s">
        <v>211</v>
      </c>
      <c r="I542">
        <v>30072</v>
      </c>
      <c r="J542">
        <v>37905</v>
      </c>
    </row>
    <row r="543" spans="1:10" x14ac:dyDescent="0.3">
      <c r="A543" t="s">
        <v>670</v>
      </c>
      <c r="B543" s="1">
        <v>45952</v>
      </c>
      <c r="C543" t="s">
        <v>66</v>
      </c>
      <c r="D543">
        <v>43</v>
      </c>
      <c r="E543" t="s">
        <v>39</v>
      </c>
      <c r="F543" t="s">
        <v>92</v>
      </c>
      <c r="G543" t="s">
        <v>128</v>
      </c>
      <c r="H543" t="s">
        <v>96</v>
      </c>
      <c r="I543">
        <v>24642</v>
      </c>
      <c r="J543">
        <v>21756</v>
      </c>
    </row>
    <row r="544" spans="1:10" x14ac:dyDescent="0.3">
      <c r="A544" t="s">
        <v>671</v>
      </c>
      <c r="B544" s="1">
        <v>45890</v>
      </c>
      <c r="C544" t="s">
        <v>113</v>
      </c>
      <c r="D544">
        <v>34</v>
      </c>
      <c r="E544" t="s">
        <v>12</v>
      </c>
      <c r="F544" t="s">
        <v>29</v>
      </c>
      <c r="G544" t="s">
        <v>137</v>
      </c>
      <c r="H544" t="s">
        <v>243</v>
      </c>
      <c r="I544">
        <v>33080</v>
      </c>
      <c r="J544">
        <v>41236</v>
      </c>
    </row>
    <row r="545" spans="1:10" x14ac:dyDescent="0.3">
      <c r="A545" t="s">
        <v>672</v>
      </c>
      <c r="B545" s="1">
        <v>45960</v>
      </c>
      <c r="C545" t="s">
        <v>66</v>
      </c>
      <c r="D545">
        <v>44</v>
      </c>
      <c r="E545" t="s">
        <v>12</v>
      </c>
      <c r="F545" t="s">
        <v>109</v>
      </c>
      <c r="G545" t="s">
        <v>115</v>
      </c>
      <c r="H545" t="s">
        <v>165</v>
      </c>
      <c r="I545">
        <v>19662</v>
      </c>
      <c r="J545">
        <v>16674</v>
      </c>
    </row>
    <row r="546" spans="1:10" x14ac:dyDescent="0.3">
      <c r="A546" t="s">
        <v>673</v>
      </c>
      <c r="B546" s="1">
        <v>45774</v>
      </c>
      <c r="C546" t="s">
        <v>86</v>
      </c>
      <c r="D546">
        <v>17</v>
      </c>
      <c r="E546" t="s">
        <v>24</v>
      </c>
      <c r="F546" t="s">
        <v>29</v>
      </c>
      <c r="G546" t="s">
        <v>14</v>
      </c>
      <c r="H546" t="s">
        <v>80</v>
      </c>
      <c r="I546">
        <v>24342</v>
      </c>
      <c r="J546">
        <v>26928</v>
      </c>
    </row>
    <row r="547" spans="1:10" x14ac:dyDescent="0.3">
      <c r="A547" t="s">
        <v>674</v>
      </c>
      <c r="B547" s="1">
        <v>46006</v>
      </c>
      <c r="C547" t="s">
        <v>100</v>
      </c>
      <c r="D547">
        <v>51</v>
      </c>
      <c r="E547" t="s">
        <v>70</v>
      </c>
      <c r="F547" t="s">
        <v>122</v>
      </c>
      <c r="G547" t="s">
        <v>76</v>
      </c>
      <c r="H547" t="s">
        <v>116</v>
      </c>
      <c r="I547">
        <v>38901</v>
      </c>
      <c r="J547">
        <v>28447</v>
      </c>
    </row>
    <row r="548" spans="1:10" x14ac:dyDescent="0.3">
      <c r="A548" t="s">
        <v>675</v>
      </c>
      <c r="B548" s="1">
        <v>46017</v>
      </c>
      <c r="C548" t="s">
        <v>100</v>
      </c>
      <c r="D548">
        <v>52</v>
      </c>
      <c r="E548" t="s">
        <v>18</v>
      </c>
      <c r="F548" t="s">
        <v>13</v>
      </c>
      <c r="G548" t="s">
        <v>63</v>
      </c>
      <c r="H548" t="s">
        <v>123</v>
      </c>
      <c r="I548">
        <v>25075</v>
      </c>
      <c r="J548">
        <v>17619</v>
      </c>
    </row>
    <row r="549" spans="1:10" x14ac:dyDescent="0.3">
      <c r="A549" t="s">
        <v>676</v>
      </c>
      <c r="B549" s="1">
        <v>45897</v>
      </c>
      <c r="C549" t="s">
        <v>113</v>
      </c>
      <c r="D549">
        <v>35</v>
      </c>
      <c r="E549" t="s">
        <v>39</v>
      </c>
      <c r="F549" t="s">
        <v>29</v>
      </c>
      <c r="G549" t="s">
        <v>30</v>
      </c>
      <c r="H549" t="s">
        <v>157</v>
      </c>
      <c r="I549">
        <v>16553</v>
      </c>
      <c r="J549">
        <v>20286</v>
      </c>
    </row>
    <row r="550" spans="1:10" x14ac:dyDescent="0.3">
      <c r="A550" t="s">
        <v>677</v>
      </c>
      <c r="B550" s="1">
        <v>45931</v>
      </c>
      <c r="C550" t="s">
        <v>66</v>
      </c>
      <c r="D550">
        <v>40</v>
      </c>
      <c r="E550" t="s">
        <v>33</v>
      </c>
      <c r="F550" t="s">
        <v>25</v>
      </c>
      <c r="G550" t="s">
        <v>54</v>
      </c>
      <c r="H550" t="s">
        <v>96</v>
      </c>
      <c r="I550">
        <v>32812</v>
      </c>
      <c r="J550">
        <v>33578</v>
      </c>
    </row>
    <row r="551" spans="1:10" x14ac:dyDescent="0.3">
      <c r="A551" t="s">
        <v>678</v>
      </c>
      <c r="B551" s="1">
        <v>45806</v>
      </c>
      <c r="C551" t="s">
        <v>90</v>
      </c>
      <c r="D551">
        <v>22</v>
      </c>
      <c r="E551" t="s">
        <v>70</v>
      </c>
      <c r="F551" t="s">
        <v>92</v>
      </c>
      <c r="G551" t="s">
        <v>102</v>
      </c>
      <c r="H551" t="s">
        <v>133</v>
      </c>
      <c r="I551">
        <v>31158</v>
      </c>
      <c r="J551">
        <v>28935</v>
      </c>
    </row>
    <row r="552" spans="1:10" x14ac:dyDescent="0.3">
      <c r="A552" t="s">
        <v>679</v>
      </c>
      <c r="B552" s="1">
        <v>45890</v>
      </c>
      <c r="C552" t="s">
        <v>113</v>
      </c>
      <c r="D552">
        <v>34</v>
      </c>
      <c r="E552" t="s">
        <v>39</v>
      </c>
      <c r="F552" t="s">
        <v>46</v>
      </c>
      <c r="G552" t="s">
        <v>324</v>
      </c>
      <c r="H552" t="s">
        <v>59</v>
      </c>
      <c r="I552">
        <v>34779</v>
      </c>
      <c r="J552">
        <v>41969</v>
      </c>
    </row>
    <row r="553" spans="1:10" x14ac:dyDescent="0.3">
      <c r="A553" t="s">
        <v>680</v>
      </c>
      <c r="B553" s="1">
        <v>45886</v>
      </c>
      <c r="C553" t="s">
        <v>113</v>
      </c>
      <c r="D553">
        <v>33</v>
      </c>
      <c r="E553" t="s">
        <v>24</v>
      </c>
      <c r="F553" t="s">
        <v>92</v>
      </c>
      <c r="G553" t="s">
        <v>35</v>
      </c>
      <c r="H553" t="s">
        <v>165</v>
      </c>
      <c r="I553">
        <v>20905</v>
      </c>
      <c r="J553">
        <v>15203</v>
      </c>
    </row>
    <row r="554" spans="1:10" x14ac:dyDescent="0.3">
      <c r="A554" t="s">
        <v>681</v>
      </c>
      <c r="B554" s="1">
        <v>45658</v>
      </c>
      <c r="C554" t="s">
        <v>17</v>
      </c>
      <c r="D554">
        <v>1</v>
      </c>
      <c r="E554" t="s">
        <v>61</v>
      </c>
      <c r="F554" t="s">
        <v>92</v>
      </c>
      <c r="G554" t="s">
        <v>160</v>
      </c>
      <c r="H554" t="s">
        <v>27</v>
      </c>
      <c r="I554">
        <v>23428</v>
      </c>
      <c r="J554">
        <v>21820</v>
      </c>
    </row>
    <row r="555" spans="1:10" x14ac:dyDescent="0.3">
      <c r="A555" t="s">
        <v>682</v>
      </c>
      <c r="B555" s="1">
        <v>45811</v>
      </c>
      <c r="C555" t="s">
        <v>74</v>
      </c>
      <c r="D555">
        <v>23</v>
      </c>
      <c r="E555" t="s">
        <v>33</v>
      </c>
      <c r="F555" t="s">
        <v>87</v>
      </c>
      <c r="G555" t="s">
        <v>30</v>
      </c>
      <c r="H555" t="s">
        <v>188</v>
      </c>
      <c r="I555">
        <v>16669</v>
      </c>
      <c r="J555">
        <v>12326</v>
      </c>
    </row>
    <row r="556" spans="1:10" x14ac:dyDescent="0.3">
      <c r="A556" t="s">
        <v>683</v>
      </c>
      <c r="B556" s="1">
        <v>45732</v>
      </c>
      <c r="C556" t="s">
        <v>95</v>
      </c>
      <c r="D556">
        <v>11</v>
      </c>
      <c r="E556" t="s">
        <v>12</v>
      </c>
      <c r="F556" t="s">
        <v>114</v>
      </c>
      <c r="G556" t="s">
        <v>40</v>
      </c>
      <c r="H556" t="s">
        <v>119</v>
      </c>
      <c r="I556">
        <v>22626</v>
      </c>
      <c r="J556">
        <v>23968</v>
      </c>
    </row>
    <row r="557" spans="1:10" x14ac:dyDescent="0.3">
      <c r="A557" t="s">
        <v>684</v>
      </c>
      <c r="B557" s="1">
        <v>45724</v>
      </c>
      <c r="C557" t="s">
        <v>95</v>
      </c>
      <c r="D557">
        <v>10</v>
      </c>
      <c r="E557" t="s">
        <v>39</v>
      </c>
      <c r="F557" t="s">
        <v>75</v>
      </c>
      <c r="G557" t="s">
        <v>326</v>
      </c>
      <c r="H557" t="s">
        <v>103</v>
      </c>
      <c r="I557">
        <v>21248</v>
      </c>
      <c r="J557">
        <v>15691</v>
      </c>
    </row>
    <row r="558" spans="1:10" x14ac:dyDescent="0.3">
      <c r="A558" t="s">
        <v>685</v>
      </c>
      <c r="B558" s="1">
        <v>45902</v>
      </c>
      <c r="C558" t="s">
        <v>38</v>
      </c>
      <c r="D558">
        <v>36</v>
      </c>
      <c r="E558" t="s">
        <v>12</v>
      </c>
      <c r="F558" t="s">
        <v>19</v>
      </c>
      <c r="G558" t="s">
        <v>126</v>
      </c>
      <c r="H558" t="s">
        <v>36</v>
      </c>
      <c r="I558">
        <v>28264</v>
      </c>
      <c r="J558">
        <v>26257</v>
      </c>
    </row>
    <row r="559" spans="1:10" x14ac:dyDescent="0.3">
      <c r="A559" t="s">
        <v>686</v>
      </c>
      <c r="B559" s="1">
        <v>46012</v>
      </c>
      <c r="C559" t="s">
        <v>100</v>
      </c>
      <c r="D559">
        <v>51</v>
      </c>
      <c r="E559" t="s">
        <v>24</v>
      </c>
      <c r="F559" t="s">
        <v>101</v>
      </c>
      <c r="G559" t="s">
        <v>67</v>
      </c>
      <c r="H559" t="s">
        <v>119</v>
      </c>
      <c r="I559">
        <v>22237</v>
      </c>
      <c r="J559">
        <v>28330</v>
      </c>
    </row>
    <row r="560" spans="1:10" x14ac:dyDescent="0.3">
      <c r="A560" t="s">
        <v>687</v>
      </c>
      <c r="B560" s="1">
        <v>45913</v>
      </c>
      <c r="C560" t="s">
        <v>38</v>
      </c>
      <c r="D560">
        <v>37</v>
      </c>
      <c r="E560" t="s">
        <v>24</v>
      </c>
      <c r="F560" t="s">
        <v>114</v>
      </c>
      <c r="G560" t="s">
        <v>230</v>
      </c>
      <c r="H560" t="s">
        <v>163</v>
      </c>
      <c r="I560">
        <v>30813</v>
      </c>
      <c r="J560">
        <v>29164</v>
      </c>
    </row>
    <row r="561" spans="1:10" x14ac:dyDescent="0.3">
      <c r="A561" t="s">
        <v>688</v>
      </c>
      <c r="B561" s="1">
        <v>45859</v>
      </c>
      <c r="C561" t="s">
        <v>11</v>
      </c>
      <c r="D561">
        <v>30</v>
      </c>
      <c r="E561" t="s">
        <v>61</v>
      </c>
      <c r="F561" t="s">
        <v>57</v>
      </c>
      <c r="G561" t="s">
        <v>291</v>
      </c>
      <c r="H561" t="s">
        <v>165</v>
      </c>
      <c r="I561">
        <v>36302</v>
      </c>
      <c r="J561">
        <v>42030</v>
      </c>
    </row>
    <row r="562" spans="1:10" x14ac:dyDescent="0.3">
      <c r="A562" t="s">
        <v>689</v>
      </c>
      <c r="B562" s="1">
        <v>45691</v>
      </c>
      <c r="C562" t="s">
        <v>82</v>
      </c>
      <c r="D562">
        <v>6</v>
      </c>
      <c r="E562" t="s">
        <v>33</v>
      </c>
      <c r="F562" t="s">
        <v>13</v>
      </c>
      <c r="G562" t="s">
        <v>44</v>
      </c>
      <c r="H562" t="s">
        <v>21</v>
      </c>
      <c r="I562">
        <v>16048</v>
      </c>
      <c r="J562">
        <v>11862</v>
      </c>
    </row>
    <row r="563" spans="1:10" x14ac:dyDescent="0.3">
      <c r="A563" t="s">
        <v>690</v>
      </c>
      <c r="B563" s="1">
        <v>45819</v>
      </c>
      <c r="C563" t="s">
        <v>74</v>
      </c>
      <c r="D563">
        <v>24</v>
      </c>
      <c r="E563" t="s">
        <v>39</v>
      </c>
      <c r="F563" t="s">
        <v>87</v>
      </c>
      <c r="G563" t="s">
        <v>128</v>
      </c>
      <c r="H563" t="s">
        <v>48</v>
      </c>
      <c r="I563">
        <v>39265</v>
      </c>
      <c r="J563">
        <v>29892</v>
      </c>
    </row>
    <row r="564" spans="1:10" x14ac:dyDescent="0.3">
      <c r="A564" t="s">
        <v>691</v>
      </c>
      <c r="B564" s="1">
        <v>45872</v>
      </c>
      <c r="C564" t="s">
        <v>113</v>
      </c>
      <c r="D564">
        <v>31</v>
      </c>
      <c r="E564" t="s">
        <v>18</v>
      </c>
      <c r="F564" t="s">
        <v>57</v>
      </c>
      <c r="G564" t="s">
        <v>135</v>
      </c>
      <c r="H564" t="s">
        <v>21</v>
      </c>
      <c r="I564">
        <v>17400</v>
      </c>
      <c r="J564">
        <v>22469</v>
      </c>
    </row>
    <row r="565" spans="1:10" x14ac:dyDescent="0.3">
      <c r="A565" t="s">
        <v>692</v>
      </c>
      <c r="B565" s="1">
        <v>45754</v>
      </c>
      <c r="C565" t="s">
        <v>86</v>
      </c>
      <c r="D565">
        <v>15</v>
      </c>
      <c r="E565" t="s">
        <v>61</v>
      </c>
      <c r="F565" t="s">
        <v>109</v>
      </c>
      <c r="G565" t="s">
        <v>145</v>
      </c>
      <c r="H565" t="s">
        <v>119</v>
      </c>
      <c r="I565">
        <v>31155</v>
      </c>
      <c r="J565">
        <v>23985</v>
      </c>
    </row>
    <row r="566" spans="1:10" x14ac:dyDescent="0.3">
      <c r="A566" t="s">
        <v>693</v>
      </c>
      <c r="B566" s="1">
        <v>45978</v>
      </c>
      <c r="C566" t="s">
        <v>23</v>
      </c>
      <c r="D566">
        <v>47</v>
      </c>
      <c r="E566" t="s">
        <v>12</v>
      </c>
      <c r="F566" t="s">
        <v>114</v>
      </c>
      <c r="G566" t="s">
        <v>20</v>
      </c>
      <c r="H566" t="s">
        <v>96</v>
      </c>
      <c r="I566">
        <v>31916</v>
      </c>
      <c r="J566">
        <v>26880</v>
      </c>
    </row>
    <row r="567" spans="1:10" x14ac:dyDescent="0.3">
      <c r="A567" t="s">
        <v>694</v>
      </c>
      <c r="B567" s="1">
        <v>45948</v>
      </c>
      <c r="C567" t="s">
        <v>66</v>
      </c>
      <c r="D567">
        <v>42</v>
      </c>
      <c r="E567" t="s">
        <v>24</v>
      </c>
      <c r="F567" t="s">
        <v>193</v>
      </c>
      <c r="G567" t="s">
        <v>145</v>
      </c>
      <c r="H567" t="s">
        <v>155</v>
      </c>
      <c r="I567">
        <v>19673</v>
      </c>
      <c r="J567">
        <v>21316</v>
      </c>
    </row>
    <row r="568" spans="1:10" x14ac:dyDescent="0.3">
      <c r="A568" t="s">
        <v>695</v>
      </c>
      <c r="B568" s="1">
        <v>45751</v>
      </c>
      <c r="C568" t="s">
        <v>86</v>
      </c>
      <c r="D568">
        <v>14</v>
      </c>
      <c r="E568" t="s">
        <v>61</v>
      </c>
      <c r="F568" t="s">
        <v>87</v>
      </c>
      <c r="G568" t="s">
        <v>83</v>
      </c>
      <c r="H568" t="s">
        <v>243</v>
      </c>
      <c r="I568">
        <v>26908</v>
      </c>
      <c r="J568">
        <v>33386</v>
      </c>
    </row>
    <row r="569" spans="1:10" x14ac:dyDescent="0.3">
      <c r="A569" t="s">
        <v>696</v>
      </c>
      <c r="B569" s="1">
        <v>45756</v>
      </c>
      <c r="C569" t="s">
        <v>86</v>
      </c>
      <c r="D569">
        <v>15</v>
      </c>
      <c r="E569" t="s">
        <v>39</v>
      </c>
      <c r="F569" t="s">
        <v>114</v>
      </c>
      <c r="G569" t="s">
        <v>230</v>
      </c>
      <c r="H569" t="s">
        <v>80</v>
      </c>
      <c r="I569">
        <v>30835</v>
      </c>
      <c r="J569">
        <v>22290</v>
      </c>
    </row>
    <row r="570" spans="1:10" x14ac:dyDescent="0.3">
      <c r="A570" t="s">
        <v>697</v>
      </c>
      <c r="B570" s="1">
        <v>45764</v>
      </c>
      <c r="C570" t="s">
        <v>86</v>
      </c>
      <c r="D570">
        <v>16</v>
      </c>
      <c r="E570" t="s">
        <v>33</v>
      </c>
      <c r="F570" t="s">
        <v>92</v>
      </c>
      <c r="G570" t="s">
        <v>182</v>
      </c>
      <c r="H570" t="s">
        <v>96</v>
      </c>
      <c r="I570">
        <v>35272</v>
      </c>
      <c r="J570">
        <v>31045</v>
      </c>
    </row>
    <row r="571" spans="1:10" x14ac:dyDescent="0.3">
      <c r="A571" t="s">
        <v>698</v>
      </c>
      <c r="B571" s="1">
        <v>45884</v>
      </c>
      <c r="C571" t="s">
        <v>113</v>
      </c>
      <c r="D571">
        <v>33</v>
      </c>
      <c r="E571" t="s">
        <v>70</v>
      </c>
      <c r="F571" t="s">
        <v>140</v>
      </c>
      <c r="G571" t="s">
        <v>137</v>
      </c>
      <c r="H571" t="s">
        <v>163</v>
      </c>
      <c r="I571">
        <v>20483</v>
      </c>
      <c r="J571">
        <v>19703</v>
      </c>
    </row>
    <row r="572" spans="1:10" x14ac:dyDescent="0.3">
      <c r="A572" t="s">
        <v>699</v>
      </c>
      <c r="B572" s="1">
        <v>45757</v>
      </c>
      <c r="C572" t="s">
        <v>86</v>
      </c>
      <c r="D572">
        <v>15</v>
      </c>
      <c r="E572" t="s">
        <v>12</v>
      </c>
      <c r="F572" t="s">
        <v>43</v>
      </c>
      <c r="G572" t="s">
        <v>40</v>
      </c>
      <c r="H572" t="s">
        <v>103</v>
      </c>
      <c r="I572">
        <v>16547</v>
      </c>
      <c r="J572">
        <v>18221</v>
      </c>
    </row>
    <row r="573" spans="1:10" x14ac:dyDescent="0.3">
      <c r="A573" t="s">
        <v>700</v>
      </c>
      <c r="B573" s="1">
        <v>45686</v>
      </c>
      <c r="C573" t="s">
        <v>17</v>
      </c>
      <c r="D573">
        <v>5</v>
      </c>
      <c r="E573" t="s">
        <v>39</v>
      </c>
      <c r="F573" t="s">
        <v>122</v>
      </c>
      <c r="G573" t="s">
        <v>149</v>
      </c>
      <c r="H573" t="s">
        <v>243</v>
      </c>
      <c r="I573">
        <v>37605</v>
      </c>
      <c r="J573">
        <v>29991</v>
      </c>
    </row>
    <row r="574" spans="1:10" x14ac:dyDescent="0.3">
      <c r="A574" t="s">
        <v>701</v>
      </c>
      <c r="B574" s="1">
        <v>45998</v>
      </c>
      <c r="C574" t="s">
        <v>100</v>
      </c>
      <c r="D574">
        <v>49</v>
      </c>
      <c r="E574" t="s">
        <v>12</v>
      </c>
      <c r="F574" t="s">
        <v>43</v>
      </c>
      <c r="G574" t="s">
        <v>201</v>
      </c>
      <c r="H574" t="s">
        <v>103</v>
      </c>
      <c r="I574">
        <v>31765</v>
      </c>
      <c r="J574">
        <v>34382</v>
      </c>
    </row>
    <row r="575" spans="1:10" x14ac:dyDescent="0.3">
      <c r="A575" t="s">
        <v>702</v>
      </c>
      <c r="B575" s="1">
        <v>45788</v>
      </c>
      <c r="C575" t="s">
        <v>90</v>
      </c>
      <c r="D575">
        <v>19</v>
      </c>
      <c r="E575" t="s">
        <v>70</v>
      </c>
      <c r="F575" t="s">
        <v>109</v>
      </c>
      <c r="G575" t="s">
        <v>141</v>
      </c>
      <c r="H575" t="s">
        <v>188</v>
      </c>
      <c r="I575">
        <v>31938</v>
      </c>
      <c r="J575">
        <v>40664</v>
      </c>
    </row>
    <row r="576" spans="1:10" x14ac:dyDescent="0.3">
      <c r="A576" t="s">
        <v>703</v>
      </c>
      <c r="B576" s="1">
        <v>45923</v>
      </c>
      <c r="C576" t="s">
        <v>38</v>
      </c>
      <c r="D576">
        <v>39</v>
      </c>
      <c r="E576" t="s">
        <v>70</v>
      </c>
      <c r="F576" t="s">
        <v>78</v>
      </c>
      <c r="G576" t="s">
        <v>72</v>
      </c>
      <c r="H576" t="s">
        <v>116</v>
      </c>
      <c r="I576">
        <v>28747</v>
      </c>
      <c r="J576">
        <v>28074</v>
      </c>
    </row>
    <row r="577" spans="1:10" x14ac:dyDescent="0.3">
      <c r="A577" t="s">
        <v>704</v>
      </c>
      <c r="B577" s="1">
        <v>45692</v>
      </c>
      <c r="C577" t="s">
        <v>82</v>
      </c>
      <c r="D577">
        <v>6</v>
      </c>
      <c r="E577" t="s">
        <v>24</v>
      </c>
      <c r="F577" t="s">
        <v>25</v>
      </c>
      <c r="G577" t="s">
        <v>199</v>
      </c>
      <c r="H577" t="s">
        <v>163</v>
      </c>
      <c r="I577">
        <v>24595</v>
      </c>
      <c r="J577">
        <v>18488</v>
      </c>
    </row>
    <row r="578" spans="1:10" x14ac:dyDescent="0.3">
      <c r="A578" t="s">
        <v>705</v>
      </c>
      <c r="B578" s="1">
        <v>45845</v>
      </c>
      <c r="C578" t="s">
        <v>11</v>
      </c>
      <c r="D578">
        <v>28</v>
      </c>
      <c r="E578" t="s">
        <v>61</v>
      </c>
      <c r="F578" t="s">
        <v>34</v>
      </c>
      <c r="G578" t="s">
        <v>83</v>
      </c>
      <c r="H578" t="s">
        <v>84</v>
      </c>
      <c r="I578">
        <v>23751</v>
      </c>
      <c r="J578">
        <v>23933</v>
      </c>
    </row>
    <row r="579" spans="1:10" x14ac:dyDescent="0.3">
      <c r="A579" t="s">
        <v>706</v>
      </c>
      <c r="B579" s="1">
        <v>45815</v>
      </c>
      <c r="C579" t="s">
        <v>74</v>
      </c>
      <c r="D579">
        <v>23</v>
      </c>
      <c r="E579" t="s">
        <v>12</v>
      </c>
      <c r="F579" t="s">
        <v>13</v>
      </c>
      <c r="G579" t="s">
        <v>110</v>
      </c>
      <c r="H579" t="s">
        <v>64</v>
      </c>
      <c r="I579">
        <v>17388</v>
      </c>
      <c r="J579">
        <v>13628</v>
      </c>
    </row>
    <row r="580" spans="1:10" x14ac:dyDescent="0.3">
      <c r="A580" t="s">
        <v>707</v>
      </c>
      <c r="B580" s="1">
        <v>45862</v>
      </c>
      <c r="C580" t="s">
        <v>11</v>
      </c>
      <c r="D580">
        <v>30</v>
      </c>
      <c r="E580" t="s">
        <v>18</v>
      </c>
      <c r="F580" t="s">
        <v>140</v>
      </c>
      <c r="G580" t="s">
        <v>72</v>
      </c>
      <c r="H580" t="s">
        <v>96</v>
      </c>
      <c r="I580">
        <v>17877</v>
      </c>
      <c r="J580">
        <v>20301</v>
      </c>
    </row>
    <row r="581" spans="1:10" x14ac:dyDescent="0.3">
      <c r="A581" t="s">
        <v>708</v>
      </c>
      <c r="B581" s="1">
        <v>45708</v>
      </c>
      <c r="C581" t="s">
        <v>82</v>
      </c>
      <c r="D581">
        <v>8</v>
      </c>
      <c r="E581" t="s">
        <v>70</v>
      </c>
      <c r="F581" t="s">
        <v>78</v>
      </c>
      <c r="G581" t="s">
        <v>171</v>
      </c>
      <c r="H581" t="s">
        <v>163</v>
      </c>
      <c r="I581">
        <v>29725</v>
      </c>
      <c r="J581">
        <v>25348</v>
      </c>
    </row>
    <row r="582" spans="1:10" x14ac:dyDescent="0.3">
      <c r="A582" t="s">
        <v>709</v>
      </c>
      <c r="B582" s="1">
        <v>45817</v>
      </c>
      <c r="C582" t="s">
        <v>74</v>
      </c>
      <c r="D582">
        <v>24</v>
      </c>
      <c r="E582" t="s">
        <v>33</v>
      </c>
      <c r="F582" t="s">
        <v>19</v>
      </c>
      <c r="G582" t="s">
        <v>44</v>
      </c>
      <c r="H582" t="s">
        <v>123</v>
      </c>
      <c r="I582">
        <v>17596</v>
      </c>
      <c r="J582">
        <v>18666</v>
      </c>
    </row>
    <row r="583" spans="1:10" x14ac:dyDescent="0.3">
      <c r="A583" t="s">
        <v>710</v>
      </c>
      <c r="B583" s="1">
        <v>45700</v>
      </c>
      <c r="C583" t="s">
        <v>82</v>
      </c>
      <c r="D583">
        <v>7</v>
      </c>
      <c r="E583" t="s">
        <v>18</v>
      </c>
      <c r="F583" t="s">
        <v>92</v>
      </c>
      <c r="G583" t="s">
        <v>102</v>
      </c>
      <c r="H583" t="s">
        <v>59</v>
      </c>
      <c r="I583">
        <v>26700</v>
      </c>
      <c r="J583">
        <v>33523</v>
      </c>
    </row>
    <row r="584" spans="1:10" x14ac:dyDescent="0.3">
      <c r="A584" t="s">
        <v>711</v>
      </c>
      <c r="B584" s="1">
        <v>45912</v>
      </c>
      <c r="C584" t="s">
        <v>38</v>
      </c>
      <c r="D584">
        <v>37</v>
      </c>
      <c r="E584" t="s">
        <v>24</v>
      </c>
      <c r="F584" t="s">
        <v>122</v>
      </c>
      <c r="G584" t="s">
        <v>230</v>
      </c>
      <c r="H584" t="s">
        <v>31</v>
      </c>
      <c r="I584">
        <v>39815</v>
      </c>
      <c r="J584">
        <v>37293</v>
      </c>
    </row>
    <row r="585" spans="1:10" x14ac:dyDescent="0.3">
      <c r="A585" t="s">
        <v>712</v>
      </c>
      <c r="B585" s="1">
        <v>45706</v>
      </c>
      <c r="C585" t="s">
        <v>82</v>
      </c>
      <c r="D585">
        <v>8</v>
      </c>
      <c r="E585" t="s">
        <v>24</v>
      </c>
      <c r="F585" t="s">
        <v>43</v>
      </c>
      <c r="G585" t="s">
        <v>291</v>
      </c>
      <c r="H585" t="s">
        <v>80</v>
      </c>
      <c r="I585">
        <v>22552</v>
      </c>
      <c r="J585">
        <v>21945</v>
      </c>
    </row>
    <row r="586" spans="1:10" x14ac:dyDescent="0.3">
      <c r="A586" t="s">
        <v>713</v>
      </c>
      <c r="B586" s="1">
        <v>45887</v>
      </c>
      <c r="C586" t="s">
        <v>113</v>
      </c>
      <c r="D586">
        <v>34</v>
      </c>
      <c r="E586" t="s">
        <v>12</v>
      </c>
      <c r="F586" t="s">
        <v>50</v>
      </c>
      <c r="G586" t="s">
        <v>93</v>
      </c>
      <c r="H586" t="s">
        <v>111</v>
      </c>
      <c r="I586">
        <v>16341</v>
      </c>
      <c r="J586">
        <v>13988</v>
      </c>
    </row>
    <row r="587" spans="1:10" x14ac:dyDescent="0.3">
      <c r="A587" t="s">
        <v>714</v>
      </c>
      <c r="B587" s="1">
        <v>45876</v>
      </c>
      <c r="C587" t="s">
        <v>113</v>
      </c>
      <c r="D587">
        <v>32</v>
      </c>
      <c r="E587" t="s">
        <v>70</v>
      </c>
      <c r="F587" t="s">
        <v>87</v>
      </c>
      <c r="G587" t="s">
        <v>51</v>
      </c>
      <c r="H587" t="s">
        <v>133</v>
      </c>
      <c r="I587">
        <v>34475</v>
      </c>
      <c r="J587">
        <v>32928</v>
      </c>
    </row>
    <row r="588" spans="1:10" x14ac:dyDescent="0.3">
      <c r="A588" t="s">
        <v>715</v>
      </c>
      <c r="B588" s="1">
        <v>46005</v>
      </c>
      <c r="C588" t="s">
        <v>100</v>
      </c>
      <c r="D588">
        <v>50</v>
      </c>
      <c r="E588" t="s">
        <v>61</v>
      </c>
      <c r="F588" t="s">
        <v>62</v>
      </c>
      <c r="G588" t="s">
        <v>326</v>
      </c>
      <c r="H588" t="s">
        <v>84</v>
      </c>
      <c r="I588">
        <v>21792</v>
      </c>
      <c r="J588">
        <v>24400</v>
      </c>
    </row>
    <row r="589" spans="1:10" x14ac:dyDescent="0.3">
      <c r="A589" t="s">
        <v>716</v>
      </c>
      <c r="B589" s="1">
        <v>45973</v>
      </c>
      <c r="C589" t="s">
        <v>23</v>
      </c>
      <c r="D589">
        <v>46</v>
      </c>
      <c r="E589" t="s">
        <v>12</v>
      </c>
      <c r="F589" t="s">
        <v>50</v>
      </c>
      <c r="G589" t="s">
        <v>266</v>
      </c>
      <c r="H589" t="s">
        <v>41</v>
      </c>
      <c r="I589">
        <v>21518</v>
      </c>
      <c r="J589">
        <v>17346</v>
      </c>
    </row>
    <row r="590" spans="1:10" x14ac:dyDescent="0.3">
      <c r="A590" t="s">
        <v>717</v>
      </c>
      <c r="B590" s="1">
        <v>45750</v>
      </c>
      <c r="C590" t="s">
        <v>86</v>
      </c>
      <c r="D590">
        <v>14</v>
      </c>
      <c r="E590" t="s">
        <v>24</v>
      </c>
      <c r="F590" t="s">
        <v>13</v>
      </c>
      <c r="G590" t="s">
        <v>126</v>
      </c>
      <c r="H590" t="s">
        <v>96</v>
      </c>
      <c r="I590">
        <v>24820</v>
      </c>
      <c r="J590">
        <v>30606</v>
      </c>
    </row>
    <row r="591" spans="1:10" x14ac:dyDescent="0.3">
      <c r="A591" t="s">
        <v>718</v>
      </c>
      <c r="B591" s="1">
        <v>45781</v>
      </c>
      <c r="C591" t="s">
        <v>90</v>
      </c>
      <c r="D591">
        <v>18</v>
      </c>
      <c r="E591" t="s">
        <v>33</v>
      </c>
      <c r="F591" t="s">
        <v>13</v>
      </c>
      <c r="G591" t="s">
        <v>171</v>
      </c>
      <c r="H591" t="s">
        <v>157</v>
      </c>
      <c r="I591">
        <v>37021</v>
      </c>
      <c r="J591">
        <v>43165</v>
      </c>
    </row>
    <row r="592" spans="1:10" x14ac:dyDescent="0.3">
      <c r="A592" t="s">
        <v>719</v>
      </c>
      <c r="B592" s="1">
        <v>45984</v>
      </c>
      <c r="C592" t="s">
        <v>23</v>
      </c>
      <c r="D592">
        <v>47</v>
      </c>
      <c r="E592" t="s">
        <v>24</v>
      </c>
      <c r="F592" t="s">
        <v>101</v>
      </c>
      <c r="G592" t="s">
        <v>234</v>
      </c>
      <c r="H592" t="s">
        <v>59</v>
      </c>
      <c r="I592">
        <v>33125</v>
      </c>
      <c r="J592">
        <v>34379</v>
      </c>
    </row>
    <row r="593" spans="1:10" x14ac:dyDescent="0.3">
      <c r="A593" t="s">
        <v>720</v>
      </c>
      <c r="B593" s="1">
        <v>45788</v>
      </c>
      <c r="C593" t="s">
        <v>90</v>
      </c>
      <c r="D593">
        <v>19</v>
      </c>
      <c r="E593" t="s">
        <v>39</v>
      </c>
      <c r="F593" t="s">
        <v>29</v>
      </c>
      <c r="G593" t="s">
        <v>224</v>
      </c>
      <c r="H593" t="s">
        <v>64</v>
      </c>
      <c r="I593">
        <v>39276</v>
      </c>
      <c r="J593">
        <v>50208</v>
      </c>
    </row>
    <row r="594" spans="1:10" x14ac:dyDescent="0.3">
      <c r="A594" t="s">
        <v>721</v>
      </c>
      <c r="B594" s="1">
        <v>45989</v>
      </c>
      <c r="C594" t="s">
        <v>23</v>
      </c>
      <c r="D594">
        <v>48</v>
      </c>
      <c r="E594" t="s">
        <v>61</v>
      </c>
      <c r="F594" t="s">
        <v>34</v>
      </c>
      <c r="G594" t="s">
        <v>171</v>
      </c>
      <c r="H594" t="s">
        <v>15</v>
      </c>
      <c r="I594">
        <v>15334</v>
      </c>
      <c r="J594">
        <v>18382</v>
      </c>
    </row>
    <row r="595" spans="1:10" x14ac:dyDescent="0.3">
      <c r="A595" t="s">
        <v>722</v>
      </c>
      <c r="B595" s="1">
        <v>46003</v>
      </c>
      <c r="C595" t="s">
        <v>100</v>
      </c>
      <c r="D595">
        <v>50</v>
      </c>
      <c r="E595" t="s">
        <v>18</v>
      </c>
      <c r="F595" t="s">
        <v>114</v>
      </c>
      <c r="G595" t="s">
        <v>88</v>
      </c>
      <c r="H595" t="s">
        <v>157</v>
      </c>
      <c r="I595">
        <v>22231</v>
      </c>
      <c r="J595">
        <v>25503</v>
      </c>
    </row>
    <row r="596" spans="1:10" x14ac:dyDescent="0.3">
      <c r="A596" t="s">
        <v>723</v>
      </c>
      <c r="B596" s="1">
        <v>46002</v>
      </c>
      <c r="C596" t="s">
        <v>100</v>
      </c>
      <c r="D596">
        <v>50</v>
      </c>
      <c r="E596" t="s">
        <v>70</v>
      </c>
      <c r="F596" t="s">
        <v>13</v>
      </c>
      <c r="G596" t="s">
        <v>191</v>
      </c>
      <c r="H596" t="s">
        <v>133</v>
      </c>
      <c r="I596">
        <v>27707</v>
      </c>
      <c r="J596">
        <v>29714</v>
      </c>
    </row>
    <row r="597" spans="1:10" x14ac:dyDescent="0.3">
      <c r="A597" t="s">
        <v>724</v>
      </c>
      <c r="B597" s="1">
        <v>45695</v>
      </c>
      <c r="C597" t="s">
        <v>82</v>
      </c>
      <c r="D597">
        <v>6</v>
      </c>
      <c r="E597" t="s">
        <v>39</v>
      </c>
      <c r="F597" t="s">
        <v>19</v>
      </c>
      <c r="G597" t="s">
        <v>128</v>
      </c>
      <c r="H597" t="s">
        <v>21</v>
      </c>
      <c r="I597">
        <v>26650</v>
      </c>
      <c r="J597">
        <v>21118</v>
      </c>
    </row>
    <row r="598" spans="1:10" x14ac:dyDescent="0.3">
      <c r="A598" t="s">
        <v>725</v>
      </c>
      <c r="B598" s="1">
        <v>45940</v>
      </c>
      <c r="C598" t="s">
        <v>66</v>
      </c>
      <c r="D598">
        <v>41</v>
      </c>
      <c r="E598" t="s">
        <v>39</v>
      </c>
      <c r="F598" t="s">
        <v>62</v>
      </c>
      <c r="G598" t="s">
        <v>67</v>
      </c>
      <c r="H598" t="s">
        <v>48</v>
      </c>
      <c r="I598">
        <v>23630</v>
      </c>
      <c r="J598">
        <v>26678</v>
      </c>
    </row>
    <row r="599" spans="1:10" x14ac:dyDescent="0.3">
      <c r="A599" t="s">
        <v>726</v>
      </c>
      <c r="B599" s="1">
        <v>45936</v>
      </c>
      <c r="C599" t="s">
        <v>66</v>
      </c>
      <c r="D599">
        <v>41</v>
      </c>
      <c r="E599" t="s">
        <v>61</v>
      </c>
      <c r="F599" t="s">
        <v>13</v>
      </c>
      <c r="G599" t="s">
        <v>126</v>
      </c>
      <c r="H599" t="s">
        <v>123</v>
      </c>
      <c r="I599">
        <v>33410</v>
      </c>
      <c r="J599">
        <v>23394</v>
      </c>
    </row>
    <row r="600" spans="1:10" x14ac:dyDescent="0.3">
      <c r="A600" t="s">
        <v>727</v>
      </c>
      <c r="B600" s="1">
        <v>45990</v>
      </c>
      <c r="C600" t="s">
        <v>23</v>
      </c>
      <c r="D600">
        <v>48</v>
      </c>
      <c r="E600" t="s">
        <v>39</v>
      </c>
      <c r="F600" t="s">
        <v>57</v>
      </c>
      <c r="G600" t="s">
        <v>14</v>
      </c>
      <c r="H600" t="s">
        <v>103</v>
      </c>
      <c r="I600">
        <v>18816</v>
      </c>
      <c r="J600">
        <v>16978</v>
      </c>
    </row>
    <row r="601" spans="1:10" x14ac:dyDescent="0.3">
      <c r="A601" t="s">
        <v>728</v>
      </c>
      <c r="B601" s="1">
        <v>45972</v>
      </c>
      <c r="C601" t="s">
        <v>23</v>
      </c>
      <c r="D601">
        <v>46</v>
      </c>
      <c r="E601" t="s">
        <v>18</v>
      </c>
      <c r="F601" t="s">
        <v>62</v>
      </c>
      <c r="G601" t="s">
        <v>83</v>
      </c>
      <c r="H601" t="s">
        <v>55</v>
      </c>
      <c r="I601">
        <v>21164</v>
      </c>
      <c r="J601">
        <v>25022</v>
      </c>
    </row>
    <row r="602" spans="1:10" x14ac:dyDescent="0.3">
      <c r="A602" t="s">
        <v>729</v>
      </c>
      <c r="B602" s="1">
        <v>45789</v>
      </c>
      <c r="C602" t="s">
        <v>90</v>
      </c>
      <c r="D602">
        <v>20</v>
      </c>
      <c r="E602" t="s">
        <v>61</v>
      </c>
      <c r="F602" t="s">
        <v>87</v>
      </c>
      <c r="G602" t="s">
        <v>63</v>
      </c>
      <c r="H602" t="s">
        <v>116</v>
      </c>
      <c r="I602">
        <v>25402</v>
      </c>
      <c r="J602">
        <v>23428</v>
      </c>
    </row>
    <row r="603" spans="1:10" x14ac:dyDescent="0.3">
      <c r="A603" t="s">
        <v>730</v>
      </c>
      <c r="B603" s="1">
        <v>45975</v>
      </c>
      <c r="C603" t="s">
        <v>23</v>
      </c>
      <c r="D603">
        <v>46</v>
      </c>
      <c r="E603" t="s">
        <v>33</v>
      </c>
      <c r="F603" t="s">
        <v>101</v>
      </c>
      <c r="G603" t="s">
        <v>76</v>
      </c>
      <c r="H603" t="s">
        <v>157</v>
      </c>
      <c r="I603">
        <v>24416</v>
      </c>
      <c r="J603">
        <v>17167</v>
      </c>
    </row>
    <row r="604" spans="1:10" x14ac:dyDescent="0.3">
      <c r="A604" t="s">
        <v>731</v>
      </c>
      <c r="B604" s="1">
        <v>45929</v>
      </c>
      <c r="C604" t="s">
        <v>38</v>
      </c>
      <c r="D604">
        <v>40</v>
      </c>
      <c r="E604" t="s">
        <v>61</v>
      </c>
      <c r="F604" t="s">
        <v>114</v>
      </c>
      <c r="G604" t="s">
        <v>291</v>
      </c>
      <c r="H604" t="s">
        <v>133</v>
      </c>
      <c r="I604">
        <v>37980</v>
      </c>
      <c r="J604">
        <v>36149</v>
      </c>
    </row>
    <row r="605" spans="1:10" x14ac:dyDescent="0.3">
      <c r="A605" t="s">
        <v>732</v>
      </c>
      <c r="B605" s="1">
        <v>45708</v>
      </c>
      <c r="C605" t="s">
        <v>82</v>
      </c>
      <c r="D605">
        <v>8</v>
      </c>
      <c r="E605" t="s">
        <v>12</v>
      </c>
      <c r="F605" t="s">
        <v>50</v>
      </c>
      <c r="G605" t="s">
        <v>51</v>
      </c>
      <c r="H605" t="s">
        <v>163</v>
      </c>
      <c r="I605">
        <v>30506</v>
      </c>
      <c r="J605">
        <v>32282</v>
      </c>
    </row>
    <row r="606" spans="1:10" x14ac:dyDescent="0.3">
      <c r="A606" t="s">
        <v>733</v>
      </c>
      <c r="B606" s="1">
        <v>46002</v>
      </c>
      <c r="C606" t="s">
        <v>100</v>
      </c>
      <c r="D606">
        <v>50</v>
      </c>
      <c r="E606" t="s">
        <v>61</v>
      </c>
      <c r="F606" t="s">
        <v>29</v>
      </c>
      <c r="G606" t="s">
        <v>171</v>
      </c>
      <c r="H606" t="s">
        <v>119</v>
      </c>
      <c r="I606">
        <v>35117</v>
      </c>
      <c r="J606">
        <v>42771</v>
      </c>
    </row>
    <row r="607" spans="1:10" x14ac:dyDescent="0.3">
      <c r="A607" t="s">
        <v>734</v>
      </c>
      <c r="B607" s="1">
        <v>45870</v>
      </c>
      <c r="C607" t="s">
        <v>113</v>
      </c>
      <c r="D607">
        <v>31</v>
      </c>
      <c r="E607" t="s">
        <v>70</v>
      </c>
      <c r="F607" t="s">
        <v>13</v>
      </c>
      <c r="G607" t="s">
        <v>266</v>
      </c>
      <c r="H607" t="s">
        <v>52</v>
      </c>
      <c r="I607">
        <v>31433</v>
      </c>
      <c r="J607">
        <v>38965</v>
      </c>
    </row>
    <row r="608" spans="1:10" x14ac:dyDescent="0.3">
      <c r="A608" t="s">
        <v>735</v>
      </c>
      <c r="B608" s="1">
        <v>45896</v>
      </c>
      <c r="C608" t="s">
        <v>113</v>
      </c>
      <c r="D608">
        <v>35</v>
      </c>
      <c r="E608" t="s">
        <v>24</v>
      </c>
      <c r="F608" t="s">
        <v>140</v>
      </c>
      <c r="G608" t="s">
        <v>47</v>
      </c>
      <c r="H608" t="s">
        <v>243</v>
      </c>
      <c r="I608">
        <v>39263</v>
      </c>
      <c r="J608">
        <v>28136</v>
      </c>
    </row>
    <row r="609" spans="1:10" x14ac:dyDescent="0.3">
      <c r="A609" t="s">
        <v>736</v>
      </c>
      <c r="B609" s="1">
        <v>45914</v>
      </c>
      <c r="C609" t="s">
        <v>38</v>
      </c>
      <c r="D609">
        <v>37</v>
      </c>
      <c r="E609" t="s">
        <v>61</v>
      </c>
      <c r="F609" t="s">
        <v>75</v>
      </c>
      <c r="G609" t="s">
        <v>145</v>
      </c>
      <c r="H609" t="s">
        <v>27</v>
      </c>
      <c r="I609">
        <v>38915</v>
      </c>
      <c r="J609">
        <v>47717</v>
      </c>
    </row>
    <row r="610" spans="1:10" x14ac:dyDescent="0.3">
      <c r="A610" t="s">
        <v>737</v>
      </c>
      <c r="B610" s="1">
        <v>45718</v>
      </c>
      <c r="C610" t="s">
        <v>95</v>
      </c>
      <c r="D610">
        <v>9</v>
      </c>
      <c r="E610" t="s">
        <v>18</v>
      </c>
      <c r="F610" t="s">
        <v>109</v>
      </c>
      <c r="G610" t="s">
        <v>63</v>
      </c>
      <c r="H610" t="s">
        <v>68</v>
      </c>
      <c r="I610">
        <v>26184</v>
      </c>
      <c r="J610">
        <v>25063</v>
      </c>
    </row>
    <row r="611" spans="1:10" x14ac:dyDescent="0.3">
      <c r="A611" t="s">
        <v>738</v>
      </c>
      <c r="B611" s="1">
        <v>45745</v>
      </c>
      <c r="C611" t="s">
        <v>95</v>
      </c>
      <c r="D611">
        <v>13</v>
      </c>
      <c r="E611" t="s">
        <v>61</v>
      </c>
      <c r="F611" t="s">
        <v>193</v>
      </c>
      <c r="G611" t="s">
        <v>115</v>
      </c>
      <c r="H611" t="s">
        <v>59</v>
      </c>
      <c r="I611">
        <v>17517</v>
      </c>
      <c r="J611">
        <v>20186</v>
      </c>
    </row>
    <row r="612" spans="1:10" x14ac:dyDescent="0.3">
      <c r="A612" t="s">
        <v>739</v>
      </c>
      <c r="B612" s="1">
        <v>45738</v>
      </c>
      <c r="C612" t="s">
        <v>95</v>
      </c>
      <c r="D612">
        <v>12</v>
      </c>
      <c r="E612" t="s">
        <v>24</v>
      </c>
      <c r="F612" t="s">
        <v>19</v>
      </c>
      <c r="G612" t="s">
        <v>145</v>
      </c>
      <c r="H612" t="s">
        <v>116</v>
      </c>
      <c r="I612">
        <v>16070</v>
      </c>
      <c r="J612">
        <v>13234</v>
      </c>
    </row>
    <row r="613" spans="1:10" x14ac:dyDescent="0.3">
      <c r="A613" t="s">
        <v>740</v>
      </c>
      <c r="B613" s="1">
        <v>45693</v>
      </c>
      <c r="C613" t="s">
        <v>82</v>
      </c>
      <c r="D613">
        <v>6</v>
      </c>
      <c r="E613" t="s">
        <v>12</v>
      </c>
      <c r="F613" t="s">
        <v>101</v>
      </c>
      <c r="G613" t="s">
        <v>110</v>
      </c>
      <c r="H613" t="s">
        <v>52</v>
      </c>
      <c r="I613">
        <v>22169</v>
      </c>
      <c r="J613">
        <v>17541</v>
      </c>
    </row>
    <row r="614" spans="1:10" x14ac:dyDescent="0.3">
      <c r="A614" t="s">
        <v>741</v>
      </c>
      <c r="B614" s="1">
        <v>45966</v>
      </c>
      <c r="C614" t="s">
        <v>23</v>
      </c>
      <c r="D614">
        <v>45</v>
      </c>
      <c r="E614" t="s">
        <v>61</v>
      </c>
      <c r="F614" t="s">
        <v>140</v>
      </c>
      <c r="G614" t="s">
        <v>206</v>
      </c>
      <c r="H614" t="s">
        <v>116</v>
      </c>
      <c r="I614">
        <v>17087</v>
      </c>
      <c r="J614">
        <v>19196</v>
      </c>
    </row>
    <row r="615" spans="1:10" x14ac:dyDescent="0.3">
      <c r="A615" t="s">
        <v>742</v>
      </c>
      <c r="B615" s="1">
        <v>45965</v>
      </c>
      <c r="C615" t="s">
        <v>23</v>
      </c>
      <c r="D615">
        <v>45</v>
      </c>
      <c r="E615" t="s">
        <v>12</v>
      </c>
      <c r="F615" t="s">
        <v>19</v>
      </c>
      <c r="G615" t="s">
        <v>26</v>
      </c>
      <c r="H615" t="s">
        <v>211</v>
      </c>
      <c r="I615">
        <v>17097</v>
      </c>
      <c r="J615">
        <v>21600</v>
      </c>
    </row>
    <row r="616" spans="1:10" x14ac:dyDescent="0.3">
      <c r="A616" t="s">
        <v>743</v>
      </c>
      <c r="B616" s="1">
        <v>45977</v>
      </c>
      <c r="C616" t="s">
        <v>23</v>
      </c>
      <c r="D616">
        <v>46</v>
      </c>
      <c r="E616" t="s">
        <v>70</v>
      </c>
      <c r="F616" t="s">
        <v>114</v>
      </c>
      <c r="G616" t="s">
        <v>88</v>
      </c>
      <c r="H616" t="s">
        <v>96</v>
      </c>
      <c r="I616">
        <v>37263</v>
      </c>
      <c r="J616">
        <v>36248</v>
      </c>
    </row>
    <row r="617" spans="1:10" x14ac:dyDescent="0.3">
      <c r="A617" t="s">
        <v>744</v>
      </c>
      <c r="B617" s="1">
        <v>45876</v>
      </c>
      <c r="C617" t="s">
        <v>113</v>
      </c>
      <c r="D617">
        <v>32</v>
      </c>
      <c r="E617" t="s">
        <v>33</v>
      </c>
      <c r="F617" t="s">
        <v>92</v>
      </c>
      <c r="G617" t="s">
        <v>137</v>
      </c>
      <c r="H617" t="s">
        <v>243</v>
      </c>
      <c r="I617">
        <v>28658</v>
      </c>
      <c r="J617">
        <v>22169</v>
      </c>
    </row>
    <row r="618" spans="1:10" x14ac:dyDescent="0.3">
      <c r="A618" t="s">
        <v>745</v>
      </c>
      <c r="B618" s="1">
        <v>45874</v>
      </c>
      <c r="C618" t="s">
        <v>113</v>
      </c>
      <c r="D618">
        <v>32</v>
      </c>
      <c r="E618" t="s">
        <v>18</v>
      </c>
      <c r="F618" t="s">
        <v>114</v>
      </c>
      <c r="G618" t="s">
        <v>67</v>
      </c>
      <c r="H618" t="s">
        <v>98</v>
      </c>
      <c r="I618">
        <v>39489</v>
      </c>
      <c r="J618">
        <v>50004</v>
      </c>
    </row>
    <row r="619" spans="1:10" x14ac:dyDescent="0.3">
      <c r="A619" t="s">
        <v>746</v>
      </c>
      <c r="B619" s="1">
        <v>45774</v>
      </c>
      <c r="C619" t="s">
        <v>86</v>
      </c>
      <c r="D619">
        <v>17</v>
      </c>
      <c r="E619" t="s">
        <v>61</v>
      </c>
      <c r="F619" t="s">
        <v>109</v>
      </c>
      <c r="G619" t="s">
        <v>83</v>
      </c>
      <c r="H619" t="s">
        <v>52</v>
      </c>
      <c r="I619">
        <v>15625</v>
      </c>
      <c r="J619">
        <v>18278</v>
      </c>
    </row>
    <row r="620" spans="1:10" x14ac:dyDescent="0.3">
      <c r="A620" t="s">
        <v>747</v>
      </c>
      <c r="B620" s="1">
        <v>46006</v>
      </c>
      <c r="C620" t="s">
        <v>100</v>
      </c>
      <c r="D620">
        <v>51</v>
      </c>
      <c r="E620" t="s">
        <v>61</v>
      </c>
      <c r="F620" t="s">
        <v>29</v>
      </c>
      <c r="G620" t="s">
        <v>102</v>
      </c>
      <c r="H620" t="s">
        <v>151</v>
      </c>
      <c r="I620">
        <v>15001</v>
      </c>
      <c r="J620">
        <v>16542</v>
      </c>
    </row>
    <row r="621" spans="1:10" x14ac:dyDescent="0.3">
      <c r="A621" t="s">
        <v>748</v>
      </c>
      <c r="B621" s="1">
        <v>45727</v>
      </c>
      <c r="C621" t="s">
        <v>95</v>
      </c>
      <c r="D621">
        <v>11</v>
      </c>
      <c r="E621" t="s">
        <v>18</v>
      </c>
      <c r="F621" t="s">
        <v>57</v>
      </c>
      <c r="G621" t="s">
        <v>110</v>
      </c>
      <c r="H621" t="s">
        <v>59</v>
      </c>
      <c r="I621">
        <v>34298</v>
      </c>
      <c r="J621">
        <v>26708</v>
      </c>
    </row>
    <row r="622" spans="1:10" x14ac:dyDescent="0.3">
      <c r="A622" t="s">
        <v>749</v>
      </c>
      <c r="B622" s="1">
        <v>45825</v>
      </c>
      <c r="C622" t="s">
        <v>74</v>
      </c>
      <c r="D622">
        <v>25</v>
      </c>
      <c r="E622" t="s">
        <v>33</v>
      </c>
      <c r="F622" t="s">
        <v>122</v>
      </c>
      <c r="G622" t="s">
        <v>110</v>
      </c>
      <c r="H622" t="s">
        <v>188</v>
      </c>
      <c r="I622">
        <v>32171</v>
      </c>
      <c r="J622">
        <v>38877</v>
      </c>
    </row>
    <row r="623" spans="1:10" x14ac:dyDescent="0.3">
      <c r="A623" t="s">
        <v>750</v>
      </c>
      <c r="B623" s="1">
        <v>45863</v>
      </c>
      <c r="C623" t="s">
        <v>11</v>
      </c>
      <c r="D623">
        <v>30</v>
      </c>
      <c r="E623" t="s">
        <v>33</v>
      </c>
      <c r="F623" t="s">
        <v>13</v>
      </c>
      <c r="G623" t="s">
        <v>79</v>
      </c>
      <c r="H623" t="s">
        <v>27</v>
      </c>
      <c r="I623">
        <v>28915</v>
      </c>
      <c r="J623">
        <v>32957</v>
      </c>
    </row>
    <row r="624" spans="1:10" x14ac:dyDescent="0.3">
      <c r="A624" t="s">
        <v>751</v>
      </c>
      <c r="B624" s="1">
        <v>45804</v>
      </c>
      <c r="C624" t="s">
        <v>90</v>
      </c>
      <c r="D624">
        <v>22</v>
      </c>
      <c r="E624" t="s">
        <v>18</v>
      </c>
      <c r="F624" t="s">
        <v>140</v>
      </c>
      <c r="G624" t="s">
        <v>26</v>
      </c>
      <c r="H624" t="s">
        <v>84</v>
      </c>
      <c r="I624">
        <v>34961</v>
      </c>
      <c r="J624">
        <v>28586</v>
      </c>
    </row>
    <row r="625" spans="1:10" x14ac:dyDescent="0.3">
      <c r="A625" t="s">
        <v>752</v>
      </c>
      <c r="B625" s="1">
        <v>45894</v>
      </c>
      <c r="C625" t="s">
        <v>113</v>
      </c>
      <c r="D625">
        <v>35</v>
      </c>
      <c r="E625" t="s">
        <v>70</v>
      </c>
      <c r="F625" t="s">
        <v>92</v>
      </c>
      <c r="G625" t="s">
        <v>199</v>
      </c>
      <c r="H625" t="s">
        <v>119</v>
      </c>
      <c r="I625">
        <v>39518</v>
      </c>
      <c r="J625">
        <v>29777</v>
      </c>
    </row>
    <row r="626" spans="1:10" x14ac:dyDescent="0.3">
      <c r="A626" t="s">
        <v>753</v>
      </c>
      <c r="B626" s="1">
        <v>45872</v>
      </c>
      <c r="C626" t="s">
        <v>113</v>
      </c>
      <c r="D626">
        <v>31</v>
      </c>
      <c r="E626" t="s">
        <v>61</v>
      </c>
      <c r="F626" t="s">
        <v>122</v>
      </c>
      <c r="G626" t="s">
        <v>30</v>
      </c>
      <c r="H626" t="s">
        <v>36</v>
      </c>
      <c r="I626">
        <v>37589</v>
      </c>
      <c r="J626">
        <v>36093</v>
      </c>
    </row>
    <row r="627" spans="1:10" x14ac:dyDescent="0.3">
      <c r="A627" t="s">
        <v>754</v>
      </c>
      <c r="B627" s="1">
        <v>45804</v>
      </c>
      <c r="C627" t="s">
        <v>90</v>
      </c>
      <c r="D627">
        <v>22</v>
      </c>
      <c r="E627" t="s">
        <v>61</v>
      </c>
      <c r="F627" t="s">
        <v>114</v>
      </c>
      <c r="G627" t="s">
        <v>93</v>
      </c>
      <c r="H627" t="s">
        <v>157</v>
      </c>
      <c r="I627">
        <v>28310</v>
      </c>
      <c r="J627">
        <v>31301</v>
      </c>
    </row>
    <row r="628" spans="1:10" x14ac:dyDescent="0.3">
      <c r="A628" t="s">
        <v>755</v>
      </c>
      <c r="B628" s="1">
        <v>45849</v>
      </c>
      <c r="C628" t="s">
        <v>11</v>
      </c>
      <c r="D628">
        <v>28</v>
      </c>
      <c r="E628" t="s">
        <v>39</v>
      </c>
      <c r="F628" t="s">
        <v>34</v>
      </c>
      <c r="G628" t="s">
        <v>199</v>
      </c>
      <c r="H628" t="s">
        <v>151</v>
      </c>
      <c r="I628">
        <v>26690</v>
      </c>
      <c r="J628">
        <v>25134</v>
      </c>
    </row>
    <row r="629" spans="1:10" x14ac:dyDescent="0.3">
      <c r="A629" t="s">
        <v>756</v>
      </c>
      <c r="B629" s="1">
        <v>45820</v>
      </c>
      <c r="C629" t="s">
        <v>74</v>
      </c>
      <c r="D629">
        <v>24</v>
      </c>
      <c r="E629" t="s">
        <v>33</v>
      </c>
      <c r="F629" t="s">
        <v>29</v>
      </c>
      <c r="G629" t="s">
        <v>182</v>
      </c>
      <c r="H629" t="s">
        <v>188</v>
      </c>
      <c r="I629">
        <v>18930</v>
      </c>
      <c r="J629">
        <v>20271</v>
      </c>
    </row>
    <row r="630" spans="1:10" x14ac:dyDescent="0.3">
      <c r="A630" t="s">
        <v>757</v>
      </c>
      <c r="B630" s="1">
        <v>45851</v>
      </c>
      <c r="C630" t="s">
        <v>11</v>
      </c>
      <c r="D630">
        <v>28</v>
      </c>
      <c r="E630" t="s">
        <v>61</v>
      </c>
      <c r="F630" t="s">
        <v>46</v>
      </c>
      <c r="G630" t="s">
        <v>102</v>
      </c>
      <c r="H630" t="s">
        <v>68</v>
      </c>
      <c r="I630">
        <v>19373</v>
      </c>
      <c r="J630">
        <v>15810</v>
      </c>
    </row>
    <row r="631" spans="1:10" x14ac:dyDescent="0.3">
      <c r="A631" t="s">
        <v>758</v>
      </c>
      <c r="B631" s="1">
        <v>45868</v>
      </c>
      <c r="C631" t="s">
        <v>11</v>
      </c>
      <c r="D631">
        <v>31</v>
      </c>
      <c r="E631" t="s">
        <v>33</v>
      </c>
      <c r="F631" t="s">
        <v>114</v>
      </c>
      <c r="G631" t="s">
        <v>30</v>
      </c>
      <c r="H631" t="s">
        <v>31</v>
      </c>
      <c r="I631">
        <v>30166</v>
      </c>
      <c r="J631">
        <v>32595</v>
      </c>
    </row>
    <row r="632" spans="1:10" x14ac:dyDescent="0.3">
      <c r="A632" t="s">
        <v>759</v>
      </c>
      <c r="B632" s="1">
        <v>45793</v>
      </c>
      <c r="C632" t="s">
        <v>90</v>
      </c>
      <c r="D632">
        <v>20</v>
      </c>
      <c r="E632" t="s">
        <v>18</v>
      </c>
      <c r="F632" t="s">
        <v>114</v>
      </c>
      <c r="G632" t="s">
        <v>47</v>
      </c>
      <c r="H632" t="s">
        <v>41</v>
      </c>
      <c r="I632">
        <v>23976</v>
      </c>
      <c r="J632">
        <v>21813</v>
      </c>
    </row>
    <row r="633" spans="1:10" x14ac:dyDescent="0.3">
      <c r="A633" t="s">
        <v>760</v>
      </c>
      <c r="B633" s="1">
        <v>45928</v>
      </c>
      <c r="C633" t="s">
        <v>38</v>
      </c>
      <c r="D633">
        <v>39</v>
      </c>
      <c r="E633" t="s">
        <v>70</v>
      </c>
      <c r="F633" t="s">
        <v>29</v>
      </c>
      <c r="G633" t="s">
        <v>230</v>
      </c>
      <c r="H633" t="s">
        <v>98</v>
      </c>
      <c r="I633">
        <v>20890</v>
      </c>
      <c r="J633">
        <v>26201</v>
      </c>
    </row>
    <row r="634" spans="1:10" x14ac:dyDescent="0.3">
      <c r="A634" t="s">
        <v>761</v>
      </c>
      <c r="B634" s="1">
        <v>45737</v>
      </c>
      <c r="C634" t="s">
        <v>95</v>
      </c>
      <c r="D634">
        <v>12</v>
      </c>
      <c r="E634" t="s">
        <v>24</v>
      </c>
      <c r="F634" t="s">
        <v>13</v>
      </c>
      <c r="G634" t="s">
        <v>224</v>
      </c>
      <c r="H634" t="s">
        <v>59</v>
      </c>
      <c r="I634">
        <v>39958</v>
      </c>
      <c r="J634">
        <v>28169</v>
      </c>
    </row>
    <row r="635" spans="1:10" x14ac:dyDescent="0.3">
      <c r="A635" t="s">
        <v>762</v>
      </c>
      <c r="B635" s="1">
        <v>45848</v>
      </c>
      <c r="C635" t="s">
        <v>11</v>
      </c>
      <c r="D635">
        <v>28</v>
      </c>
      <c r="E635" t="s">
        <v>18</v>
      </c>
      <c r="F635" t="s">
        <v>34</v>
      </c>
      <c r="G635" t="s">
        <v>230</v>
      </c>
      <c r="H635" t="s">
        <v>68</v>
      </c>
      <c r="I635">
        <v>34356</v>
      </c>
      <c r="J635">
        <v>39769</v>
      </c>
    </row>
    <row r="636" spans="1:10" x14ac:dyDescent="0.3">
      <c r="A636" t="s">
        <v>763</v>
      </c>
      <c r="B636" s="1">
        <v>45814</v>
      </c>
      <c r="C636" t="s">
        <v>74</v>
      </c>
      <c r="D636">
        <v>23</v>
      </c>
      <c r="E636" t="s">
        <v>61</v>
      </c>
      <c r="F636" t="s">
        <v>46</v>
      </c>
      <c r="G636" t="s">
        <v>224</v>
      </c>
      <c r="H636" t="s">
        <v>48</v>
      </c>
      <c r="I636">
        <v>31530</v>
      </c>
      <c r="J636">
        <v>24187</v>
      </c>
    </row>
    <row r="637" spans="1:10" x14ac:dyDescent="0.3">
      <c r="A637" t="s">
        <v>764</v>
      </c>
      <c r="B637" s="1">
        <v>45916</v>
      </c>
      <c r="C637" t="s">
        <v>38</v>
      </c>
      <c r="D637">
        <v>38</v>
      </c>
      <c r="E637" t="s">
        <v>61</v>
      </c>
      <c r="F637" t="s">
        <v>75</v>
      </c>
      <c r="G637" t="s">
        <v>230</v>
      </c>
      <c r="H637" t="s">
        <v>98</v>
      </c>
      <c r="I637">
        <v>32857</v>
      </c>
      <c r="J637">
        <v>37137</v>
      </c>
    </row>
    <row r="638" spans="1:10" x14ac:dyDescent="0.3">
      <c r="A638" t="s">
        <v>765</v>
      </c>
      <c r="B638" s="1">
        <v>45963</v>
      </c>
      <c r="C638" t="s">
        <v>23</v>
      </c>
      <c r="D638">
        <v>44</v>
      </c>
      <c r="E638" t="s">
        <v>39</v>
      </c>
      <c r="F638" t="s">
        <v>87</v>
      </c>
      <c r="G638" t="s">
        <v>58</v>
      </c>
      <c r="H638" t="s">
        <v>119</v>
      </c>
      <c r="I638">
        <v>28561</v>
      </c>
      <c r="J638">
        <v>24878</v>
      </c>
    </row>
    <row r="639" spans="1:10" x14ac:dyDescent="0.3">
      <c r="A639" t="s">
        <v>766</v>
      </c>
      <c r="B639" s="1">
        <v>45800</v>
      </c>
      <c r="C639" t="s">
        <v>90</v>
      </c>
      <c r="D639">
        <v>21</v>
      </c>
      <c r="E639" t="s">
        <v>61</v>
      </c>
      <c r="F639" t="s">
        <v>25</v>
      </c>
      <c r="G639" t="s">
        <v>130</v>
      </c>
      <c r="H639" t="s">
        <v>119</v>
      </c>
      <c r="I639">
        <v>31599</v>
      </c>
      <c r="J639">
        <v>22505</v>
      </c>
    </row>
    <row r="640" spans="1:10" x14ac:dyDescent="0.3">
      <c r="A640" t="s">
        <v>767</v>
      </c>
      <c r="B640" s="1">
        <v>45965</v>
      </c>
      <c r="C640" t="s">
        <v>23</v>
      </c>
      <c r="D640">
        <v>45</v>
      </c>
      <c r="E640" t="s">
        <v>70</v>
      </c>
      <c r="F640" t="s">
        <v>19</v>
      </c>
      <c r="G640" t="s">
        <v>147</v>
      </c>
      <c r="H640" t="s">
        <v>55</v>
      </c>
      <c r="I640">
        <v>37331</v>
      </c>
      <c r="J640">
        <v>29440</v>
      </c>
    </row>
    <row r="641" spans="1:10" x14ac:dyDescent="0.3">
      <c r="A641" t="s">
        <v>768</v>
      </c>
      <c r="B641" s="1">
        <v>45747</v>
      </c>
      <c r="C641" t="s">
        <v>95</v>
      </c>
      <c r="D641">
        <v>14</v>
      </c>
      <c r="E641" t="s">
        <v>12</v>
      </c>
      <c r="F641" t="s">
        <v>109</v>
      </c>
      <c r="G641" t="s">
        <v>135</v>
      </c>
      <c r="H641" t="s">
        <v>111</v>
      </c>
      <c r="I641">
        <v>18233</v>
      </c>
      <c r="J641">
        <v>15070</v>
      </c>
    </row>
    <row r="642" spans="1:10" x14ac:dyDescent="0.3">
      <c r="A642" t="s">
        <v>769</v>
      </c>
      <c r="B642" s="1">
        <v>45951</v>
      </c>
      <c r="C642" t="s">
        <v>66</v>
      </c>
      <c r="D642">
        <v>43</v>
      </c>
      <c r="E642" t="s">
        <v>18</v>
      </c>
      <c r="F642" t="s">
        <v>78</v>
      </c>
      <c r="G642" t="s">
        <v>47</v>
      </c>
      <c r="H642" t="s">
        <v>84</v>
      </c>
      <c r="I642">
        <v>24678</v>
      </c>
      <c r="J642">
        <v>19291</v>
      </c>
    </row>
    <row r="643" spans="1:10" x14ac:dyDescent="0.3">
      <c r="A643" t="s">
        <v>770</v>
      </c>
      <c r="B643" s="1">
        <v>45984</v>
      </c>
      <c r="C643" t="s">
        <v>23</v>
      </c>
      <c r="D643">
        <v>47</v>
      </c>
      <c r="E643" t="s">
        <v>18</v>
      </c>
      <c r="F643" t="s">
        <v>43</v>
      </c>
      <c r="G643" t="s">
        <v>126</v>
      </c>
      <c r="H643" t="s">
        <v>27</v>
      </c>
      <c r="I643">
        <v>19229</v>
      </c>
      <c r="J643">
        <v>13734</v>
      </c>
    </row>
    <row r="644" spans="1:10" x14ac:dyDescent="0.3">
      <c r="A644" t="s">
        <v>771</v>
      </c>
      <c r="B644" s="1">
        <v>46003</v>
      </c>
      <c r="C644" t="s">
        <v>100</v>
      </c>
      <c r="D644">
        <v>50</v>
      </c>
      <c r="E644" t="s">
        <v>33</v>
      </c>
      <c r="F644" t="s">
        <v>78</v>
      </c>
      <c r="G644" t="s">
        <v>191</v>
      </c>
      <c r="H644" t="s">
        <v>15</v>
      </c>
      <c r="I644">
        <v>16467</v>
      </c>
      <c r="J644">
        <v>18521</v>
      </c>
    </row>
    <row r="645" spans="1:10" x14ac:dyDescent="0.3">
      <c r="A645" t="s">
        <v>772</v>
      </c>
      <c r="B645" s="1">
        <v>45925</v>
      </c>
      <c r="C645" t="s">
        <v>38</v>
      </c>
      <c r="D645">
        <v>39</v>
      </c>
      <c r="E645" t="s">
        <v>12</v>
      </c>
      <c r="F645" t="s">
        <v>50</v>
      </c>
      <c r="G645" t="s">
        <v>291</v>
      </c>
      <c r="H645" t="s">
        <v>163</v>
      </c>
      <c r="I645">
        <v>31978</v>
      </c>
      <c r="J645">
        <v>33531</v>
      </c>
    </row>
    <row r="646" spans="1:10" x14ac:dyDescent="0.3">
      <c r="A646" t="s">
        <v>773</v>
      </c>
      <c r="B646" s="1">
        <v>45891</v>
      </c>
      <c r="C646" t="s">
        <v>113</v>
      </c>
      <c r="D646">
        <v>34</v>
      </c>
      <c r="E646" t="s">
        <v>33</v>
      </c>
      <c r="F646" t="s">
        <v>122</v>
      </c>
      <c r="G646" t="s">
        <v>201</v>
      </c>
      <c r="H646" t="s">
        <v>80</v>
      </c>
      <c r="I646">
        <v>20996</v>
      </c>
      <c r="J646">
        <v>21499</v>
      </c>
    </row>
    <row r="647" spans="1:10" x14ac:dyDescent="0.3">
      <c r="A647" t="s">
        <v>774</v>
      </c>
      <c r="B647" s="1">
        <v>45798</v>
      </c>
      <c r="C647" t="s">
        <v>90</v>
      </c>
      <c r="D647">
        <v>21</v>
      </c>
      <c r="E647" t="s">
        <v>18</v>
      </c>
      <c r="F647" t="s">
        <v>13</v>
      </c>
      <c r="G647" t="s">
        <v>137</v>
      </c>
      <c r="H647" t="s">
        <v>27</v>
      </c>
      <c r="I647">
        <v>21311</v>
      </c>
      <c r="J647">
        <v>16756</v>
      </c>
    </row>
    <row r="648" spans="1:10" x14ac:dyDescent="0.3">
      <c r="A648" t="s">
        <v>775</v>
      </c>
      <c r="B648" s="1">
        <v>45971</v>
      </c>
      <c r="C648" t="s">
        <v>23</v>
      </c>
      <c r="D648">
        <v>46</v>
      </c>
      <c r="E648" t="s">
        <v>39</v>
      </c>
      <c r="F648" t="s">
        <v>57</v>
      </c>
      <c r="G648" t="s">
        <v>132</v>
      </c>
      <c r="H648" t="s">
        <v>155</v>
      </c>
      <c r="I648">
        <v>17969</v>
      </c>
      <c r="J648">
        <v>15913</v>
      </c>
    </row>
    <row r="649" spans="1:10" x14ac:dyDescent="0.3">
      <c r="A649" t="s">
        <v>776</v>
      </c>
      <c r="B649" s="1">
        <v>45829</v>
      </c>
      <c r="C649" t="s">
        <v>74</v>
      </c>
      <c r="D649">
        <v>25</v>
      </c>
      <c r="E649" t="s">
        <v>33</v>
      </c>
      <c r="F649" t="s">
        <v>140</v>
      </c>
      <c r="G649" t="s">
        <v>291</v>
      </c>
      <c r="H649" t="s">
        <v>31</v>
      </c>
      <c r="I649">
        <v>19925</v>
      </c>
      <c r="J649">
        <v>18100</v>
      </c>
    </row>
    <row r="650" spans="1:10" x14ac:dyDescent="0.3">
      <c r="A650" t="s">
        <v>777</v>
      </c>
      <c r="B650" s="1">
        <v>45961</v>
      </c>
      <c r="C650" t="s">
        <v>66</v>
      </c>
      <c r="D650">
        <v>44</v>
      </c>
      <c r="E650" t="s">
        <v>12</v>
      </c>
      <c r="F650" t="s">
        <v>122</v>
      </c>
      <c r="G650" t="s">
        <v>88</v>
      </c>
      <c r="H650" t="s">
        <v>48</v>
      </c>
      <c r="I650">
        <v>21830</v>
      </c>
      <c r="J650">
        <v>19811</v>
      </c>
    </row>
    <row r="651" spans="1:10" x14ac:dyDescent="0.3">
      <c r="A651" t="s">
        <v>778</v>
      </c>
      <c r="B651" s="1">
        <v>45735</v>
      </c>
      <c r="C651" t="s">
        <v>95</v>
      </c>
      <c r="D651">
        <v>12</v>
      </c>
      <c r="E651" t="s">
        <v>61</v>
      </c>
      <c r="F651" t="s">
        <v>92</v>
      </c>
      <c r="G651" t="s">
        <v>118</v>
      </c>
      <c r="H651" t="s">
        <v>80</v>
      </c>
      <c r="I651">
        <v>31944</v>
      </c>
      <c r="J651">
        <v>32631</v>
      </c>
    </row>
    <row r="652" spans="1:10" x14ac:dyDescent="0.3">
      <c r="A652" t="s">
        <v>779</v>
      </c>
      <c r="B652" s="1">
        <v>45967</v>
      </c>
      <c r="C652" t="s">
        <v>23</v>
      </c>
      <c r="D652">
        <v>45</v>
      </c>
      <c r="E652" t="s">
        <v>70</v>
      </c>
      <c r="F652" t="s">
        <v>25</v>
      </c>
      <c r="G652" t="s">
        <v>79</v>
      </c>
      <c r="H652" t="s">
        <v>188</v>
      </c>
      <c r="I652">
        <v>19915</v>
      </c>
      <c r="J652">
        <v>24966</v>
      </c>
    </row>
    <row r="653" spans="1:10" x14ac:dyDescent="0.3">
      <c r="A653" t="s">
        <v>780</v>
      </c>
      <c r="B653" s="1">
        <v>45966</v>
      </c>
      <c r="C653" t="s">
        <v>23</v>
      </c>
      <c r="D653">
        <v>45</v>
      </c>
      <c r="E653" t="s">
        <v>39</v>
      </c>
      <c r="F653" t="s">
        <v>122</v>
      </c>
      <c r="G653" t="s">
        <v>141</v>
      </c>
      <c r="H653" t="s">
        <v>59</v>
      </c>
      <c r="I653">
        <v>24473</v>
      </c>
      <c r="J653">
        <v>26369</v>
      </c>
    </row>
    <row r="654" spans="1:10" x14ac:dyDescent="0.3">
      <c r="A654" t="s">
        <v>781</v>
      </c>
      <c r="B654" s="1">
        <v>45679</v>
      </c>
      <c r="C654" t="s">
        <v>17</v>
      </c>
      <c r="D654">
        <v>4</v>
      </c>
      <c r="E654" t="s">
        <v>12</v>
      </c>
      <c r="F654" t="s">
        <v>46</v>
      </c>
      <c r="G654" t="s">
        <v>26</v>
      </c>
      <c r="H654" t="s">
        <v>80</v>
      </c>
      <c r="I654">
        <v>20504</v>
      </c>
      <c r="J654">
        <v>15914</v>
      </c>
    </row>
    <row r="655" spans="1:10" x14ac:dyDescent="0.3">
      <c r="A655" t="s">
        <v>782</v>
      </c>
      <c r="B655" s="1">
        <v>46020</v>
      </c>
      <c r="C655" t="s">
        <v>100</v>
      </c>
      <c r="D655">
        <v>1</v>
      </c>
      <c r="E655" t="s">
        <v>24</v>
      </c>
      <c r="F655" t="s">
        <v>78</v>
      </c>
      <c r="G655" t="s">
        <v>76</v>
      </c>
      <c r="H655" t="s">
        <v>36</v>
      </c>
      <c r="I655">
        <v>15022</v>
      </c>
      <c r="J655">
        <v>11850</v>
      </c>
    </row>
    <row r="656" spans="1:10" x14ac:dyDescent="0.3">
      <c r="A656" t="s">
        <v>783</v>
      </c>
      <c r="B656" s="1">
        <v>45989</v>
      </c>
      <c r="C656" t="s">
        <v>23</v>
      </c>
      <c r="D656">
        <v>48</v>
      </c>
      <c r="E656" t="s">
        <v>24</v>
      </c>
      <c r="F656" t="s">
        <v>75</v>
      </c>
      <c r="G656" t="s">
        <v>240</v>
      </c>
      <c r="H656" t="s">
        <v>155</v>
      </c>
      <c r="I656">
        <v>38000</v>
      </c>
      <c r="J656">
        <v>40960</v>
      </c>
    </row>
    <row r="657" spans="1:10" x14ac:dyDescent="0.3">
      <c r="A657" t="s">
        <v>784</v>
      </c>
      <c r="B657" s="1">
        <v>45674</v>
      </c>
      <c r="C657" t="s">
        <v>17</v>
      </c>
      <c r="D657">
        <v>3</v>
      </c>
      <c r="E657" t="s">
        <v>70</v>
      </c>
      <c r="F657" t="s">
        <v>29</v>
      </c>
      <c r="G657" t="s">
        <v>132</v>
      </c>
      <c r="H657" t="s">
        <v>211</v>
      </c>
      <c r="I657">
        <v>31874</v>
      </c>
      <c r="J657">
        <v>30819</v>
      </c>
    </row>
    <row r="658" spans="1:10" x14ac:dyDescent="0.3">
      <c r="A658" t="s">
        <v>785</v>
      </c>
      <c r="B658" s="1">
        <v>46015</v>
      </c>
      <c r="C658" t="s">
        <v>100</v>
      </c>
      <c r="D658">
        <v>52</v>
      </c>
      <c r="E658" t="s">
        <v>24</v>
      </c>
      <c r="F658" t="s">
        <v>122</v>
      </c>
      <c r="G658" t="s">
        <v>115</v>
      </c>
      <c r="H658" t="s">
        <v>27</v>
      </c>
      <c r="I658">
        <v>24949</v>
      </c>
      <c r="J658">
        <v>26819</v>
      </c>
    </row>
    <row r="659" spans="1:10" x14ac:dyDescent="0.3">
      <c r="A659" t="s">
        <v>786</v>
      </c>
      <c r="B659" s="1">
        <v>45674</v>
      </c>
      <c r="C659" t="s">
        <v>17</v>
      </c>
      <c r="D659">
        <v>3</v>
      </c>
      <c r="E659" t="s">
        <v>61</v>
      </c>
      <c r="F659" t="s">
        <v>50</v>
      </c>
      <c r="G659" t="s">
        <v>234</v>
      </c>
      <c r="H659" t="s">
        <v>64</v>
      </c>
      <c r="I659">
        <v>24210</v>
      </c>
      <c r="J659">
        <v>18279</v>
      </c>
    </row>
    <row r="660" spans="1:10" x14ac:dyDescent="0.3">
      <c r="A660" t="s">
        <v>787</v>
      </c>
      <c r="B660" s="1">
        <v>45925</v>
      </c>
      <c r="C660" t="s">
        <v>38</v>
      </c>
      <c r="D660">
        <v>39</v>
      </c>
      <c r="E660" t="s">
        <v>24</v>
      </c>
      <c r="F660" t="s">
        <v>122</v>
      </c>
      <c r="G660" t="s">
        <v>130</v>
      </c>
      <c r="H660" t="s">
        <v>55</v>
      </c>
      <c r="I660">
        <v>36688</v>
      </c>
      <c r="J660">
        <v>40590</v>
      </c>
    </row>
    <row r="661" spans="1:10" x14ac:dyDescent="0.3">
      <c r="A661" t="s">
        <v>788</v>
      </c>
      <c r="B661" s="1">
        <v>46002</v>
      </c>
      <c r="C661" t="s">
        <v>100</v>
      </c>
      <c r="D661">
        <v>50</v>
      </c>
      <c r="E661" t="s">
        <v>18</v>
      </c>
      <c r="F661" t="s">
        <v>109</v>
      </c>
      <c r="G661" t="s">
        <v>291</v>
      </c>
      <c r="H661" t="s">
        <v>211</v>
      </c>
      <c r="I661">
        <v>15008</v>
      </c>
      <c r="J661">
        <v>16691</v>
      </c>
    </row>
    <row r="662" spans="1:10" x14ac:dyDescent="0.3">
      <c r="A662" t="s">
        <v>789</v>
      </c>
      <c r="B662" s="1">
        <v>45850</v>
      </c>
      <c r="C662" t="s">
        <v>11</v>
      </c>
      <c r="D662">
        <v>28</v>
      </c>
      <c r="E662" t="s">
        <v>33</v>
      </c>
      <c r="F662" t="s">
        <v>50</v>
      </c>
      <c r="G662" t="s">
        <v>47</v>
      </c>
      <c r="H662" t="s">
        <v>80</v>
      </c>
      <c r="I662">
        <v>24277</v>
      </c>
      <c r="J662">
        <v>21994</v>
      </c>
    </row>
    <row r="663" spans="1:10" x14ac:dyDescent="0.3">
      <c r="A663" t="s">
        <v>790</v>
      </c>
      <c r="B663" s="1">
        <v>45666</v>
      </c>
      <c r="C663" t="s">
        <v>17</v>
      </c>
      <c r="D663">
        <v>2</v>
      </c>
      <c r="E663" t="s">
        <v>18</v>
      </c>
      <c r="F663" t="s">
        <v>75</v>
      </c>
      <c r="G663" t="s">
        <v>137</v>
      </c>
      <c r="H663" t="s">
        <v>55</v>
      </c>
      <c r="I663">
        <v>16275</v>
      </c>
      <c r="J663">
        <v>12334</v>
      </c>
    </row>
    <row r="664" spans="1:10" x14ac:dyDescent="0.3">
      <c r="A664" t="s">
        <v>791</v>
      </c>
      <c r="B664" s="1">
        <v>46014</v>
      </c>
      <c r="C664" t="s">
        <v>100</v>
      </c>
      <c r="D664">
        <v>52</v>
      </c>
      <c r="E664" t="s">
        <v>24</v>
      </c>
      <c r="F664" t="s">
        <v>193</v>
      </c>
      <c r="G664" t="s">
        <v>191</v>
      </c>
      <c r="H664" t="s">
        <v>36</v>
      </c>
      <c r="I664">
        <v>24079</v>
      </c>
      <c r="J664">
        <v>23691</v>
      </c>
    </row>
    <row r="665" spans="1:10" x14ac:dyDescent="0.3">
      <c r="A665" t="s">
        <v>792</v>
      </c>
      <c r="B665" s="1">
        <v>45960</v>
      </c>
      <c r="C665" t="s">
        <v>66</v>
      </c>
      <c r="D665">
        <v>44</v>
      </c>
      <c r="E665" t="s">
        <v>39</v>
      </c>
      <c r="F665" t="s">
        <v>75</v>
      </c>
      <c r="G665" t="s">
        <v>206</v>
      </c>
      <c r="H665" t="s">
        <v>84</v>
      </c>
      <c r="I665">
        <v>28428</v>
      </c>
      <c r="J665">
        <v>25940</v>
      </c>
    </row>
    <row r="666" spans="1:10" x14ac:dyDescent="0.3">
      <c r="A666" t="s">
        <v>793</v>
      </c>
      <c r="B666" s="1">
        <v>45789</v>
      </c>
      <c r="C666" t="s">
        <v>90</v>
      </c>
      <c r="D666">
        <v>20</v>
      </c>
      <c r="E666" t="s">
        <v>12</v>
      </c>
      <c r="F666" t="s">
        <v>75</v>
      </c>
      <c r="G666" t="s">
        <v>107</v>
      </c>
      <c r="H666" t="s">
        <v>41</v>
      </c>
      <c r="I666">
        <v>22679</v>
      </c>
      <c r="J666">
        <v>28807</v>
      </c>
    </row>
    <row r="667" spans="1:10" x14ac:dyDescent="0.3">
      <c r="A667" t="s">
        <v>794</v>
      </c>
      <c r="B667" s="1">
        <v>45663</v>
      </c>
      <c r="C667" t="s">
        <v>17</v>
      </c>
      <c r="D667">
        <v>2</v>
      </c>
      <c r="E667" t="s">
        <v>18</v>
      </c>
      <c r="F667" t="s">
        <v>75</v>
      </c>
      <c r="G667" t="s">
        <v>171</v>
      </c>
      <c r="H667" t="s">
        <v>116</v>
      </c>
      <c r="I667">
        <v>39511</v>
      </c>
      <c r="J667">
        <v>44581</v>
      </c>
    </row>
    <row r="668" spans="1:10" x14ac:dyDescent="0.3">
      <c r="A668" t="s">
        <v>795</v>
      </c>
      <c r="B668" s="1">
        <v>45719</v>
      </c>
      <c r="C668" t="s">
        <v>95</v>
      </c>
      <c r="D668">
        <v>10</v>
      </c>
      <c r="E668" t="s">
        <v>33</v>
      </c>
      <c r="F668" t="s">
        <v>75</v>
      </c>
      <c r="G668" t="s">
        <v>201</v>
      </c>
      <c r="H668" t="s">
        <v>84</v>
      </c>
      <c r="I668">
        <v>35319</v>
      </c>
      <c r="J668">
        <v>27047</v>
      </c>
    </row>
    <row r="669" spans="1:10" x14ac:dyDescent="0.3">
      <c r="A669" t="s">
        <v>796</v>
      </c>
      <c r="B669" s="1">
        <v>45785</v>
      </c>
      <c r="C669" t="s">
        <v>90</v>
      </c>
      <c r="D669">
        <v>19</v>
      </c>
      <c r="E669" t="s">
        <v>24</v>
      </c>
      <c r="F669" t="s">
        <v>57</v>
      </c>
      <c r="G669" t="s">
        <v>83</v>
      </c>
      <c r="H669" t="s">
        <v>165</v>
      </c>
      <c r="I669">
        <v>36773</v>
      </c>
      <c r="J669">
        <v>38503</v>
      </c>
    </row>
    <row r="670" spans="1:10" x14ac:dyDescent="0.3">
      <c r="A670" t="s">
        <v>797</v>
      </c>
      <c r="B670" s="1">
        <v>45863</v>
      </c>
      <c r="C670" t="s">
        <v>11</v>
      </c>
      <c r="D670">
        <v>30</v>
      </c>
      <c r="E670" t="s">
        <v>12</v>
      </c>
      <c r="F670" t="s">
        <v>193</v>
      </c>
      <c r="G670" t="s">
        <v>141</v>
      </c>
      <c r="H670" t="s">
        <v>151</v>
      </c>
      <c r="I670">
        <v>25738</v>
      </c>
      <c r="J670">
        <v>28178</v>
      </c>
    </row>
    <row r="671" spans="1:10" x14ac:dyDescent="0.3">
      <c r="A671" t="s">
        <v>798</v>
      </c>
      <c r="B671" s="1">
        <v>45662</v>
      </c>
      <c r="C671" t="s">
        <v>17</v>
      </c>
      <c r="D671">
        <v>1</v>
      </c>
      <c r="E671" t="s">
        <v>18</v>
      </c>
      <c r="F671" t="s">
        <v>34</v>
      </c>
      <c r="G671" t="s">
        <v>44</v>
      </c>
      <c r="H671" t="s">
        <v>133</v>
      </c>
      <c r="I671">
        <v>17998</v>
      </c>
      <c r="J671">
        <v>21075</v>
      </c>
    </row>
    <row r="672" spans="1:10" x14ac:dyDescent="0.3">
      <c r="A672" t="s">
        <v>799</v>
      </c>
      <c r="B672" s="1">
        <v>45677</v>
      </c>
      <c r="C672" t="s">
        <v>17</v>
      </c>
      <c r="D672">
        <v>4</v>
      </c>
      <c r="E672" t="s">
        <v>61</v>
      </c>
      <c r="F672" t="s">
        <v>78</v>
      </c>
      <c r="G672" t="s">
        <v>67</v>
      </c>
      <c r="H672" t="s">
        <v>41</v>
      </c>
      <c r="I672">
        <v>35605</v>
      </c>
      <c r="J672">
        <v>33468</v>
      </c>
    </row>
    <row r="673" spans="1:10" x14ac:dyDescent="0.3">
      <c r="A673" t="s">
        <v>800</v>
      </c>
      <c r="B673" s="1">
        <v>45667</v>
      </c>
      <c r="C673" t="s">
        <v>17</v>
      </c>
      <c r="D673">
        <v>2</v>
      </c>
      <c r="E673" t="s">
        <v>70</v>
      </c>
      <c r="F673" t="s">
        <v>122</v>
      </c>
      <c r="G673" t="s">
        <v>324</v>
      </c>
      <c r="H673" t="s">
        <v>165</v>
      </c>
      <c r="I673">
        <v>31441</v>
      </c>
      <c r="J673">
        <v>33282</v>
      </c>
    </row>
    <row r="674" spans="1:10" x14ac:dyDescent="0.3">
      <c r="A674" t="s">
        <v>801</v>
      </c>
      <c r="B674" s="1">
        <v>45857</v>
      </c>
      <c r="C674" t="s">
        <v>11</v>
      </c>
      <c r="D674">
        <v>29</v>
      </c>
      <c r="E674" t="s">
        <v>18</v>
      </c>
      <c r="F674" t="s">
        <v>13</v>
      </c>
      <c r="G674" t="s">
        <v>102</v>
      </c>
      <c r="H674" t="s">
        <v>48</v>
      </c>
      <c r="I674">
        <v>36369</v>
      </c>
      <c r="J674">
        <v>35602</v>
      </c>
    </row>
    <row r="675" spans="1:10" x14ac:dyDescent="0.3">
      <c r="A675" t="s">
        <v>802</v>
      </c>
      <c r="B675" s="1">
        <v>45949</v>
      </c>
      <c r="C675" t="s">
        <v>66</v>
      </c>
      <c r="D675">
        <v>42</v>
      </c>
      <c r="E675" t="s">
        <v>33</v>
      </c>
      <c r="F675" t="s">
        <v>50</v>
      </c>
      <c r="G675" t="s">
        <v>253</v>
      </c>
      <c r="H675" t="s">
        <v>243</v>
      </c>
      <c r="I675">
        <v>16497</v>
      </c>
      <c r="J675">
        <v>12082</v>
      </c>
    </row>
    <row r="676" spans="1:10" x14ac:dyDescent="0.3">
      <c r="A676" t="s">
        <v>803</v>
      </c>
      <c r="B676" s="1">
        <v>45959</v>
      </c>
      <c r="C676" t="s">
        <v>66</v>
      </c>
      <c r="D676">
        <v>44</v>
      </c>
      <c r="E676" t="s">
        <v>33</v>
      </c>
      <c r="F676" t="s">
        <v>122</v>
      </c>
      <c r="G676" t="s">
        <v>58</v>
      </c>
      <c r="H676" t="s">
        <v>36</v>
      </c>
      <c r="I676">
        <v>22426</v>
      </c>
      <c r="J676">
        <v>25531</v>
      </c>
    </row>
    <row r="677" spans="1:10" x14ac:dyDescent="0.3">
      <c r="A677" t="s">
        <v>804</v>
      </c>
      <c r="B677" s="1">
        <v>45997</v>
      </c>
      <c r="C677" t="s">
        <v>100</v>
      </c>
      <c r="D677">
        <v>49</v>
      </c>
      <c r="E677" t="s">
        <v>24</v>
      </c>
      <c r="F677" t="s">
        <v>92</v>
      </c>
      <c r="G677" t="s">
        <v>145</v>
      </c>
      <c r="H677" t="s">
        <v>111</v>
      </c>
      <c r="I677">
        <v>17999</v>
      </c>
      <c r="J677">
        <v>13633</v>
      </c>
    </row>
    <row r="678" spans="1:10" x14ac:dyDescent="0.3">
      <c r="A678" t="s">
        <v>805</v>
      </c>
      <c r="B678" s="1">
        <v>45902</v>
      </c>
      <c r="C678" t="s">
        <v>38</v>
      </c>
      <c r="D678">
        <v>36</v>
      </c>
      <c r="E678" t="s">
        <v>39</v>
      </c>
      <c r="F678" t="s">
        <v>78</v>
      </c>
      <c r="G678" t="s">
        <v>110</v>
      </c>
      <c r="H678" t="s">
        <v>15</v>
      </c>
      <c r="I678">
        <v>39946</v>
      </c>
      <c r="J678">
        <v>51544</v>
      </c>
    </row>
    <row r="679" spans="1:10" x14ac:dyDescent="0.3">
      <c r="A679" t="s">
        <v>806</v>
      </c>
      <c r="B679" s="1">
        <v>45732</v>
      </c>
      <c r="C679" t="s">
        <v>95</v>
      </c>
      <c r="D679">
        <v>11</v>
      </c>
      <c r="E679" t="s">
        <v>70</v>
      </c>
      <c r="F679" t="s">
        <v>78</v>
      </c>
      <c r="G679" t="s">
        <v>67</v>
      </c>
      <c r="H679" t="s">
        <v>123</v>
      </c>
      <c r="I679">
        <v>25193</v>
      </c>
      <c r="J679">
        <v>30086</v>
      </c>
    </row>
    <row r="680" spans="1:10" x14ac:dyDescent="0.3">
      <c r="A680" t="s">
        <v>807</v>
      </c>
      <c r="B680" s="1">
        <v>45681</v>
      </c>
      <c r="C680" t="s">
        <v>17</v>
      </c>
      <c r="D680">
        <v>4</v>
      </c>
      <c r="E680" t="s">
        <v>18</v>
      </c>
      <c r="F680" t="s">
        <v>62</v>
      </c>
      <c r="G680" t="s">
        <v>63</v>
      </c>
      <c r="H680" t="s">
        <v>48</v>
      </c>
      <c r="I680">
        <v>15036</v>
      </c>
      <c r="J680">
        <v>17515</v>
      </c>
    </row>
    <row r="681" spans="1:10" x14ac:dyDescent="0.3">
      <c r="A681" t="s">
        <v>808</v>
      </c>
      <c r="B681" s="1">
        <v>45749</v>
      </c>
      <c r="C681" t="s">
        <v>86</v>
      </c>
      <c r="D681">
        <v>14</v>
      </c>
      <c r="E681" t="s">
        <v>33</v>
      </c>
      <c r="F681" t="s">
        <v>109</v>
      </c>
      <c r="G681" t="s">
        <v>324</v>
      </c>
      <c r="H681" t="s">
        <v>27</v>
      </c>
      <c r="I681">
        <v>37921</v>
      </c>
      <c r="J681">
        <v>35508</v>
      </c>
    </row>
    <row r="682" spans="1:10" x14ac:dyDescent="0.3">
      <c r="A682" t="s">
        <v>809</v>
      </c>
      <c r="B682" s="1">
        <v>45735</v>
      </c>
      <c r="C682" t="s">
        <v>95</v>
      </c>
      <c r="D682">
        <v>12</v>
      </c>
      <c r="E682" t="s">
        <v>12</v>
      </c>
      <c r="F682" t="s">
        <v>140</v>
      </c>
      <c r="G682" t="s">
        <v>160</v>
      </c>
      <c r="H682" t="s">
        <v>157</v>
      </c>
      <c r="I682">
        <v>18162</v>
      </c>
      <c r="J682">
        <v>15009</v>
      </c>
    </row>
    <row r="683" spans="1:10" x14ac:dyDescent="0.3">
      <c r="A683" t="s">
        <v>810</v>
      </c>
      <c r="B683" s="1">
        <v>46004</v>
      </c>
      <c r="C683" t="s">
        <v>100</v>
      </c>
      <c r="D683">
        <v>50</v>
      </c>
      <c r="E683" t="s">
        <v>70</v>
      </c>
      <c r="F683" t="s">
        <v>140</v>
      </c>
      <c r="G683" t="s">
        <v>145</v>
      </c>
      <c r="H683" t="s">
        <v>157</v>
      </c>
      <c r="I683">
        <v>30252</v>
      </c>
      <c r="J683">
        <v>31295</v>
      </c>
    </row>
    <row r="684" spans="1:10" x14ac:dyDescent="0.3">
      <c r="A684" t="s">
        <v>811</v>
      </c>
      <c r="B684" s="1">
        <v>45745</v>
      </c>
      <c r="C684" t="s">
        <v>95</v>
      </c>
      <c r="D684">
        <v>13</v>
      </c>
      <c r="E684" t="s">
        <v>24</v>
      </c>
      <c r="F684" t="s">
        <v>43</v>
      </c>
      <c r="G684" t="s">
        <v>26</v>
      </c>
      <c r="H684" t="s">
        <v>21</v>
      </c>
      <c r="I684">
        <v>18033</v>
      </c>
      <c r="J684">
        <v>22308</v>
      </c>
    </row>
    <row r="685" spans="1:10" x14ac:dyDescent="0.3">
      <c r="A685" t="s">
        <v>812</v>
      </c>
      <c r="B685" s="1">
        <v>46015</v>
      </c>
      <c r="C685" t="s">
        <v>100</v>
      </c>
      <c r="D685">
        <v>52</v>
      </c>
      <c r="E685" t="s">
        <v>39</v>
      </c>
      <c r="F685" t="s">
        <v>140</v>
      </c>
      <c r="G685" t="s">
        <v>230</v>
      </c>
      <c r="H685" t="s">
        <v>41</v>
      </c>
      <c r="I685">
        <v>26911</v>
      </c>
      <c r="J685">
        <v>30729</v>
      </c>
    </row>
    <row r="686" spans="1:10" x14ac:dyDescent="0.3">
      <c r="A686" t="s">
        <v>813</v>
      </c>
      <c r="B686" s="1">
        <v>45803</v>
      </c>
      <c r="C686" t="s">
        <v>90</v>
      </c>
      <c r="D686">
        <v>22</v>
      </c>
      <c r="E686" t="s">
        <v>39</v>
      </c>
      <c r="F686" t="s">
        <v>75</v>
      </c>
      <c r="G686" t="s">
        <v>83</v>
      </c>
      <c r="H686" t="s">
        <v>119</v>
      </c>
      <c r="I686">
        <v>35645</v>
      </c>
      <c r="J686">
        <v>40960</v>
      </c>
    </row>
    <row r="687" spans="1:10" x14ac:dyDescent="0.3">
      <c r="A687" t="s">
        <v>814</v>
      </c>
      <c r="B687" s="1">
        <v>45830</v>
      </c>
      <c r="C687" t="s">
        <v>74</v>
      </c>
      <c r="D687">
        <v>25</v>
      </c>
      <c r="E687" t="s">
        <v>24</v>
      </c>
      <c r="F687" t="s">
        <v>140</v>
      </c>
      <c r="G687" t="s">
        <v>93</v>
      </c>
      <c r="H687" t="s">
        <v>52</v>
      </c>
      <c r="I687">
        <v>38460</v>
      </c>
      <c r="J687">
        <v>42221</v>
      </c>
    </row>
    <row r="688" spans="1:10" x14ac:dyDescent="0.3">
      <c r="A688" t="s">
        <v>815</v>
      </c>
      <c r="B688" s="1">
        <v>45870</v>
      </c>
      <c r="C688" t="s">
        <v>113</v>
      </c>
      <c r="D688">
        <v>31</v>
      </c>
      <c r="E688" t="s">
        <v>70</v>
      </c>
      <c r="F688" t="s">
        <v>43</v>
      </c>
      <c r="G688" t="s">
        <v>44</v>
      </c>
      <c r="H688" t="s">
        <v>96</v>
      </c>
      <c r="I688">
        <v>16775</v>
      </c>
      <c r="J688">
        <v>15678</v>
      </c>
    </row>
    <row r="689" spans="1:10" x14ac:dyDescent="0.3">
      <c r="A689" t="s">
        <v>816</v>
      </c>
      <c r="B689" s="1">
        <v>45719</v>
      </c>
      <c r="C689" t="s">
        <v>95</v>
      </c>
      <c r="D689">
        <v>10</v>
      </c>
      <c r="E689" t="s">
        <v>24</v>
      </c>
      <c r="F689" t="s">
        <v>46</v>
      </c>
      <c r="G689" t="s">
        <v>128</v>
      </c>
      <c r="H689" t="s">
        <v>41</v>
      </c>
      <c r="I689">
        <v>30702</v>
      </c>
      <c r="J689">
        <v>28094</v>
      </c>
    </row>
    <row r="690" spans="1:10" x14ac:dyDescent="0.3">
      <c r="A690" t="s">
        <v>817</v>
      </c>
      <c r="B690" s="1">
        <v>46002</v>
      </c>
      <c r="C690" t="s">
        <v>100</v>
      </c>
      <c r="D690">
        <v>50</v>
      </c>
      <c r="E690" t="s">
        <v>33</v>
      </c>
      <c r="F690" t="s">
        <v>109</v>
      </c>
      <c r="G690" t="s">
        <v>44</v>
      </c>
      <c r="H690" t="s">
        <v>111</v>
      </c>
      <c r="I690">
        <v>34502</v>
      </c>
      <c r="J690">
        <v>34548</v>
      </c>
    </row>
    <row r="691" spans="1:10" x14ac:dyDescent="0.3">
      <c r="A691" t="s">
        <v>818</v>
      </c>
      <c r="B691" s="1">
        <v>45840</v>
      </c>
      <c r="C691" t="s">
        <v>11</v>
      </c>
      <c r="D691">
        <v>27</v>
      </c>
      <c r="E691" t="s">
        <v>18</v>
      </c>
      <c r="F691" t="s">
        <v>92</v>
      </c>
      <c r="G691" t="s">
        <v>253</v>
      </c>
      <c r="H691" t="s">
        <v>111</v>
      </c>
      <c r="I691">
        <v>25316</v>
      </c>
      <c r="J691">
        <v>27246</v>
      </c>
    </row>
    <row r="692" spans="1:10" x14ac:dyDescent="0.3">
      <c r="A692" t="s">
        <v>819</v>
      </c>
      <c r="B692" s="1">
        <v>45683</v>
      </c>
      <c r="C692" t="s">
        <v>17</v>
      </c>
      <c r="D692">
        <v>4</v>
      </c>
      <c r="E692" t="s">
        <v>33</v>
      </c>
      <c r="F692" t="s">
        <v>92</v>
      </c>
      <c r="G692" t="s">
        <v>128</v>
      </c>
      <c r="H692" t="s">
        <v>96</v>
      </c>
      <c r="I692">
        <v>24280</v>
      </c>
      <c r="J692">
        <v>26419</v>
      </c>
    </row>
    <row r="693" spans="1:10" x14ac:dyDescent="0.3">
      <c r="A693" t="s">
        <v>820</v>
      </c>
      <c r="B693" s="1">
        <v>45893</v>
      </c>
      <c r="C693" t="s">
        <v>113</v>
      </c>
      <c r="D693">
        <v>34</v>
      </c>
      <c r="E693" t="s">
        <v>61</v>
      </c>
      <c r="F693" t="s">
        <v>34</v>
      </c>
      <c r="G693" t="s">
        <v>51</v>
      </c>
      <c r="H693" t="s">
        <v>27</v>
      </c>
      <c r="I693">
        <v>23252</v>
      </c>
      <c r="J693">
        <v>17515</v>
      </c>
    </row>
    <row r="694" spans="1:10" x14ac:dyDescent="0.3">
      <c r="A694" t="s">
        <v>821</v>
      </c>
      <c r="B694" s="1">
        <v>45861</v>
      </c>
      <c r="C694" t="s">
        <v>11</v>
      </c>
      <c r="D694">
        <v>30</v>
      </c>
      <c r="E694" t="s">
        <v>18</v>
      </c>
      <c r="F694" t="s">
        <v>87</v>
      </c>
      <c r="G694" t="s">
        <v>132</v>
      </c>
      <c r="H694" t="s">
        <v>163</v>
      </c>
      <c r="I694">
        <v>33215</v>
      </c>
      <c r="J694">
        <v>36989</v>
      </c>
    </row>
    <row r="695" spans="1:10" x14ac:dyDescent="0.3">
      <c r="A695" t="s">
        <v>822</v>
      </c>
      <c r="B695" s="1">
        <v>45762</v>
      </c>
      <c r="C695" t="s">
        <v>86</v>
      </c>
      <c r="D695">
        <v>16</v>
      </c>
      <c r="E695" t="s">
        <v>24</v>
      </c>
      <c r="F695" t="s">
        <v>92</v>
      </c>
      <c r="G695" t="s">
        <v>47</v>
      </c>
      <c r="H695" t="s">
        <v>151</v>
      </c>
      <c r="I695">
        <v>20506</v>
      </c>
      <c r="J695">
        <v>21797</v>
      </c>
    </row>
    <row r="696" spans="1:10" x14ac:dyDescent="0.3">
      <c r="A696" t="s">
        <v>823</v>
      </c>
      <c r="B696" s="1">
        <v>45878</v>
      </c>
      <c r="C696" t="s">
        <v>113</v>
      </c>
      <c r="D696">
        <v>32</v>
      </c>
      <c r="E696" t="s">
        <v>61</v>
      </c>
      <c r="F696" t="s">
        <v>25</v>
      </c>
      <c r="G696" t="s">
        <v>182</v>
      </c>
      <c r="H696" t="s">
        <v>111</v>
      </c>
      <c r="I696">
        <v>38239</v>
      </c>
      <c r="J696">
        <v>30914</v>
      </c>
    </row>
    <row r="697" spans="1:10" x14ac:dyDescent="0.3">
      <c r="A697" t="s">
        <v>824</v>
      </c>
      <c r="B697" s="1">
        <v>45932</v>
      </c>
      <c r="C697" t="s">
        <v>66</v>
      </c>
      <c r="D697">
        <v>40</v>
      </c>
      <c r="E697" t="s">
        <v>18</v>
      </c>
      <c r="F697" t="s">
        <v>25</v>
      </c>
      <c r="G697" t="s">
        <v>44</v>
      </c>
      <c r="H697" t="s">
        <v>98</v>
      </c>
      <c r="I697">
        <v>21456</v>
      </c>
      <c r="J697">
        <v>23332</v>
      </c>
    </row>
    <row r="698" spans="1:10" x14ac:dyDescent="0.3">
      <c r="A698" t="s">
        <v>825</v>
      </c>
      <c r="B698" s="1">
        <v>45978</v>
      </c>
      <c r="C698" t="s">
        <v>23</v>
      </c>
      <c r="D698">
        <v>47</v>
      </c>
      <c r="E698" t="s">
        <v>70</v>
      </c>
      <c r="F698" t="s">
        <v>109</v>
      </c>
      <c r="G698" t="s">
        <v>141</v>
      </c>
      <c r="H698" t="s">
        <v>55</v>
      </c>
      <c r="I698">
        <v>33957</v>
      </c>
      <c r="J698">
        <v>26713</v>
      </c>
    </row>
    <row r="699" spans="1:10" x14ac:dyDescent="0.3">
      <c r="A699" t="s">
        <v>826</v>
      </c>
      <c r="B699" s="1">
        <v>46005</v>
      </c>
      <c r="C699" t="s">
        <v>100</v>
      </c>
      <c r="D699">
        <v>50</v>
      </c>
      <c r="E699" t="s">
        <v>70</v>
      </c>
      <c r="F699" t="s">
        <v>46</v>
      </c>
      <c r="G699" t="s">
        <v>326</v>
      </c>
      <c r="H699" t="s">
        <v>21</v>
      </c>
      <c r="I699">
        <v>24388</v>
      </c>
      <c r="J699">
        <v>26570</v>
      </c>
    </row>
    <row r="700" spans="1:10" x14ac:dyDescent="0.3">
      <c r="A700" t="s">
        <v>827</v>
      </c>
      <c r="B700" s="1">
        <v>45715</v>
      </c>
      <c r="C700" t="s">
        <v>82</v>
      </c>
      <c r="D700">
        <v>9</v>
      </c>
      <c r="E700" t="s">
        <v>24</v>
      </c>
      <c r="F700" t="s">
        <v>101</v>
      </c>
      <c r="G700" t="s">
        <v>118</v>
      </c>
      <c r="H700" t="s">
        <v>155</v>
      </c>
      <c r="I700">
        <v>25495</v>
      </c>
      <c r="J700">
        <v>28248</v>
      </c>
    </row>
    <row r="701" spans="1:10" x14ac:dyDescent="0.3">
      <c r="A701" t="s">
        <v>828</v>
      </c>
      <c r="B701" s="1">
        <v>45758</v>
      </c>
      <c r="C701" t="s">
        <v>86</v>
      </c>
      <c r="D701">
        <v>15</v>
      </c>
      <c r="E701" t="s">
        <v>39</v>
      </c>
      <c r="F701" t="s">
        <v>92</v>
      </c>
      <c r="G701" t="s">
        <v>291</v>
      </c>
      <c r="H701" t="s">
        <v>98</v>
      </c>
      <c r="I701">
        <v>27797</v>
      </c>
      <c r="J701">
        <v>28451</v>
      </c>
    </row>
    <row r="702" spans="1:10" x14ac:dyDescent="0.3">
      <c r="A702" t="s">
        <v>829</v>
      </c>
      <c r="B702" s="1">
        <v>45837</v>
      </c>
      <c r="C702" t="s">
        <v>74</v>
      </c>
      <c r="D702">
        <v>26</v>
      </c>
      <c r="E702" t="s">
        <v>33</v>
      </c>
      <c r="F702" t="s">
        <v>13</v>
      </c>
      <c r="G702" t="s">
        <v>14</v>
      </c>
      <c r="H702" t="s">
        <v>98</v>
      </c>
      <c r="I702">
        <v>32013</v>
      </c>
      <c r="J702">
        <v>28753</v>
      </c>
    </row>
    <row r="703" spans="1:10" x14ac:dyDescent="0.3">
      <c r="A703" t="s">
        <v>830</v>
      </c>
      <c r="B703" s="1">
        <v>45928</v>
      </c>
      <c r="C703" t="s">
        <v>38</v>
      </c>
      <c r="D703">
        <v>39</v>
      </c>
      <c r="E703" t="s">
        <v>12</v>
      </c>
      <c r="F703" t="s">
        <v>29</v>
      </c>
      <c r="G703" t="s">
        <v>102</v>
      </c>
      <c r="H703" t="s">
        <v>96</v>
      </c>
      <c r="I703">
        <v>31791</v>
      </c>
      <c r="J703">
        <v>36710</v>
      </c>
    </row>
    <row r="704" spans="1:10" x14ac:dyDescent="0.3">
      <c r="A704" t="s">
        <v>831</v>
      </c>
      <c r="B704" s="1">
        <v>45868</v>
      </c>
      <c r="C704" t="s">
        <v>11</v>
      </c>
      <c r="D704">
        <v>31</v>
      </c>
      <c r="E704" t="s">
        <v>18</v>
      </c>
      <c r="F704" t="s">
        <v>109</v>
      </c>
      <c r="G704" t="s">
        <v>115</v>
      </c>
      <c r="H704" t="s">
        <v>27</v>
      </c>
      <c r="I704">
        <v>25042</v>
      </c>
      <c r="J704">
        <v>30777</v>
      </c>
    </row>
    <row r="705" spans="1:10" x14ac:dyDescent="0.3">
      <c r="A705" t="s">
        <v>832</v>
      </c>
      <c r="B705" s="1">
        <v>45762</v>
      </c>
      <c r="C705" t="s">
        <v>86</v>
      </c>
      <c r="D705">
        <v>16</v>
      </c>
      <c r="E705" t="s">
        <v>61</v>
      </c>
      <c r="F705" t="s">
        <v>62</v>
      </c>
      <c r="G705" t="s">
        <v>44</v>
      </c>
      <c r="H705" t="s">
        <v>36</v>
      </c>
      <c r="I705">
        <v>31117</v>
      </c>
      <c r="J705">
        <v>34331</v>
      </c>
    </row>
    <row r="706" spans="1:10" x14ac:dyDescent="0.3">
      <c r="A706" t="s">
        <v>833</v>
      </c>
      <c r="B706" s="1">
        <v>45693</v>
      </c>
      <c r="C706" t="s">
        <v>82</v>
      </c>
      <c r="D706">
        <v>6</v>
      </c>
      <c r="E706" t="s">
        <v>18</v>
      </c>
      <c r="F706" t="s">
        <v>109</v>
      </c>
      <c r="G706" t="s">
        <v>26</v>
      </c>
      <c r="H706" t="s">
        <v>116</v>
      </c>
      <c r="I706">
        <v>33355</v>
      </c>
      <c r="J706">
        <v>23405</v>
      </c>
    </row>
    <row r="707" spans="1:10" x14ac:dyDescent="0.3">
      <c r="A707" t="s">
        <v>834</v>
      </c>
      <c r="B707" s="1">
        <v>45708</v>
      </c>
      <c r="C707" t="s">
        <v>82</v>
      </c>
      <c r="D707">
        <v>8</v>
      </c>
      <c r="E707" t="s">
        <v>18</v>
      </c>
      <c r="F707" t="s">
        <v>122</v>
      </c>
      <c r="G707" t="s">
        <v>135</v>
      </c>
      <c r="H707" t="s">
        <v>157</v>
      </c>
      <c r="I707">
        <v>16187</v>
      </c>
      <c r="J707">
        <v>14021</v>
      </c>
    </row>
    <row r="708" spans="1:10" x14ac:dyDescent="0.3">
      <c r="A708" t="s">
        <v>835</v>
      </c>
      <c r="B708" s="1">
        <v>45893</v>
      </c>
      <c r="C708" t="s">
        <v>113</v>
      </c>
      <c r="D708">
        <v>34</v>
      </c>
      <c r="E708" t="s">
        <v>24</v>
      </c>
      <c r="F708" t="s">
        <v>87</v>
      </c>
      <c r="G708" t="s">
        <v>93</v>
      </c>
      <c r="H708" t="s">
        <v>243</v>
      </c>
      <c r="I708">
        <v>16609</v>
      </c>
      <c r="J708">
        <v>18358</v>
      </c>
    </row>
    <row r="709" spans="1:10" x14ac:dyDescent="0.3">
      <c r="A709" t="s">
        <v>836</v>
      </c>
      <c r="B709" s="1">
        <v>45740</v>
      </c>
      <c r="C709" t="s">
        <v>95</v>
      </c>
      <c r="D709">
        <v>13</v>
      </c>
      <c r="E709" t="s">
        <v>61</v>
      </c>
      <c r="F709" t="s">
        <v>19</v>
      </c>
      <c r="G709" t="s">
        <v>30</v>
      </c>
      <c r="H709" t="s">
        <v>27</v>
      </c>
      <c r="I709">
        <v>33439</v>
      </c>
      <c r="J709">
        <v>27809</v>
      </c>
    </row>
    <row r="710" spans="1:10" x14ac:dyDescent="0.3">
      <c r="A710" t="s">
        <v>837</v>
      </c>
      <c r="B710" s="1">
        <v>45773</v>
      </c>
      <c r="C710" t="s">
        <v>86</v>
      </c>
      <c r="D710">
        <v>17</v>
      </c>
      <c r="E710" t="s">
        <v>70</v>
      </c>
      <c r="F710" t="s">
        <v>46</v>
      </c>
      <c r="G710" t="s">
        <v>102</v>
      </c>
      <c r="H710" t="s">
        <v>41</v>
      </c>
      <c r="I710">
        <v>31292</v>
      </c>
      <c r="J710">
        <v>30028</v>
      </c>
    </row>
    <row r="711" spans="1:10" x14ac:dyDescent="0.3">
      <c r="A711" t="s">
        <v>838</v>
      </c>
      <c r="B711" s="1">
        <v>45789</v>
      </c>
      <c r="C711" t="s">
        <v>90</v>
      </c>
      <c r="D711">
        <v>20</v>
      </c>
      <c r="E711" t="s">
        <v>70</v>
      </c>
      <c r="F711" t="s">
        <v>62</v>
      </c>
      <c r="G711" t="s">
        <v>126</v>
      </c>
      <c r="H711" t="s">
        <v>243</v>
      </c>
      <c r="I711">
        <v>29668</v>
      </c>
      <c r="J711">
        <v>31288</v>
      </c>
    </row>
    <row r="712" spans="1:10" x14ac:dyDescent="0.3">
      <c r="A712" t="s">
        <v>839</v>
      </c>
      <c r="B712" s="1">
        <v>45870</v>
      </c>
      <c r="C712" t="s">
        <v>113</v>
      </c>
      <c r="D712">
        <v>31</v>
      </c>
      <c r="E712" t="s">
        <v>70</v>
      </c>
      <c r="F712" t="s">
        <v>101</v>
      </c>
      <c r="G712" t="s">
        <v>88</v>
      </c>
      <c r="H712" t="s">
        <v>119</v>
      </c>
      <c r="I712">
        <v>25873</v>
      </c>
      <c r="J712">
        <v>22426</v>
      </c>
    </row>
    <row r="713" spans="1:10" x14ac:dyDescent="0.3">
      <c r="A713" t="s">
        <v>840</v>
      </c>
      <c r="B713" s="1">
        <v>45969</v>
      </c>
      <c r="C713" t="s">
        <v>23</v>
      </c>
      <c r="D713">
        <v>45</v>
      </c>
      <c r="E713" t="s">
        <v>24</v>
      </c>
      <c r="F713" t="s">
        <v>101</v>
      </c>
      <c r="G713" t="s">
        <v>160</v>
      </c>
      <c r="H713" t="s">
        <v>157</v>
      </c>
      <c r="I713">
        <v>15344</v>
      </c>
      <c r="J713">
        <v>12926</v>
      </c>
    </row>
    <row r="714" spans="1:10" x14ac:dyDescent="0.3">
      <c r="A714" t="s">
        <v>841</v>
      </c>
      <c r="B714" s="1">
        <v>45777</v>
      </c>
      <c r="C714" t="s">
        <v>86</v>
      </c>
      <c r="D714">
        <v>18</v>
      </c>
      <c r="E714" t="s">
        <v>18</v>
      </c>
      <c r="F714" t="s">
        <v>109</v>
      </c>
      <c r="G714" t="s">
        <v>88</v>
      </c>
      <c r="H714" t="s">
        <v>211</v>
      </c>
      <c r="I714">
        <v>18856</v>
      </c>
      <c r="J714">
        <v>17205</v>
      </c>
    </row>
    <row r="715" spans="1:10" x14ac:dyDescent="0.3">
      <c r="A715" t="s">
        <v>842</v>
      </c>
      <c r="B715" s="1">
        <v>45811</v>
      </c>
      <c r="C715" t="s">
        <v>74</v>
      </c>
      <c r="D715">
        <v>23</v>
      </c>
      <c r="E715" t="s">
        <v>18</v>
      </c>
      <c r="F715" t="s">
        <v>122</v>
      </c>
      <c r="G715" t="s">
        <v>206</v>
      </c>
      <c r="H715" t="s">
        <v>48</v>
      </c>
      <c r="I715">
        <v>25295</v>
      </c>
      <c r="J715">
        <v>32697</v>
      </c>
    </row>
    <row r="716" spans="1:10" x14ac:dyDescent="0.3">
      <c r="A716" t="s">
        <v>843</v>
      </c>
      <c r="B716" s="1">
        <v>45713</v>
      </c>
      <c r="C716" t="s">
        <v>82</v>
      </c>
      <c r="D716">
        <v>9</v>
      </c>
      <c r="E716" t="s">
        <v>18</v>
      </c>
      <c r="F716" t="s">
        <v>193</v>
      </c>
      <c r="G716" t="s">
        <v>63</v>
      </c>
      <c r="H716" t="s">
        <v>59</v>
      </c>
      <c r="I716">
        <v>31636</v>
      </c>
      <c r="J716">
        <v>35467</v>
      </c>
    </row>
    <row r="717" spans="1:10" x14ac:dyDescent="0.3">
      <c r="A717" t="s">
        <v>844</v>
      </c>
      <c r="B717" s="1">
        <v>45832</v>
      </c>
      <c r="C717" t="s">
        <v>74</v>
      </c>
      <c r="D717">
        <v>26</v>
      </c>
      <c r="E717" t="s">
        <v>18</v>
      </c>
      <c r="F717" t="s">
        <v>29</v>
      </c>
      <c r="G717" t="s">
        <v>93</v>
      </c>
      <c r="H717" t="s">
        <v>123</v>
      </c>
      <c r="I717">
        <v>21509</v>
      </c>
      <c r="J717">
        <v>23445</v>
      </c>
    </row>
    <row r="718" spans="1:10" x14ac:dyDescent="0.3">
      <c r="A718" t="s">
        <v>845</v>
      </c>
      <c r="B718" s="1">
        <v>45896</v>
      </c>
      <c r="C718" t="s">
        <v>113</v>
      </c>
      <c r="D718">
        <v>35</v>
      </c>
      <c r="E718" t="s">
        <v>18</v>
      </c>
      <c r="F718" t="s">
        <v>43</v>
      </c>
      <c r="G718" t="s">
        <v>35</v>
      </c>
      <c r="H718" t="s">
        <v>111</v>
      </c>
      <c r="I718">
        <v>15063</v>
      </c>
      <c r="J718">
        <v>16892</v>
      </c>
    </row>
    <row r="719" spans="1:10" x14ac:dyDescent="0.3">
      <c r="A719" t="s">
        <v>846</v>
      </c>
      <c r="B719" s="1">
        <v>45713</v>
      </c>
      <c r="C719" t="s">
        <v>82</v>
      </c>
      <c r="D719">
        <v>9</v>
      </c>
      <c r="E719" t="s">
        <v>61</v>
      </c>
      <c r="F719" t="s">
        <v>19</v>
      </c>
      <c r="G719" t="s">
        <v>160</v>
      </c>
      <c r="H719" t="s">
        <v>31</v>
      </c>
      <c r="I719">
        <v>25006</v>
      </c>
      <c r="J719">
        <v>24383</v>
      </c>
    </row>
    <row r="720" spans="1:10" x14ac:dyDescent="0.3">
      <c r="A720" t="s">
        <v>847</v>
      </c>
      <c r="B720" s="1">
        <v>45751</v>
      </c>
      <c r="C720" t="s">
        <v>86</v>
      </c>
      <c r="D720">
        <v>14</v>
      </c>
      <c r="E720" t="s">
        <v>18</v>
      </c>
      <c r="F720" t="s">
        <v>34</v>
      </c>
      <c r="G720" t="s">
        <v>149</v>
      </c>
      <c r="H720" t="s">
        <v>27</v>
      </c>
      <c r="I720">
        <v>19709</v>
      </c>
      <c r="J720">
        <v>22491</v>
      </c>
    </row>
    <row r="721" spans="1:10" x14ac:dyDescent="0.3">
      <c r="A721" t="s">
        <v>848</v>
      </c>
      <c r="B721" s="1">
        <v>45664</v>
      </c>
      <c r="C721" t="s">
        <v>17</v>
      </c>
      <c r="D721">
        <v>2</v>
      </c>
      <c r="E721" t="s">
        <v>24</v>
      </c>
      <c r="F721" t="s">
        <v>46</v>
      </c>
      <c r="G721" t="s">
        <v>44</v>
      </c>
      <c r="H721" t="s">
        <v>116</v>
      </c>
      <c r="I721">
        <v>36525</v>
      </c>
      <c r="J721">
        <v>39352</v>
      </c>
    </row>
    <row r="722" spans="1:10" x14ac:dyDescent="0.3">
      <c r="A722" t="s">
        <v>849</v>
      </c>
      <c r="B722" s="1">
        <v>45854</v>
      </c>
      <c r="C722" t="s">
        <v>11</v>
      </c>
      <c r="D722">
        <v>29</v>
      </c>
      <c r="E722" t="s">
        <v>33</v>
      </c>
      <c r="F722" t="s">
        <v>46</v>
      </c>
      <c r="G722" t="s">
        <v>40</v>
      </c>
      <c r="H722" t="s">
        <v>15</v>
      </c>
      <c r="I722">
        <v>30548</v>
      </c>
      <c r="J722">
        <v>22152</v>
      </c>
    </row>
    <row r="723" spans="1:10" x14ac:dyDescent="0.3">
      <c r="A723" t="s">
        <v>850</v>
      </c>
      <c r="B723" s="1">
        <v>46006</v>
      </c>
      <c r="C723" t="s">
        <v>100</v>
      </c>
      <c r="D723">
        <v>51</v>
      </c>
      <c r="E723" t="s">
        <v>24</v>
      </c>
      <c r="F723" t="s">
        <v>122</v>
      </c>
      <c r="G723" t="s">
        <v>224</v>
      </c>
      <c r="H723" t="s">
        <v>48</v>
      </c>
      <c r="I723">
        <v>35621</v>
      </c>
      <c r="J723">
        <v>25707</v>
      </c>
    </row>
    <row r="724" spans="1:10" x14ac:dyDescent="0.3">
      <c r="A724" t="s">
        <v>851</v>
      </c>
      <c r="B724" s="1">
        <v>46014</v>
      </c>
      <c r="C724" t="s">
        <v>100</v>
      </c>
      <c r="D724">
        <v>52</v>
      </c>
      <c r="E724" t="s">
        <v>70</v>
      </c>
      <c r="F724" t="s">
        <v>92</v>
      </c>
      <c r="G724" t="s">
        <v>76</v>
      </c>
      <c r="H724" t="s">
        <v>188</v>
      </c>
      <c r="I724">
        <v>15856</v>
      </c>
      <c r="J724">
        <v>15536</v>
      </c>
    </row>
    <row r="725" spans="1:10" x14ac:dyDescent="0.3">
      <c r="A725" t="s">
        <v>852</v>
      </c>
      <c r="B725" s="1">
        <v>45932</v>
      </c>
      <c r="C725" t="s">
        <v>66</v>
      </c>
      <c r="D725">
        <v>40</v>
      </c>
      <c r="E725" t="s">
        <v>33</v>
      </c>
      <c r="F725" t="s">
        <v>140</v>
      </c>
      <c r="G725" t="s">
        <v>326</v>
      </c>
      <c r="H725" t="s">
        <v>21</v>
      </c>
      <c r="I725">
        <v>20672</v>
      </c>
      <c r="J725">
        <v>20758</v>
      </c>
    </row>
    <row r="726" spans="1:10" x14ac:dyDescent="0.3">
      <c r="A726" t="s">
        <v>853</v>
      </c>
      <c r="B726" s="1">
        <v>45663</v>
      </c>
      <c r="C726" t="s">
        <v>17</v>
      </c>
      <c r="D726">
        <v>2</v>
      </c>
      <c r="E726" t="s">
        <v>18</v>
      </c>
      <c r="F726" t="s">
        <v>109</v>
      </c>
      <c r="G726" t="s">
        <v>191</v>
      </c>
      <c r="H726" t="s">
        <v>98</v>
      </c>
      <c r="I726">
        <v>30791</v>
      </c>
      <c r="J726">
        <v>31061</v>
      </c>
    </row>
    <row r="727" spans="1:10" x14ac:dyDescent="0.3">
      <c r="A727" t="s">
        <v>854</v>
      </c>
      <c r="B727" s="1">
        <v>45717</v>
      </c>
      <c r="C727" t="s">
        <v>95</v>
      </c>
      <c r="D727">
        <v>9</v>
      </c>
      <c r="E727" t="s">
        <v>39</v>
      </c>
      <c r="F727" t="s">
        <v>109</v>
      </c>
      <c r="G727" t="s">
        <v>44</v>
      </c>
      <c r="H727" t="s">
        <v>163</v>
      </c>
      <c r="I727">
        <v>29119</v>
      </c>
      <c r="J727">
        <v>28382</v>
      </c>
    </row>
    <row r="728" spans="1:10" x14ac:dyDescent="0.3">
      <c r="A728" t="s">
        <v>855</v>
      </c>
      <c r="B728" s="1">
        <v>45946</v>
      </c>
      <c r="C728" t="s">
        <v>66</v>
      </c>
      <c r="D728">
        <v>42</v>
      </c>
      <c r="E728" t="s">
        <v>39</v>
      </c>
      <c r="F728" t="s">
        <v>87</v>
      </c>
      <c r="G728" t="s">
        <v>76</v>
      </c>
      <c r="H728" t="s">
        <v>36</v>
      </c>
      <c r="I728">
        <v>27363</v>
      </c>
      <c r="J728">
        <v>34093</v>
      </c>
    </row>
    <row r="729" spans="1:10" x14ac:dyDescent="0.3">
      <c r="A729" t="s">
        <v>856</v>
      </c>
      <c r="B729" s="1">
        <v>45973</v>
      </c>
      <c r="C729" t="s">
        <v>23</v>
      </c>
      <c r="D729">
        <v>46</v>
      </c>
      <c r="E729" t="s">
        <v>18</v>
      </c>
      <c r="F729" t="s">
        <v>75</v>
      </c>
      <c r="G729" t="s">
        <v>72</v>
      </c>
      <c r="H729" t="s">
        <v>188</v>
      </c>
      <c r="I729">
        <v>15085</v>
      </c>
      <c r="J729">
        <v>13329</v>
      </c>
    </row>
    <row r="730" spans="1:10" x14ac:dyDescent="0.3">
      <c r="A730" t="s">
        <v>857</v>
      </c>
      <c r="B730" s="1">
        <v>46001</v>
      </c>
      <c r="C730" t="s">
        <v>100</v>
      </c>
      <c r="D730">
        <v>50</v>
      </c>
      <c r="E730" t="s">
        <v>39</v>
      </c>
      <c r="F730" t="s">
        <v>101</v>
      </c>
      <c r="G730" t="s">
        <v>26</v>
      </c>
      <c r="H730" t="s">
        <v>188</v>
      </c>
      <c r="I730">
        <v>34206</v>
      </c>
      <c r="J730">
        <v>27333</v>
      </c>
    </row>
    <row r="731" spans="1:10" x14ac:dyDescent="0.3">
      <c r="A731" t="s">
        <v>858</v>
      </c>
      <c r="B731" s="1">
        <v>45799</v>
      </c>
      <c r="C731" t="s">
        <v>90</v>
      </c>
      <c r="D731">
        <v>21</v>
      </c>
      <c r="E731" t="s">
        <v>70</v>
      </c>
      <c r="F731" t="s">
        <v>78</v>
      </c>
      <c r="G731" t="s">
        <v>115</v>
      </c>
      <c r="H731" t="s">
        <v>188</v>
      </c>
      <c r="I731">
        <v>16112</v>
      </c>
      <c r="J731">
        <v>17283</v>
      </c>
    </row>
    <row r="732" spans="1:10" x14ac:dyDescent="0.3">
      <c r="A732" t="s">
        <v>859</v>
      </c>
      <c r="B732" s="1">
        <v>45680</v>
      </c>
      <c r="C732" t="s">
        <v>17</v>
      </c>
      <c r="D732">
        <v>4</v>
      </c>
      <c r="E732" t="s">
        <v>33</v>
      </c>
      <c r="F732" t="s">
        <v>122</v>
      </c>
      <c r="G732" t="s">
        <v>30</v>
      </c>
      <c r="H732" t="s">
        <v>188</v>
      </c>
      <c r="I732">
        <v>32931</v>
      </c>
      <c r="J732">
        <v>36823</v>
      </c>
    </row>
    <row r="733" spans="1:10" x14ac:dyDescent="0.3">
      <c r="A733" t="s">
        <v>860</v>
      </c>
      <c r="B733" s="1">
        <v>45911</v>
      </c>
      <c r="C733" t="s">
        <v>38</v>
      </c>
      <c r="D733">
        <v>37</v>
      </c>
      <c r="E733" t="s">
        <v>33</v>
      </c>
      <c r="F733" t="s">
        <v>13</v>
      </c>
      <c r="G733" t="s">
        <v>51</v>
      </c>
      <c r="H733" t="s">
        <v>55</v>
      </c>
      <c r="I733">
        <v>16715</v>
      </c>
      <c r="J733">
        <v>16959</v>
      </c>
    </row>
    <row r="734" spans="1:10" x14ac:dyDescent="0.3">
      <c r="A734" t="s">
        <v>861</v>
      </c>
      <c r="B734" s="1">
        <v>45659</v>
      </c>
      <c r="C734" t="s">
        <v>17</v>
      </c>
      <c r="D734">
        <v>1</v>
      </c>
      <c r="E734" t="s">
        <v>12</v>
      </c>
      <c r="F734" t="s">
        <v>122</v>
      </c>
      <c r="G734" t="s">
        <v>324</v>
      </c>
      <c r="H734" t="s">
        <v>15</v>
      </c>
      <c r="I734">
        <v>38776</v>
      </c>
      <c r="J734">
        <v>38190</v>
      </c>
    </row>
    <row r="735" spans="1:10" x14ac:dyDescent="0.3">
      <c r="A735" t="s">
        <v>862</v>
      </c>
      <c r="B735" s="1">
        <v>45962</v>
      </c>
      <c r="C735" t="s">
        <v>23</v>
      </c>
      <c r="D735">
        <v>44</v>
      </c>
      <c r="E735" t="s">
        <v>61</v>
      </c>
      <c r="F735" t="s">
        <v>13</v>
      </c>
      <c r="G735" t="s">
        <v>147</v>
      </c>
      <c r="H735" t="s">
        <v>96</v>
      </c>
      <c r="I735">
        <v>23654</v>
      </c>
      <c r="J735">
        <v>17053</v>
      </c>
    </row>
    <row r="736" spans="1:10" x14ac:dyDescent="0.3">
      <c r="A736" t="s">
        <v>863</v>
      </c>
      <c r="B736" s="1">
        <v>45696</v>
      </c>
      <c r="C736" t="s">
        <v>82</v>
      </c>
      <c r="D736">
        <v>6</v>
      </c>
      <c r="E736" t="s">
        <v>12</v>
      </c>
      <c r="F736" t="s">
        <v>57</v>
      </c>
      <c r="G736" t="s">
        <v>40</v>
      </c>
      <c r="H736" t="s">
        <v>48</v>
      </c>
      <c r="I736">
        <v>37377</v>
      </c>
      <c r="J736">
        <v>40561</v>
      </c>
    </row>
    <row r="737" spans="1:10" x14ac:dyDescent="0.3">
      <c r="A737" t="s">
        <v>864</v>
      </c>
      <c r="B737" s="1">
        <v>45880</v>
      </c>
      <c r="C737" t="s">
        <v>113</v>
      </c>
      <c r="D737">
        <v>33</v>
      </c>
      <c r="E737" t="s">
        <v>61</v>
      </c>
      <c r="F737" t="s">
        <v>62</v>
      </c>
      <c r="G737" t="s">
        <v>147</v>
      </c>
      <c r="H737" t="s">
        <v>41</v>
      </c>
      <c r="I737">
        <v>16693</v>
      </c>
      <c r="J737">
        <v>15910</v>
      </c>
    </row>
    <row r="738" spans="1:10" x14ac:dyDescent="0.3">
      <c r="A738" t="s">
        <v>865</v>
      </c>
      <c r="B738" s="1">
        <v>45678</v>
      </c>
      <c r="C738" t="s">
        <v>17</v>
      </c>
      <c r="D738">
        <v>4</v>
      </c>
      <c r="E738" t="s">
        <v>61</v>
      </c>
      <c r="F738" t="s">
        <v>46</v>
      </c>
      <c r="G738" t="s">
        <v>137</v>
      </c>
      <c r="H738" t="s">
        <v>27</v>
      </c>
      <c r="I738">
        <v>34121</v>
      </c>
      <c r="J738">
        <v>33270</v>
      </c>
    </row>
    <row r="739" spans="1:10" x14ac:dyDescent="0.3">
      <c r="A739" t="s">
        <v>866</v>
      </c>
      <c r="B739" s="1">
        <v>45752</v>
      </c>
      <c r="C739" t="s">
        <v>86</v>
      </c>
      <c r="D739">
        <v>14</v>
      </c>
      <c r="E739" t="s">
        <v>12</v>
      </c>
      <c r="F739" t="s">
        <v>50</v>
      </c>
      <c r="G739" t="s">
        <v>115</v>
      </c>
      <c r="H739" t="s">
        <v>55</v>
      </c>
      <c r="I739">
        <v>27691</v>
      </c>
      <c r="J739">
        <v>31903</v>
      </c>
    </row>
    <row r="740" spans="1:10" x14ac:dyDescent="0.3">
      <c r="A740" t="s">
        <v>867</v>
      </c>
      <c r="B740" s="1">
        <v>45788</v>
      </c>
      <c r="C740" t="s">
        <v>90</v>
      </c>
      <c r="D740">
        <v>19</v>
      </c>
      <c r="E740" t="s">
        <v>33</v>
      </c>
      <c r="F740" t="s">
        <v>101</v>
      </c>
      <c r="G740" t="s">
        <v>160</v>
      </c>
      <c r="H740" t="s">
        <v>103</v>
      </c>
      <c r="I740">
        <v>39390</v>
      </c>
      <c r="J740">
        <v>42444</v>
      </c>
    </row>
    <row r="741" spans="1:10" x14ac:dyDescent="0.3">
      <c r="A741" t="s">
        <v>868</v>
      </c>
      <c r="B741" s="1">
        <v>45822</v>
      </c>
      <c r="C741" t="s">
        <v>74</v>
      </c>
      <c r="D741">
        <v>24</v>
      </c>
      <c r="E741" t="s">
        <v>61</v>
      </c>
      <c r="F741" t="s">
        <v>92</v>
      </c>
      <c r="G741" t="s">
        <v>126</v>
      </c>
      <c r="H741" t="s">
        <v>165</v>
      </c>
      <c r="I741">
        <v>19722</v>
      </c>
      <c r="J741">
        <v>24514</v>
      </c>
    </row>
    <row r="742" spans="1:10" x14ac:dyDescent="0.3">
      <c r="A742" t="s">
        <v>869</v>
      </c>
      <c r="B742" s="1">
        <v>45786</v>
      </c>
      <c r="C742" t="s">
        <v>90</v>
      </c>
      <c r="D742">
        <v>19</v>
      </c>
      <c r="E742" t="s">
        <v>24</v>
      </c>
      <c r="F742" t="s">
        <v>114</v>
      </c>
      <c r="G742" t="s">
        <v>201</v>
      </c>
      <c r="H742" t="s">
        <v>80</v>
      </c>
      <c r="I742">
        <v>17316</v>
      </c>
      <c r="J742">
        <v>19570</v>
      </c>
    </row>
    <row r="743" spans="1:10" x14ac:dyDescent="0.3">
      <c r="A743" t="s">
        <v>870</v>
      </c>
      <c r="B743" s="1">
        <v>45927</v>
      </c>
      <c r="C743" t="s">
        <v>38</v>
      </c>
      <c r="D743">
        <v>39</v>
      </c>
      <c r="E743" t="s">
        <v>33</v>
      </c>
      <c r="F743" t="s">
        <v>92</v>
      </c>
      <c r="G743" t="s">
        <v>234</v>
      </c>
      <c r="H743" t="s">
        <v>41</v>
      </c>
      <c r="I743">
        <v>32937</v>
      </c>
      <c r="J743">
        <v>24912</v>
      </c>
    </row>
    <row r="744" spans="1:10" x14ac:dyDescent="0.3">
      <c r="A744" t="s">
        <v>871</v>
      </c>
      <c r="B744" s="1">
        <v>45928</v>
      </c>
      <c r="C744" t="s">
        <v>38</v>
      </c>
      <c r="D744">
        <v>39</v>
      </c>
      <c r="E744" t="s">
        <v>24</v>
      </c>
      <c r="F744" t="s">
        <v>75</v>
      </c>
      <c r="G744" t="s">
        <v>266</v>
      </c>
      <c r="H744" t="s">
        <v>41</v>
      </c>
      <c r="I744">
        <v>21981</v>
      </c>
      <c r="J744">
        <v>17631</v>
      </c>
    </row>
    <row r="745" spans="1:10" x14ac:dyDescent="0.3">
      <c r="A745" t="s">
        <v>872</v>
      </c>
      <c r="B745" s="1">
        <v>45804</v>
      </c>
      <c r="C745" t="s">
        <v>90</v>
      </c>
      <c r="D745">
        <v>22</v>
      </c>
      <c r="E745" t="s">
        <v>33</v>
      </c>
      <c r="F745" t="s">
        <v>109</v>
      </c>
      <c r="G745" t="s">
        <v>326</v>
      </c>
      <c r="H745" t="s">
        <v>55</v>
      </c>
      <c r="I745">
        <v>23294</v>
      </c>
      <c r="J745">
        <v>20097</v>
      </c>
    </row>
    <row r="746" spans="1:10" x14ac:dyDescent="0.3">
      <c r="A746" t="s">
        <v>873</v>
      </c>
      <c r="B746" s="1">
        <v>45975</v>
      </c>
      <c r="C746" t="s">
        <v>23</v>
      </c>
      <c r="D746">
        <v>46</v>
      </c>
      <c r="E746" t="s">
        <v>61</v>
      </c>
      <c r="F746" t="s">
        <v>43</v>
      </c>
      <c r="G746" t="s">
        <v>141</v>
      </c>
      <c r="H746" t="s">
        <v>31</v>
      </c>
      <c r="I746">
        <v>37472</v>
      </c>
      <c r="J746">
        <v>29262</v>
      </c>
    </row>
    <row r="747" spans="1:10" x14ac:dyDescent="0.3">
      <c r="A747" t="s">
        <v>874</v>
      </c>
      <c r="B747" s="1">
        <v>45699</v>
      </c>
      <c r="C747" t="s">
        <v>82</v>
      </c>
      <c r="D747">
        <v>7</v>
      </c>
      <c r="E747" t="s">
        <v>70</v>
      </c>
      <c r="F747" t="s">
        <v>75</v>
      </c>
      <c r="G747" t="s">
        <v>107</v>
      </c>
      <c r="H747" t="s">
        <v>31</v>
      </c>
      <c r="I747">
        <v>32770</v>
      </c>
      <c r="J747">
        <v>29149</v>
      </c>
    </row>
    <row r="748" spans="1:10" x14ac:dyDescent="0.3">
      <c r="A748" t="s">
        <v>875</v>
      </c>
      <c r="B748" s="1">
        <v>45776</v>
      </c>
      <c r="C748" t="s">
        <v>86</v>
      </c>
      <c r="D748">
        <v>18</v>
      </c>
      <c r="E748" t="s">
        <v>18</v>
      </c>
      <c r="F748" t="s">
        <v>101</v>
      </c>
      <c r="G748" t="s">
        <v>26</v>
      </c>
      <c r="H748" t="s">
        <v>155</v>
      </c>
      <c r="I748">
        <v>16966</v>
      </c>
      <c r="J748">
        <v>18328</v>
      </c>
    </row>
    <row r="749" spans="1:10" x14ac:dyDescent="0.3">
      <c r="A749" t="s">
        <v>876</v>
      </c>
      <c r="B749" s="1">
        <v>46020</v>
      </c>
      <c r="C749" t="s">
        <v>100</v>
      </c>
      <c r="D749">
        <v>1</v>
      </c>
      <c r="E749" t="s">
        <v>24</v>
      </c>
      <c r="F749" t="s">
        <v>109</v>
      </c>
      <c r="G749" t="s">
        <v>160</v>
      </c>
      <c r="H749" t="s">
        <v>188</v>
      </c>
      <c r="I749">
        <v>26848</v>
      </c>
      <c r="J749">
        <v>30843</v>
      </c>
    </row>
    <row r="750" spans="1:10" x14ac:dyDescent="0.3">
      <c r="A750" t="s">
        <v>877</v>
      </c>
      <c r="B750" s="1">
        <v>45742</v>
      </c>
      <c r="C750" t="s">
        <v>95</v>
      </c>
      <c r="D750">
        <v>13</v>
      </c>
      <c r="E750" t="s">
        <v>61</v>
      </c>
      <c r="F750" t="s">
        <v>19</v>
      </c>
      <c r="G750" t="s">
        <v>54</v>
      </c>
      <c r="H750" t="s">
        <v>133</v>
      </c>
      <c r="I750">
        <v>26919</v>
      </c>
      <c r="J750">
        <v>29157</v>
      </c>
    </row>
    <row r="751" spans="1:10" x14ac:dyDescent="0.3">
      <c r="A751" t="s">
        <v>878</v>
      </c>
      <c r="B751" s="1">
        <v>45722</v>
      </c>
      <c r="C751" t="s">
        <v>95</v>
      </c>
      <c r="D751">
        <v>10</v>
      </c>
      <c r="E751" t="s">
        <v>24</v>
      </c>
      <c r="F751" t="s">
        <v>193</v>
      </c>
      <c r="G751" t="s">
        <v>107</v>
      </c>
      <c r="H751" t="s">
        <v>68</v>
      </c>
      <c r="I751">
        <v>27585</v>
      </c>
      <c r="J751">
        <v>20216</v>
      </c>
    </row>
    <row r="752" spans="1:10" x14ac:dyDescent="0.3">
      <c r="A752" t="s">
        <v>879</v>
      </c>
      <c r="B752" s="1">
        <v>45875</v>
      </c>
      <c r="C752" t="s">
        <v>113</v>
      </c>
      <c r="D752">
        <v>32</v>
      </c>
      <c r="E752" t="s">
        <v>33</v>
      </c>
      <c r="F752" t="s">
        <v>122</v>
      </c>
      <c r="G752" t="s">
        <v>206</v>
      </c>
      <c r="H752" t="s">
        <v>163</v>
      </c>
      <c r="I752">
        <v>30415</v>
      </c>
      <c r="J752">
        <v>31447</v>
      </c>
    </row>
    <row r="753" spans="1:10" x14ac:dyDescent="0.3">
      <c r="A753" t="s">
        <v>880</v>
      </c>
      <c r="B753" s="1">
        <v>45823</v>
      </c>
      <c r="C753" t="s">
        <v>74</v>
      </c>
      <c r="D753">
        <v>24</v>
      </c>
      <c r="E753" t="s">
        <v>18</v>
      </c>
      <c r="F753" t="s">
        <v>78</v>
      </c>
      <c r="G753" t="s">
        <v>201</v>
      </c>
      <c r="H753" t="s">
        <v>36</v>
      </c>
      <c r="I753">
        <v>39601</v>
      </c>
      <c r="J753">
        <v>48928</v>
      </c>
    </row>
    <row r="754" spans="1:10" x14ac:dyDescent="0.3">
      <c r="A754" t="s">
        <v>881</v>
      </c>
      <c r="B754" s="1">
        <v>45890</v>
      </c>
      <c r="C754" t="s">
        <v>113</v>
      </c>
      <c r="D754">
        <v>34</v>
      </c>
      <c r="E754" t="s">
        <v>61</v>
      </c>
      <c r="F754" t="s">
        <v>75</v>
      </c>
      <c r="G754" t="s">
        <v>14</v>
      </c>
      <c r="H754" t="s">
        <v>163</v>
      </c>
      <c r="I754">
        <v>31345</v>
      </c>
      <c r="J754">
        <v>33463</v>
      </c>
    </row>
    <row r="755" spans="1:10" x14ac:dyDescent="0.3">
      <c r="A755" t="s">
        <v>882</v>
      </c>
      <c r="B755" s="1">
        <v>45721</v>
      </c>
      <c r="C755" t="s">
        <v>95</v>
      </c>
      <c r="D755">
        <v>10</v>
      </c>
      <c r="E755" t="s">
        <v>61</v>
      </c>
      <c r="F755" t="s">
        <v>92</v>
      </c>
      <c r="G755" t="s">
        <v>58</v>
      </c>
      <c r="H755" t="s">
        <v>103</v>
      </c>
      <c r="I755">
        <v>30386</v>
      </c>
      <c r="J755">
        <v>31179</v>
      </c>
    </row>
    <row r="756" spans="1:10" x14ac:dyDescent="0.3">
      <c r="A756" t="s">
        <v>883</v>
      </c>
      <c r="B756" s="1">
        <v>46015</v>
      </c>
      <c r="C756" t="s">
        <v>100</v>
      </c>
      <c r="D756">
        <v>52</v>
      </c>
      <c r="E756" t="s">
        <v>61</v>
      </c>
      <c r="F756" t="s">
        <v>50</v>
      </c>
      <c r="G756" t="s">
        <v>76</v>
      </c>
      <c r="H756" t="s">
        <v>36</v>
      </c>
      <c r="I756">
        <v>27848</v>
      </c>
      <c r="J756">
        <v>34335</v>
      </c>
    </row>
    <row r="757" spans="1:10" x14ac:dyDescent="0.3">
      <c r="A757" t="s">
        <v>884</v>
      </c>
      <c r="B757" s="1">
        <v>45755</v>
      </c>
      <c r="C757" t="s">
        <v>86</v>
      </c>
      <c r="D757">
        <v>15</v>
      </c>
      <c r="E757" t="s">
        <v>24</v>
      </c>
      <c r="F757" t="s">
        <v>43</v>
      </c>
      <c r="G757" t="s">
        <v>240</v>
      </c>
      <c r="H757" t="s">
        <v>211</v>
      </c>
      <c r="I757">
        <v>32604</v>
      </c>
      <c r="J757">
        <v>34469</v>
      </c>
    </row>
    <row r="758" spans="1:10" x14ac:dyDescent="0.3">
      <c r="A758" t="s">
        <v>885</v>
      </c>
      <c r="B758" s="1">
        <v>45977</v>
      </c>
      <c r="C758" t="s">
        <v>23</v>
      </c>
      <c r="D758">
        <v>46</v>
      </c>
      <c r="E758" t="s">
        <v>61</v>
      </c>
      <c r="F758" t="s">
        <v>25</v>
      </c>
      <c r="G758" t="s">
        <v>126</v>
      </c>
      <c r="H758" t="s">
        <v>64</v>
      </c>
      <c r="I758">
        <v>17110</v>
      </c>
      <c r="J758">
        <v>14055</v>
      </c>
    </row>
    <row r="759" spans="1:10" x14ac:dyDescent="0.3">
      <c r="A759" t="s">
        <v>886</v>
      </c>
      <c r="B759" s="1">
        <v>45989</v>
      </c>
      <c r="C759" t="s">
        <v>23</v>
      </c>
      <c r="D759">
        <v>48</v>
      </c>
      <c r="E759" t="s">
        <v>24</v>
      </c>
      <c r="F759" t="s">
        <v>140</v>
      </c>
      <c r="G759" t="s">
        <v>47</v>
      </c>
      <c r="H759" t="s">
        <v>27</v>
      </c>
      <c r="I759">
        <v>25230</v>
      </c>
      <c r="J759">
        <v>25857</v>
      </c>
    </row>
    <row r="760" spans="1:10" x14ac:dyDescent="0.3">
      <c r="A760" t="s">
        <v>887</v>
      </c>
      <c r="B760" s="1">
        <v>45901</v>
      </c>
      <c r="C760" t="s">
        <v>38</v>
      </c>
      <c r="D760">
        <v>36</v>
      </c>
      <c r="E760" t="s">
        <v>12</v>
      </c>
      <c r="F760" t="s">
        <v>13</v>
      </c>
      <c r="G760" t="s">
        <v>182</v>
      </c>
      <c r="H760" t="s">
        <v>36</v>
      </c>
      <c r="I760">
        <v>34082</v>
      </c>
      <c r="J760">
        <v>33313</v>
      </c>
    </row>
    <row r="761" spans="1:10" x14ac:dyDescent="0.3">
      <c r="A761" t="s">
        <v>888</v>
      </c>
      <c r="B761" s="1">
        <v>45893</v>
      </c>
      <c r="C761" t="s">
        <v>113</v>
      </c>
      <c r="D761">
        <v>34</v>
      </c>
      <c r="E761" t="s">
        <v>12</v>
      </c>
      <c r="F761" t="s">
        <v>43</v>
      </c>
      <c r="G761" t="s">
        <v>128</v>
      </c>
      <c r="H761" t="s">
        <v>155</v>
      </c>
      <c r="I761">
        <v>24817</v>
      </c>
      <c r="J761">
        <v>30365</v>
      </c>
    </row>
    <row r="762" spans="1:10" x14ac:dyDescent="0.3">
      <c r="A762" t="s">
        <v>889</v>
      </c>
      <c r="B762" s="1">
        <v>46013</v>
      </c>
      <c r="C762" t="s">
        <v>100</v>
      </c>
      <c r="D762">
        <v>52</v>
      </c>
      <c r="E762" t="s">
        <v>39</v>
      </c>
      <c r="F762" t="s">
        <v>62</v>
      </c>
      <c r="G762" t="s">
        <v>30</v>
      </c>
      <c r="H762" t="s">
        <v>36</v>
      </c>
      <c r="I762">
        <v>36359</v>
      </c>
      <c r="J762">
        <v>41159</v>
      </c>
    </row>
    <row r="763" spans="1:10" x14ac:dyDescent="0.3">
      <c r="A763" t="s">
        <v>890</v>
      </c>
      <c r="B763" s="1">
        <v>45994</v>
      </c>
      <c r="C763" t="s">
        <v>100</v>
      </c>
      <c r="D763">
        <v>49</v>
      </c>
      <c r="E763" t="s">
        <v>18</v>
      </c>
      <c r="F763" t="s">
        <v>78</v>
      </c>
      <c r="G763" t="s">
        <v>76</v>
      </c>
      <c r="H763" t="s">
        <v>36</v>
      </c>
      <c r="I763">
        <v>27864</v>
      </c>
      <c r="J763">
        <v>32618</v>
      </c>
    </row>
    <row r="764" spans="1:10" x14ac:dyDescent="0.3">
      <c r="A764" t="s">
        <v>891</v>
      </c>
      <c r="B764" s="1">
        <v>45744</v>
      </c>
      <c r="C764" t="s">
        <v>95</v>
      </c>
      <c r="D764">
        <v>13</v>
      </c>
      <c r="E764" t="s">
        <v>24</v>
      </c>
      <c r="F764" t="s">
        <v>19</v>
      </c>
      <c r="G764" t="s">
        <v>206</v>
      </c>
      <c r="H764" t="s">
        <v>31</v>
      </c>
      <c r="I764">
        <v>39274</v>
      </c>
      <c r="J764">
        <v>45450</v>
      </c>
    </row>
    <row r="765" spans="1:10" x14ac:dyDescent="0.3">
      <c r="A765" t="s">
        <v>892</v>
      </c>
      <c r="B765" s="1">
        <v>45891</v>
      </c>
      <c r="C765" t="s">
        <v>113</v>
      </c>
      <c r="D765">
        <v>34</v>
      </c>
      <c r="E765" t="s">
        <v>70</v>
      </c>
      <c r="F765" t="s">
        <v>46</v>
      </c>
      <c r="G765" t="s">
        <v>115</v>
      </c>
      <c r="H765" t="s">
        <v>157</v>
      </c>
      <c r="I765">
        <v>39054</v>
      </c>
      <c r="J765">
        <v>48153</v>
      </c>
    </row>
    <row r="766" spans="1:10" x14ac:dyDescent="0.3">
      <c r="A766" t="s">
        <v>893</v>
      </c>
      <c r="B766" s="1">
        <v>45900</v>
      </c>
      <c r="C766" t="s">
        <v>113</v>
      </c>
      <c r="D766">
        <v>35</v>
      </c>
      <c r="E766" t="s">
        <v>61</v>
      </c>
      <c r="F766" t="s">
        <v>109</v>
      </c>
      <c r="G766" t="s">
        <v>291</v>
      </c>
      <c r="H766" t="s">
        <v>133</v>
      </c>
      <c r="I766">
        <v>15041</v>
      </c>
      <c r="J766">
        <v>18246</v>
      </c>
    </row>
    <row r="767" spans="1:10" x14ac:dyDescent="0.3">
      <c r="A767" t="s">
        <v>894</v>
      </c>
      <c r="B767" s="1">
        <v>46020</v>
      </c>
      <c r="C767" t="s">
        <v>100</v>
      </c>
      <c r="D767">
        <v>1</v>
      </c>
      <c r="E767" t="s">
        <v>24</v>
      </c>
      <c r="F767" t="s">
        <v>114</v>
      </c>
      <c r="G767" t="s">
        <v>107</v>
      </c>
      <c r="H767" t="s">
        <v>36</v>
      </c>
      <c r="I767">
        <v>29179</v>
      </c>
      <c r="J767">
        <v>24264</v>
      </c>
    </row>
    <row r="768" spans="1:10" x14ac:dyDescent="0.3">
      <c r="A768" t="s">
        <v>895</v>
      </c>
      <c r="B768" s="1">
        <v>45669</v>
      </c>
      <c r="C768" t="s">
        <v>17</v>
      </c>
      <c r="D768">
        <v>2</v>
      </c>
      <c r="E768" t="s">
        <v>70</v>
      </c>
      <c r="F768" t="s">
        <v>62</v>
      </c>
      <c r="G768" t="s">
        <v>88</v>
      </c>
      <c r="H768" t="s">
        <v>80</v>
      </c>
      <c r="I768">
        <v>18627</v>
      </c>
      <c r="J768">
        <v>22772</v>
      </c>
    </row>
    <row r="769" spans="1:10" x14ac:dyDescent="0.3">
      <c r="A769" t="s">
        <v>896</v>
      </c>
      <c r="B769" s="1">
        <v>45964</v>
      </c>
      <c r="C769" t="s">
        <v>23</v>
      </c>
      <c r="D769">
        <v>45</v>
      </c>
      <c r="E769" t="s">
        <v>12</v>
      </c>
      <c r="F769" t="s">
        <v>57</v>
      </c>
      <c r="G769" t="s">
        <v>145</v>
      </c>
      <c r="H769" t="s">
        <v>111</v>
      </c>
      <c r="I769">
        <v>19072</v>
      </c>
      <c r="J769">
        <v>20749</v>
      </c>
    </row>
    <row r="770" spans="1:10" x14ac:dyDescent="0.3">
      <c r="A770" t="s">
        <v>897</v>
      </c>
      <c r="B770" s="1">
        <v>45954</v>
      </c>
      <c r="C770" t="s">
        <v>66</v>
      </c>
      <c r="D770">
        <v>43</v>
      </c>
      <c r="E770" t="s">
        <v>33</v>
      </c>
      <c r="F770" t="s">
        <v>140</v>
      </c>
      <c r="G770" t="s">
        <v>191</v>
      </c>
      <c r="H770" t="s">
        <v>103</v>
      </c>
      <c r="I770">
        <v>33864</v>
      </c>
      <c r="J770">
        <v>42299</v>
      </c>
    </row>
    <row r="771" spans="1:10" x14ac:dyDescent="0.3">
      <c r="A771" t="s">
        <v>898</v>
      </c>
      <c r="B771" s="1">
        <v>45845</v>
      </c>
      <c r="C771" t="s">
        <v>11</v>
      </c>
      <c r="D771">
        <v>28</v>
      </c>
      <c r="E771" t="s">
        <v>61</v>
      </c>
      <c r="F771" t="s">
        <v>87</v>
      </c>
      <c r="G771" t="s">
        <v>324</v>
      </c>
      <c r="H771" t="s">
        <v>15</v>
      </c>
      <c r="I771">
        <v>17265</v>
      </c>
      <c r="J771">
        <v>13628</v>
      </c>
    </row>
    <row r="772" spans="1:10" x14ac:dyDescent="0.3">
      <c r="A772" t="s">
        <v>899</v>
      </c>
      <c r="B772" s="1">
        <v>45662</v>
      </c>
      <c r="C772" t="s">
        <v>17</v>
      </c>
      <c r="D772">
        <v>1</v>
      </c>
      <c r="E772" t="s">
        <v>70</v>
      </c>
      <c r="F772" t="s">
        <v>43</v>
      </c>
      <c r="G772" t="s">
        <v>230</v>
      </c>
      <c r="H772" t="s">
        <v>116</v>
      </c>
      <c r="I772">
        <v>23628</v>
      </c>
      <c r="J772">
        <v>17336</v>
      </c>
    </row>
    <row r="773" spans="1:10" x14ac:dyDescent="0.3">
      <c r="A773" t="s">
        <v>900</v>
      </c>
      <c r="B773" s="1">
        <v>45949</v>
      </c>
      <c r="C773" t="s">
        <v>66</v>
      </c>
      <c r="D773">
        <v>42</v>
      </c>
      <c r="E773" t="s">
        <v>12</v>
      </c>
      <c r="F773" t="s">
        <v>101</v>
      </c>
      <c r="G773" t="s">
        <v>54</v>
      </c>
      <c r="H773" t="s">
        <v>68</v>
      </c>
      <c r="I773">
        <v>26205</v>
      </c>
      <c r="J773">
        <v>28047</v>
      </c>
    </row>
    <row r="774" spans="1:10" x14ac:dyDescent="0.3">
      <c r="A774" t="s">
        <v>901</v>
      </c>
      <c r="B774" s="1">
        <v>45856</v>
      </c>
      <c r="C774" t="s">
        <v>11</v>
      </c>
      <c r="D774">
        <v>29</v>
      </c>
      <c r="E774" t="s">
        <v>70</v>
      </c>
      <c r="F774" t="s">
        <v>57</v>
      </c>
      <c r="G774" t="s">
        <v>63</v>
      </c>
      <c r="H774" t="s">
        <v>103</v>
      </c>
      <c r="I774">
        <v>18512</v>
      </c>
      <c r="J774">
        <v>15336</v>
      </c>
    </row>
    <row r="775" spans="1:10" x14ac:dyDescent="0.3">
      <c r="A775" t="s">
        <v>902</v>
      </c>
      <c r="B775" s="1">
        <v>46014</v>
      </c>
      <c r="C775" t="s">
        <v>100</v>
      </c>
      <c r="D775">
        <v>52</v>
      </c>
      <c r="E775" t="s">
        <v>61</v>
      </c>
      <c r="F775" t="s">
        <v>193</v>
      </c>
      <c r="G775" t="s">
        <v>51</v>
      </c>
      <c r="H775" t="s">
        <v>64</v>
      </c>
      <c r="I775">
        <v>28481</v>
      </c>
      <c r="J775">
        <v>30528</v>
      </c>
    </row>
    <row r="776" spans="1:10" x14ac:dyDescent="0.3">
      <c r="A776" t="s">
        <v>903</v>
      </c>
      <c r="B776" s="1">
        <v>45797</v>
      </c>
      <c r="C776" t="s">
        <v>90</v>
      </c>
      <c r="D776">
        <v>21</v>
      </c>
      <c r="E776" t="s">
        <v>33</v>
      </c>
      <c r="F776" t="s">
        <v>57</v>
      </c>
      <c r="G776" t="s">
        <v>63</v>
      </c>
      <c r="H776" t="s">
        <v>55</v>
      </c>
      <c r="I776">
        <v>34368</v>
      </c>
      <c r="J776">
        <v>28596</v>
      </c>
    </row>
    <row r="777" spans="1:10" x14ac:dyDescent="0.3">
      <c r="A777" t="s">
        <v>904</v>
      </c>
      <c r="B777" s="1">
        <v>45788</v>
      </c>
      <c r="C777" t="s">
        <v>90</v>
      </c>
      <c r="D777">
        <v>19</v>
      </c>
      <c r="E777" t="s">
        <v>33</v>
      </c>
      <c r="F777" t="s">
        <v>87</v>
      </c>
      <c r="G777" t="s">
        <v>47</v>
      </c>
      <c r="H777" t="s">
        <v>64</v>
      </c>
      <c r="I777">
        <v>32905</v>
      </c>
      <c r="J777">
        <v>24363</v>
      </c>
    </row>
    <row r="778" spans="1:10" x14ac:dyDescent="0.3">
      <c r="A778" t="s">
        <v>905</v>
      </c>
      <c r="B778" s="1">
        <v>45872</v>
      </c>
      <c r="C778" t="s">
        <v>113</v>
      </c>
      <c r="D778">
        <v>31</v>
      </c>
      <c r="E778" t="s">
        <v>33</v>
      </c>
      <c r="F778" t="s">
        <v>92</v>
      </c>
      <c r="G778" t="s">
        <v>324</v>
      </c>
      <c r="H778" t="s">
        <v>133</v>
      </c>
      <c r="I778">
        <v>32046</v>
      </c>
      <c r="J778">
        <v>25790</v>
      </c>
    </row>
    <row r="779" spans="1:10" x14ac:dyDescent="0.3">
      <c r="A779" t="s">
        <v>906</v>
      </c>
      <c r="B779" s="1">
        <v>45817</v>
      </c>
      <c r="C779" t="s">
        <v>74</v>
      </c>
      <c r="D779">
        <v>24</v>
      </c>
      <c r="E779" t="s">
        <v>70</v>
      </c>
      <c r="F779" t="s">
        <v>29</v>
      </c>
      <c r="G779" t="s">
        <v>230</v>
      </c>
      <c r="H779" t="s">
        <v>36</v>
      </c>
      <c r="I779">
        <v>16795</v>
      </c>
      <c r="J779">
        <v>13771</v>
      </c>
    </row>
    <row r="780" spans="1:10" x14ac:dyDescent="0.3">
      <c r="A780" t="s">
        <v>907</v>
      </c>
      <c r="B780" s="1">
        <v>46014</v>
      </c>
      <c r="C780" t="s">
        <v>100</v>
      </c>
      <c r="D780">
        <v>52</v>
      </c>
      <c r="E780" t="s">
        <v>70</v>
      </c>
      <c r="F780" t="s">
        <v>29</v>
      </c>
      <c r="G780" t="s">
        <v>110</v>
      </c>
      <c r="H780" t="s">
        <v>111</v>
      </c>
      <c r="I780">
        <v>39796</v>
      </c>
      <c r="J780">
        <v>33428</v>
      </c>
    </row>
    <row r="781" spans="1:10" x14ac:dyDescent="0.3">
      <c r="A781" t="s">
        <v>908</v>
      </c>
      <c r="B781" s="1">
        <v>45846</v>
      </c>
      <c r="C781" t="s">
        <v>11</v>
      </c>
      <c r="D781">
        <v>28</v>
      </c>
      <c r="E781" t="s">
        <v>24</v>
      </c>
      <c r="F781" t="s">
        <v>101</v>
      </c>
      <c r="G781" t="s">
        <v>291</v>
      </c>
      <c r="H781" t="s">
        <v>155</v>
      </c>
      <c r="I781">
        <v>16662</v>
      </c>
      <c r="J781">
        <v>14960</v>
      </c>
    </row>
    <row r="782" spans="1:10" x14ac:dyDescent="0.3">
      <c r="A782" t="s">
        <v>909</v>
      </c>
      <c r="B782" s="1">
        <v>45922</v>
      </c>
      <c r="C782" t="s">
        <v>38</v>
      </c>
      <c r="D782">
        <v>39</v>
      </c>
      <c r="E782" t="s">
        <v>33</v>
      </c>
      <c r="F782" t="s">
        <v>109</v>
      </c>
      <c r="G782" t="s">
        <v>230</v>
      </c>
      <c r="H782" t="s">
        <v>68</v>
      </c>
      <c r="I782">
        <v>37179</v>
      </c>
      <c r="J782">
        <v>39148</v>
      </c>
    </row>
    <row r="783" spans="1:10" x14ac:dyDescent="0.3">
      <c r="A783" t="s">
        <v>910</v>
      </c>
      <c r="B783" s="1">
        <v>45945</v>
      </c>
      <c r="C783" t="s">
        <v>66</v>
      </c>
      <c r="D783">
        <v>42</v>
      </c>
      <c r="E783" t="s">
        <v>39</v>
      </c>
      <c r="F783" t="s">
        <v>122</v>
      </c>
      <c r="G783" t="s">
        <v>44</v>
      </c>
      <c r="H783" t="s">
        <v>119</v>
      </c>
      <c r="I783">
        <v>25091</v>
      </c>
      <c r="J783">
        <v>20776</v>
      </c>
    </row>
    <row r="784" spans="1:10" x14ac:dyDescent="0.3">
      <c r="A784" t="s">
        <v>911</v>
      </c>
      <c r="B784" s="1">
        <v>45832</v>
      </c>
      <c r="C784" t="s">
        <v>74</v>
      </c>
      <c r="D784">
        <v>26</v>
      </c>
      <c r="E784" t="s">
        <v>12</v>
      </c>
      <c r="F784" t="s">
        <v>75</v>
      </c>
      <c r="G784" t="s">
        <v>47</v>
      </c>
      <c r="H784" t="s">
        <v>48</v>
      </c>
      <c r="I784">
        <v>26540</v>
      </c>
      <c r="J784">
        <v>23981</v>
      </c>
    </row>
    <row r="785" spans="1:10" x14ac:dyDescent="0.3">
      <c r="A785" t="s">
        <v>912</v>
      </c>
      <c r="B785" s="1">
        <v>45674</v>
      </c>
      <c r="C785" t="s">
        <v>17</v>
      </c>
      <c r="D785">
        <v>3</v>
      </c>
      <c r="E785" t="s">
        <v>18</v>
      </c>
      <c r="F785" t="s">
        <v>122</v>
      </c>
      <c r="G785" t="s">
        <v>171</v>
      </c>
      <c r="H785" t="s">
        <v>64</v>
      </c>
      <c r="I785">
        <v>19352</v>
      </c>
      <c r="J785">
        <v>16836</v>
      </c>
    </row>
    <row r="786" spans="1:10" x14ac:dyDescent="0.3">
      <c r="A786" t="s">
        <v>913</v>
      </c>
      <c r="B786" s="1">
        <v>45681</v>
      </c>
      <c r="C786" t="s">
        <v>17</v>
      </c>
      <c r="D786">
        <v>4</v>
      </c>
      <c r="E786" t="s">
        <v>39</v>
      </c>
      <c r="F786" t="s">
        <v>193</v>
      </c>
      <c r="G786" t="s">
        <v>199</v>
      </c>
      <c r="H786" t="s">
        <v>157</v>
      </c>
      <c r="I786">
        <v>32071</v>
      </c>
      <c r="J786">
        <v>41496</v>
      </c>
    </row>
    <row r="787" spans="1:10" x14ac:dyDescent="0.3">
      <c r="A787" t="s">
        <v>914</v>
      </c>
      <c r="B787" s="1">
        <v>45909</v>
      </c>
      <c r="C787" t="s">
        <v>38</v>
      </c>
      <c r="D787">
        <v>37</v>
      </c>
      <c r="E787" t="s">
        <v>33</v>
      </c>
      <c r="F787" t="s">
        <v>75</v>
      </c>
      <c r="G787" t="s">
        <v>160</v>
      </c>
      <c r="H787" t="s">
        <v>48</v>
      </c>
      <c r="I787">
        <v>34791</v>
      </c>
      <c r="J787">
        <v>33095</v>
      </c>
    </row>
    <row r="788" spans="1:10" x14ac:dyDescent="0.3">
      <c r="A788" t="s">
        <v>915</v>
      </c>
      <c r="B788" s="1">
        <v>45727</v>
      </c>
      <c r="C788" t="s">
        <v>95</v>
      </c>
      <c r="D788">
        <v>11</v>
      </c>
      <c r="E788" t="s">
        <v>24</v>
      </c>
      <c r="F788" t="s">
        <v>46</v>
      </c>
      <c r="G788" t="s">
        <v>115</v>
      </c>
      <c r="H788" t="s">
        <v>98</v>
      </c>
      <c r="I788">
        <v>29442</v>
      </c>
      <c r="J788">
        <v>22367</v>
      </c>
    </row>
    <row r="789" spans="1:10" x14ac:dyDescent="0.3">
      <c r="A789" t="s">
        <v>916</v>
      </c>
      <c r="B789" s="1">
        <v>45671</v>
      </c>
      <c r="C789" t="s">
        <v>17</v>
      </c>
      <c r="D789">
        <v>3</v>
      </c>
      <c r="E789" t="s">
        <v>70</v>
      </c>
      <c r="F789" t="s">
        <v>46</v>
      </c>
      <c r="G789" t="s">
        <v>326</v>
      </c>
      <c r="H789" t="s">
        <v>116</v>
      </c>
      <c r="I789">
        <v>26956</v>
      </c>
      <c r="J789">
        <v>28660</v>
      </c>
    </row>
    <row r="790" spans="1:10" x14ac:dyDescent="0.3">
      <c r="A790" t="s">
        <v>917</v>
      </c>
      <c r="B790" s="1">
        <v>45856</v>
      </c>
      <c r="C790" t="s">
        <v>11</v>
      </c>
      <c r="D790">
        <v>29</v>
      </c>
      <c r="E790" t="s">
        <v>33</v>
      </c>
      <c r="F790" t="s">
        <v>25</v>
      </c>
      <c r="G790" t="s">
        <v>79</v>
      </c>
      <c r="H790" t="s">
        <v>165</v>
      </c>
      <c r="I790">
        <v>25274</v>
      </c>
      <c r="J790">
        <v>23415</v>
      </c>
    </row>
    <row r="791" spans="1:10" x14ac:dyDescent="0.3">
      <c r="A791" t="s">
        <v>918</v>
      </c>
      <c r="B791" s="1">
        <v>45860</v>
      </c>
      <c r="C791" t="s">
        <v>11</v>
      </c>
      <c r="D791">
        <v>30</v>
      </c>
      <c r="E791" t="s">
        <v>18</v>
      </c>
      <c r="F791" t="s">
        <v>62</v>
      </c>
      <c r="G791" t="s">
        <v>20</v>
      </c>
      <c r="H791" t="s">
        <v>55</v>
      </c>
      <c r="I791">
        <v>36131</v>
      </c>
      <c r="J791">
        <v>38377</v>
      </c>
    </row>
    <row r="792" spans="1:10" x14ac:dyDescent="0.3">
      <c r="A792" t="s">
        <v>919</v>
      </c>
      <c r="B792" s="1">
        <v>45993</v>
      </c>
      <c r="C792" t="s">
        <v>100</v>
      </c>
      <c r="D792">
        <v>49</v>
      </c>
      <c r="E792" t="s">
        <v>39</v>
      </c>
      <c r="F792" t="s">
        <v>57</v>
      </c>
      <c r="G792" t="s">
        <v>14</v>
      </c>
      <c r="H792" t="s">
        <v>36</v>
      </c>
      <c r="I792">
        <v>19862</v>
      </c>
      <c r="J792">
        <v>16572</v>
      </c>
    </row>
    <row r="793" spans="1:10" x14ac:dyDescent="0.3">
      <c r="A793" t="s">
        <v>920</v>
      </c>
      <c r="B793" s="1">
        <v>45877</v>
      </c>
      <c r="C793" t="s">
        <v>113</v>
      </c>
      <c r="D793">
        <v>32</v>
      </c>
      <c r="E793" t="s">
        <v>61</v>
      </c>
      <c r="F793" t="s">
        <v>29</v>
      </c>
      <c r="G793" t="s">
        <v>147</v>
      </c>
      <c r="H793" t="s">
        <v>123</v>
      </c>
      <c r="I793">
        <v>22130</v>
      </c>
      <c r="J793">
        <v>26819</v>
      </c>
    </row>
    <row r="794" spans="1:10" x14ac:dyDescent="0.3">
      <c r="A794" t="s">
        <v>921</v>
      </c>
      <c r="B794" s="1">
        <v>45940</v>
      </c>
      <c r="C794" t="s">
        <v>66</v>
      </c>
      <c r="D794">
        <v>41</v>
      </c>
      <c r="E794" t="s">
        <v>12</v>
      </c>
      <c r="F794" t="s">
        <v>50</v>
      </c>
      <c r="G794" t="s">
        <v>324</v>
      </c>
      <c r="H794" t="s">
        <v>123</v>
      </c>
      <c r="I794">
        <v>28823</v>
      </c>
      <c r="J794">
        <v>30800</v>
      </c>
    </row>
    <row r="795" spans="1:10" x14ac:dyDescent="0.3">
      <c r="A795" t="s">
        <v>922</v>
      </c>
      <c r="B795" s="1">
        <v>45664</v>
      </c>
      <c r="C795" t="s">
        <v>17</v>
      </c>
      <c r="D795">
        <v>2</v>
      </c>
      <c r="E795" t="s">
        <v>39</v>
      </c>
      <c r="F795" t="s">
        <v>43</v>
      </c>
      <c r="G795" t="s">
        <v>20</v>
      </c>
      <c r="H795" t="s">
        <v>165</v>
      </c>
      <c r="I795">
        <v>19128</v>
      </c>
      <c r="J795">
        <v>13534</v>
      </c>
    </row>
    <row r="796" spans="1:10" x14ac:dyDescent="0.3">
      <c r="A796" t="s">
        <v>923</v>
      </c>
      <c r="B796" s="1">
        <v>45854</v>
      </c>
      <c r="C796" t="s">
        <v>11</v>
      </c>
      <c r="D796">
        <v>29</v>
      </c>
      <c r="E796" t="s">
        <v>61</v>
      </c>
      <c r="F796" t="s">
        <v>19</v>
      </c>
      <c r="G796" t="s">
        <v>83</v>
      </c>
      <c r="H796" t="s">
        <v>27</v>
      </c>
      <c r="I796">
        <v>24607</v>
      </c>
      <c r="J796">
        <v>17233</v>
      </c>
    </row>
    <row r="797" spans="1:10" x14ac:dyDescent="0.3">
      <c r="A797" t="s">
        <v>924</v>
      </c>
      <c r="B797" s="1">
        <v>45994</v>
      </c>
      <c r="C797" t="s">
        <v>100</v>
      </c>
      <c r="D797">
        <v>49</v>
      </c>
      <c r="E797" t="s">
        <v>61</v>
      </c>
      <c r="F797" t="s">
        <v>109</v>
      </c>
      <c r="G797" t="s">
        <v>182</v>
      </c>
      <c r="H797" t="s">
        <v>15</v>
      </c>
      <c r="I797">
        <v>22182</v>
      </c>
      <c r="J797">
        <v>28556</v>
      </c>
    </row>
    <row r="798" spans="1:10" x14ac:dyDescent="0.3">
      <c r="A798" t="s">
        <v>925</v>
      </c>
      <c r="B798" s="1">
        <v>45992</v>
      </c>
      <c r="C798" t="s">
        <v>100</v>
      </c>
      <c r="D798">
        <v>49</v>
      </c>
      <c r="E798" t="s">
        <v>12</v>
      </c>
      <c r="F798" t="s">
        <v>62</v>
      </c>
      <c r="G798" t="s">
        <v>51</v>
      </c>
      <c r="H798" t="s">
        <v>119</v>
      </c>
      <c r="I798">
        <v>18094</v>
      </c>
      <c r="J798">
        <v>20927</v>
      </c>
    </row>
    <row r="799" spans="1:10" x14ac:dyDescent="0.3">
      <c r="A799" t="s">
        <v>926</v>
      </c>
      <c r="B799" s="1">
        <v>45873</v>
      </c>
      <c r="C799" t="s">
        <v>113</v>
      </c>
      <c r="D799">
        <v>32</v>
      </c>
      <c r="E799" t="s">
        <v>24</v>
      </c>
      <c r="F799" t="s">
        <v>114</v>
      </c>
      <c r="G799" t="s">
        <v>253</v>
      </c>
      <c r="H799" t="s">
        <v>15</v>
      </c>
      <c r="I799">
        <v>22675</v>
      </c>
      <c r="J799">
        <v>25149</v>
      </c>
    </row>
    <row r="800" spans="1:10" x14ac:dyDescent="0.3">
      <c r="A800" t="s">
        <v>927</v>
      </c>
      <c r="B800" s="1">
        <v>45871</v>
      </c>
      <c r="C800" t="s">
        <v>113</v>
      </c>
      <c r="D800">
        <v>31</v>
      </c>
      <c r="E800" t="s">
        <v>18</v>
      </c>
      <c r="F800" t="s">
        <v>57</v>
      </c>
      <c r="G800" t="s">
        <v>110</v>
      </c>
      <c r="H800" t="s">
        <v>116</v>
      </c>
      <c r="I800">
        <v>38534</v>
      </c>
      <c r="J800">
        <v>36337</v>
      </c>
    </row>
    <row r="801" spans="1:10" x14ac:dyDescent="0.3">
      <c r="A801" t="s">
        <v>928</v>
      </c>
      <c r="B801" s="1">
        <v>45729</v>
      </c>
      <c r="C801" t="s">
        <v>95</v>
      </c>
      <c r="D801">
        <v>11</v>
      </c>
      <c r="E801" t="s">
        <v>33</v>
      </c>
      <c r="F801" t="s">
        <v>140</v>
      </c>
      <c r="G801" t="s">
        <v>40</v>
      </c>
      <c r="H801" t="s">
        <v>157</v>
      </c>
      <c r="I801">
        <v>23644</v>
      </c>
      <c r="J801">
        <v>27090</v>
      </c>
    </row>
    <row r="802" spans="1:10" x14ac:dyDescent="0.3">
      <c r="A802" t="s">
        <v>929</v>
      </c>
      <c r="B802" s="1">
        <v>45834</v>
      </c>
      <c r="C802" t="s">
        <v>74</v>
      </c>
      <c r="D802">
        <v>26</v>
      </c>
      <c r="E802" t="s">
        <v>24</v>
      </c>
      <c r="F802" t="s">
        <v>140</v>
      </c>
      <c r="G802" t="s">
        <v>145</v>
      </c>
      <c r="H802" t="s">
        <v>21</v>
      </c>
      <c r="I802">
        <v>16750</v>
      </c>
      <c r="J802">
        <v>14228</v>
      </c>
    </row>
    <row r="803" spans="1:10" x14ac:dyDescent="0.3">
      <c r="A803" t="s">
        <v>930</v>
      </c>
      <c r="B803" s="1">
        <v>45915</v>
      </c>
      <c r="C803" t="s">
        <v>38</v>
      </c>
      <c r="D803">
        <v>38</v>
      </c>
      <c r="E803" t="s">
        <v>18</v>
      </c>
      <c r="F803" t="s">
        <v>25</v>
      </c>
      <c r="G803" t="s">
        <v>234</v>
      </c>
      <c r="H803" t="s">
        <v>36</v>
      </c>
      <c r="I803">
        <v>39008</v>
      </c>
      <c r="J803">
        <v>37224</v>
      </c>
    </row>
    <row r="804" spans="1:10" x14ac:dyDescent="0.3">
      <c r="A804" t="s">
        <v>931</v>
      </c>
      <c r="B804" s="1">
        <v>45679</v>
      </c>
      <c r="C804" t="s">
        <v>17</v>
      </c>
      <c r="D804">
        <v>4</v>
      </c>
      <c r="E804" t="s">
        <v>24</v>
      </c>
      <c r="F804" t="s">
        <v>87</v>
      </c>
      <c r="G804" t="s">
        <v>67</v>
      </c>
      <c r="H804" t="s">
        <v>41</v>
      </c>
      <c r="I804">
        <v>18606</v>
      </c>
      <c r="J804">
        <v>13548</v>
      </c>
    </row>
    <row r="805" spans="1:10" x14ac:dyDescent="0.3">
      <c r="A805" t="s">
        <v>932</v>
      </c>
      <c r="B805" s="1">
        <v>45809</v>
      </c>
      <c r="C805" t="s">
        <v>74</v>
      </c>
      <c r="D805">
        <v>22</v>
      </c>
      <c r="E805" t="s">
        <v>12</v>
      </c>
      <c r="F805" t="s">
        <v>87</v>
      </c>
      <c r="G805" t="s">
        <v>149</v>
      </c>
      <c r="H805" t="s">
        <v>84</v>
      </c>
      <c r="I805">
        <v>21998</v>
      </c>
      <c r="J805">
        <v>28489</v>
      </c>
    </row>
    <row r="806" spans="1:10" x14ac:dyDescent="0.3">
      <c r="A806" t="s">
        <v>933</v>
      </c>
      <c r="B806" s="1">
        <v>45913</v>
      </c>
      <c r="C806" t="s">
        <v>38</v>
      </c>
      <c r="D806">
        <v>37</v>
      </c>
      <c r="E806" t="s">
        <v>39</v>
      </c>
      <c r="F806" t="s">
        <v>25</v>
      </c>
      <c r="G806" t="s">
        <v>110</v>
      </c>
      <c r="H806" t="s">
        <v>211</v>
      </c>
      <c r="I806">
        <v>29219</v>
      </c>
      <c r="J806">
        <v>21282</v>
      </c>
    </row>
    <row r="807" spans="1:10" x14ac:dyDescent="0.3">
      <c r="A807" t="s">
        <v>934</v>
      </c>
      <c r="B807" s="1">
        <v>45740</v>
      </c>
      <c r="C807" t="s">
        <v>95</v>
      </c>
      <c r="D807">
        <v>13</v>
      </c>
      <c r="E807" t="s">
        <v>70</v>
      </c>
      <c r="F807" t="s">
        <v>34</v>
      </c>
      <c r="G807" t="s">
        <v>102</v>
      </c>
      <c r="H807" t="s">
        <v>133</v>
      </c>
      <c r="I807">
        <v>18350</v>
      </c>
      <c r="J807">
        <v>16998</v>
      </c>
    </row>
    <row r="808" spans="1:10" x14ac:dyDescent="0.3">
      <c r="A808" t="s">
        <v>935</v>
      </c>
      <c r="B808" s="1">
        <v>45766</v>
      </c>
      <c r="C808" t="s">
        <v>86</v>
      </c>
      <c r="D808">
        <v>16</v>
      </c>
      <c r="E808" t="s">
        <v>61</v>
      </c>
      <c r="F808" t="s">
        <v>101</v>
      </c>
      <c r="G808" t="s">
        <v>88</v>
      </c>
      <c r="H808" t="s">
        <v>15</v>
      </c>
      <c r="I808">
        <v>15376</v>
      </c>
      <c r="J808">
        <v>14149</v>
      </c>
    </row>
    <row r="809" spans="1:10" x14ac:dyDescent="0.3">
      <c r="A809" t="s">
        <v>936</v>
      </c>
      <c r="B809" s="1">
        <v>45863</v>
      </c>
      <c r="C809" t="s">
        <v>11</v>
      </c>
      <c r="D809">
        <v>30</v>
      </c>
      <c r="E809" t="s">
        <v>12</v>
      </c>
      <c r="F809" t="s">
        <v>78</v>
      </c>
      <c r="G809" t="s">
        <v>326</v>
      </c>
      <c r="H809" t="s">
        <v>123</v>
      </c>
      <c r="I809">
        <v>23811</v>
      </c>
      <c r="J809">
        <v>22583</v>
      </c>
    </row>
    <row r="810" spans="1:10" x14ac:dyDescent="0.3">
      <c r="A810" t="s">
        <v>937</v>
      </c>
      <c r="B810" s="1">
        <v>45862</v>
      </c>
      <c r="C810" t="s">
        <v>11</v>
      </c>
      <c r="D810">
        <v>30</v>
      </c>
      <c r="E810" t="s">
        <v>24</v>
      </c>
      <c r="F810" t="s">
        <v>62</v>
      </c>
      <c r="G810" t="s">
        <v>93</v>
      </c>
      <c r="H810" t="s">
        <v>36</v>
      </c>
      <c r="I810">
        <v>25305</v>
      </c>
      <c r="J810">
        <v>19925</v>
      </c>
    </row>
    <row r="811" spans="1:10" x14ac:dyDescent="0.3">
      <c r="A811" t="s">
        <v>938</v>
      </c>
      <c r="B811" s="1">
        <v>45668</v>
      </c>
      <c r="C811" t="s">
        <v>17</v>
      </c>
      <c r="D811">
        <v>2</v>
      </c>
      <c r="E811" t="s">
        <v>24</v>
      </c>
      <c r="F811" t="s">
        <v>13</v>
      </c>
      <c r="G811" t="s">
        <v>266</v>
      </c>
      <c r="H811" t="s">
        <v>52</v>
      </c>
      <c r="I811">
        <v>31710</v>
      </c>
      <c r="J811">
        <v>30204</v>
      </c>
    </row>
    <row r="812" spans="1:10" x14ac:dyDescent="0.3">
      <c r="A812" t="s">
        <v>939</v>
      </c>
      <c r="B812" s="1">
        <v>45719</v>
      </c>
      <c r="C812" t="s">
        <v>95</v>
      </c>
      <c r="D812">
        <v>10</v>
      </c>
      <c r="E812" t="s">
        <v>18</v>
      </c>
      <c r="F812" t="s">
        <v>57</v>
      </c>
      <c r="G812" t="s">
        <v>63</v>
      </c>
      <c r="H812" t="s">
        <v>98</v>
      </c>
      <c r="I812">
        <v>17300</v>
      </c>
      <c r="J812">
        <v>18813</v>
      </c>
    </row>
    <row r="813" spans="1:10" x14ac:dyDescent="0.3">
      <c r="A813" t="s">
        <v>940</v>
      </c>
      <c r="B813" s="1">
        <v>45666</v>
      </c>
      <c r="C813" t="s">
        <v>17</v>
      </c>
      <c r="D813">
        <v>2</v>
      </c>
      <c r="E813" t="s">
        <v>39</v>
      </c>
      <c r="F813" t="s">
        <v>19</v>
      </c>
      <c r="G813" t="s">
        <v>291</v>
      </c>
      <c r="H813" t="s">
        <v>41</v>
      </c>
      <c r="I813">
        <v>37254</v>
      </c>
      <c r="J813">
        <v>34466</v>
      </c>
    </row>
    <row r="814" spans="1:10" x14ac:dyDescent="0.3">
      <c r="A814" t="s">
        <v>941</v>
      </c>
      <c r="B814" s="1">
        <v>45785</v>
      </c>
      <c r="C814" t="s">
        <v>90</v>
      </c>
      <c r="D814">
        <v>19</v>
      </c>
      <c r="E814" t="s">
        <v>33</v>
      </c>
      <c r="F814" t="s">
        <v>19</v>
      </c>
      <c r="G814" t="s">
        <v>324</v>
      </c>
      <c r="H814" t="s">
        <v>243</v>
      </c>
      <c r="I814">
        <v>37357</v>
      </c>
      <c r="J814">
        <v>30065</v>
      </c>
    </row>
    <row r="815" spans="1:10" x14ac:dyDescent="0.3">
      <c r="A815" t="s">
        <v>942</v>
      </c>
      <c r="B815" s="1">
        <v>45764</v>
      </c>
      <c r="C815" t="s">
        <v>86</v>
      </c>
      <c r="D815">
        <v>16</v>
      </c>
      <c r="E815" t="s">
        <v>33</v>
      </c>
      <c r="F815" t="s">
        <v>13</v>
      </c>
      <c r="G815" t="s">
        <v>63</v>
      </c>
      <c r="H815" t="s">
        <v>68</v>
      </c>
      <c r="I815">
        <v>36753</v>
      </c>
      <c r="J815">
        <v>25922</v>
      </c>
    </row>
    <row r="816" spans="1:10" x14ac:dyDescent="0.3">
      <c r="A816" t="s">
        <v>943</v>
      </c>
      <c r="B816" s="1">
        <v>45803</v>
      </c>
      <c r="C816" t="s">
        <v>90</v>
      </c>
      <c r="D816">
        <v>22</v>
      </c>
      <c r="E816" t="s">
        <v>61</v>
      </c>
      <c r="F816" t="s">
        <v>19</v>
      </c>
      <c r="G816" t="s">
        <v>93</v>
      </c>
      <c r="H816" t="s">
        <v>188</v>
      </c>
      <c r="I816">
        <v>29293</v>
      </c>
      <c r="J816">
        <v>30712</v>
      </c>
    </row>
    <row r="817" spans="1:10" x14ac:dyDescent="0.3">
      <c r="A817" t="s">
        <v>944</v>
      </c>
      <c r="B817" s="1">
        <v>45737</v>
      </c>
      <c r="C817" t="s">
        <v>95</v>
      </c>
      <c r="D817">
        <v>12</v>
      </c>
      <c r="E817" t="s">
        <v>12</v>
      </c>
      <c r="F817" t="s">
        <v>87</v>
      </c>
      <c r="G817" t="s">
        <v>160</v>
      </c>
      <c r="H817" t="s">
        <v>103</v>
      </c>
      <c r="I817">
        <v>27777</v>
      </c>
      <c r="J817">
        <v>34593</v>
      </c>
    </row>
    <row r="818" spans="1:10" x14ac:dyDescent="0.3">
      <c r="A818" t="s">
        <v>945</v>
      </c>
      <c r="B818" s="1">
        <v>45994</v>
      </c>
      <c r="C818" t="s">
        <v>100</v>
      </c>
      <c r="D818">
        <v>49</v>
      </c>
      <c r="E818" t="s">
        <v>24</v>
      </c>
      <c r="F818" t="s">
        <v>92</v>
      </c>
      <c r="G818" t="s">
        <v>35</v>
      </c>
      <c r="H818" t="s">
        <v>15</v>
      </c>
      <c r="I818">
        <v>26363</v>
      </c>
      <c r="J818">
        <v>21484</v>
      </c>
    </row>
    <row r="819" spans="1:10" x14ac:dyDescent="0.3">
      <c r="A819" t="s">
        <v>946</v>
      </c>
      <c r="B819" s="1">
        <v>45731</v>
      </c>
      <c r="C819" t="s">
        <v>95</v>
      </c>
      <c r="D819">
        <v>11</v>
      </c>
      <c r="E819" t="s">
        <v>61</v>
      </c>
      <c r="F819" t="s">
        <v>101</v>
      </c>
      <c r="G819" t="s">
        <v>201</v>
      </c>
      <c r="H819" t="s">
        <v>165</v>
      </c>
      <c r="I819">
        <v>24155</v>
      </c>
      <c r="J819">
        <v>22906</v>
      </c>
    </row>
    <row r="820" spans="1:10" x14ac:dyDescent="0.3">
      <c r="A820" t="s">
        <v>947</v>
      </c>
      <c r="B820" s="1">
        <v>45767</v>
      </c>
      <c r="C820" t="s">
        <v>86</v>
      </c>
      <c r="D820">
        <v>16</v>
      </c>
      <c r="E820" t="s">
        <v>70</v>
      </c>
      <c r="F820" t="s">
        <v>92</v>
      </c>
      <c r="G820" t="s">
        <v>240</v>
      </c>
      <c r="H820" t="s">
        <v>98</v>
      </c>
      <c r="I820">
        <v>20136</v>
      </c>
      <c r="J820">
        <v>15148</v>
      </c>
    </row>
    <row r="821" spans="1:10" x14ac:dyDescent="0.3">
      <c r="A821" t="s">
        <v>948</v>
      </c>
      <c r="B821" s="1">
        <v>45824</v>
      </c>
      <c r="C821" t="s">
        <v>74</v>
      </c>
      <c r="D821">
        <v>25</v>
      </c>
      <c r="E821" t="s">
        <v>70</v>
      </c>
      <c r="F821" t="s">
        <v>109</v>
      </c>
      <c r="G821" t="s">
        <v>76</v>
      </c>
      <c r="H821" t="s">
        <v>84</v>
      </c>
      <c r="I821">
        <v>20915</v>
      </c>
      <c r="J821">
        <v>21265</v>
      </c>
    </row>
    <row r="822" spans="1:10" x14ac:dyDescent="0.3">
      <c r="A822" t="s">
        <v>949</v>
      </c>
      <c r="B822" s="1">
        <v>45815</v>
      </c>
      <c r="C822" t="s">
        <v>74</v>
      </c>
      <c r="D822">
        <v>23</v>
      </c>
      <c r="E822" t="s">
        <v>18</v>
      </c>
      <c r="F822" t="s">
        <v>193</v>
      </c>
      <c r="G822" t="s">
        <v>191</v>
      </c>
      <c r="H822" t="s">
        <v>31</v>
      </c>
      <c r="I822">
        <v>20523</v>
      </c>
      <c r="J822">
        <v>15741</v>
      </c>
    </row>
    <row r="823" spans="1:10" x14ac:dyDescent="0.3">
      <c r="A823" t="s">
        <v>950</v>
      </c>
      <c r="B823" s="1">
        <v>45732</v>
      </c>
      <c r="C823" t="s">
        <v>95</v>
      </c>
      <c r="D823">
        <v>11</v>
      </c>
      <c r="E823" t="s">
        <v>70</v>
      </c>
      <c r="F823" t="s">
        <v>101</v>
      </c>
      <c r="G823" t="s">
        <v>324</v>
      </c>
      <c r="H823" t="s">
        <v>163</v>
      </c>
      <c r="I823">
        <v>21239</v>
      </c>
      <c r="J823">
        <v>17566</v>
      </c>
    </row>
    <row r="824" spans="1:10" x14ac:dyDescent="0.3">
      <c r="A824" t="s">
        <v>951</v>
      </c>
      <c r="B824" s="1">
        <v>46005</v>
      </c>
      <c r="C824" t="s">
        <v>100</v>
      </c>
      <c r="D824">
        <v>50</v>
      </c>
      <c r="E824" t="s">
        <v>12</v>
      </c>
      <c r="F824" t="s">
        <v>57</v>
      </c>
      <c r="G824" t="s">
        <v>79</v>
      </c>
      <c r="H824" t="s">
        <v>84</v>
      </c>
      <c r="I824">
        <v>35802</v>
      </c>
      <c r="J824">
        <v>27065</v>
      </c>
    </row>
    <row r="825" spans="1:10" x14ac:dyDescent="0.3">
      <c r="A825" t="s">
        <v>952</v>
      </c>
      <c r="B825" s="1">
        <v>45716</v>
      </c>
      <c r="C825" t="s">
        <v>82</v>
      </c>
      <c r="D825">
        <v>9</v>
      </c>
      <c r="E825" t="s">
        <v>24</v>
      </c>
      <c r="F825" t="s">
        <v>29</v>
      </c>
      <c r="G825" t="s">
        <v>88</v>
      </c>
      <c r="H825" t="s">
        <v>123</v>
      </c>
      <c r="I825">
        <v>38422</v>
      </c>
      <c r="J825">
        <v>40698</v>
      </c>
    </row>
    <row r="826" spans="1:10" x14ac:dyDescent="0.3">
      <c r="A826" t="s">
        <v>953</v>
      </c>
      <c r="B826" s="1">
        <v>45675</v>
      </c>
      <c r="C826" t="s">
        <v>17</v>
      </c>
      <c r="D826">
        <v>3</v>
      </c>
      <c r="E826" t="s">
        <v>18</v>
      </c>
      <c r="F826" t="s">
        <v>19</v>
      </c>
      <c r="G826" t="s">
        <v>199</v>
      </c>
      <c r="H826" t="s">
        <v>165</v>
      </c>
      <c r="I826">
        <v>24972</v>
      </c>
      <c r="J826">
        <v>20344</v>
      </c>
    </row>
    <row r="827" spans="1:10" x14ac:dyDescent="0.3">
      <c r="A827" t="s">
        <v>954</v>
      </c>
      <c r="B827" s="1">
        <v>45871</v>
      </c>
      <c r="C827" t="s">
        <v>113</v>
      </c>
      <c r="D827">
        <v>31</v>
      </c>
      <c r="E827" t="s">
        <v>61</v>
      </c>
      <c r="F827" t="s">
        <v>13</v>
      </c>
      <c r="G827" t="s">
        <v>72</v>
      </c>
      <c r="H827" t="s">
        <v>243</v>
      </c>
      <c r="I827">
        <v>38232</v>
      </c>
      <c r="J827">
        <v>33537</v>
      </c>
    </row>
    <row r="828" spans="1:10" x14ac:dyDescent="0.3">
      <c r="A828" t="s">
        <v>955</v>
      </c>
      <c r="B828" s="1">
        <v>45751</v>
      </c>
      <c r="C828" t="s">
        <v>86</v>
      </c>
      <c r="D828">
        <v>14</v>
      </c>
      <c r="E828" t="s">
        <v>24</v>
      </c>
      <c r="F828" t="s">
        <v>62</v>
      </c>
      <c r="G828" t="s">
        <v>160</v>
      </c>
      <c r="H828" t="s">
        <v>211</v>
      </c>
      <c r="I828">
        <v>19694</v>
      </c>
      <c r="J828">
        <v>22169</v>
      </c>
    </row>
    <row r="829" spans="1:10" x14ac:dyDescent="0.3">
      <c r="A829" t="s">
        <v>956</v>
      </c>
      <c r="B829" s="1">
        <v>45770</v>
      </c>
      <c r="C829" t="s">
        <v>86</v>
      </c>
      <c r="D829">
        <v>17</v>
      </c>
      <c r="E829" t="s">
        <v>24</v>
      </c>
      <c r="F829" t="s">
        <v>57</v>
      </c>
      <c r="G829" t="s">
        <v>291</v>
      </c>
      <c r="H829" t="s">
        <v>151</v>
      </c>
      <c r="I829">
        <v>36849</v>
      </c>
      <c r="J829">
        <v>45136</v>
      </c>
    </row>
    <row r="830" spans="1:10" x14ac:dyDescent="0.3">
      <c r="A830" t="s">
        <v>957</v>
      </c>
      <c r="B830" s="1">
        <v>45948</v>
      </c>
      <c r="C830" t="s">
        <v>66</v>
      </c>
      <c r="D830">
        <v>42</v>
      </c>
      <c r="E830" t="s">
        <v>39</v>
      </c>
      <c r="F830" t="s">
        <v>122</v>
      </c>
      <c r="G830" t="s">
        <v>182</v>
      </c>
      <c r="H830" t="s">
        <v>21</v>
      </c>
      <c r="I830">
        <v>33608</v>
      </c>
      <c r="J830">
        <v>32596</v>
      </c>
    </row>
    <row r="831" spans="1:10" x14ac:dyDescent="0.3">
      <c r="A831" t="s">
        <v>958</v>
      </c>
      <c r="B831" s="1">
        <v>45784</v>
      </c>
      <c r="C831" t="s">
        <v>90</v>
      </c>
      <c r="D831">
        <v>19</v>
      </c>
      <c r="E831" t="s">
        <v>39</v>
      </c>
      <c r="F831" t="s">
        <v>78</v>
      </c>
      <c r="G831" t="s">
        <v>40</v>
      </c>
      <c r="H831" t="s">
        <v>157</v>
      </c>
      <c r="I831">
        <v>22568</v>
      </c>
      <c r="J831">
        <v>19154</v>
      </c>
    </row>
    <row r="832" spans="1:10" x14ac:dyDescent="0.3">
      <c r="A832" t="s">
        <v>959</v>
      </c>
      <c r="B832" s="1">
        <v>45970</v>
      </c>
      <c r="C832" t="s">
        <v>23</v>
      </c>
      <c r="D832">
        <v>45</v>
      </c>
      <c r="E832" t="s">
        <v>39</v>
      </c>
      <c r="F832" t="s">
        <v>34</v>
      </c>
      <c r="G832" t="s">
        <v>230</v>
      </c>
      <c r="H832" t="s">
        <v>15</v>
      </c>
      <c r="I832">
        <v>34242</v>
      </c>
      <c r="J832">
        <v>36089</v>
      </c>
    </row>
    <row r="833" spans="1:10" x14ac:dyDescent="0.3">
      <c r="A833" t="s">
        <v>960</v>
      </c>
      <c r="B833" s="1">
        <v>45868</v>
      </c>
      <c r="C833" t="s">
        <v>11</v>
      </c>
      <c r="D833">
        <v>31</v>
      </c>
      <c r="E833" t="s">
        <v>39</v>
      </c>
      <c r="F833" t="s">
        <v>57</v>
      </c>
      <c r="G833" t="s">
        <v>30</v>
      </c>
      <c r="H833" t="s">
        <v>98</v>
      </c>
      <c r="I833">
        <v>36950</v>
      </c>
      <c r="J833">
        <v>31437</v>
      </c>
    </row>
    <row r="834" spans="1:10" x14ac:dyDescent="0.3">
      <c r="A834" t="s">
        <v>961</v>
      </c>
      <c r="B834" s="1">
        <v>45872</v>
      </c>
      <c r="C834" t="s">
        <v>113</v>
      </c>
      <c r="D834">
        <v>31</v>
      </c>
      <c r="E834" t="s">
        <v>12</v>
      </c>
      <c r="F834" t="s">
        <v>101</v>
      </c>
      <c r="G834" t="s">
        <v>63</v>
      </c>
      <c r="H834" t="s">
        <v>36</v>
      </c>
      <c r="I834">
        <v>22943</v>
      </c>
      <c r="J834">
        <v>16581</v>
      </c>
    </row>
    <row r="835" spans="1:10" x14ac:dyDescent="0.3">
      <c r="A835" t="s">
        <v>962</v>
      </c>
      <c r="B835" s="1">
        <v>45956</v>
      </c>
      <c r="C835" t="s">
        <v>66</v>
      </c>
      <c r="D835">
        <v>43</v>
      </c>
      <c r="E835" t="s">
        <v>33</v>
      </c>
      <c r="F835" t="s">
        <v>109</v>
      </c>
      <c r="G835" t="s">
        <v>147</v>
      </c>
      <c r="H835" t="s">
        <v>96</v>
      </c>
      <c r="I835">
        <v>33563</v>
      </c>
      <c r="J835">
        <v>36385</v>
      </c>
    </row>
    <row r="836" spans="1:10" x14ac:dyDescent="0.3">
      <c r="A836" t="s">
        <v>963</v>
      </c>
      <c r="B836" s="1">
        <v>45878</v>
      </c>
      <c r="C836" t="s">
        <v>113</v>
      </c>
      <c r="D836">
        <v>32</v>
      </c>
      <c r="E836" t="s">
        <v>12</v>
      </c>
      <c r="F836" t="s">
        <v>50</v>
      </c>
      <c r="G836" t="s">
        <v>20</v>
      </c>
      <c r="H836" t="s">
        <v>96</v>
      </c>
      <c r="I836">
        <v>30704</v>
      </c>
      <c r="J836">
        <v>21658</v>
      </c>
    </row>
    <row r="837" spans="1:10" x14ac:dyDescent="0.3">
      <c r="A837" t="s">
        <v>964</v>
      </c>
      <c r="B837" s="1">
        <v>45976</v>
      </c>
      <c r="C837" t="s">
        <v>23</v>
      </c>
      <c r="D837">
        <v>46</v>
      </c>
      <c r="E837" t="s">
        <v>18</v>
      </c>
      <c r="F837" t="s">
        <v>114</v>
      </c>
      <c r="G837" t="s">
        <v>147</v>
      </c>
      <c r="H837" t="s">
        <v>188</v>
      </c>
      <c r="I837">
        <v>24829</v>
      </c>
      <c r="J837">
        <v>18286</v>
      </c>
    </row>
    <row r="838" spans="1:10" x14ac:dyDescent="0.3">
      <c r="A838" t="s">
        <v>965</v>
      </c>
      <c r="B838" s="1">
        <v>45853</v>
      </c>
      <c r="C838" t="s">
        <v>11</v>
      </c>
      <c r="D838">
        <v>29</v>
      </c>
      <c r="E838" t="s">
        <v>12</v>
      </c>
      <c r="F838" t="s">
        <v>62</v>
      </c>
      <c r="G838" t="s">
        <v>160</v>
      </c>
      <c r="H838" t="s">
        <v>98</v>
      </c>
      <c r="I838">
        <v>29108</v>
      </c>
      <c r="J838">
        <v>29903</v>
      </c>
    </row>
    <row r="839" spans="1:10" x14ac:dyDescent="0.3">
      <c r="A839" t="s">
        <v>966</v>
      </c>
      <c r="B839" s="1">
        <v>46011</v>
      </c>
      <c r="C839" t="s">
        <v>100</v>
      </c>
      <c r="D839">
        <v>51</v>
      </c>
      <c r="E839" t="s">
        <v>70</v>
      </c>
      <c r="F839" t="s">
        <v>92</v>
      </c>
      <c r="G839" t="s">
        <v>206</v>
      </c>
      <c r="H839" t="s">
        <v>103</v>
      </c>
      <c r="I839">
        <v>33053</v>
      </c>
      <c r="J839">
        <v>41847</v>
      </c>
    </row>
    <row r="840" spans="1:10" x14ac:dyDescent="0.3">
      <c r="A840" t="s">
        <v>967</v>
      </c>
      <c r="B840" s="1">
        <v>46001</v>
      </c>
      <c r="C840" t="s">
        <v>100</v>
      </c>
      <c r="D840">
        <v>50</v>
      </c>
      <c r="E840" t="s">
        <v>70</v>
      </c>
      <c r="F840" t="s">
        <v>57</v>
      </c>
      <c r="G840" t="s">
        <v>191</v>
      </c>
      <c r="H840" t="s">
        <v>155</v>
      </c>
      <c r="I840">
        <v>34671</v>
      </c>
      <c r="J840">
        <v>37527</v>
      </c>
    </row>
    <row r="841" spans="1:10" x14ac:dyDescent="0.3">
      <c r="A841" t="s">
        <v>968</v>
      </c>
      <c r="B841" s="1">
        <v>45712</v>
      </c>
      <c r="C841" t="s">
        <v>82</v>
      </c>
      <c r="D841">
        <v>9</v>
      </c>
      <c r="E841" t="s">
        <v>70</v>
      </c>
      <c r="F841" t="s">
        <v>75</v>
      </c>
      <c r="G841" t="s">
        <v>132</v>
      </c>
      <c r="H841" t="s">
        <v>243</v>
      </c>
      <c r="I841">
        <v>38169</v>
      </c>
      <c r="J841">
        <v>32057</v>
      </c>
    </row>
    <row r="842" spans="1:10" x14ac:dyDescent="0.3">
      <c r="A842" t="s">
        <v>969</v>
      </c>
      <c r="B842" s="1">
        <v>45830</v>
      </c>
      <c r="C842" t="s">
        <v>74</v>
      </c>
      <c r="D842">
        <v>25</v>
      </c>
      <c r="E842" t="s">
        <v>39</v>
      </c>
      <c r="F842" t="s">
        <v>109</v>
      </c>
      <c r="G842" t="s">
        <v>110</v>
      </c>
      <c r="H842" t="s">
        <v>119</v>
      </c>
      <c r="I842">
        <v>23655</v>
      </c>
      <c r="J842">
        <v>27148</v>
      </c>
    </row>
    <row r="843" spans="1:10" x14ac:dyDescent="0.3">
      <c r="A843" t="s">
        <v>970</v>
      </c>
      <c r="B843" s="1">
        <v>45711</v>
      </c>
      <c r="C843" t="s">
        <v>82</v>
      </c>
      <c r="D843">
        <v>8</v>
      </c>
      <c r="E843" t="s">
        <v>70</v>
      </c>
      <c r="F843" t="s">
        <v>78</v>
      </c>
      <c r="G843" t="s">
        <v>230</v>
      </c>
      <c r="H843" t="s">
        <v>36</v>
      </c>
      <c r="I843">
        <v>28669</v>
      </c>
      <c r="J843">
        <v>36672</v>
      </c>
    </row>
    <row r="844" spans="1:10" x14ac:dyDescent="0.3">
      <c r="A844" t="s">
        <v>971</v>
      </c>
      <c r="B844" s="1">
        <v>45756</v>
      </c>
      <c r="C844" t="s">
        <v>86</v>
      </c>
      <c r="D844">
        <v>15</v>
      </c>
      <c r="E844" t="s">
        <v>18</v>
      </c>
      <c r="F844" t="s">
        <v>57</v>
      </c>
      <c r="G844" t="s">
        <v>72</v>
      </c>
      <c r="H844" t="s">
        <v>55</v>
      </c>
      <c r="I844">
        <v>27810</v>
      </c>
      <c r="J844">
        <v>27720</v>
      </c>
    </row>
    <row r="845" spans="1:10" x14ac:dyDescent="0.3">
      <c r="A845" t="s">
        <v>972</v>
      </c>
      <c r="B845" s="1">
        <v>45673</v>
      </c>
      <c r="C845" t="s">
        <v>17</v>
      </c>
      <c r="D845">
        <v>3</v>
      </c>
      <c r="E845" t="s">
        <v>39</v>
      </c>
      <c r="F845" t="s">
        <v>13</v>
      </c>
      <c r="G845" t="s">
        <v>67</v>
      </c>
      <c r="H845" t="s">
        <v>211</v>
      </c>
      <c r="I845">
        <v>39596</v>
      </c>
      <c r="J845">
        <v>48527</v>
      </c>
    </row>
    <row r="846" spans="1:10" x14ac:dyDescent="0.3">
      <c r="A846" t="s">
        <v>973</v>
      </c>
      <c r="B846" s="1">
        <v>45777</v>
      </c>
      <c r="C846" t="s">
        <v>86</v>
      </c>
      <c r="D846">
        <v>18</v>
      </c>
      <c r="E846" t="s">
        <v>61</v>
      </c>
      <c r="F846" t="s">
        <v>114</v>
      </c>
      <c r="G846" t="s">
        <v>63</v>
      </c>
      <c r="H846" t="s">
        <v>116</v>
      </c>
      <c r="I846">
        <v>32395</v>
      </c>
      <c r="J846">
        <v>41613</v>
      </c>
    </row>
    <row r="847" spans="1:10" x14ac:dyDescent="0.3">
      <c r="A847" t="s">
        <v>974</v>
      </c>
      <c r="B847" s="1">
        <v>46021</v>
      </c>
      <c r="C847" t="s">
        <v>100</v>
      </c>
      <c r="D847">
        <v>1</v>
      </c>
      <c r="E847" t="s">
        <v>70</v>
      </c>
      <c r="F847" t="s">
        <v>75</v>
      </c>
      <c r="G847" t="s">
        <v>76</v>
      </c>
      <c r="H847" t="s">
        <v>116</v>
      </c>
      <c r="I847">
        <v>37787</v>
      </c>
      <c r="J847">
        <v>29011</v>
      </c>
    </row>
    <row r="848" spans="1:10" x14ac:dyDescent="0.3">
      <c r="A848" t="s">
        <v>975</v>
      </c>
      <c r="B848" s="1">
        <v>45742</v>
      </c>
      <c r="C848" t="s">
        <v>95</v>
      </c>
      <c r="D848">
        <v>13</v>
      </c>
      <c r="E848" t="s">
        <v>33</v>
      </c>
      <c r="F848" t="s">
        <v>46</v>
      </c>
      <c r="G848" t="s">
        <v>132</v>
      </c>
      <c r="H848" t="s">
        <v>155</v>
      </c>
      <c r="I848">
        <v>30682</v>
      </c>
      <c r="J848">
        <v>24258</v>
      </c>
    </row>
    <row r="849" spans="1:10" x14ac:dyDescent="0.3">
      <c r="A849" t="s">
        <v>976</v>
      </c>
      <c r="B849" s="1">
        <v>45713</v>
      </c>
      <c r="C849" t="s">
        <v>82</v>
      </c>
      <c r="D849">
        <v>9</v>
      </c>
      <c r="E849" t="s">
        <v>70</v>
      </c>
      <c r="F849" t="s">
        <v>78</v>
      </c>
      <c r="G849" t="s">
        <v>326</v>
      </c>
      <c r="H849" t="s">
        <v>98</v>
      </c>
      <c r="I849">
        <v>16095</v>
      </c>
      <c r="J849">
        <v>20822</v>
      </c>
    </row>
    <row r="850" spans="1:10" x14ac:dyDescent="0.3">
      <c r="A850" t="s">
        <v>977</v>
      </c>
      <c r="B850" s="1">
        <v>45987</v>
      </c>
      <c r="C850" t="s">
        <v>23</v>
      </c>
      <c r="D850">
        <v>48</v>
      </c>
      <c r="E850" t="s">
        <v>39</v>
      </c>
      <c r="F850" t="s">
        <v>75</v>
      </c>
      <c r="G850" t="s">
        <v>324</v>
      </c>
      <c r="H850" t="s">
        <v>157</v>
      </c>
      <c r="I850">
        <v>26932</v>
      </c>
      <c r="J850">
        <v>27542</v>
      </c>
    </row>
    <row r="851" spans="1:10" x14ac:dyDescent="0.3">
      <c r="A851" t="s">
        <v>978</v>
      </c>
      <c r="B851" s="1">
        <v>45908</v>
      </c>
      <c r="C851" t="s">
        <v>38</v>
      </c>
      <c r="D851">
        <v>37</v>
      </c>
      <c r="E851" t="s">
        <v>24</v>
      </c>
      <c r="F851" t="s">
        <v>46</v>
      </c>
      <c r="G851" t="s">
        <v>14</v>
      </c>
      <c r="H851" t="s">
        <v>52</v>
      </c>
      <c r="I851">
        <v>30399</v>
      </c>
      <c r="J851">
        <v>27931</v>
      </c>
    </row>
    <row r="852" spans="1:10" x14ac:dyDescent="0.3">
      <c r="A852" t="s">
        <v>979</v>
      </c>
      <c r="B852" s="1">
        <v>45979</v>
      </c>
      <c r="C852" t="s">
        <v>23</v>
      </c>
      <c r="D852">
        <v>47</v>
      </c>
      <c r="E852" t="s">
        <v>70</v>
      </c>
      <c r="F852" t="s">
        <v>62</v>
      </c>
      <c r="G852" t="s">
        <v>266</v>
      </c>
      <c r="H852" t="s">
        <v>119</v>
      </c>
      <c r="I852">
        <v>15325</v>
      </c>
      <c r="J852">
        <v>19470</v>
      </c>
    </row>
    <row r="853" spans="1:10" x14ac:dyDescent="0.3">
      <c r="A853" t="s">
        <v>980</v>
      </c>
      <c r="B853" s="1">
        <v>45727</v>
      </c>
      <c r="C853" t="s">
        <v>95</v>
      </c>
      <c r="D853">
        <v>11</v>
      </c>
      <c r="E853" t="s">
        <v>61</v>
      </c>
      <c r="F853" t="s">
        <v>87</v>
      </c>
      <c r="G853" t="s">
        <v>115</v>
      </c>
      <c r="H853" t="s">
        <v>80</v>
      </c>
      <c r="I853">
        <v>33334</v>
      </c>
      <c r="J853">
        <v>26006</v>
      </c>
    </row>
    <row r="854" spans="1:10" x14ac:dyDescent="0.3">
      <c r="A854" t="s">
        <v>981</v>
      </c>
      <c r="B854" s="1">
        <v>45994</v>
      </c>
      <c r="C854" t="s">
        <v>100</v>
      </c>
      <c r="D854">
        <v>49</v>
      </c>
      <c r="E854" t="s">
        <v>18</v>
      </c>
      <c r="F854" t="s">
        <v>109</v>
      </c>
      <c r="G854" t="s">
        <v>230</v>
      </c>
      <c r="H854" t="s">
        <v>59</v>
      </c>
      <c r="I854">
        <v>18369</v>
      </c>
      <c r="J854">
        <v>15550</v>
      </c>
    </row>
    <row r="855" spans="1:10" x14ac:dyDescent="0.3">
      <c r="A855" t="s">
        <v>982</v>
      </c>
      <c r="B855" s="1">
        <v>45882</v>
      </c>
      <c r="C855" t="s">
        <v>113</v>
      </c>
      <c r="D855">
        <v>33</v>
      </c>
      <c r="E855" t="s">
        <v>18</v>
      </c>
      <c r="F855" t="s">
        <v>50</v>
      </c>
      <c r="G855" t="s">
        <v>126</v>
      </c>
      <c r="H855" t="s">
        <v>98</v>
      </c>
      <c r="I855">
        <v>22587</v>
      </c>
      <c r="J855">
        <v>19082</v>
      </c>
    </row>
    <row r="856" spans="1:10" x14ac:dyDescent="0.3">
      <c r="A856" t="s">
        <v>983</v>
      </c>
      <c r="B856" s="1">
        <v>45667</v>
      </c>
      <c r="C856" t="s">
        <v>17</v>
      </c>
      <c r="D856">
        <v>2</v>
      </c>
      <c r="E856" t="s">
        <v>24</v>
      </c>
      <c r="F856" t="s">
        <v>50</v>
      </c>
      <c r="G856" t="s">
        <v>128</v>
      </c>
      <c r="H856" t="s">
        <v>68</v>
      </c>
      <c r="I856">
        <v>18045</v>
      </c>
      <c r="J856">
        <v>22711</v>
      </c>
    </row>
    <row r="857" spans="1:10" x14ac:dyDescent="0.3">
      <c r="A857" t="s">
        <v>984</v>
      </c>
      <c r="B857" s="1">
        <v>45872</v>
      </c>
      <c r="C857" t="s">
        <v>113</v>
      </c>
      <c r="D857">
        <v>31</v>
      </c>
      <c r="E857" t="s">
        <v>39</v>
      </c>
      <c r="F857" t="s">
        <v>78</v>
      </c>
      <c r="G857" t="s">
        <v>93</v>
      </c>
      <c r="H857" t="s">
        <v>119</v>
      </c>
      <c r="I857">
        <v>17583</v>
      </c>
      <c r="J857">
        <v>19827</v>
      </c>
    </row>
    <row r="858" spans="1:10" x14ac:dyDescent="0.3">
      <c r="A858" t="s">
        <v>985</v>
      </c>
      <c r="B858" s="1">
        <v>45977</v>
      </c>
      <c r="C858" t="s">
        <v>23</v>
      </c>
      <c r="D858">
        <v>46</v>
      </c>
      <c r="E858" t="s">
        <v>12</v>
      </c>
      <c r="F858" t="s">
        <v>92</v>
      </c>
      <c r="G858" t="s">
        <v>47</v>
      </c>
      <c r="H858" t="s">
        <v>116</v>
      </c>
      <c r="I858">
        <v>23647</v>
      </c>
      <c r="J858">
        <v>28236</v>
      </c>
    </row>
    <row r="859" spans="1:10" x14ac:dyDescent="0.3">
      <c r="A859" t="s">
        <v>986</v>
      </c>
      <c r="B859" s="1">
        <v>45730</v>
      </c>
      <c r="C859" t="s">
        <v>95</v>
      </c>
      <c r="D859">
        <v>11</v>
      </c>
      <c r="E859" t="s">
        <v>24</v>
      </c>
      <c r="F859" t="s">
        <v>92</v>
      </c>
      <c r="G859" t="s">
        <v>171</v>
      </c>
      <c r="H859" t="s">
        <v>36</v>
      </c>
      <c r="I859">
        <v>24830</v>
      </c>
      <c r="J859">
        <v>31926</v>
      </c>
    </row>
    <row r="860" spans="1:10" x14ac:dyDescent="0.3">
      <c r="A860" t="s">
        <v>987</v>
      </c>
      <c r="B860" s="1">
        <v>45670</v>
      </c>
      <c r="C860" t="s">
        <v>17</v>
      </c>
      <c r="D860">
        <v>3</v>
      </c>
      <c r="E860" t="s">
        <v>61</v>
      </c>
      <c r="F860" t="s">
        <v>46</v>
      </c>
      <c r="G860" t="s">
        <v>118</v>
      </c>
      <c r="H860" t="s">
        <v>211</v>
      </c>
      <c r="I860">
        <v>23809</v>
      </c>
      <c r="J860">
        <v>28542</v>
      </c>
    </row>
    <row r="861" spans="1:10" x14ac:dyDescent="0.3">
      <c r="A861" t="s">
        <v>988</v>
      </c>
      <c r="B861" s="1">
        <v>45826</v>
      </c>
      <c r="C861" t="s">
        <v>74</v>
      </c>
      <c r="D861">
        <v>25</v>
      </c>
      <c r="E861" t="s">
        <v>39</v>
      </c>
      <c r="F861" t="s">
        <v>25</v>
      </c>
      <c r="G861" t="s">
        <v>171</v>
      </c>
      <c r="H861" t="s">
        <v>96</v>
      </c>
      <c r="I861">
        <v>17643</v>
      </c>
      <c r="J861">
        <v>17078</v>
      </c>
    </row>
    <row r="862" spans="1:10" x14ac:dyDescent="0.3">
      <c r="A862" t="s">
        <v>989</v>
      </c>
      <c r="B862" s="1">
        <v>45661</v>
      </c>
      <c r="C862" t="s">
        <v>17</v>
      </c>
      <c r="D862">
        <v>1</v>
      </c>
      <c r="E862" t="s">
        <v>18</v>
      </c>
      <c r="F862" t="s">
        <v>50</v>
      </c>
      <c r="G862" t="s">
        <v>88</v>
      </c>
      <c r="H862" t="s">
        <v>84</v>
      </c>
      <c r="I862">
        <v>38090</v>
      </c>
      <c r="J862">
        <v>29087</v>
      </c>
    </row>
    <row r="863" spans="1:10" x14ac:dyDescent="0.3">
      <c r="A863" t="s">
        <v>990</v>
      </c>
      <c r="B863" s="1">
        <v>45669</v>
      </c>
      <c r="C863" t="s">
        <v>17</v>
      </c>
      <c r="D863">
        <v>2</v>
      </c>
      <c r="E863" t="s">
        <v>18</v>
      </c>
      <c r="F863" t="s">
        <v>101</v>
      </c>
      <c r="G863" t="s">
        <v>118</v>
      </c>
      <c r="H863" t="s">
        <v>55</v>
      </c>
      <c r="I863">
        <v>17746</v>
      </c>
      <c r="J863">
        <v>20733</v>
      </c>
    </row>
    <row r="864" spans="1:10" x14ac:dyDescent="0.3">
      <c r="A864" t="s">
        <v>991</v>
      </c>
      <c r="B864" s="1">
        <v>45711</v>
      </c>
      <c r="C864" t="s">
        <v>82</v>
      </c>
      <c r="D864">
        <v>8</v>
      </c>
      <c r="E864" t="s">
        <v>24</v>
      </c>
      <c r="F864" t="s">
        <v>193</v>
      </c>
      <c r="G864" t="s">
        <v>93</v>
      </c>
      <c r="H864" t="s">
        <v>36</v>
      </c>
      <c r="I864">
        <v>25045</v>
      </c>
      <c r="J864">
        <v>30905</v>
      </c>
    </row>
    <row r="865" spans="1:10" x14ac:dyDescent="0.3">
      <c r="A865" t="s">
        <v>992</v>
      </c>
      <c r="B865" s="1">
        <v>45797</v>
      </c>
      <c r="C865" t="s">
        <v>90</v>
      </c>
      <c r="D865">
        <v>21</v>
      </c>
      <c r="E865" t="s">
        <v>12</v>
      </c>
      <c r="F865" t="s">
        <v>122</v>
      </c>
      <c r="G865" t="s">
        <v>83</v>
      </c>
      <c r="H865" t="s">
        <v>155</v>
      </c>
      <c r="I865">
        <v>23926</v>
      </c>
      <c r="J865">
        <v>21121</v>
      </c>
    </row>
    <row r="866" spans="1:10" x14ac:dyDescent="0.3">
      <c r="A866" t="s">
        <v>993</v>
      </c>
      <c r="B866" s="1">
        <v>45900</v>
      </c>
      <c r="C866" t="s">
        <v>113</v>
      </c>
      <c r="D866">
        <v>35</v>
      </c>
      <c r="E866" t="s">
        <v>33</v>
      </c>
      <c r="F866" t="s">
        <v>140</v>
      </c>
      <c r="G866" t="s">
        <v>141</v>
      </c>
      <c r="H866" t="s">
        <v>52</v>
      </c>
      <c r="I866">
        <v>32604</v>
      </c>
      <c r="J866">
        <v>26605</v>
      </c>
    </row>
    <row r="867" spans="1:10" x14ac:dyDescent="0.3">
      <c r="A867" t="s">
        <v>994</v>
      </c>
      <c r="B867" s="1">
        <v>45877</v>
      </c>
      <c r="C867" t="s">
        <v>113</v>
      </c>
      <c r="D867">
        <v>32</v>
      </c>
      <c r="E867" t="s">
        <v>24</v>
      </c>
      <c r="F867" t="s">
        <v>101</v>
      </c>
      <c r="G867" t="s">
        <v>266</v>
      </c>
      <c r="H867" t="s">
        <v>98</v>
      </c>
      <c r="I867">
        <v>38331</v>
      </c>
      <c r="J867">
        <v>48320</v>
      </c>
    </row>
    <row r="868" spans="1:10" x14ac:dyDescent="0.3">
      <c r="A868" t="s">
        <v>995</v>
      </c>
      <c r="B868" s="1">
        <v>45801</v>
      </c>
      <c r="C868" t="s">
        <v>90</v>
      </c>
      <c r="D868">
        <v>21</v>
      </c>
      <c r="E868" t="s">
        <v>61</v>
      </c>
      <c r="F868" t="s">
        <v>13</v>
      </c>
      <c r="G868" t="s">
        <v>191</v>
      </c>
      <c r="H868" t="s">
        <v>103</v>
      </c>
      <c r="I868">
        <v>30861</v>
      </c>
      <c r="J868">
        <v>28825</v>
      </c>
    </row>
    <row r="869" spans="1:10" x14ac:dyDescent="0.3">
      <c r="A869" t="s">
        <v>996</v>
      </c>
      <c r="B869" s="1">
        <v>45929</v>
      </c>
      <c r="C869" t="s">
        <v>38</v>
      </c>
      <c r="D869">
        <v>40</v>
      </c>
      <c r="E869" t="s">
        <v>33</v>
      </c>
      <c r="F869" t="s">
        <v>46</v>
      </c>
      <c r="G869" t="s">
        <v>93</v>
      </c>
      <c r="H869" t="s">
        <v>41</v>
      </c>
      <c r="I869">
        <v>31156</v>
      </c>
      <c r="J869">
        <v>35292</v>
      </c>
    </row>
    <row r="870" spans="1:10" x14ac:dyDescent="0.3">
      <c r="A870" t="s">
        <v>997</v>
      </c>
      <c r="B870" s="1">
        <v>45771</v>
      </c>
      <c r="C870" t="s">
        <v>86</v>
      </c>
      <c r="D870">
        <v>17</v>
      </c>
      <c r="E870" t="s">
        <v>33</v>
      </c>
      <c r="F870" t="s">
        <v>34</v>
      </c>
      <c r="G870" t="s">
        <v>291</v>
      </c>
      <c r="H870" t="s">
        <v>59</v>
      </c>
      <c r="I870">
        <v>26910</v>
      </c>
      <c r="J870">
        <v>33369</v>
      </c>
    </row>
    <row r="871" spans="1:10" x14ac:dyDescent="0.3">
      <c r="A871" t="s">
        <v>998</v>
      </c>
      <c r="B871" s="1">
        <v>45659</v>
      </c>
      <c r="C871" t="s">
        <v>17</v>
      </c>
      <c r="D871">
        <v>1</v>
      </c>
      <c r="E871" t="s">
        <v>12</v>
      </c>
      <c r="F871" t="s">
        <v>92</v>
      </c>
      <c r="G871" t="s">
        <v>234</v>
      </c>
      <c r="H871" t="s">
        <v>96</v>
      </c>
      <c r="I871">
        <v>29855</v>
      </c>
      <c r="J871">
        <v>26133</v>
      </c>
    </row>
    <row r="872" spans="1:10" x14ac:dyDescent="0.3">
      <c r="A872" t="s">
        <v>999</v>
      </c>
      <c r="B872" s="1">
        <v>45687</v>
      </c>
      <c r="C872" t="s">
        <v>17</v>
      </c>
      <c r="D872">
        <v>5</v>
      </c>
      <c r="E872" t="s">
        <v>70</v>
      </c>
      <c r="F872" t="s">
        <v>13</v>
      </c>
      <c r="G872" t="s">
        <v>224</v>
      </c>
      <c r="H872" t="s">
        <v>27</v>
      </c>
      <c r="I872">
        <v>32021</v>
      </c>
      <c r="J872">
        <v>25320</v>
      </c>
    </row>
    <row r="873" spans="1:10" x14ac:dyDescent="0.3">
      <c r="A873" t="s">
        <v>1000</v>
      </c>
      <c r="B873" s="1">
        <v>45903</v>
      </c>
      <c r="C873" t="s">
        <v>38</v>
      </c>
      <c r="D873">
        <v>36</v>
      </c>
      <c r="E873" t="s">
        <v>61</v>
      </c>
      <c r="F873" t="s">
        <v>46</v>
      </c>
      <c r="G873" t="s">
        <v>182</v>
      </c>
      <c r="H873" t="s">
        <v>96</v>
      </c>
      <c r="I873">
        <v>21912</v>
      </c>
      <c r="J873">
        <v>22550</v>
      </c>
    </row>
    <row r="874" spans="1:10" x14ac:dyDescent="0.3">
      <c r="A874" t="s">
        <v>1001</v>
      </c>
      <c r="B874" s="1">
        <v>45868</v>
      </c>
      <c r="C874" t="s">
        <v>11</v>
      </c>
      <c r="D874">
        <v>31</v>
      </c>
      <c r="E874" t="s">
        <v>61</v>
      </c>
      <c r="F874" t="s">
        <v>50</v>
      </c>
      <c r="G874" t="s">
        <v>206</v>
      </c>
      <c r="H874" t="s">
        <v>111</v>
      </c>
      <c r="I874">
        <v>30680</v>
      </c>
      <c r="J874">
        <v>23026</v>
      </c>
    </row>
    <row r="875" spans="1:10" x14ac:dyDescent="0.3">
      <c r="A875" t="s">
        <v>1002</v>
      </c>
      <c r="B875" s="1">
        <v>46007</v>
      </c>
      <c r="C875" t="s">
        <v>100</v>
      </c>
      <c r="D875">
        <v>51</v>
      </c>
      <c r="E875" t="s">
        <v>33</v>
      </c>
      <c r="F875" t="s">
        <v>43</v>
      </c>
      <c r="G875" t="s">
        <v>40</v>
      </c>
      <c r="H875" t="s">
        <v>84</v>
      </c>
      <c r="I875">
        <v>35283</v>
      </c>
      <c r="J875">
        <v>41179</v>
      </c>
    </row>
    <row r="876" spans="1:10" x14ac:dyDescent="0.3">
      <c r="A876" t="s">
        <v>1003</v>
      </c>
      <c r="B876" s="1">
        <v>46007</v>
      </c>
      <c r="C876" t="s">
        <v>100</v>
      </c>
      <c r="D876">
        <v>51</v>
      </c>
      <c r="E876" t="s">
        <v>12</v>
      </c>
      <c r="F876" t="s">
        <v>193</v>
      </c>
      <c r="G876" t="s">
        <v>35</v>
      </c>
      <c r="H876" t="s">
        <v>103</v>
      </c>
      <c r="I876">
        <v>32316</v>
      </c>
      <c r="J876">
        <v>36911</v>
      </c>
    </row>
    <row r="877" spans="1:10" x14ac:dyDescent="0.3">
      <c r="A877" t="s">
        <v>1004</v>
      </c>
      <c r="B877" s="1">
        <v>45709</v>
      </c>
      <c r="C877" t="s">
        <v>82</v>
      </c>
      <c r="D877">
        <v>8</v>
      </c>
      <c r="E877" t="s">
        <v>61</v>
      </c>
      <c r="F877" t="s">
        <v>75</v>
      </c>
      <c r="G877" t="s">
        <v>44</v>
      </c>
      <c r="H877" t="s">
        <v>163</v>
      </c>
      <c r="I877">
        <v>22658</v>
      </c>
      <c r="J877">
        <v>24654</v>
      </c>
    </row>
    <row r="878" spans="1:10" x14ac:dyDescent="0.3">
      <c r="A878" t="s">
        <v>1005</v>
      </c>
      <c r="B878" s="1">
        <v>45889</v>
      </c>
      <c r="C878" t="s">
        <v>113</v>
      </c>
      <c r="D878">
        <v>34</v>
      </c>
      <c r="E878" t="s">
        <v>61</v>
      </c>
      <c r="F878" t="s">
        <v>140</v>
      </c>
      <c r="G878" t="s">
        <v>93</v>
      </c>
      <c r="H878" t="s">
        <v>188</v>
      </c>
      <c r="I878">
        <v>31155</v>
      </c>
      <c r="J878">
        <v>38874</v>
      </c>
    </row>
    <row r="879" spans="1:10" x14ac:dyDescent="0.3">
      <c r="A879" t="s">
        <v>1006</v>
      </c>
      <c r="B879" s="1">
        <v>45733</v>
      </c>
      <c r="C879" t="s">
        <v>95</v>
      </c>
      <c r="D879">
        <v>12</v>
      </c>
      <c r="E879" t="s">
        <v>12</v>
      </c>
      <c r="F879" t="s">
        <v>57</v>
      </c>
      <c r="G879" t="s">
        <v>201</v>
      </c>
      <c r="H879" t="s">
        <v>41</v>
      </c>
      <c r="I879">
        <v>34448</v>
      </c>
      <c r="J879">
        <v>34561</v>
      </c>
    </row>
    <row r="880" spans="1:10" x14ac:dyDescent="0.3">
      <c r="A880" t="s">
        <v>1007</v>
      </c>
      <c r="B880" s="1">
        <v>45756</v>
      </c>
      <c r="C880" t="s">
        <v>86</v>
      </c>
      <c r="D880">
        <v>15</v>
      </c>
      <c r="E880" t="s">
        <v>61</v>
      </c>
      <c r="F880" t="s">
        <v>34</v>
      </c>
      <c r="G880" t="s">
        <v>240</v>
      </c>
      <c r="H880" t="s">
        <v>84</v>
      </c>
      <c r="I880">
        <v>21883</v>
      </c>
      <c r="J880">
        <v>26867</v>
      </c>
    </row>
    <row r="881" spans="1:10" x14ac:dyDescent="0.3">
      <c r="A881" t="s">
        <v>1008</v>
      </c>
      <c r="B881" s="1">
        <v>46018</v>
      </c>
      <c r="C881" t="s">
        <v>100</v>
      </c>
      <c r="D881">
        <v>52</v>
      </c>
      <c r="E881" t="s">
        <v>61</v>
      </c>
      <c r="F881" t="s">
        <v>122</v>
      </c>
      <c r="G881" t="s">
        <v>88</v>
      </c>
      <c r="H881" t="s">
        <v>163</v>
      </c>
      <c r="I881">
        <v>38107</v>
      </c>
      <c r="J881">
        <v>31151</v>
      </c>
    </row>
    <row r="882" spans="1:10" x14ac:dyDescent="0.3">
      <c r="A882" t="s">
        <v>1009</v>
      </c>
      <c r="B882" s="1">
        <v>45884</v>
      </c>
      <c r="C882" t="s">
        <v>113</v>
      </c>
      <c r="D882">
        <v>33</v>
      </c>
      <c r="E882" t="s">
        <v>70</v>
      </c>
      <c r="F882" t="s">
        <v>114</v>
      </c>
      <c r="G882" t="s">
        <v>54</v>
      </c>
      <c r="H882" t="s">
        <v>52</v>
      </c>
      <c r="I882">
        <v>32440</v>
      </c>
      <c r="J882">
        <v>39098</v>
      </c>
    </row>
    <row r="883" spans="1:10" x14ac:dyDescent="0.3">
      <c r="A883" t="s">
        <v>1010</v>
      </c>
      <c r="B883" s="1">
        <v>45803</v>
      </c>
      <c r="C883" t="s">
        <v>90</v>
      </c>
      <c r="D883">
        <v>22</v>
      </c>
      <c r="E883" t="s">
        <v>70</v>
      </c>
      <c r="F883" t="s">
        <v>101</v>
      </c>
      <c r="G883" t="s">
        <v>230</v>
      </c>
      <c r="H883" t="s">
        <v>96</v>
      </c>
      <c r="I883">
        <v>38495</v>
      </c>
      <c r="J883">
        <v>41547</v>
      </c>
    </row>
    <row r="884" spans="1:10" x14ac:dyDescent="0.3">
      <c r="A884" t="s">
        <v>1011</v>
      </c>
      <c r="B884" s="1">
        <v>45899</v>
      </c>
      <c r="C884" t="s">
        <v>113</v>
      </c>
      <c r="D884">
        <v>35</v>
      </c>
      <c r="E884" t="s">
        <v>12</v>
      </c>
      <c r="F884" t="s">
        <v>140</v>
      </c>
      <c r="G884" t="s">
        <v>240</v>
      </c>
      <c r="H884" t="s">
        <v>55</v>
      </c>
      <c r="I884">
        <v>15539</v>
      </c>
      <c r="J884">
        <v>18659</v>
      </c>
    </row>
    <row r="885" spans="1:10" x14ac:dyDescent="0.3">
      <c r="A885" t="s">
        <v>1012</v>
      </c>
      <c r="B885" s="1">
        <v>45920</v>
      </c>
      <c r="C885" t="s">
        <v>38</v>
      </c>
      <c r="D885">
        <v>38</v>
      </c>
      <c r="E885" t="s">
        <v>24</v>
      </c>
      <c r="F885" t="s">
        <v>114</v>
      </c>
      <c r="G885" t="s">
        <v>234</v>
      </c>
      <c r="H885" t="s">
        <v>68</v>
      </c>
      <c r="I885">
        <v>16807</v>
      </c>
      <c r="J885">
        <v>16743</v>
      </c>
    </row>
    <row r="886" spans="1:10" x14ac:dyDescent="0.3">
      <c r="A886" t="s">
        <v>1013</v>
      </c>
      <c r="B886" s="1">
        <v>45958</v>
      </c>
      <c r="C886" t="s">
        <v>66</v>
      </c>
      <c r="D886">
        <v>44</v>
      </c>
      <c r="E886" t="s">
        <v>70</v>
      </c>
      <c r="F886" t="s">
        <v>114</v>
      </c>
      <c r="G886" t="s">
        <v>44</v>
      </c>
      <c r="H886" t="s">
        <v>31</v>
      </c>
      <c r="I886">
        <v>19778</v>
      </c>
      <c r="J886">
        <v>21988</v>
      </c>
    </row>
    <row r="887" spans="1:10" x14ac:dyDescent="0.3">
      <c r="A887" t="s">
        <v>1014</v>
      </c>
      <c r="B887" s="1">
        <v>45701</v>
      </c>
      <c r="C887" t="s">
        <v>82</v>
      </c>
      <c r="D887">
        <v>7</v>
      </c>
      <c r="E887" t="s">
        <v>33</v>
      </c>
      <c r="F887" t="s">
        <v>19</v>
      </c>
      <c r="G887" t="s">
        <v>141</v>
      </c>
      <c r="H887" t="s">
        <v>27</v>
      </c>
      <c r="I887">
        <v>32892</v>
      </c>
      <c r="J887">
        <v>38707</v>
      </c>
    </row>
    <row r="888" spans="1:10" x14ac:dyDescent="0.3">
      <c r="A888" t="s">
        <v>1015</v>
      </c>
      <c r="B888" s="1">
        <v>45952</v>
      </c>
      <c r="C888" t="s">
        <v>66</v>
      </c>
      <c r="D888">
        <v>43</v>
      </c>
      <c r="E888" t="s">
        <v>61</v>
      </c>
      <c r="F888" t="s">
        <v>114</v>
      </c>
      <c r="G888" t="s">
        <v>137</v>
      </c>
      <c r="H888" t="s">
        <v>188</v>
      </c>
      <c r="I888">
        <v>19187</v>
      </c>
      <c r="J888">
        <v>22646</v>
      </c>
    </row>
    <row r="889" spans="1:10" x14ac:dyDescent="0.3">
      <c r="A889" t="s">
        <v>1016</v>
      </c>
      <c r="B889" s="1">
        <v>45774</v>
      </c>
      <c r="C889" t="s">
        <v>86</v>
      </c>
      <c r="D889">
        <v>17</v>
      </c>
      <c r="E889" t="s">
        <v>33</v>
      </c>
      <c r="F889" t="s">
        <v>19</v>
      </c>
      <c r="G889" t="s">
        <v>191</v>
      </c>
      <c r="H889" t="s">
        <v>52</v>
      </c>
      <c r="I889">
        <v>39360</v>
      </c>
      <c r="J889">
        <v>44262</v>
      </c>
    </row>
    <row r="890" spans="1:10" x14ac:dyDescent="0.3">
      <c r="A890" t="s">
        <v>1017</v>
      </c>
      <c r="B890" s="1">
        <v>45865</v>
      </c>
      <c r="C890" t="s">
        <v>11</v>
      </c>
      <c r="D890">
        <v>30</v>
      </c>
      <c r="E890" t="s">
        <v>18</v>
      </c>
      <c r="F890" t="s">
        <v>46</v>
      </c>
      <c r="G890" t="s">
        <v>110</v>
      </c>
      <c r="H890" t="s">
        <v>59</v>
      </c>
      <c r="I890">
        <v>23645</v>
      </c>
      <c r="J890">
        <v>25468</v>
      </c>
    </row>
    <row r="891" spans="1:10" x14ac:dyDescent="0.3">
      <c r="A891" t="s">
        <v>1018</v>
      </c>
      <c r="B891" s="1">
        <v>45960</v>
      </c>
      <c r="C891" t="s">
        <v>66</v>
      </c>
      <c r="D891">
        <v>44</v>
      </c>
      <c r="E891" t="s">
        <v>24</v>
      </c>
      <c r="F891" t="s">
        <v>13</v>
      </c>
      <c r="G891" t="s">
        <v>83</v>
      </c>
      <c r="H891" t="s">
        <v>27</v>
      </c>
      <c r="I891">
        <v>37888</v>
      </c>
      <c r="J891">
        <v>42895</v>
      </c>
    </row>
    <row r="892" spans="1:10" x14ac:dyDescent="0.3">
      <c r="A892" t="s">
        <v>1019</v>
      </c>
      <c r="B892" s="1">
        <v>45709</v>
      </c>
      <c r="C892" t="s">
        <v>82</v>
      </c>
      <c r="D892">
        <v>8</v>
      </c>
      <c r="E892" t="s">
        <v>39</v>
      </c>
      <c r="F892" t="s">
        <v>43</v>
      </c>
      <c r="G892" t="s">
        <v>20</v>
      </c>
      <c r="H892" t="s">
        <v>188</v>
      </c>
      <c r="I892">
        <v>23326</v>
      </c>
      <c r="J892">
        <v>26574</v>
      </c>
    </row>
    <row r="893" spans="1:10" x14ac:dyDescent="0.3">
      <c r="A893" t="s">
        <v>1020</v>
      </c>
      <c r="B893" s="1">
        <v>45669</v>
      </c>
      <c r="C893" t="s">
        <v>17</v>
      </c>
      <c r="D893">
        <v>2</v>
      </c>
      <c r="E893" t="s">
        <v>39</v>
      </c>
      <c r="F893" t="s">
        <v>101</v>
      </c>
      <c r="G893" t="s">
        <v>20</v>
      </c>
      <c r="H893" t="s">
        <v>52</v>
      </c>
      <c r="I893">
        <v>38372</v>
      </c>
      <c r="J893">
        <v>44217</v>
      </c>
    </row>
    <row r="894" spans="1:10" x14ac:dyDescent="0.3">
      <c r="A894" t="s">
        <v>1021</v>
      </c>
      <c r="B894" s="1">
        <v>45755</v>
      </c>
      <c r="C894" t="s">
        <v>86</v>
      </c>
      <c r="D894">
        <v>15</v>
      </c>
      <c r="E894" t="s">
        <v>70</v>
      </c>
      <c r="F894" t="s">
        <v>193</v>
      </c>
      <c r="G894" t="s">
        <v>182</v>
      </c>
      <c r="H894" t="s">
        <v>151</v>
      </c>
      <c r="I894">
        <v>32832</v>
      </c>
      <c r="J894">
        <v>36082</v>
      </c>
    </row>
    <row r="895" spans="1:10" x14ac:dyDescent="0.3">
      <c r="A895" t="s">
        <v>1022</v>
      </c>
      <c r="B895" s="1">
        <v>45684</v>
      </c>
      <c r="C895" t="s">
        <v>17</v>
      </c>
      <c r="D895">
        <v>5</v>
      </c>
      <c r="E895" t="s">
        <v>61</v>
      </c>
      <c r="F895" t="s">
        <v>13</v>
      </c>
      <c r="G895" t="s">
        <v>40</v>
      </c>
      <c r="H895" t="s">
        <v>133</v>
      </c>
      <c r="I895">
        <v>24301</v>
      </c>
      <c r="J895">
        <v>28029</v>
      </c>
    </row>
    <row r="896" spans="1:10" x14ac:dyDescent="0.3">
      <c r="A896" t="s">
        <v>1023</v>
      </c>
      <c r="B896" s="1">
        <v>45853</v>
      </c>
      <c r="C896" t="s">
        <v>11</v>
      </c>
      <c r="D896">
        <v>29</v>
      </c>
      <c r="E896" t="s">
        <v>61</v>
      </c>
      <c r="F896" t="s">
        <v>75</v>
      </c>
      <c r="G896" t="s">
        <v>63</v>
      </c>
      <c r="H896" t="s">
        <v>111</v>
      </c>
      <c r="I896">
        <v>22988</v>
      </c>
      <c r="J896">
        <v>18558</v>
      </c>
    </row>
    <row r="897" spans="1:10" x14ac:dyDescent="0.3">
      <c r="A897" t="s">
        <v>1024</v>
      </c>
      <c r="B897" s="1">
        <v>45700</v>
      </c>
      <c r="C897" t="s">
        <v>82</v>
      </c>
      <c r="D897">
        <v>7</v>
      </c>
      <c r="E897" t="s">
        <v>33</v>
      </c>
      <c r="F897" t="s">
        <v>46</v>
      </c>
      <c r="G897" t="s">
        <v>130</v>
      </c>
      <c r="H897" t="s">
        <v>123</v>
      </c>
      <c r="I897">
        <v>25887</v>
      </c>
      <c r="J897">
        <v>26471</v>
      </c>
    </row>
    <row r="898" spans="1:10" x14ac:dyDescent="0.3">
      <c r="A898" t="s">
        <v>1025</v>
      </c>
      <c r="B898" s="1">
        <v>45744</v>
      </c>
      <c r="C898" t="s">
        <v>95</v>
      </c>
      <c r="D898">
        <v>13</v>
      </c>
      <c r="E898" t="s">
        <v>12</v>
      </c>
      <c r="F898" t="s">
        <v>101</v>
      </c>
      <c r="G898" t="s">
        <v>137</v>
      </c>
      <c r="H898" t="s">
        <v>243</v>
      </c>
      <c r="I898">
        <v>26045</v>
      </c>
      <c r="J898">
        <v>20412</v>
      </c>
    </row>
    <row r="899" spans="1:10" x14ac:dyDescent="0.3">
      <c r="A899" t="s">
        <v>1026</v>
      </c>
      <c r="B899" s="1">
        <v>45720</v>
      </c>
      <c r="C899" t="s">
        <v>95</v>
      </c>
      <c r="D899">
        <v>10</v>
      </c>
      <c r="E899" t="s">
        <v>12</v>
      </c>
      <c r="F899" t="s">
        <v>43</v>
      </c>
      <c r="G899" t="s">
        <v>147</v>
      </c>
      <c r="H899" t="s">
        <v>116</v>
      </c>
      <c r="I899">
        <v>32481</v>
      </c>
      <c r="J899">
        <v>24505</v>
      </c>
    </row>
    <row r="900" spans="1:10" x14ac:dyDescent="0.3">
      <c r="A900" t="s">
        <v>1027</v>
      </c>
      <c r="B900" s="1">
        <v>45839</v>
      </c>
      <c r="C900" t="s">
        <v>11</v>
      </c>
      <c r="D900">
        <v>27</v>
      </c>
      <c r="E900" t="s">
        <v>61</v>
      </c>
      <c r="F900" t="s">
        <v>34</v>
      </c>
      <c r="G900" t="s">
        <v>40</v>
      </c>
      <c r="H900" t="s">
        <v>84</v>
      </c>
      <c r="I900">
        <v>29145</v>
      </c>
      <c r="J900">
        <v>28560</v>
      </c>
    </row>
    <row r="901" spans="1:10" x14ac:dyDescent="0.3">
      <c r="A901" t="s">
        <v>1028</v>
      </c>
      <c r="B901" s="1">
        <v>45874</v>
      </c>
      <c r="C901" t="s">
        <v>113</v>
      </c>
      <c r="D901">
        <v>32</v>
      </c>
      <c r="E901" t="s">
        <v>24</v>
      </c>
      <c r="F901" t="s">
        <v>29</v>
      </c>
      <c r="G901" t="s">
        <v>14</v>
      </c>
      <c r="H901" t="s">
        <v>36</v>
      </c>
      <c r="I901">
        <v>36005</v>
      </c>
      <c r="J901">
        <v>37071</v>
      </c>
    </row>
    <row r="902" spans="1:10" x14ac:dyDescent="0.3">
      <c r="A902" t="s">
        <v>1029</v>
      </c>
      <c r="B902" s="1">
        <v>45946</v>
      </c>
      <c r="C902" t="s">
        <v>66</v>
      </c>
      <c r="D902">
        <v>42</v>
      </c>
      <c r="E902" t="s">
        <v>70</v>
      </c>
      <c r="F902" t="s">
        <v>78</v>
      </c>
      <c r="G902" t="s">
        <v>182</v>
      </c>
      <c r="H902" t="s">
        <v>155</v>
      </c>
      <c r="I902">
        <v>16114</v>
      </c>
      <c r="J902">
        <v>13373</v>
      </c>
    </row>
    <row r="903" spans="1:10" x14ac:dyDescent="0.3">
      <c r="A903" t="s">
        <v>1030</v>
      </c>
      <c r="B903" s="1">
        <v>45827</v>
      </c>
      <c r="C903" t="s">
        <v>74</v>
      </c>
      <c r="D903">
        <v>25</v>
      </c>
      <c r="E903" t="s">
        <v>33</v>
      </c>
      <c r="F903" t="s">
        <v>13</v>
      </c>
      <c r="G903" t="s">
        <v>206</v>
      </c>
      <c r="H903" t="s">
        <v>188</v>
      </c>
      <c r="I903">
        <v>17189</v>
      </c>
      <c r="J903">
        <v>13029</v>
      </c>
    </row>
    <row r="904" spans="1:10" x14ac:dyDescent="0.3">
      <c r="A904" t="s">
        <v>1031</v>
      </c>
      <c r="B904" s="1">
        <v>45890</v>
      </c>
      <c r="C904" t="s">
        <v>113</v>
      </c>
      <c r="D904">
        <v>34</v>
      </c>
      <c r="E904" t="s">
        <v>70</v>
      </c>
      <c r="F904" t="s">
        <v>109</v>
      </c>
      <c r="G904" t="s">
        <v>149</v>
      </c>
      <c r="H904" t="s">
        <v>52</v>
      </c>
      <c r="I904">
        <v>20985</v>
      </c>
      <c r="J904">
        <v>22597</v>
      </c>
    </row>
    <row r="905" spans="1:10" x14ac:dyDescent="0.3">
      <c r="A905" t="s">
        <v>1032</v>
      </c>
      <c r="B905" s="1">
        <v>46022</v>
      </c>
      <c r="C905" t="s">
        <v>100</v>
      </c>
      <c r="D905">
        <v>1</v>
      </c>
      <c r="E905" t="s">
        <v>12</v>
      </c>
      <c r="F905" t="s">
        <v>92</v>
      </c>
      <c r="G905" t="s">
        <v>44</v>
      </c>
      <c r="H905" t="s">
        <v>188</v>
      </c>
      <c r="I905">
        <v>17549</v>
      </c>
      <c r="J905">
        <v>21510</v>
      </c>
    </row>
    <row r="906" spans="1:10" x14ac:dyDescent="0.3">
      <c r="A906" t="s">
        <v>1033</v>
      </c>
      <c r="B906" s="1">
        <v>45947</v>
      </c>
      <c r="C906" t="s">
        <v>66</v>
      </c>
      <c r="D906">
        <v>42</v>
      </c>
      <c r="E906" t="s">
        <v>12</v>
      </c>
      <c r="F906" t="s">
        <v>75</v>
      </c>
      <c r="G906" t="s">
        <v>76</v>
      </c>
      <c r="H906" t="s">
        <v>41</v>
      </c>
      <c r="I906">
        <v>33846</v>
      </c>
      <c r="J906">
        <v>43497</v>
      </c>
    </row>
    <row r="907" spans="1:10" x14ac:dyDescent="0.3">
      <c r="A907" t="s">
        <v>1034</v>
      </c>
      <c r="B907" s="1">
        <v>45822</v>
      </c>
      <c r="C907" t="s">
        <v>74</v>
      </c>
      <c r="D907">
        <v>24</v>
      </c>
      <c r="E907" t="s">
        <v>39</v>
      </c>
      <c r="F907" t="s">
        <v>140</v>
      </c>
      <c r="G907" t="s">
        <v>107</v>
      </c>
      <c r="H907" t="s">
        <v>243</v>
      </c>
      <c r="I907">
        <v>27651</v>
      </c>
      <c r="J907">
        <v>33944</v>
      </c>
    </row>
    <row r="908" spans="1:10" x14ac:dyDescent="0.3">
      <c r="A908" t="s">
        <v>1035</v>
      </c>
      <c r="B908" s="1">
        <v>45749</v>
      </c>
      <c r="C908" t="s">
        <v>86</v>
      </c>
      <c r="D908">
        <v>14</v>
      </c>
      <c r="E908" t="s">
        <v>61</v>
      </c>
      <c r="F908" t="s">
        <v>25</v>
      </c>
      <c r="G908" t="s">
        <v>35</v>
      </c>
      <c r="H908" t="s">
        <v>84</v>
      </c>
      <c r="I908">
        <v>23925</v>
      </c>
      <c r="J908">
        <v>30047</v>
      </c>
    </row>
    <row r="909" spans="1:10" x14ac:dyDescent="0.3">
      <c r="A909" t="s">
        <v>1036</v>
      </c>
      <c r="B909" s="1">
        <v>45959</v>
      </c>
      <c r="C909" t="s">
        <v>66</v>
      </c>
      <c r="D909">
        <v>44</v>
      </c>
      <c r="E909" t="s">
        <v>61</v>
      </c>
      <c r="F909" t="s">
        <v>62</v>
      </c>
      <c r="G909" t="s">
        <v>135</v>
      </c>
      <c r="H909" t="s">
        <v>103</v>
      </c>
      <c r="I909">
        <v>37411</v>
      </c>
      <c r="J909">
        <v>32534</v>
      </c>
    </row>
    <row r="910" spans="1:10" x14ac:dyDescent="0.3">
      <c r="A910" t="s">
        <v>1037</v>
      </c>
      <c r="B910" s="1">
        <v>45688</v>
      </c>
      <c r="C910" t="s">
        <v>17</v>
      </c>
      <c r="D910">
        <v>5</v>
      </c>
      <c r="E910" t="s">
        <v>33</v>
      </c>
      <c r="F910" t="s">
        <v>109</v>
      </c>
      <c r="G910" t="s">
        <v>72</v>
      </c>
      <c r="H910" t="s">
        <v>116</v>
      </c>
      <c r="I910">
        <v>16290</v>
      </c>
      <c r="J910">
        <v>15427</v>
      </c>
    </row>
    <row r="911" spans="1:10" x14ac:dyDescent="0.3">
      <c r="A911" t="s">
        <v>1038</v>
      </c>
      <c r="B911" s="1">
        <v>45691</v>
      </c>
      <c r="C911" t="s">
        <v>82</v>
      </c>
      <c r="D911">
        <v>6</v>
      </c>
      <c r="E911" t="s">
        <v>18</v>
      </c>
      <c r="F911" t="s">
        <v>101</v>
      </c>
      <c r="G911" t="s">
        <v>130</v>
      </c>
      <c r="H911" t="s">
        <v>165</v>
      </c>
      <c r="I911">
        <v>35314</v>
      </c>
      <c r="J911">
        <v>25818</v>
      </c>
    </row>
    <row r="912" spans="1:10" x14ac:dyDescent="0.3">
      <c r="A912" t="s">
        <v>1039</v>
      </c>
      <c r="B912" s="1">
        <v>45884</v>
      </c>
      <c r="C912" t="s">
        <v>113</v>
      </c>
      <c r="D912">
        <v>33</v>
      </c>
      <c r="E912" t="s">
        <v>18</v>
      </c>
      <c r="F912" t="s">
        <v>46</v>
      </c>
      <c r="G912" t="s">
        <v>40</v>
      </c>
      <c r="H912" t="s">
        <v>80</v>
      </c>
      <c r="I912">
        <v>27376</v>
      </c>
      <c r="J912">
        <v>25600</v>
      </c>
    </row>
    <row r="913" spans="1:10" x14ac:dyDescent="0.3">
      <c r="A913" t="s">
        <v>1040</v>
      </c>
      <c r="B913" s="1">
        <v>46015</v>
      </c>
      <c r="C913" t="s">
        <v>100</v>
      </c>
      <c r="D913">
        <v>52</v>
      </c>
      <c r="E913" t="s">
        <v>24</v>
      </c>
      <c r="F913" t="s">
        <v>87</v>
      </c>
      <c r="G913" t="s">
        <v>171</v>
      </c>
      <c r="H913" t="s">
        <v>243</v>
      </c>
      <c r="I913">
        <v>36502</v>
      </c>
      <c r="J913">
        <v>27612</v>
      </c>
    </row>
    <row r="914" spans="1:10" x14ac:dyDescent="0.3">
      <c r="A914" t="s">
        <v>1041</v>
      </c>
      <c r="B914" s="1">
        <v>45874</v>
      </c>
      <c r="C914" t="s">
        <v>113</v>
      </c>
      <c r="D914">
        <v>32</v>
      </c>
      <c r="E914" t="s">
        <v>18</v>
      </c>
      <c r="F914" t="s">
        <v>50</v>
      </c>
      <c r="G914" t="s">
        <v>126</v>
      </c>
      <c r="H914" t="s">
        <v>48</v>
      </c>
      <c r="I914">
        <v>28894</v>
      </c>
      <c r="J914">
        <v>28968</v>
      </c>
    </row>
    <row r="915" spans="1:10" x14ac:dyDescent="0.3">
      <c r="A915" t="s">
        <v>1042</v>
      </c>
      <c r="B915" s="1">
        <v>45702</v>
      </c>
      <c r="C915" t="s">
        <v>82</v>
      </c>
      <c r="D915">
        <v>7</v>
      </c>
      <c r="E915" t="s">
        <v>24</v>
      </c>
      <c r="F915" t="s">
        <v>13</v>
      </c>
      <c r="G915" t="s">
        <v>266</v>
      </c>
      <c r="H915" t="s">
        <v>68</v>
      </c>
      <c r="I915">
        <v>17524</v>
      </c>
      <c r="J915">
        <v>17072</v>
      </c>
    </row>
    <row r="916" spans="1:10" x14ac:dyDescent="0.3">
      <c r="A916" t="s">
        <v>1043</v>
      </c>
      <c r="B916" s="1">
        <v>45953</v>
      </c>
      <c r="C916" t="s">
        <v>66</v>
      </c>
      <c r="D916">
        <v>43</v>
      </c>
      <c r="E916" t="s">
        <v>61</v>
      </c>
      <c r="F916" t="s">
        <v>78</v>
      </c>
      <c r="G916" t="s">
        <v>191</v>
      </c>
      <c r="H916" t="s">
        <v>84</v>
      </c>
      <c r="I916">
        <v>33572</v>
      </c>
      <c r="J916">
        <v>37669</v>
      </c>
    </row>
    <row r="917" spans="1:10" x14ac:dyDescent="0.3">
      <c r="A917" t="s">
        <v>1044</v>
      </c>
      <c r="B917" s="1">
        <v>45698</v>
      </c>
      <c r="C917" t="s">
        <v>82</v>
      </c>
      <c r="D917">
        <v>7</v>
      </c>
      <c r="E917" t="s">
        <v>33</v>
      </c>
      <c r="F917" t="s">
        <v>34</v>
      </c>
      <c r="G917" t="s">
        <v>147</v>
      </c>
      <c r="H917" t="s">
        <v>80</v>
      </c>
      <c r="I917">
        <v>23170</v>
      </c>
      <c r="J917">
        <v>25597</v>
      </c>
    </row>
    <row r="918" spans="1:10" x14ac:dyDescent="0.3">
      <c r="A918" t="s">
        <v>1045</v>
      </c>
      <c r="B918" s="1">
        <v>45855</v>
      </c>
      <c r="C918" t="s">
        <v>11</v>
      </c>
      <c r="D918">
        <v>29</v>
      </c>
      <c r="E918" t="s">
        <v>39</v>
      </c>
      <c r="F918" t="s">
        <v>29</v>
      </c>
      <c r="G918" t="s">
        <v>132</v>
      </c>
      <c r="H918" t="s">
        <v>133</v>
      </c>
      <c r="I918">
        <v>23188</v>
      </c>
      <c r="J918">
        <v>20909</v>
      </c>
    </row>
    <row r="919" spans="1:10" x14ac:dyDescent="0.3">
      <c r="A919" t="s">
        <v>1046</v>
      </c>
      <c r="B919" s="1">
        <v>45823</v>
      </c>
      <c r="C919" t="s">
        <v>74</v>
      </c>
      <c r="D919">
        <v>24</v>
      </c>
      <c r="E919" t="s">
        <v>70</v>
      </c>
      <c r="F919" t="s">
        <v>46</v>
      </c>
      <c r="G919" t="s">
        <v>182</v>
      </c>
      <c r="H919" t="s">
        <v>243</v>
      </c>
      <c r="I919">
        <v>37012</v>
      </c>
      <c r="J919">
        <v>30715</v>
      </c>
    </row>
    <row r="920" spans="1:10" x14ac:dyDescent="0.3">
      <c r="A920" t="s">
        <v>1047</v>
      </c>
      <c r="B920" s="1">
        <v>45763</v>
      </c>
      <c r="C920" t="s">
        <v>86</v>
      </c>
      <c r="D920">
        <v>16</v>
      </c>
      <c r="E920" t="s">
        <v>24</v>
      </c>
      <c r="F920" t="s">
        <v>109</v>
      </c>
      <c r="G920" t="s">
        <v>171</v>
      </c>
      <c r="H920" t="s">
        <v>52</v>
      </c>
      <c r="I920">
        <v>32143</v>
      </c>
      <c r="J920">
        <v>36669</v>
      </c>
    </row>
    <row r="921" spans="1:10" x14ac:dyDescent="0.3">
      <c r="A921" t="s">
        <v>1048</v>
      </c>
      <c r="B921" s="1">
        <v>45897</v>
      </c>
      <c r="C921" t="s">
        <v>113</v>
      </c>
      <c r="D921">
        <v>35</v>
      </c>
      <c r="E921" t="s">
        <v>24</v>
      </c>
      <c r="F921" t="s">
        <v>101</v>
      </c>
      <c r="G921" t="s">
        <v>201</v>
      </c>
      <c r="H921" t="s">
        <v>59</v>
      </c>
      <c r="I921">
        <v>22875</v>
      </c>
      <c r="J921">
        <v>16258</v>
      </c>
    </row>
    <row r="922" spans="1:10" x14ac:dyDescent="0.3">
      <c r="A922" t="s">
        <v>1049</v>
      </c>
      <c r="B922" s="1">
        <v>45851</v>
      </c>
      <c r="C922" t="s">
        <v>11</v>
      </c>
      <c r="D922">
        <v>28</v>
      </c>
      <c r="E922" t="s">
        <v>24</v>
      </c>
      <c r="F922" t="s">
        <v>92</v>
      </c>
      <c r="G922" t="s">
        <v>137</v>
      </c>
      <c r="H922" t="s">
        <v>116</v>
      </c>
      <c r="I922">
        <v>23284</v>
      </c>
      <c r="J922">
        <v>19374</v>
      </c>
    </row>
    <row r="923" spans="1:10" x14ac:dyDescent="0.3">
      <c r="A923" t="s">
        <v>1050</v>
      </c>
      <c r="B923" s="1">
        <v>45831</v>
      </c>
      <c r="C923" t="s">
        <v>74</v>
      </c>
      <c r="D923">
        <v>26</v>
      </c>
      <c r="E923" t="s">
        <v>61</v>
      </c>
      <c r="F923" t="s">
        <v>92</v>
      </c>
      <c r="G923" t="s">
        <v>14</v>
      </c>
      <c r="H923" t="s">
        <v>80</v>
      </c>
      <c r="I923">
        <v>39960</v>
      </c>
      <c r="J923">
        <v>49019</v>
      </c>
    </row>
    <row r="924" spans="1:10" x14ac:dyDescent="0.3">
      <c r="A924" t="s">
        <v>1051</v>
      </c>
      <c r="B924" s="1">
        <v>45956</v>
      </c>
      <c r="C924" t="s">
        <v>66</v>
      </c>
      <c r="D924">
        <v>43</v>
      </c>
      <c r="E924" t="s">
        <v>18</v>
      </c>
      <c r="F924" t="s">
        <v>101</v>
      </c>
      <c r="G924" t="s">
        <v>83</v>
      </c>
      <c r="H924" t="s">
        <v>119</v>
      </c>
      <c r="I924">
        <v>20939</v>
      </c>
      <c r="J924">
        <v>26543</v>
      </c>
    </row>
    <row r="925" spans="1:10" x14ac:dyDescent="0.3">
      <c r="A925" t="s">
        <v>1052</v>
      </c>
      <c r="B925" s="1">
        <v>45813</v>
      </c>
      <c r="C925" t="s">
        <v>74</v>
      </c>
      <c r="D925">
        <v>23</v>
      </c>
      <c r="E925" t="s">
        <v>33</v>
      </c>
      <c r="F925" t="s">
        <v>62</v>
      </c>
      <c r="G925" t="s">
        <v>149</v>
      </c>
      <c r="H925" t="s">
        <v>55</v>
      </c>
      <c r="I925">
        <v>15124</v>
      </c>
      <c r="J925">
        <v>13607</v>
      </c>
    </row>
    <row r="926" spans="1:10" x14ac:dyDescent="0.3">
      <c r="A926" t="s">
        <v>1053</v>
      </c>
      <c r="B926" s="1">
        <v>45728</v>
      </c>
      <c r="C926" t="s">
        <v>95</v>
      </c>
      <c r="D926">
        <v>11</v>
      </c>
      <c r="E926" t="s">
        <v>18</v>
      </c>
      <c r="F926" t="s">
        <v>34</v>
      </c>
      <c r="G926" t="s">
        <v>54</v>
      </c>
      <c r="H926" t="s">
        <v>155</v>
      </c>
      <c r="I926">
        <v>23579</v>
      </c>
      <c r="J926">
        <v>30413</v>
      </c>
    </row>
    <row r="927" spans="1:10" x14ac:dyDescent="0.3">
      <c r="A927" t="s">
        <v>1054</v>
      </c>
      <c r="B927" s="1">
        <v>45836</v>
      </c>
      <c r="C927" t="s">
        <v>74</v>
      </c>
      <c r="D927">
        <v>26</v>
      </c>
      <c r="E927" t="s">
        <v>61</v>
      </c>
      <c r="F927" t="s">
        <v>43</v>
      </c>
      <c r="G927" t="s">
        <v>128</v>
      </c>
      <c r="H927" t="s">
        <v>165</v>
      </c>
      <c r="I927">
        <v>36285</v>
      </c>
      <c r="J927">
        <v>36778</v>
      </c>
    </row>
    <row r="928" spans="1:10" x14ac:dyDescent="0.3">
      <c r="A928" t="s">
        <v>1055</v>
      </c>
      <c r="B928" s="1">
        <v>45925</v>
      </c>
      <c r="C928" t="s">
        <v>38</v>
      </c>
      <c r="D928">
        <v>39</v>
      </c>
      <c r="E928" t="s">
        <v>70</v>
      </c>
      <c r="F928" t="s">
        <v>114</v>
      </c>
      <c r="G928" t="s">
        <v>72</v>
      </c>
      <c r="H928" t="s">
        <v>163</v>
      </c>
      <c r="I928">
        <v>19020</v>
      </c>
      <c r="J928">
        <v>13323</v>
      </c>
    </row>
    <row r="929" spans="1:10" x14ac:dyDescent="0.3">
      <c r="A929" t="s">
        <v>1056</v>
      </c>
      <c r="B929" s="1">
        <v>45704</v>
      </c>
      <c r="C929" t="s">
        <v>82</v>
      </c>
      <c r="D929">
        <v>7</v>
      </c>
      <c r="E929" t="s">
        <v>61</v>
      </c>
      <c r="F929" t="s">
        <v>75</v>
      </c>
      <c r="G929" t="s">
        <v>51</v>
      </c>
      <c r="H929" t="s">
        <v>165</v>
      </c>
      <c r="I929">
        <v>16404</v>
      </c>
      <c r="J929">
        <v>18381</v>
      </c>
    </row>
    <row r="930" spans="1:10" x14ac:dyDescent="0.3">
      <c r="A930" t="s">
        <v>1057</v>
      </c>
      <c r="B930" s="1">
        <v>45671</v>
      </c>
      <c r="C930" t="s">
        <v>17</v>
      </c>
      <c r="D930">
        <v>3</v>
      </c>
      <c r="E930" t="s">
        <v>33</v>
      </c>
      <c r="F930" t="s">
        <v>75</v>
      </c>
      <c r="G930" t="s">
        <v>224</v>
      </c>
      <c r="H930" t="s">
        <v>80</v>
      </c>
      <c r="I930">
        <v>29931</v>
      </c>
      <c r="J930">
        <v>22285</v>
      </c>
    </row>
    <row r="931" spans="1:10" x14ac:dyDescent="0.3">
      <c r="A931" t="s">
        <v>1058</v>
      </c>
      <c r="B931" s="1">
        <v>45711</v>
      </c>
      <c r="C931" t="s">
        <v>82</v>
      </c>
      <c r="D931">
        <v>8</v>
      </c>
      <c r="E931" t="s">
        <v>61</v>
      </c>
      <c r="F931" t="s">
        <v>87</v>
      </c>
      <c r="G931" t="s">
        <v>79</v>
      </c>
      <c r="H931" t="s">
        <v>163</v>
      </c>
      <c r="I931">
        <v>25217</v>
      </c>
      <c r="J931">
        <v>20391</v>
      </c>
    </row>
    <row r="932" spans="1:10" x14ac:dyDescent="0.3">
      <c r="A932" t="s">
        <v>1059</v>
      </c>
      <c r="B932" s="1">
        <v>45842</v>
      </c>
      <c r="C932" t="s">
        <v>11</v>
      </c>
      <c r="D932">
        <v>27</v>
      </c>
      <c r="E932" t="s">
        <v>39</v>
      </c>
      <c r="F932" t="s">
        <v>92</v>
      </c>
      <c r="G932" t="s">
        <v>93</v>
      </c>
      <c r="H932" t="s">
        <v>151</v>
      </c>
      <c r="I932">
        <v>23410</v>
      </c>
      <c r="J932">
        <v>29850</v>
      </c>
    </row>
    <row r="933" spans="1:10" x14ac:dyDescent="0.3">
      <c r="A933" t="s">
        <v>1060</v>
      </c>
      <c r="B933" s="1">
        <v>45674</v>
      </c>
      <c r="C933" t="s">
        <v>17</v>
      </c>
      <c r="D933">
        <v>3</v>
      </c>
      <c r="E933" t="s">
        <v>18</v>
      </c>
      <c r="F933" t="s">
        <v>34</v>
      </c>
      <c r="G933" t="s">
        <v>67</v>
      </c>
      <c r="H933" t="s">
        <v>111</v>
      </c>
      <c r="I933">
        <v>20648</v>
      </c>
      <c r="J933">
        <v>26815</v>
      </c>
    </row>
    <row r="934" spans="1:10" x14ac:dyDescent="0.3">
      <c r="A934" t="s">
        <v>1061</v>
      </c>
      <c r="B934" s="1">
        <v>46006</v>
      </c>
      <c r="C934" t="s">
        <v>100</v>
      </c>
      <c r="D934">
        <v>51</v>
      </c>
      <c r="E934" t="s">
        <v>12</v>
      </c>
      <c r="F934" t="s">
        <v>50</v>
      </c>
      <c r="G934" t="s">
        <v>76</v>
      </c>
      <c r="H934" t="s">
        <v>133</v>
      </c>
      <c r="I934">
        <v>30095</v>
      </c>
      <c r="J934">
        <v>22124</v>
      </c>
    </row>
    <row r="935" spans="1:10" x14ac:dyDescent="0.3">
      <c r="A935" t="s">
        <v>1062</v>
      </c>
      <c r="B935" s="1">
        <v>45913</v>
      </c>
      <c r="C935" t="s">
        <v>38</v>
      </c>
      <c r="D935">
        <v>37</v>
      </c>
      <c r="E935" t="s">
        <v>33</v>
      </c>
      <c r="F935" t="s">
        <v>57</v>
      </c>
      <c r="G935" t="s">
        <v>40</v>
      </c>
      <c r="H935" t="s">
        <v>116</v>
      </c>
      <c r="I935">
        <v>26875</v>
      </c>
      <c r="J935">
        <v>23342</v>
      </c>
    </row>
    <row r="936" spans="1:10" x14ac:dyDescent="0.3">
      <c r="A936" t="s">
        <v>1063</v>
      </c>
      <c r="B936" s="1">
        <v>45896</v>
      </c>
      <c r="C936" t="s">
        <v>113</v>
      </c>
      <c r="D936">
        <v>35</v>
      </c>
      <c r="E936" t="s">
        <v>24</v>
      </c>
      <c r="F936" t="s">
        <v>92</v>
      </c>
      <c r="G936" t="s">
        <v>147</v>
      </c>
      <c r="H936" t="s">
        <v>155</v>
      </c>
      <c r="I936">
        <v>34682</v>
      </c>
      <c r="J936">
        <v>36804</v>
      </c>
    </row>
    <row r="937" spans="1:10" x14ac:dyDescent="0.3">
      <c r="A937" t="s">
        <v>1064</v>
      </c>
      <c r="B937" s="1">
        <v>45664</v>
      </c>
      <c r="C937" t="s">
        <v>17</v>
      </c>
      <c r="D937">
        <v>2</v>
      </c>
      <c r="E937" t="s">
        <v>12</v>
      </c>
      <c r="F937" t="s">
        <v>87</v>
      </c>
      <c r="G937" t="s">
        <v>132</v>
      </c>
      <c r="H937" t="s">
        <v>157</v>
      </c>
      <c r="I937">
        <v>29747</v>
      </c>
      <c r="J937">
        <v>36725</v>
      </c>
    </row>
    <row r="938" spans="1:10" x14ac:dyDescent="0.3">
      <c r="A938" t="s">
        <v>1065</v>
      </c>
      <c r="B938" s="1">
        <v>45895</v>
      </c>
      <c r="C938" t="s">
        <v>113</v>
      </c>
      <c r="D938">
        <v>35</v>
      </c>
      <c r="E938" t="s">
        <v>61</v>
      </c>
      <c r="F938" t="s">
        <v>101</v>
      </c>
      <c r="G938" t="s">
        <v>58</v>
      </c>
      <c r="H938" t="s">
        <v>163</v>
      </c>
      <c r="I938">
        <v>39415</v>
      </c>
      <c r="J938">
        <v>29193</v>
      </c>
    </row>
    <row r="939" spans="1:10" x14ac:dyDescent="0.3">
      <c r="A939" t="s">
        <v>1066</v>
      </c>
      <c r="B939" s="1">
        <v>45938</v>
      </c>
      <c r="C939" t="s">
        <v>66</v>
      </c>
      <c r="D939">
        <v>41</v>
      </c>
      <c r="E939" t="s">
        <v>18</v>
      </c>
      <c r="F939" t="s">
        <v>29</v>
      </c>
      <c r="G939" t="s">
        <v>199</v>
      </c>
      <c r="H939" t="s">
        <v>119</v>
      </c>
      <c r="I939">
        <v>22398</v>
      </c>
      <c r="J939">
        <v>15772</v>
      </c>
    </row>
    <row r="940" spans="1:10" x14ac:dyDescent="0.3">
      <c r="A940" t="s">
        <v>1067</v>
      </c>
      <c r="B940" s="1">
        <v>45858</v>
      </c>
      <c r="C940" t="s">
        <v>11</v>
      </c>
      <c r="D940">
        <v>29</v>
      </c>
      <c r="E940" t="s">
        <v>24</v>
      </c>
      <c r="F940" t="s">
        <v>193</v>
      </c>
      <c r="G940" t="s">
        <v>35</v>
      </c>
      <c r="H940" t="s">
        <v>36</v>
      </c>
      <c r="I940">
        <v>22946</v>
      </c>
      <c r="J940">
        <v>21583</v>
      </c>
    </row>
    <row r="941" spans="1:10" x14ac:dyDescent="0.3">
      <c r="A941" t="s">
        <v>1068</v>
      </c>
      <c r="B941" s="1">
        <v>45981</v>
      </c>
      <c r="C941" t="s">
        <v>23</v>
      </c>
      <c r="D941">
        <v>47</v>
      </c>
      <c r="E941" t="s">
        <v>18</v>
      </c>
      <c r="F941" t="s">
        <v>109</v>
      </c>
      <c r="G941" t="s">
        <v>145</v>
      </c>
      <c r="H941" t="s">
        <v>188</v>
      </c>
      <c r="I941">
        <v>33059</v>
      </c>
      <c r="J941">
        <v>23493</v>
      </c>
    </row>
    <row r="942" spans="1:10" x14ac:dyDescent="0.3">
      <c r="A942" t="s">
        <v>1069</v>
      </c>
      <c r="B942" s="1">
        <v>45813</v>
      </c>
      <c r="C942" t="s">
        <v>74</v>
      </c>
      <c r="D942">
        <v>23</v>
      </c>
      <c r="E942" t="s">
        <v>33</v>
      </c>
      <c r="F942" t="s">
        <v>50</v>
      </c>
      <c r="G942" t="s">
        <v>63</v>
      </c>
      <c r="H942" t="s">
        <v>36</v>
      </c>
      <c r="I942">
        <v>32562</v>
      </c>
      <c r="J942">
        <v>28670</v>
      </c>
    </row>
    <row r="943" spans="1:10" x14ac:dyDescent="0.3">
      <c r="A943" t="s">
        <v>1070</v>
      </c>
      <c r="B943" s="1">
        <v>45843</v>
      </c>
      <c r="C943" t="s">
        <v>11</v>
      </c>
      <c r="D943">
        <v>27</v>
      </c>
      <c r="E943" t="s">
        <v>61</v>
      </c>
      <c r="F943" t="s">
        <v>19</v>
      </c>
      <c r="G943" t="s">
        <v>132</v>
      </c>
      <c r="H943" t="s">
        <v>151</v>
      </c>
      <c r="I943">
        <v>15316</v>
      </c>
      <c r="J943">
        <v>19199</v>
      </c>
    </row>
    <row r="944" spans="1:10" x14ac:dyDescent="0.3">
      <c r="A944" t="s">
        <v>1071</v>
      </c>
      <c r="B944" s="1">
        <v>45716</v>
      </c>
      <c r="C944" t="s">
        <v>82</v>
      </c>
      <c r="D944">
        <v>9</v>
      </c>
      <c r="E944" t="s">
        <v>12</v>
      </c>
      <c r="F944" t="s">
        <v>114</v>
      </c>
      <c r="G944" t="s">
        <v>182</v>
      </c>
      <c r="H944" t="s">
        <v>211</v>
      </c>
      <c r="I944">
        <v>30283</v>
      </c>
      <c r="J944">
        <v>36019</v>
      </c>
    </row>
    <row r="945" spans="1:10" x14ac:dyDescent="0.3">
      <c r="A945" t="s">
        <v>1072</v>
      </c>
      <c r="B945" s="1">
        <v>45873</v>
      </c>
      <c r="C945" t="s">
        <v>113</v>
      </c>
      <c r="D945">
        <v>32</v>
      </c>
      <c r="E945" t="s">
        <v>39</v>
      </c>
      <c r="F945" t="s">
        <v>13</v>
      </c>
      <c r="G945" t="s">
        <v>107</v>
      </c>
      <c r="H945" t="s">
        <v>55</v>
      </c>
      <c r="I945">
        <v>19896</v>
      </c>
      <c r="J945">
        <v>17814</v>
      </c>
    </row>
    <row r="946" spans="1:10" x14ac:dyDescent="0.3">
      <c r="A946" t="s">
        <v>1073</v>
      </c>
      <c r="B946" s="1">
        <v>45966</v>
      </c>
      <c r="C946" t="s">
        <v>23</v>
      </c>
      <c r="D946">
        <v>45</v>
      </c>
      <c r="E946" t="s">
        <v>39</v>
      </c>
      <c r="F946" t="s">
        <v>57</v>
      </c>
      <c r="G946" t="s">
        <v>67</v>
      </c>
      <c r="H946" t="s">
        <v>59</v>
      </c>
      <c r="I946">
        <v>19162</v>
      </c>
      <c r="J946">
        <v>18542</v>
      </c>
    </row>
    <row r="947" spans="1:10" x14ac:dyDescent="0.3">
      <c r="A947" t="s">
        <v>1074</v>
      </c>
      <c r="B947" s="1">
        <v>45967</v>
      </c>
      <c r="C947" t="s">
        <v>23</v>
      </c>
      <c r="D947">
        <v>45</v>
      </c>
      <c r="E947" t="s">
        <v>24</v>
      </c>
      <c r="F947" t="s">
        <v>43</v>
      </c>
      <c r="G947" t="s">
        <v>206</v>
      </c>
      <c r="H947" t="s">
        <v>96</v>
      </c>
      <c r="I947">
        <v>37931</v>
      </c>
      <c r="J947">
        <v>43487</v>
      </c>
    </row>
    <row r="948" spans="1:10" x14ac:dyDescent="0.3">
      <c r="A948" t="s">
        <v>1075</v>
      </c>
      <c r="B948" s="1">
        <v>45828</v>
      </c>
      <c r="C948" t="s">
        <v>74</v>
      </c>
      <c r="D948">
        <v>25</v>
      </c>
      <c r="E948" t="s">
        <v>61</v>
      </c>
      <c r="F948" t="s">
        <v>87</v>
      </c>
      <c r="G948" t="s">
        <v>240</v>
      </c>
      <c r="H948" t="s">
        <v>243</v>
      </c>
      <c r="I948">
        <v>16193</v>
      </c>
      <c r="J948">
        <v>16966</v>
      </c>
    </row>
    <row r="949" spans="1:10" x14ac:dyDescent="0.3">
      <c r="A949" t="s">
        <v>1076</v>
      </c>
      <c r="B949" s="1">
        <v>46012</v>
      </c>
      <c r="C949" t="s">
        <v>100</v>
      </c>
      <c r="D949">
        <v>51</v>
      </c>
      <c r="E949" t="s">
        <v>18</v>
      </c>
      <c r="F949" t="s">
        <v>122</v>
      </c>
      <c r="G949" t="s">
        <v>63</v>
      </c>
      <c r="H949" t="s">
        <v>64</v>
      </c>
      <c r="I949">
        <v>38869</v>
      </c>
      <c r="J949">
        <v>49185</v>
      </c>
    </row>
    <row r="950" spans="1:10" x14ac:dyDescent="0.3">
      <c r="A950" t="s">
        <v>1077</v>
      </c>
      <c r="B950" s="1">
        <v>45876</v>
      </c>
      <c r="C950" t="s">
        <v>113</v>
      </c>
      <c r="D950">
        <v>32</v>
      </c>
      <c r="E950" t="s">
        <v>12</v>
      </c>
      <c r="F950" t="s">
        <v>25</v>
      </c>
      <c r="G950" t="s">
        <v>137</v>
      </c>
      <c r="H950" t="s">
        <v>52</v>
      </c>
      <c r="I950">
        <v>28170</v>
      </c>
      <c r="J950">
        <v>28056</v>
      </c>
    </row>
    <row r="951" spans="1:10" x14ac:dyDescent="0.3">
      <c r="A951" t="s">
        <v>1078</v>
      </c>
      <c r="B951" s="1">
        <v>45944</v>
      </c>
      <c r="C951" t="s">
        <v>66</v>
      </c>
      <c r="D951">
        <v>42</v>
      </c>
      <c r="E951" t="s">
        <v>24</v>
      </c>
      <c r="F951" t="s">
        <v>62</v>
      </c>
      <c r="G951" t="s">
        <v>132</v>
      </c>
      <c r="H951" t="s">
        <v>119</v>
      </c>
      <c r="I951">
        <v>28996</v>
      </c>
      <c r="J951">
        <v>30681</v>
      </c>
    </row>
    <row r="952" spans="1:10" x14ac:dyDescent="0.3">
      <c r="A952" t="s">
        <v>1079</v>
      </c>
      <c r="B952" s="1">
        <v>45994</v>
      </c>
      <c r="C952" t="s">
        <v>100</v>
      </c>
      <c r="D952">
        <v>49</v>
      </c>
      <c r="E952" t="s">
        <v>12</v>
      </c>
      <c r="F952" t="s">
        <v>114</v>
      </c>
      <c r="G952" t="s">
        <v>44</v>
      </c>
      <c r="H952" t="s">
        <v>155</v>
      </c>
      <c r="I952">
        <v>18833</v>
      </c>
      <c r="J952">
        <v>18782</v>
      </c>
    </row>
    <row r="953" spans="1:10" x14ac:dyDescent="0.3">
      <c r="A953" t="s">
        <v>1080</v>
      </c>
      <c r="B953" s="1">
        <v>45876</v>
      </c>
      <c r="C953" t="s">
        <v>113</v>
      </c>
      <c r="D953">
        <v>32</v>
      </c>
      <c r="E953" t="s">
        <v>24</v>
      </c>
      <c r="F953" t="s">
        <v>50</v>
      </c>
      <c r="G953" t="s">
        <v>115</v>
      </c>
      <c r="H953" t="s">
        <v>165</v>
      </c>
      <c r="I953">
        <v>15279</v>
      </c>
      <c r="J953">
        <v>16352</v>
      </c>
    </row>
    <row r="954" spans="1:10" x14ac:dyDescent="0.3">
      <c r="A954" t="s">
        <v>1081</v>
      </c>
      <c r="B954" s="1">
        <v>46012</v>
      </c>
      <c r="C954" t="s">
        <v>100</v>
      </c>
      <c r="D954">
        <v>51</v>
      </c>
      <c r="E954" t="s">
        <v>39</v>
      </c>
      <c r="F954" t="s">
        <v>19</v>
      </c>
      <c r="G954" t="s">
        <v>137</v>
      </c>
      <c r="H954" t="s">
        <v>36</v>
      </c>
      <c r="I954">
        <v>34331</v>
      </c>
      <c r="J954">
        <v>37519</v>
      </c>
    </row>
    <row r="955" spans="1:10" x14ac:dyDescent="0.3">
      <c r="A955" t="s">
        <v>1082</v>
      </c>
      <c r="B955" s="1">
        <v>45722</v>
      </c>
      <c r="C955" t="s">
        <v>95</v>
      </c>
      <c r="D955">
        <v>10</v>
      </c>
      <c r="E955" t="s">
        <v>70</v>
      </c>
      <c r="F955" t="s">
        <v>122</v>
      </c>
      <c r="G955" t="s">
        <v>137</v>
      </c>
      <c r="H955" t="s">
        <v>151</v>
      </c>
      <c r="I955">
        <v>30856</v>
      </c>
      <c r="J955">
        <v>31265</v>
      </c>
    </row>
    <row r="956" spans="1:10" x14ac:dyDescent="0.3">
      <c r="A956" t="s">
        <v>1083</v>
      </c>
      <c r="B956" s="1">
        <v>45683</v>
      </c>
      <c r="C956" t="s">
        <v>17</v>
      </c>
      <c r="D956">
        <v>4</v>
      </c>
      <c r="E956" t="s">
        <v>12</v>
      </c>
      <c r="F956" t="s">
        <v>87</v>
      </c>
      <c r="G956" t="s">
        <v>88</v>
      </c>
      <c r="H956" t="s">
        <v>15</v>
      </c>
      <c r="I956">
        <v>29178</v>
      </c>
      <c r="J956">
        <v>20578</v>
      </c>
    </row>
    <row r="957" spans="1:10" x14ac:dyDescent="0.3">
      <c r="A957" t="s">
        <v>1084</v>
      </c>
      <c r="B957" s="1">
        <v>45754</v>
      </c>
      <c r="C957" t="s">
        <v>86</v>
      </c>
      <c r="D957">
        <v>15</v>
      </c>
      <c r="E957" t="s">
        <v>33</v>
      </c>
      <c r="F957" t="s">
        <v>101</v>
      </c>
      <c r="G957" t="s">
        <v>135</v>
      </c>
      <c r="H957" t="s">
        <v>15</v>
      </c>
      <c r="I957">
        <v>16266</v>
      </c>
      <c r="J957">
        <v>14883</v>
      </c>
    </row>
    <row r="958" spans="1:10" x14ac:dyDescent="0.3">
      <c r="A958" t="s">
        <v>1085</v>
      </c>
      <c r="B958" s="1">
        <v>45733</v>
      </c>
      <c r="C958" t="s">
        <v>95</v>
      </c>
      <c r="D958">
        <v>12</v>
      </c>
      <c r="E958" t="s">
        <v>39</v>
      </c>
      <c r="F958" t="s">
        <v>34</v>
      </c>
      <c r="G958" t="s">
        <v>141</v>
      </c>
      <c r="H958" t="s">
        <v>116</v>
      </c>
      <c r="I958">
        <v>38447</v>
      </c>
      <c r="J958">
        <v>38043</v>
      </c>
    </row>
    <row r="959" spans="1:10" x14ac:dyDescent="0.3">
      <c r="A959" t="s">
        <v>1086</v>
      </c>
      <c r="B959" s="1">
        <v>45922</v>
      </c>
      <c r="C959" t="s">
        <v>38</v>
      </c>
      <c r="D959">
        <v>39</v>
      </c>
      <c r="E959" t="s">
        <v>61</v>
      </c>
      <c r="F959" t="s">
        <v>140</v>
      </c>
      <c r="G959" t="s">
        <v>147</v>
      </c>
      <c r="H959" t="s">
        <v>243</v>
      </c>
      <c r="I959">
        <v>38034</v>
      </c>
      <c r="J959">
        <v>41120</v>
      </c>
    </row>
    <row r="960" spans="1:10" x14ac:dyDescent="0.3">
      <c r="A960" t="s">
        <v>1087</v>
      </c>
      <c r="B960" s="1">
        <v>45668</v>
      </c>
      <c r="C960" t="s">
        <v>17</v>
      </c>
      <c r="D960">
        <v>2</v>
      </c>
      <c r="E960" t="s">
        <v>24</v>
      </c>
      <c r="F960" t="s">
        <v>57</v>
      </c>
      <c r="G960" t="s">
        <v>191</v>
      </c>
      <c r="H960" t="s">
        <v>64</v>
      </c>
      <c r="I960">
        <v>20263</v>
      </c>
      <c r="J960">
        <v>18307</v>
      </c>
    </row>
    <row r="961" spans="1:10" x14ac:dyDescent="0.3">
      <c r="A961" t="s">
        <v>1088</v>
      </c>
      <c r="B961" s="1">
        <v>45727</v>
      </c>
      <c r="C961" t="s">
        <v>95</v>
      </c>
      <c r="D961">
        <v>11</v>
      </c>
      <c r="E961" t="s">
        <v>61</v>
      </c>
      <c r="F961" t="s">
        <v>25</v>
      </c>
      <c r="G961" t="s">
        <v>88</v>
      </c>
      <c r="H961" t="s">
        <v>155</v>
      </c>
      <c r="I961">
        <v>29612</v>
      </c>
      <c r="J961">
        <v>35079</v>
      </c>
    </row>
    <row r="962" spans="1:10" x14ac:dyDescent="0.3">
      <c r="A962" t="s">
        <v>1089</v>
      </c>
      <c r="B962" s="1">
        <v>45732</v>
      </c>
      <c r="C962" t="s">
        <v>95</v>
      </c>
      <c r="D962">
        <v>11</v>
      </c>
      <c r="E962" t="s">
        <v>18</v>
      </c>
      <c r="F962" t="s">
        <v>50</v>
      </c>
      <c r="G962" t="s">
        <v>126</v>
      </c>
      <c r="H962" t="s">
        <v>15</v>
      </c>
      <c r="I962">
        <v>22743</v>
      </c>
      <c r="J962">
        <v>22918</v>
      </c>
    </row>
    <row r="963" spans="1:10" x14ac:dyDescent="0.3">
      <c r="A963" t="s">
        <v>1090</v>
      </c>
      <c r="B963" s="1">
        <v>45828</v>
      </c>
      <c r="C963" t="s">
        <v>74</v>
      </c>
      <c r="D963">
        <v>25</v>
      </c>
      <c r="E963" t="s">
        <v>18</v>
      </c>
      <c r="F963" t="s">
        <v>75</v>
      </c>
      <c r="G963" t="s">
        <v>149</v>
      </c>
      <c r="H963" t="s">
        <v>48</v>
      </c>
      <c r="I963">
        <v>21139</v>
      </c>
      <c r="J963">
        <v>17378</v>
      </c>
    </row>
    <row r="964" spans="1:10" x14ac:dyDescent="0.3">
      <c r="A964" t="s">
        <v>1091</v>
      </c>
      <c r="B964" s="1">
        <v>45810</v>
      </c>
      <c r="C964" t="s">
        <v>74</v>
      </c>
      <c r="D964">
        <v>23</v>
      </c>
      <c r="E964" t="s">
        <v>61</v>
      </c>
      <c r="F964" t="s">
        <v>13</v>
      </c>
      <c r="G964" t="s">
        <v>83</v>
      </c>
      <c r="H964" t="s">
        <v>52</v>
      </c>
      <c r="I964">
        <v>26454</v>
      </c>
      <c r="J964">
        <v>21161</v>
      </c>
    </row>
    <row r="965" spans="1:10" x14ac:dyDescent="0.3">
      <c r="A965" t="s">
        <v>1092</v>
      </c>
      <c r="B965" s="1">
        <v>45894</v>
      </c>
      <c r="C965" t="s">
        <v>113</v>
      </c>
      <c r="D965">
        <v>35</v>
      </c>
      <c r="E965" t="s">
        <v>12</v>
      </c>
      <c r="F965" t="s">
        <v>29</v>
      </c>
      <c r="G965" t="s">
        <v>240</v>
      </c>
      <c r="H965" t="s">
        <v>133</v>
      </c>
      <c r="I965">
        <v>33033</v>
      </c>
      <c r="J965">
        <v>33540</v>
      </c>
    </row>
    <row r="966" spans="1:10" x14ac:dyDescent="0.3">
      <c r="A966" t="s">
        <v>1093</v>
      </c>
      <c r="B966" s="1">
        <v>45925</v>
      </c>
      <c r="C966" t="s">
        <v>38</v>
      </c>
      <c r="D966">
        <v>39</v>
      </c>
      <c r="E966" t="s">
        <v>33</v>
      </c>
      <c r="F966" t="s">
        <v>57</v>
      </c>
      <c r="G966" t="s">
        <v>14</v>
      </c>
      <c r="H966" t="s">
        <v>211</v>
      </c>
      <c r="I966">
        <v>33287</v>
      </c>
      <c r="J966">
        <v>30565</v>
      </c>
    </row>
    <row r="967" spans="1:10" x14ac:dyDescent="0.3">
      <c r="A967" t="s">
        <v>1094</v>
      </c>
      <c r="B967" s="1">
        <v>45934</v>
      </c>
      <c r="C967" t="s">
        <v>66</v>
      </c>
      <c r="D967">
        <v>40</v>
      </c>
      <c r="E967" t="s">
        <v>61</v>
      </c>
      <c r="F967" t="s">
        <v>140</v>
      </c>
      <c r="G967" t="s">
        <v>199</v>
      </c>
      <c r="H967" t="s">
        <v>188</v>
      </c>
      <c r="I967">
        <v>37590</v>
      </c>
      <c r="J967">
        <v>47890</v>
      </c>
    </row>
    <row r="968" spans="1:10" x14ac:dyDescent="0.3">
      <c r="A968" t="s">
        <v>1095</v>
      </c>
      <c r="B968" s="1">
        <v>45884</v>
      </c>
      <c r="C968" t="s">
        <v>113</v>
      </c>
      <c r="D968">
        <v>33</v>
      </c>
      <c r="E968" t="s">
        <v>70</v>
      </c>
      <c r="F968" t="s">
        <v>25</v>
      </c>
      <c r="G968" t="s">
        <v>44</v>
      </c>
      <c r="H968" t="s">
        <v>155</v>
      </c>
      <c r="I968">
        <v>35978</v>
      </c>
      <c r="J968">
        <v>38519</v>
      </c>
    </row>
    <row r="969" spans="1:10" x14ac:dyDescent="0.3">
      <c r="A969" t="s">
        <v>1096</v>
      </c>
      <c r="B969" s="1">
        <v>45705</v>
      </c>
      <c r="C969" t="s">
        <v>82</v>
      </c>
      <c r="D969">
        <v>8</v>
      </c>
      <c r="E969" t="s">
        <v>33</v>
      </c>
      <c r="F969" t="s">
        <v>62</v>
      </c>
      <c r="G969" t="s">
        <v>230</v>
      </c>
      <c r="H969" t="s">
        <v>48</v>
      </c>
      <c r="I969">
        <v>27111</v>
      </c>
      <c r="J969">
        <v>25667</v>
      </c>
    </row>
    <row r="970" spans="1:10" x14ac:dyDescent="0.3">
      <c r="A970" t="s">
        <v>1097</v>
      </c>
      <c r="B970" s="1">
        <v>45866</v>
      </c>
      <c r="C970" t="s">
        <v>11</v>
      </c>
      <c r="D970">
        <v>31</v>
      </c>
      <c r="E970" t="s">
        <v>61</v>
      </c>
      <c r="F970" t="s">
        <v>13</v>
      </c>
      <c r="G970" t="s">
        <v>230</v>
      </c>
      <c r="H970" t="s">
        <v>68</v>
      </c>
      <c r="I970">
        <v>16515</v>
      </c>
      <c r="J970">
        <v>15952</v>
      </c>
    </row>
    <row r="971" spans="1:10" x14ac:dyDescent="0.3">
      <c r="A971" t="s">
        <v>1098</v>
      </c>
      <c r="B971" s="1">
        <v>45674</v>
      </c>
      <c r="C971" t="s">
        <v>17</v>
      </c>
      <c r="D971">
        <v>3</v>
      </c>
      <c r="E971" t="s">
        <v>18</v>
      </c>
      <c r="F971" t="s">
        <v>29</v>
      </c>
      <c r="G971" t="s">
        <v>132</v>
      </c>
      <c r="H971" t="s">
        <v>243</v>
      </c>
      <c r="I971">
        <v>33541</v>
      </c>
      <c r="J971">
        <v>29797</v>
      </c>
    </row>
    <row r="972" spans="1:10" x14ac:dyDescent="0.3">
      <c r="A972" t="s">
        <v>1099</v>
      </c>
      <c r="B972" s="1">
        <v>45952</v>
      </c>
      <c r="C972" t="s">
        <v>66</v>
      </c>
      <c r="D972">
        <v>43</v>
      </c>
      <c r="E972" t="s">
        <v>70</v>
      </c>
      <c r="F972" t="s">
        <v>114</v>
      </c>
      <c r="G972" t="s">
        <v>130</v>
      </c>
      <c r="H972" t="s">
        <v>84</v>
      </c>
      <c r="I972">
        <v>19136</v>
      </c>
      <c r="J972">
        <v>16199</v>
      </c>
    </row>
    <row r="973" spans="1:10" x14ac:dyDescent="0.3">
      <c r="A973" t="s">
        <v>1100</v>
      </c>
      <c r="B973" s="1">
        <v>45690</v>
      </c>
      <c r="C973" t="s">
        <v>82</v>
      </c>
      <c r="D973">
        <v>5</v>
      </c>
      <c r="E973" t="s">
        <v>18</v>
      </c>
      <c r="F973" t="s">
        <v>43</v>
      </c>
      <c r="G973" t="s">
        <v>88</v>
      </c>
      <c r="H973" t="s">
        <v>84</v>
      </c>
      <c r="I973">
        <v>31121</v>
      </c>
      <c r="J973">
        <v>23935</v>
      </c>
    </row>
    <row r="974" spans="1:10" x14ac:dyDescent="0.3">
      <c r="A974" t="s">
        <v>1101</v>
      </c>
      <c r="B974" s="1">
        <v>45984</v>
      </c>
      <c r="C974" t="s">
        <v>23</v>
      </c>
      <c r="D974">
        <v>47</v>
      </c>
      <c r="E974" t="s">
        <v>39</v>
      </c>
      <c r="F974" t="s">
        <v>78</v>
      </c>
      <c r="G974" t="s">
        <v>266</v>
      </c>
      <c r="H974" t="s">
        <v>27</v>
      </c>
      <c r="I974">
        <v>34498</v>
      </c>
      <c r="J974">
        <v>36703</v>
      </c>
    </row>
    <row r="975" spans="1:10" x14ac:dyDescent="0.3">
      <c r="A975" t="s">
        <v>1102</v>
      </c>
      <c r="B975" s="1">
        <v>45910</v>
      </c>
      <c r="C975" t="s">
        <v>38</v>
      </c>
      <c r="D975">
        <v>37</v>
      </c>
      <c r="E975" t="s">
        <v>24</v>
      </c>
      <c r="F975" t="s">
        <v>43</v>
      </c>
      <c r="G975" t="s">
        <v>326</v>
      </c>
      <c r="H975" t="s">
        <v>103</v>
      </c>
      <c r="I975">
        <v>26470</v>
      </c>
      <c r="J975">
        <v>29345</v>
      </c>
    </row>
    <row r="976" spans="1:10" x14ac:dyDescent="0.3">
      <c r="A976" t="s">
        <v>1103</v>
      </c>
      <c r="B976" s="1">
        <v>45905</v>
      </c>
      <c r="C976" t="s">
        <v>38</v>
      </c>
      <c r="D976">
        <v>36</v>
      </c>
      <c r="E976" t="s">
        <v>70</v>
      </c>
      <c r="F976" t="s">
        <v>101</v>
      </c>
      <c r="G976" t="s">
        <v>47</v>
      </c>
      <c r="H976" t="s">
        <v>211</v>
      </c>
      <c r="I976">
        <v>36425</v>
      </c>
      <c r="J976">
        <v>43925</v>
      </c>
    </row>
    <row r="977" spans="1:10" x14ac:dyDescent="0.3">
      <c r="A977" t="s">
        <v>1104</v>
      </c>
      <c r="B977" s="1">
        <v>45805</v>
      </c>
      <c r="C977" t="s">
        <v>90</v>
      </c>
      <c r="D977">
        <v>22</v>
      </c>
      <c r="E977" t="s">
        <v>61</v>
      </c>
      <c r="F977" t="s">
        <v>114</v>
      </c>
      <c r="G977" t="s">
        <v>234</v>
      </c>
      <c r="H977" t="s">
        <v>68</v>
      </c>
      <c r="I977">
        <v>16061</v>
      </c>
      <c r="J977">
        <v>11447</v>
      </c>
    </row>
    <row r="978" spans="1:10" x14ac:dyDescent="0.3">
      <c r="A978" t="s">
        <v>1105</v>
      </c>
      <c r="B978" s="1">
        <v>45929</v>
      </c>
      <c r="C978" t="s">
        <v>38</v>
      </c>
      <c r="D978">
        <v>40</v>
      </c>
      <c r="E978" t="s">
        <v>61</v>
      </c>
      <c r="F978" t="s">
        <v>87</v>
      </c>
      <c r="G978" t="s">
        <v>107</v>
      </c>
      <c r="H978" t="s">
        <v>188</v>
      </c>
      <c r="I978">
        <v>36809</v>
      </c>
      <c r="J978">
        <v>34547</v>
      </c>
    </row>
    <row r="979" spans="1:10" x14ac:dyDescent="0.3">
      <c r="A979" t="s">
        <v>1106</v>
      </c>
      <c r="B979" s="1">
        <v>45921</v>
      </c>
      <c r="C979" t="s">
        <v>38</v>
      </c>
      <c r="D979">
        <v>38</v>
      </c>
      <c r="E979" t="s">
        <v>12</v>
      </c>
      <c r="F979" t="s">
        <v>50</v>
      </c>
      <c r="G979" t="s">
        <v>110</v>
      </c>
      <c r="H979" t="s">
        <v>103</v>
      </c>
      <c r="I979">
        <v>34355</v>
      </c>
      <c r="J979">
        <v>27519</v>
      </c>
    </row>
    <row r="980" spans="1:10" x14ac:dyDescent="0.3">
      <c r="A980" t="s">
        <v>1107</v>
      </c>
      <c r="B980" s="1">
        <v>45864</v>
      </c>
      <c r="C980" t="s">
        <v>11</v>
      </c>
      <c r="D980">
        <v>30</v>
      </c>
      <c r="E980" t="s">
        <v>18</v>
      </c>
      <c r="F980" t="s">
        <v>101</v>
      </c>
      <c r="G980" t="s">
        <v>206</v>
      </c>
      <c r="H980" t="s">
        <v>163</v>
      </c>
      <c r="I980">
        <v>25889</v>
      </c>
      <c r="J980">
        <v>30989</v>
      </c>
    </row>
    <row r="981" spans="1:10" x14ac:dyDescent="0.3">
      <c r="A981" t="s">
        <v>1108</v>
      </c>
      <c r="B981" s="1">
        <v>45932</v>
      </c>
      <c r="C981" t="s">
        <v>66</v>
      </c>
      <c r="D981">
        <v>40</v>
      </c>
      <c r="E981" t="s">
        <v>61</v>
      </c>
      <c r="F981" t="s">
        <v>62</v>
      </c>
      <c r="G981" t="s">
        <v>191</v>
      </c>
      <c r="H981" t="s">
        <v>84</v>
      </c>
      <c r="I981">
        <v>19276</v>
      </c>
      <c r="J981">
        <v>18903</v>
      </c>
    </row>
    <row r="982" spans="1:10" x14ac:dyDescent="0.3">
      <c r="A982" t="s">
        <v>1109</v>
      </c>
      <c r="B982" s="1">
        <v>45920</v>
      </c>
      <c r="C982" t="s">
        <v>38</v>
      </c>
      <c r="D982">
        <v>38</v>
      </c>
      <c r="E982" t="s">
        <v>12</v>
      </c>
      <c r="F982" t="s">
        <v>25</v>
      </c>
      <c r="G982" t="s">
        <v>44</v>
      </c>
      <c r="H982" t="s">
        <v>21</v>
      </c>
      <c r="I982">
        <v>27343</v>
      </c>
      <c r="J982">
        <v>34311</v>
      </c>
    </row>
    <row r="983" spans="1:10" x14ac:dyDescent="0.3">
      <c r="A983" t="s">
        <v>1110</v>
      </c>
      <c r="B983" s="1">
        <v>45799</v>
      </c>
      <c r="C983" t="s">
        <v>90</v>
      </c>
      <c r="D983">
        <v>21</v>
      </c>
      <c r="E983" t="s">
        <v>33</v>
      </c>
      <c r="F983" t="s">
        <v>29</v>
      </c>
      <c r="G983" t="s">
        <v>44</v>
      </c>
      <c r="H983" t="s">
        <v>68</v>
      </c>
      <c r="I983">
        <v>39678</v>
      </c>
      <c r="J983">
        <v>32357</v>
      </c>
    </row>
    <row r="984" spans="1:10" x14ac:dyDescent="0.3">
      <c r="A984" t="s">
        <v>1111</v>
      </c>
      <c r="B984" s="1">
        <v>45716</v>
      </c>
      <c r="C984" t="s">
        <v>82</v>
      </c>
      <c r="D984">
        <v>9</v>
      </c>
      <c r="E984" t="s">
        <v>33</v>
      </c>
      <c r="F984" t="s">
        <v>29</v>
      </c>
      <c r="G984" t="s">
        <v>291</v>
      </c>
      <c r="H984" t="s">
        <v>111</v>
      </c>
      <c r="I984">
        <v>25577</v>
      </c>
      <c r="J984">
        <v>31923</v>
      </c>
    </row>
    <row r="985" spans="1:10" x14ac:dyDescent="0.3">
      <c r="A985" t="s">
        <v>1112</v>
      </c>
      <c r="B985" s="1">
        <v>45720</v>
      </c>
      <c r="C985" t="s">
        <v>95</v>
      </c>
      <c r="D985">
        <v>10</v>
      </c>
      <c r="E985" t="s">
        <v>61</v>
      </c>
      <c r="F985" t="s">
        <v>78</v>
      </c>
      <c r="G985" t="s">
        <v>199</v>
      </c>
      <c r="H985" t="s">
        <v>133</v>
      </c>
      <c r="I985">
        <v>37198</v>
      </c>
      <c r="J985">
        <v>29811</v>
      </c>
    </row>
    <row r="986" spans="1:10" x14ac:dyDescent="0.3">
      <c r="A986" t="s">
        <v>1113</v>
      </c>
      <c r="B986" s="1">
        <v>45989</v>
      </c>
      <c r="C986" t="s">
        <v>23</v>
      </c>
      <c r="D986">
        <v>48</v>
      </c>
      <c r="E986" t="s">
        <v>33</v>
      </c>
      <c r="F986" t="s">
        <v>62</v>
      </c>
      <c r="G986" t="s">
        <v>266</v>
      </c>
      <c r="H986" t="s">
        <v>116</v>
      </c>
      <c r="I986">
        <v>15350</v>
      </c>
      <c r="J986">
        <v>18465</v>
      </c>
    </row>
    <row r="987" spans="1:10" x14ac:dyDescent="0.3">
      <c r="A987" t="s">
        <v>1114</v>
      </c>
      <c r="B987" s="1">
        <v>45985</v>
      </c>
      <c r="C987" t="s">
        <v>23</v>
      </c>
      <c r="D987">
        <v>48</v>
      </c>
      <c r="E987" t="s">
        <v>12</v>
      </c>
      <c r="F987" t="s">
        <v>13</v>
      </c>
      <c r="G987" t="s">
        <v>201</v>
      </c>
      <c r="H987" t="s">
        <v>21</v>
      </c>
      <c r="I987">
        <v>39154</v>
      </c>
      <c r="J987">
        <v>42379</v>
      </c>
    </row>
    <row r="988" spans="1:10" x14ac:dyDescent="0.3">
      <c r="A988" t="s">
        <v>1115</v>
      </c>
      <c r="B988" s="1">
        <v>45735</v>
      </c>
      <c r="C988" t="s">
        <v>95</v>
      </c>
      <c r="D988">
        <v>12</v>
      </c>
      <c r="E988" t="s">
        <v>33</v>
      </c>
      <c r="F988" t="s">
        <v>140</v>
      </c>
      <c r="G988" t="s">
        <v>291</v>
      </c>
      <c r="H988" t="s">
        <v>59</v>
      </c>
      <c r="I988">
        <v>33006</v>
      </c>
      <c r="J988">
        <v>30738</v>
      </c>
    </row>
    <row r="989" spans="1:10" x14ac:dyDescent="0.3">
      <c r="A989" t="s">
        <v>1116</v>
      </c>
      <c r="B989" s="1">
        <v>45794</v>
      </c>
      <c r="C989" t="s">
        <v>90</v>
      </c>
      <c r="D989">
        <v>20</v>
      </c>
      <c r="E989" t="s">
        <v>39</v>
      </c>
      <c r="F989" t="s">
        <v>87</v>
      </c>
      <c r="G989" t="s">
        <v>40</v>
      </c>
      <c r="H989" t="s">
        <v>84</v>
      </c>
      <c r="I989">
        <v>25785</v>
      </c>
      <c r="J989">
        <v>28728</v>
      </c>
    </row>
    <row r="990" spans="1:10" x14ac:dyDescent="0.3">
      <c r="A990" t="s">
        <v>1117</v>
      </c>
      <c r="B990" s="1">
        <v>45966</v>
      </c>
      <c r="C990" t="s">
        <v>23</v>
      </c>
      <c r="D990">
        <v>45</v>
      </c>
      <c r="E990" t="s">
        <v>39</v>
      </c>
      <c r="F990" t="s">
        <v>78</v>
      </c>
      <c r="G990" t="s">
        <v>291</v>
      </c>
      <c r="H990" t="s">
        <v>165</v>
      </c>
      <c r="I990">
        <v>16674</v>
      </c>
      <c r="J990">
        <v>14148</v>
      </c>
    </row>
    <row r="991" spans="1:10" x14ac:dyDescent="0.3">
      <c r="A991" t="s">
        <v>1118</v>
      </c>
      <c r="B991" s="1">
        <v>45892</v>
      </c>
      <c r="C991" t="s">
        <v>113</v>
      </c>
      <c r="D991">
        <v>34</v>
      </c>
      <c r="E991" t="s">
        <v>39</v>
      </c>
      <c r="F991" t="s">
        <v>193</v>
      </c>
      <c r="G991" t="s">
        <v>83</v>
      </c>
      <c r="H991" t="s">
        <v>163</v>
      </c>
      <c r="I991">
        <v>23114</v>
      </c>
      <c r="J991">
        <v>19401</v>
      </c>
    </row>
    <row r="992" spans="1:10" x14ac:dyDescent="0.3">
      <c r="A992" t="s">
        <v>1119</v>
      </c>
      <c r="B992" s="1">
        <v>45669</v>
      </c>
      <c r="C992" t="s">
        <v>17</v>
      </c>
      <c r="D992">
        <v>2</v>
      </c>
      <c r="E992" t="s">
        <v>18</v>
      </c>
      <c r="F992" t="s">
        <v>92</v>
      </c>
      <c r="G992" t="s">
        <v>326</v>
      </c>
      <c r="H992" t="s">
        <v>243</v>
      </c>
      <c r="I992">
        <v>34013</v>
      </c>
      <c r="J992">
        <v>39978</v>
      </c>
    </row>
    <row r="993" spans="1:10" x14ac:dyDescent="0.3">
      <c r="A993" t="s">
        <v>1120</v>
      </c>
      <c r="B993" s="1">
        <v>45920</v>
      </c>
      <c r="C993" t="s">
        <v>38</v>
      </c>
      <c r="D993">
        <v>38</v>
      </c>
      <c r="E993" t="s">
        <v>12</v>
      </c>
      <c r="F993" t="s">
        <v>34</v>
      </c>
      <c r="G993" t="s">
        <v>40</v>
      </c>
      <c r="H993" t="s">
        <v>98</v>
      </c>
      <c r="I993">
        <v>30812</v>
      </c>
      <c r="J993">
        <v>28321</v>
      </c>
    </row>
    <row r="994" spans="1:10" x14ac:dyDescent="0.3">
      <c r="A994" t="s">
        <v>1121</v>
      </c>
      <c r="B994" s="1">
        <v>45872</v>
      </c>
      <c r="C994" t="s">
        <v>113</v>
      </c>
      <c r="D994">
        <v>31</v>
      </c>
      <c r="E994" t="s">
        <v>12</v>
      </c>
      <c r="F994" t="s">
        <v>114</v>
      </c>
      <c r="G994" t="s">
        <v>107</v>
      </c>
      <c r="H994" t="s">
        <v>41</v>
      </c>
      <c r="I994">
        <v>18878</v>
      </c>
      <c r="J994">
        <v>14540</v>
      </c>
    </row>
    <row r="995" spans="1:10" x14ac:dyDescent="0.3">
      <c r="A995" t="s">
        <v>1122</v>
      </c>
      <c r="B995" s="1">
        <v>45714</v>
      </c>
      <c r="C995" t="s">
        <v>82</v>
      </c>
      <c r="D995">
        <v>9</v>
      </c>
      <c r="E995" t="s">
        <v>70</v>
      </c>
      <c r="F995" t="s">
        <v>29</v>
      </c>
      <c r="G995" t="s">
        <v>253</v>
      </c>
      <c r="H995" t="s">
        <v>243</v>
      </c>
      <c r="I995">
        <v>22963</v>
      </c>
      <c r="J995">
        <v>23073</v>
      </c>
    </row>
    <row r="996" spans="1:10" x14ac:dyDescent="0.3">
      <c r="A996" t="s">
        <v>1123</v>
      </c>
      <c r="B996" s="1">
        <v>45922</v>
      </c>
      <c r="C996" t="s">
        <v>38</v>
      </c>
      <c r="D996">
        <v>39</v>
      </c>
      <c r="E996" t="s">
        <v>39</v>
      </c>
      <c r="F996" t="s">
        <v>78</v>
      </c>
      <c r="G996" t="s">
        <v>30</v>
      </c>
      <c r="H996" t="s">
        <v>243</v>
      </c>
      <c r="I996">
        <v>26325</v>
      </c>
      <c r="J996">
        <v>30885</v>
      </c>
    </row>
    <row r="997" spans="1:10" x14ac:dyDescent="0.3">
      <c r="A997" t="s">
        <v>1124</v>
      </c>
      <c r="B997" s="1">
        <v>45669</v>
      </c>
      <c r="C997" t="s">
        <v>17</v>
      </c>
      <c r="D997">
        <v>2</v>
      </c>
      <c r="E997" t="s">
        <v>61</v>
      </c>
      <c r="F997" t="s">
        <v>101</v>
      </c>
      <c r="G997" t="s">
        <v>26</v>
      </c>
      <c r="H997" t="s">
        <v>41</v>
      </c>
      <c r="I997">
        <v>24818</v>
      </c>
      <c r="J997">
        <v>27864</v>
      </c>
    </row>
    <row r="998" spans="1:10" x14ac:dyDescent="0.3">
      <c r="A998" t="s">
        <v>1125</v>
      </c>
      <c r="B998" s="1">
        <v>46006</v>
      </c>
      <c r="C998" t="s">
        <v>100</v>
      </c>
      <c r="D998">
        <v>51</v>
      </c>
      <c r="E998" t="s">
        <v>61</v>
      </c>
      <c r="F998" t="s">
        <v>50</v>
      </c>
      <c r="G998" t="s">
        <v>230</v>
      </c>
      <c r="H998" t="s">
        <v>211</v>
      </c>
      <c r="I998">
        <v>15005</v>
      </c>
      <c r="J998">
        <v>14429</v>
      </c>
    </row>
    <row r="999" spans="1:10" x14ac:dyDescent="0.3">
      <c r="A999" t="s">
        <v>1126</v>
      </c>
      <c r="B999" s="1">
        <v>45726</v>
      </c>
      <c r="C999" t="s">
        <v>95</v>
      </c>
      <c r="D999">
        <v>11</v>
      </c>
      <c r="E999" t="s">
        <v>12</v>
      </c>
      <c r="F999" t="s">
        <v>114</v>
      </c>
      <c r="G999" t="s">
        <v>135</v>
      </c>
      <c r="H999" t="s">
        <v>165</v>
      </c>
      <c r="I999">
        <v>33480</v>
      </c>
      <c r="J999">
        <v>29147</v>
      </c>
    </row>
    <row r="1000" spans="1:10" x14ac:dyDescent="0.3">
      <c r="A1000" t="s">
        <v>1127</v>
      </c>
      <c r="B1000" s="1">
        <v>45881</v>
      </c>
      <c r="C1000" t="s">
        <v>113</v>
      </c>
      <c r="D1000">
        <v>33</v>
      </c>
      <c r="E1000" t="s">
        <v>61</v>
      </c>
      <c r="F1000" t="s">
        <v>57</v>
      </c>
      <c r="G1000" t="s">
        <v>30</v>
      </c>
      <c r="H1000" t="s">
        <v>103</v>
      </c>
      <c r="I1000">
        <v>33763</v>
      </c>
      <c r="J1000">
        <v>41961</v>
      </c>
    </row>
    <row r="1001" spans="1:10" x14ac:dyDescent="0.3">
      <c r="A1001" t="s">
        <v>1128</v>
      </c>
      <c r="B1001" s="1">
        <v>45932</v>
      </c>
      <c r="C1001" t="s">
        <v>66</v>
      </c>
      <c r="D1001">
        <v>40</v>
      </c>
      <c r="E1001" t="s">
        <v>33</v>
      </c>
      <c r="F1001" t="s">
        <v>140</v>
      </c>
      <c r="G1001" t="s">
        <v>107</v>
      </c>
      <c r="H1001" t="s">
        <v>103</v>
      </c>
      <c r="I1001">
        <v>19010</v>
      </c>
      <c r="J1001">
        <v>21007</v>
      </c>
    </row>
    <row r="1002" spans="1:10" x14ac:dyDescent="0.3">
      <c r="A1002" t="s">
        <v>1129</v>
      </c>
      <c r="B1002" s="1">
        <v>45825</v>
      </c>
      <c r="C1002" t="s">
        <v>74</v>
      </c>
      <c r="D1002">
        <v>25</v>
      </c>
      <c r="E1002" t="s">
        <v>33</v>
      </c>
      <c r="F1002" t="s">
        <v>13</v>
      </c>
      <c r="G1002" t="s">
        <v>191</v>
      </c>
      <c r="H1002" t="s">
        <v>27</v>
      </c>
      <c r="I1002">
        <v>34968</v>
      </c>
      <c r="J1002">
        <v>28692</v>
      </c>
    </row>
    <row r="1003" spans="1:10" x14ac:dyDescent="0.3">
      <c r="A1003" t="s">
        <v>1130</v>
      </c>
      <c r="B1003" s="1">
        <v>45992</v>
      </c>
      <c r="C1003" t="s">
        <v>100</v>
      </c>
      <c r="D1003">
        <v>49</v>
      </c>
      <c r="E1003" t="s">
        <v>39</v>
      </c>
      <c r="F1003" t="s">
        <v>57</v>
      </c>
      <c r="G1003" t="s">
        <v>128</v>
      </c>
      <c r="H1003" t="s">
        <v>48</v>
      </c>
      <c r="I1003">
        <v>35032</v>
      </c>
      <c r="J1003">
        <v>29501</v>
      </c>
    </row>
    <row r="1004" spans="1:10" x14ac:dyDescent="0.3">
      <c r="A1004" t="s">
        <v>1131</v>
      </c>
      <c r="B1004" s="1">
        <v>45756</v>
      </c>
      <c r="C1004" t="s">
        <v>86</v>
      </c>
      <c r="D1004">
        <v>15</v>
      </c>
      <c r="E1004" t="s">
        <v>39</v>
      </c>
      <c r="F1004" t="s">
        <v>34</v>
      </c>
      <c r="G1004" t="s">
        <v>126</v>
      </c>
      <c r="H1004" t="s">
        <v>98</v>
      </c>
      <c r="I1004">
        <v>15942</v>
      </c>
      <c r="J1004">
        <v>12052</v>
      </c>
    </row>
    <row r="1005" spans="1:10" x14ac:dyDescent="0.3">
      <c r="A1005" t="s">
        <v>1132</v>
      </c>
      <c r="B1005" s="1">
        <v>45985</v>
      </c>
      <c r="C1005" t="s">
        <v>23</v>
      </c>
      <c r="D1005">
        <v>48</v>
      </c>
      <c r="E1005" t="s">
        <v>12</v>
      </c>
      <c r="F1005" t="s">
        <v>62</v>
      </c>
      <c r="G1005" t="s">
        <v>44</v>
      </c>
      <c r="H1005" t="s">
        <v>123</v>
      </c>
      <c r="I1005">
        <v>38115</v>
      </c>
      <c r="J1005">
        <v>45156</v>
      </c>
    </row>
    <row r="1006" spans="1:10" x14ac:dyDescent="0.3">
      <c r="A1006" t="s">
        <v>1133</v>
      </c>
      <c r="B1006" s="1">
        <v>45996</v>
      </c>
      <c r="C1006" t="s">
        <v>100</v>
      </c>
      <c r="D1006">
        <v>49</v>
      </c>
      <c r="E1006" t="s">
        <v>24</v>
      </c>
      <c r="F1006" t="s">
        <v>13</v>
      </c>
      <c r="G1006" t="s">
        <v>83</v>
      </c>
      <c r="H1006" t="s">
        <v>157</v>
      </c>
      <c r="I1006">
        <v>19109</v>
      </c>
      <c r="J1006">
        <v>18275</v>
      </c>
    </row>
    <row r="1007" spans="1:10" x14ac:dyDescent="0.3">
      <c r="A1007" t="s">
        <v>1134</v>
      </c>
      <c r="B1007" s="1">
        <v>45822</v>
      </c>
      <c r="C1007" t="s">
        <v>74</v>
      </c>
      <c r="D1007">
        <v>24</v>
      </c>
      <c r="E1007" t="s">
        <v>61</v>
      </c>
      <c r="F1007" t="s">
        <v>75</v>
      </c>
      <c r="G1007" t="s">
        <v>253</v>
      </c>
      <c r="H1007" t="s">
        <v>36</v>
      </c>
      <c r="I1007">
        <v>39834</v>
      </c>
      <c r="J1007">
        <v>29912</v>
      </c>
    </row>
    <row r="1008" spans="1:10" x14ac:dyDescent="0.3">
      <c r="A1008" t="s">
        <v>1135</v>
      </c>
      <c r="B1008" s="1">
        <v>46017</v>
      </c>
      <c r="C1008" t="s">
        <v>100</v>
      </c>
      <c r="D1008">
        <v>52</v>
      </c>
      <c r="E1008" t="s">
        <v>39</v>
      </c>
      <c r="F1008" t="s">
        <v>19</v>
      </c>
      <c r="G1008" t="s">
        <v>326</v>
      </c>
      <c r="H1008" t="s">
        <v>59</v>
      </c>
      <c r="I1008">
        <v>38260</v>
      </c>
      <c r="J1008">
        <v>48896</v>
      </c>
    </row>
    <row r="1009" spans="1:10" x14ac:dyDescent="0.3">
      <c r="A1009" t="s">
        <v>1136</v>
      </c>
      <c r="B1009" s="1">
        <v>45672</v>
      </c>
      <c r="C1009" t="s">
        <v>17</v>
      </c>
      <c r="D1009">
        <v>3</v>
      </c>
      <c r="E1009" t="s">
        <v>39</v>
      </c>
      <c r="F1009" t="s">
        <v>43</v>
      </c>
      <c r="G1009" t="s">
        <v>35</v>
      </c>
      <c r="H1009" t="s">
        <v>98</v>
      </c>
      <c r="I1009">
        <v>36933</v>
      </c>
      <c r="J1009">
        <v>28659</v>
      </c>
    </row>
    <row r="1010" spans="1:10" x14ac:dyDescent="0.3">
      <c r="A1010" t="s">
        <v>1137</v>
      </c>
      <c r="B1010" s="1">
        <v>45925</v>
      </c>
      <c r="C1010" t="s">
        <v>38</v>
      </c>
      <c r="D1010">
        <v>39</v>
      </c>
      <c r="E1010" t="s">
        <v>61</v>
      </c>
      <c r="F1010" t="s">
        <v>25</v>
      </c>
      <c r="G1010" t="s">
        <v>326</v>
      </c>
      <c r="H1010" t="s">
        <v>98</v>
      </c>
      <c r="I1010">
        <v>24104</v>
      </c>
      <c r="J1010">
        <v>30000</v>
      </c>
    </row>
    <row r="1011" spans="1:10" x14ac:dyDescent="0.3">
      <c r="A1011" t="s">
        <v>1138</v>
      </c>
      <c r="B1011" s="1">
        <v>45826</v>
      </c>
      <c r="C1011" t="s">
        <v>74</v>
      </c>
      <c r="D1011">
        <v>25</v>
      </c>
      <c r="E1011" t="s">
        <v>39</v>
      </c>
      <c r="F1011" t="s">
        <v>57</v>
      </c>
      <c r="G1011" t="s">
        <v>58</v>
      </c>
      <c r="H1011" t="s">
        <v>98</v>
      </c>
      <c r="I1011">
        <v>21017</v>
      </c>
      <c r="J1011">
        <v>22212</v>
      </c>
    </row>
    <row r="1012" spans="1:10" x14ac:dyDescent="0.3">
      <c r="A1012" t="s">
        <v>1139</v>
      </c>
      <c r="B1012" s="1">
        <v>45771</v>
      </c>
      <c r="C1012" t="s">
        <v>86</v>
      </c>
      <c r="D1012">
        <v>17</v>
      </c>
      <c r="E1012" t="s">
        <v>70</v>
      </c>
      <c r="F1012" t="s">
        <v>46</v>
      </c>
      <c r="G1012" t="s">
        <v>107</v>
      </c>
      <c r="H1012" t="s">
        <v>64</v>
      </c>
      <c r="I1012">
        <v>16063</v>
      </c>
      <c r="J1012">
        <v>15539</v>
      </c>
    </row>
    <row r="1013" spans="1:10" x14ac:dyDescent="0.3">
      <c r="A1013" t="s">
        <v>1140</v>
      </c>
      <c r="B1013" s="1">
        <v>45781</v>
      </c>
      <c r="C1013" t="s">
        <v>90</v>
      </c>
      <c r="D1013">
        <v>18</v>
      </c>
      <c r="E1013" t="s">
        <v>12</v>
      </c>
      <c r="F1013" t="s">
        <v>57</v>
      </c>
      <c r="G1013" t="s">
        <v>58</v>
      </c>
      <c r="H1013" t="s">
        <v>48</v>
      </c>
      <c r="I1013">
        <v>30340</v>
      </c>
      <c r="J1013">
        <v>23652</v>
      </c>
    </row>
    <row r="1014" spans="1:10" x14ac:dyDescent="0.3">
      <c r="A1014" t="s">
        <v>1141</v>
      </c>
      <c r="B1014" s="1">
        <v>45885</v>
      </c>
      <c r="C1014" t="s">
        <v>113</v>
      </c>
      <c r="D1014">
        <v>33</v>
      </c>
      <c r="E1014" t="s">
        <v>70</v>
      </c>
      <c r="F1014" t="s">
        <v>140</v>
      </c>
      <c r="G1014" t="s">
        <v>35</v>
      </c>
      <c r="H1014" t="s">
        <v>84</v>
      </c>
      <c r="I1014">
        <v>21464</v>
      </c>
      <c r="J1014">
        <v>26378</v>
      </c>
    </row>
    <row r="1015" spans="1:10" x14ac:dyDescent="0.3">
      <c r="A1015" t="s">
        <v>1142</v>
      </c>
      <c r="B1015" s="1">
        <v>45853</v>
      </c>
      <c r="C1015" t="s">
        <v>11</v>
      </c>
      <c r="D1015">
        <v>29</v>
      </c>
      <c r="E1015" t="s">
        <v>24</v>
      </c>
      <c r="F1015" t="s">
        <v>75</v>
      </c>
      <c r="G1015" t="s">
        <v>145</v>
      </c>
      <c r="H1015" t="s">
        <v>31</v>
      </c>
      <c r="I1015">
        <v>24613</v>
      </c>
      <c r="J1015">
        <v>19276</v>
      </c>
    </row>
    <row r="1016" spans="1:10" x14ac:dyDescent="0.3">
      <c r="A1016" t="s">
        <v>1143</v>
      </c>
      <c r="B1016" s="1">
        <v>45682</v>
      </c>
      <c r="C1016" t="s">
        <v>17</v>
      </c>
      <c r="D1016">
        <v>4</v>
      </c>
      <c r="E1016" t="s">
        <v>12</v>
      </c>
      <c r="F1016" t="s">
        <v>193</v>
      </c>
      <c r="G1016" t="s">
        <v>93</v>
      </c>
      <c r="H1016" t="s">
        <v>163</v>
      </c>
      <c r="I1016">
        <v>21829</v>
      </c>
      <c r="J1016">
        <v>23400</v>
      </c>
    </row>
    <row r="1017" spans="1:10" x14ac:dyDescent="0.3">
      <c r="A1017" t="s">
        <v>1144</v>
      </c>
      <c r="B1017" s="1">
        <v>45881</v>
      </c>
      <c r="C1017" t="s">
        <v>113</v>
      </c>
      <c r="D1017">
        <v>33</v>
      </c>
      <c r="E1017" t="s">
        <v>18</v>
      </c>
      <c r="F1017" t="s">
        <v>193</v>
      </c>
      <c r="G1017" t="s">
        <v>115</v>
      </c>
      <c r="H1017" t="s">
        <v>84</v>
      </c>
      <c r="I1017">
        <v>21173</v>
      </c>
      <c r="J1017">
        <v>22460</v>
      </c>
    </row>
    <row r="1018" spans="1:10" x14ac:dyDescent="0.3">
      <c r="A1018" t="s">
        <v>1145</v>
      </c>
      <c r="B1018" s="1">
        <v>45746</v>
      </c>
      <c r="C1018" t="s">
        <v>95</v>
      </c>
      <c r="D1018">
        <v>13</v>
      </c>
      <c r="E1018" t="s">
        <v>33</v>
      </c>
      <c r="F1018" t="s">
        <v>29</v>
      </c>
      <c r="G1018" t="s">
        <v>171</v>
      </c>
      <c r="H1018" t="s">
        <v>133</v>
      </c>
      <c r="I1018">
        <v>39737</v>
      </c>
      <c r="J1018">
        <v>34652</v>
      </c>
    </row>
    <row r="1019" spans="1:10" x14ac:dyDescent="0.3">
      <c r="A1019" t="s">
        <v>1146</v>
      </c>
      <c r="B1019" s="1">
        <v>45802</v>
      </c>
      <c r="C1019" t="s">
        <v>90</v>
      </c>
      <c r="D1019">
        <v>21</v>
      </c>
      <c r="E1019" t="s">
        <v>24</v>
      </c>
      <c r="F1019" t="s">
        <v>140</v>
      </c>
      <c r="G1019" t="s">
        <v>191</v>
      </c>
      <c r="H1019" t="s">
        <v>243</v>
      </c>
      <c r="I1019">
        <v>33199</v>
      </c>
      <c r="J1019">
        <v>39819</v>
      </c>
    </row>
    <row r="1020" spans="1:10" x14ac:dyDescent="0.3">
      <c r="A1020" t="s">
        <v>1147</v>
      </c>
      <c r="B1020" s="1">
        <v>45670</v>
      </c>
      <c r="C1020" t="s">
        <v>17</v>
      </c>
      <c r="D1020">
        <v>3</v>
      </c>
      <c r="E1020" t="s">
        <v>70</v>
      </c>
      <c r="F1020" t="s">
        <v>114</v>
      </c>
      <c r="G1020" t="s">
        <v>102</v>
      </c>
      <c r="H1020" t="s">
        <v>151</v>
      </c>
      <c r="I1020">
        <v>36642</v>
      </c>
      <c r="J1020">
        <v>31795</v>
      </c>
    </row>
    <row r="1021" spans="1:10" x14ac:dyDescent="0.3">
      <c r="A1021" t="s">
        <v>1148</v>
      </c>
      <c r="B1021" s="1">
        <v>46017</v>
      </c>
      <c r="C1021" t="s">
        <v>100</v>
      </c>
      <c r="D1021">
        <v>52</v>
      </c>
      <c r="E1021" t="s">
        <v>12</v>
      </c>
      <c r="F1021" t="s">
        <v>19</v>
      </c>
      <c r="G1021" t="s">
        <v>141</v>
      </c>
      <c r="H1021" t="s">
        <v>55</v>
      </c>
      <c r="I1021">
        <v>26466</v>
      </c>
      <c r="J1021">
        <v>19424</v>
      </c>
    </row>
    <row r="1022" spans="1:10" x14ac:dyDescent="0.3">
      <c r="A1022" t="s">
        <v>1149</v>
      </c>
      <c r="B1022" s="1">
        <v>45920</v>
      </c>
      <c r="C1022" t="s">
        <v>38</v>
      </c>
      <c r="D1022">
        <v>38</v>
      </c>
      <c r="E1022" t="s">
        <v>39</v>
      </c>
      <c r="F1022" t="s">
        <v>114</v>
      </c>
      <c r="G1022" t="s">
        <v>141</v>
      </c>
      <c r="H1022" t="s">
        <v>59</v>
      </c>
      <c r="I1022">
        <v>29462</v>
      </c>
      <c r="J1022">
        <v>23011</v>
      </c>
    </row>
    <row r="1023" spans="1:10" x14ac:dyDescent="0.3">
      <c r="A1023" t="s">
        <v>1150</v>
      </c>
      <c r="B1023" s="1">
        <v>45749</v>
      </c>
      <c r="C1023" t="s">
        <v>86</v>
      </c>
      <c r="D1023">
        <v>14</v>
      </c>
      <c r="E1023" t="s">
        <v>61</v>
      </c>
      <c r="F1023" t="s">
        <v>92</v>
      </c>
      <c r="G1023" t="s">
        <v>291</v>
      </c>
      <c r="H1023" t="s">
        <v>27</v>
      </c>
      <c r="I1023">
        <v>20974</v>
      </c>
      <c r="J1023">
        <v>24749</v>
      </c>
    </row>
    <row r="1024" spans="1:10" x14ac:dyDescent="0.3">
      <c r="A1024" t="s">
        <v>1151</v>
      </c>
      <c r="B1024" s="1">
        <v>45964</v>
      </c>
      <c r="C1024" t="s">
        <v>23</v>
      </c>
      <c r="D1024">
        <v>45</v>
      </c>
      <c r="E1024" t="s">
        <v>12</v>
      </c>
      <c r="F1024" t="s">
        <v>87</v>
      </c>
      <c r="G1024" t="s">
        <v>88</v>
      </c>
      <c r="H1024" t="s">
        <v>68</v>
      </c>
      <c r="I1024">
        <v>34562</v>
      </c>
      <c r="J1024">
        <v>34985</v>
      </c>
    </row>
    <row r="1025" spans="1:10" x14ac:dyDescent="0.3">
      <c r="A1025" t="s">
        <v>1152</v>
      </c>
      <c r="B1025" s="1">
        <v>45816</v>
      </c>
      <c r="C1025" t="s">
        <v>74</v>
      </c>
      <c r="D1025">
        <v>23</v>
      </c>
      <c r="E1025" t="s">
        <v>39</v>
      </c>
      <c r="F1025" t="s">
        <v>122</v>
      </c>
      <c r="G1025" t="s">
        <v>30</v>
      </c>
      <c r="H1025" t="s">
        <v>103</v>
      </c>
      <c r="I1025">
        <v>25114</v>
      </c>
      <c r="J1025">
        <v>19262</v>
      </c>
    </row>
    <row r="1026" spans="1:10" x14ac:dyDescent="0.3">
      <c r="A1026" t="s">
        <v>1153</v>
      </c>
      <c r="B1026" s="1">
        <v>45885</v>
      </c>
      <c r="C1026" t="s">
        <v>113</v>
      </c>
      <c r="D1026">
        <v>33</v>
      </c>
      <c r="E1026" t="s">
        <v>61</v>
      </c>
      <c r="F1026" t="s">
        <v>140</v>
      </c>
      <c r="G1026" t="s">
        <v>93</v>
      </c>
      <c r="H1026" t="s">
        <v>41</v>
      </c>
      <c r="I1026">
        <v>18135</v>
      </c>
      <c r="J1026">
        <v>19131</v>
      </c>
    </row>
    <row r="1027" spans="1:10" x14ac:dyDescent="0.3">
      <c r="A1027" t="s">
        <v>1154</v>
      </c>
      <c r="B1027" s="1">
        <v>45974</v>
      </c>
      <c r="C1027" t="s">
        <v>23</v>
      </c>
      <c r="D1027">
        <v>46</v>
      </c>
      <c r="E1027" t="s">
        <v>24</v>
      </c>
      <c r="F1027" t="s">
        <v>43</v>
      </c>
      <c r="G1027" t="s">
        <v>88</v>
      </c>
      <c r="H1027" t="s">
        <v>98</v>
      </c>
      <c r="I1027">
        <v>23156</v>
      </c>
      <c r="J1027">
        <v>26883</v>
      </c>
    </row>
    <row r="1028" spans="1:10" x14ac:dyDescent="0.3">
      <c r="A1028" t="s">
        <v>1155</v>
      </c>
      <c r="B1028" s="1">
        <v>45747</v>
      </c>
      <c r="C1028" t="s">
        <v>95</v>
      </c>
      <c r="D1028">
        <v>14</v>
      </c>
      <c r="E1028" t="s">
        <v>12</v>
      </c>
      <c r="F1028" t="s">
        <v>78</v>
      </c>
      <c r="G1028" t="s">
        <v>182</v>
      </c>
      <c r="H1028" t="s">
        <v>59</v>
      </c>
      <c r="I1028">
        <v>34963</v>
      </c>
      <c r="J1028">
        <v>42458</v>
      </c>
    </row>
    <row r="1029" spans="1:10" x14ac:dyDescent="0.3">
      <c r="A1029" t="s">
        <v>1156</v>
      </c>
      <c r="B1029" s="1">
        <v>45718</v>
      </c>
      <c r="C1029" t="s">
        <v>95</v>
      </c>
      <c r="D1029">
        <v>9</v>
      </c>
      <c r="E1029" t="s">
        <v>24</v>
      </c>
      <c r="F1029" t="s">
        <v>13</v>
      </c>
      <c r="G1029" t="s">
        <v>145</v>
      </c>
      <c r="H1029" t="s">
        <v>59</v>
      </c>
      <c r="I1029">
        <v>15958</v>
      </c>
      <c r="J1029">
        <v>19510</v>
      </c>
    </row>
    <row r="1030" spans="1:10" x14ac:dyDescent="0.3">
      <c r="A1030" t="s">
        <v>1157</v>
      </c>
      <c r="B1030" s="1">
        <v>45728</v>
      </c>
      <c r="C1030" t="s">
        <v>95</v>
      </c>
      <c r="D1030">
        <v>11</v>
      </c>
      <c r="E1030" t="s">
        <v>18</v>
      </c>
      <c r="F1030" t="s">
        <v>114</v>
      </c>
      <c r="G1030" t="s">
        <v>149</v>
      </c>
      <c r="H1030" t="s">
        <v>48</v>
      </c>
      <c r="I1030">
        <v>36406</v>
      </c>
      <c r="J1030">
        <v>33534</v>
      </c>
    </row>
    <row r="1031" spans="1:10" x14ac:dyDescent="0.3">
      <c r="A1031" t="s">
        <v>1158</v>
      </c>
      <c r="B1031" s="1">
        <v>45795</v>
      </c>
      <c r="C1031" t="s">
        <v>90</v>
      </c>
      <c r="D1031">
        <v>20</v>
      </c>
      <c r="E1031" t="s">
        <v>70</v>
      </c>
      <c r="F1031" t="s">
        <v>114</v>
      </c>
      <c r="G1031" t="s">
        <v>191</v>
      </c>
      <c r="H1031" t="s">
        <v>31</v>
      </c>
      <c r="I1031">
        <v>23755</v>
      </c>
      <c r="J1031">
        <v>23176</v>
      </c>
    </row>
    <row r="1032" spans="1:10" x14ac:dyDescent="0.3">
      <c r="A1032" t="s">
        <v>1159</v>
      </c>
      <c r="B1032" s="1">
        <v>45867</v>
      </c>
      <c r="C1032" t="s">
        <v>11</v>
      </c>
      <c r="D1032">
        <v>31</v>
      </c>
      <c r="E1032" t="s">
        <v>18</v>
      </c>
      <c r="F1032" t="s">
        <v>50</v>
      </c>
      <c r="G1032" t="s">
        <v>201</v>
      </c>
      <c r="H1032" t="s">
        <v>98</v>
      </c>
      <c r="I1032">
        <v>23901</v>
      </c>
      <c r="J1032">
        <v>24138</v>
      </c>
    </row>
    <row r="1033" spans="1:10" x14ac:dyDescent="0.3">
      <c r="A1033" t="s">
        <v>1160</v>
      </c>
      <c r="B1033" s="1">
        <v>45864</v>
      </c>
      <c r="C1033" t="s">
        <v>11</v>
      </c>
      <c r="D1033">
        <v>30</v>
      </c>
      <c r="E1033" t="s">
        <v>24</v>
      </c>
      <c r="F1033" t="s">
        <v>193</v>
      </c>
      <c r="G1033" t="s">
        <v>291</v>
      </c>
      <c r="H1033" t="s">
        <v>116</v>
      </c>
      <c r="I1033">
        <v>34184</v>
      </c>
      <c r="J1033">
        <v>30940</v>
      </c>
    </row>
    <row r="1034" spans="1:10" x14ac:dyDescent="0.3">
      <c r="A1034" t="s">
        <v>1161</v>
      </c>
      <c r="B1034" s="1">
        <v>45739</v>
      </c>
      <c r="C1034" t="s">
        <v>95</v>
      </c>
      <c r="D1034">
        <v>12</v>
      </c>
      <c r="E1034" t="s">
        <v>24</v>
      </c>
      <c r="F1034" t="s">
        <v>87</v>
      </c>
      <c r="G1034" t="s">
        <v>206</v>
      </c>
      <c r="H1034" t="s">
        <v>111</v>
      </c>
      <c r="I1034">
        <v>31464</v>
      </c>
      <c r="J1034">
        <v>39929</v>
      </c>
    </row>
    <row r="1035" spans="1:10" x14ac:dyDescent="0.3">
      <c r="A1035" t="s">
        <v>1162</v>
      </c>
      <c r="B1035" s="1">
        <v>45807</v>
      </c>
      <c r="C1035" t="s">
        <v>90</v>
      </c>
      <c r="D1035">
        <v>22</v>
      </c>
      <c r="E1035" t="s">
        <v>24</v>
      </c>
      <c r="F1035" t="s">
        <v>25</v>
      </c>
      <c r="G1035" t="s">
        <v>67</v>
      </c>
      <c r="H1035" t="s">
        <v>55</v>
      </c>
      <c r="I1035">
        <v>33446</v>
      </c>
      <c r="J1035">
        <v>24028</v>
      </c>
    </row>
    <row r="1036" spans="1:10" x14ac:dyDescent="0.3">
      <c r="A1036" t="s">
        <v>1163</v>
      </c>
      <c r="B1036" s="1">
        <v>45971</v>
      </c>
      <c r="C1036" t="s">
        <v>23</v>
      </c>
      <c r="D1036">
        <v>46</v>
      </c>
      <c r="E1036" t="s">
        <v>39</v>
      </c>
      <c r="F1036" t="s">
        <v>34</v>
      </c>
      <c r="G1036" t="s">
        <v>83</v>
      </c>
      <c r="H1036" t="s">
        <v>48</v>
      </c>
      <c r="I1036">
        <v>34929</v>
      </c>
      <c r="J1036">
        <v>40547</v>
      </c>
    </row>
    <row r="1037" spans="1:10" x14ac:dyDescent="0.3">
      <c r="A1037" t="s">
        <v>1164</v>
      </c>
      <c r="B1037" s="1">
        <v>45708</v>
      </c>
      <c r="C1037" t="s">
        <v>82</v>
      </c>
      <c r="D1037">
        <v>8</v>
      </c>
      <c r="E1037" t="s">
        <v>33</v>
      </c>
      <c r="F1037" t="s">
        <v>92</v>
      </c>
      <c r="G1037" t="s">
        <v>326</v>
      </c>
      <c r="H1037" t="s">
        <v>31</v>
      </c>
      <c r="I1037">
        <v>37275</v>
      </c>
      <c r="J1037">
        <v>44857</v>
      </c>
    </row>
    <row r="1038" spans="1:10" x14ac:dyDescent="0.3">
      <c r="A1038" t="s">
        <v>1165</v>
      </c>
      <c r="B1038" s="1">
        <v>45749</v>
      </c>
      <c r="C1038" t="s">
        <v>86</v>
      </c>
      <c r="D1038">
        <v>14</v>
      </c>
      <c r="E1038" t="s">
        <v>24</v>
      </c>
      <c r="F1038" t="s">
        <v>62</v>
      </c>
      <c r="G1038" t="s">
        <v>35</v>
      </c>
      <c r="H1038" t="s">
        <v>96</v>
      </c>
      <c r="I1038">
        <v>22144</v>
      </c>
      <c r="J1038">
        <v>26981</v>
      </c>
    </row>
    <row r="1039" spans="1:10" x14ac:dyDescent="0.3">
      <c r="A1039" t="s">
        <v>1166</v>
      </c>
      <c r="B1039" s="1">
        <v>45834</v>
      </c>
      <c r="C1039" t="s">
        <v>74</v>
      </c>
      <c r="D1039">
        <v>26</v>
      </c>
      <c r="E1039" t="s">
        <v>24</v>
      </c>
      <c r="F1039" t="s">
        <v>75</v>
      </c>
      <c r="G1039" t="s">
        <v>63</v>
      </c>
      <c r="H1039" t="s">
        <v>103</v>
      </c>
      <c r="I1039">
        <v>17422</v>
      </c>
      <c r="J1039">
        <v>17539</v>
      </c>
    </row>
    <row r="1040" spans="1:10" x14ac:dyDescent="0.3">
      <c r="A1040" t="s">
        <v>1167</v>
      </c>
      <c r="B1040" s="1">
        <v>46014</v>
      </c>
      <c r="C1040" t="s">
        <v>100</v>
      </c>
      <c r="D1040">
        <v>52</v>
      </c>
      <c r="E1040" t="s">
        <v>24</v>
      </c>
      <c r="F1040" t="s">
        <v>114</v>
      </c>
      <c r="G1040" t="s">
        <v>115</v>
      </c>
      <c r="H1040" t="s">
        <v>133</v>
      </c>
      <c r="I1040">
        <v>15143</v>
      </c>
      <c r="J1040">
        <v>11825</v>
      </c>
    </row>
    <row r="1041" spans="1:10" x14ac:dyDescent="0.3">
      <c r="A1041" t="s">
        <v>1168</v>
      </c>
      <c r="B1041" s="1">
        <v>45667</v>
      </c>
      <c r="C1041" t="s">
        <v>17</v>
      </c>
      <c r="D1041">
        <v>2</v>
      </c>
      <c r="E1041" t="s">
        <v>33</v>
      </c>
      <c r="F1041" t="s">
        <v>78</v>
      </c>
      <c r="G1041" t="s">
        <v>72</v>
      </c>
      <c r="H1041" t="s">
        <v>96</v>
      </c>
      <c r="I1041">
        <v>23559</v>
      </c>
      <c r="J1041">
        <v>20418</v>
      </c>
    </row>
    <row r="1042" spans="1:10" x14ac:dyDescent="0.3">
      <c r="A1042" t="s">
        <v>1169</v>
      </c>
      <c r="B1042" s="1">
        <v>45879</v>
      </c>
      <c r="C1042" t="s">
        <v>113</v>
      </c>
      <c r="D1042">
        <v>32</v>
      </c>
      <c r="E1042" t="s">
        <v>24</v>
      </c>
      <c r="F1042" t="s">
        <v>19</v>
      </c>
      <c r="G1042" t="s">
        <v>253</v>
      </c>
      <c r="H1042" t="s">
        <v>96</v>
      </c>
      <c r="I1042">
        <v>18739</v>
      </c>
      <c r="J1042">
        <v>13625</v>
      </c>
    </row>
    <row r="1043" spans="1:10" x14ac:dyDescent="0.3">
      <c r="A1043" t="s">
        <v>1170</v>
      </c>
      <c r="B1043" s="1">
        <v>45866</v>
      </c>
      <c r="C1043" t="s">
        <v>11</v>
      </c>
      <c r="D1043">
        <v>31</v>
      </c>
      <c r="E1043" t="s">
        <v>33</v>
      </c>
      <c r="F1043" t="s">
        <v>13</v>
      </c>
      <c r="G1043" t="s">
        <v>72</v>
      </c>
      <c r="H1043" t="s">
        <v>165</v>
      </c>
      <c r="I1043">
        <v>30387</v>
      </c>
      <c r="J1043">
        <v>30568</v>
      </c>
    </row>
    <row r="1044" spans="1:10" x14ac:dyDescent="0.3">
      <c r="A1044" t="s">
        <v>1171</v>
      </c>
      <c r="B1044" s="1">
        <v>45678</v>
      </c>
      <c r="C1044" t="s">
        <v>17</v>
      </c>
      <c r="D1044">
        <v>4</v>
      </c>
      <c r="E1044" t="s">
        <v>39</v>
      </c>
      <c r="F1044" t="s">
        <v>25</v>
      </c>
      <c r="G1044" t="s">
        <v>230</v>
      </c>
      <c r="H1044" t="s">
        <v>243</v>
      </c>
      <c r="I1044">
        <v>37210</v>
      </c>
      <c r="J1044">
        <v>40383</v>
      </c>
    </row>
    <row r="1045" spans="1:10" x14ac:dyDescent="0.3">
      <c r="A1045" t="s">
        <v>1172</v>
      </c>
      <c r="B1045" s="1">
        <v>45888</v>
      </c>
      <c r="C1045" t="s">
        <v>113</v>
      </c>
      <c r="D1045">
        <v>34</v>
      </c>
      <c r="E1045" t="s">
        <v>39</v>
      </c>
      <c r="F1045" t="s">
        <v>193</v>
      </c>
      <c r="G1045" t="s">
        <v>191</v>
      </c>
      <c r="H1045" t="s">
        <v>80</v>
      </c>
      <c r="I1045">
        <v>24565</v>
      </c>
      <c r="J1045">
        <v>17515</v>
      </c>
    </row>
    <row r="1046" spans="1:10" x14ac:dyDescent="0.3">
      <c r="A1046" t="s">
        <v>1173</v>
      </c>
      <c r="B1046" s="1">
        <v>45715</v>
      </c>
      <c r="C1046" t="s">
        <v>82</v>
      </c>
      <c r="D1046">
        <v>9</v>
      </c>
      <c r="E1046" t="s">
        <v>70</v>
      </c>
      <c r="F1046" t="s">
        <v>140</v>
      </c>
      <c r="G1046" t="s">
        <v>126</v>
      </c>
      <c r="H1046" t="s">
        <v>133</v>
      </c>
      <c r="I1046">
        <v>19518</v>
      </c>
      <c r="J1046">
        <v>22716</v>
      </c>
    </row>
    <row r="1047" spans="1:10" x14ac:dyDescent="0.3">
      <c r="A1047" t="s">
        <v>1174</v>
      </c>
      <c r="B1047" s="1">
        <v>45808</v>
      </c>
      <c r="C1047" t="s">
        <v>90</v>
      </c>
      <c r="D1047">
        <v>22</v>
      </c>
      <c r="E1047" t="s">
        <v>70</v>
      </c>
      <c r="F1047" t="s">
        <v>109</v>
      </c>
      <c r="G1047" t="s">
        <v>137</v>
      </c>
      <c r="H1047" t="s">
        <v>27</v>
      </c>
      <c r="I1047">
        <v>30050</v>
      </c>
      <c r="J1047">
        <v>35794</v>
      </c>
    </row>
    <row r="1048" spans="1:10" x14ac:dyDescent="0.3">
      <c r="A1048" t="s">
        <v>1175</v>
      </c>
      <c r="B1048" s="1">
        <v>45927</v>
      </c>
      <c r="C1048" t="s">
        <v>38</v>
      </c>
      <c r="D1048">
        <v>39</v>
      </c>
      <c r="E1048" t="s">
        <v>70</v>
      </c>
      <c r="F1048" t="s">
        <v>50</v>
      </c>
      <c r="G1048" t="s">
        <v>201</v>
      </c>
      <c r="H1048" t="s">
        <v>119</v>
      </c>
      <c r="I1048">
        <v>27153</v>
      </c>
      <c r="J1048">
        <v>34213</v>
      </c>
    </row>
    <row r="1049" spans="1:10" x14ac:dyDescent="0.3">
      <c r="A1049" t="s">
        <v>1176</v>
      </c>
      <c r="B1049" s="1">
        <v>45811</v>
      </c>
      <c r="C1049" t="s">
        <v>74</v>
      </c>
      <c r="D1049">
        <v>23</v>
      </c>
      <c r="E1049" t="s">
        <v>24</v>
      </c>
      <c r="F1049" t="s">
        <v>92</v>
      </c>
      <c r="G1049" t="s">
        <v>51</v>
      </c>
      <c r="H1049" t="s">
        <v>21</v>
      </c>
      <c r="I1049">
        <v>16973</v>
      </c>
      <c r="J1049">
        <v>14351</v>
      </c>
    </row>
    <row r="1050" spans="1:10" x14ac:dyDescent="0.3">
      <c r="A1050" t="s">
        <v>1177</v>
      </c>
      <c r="B1050" s="1">
        <v>45889</v>
      </c>
      <c r="C1050" t="s">
        <v>113</v>
      </c>
      <c r="D1050">
        <v>34</v>
      </c>
      <c r="E1050" t="s">
        <v>12</v>
      </c>
      <c r="F1050" t="s">
        <v>101</v>
      </c>
      <c r="G1050" t="s">
        <v>26</v>
      </c>
      <c r="H1050" t="s">
        <v>15</v>
      </c>
      <c r="I1050">
        <v>28083</v>
      </c>
      <c r="J1050">
        <v>31257</v>
      </c>
    </row>
    <row r="1051" spans="1:10" x14ac:dyDescent="0.3">
      <c r="A1051" t="s">
        <v>1178</v>
      </c>
      <c r="B1051" s="1">
        <v>45958</v>
      </c>
      <c r="C1051" t="s">
        <v>66</v>
      </c>
      <c r="D1051">
        <v>44</v>
      </c>
      <c r="E1051" t="s">
        <v>39</v>
      </c>
      <c r="F1051" t="s">
        <v>43</v>
      </c>
      <c r="G1051" t="s">
        <v>253</v>
      </c>
      <c r="H1051" t="s">
        <v>52</v>
      </c>
      <c r="I1051">
        <v>39377</v>
      </c>
      <c r="J1051">
        <v>43098</v>
      </c>
    </row>
    <row r="1052" spans="1:10" x14ac:dyDescent="0.3">
      <c r="A1052" t="s">
        <v>1179</v>
      </c>
      <c r="B1052" s="1">
        <v>45814</v>
      </c>
      <c r="C1052" t="s">
        <v>74</v>
      </c>
      <c r="D1052">
        <v>23</v>
      </c>
      <c r="E1052" t="s">
        <v>33</v>
      </c>
      <c r="F1052" t="s">
        <v>29</v>
      </c>
      <c r="G1052" t="s">
        <v>54</v>
      </c>
      <c r="H1052" t="s">
        <v>133</v>
      </c>
      <c r="I1052">
        <v>26226</v>
      </c>
      <c r="J1052">
        <v>24176</v>
      </c>
    </row>
    <row r="1053" spans="1:10" x14ac:dyDescent="0.3">
      <c r="A1053" t="s">
        <v>1180</v>
      </c>
      <c r="B1053" s="1">
        <v>45811</v>
      </c>
      <c r="C1053" t="s">
        <v>74</v>
      </c>
      <c r="D1053">
        <v>23</v>
      </c>
      <c r="E1053" t="s">
        <v>39</v>
      </c>
      <c r="F1053" t="s">
        <v>50</v>
      </c>
      <c r="G1053" t="s">
        <v>147</v>
      </c>
      <c r="H1053" t="s">
        <v>211</v>
      </c>
      <c r="I1053">
        <v>23935</v>
      </c>
      <c r="J1053">
        <v>29937</v>
      </c>
    </row>
    <row r="1054" spans="1:10" x14ac:dyDescent="0.3">
      <c r="A1054" t="s">
        <v>1181</v>
      </c>
      <c r="B1054" s="1">
        <v>45663</v>
      </c>
      <c r="C1054" t="s">
        <v>17</v>
      </c>
      <c r="D1054">
        <v>2</v>
      </c>
      <c r="E1054" t="s">
        <v>24</v>
      </c>
      <c r="F1054" t="s">
        <v>29</v>
      </c>
      <c r="G1054" t="s">
        <v>118</v>
      </c>
      <c r="H1054" t="s">
        <v>116</v>
      </c>
      <c r="I1054">
        <v>27564</v>
      </c>
      <c r="J1054">
        <v>33394</v>
      </c>
    </row>
    <row r="1055" spans="1:10" x14ac:dyDescent="0.3">
      <c r="A1055" t="s">
        <v>1182</v>
      </c>
      <c r="B1055" s="1">
        <v>45697</v>
      </c>
      <c r="C1055" t="s">
        <v>82</v>
      </c>
      <c r="D1055">
        <v>6</v>
      </c>
      <c r="E1055" t="s">
        <v>12</v>
      </c>
      <c r="F1055" t="s">
        <v>92</v>
      </c>
      <c r="G1055" t="s">
        <v>135</v>
      </c>
      <c r="H1055" t="s">
        <v>68</v>
      </c>
      <c r="I1055">
        <v>39114</v>
      </c>
      <c r="J1055">
        <v>46582</v>
      </c>
    </row>
    <row r="1056" spans="1:10" x14ac:dyDescent="0.3">
      <c r="A1056" t="s">
        <v>1183</v>
      </c>
      <c r="B1056" s="1">
        <v>45863</v>
      </c>
      <c r="C1056" t="s">
        <v>11</v>
      </c>
      <c r="D1056">
        <v>30</v>
      </c>
      <c r="E1056" t="s">
        <v>33</v>
      </c>
      <c r="F1056" t="s">
        <v>46</v>
      </c>
      <c r="G1056" t="s">
        <v>230</v>
      </c>
      <c r="H1056" t="s">
        <v>15</v>
      </c>
      <c r="I1056">
        <v>37545</v>
      </c>
      <c r="J1056">
        <v>34094</v>
      </c>
    </row>
    <row r="1057" spans="1:10" x14ac:dyDescent="0.3">
      <c r="A1057" t="s">
        <v>1184</v>
      </c>
      <c r="B1057" s="1">
        <v>45680</v>
      </c>
      <c r="C1057" t="s">
        <v>17</v>
      </c>
      <c r="D1057">
        <v>4</v>
      </c>
      <c r="E1057" t="s">
        <v>70</v>
      </c>
      <c r="F1057" t="s">
        <v>34</v>
      </c>
      <c r="G1057" t="s">
        <v>324</v>
      </c>
      <c r="H1057" t="s">
        <v>98</v>
      </c>
      <c r="I1057">
        <v>28286</v>
      </c>
      <c r="J1057">
        <v>36254</v>
      </c>
    </row>
    <row r="1058" spans="1:10" x14ac:dyDescent="0.3">
      <c r="A1058" t="s">
        <v>1185</v>
      </c>
      <c r="B1058" s="1">
        <v>45745</v>
      </c>
      <c r="C1058" t="s">
        <v>95</v>
      </c>
      <c r="D1058">
        <v>13</v>
      </c>
      <c r="E1058" t="s">
        <v>61</v>
      </c>
      <c r="F1058" t="s">
        <v>19</v>
      </c>
      <c r="G1058" t="s">
        <v>83</v>
      </c>
      <c r="H1058" t="s">
        <v>133</v>
      </c>
      <c r="I1058">
        <v>33292</v>
      </c>
      <c r="J1058">
        <v>24322</v>
      </c>
    </row>
    <row r="1059" spans="1:10" x14ac:dyDescent="0.3">
      <c r="A1059" t="s">
        <v>1186</v>
      </c>
      <c r="B1059" s="1">
        <v>45889</v>
      </c>
      <c r="C1059" t="s">
        <v>113</v>
      </c>
      <c r="D1059">
        <v>34</v>
      </c>
      <c r="E1059" t="s">
        <v>33</v>
      </c>
      <c r="F1059" t="s">
        <v>57</v>
      </c>
      <c r="G1059" t="s">
        <v>224</v>
      </c>
      <c r="H1059" t="s">
        <v>133</v>
      </c>
      <c r="I1059">
        <v>19279</v>
      </c>
      <c r="J1059">
        <v>20925</v>
      </c>
    </row>
    <row r="1060" spans="1:10" x14ac:dyDescent="0.3">
      <c r="A1060" t="s">
        <v>1187</v>
      </c>
      <c r="B1060" s="1">
        <v>45689</v>
      </c>
      <c r="C1060" t="s">
        <v>82</v>
      </c>
      <c r="D1060">
        <v>5</v>
      </c>
      <c r="E1060" t="s">
        <v>39</v>
      </c>
      <c r="F1060" t="s">
        <v>87</v>
      </c>
      <c r="G1060" t="s">
        <v>137</v>
      </c>
      <c r="H1060" t="s">
        <v>123</v>
      </c>
      <c r="I1060">
        <v>38591</v>
      </c>
      <c r="J1060">
        <v>47628</v>
      </c>
    </row>
    <row r="1061" spans="1:10" x14ac:dyDescent="0.3">
      <c r="A1061" t="s">
        <v>1188</v>
      </c>
      <c r="B1061" s="1">
        <v>45767</v>
      </c>
      <c r="C1061" t="s">
        <v>86</v>
      </c>
      <c r="D1061">
        <v>16</v>
      </c>
      <c r="E1061" t="s">
        <v>18</v>
      </c>
      <c r="F1061" t="s">
        <v>122</v>
      </c>
      <c r="G1061" t="s">
        <v>72</v>
      </c>
      <c r="H1061" t="s">
        <v>151</v>
      </c>
      <c r="I1061">
        <v>20763</v>
      </c>
      <c r="J1061">
        <v>15478</v>
      </c>
    </row>
    <row r="1062" spans="1:10" x14ac:dyDescent="0.3">
      <c r="A1062" t="s">
        <v>1189</v>
      </c>
      <c r="B1062" s="1">
        <v>45666</v>
      </c>
      <c r="C1062" t="s">
        <v>17</v>
      </c>
      <c r="D1062">
        <v>2</v>
      </c>
      <c r="E1062" t="s">
        <v>70</v>
      </c>
      <c r="F1062" t="s">
        <v>43</v>
      </c>
      <c r="G1062" t="s">
        <v>93</v>
      </c>
      <c r="H1062" t="s">
        <v>188</v>
      </c>
      <c r="I1062">
        <v>37842</v>
      </c>
      <c r="J1062">
        <v>28125</v>
      </c>
    </row>
    <row r="1063" spans="1:10" x14ac:dyDescent="0.3">
      <c r="A1063" t="s">
        <v>1190</v>
      </c>
      <c r="B1063" s="1">
        <v>45729</v>
      </c>
      <c r="C1063" t="s">
        <v>95</v>
      </c>
      <c r="D1063">
        <v>11</v>
      </c>
      <c r="E1063" t="s">
        <v>70</v>
      </c>
      <c r="F1063" t="s">
        <v>46</v>
      </c>
      <c r="G1063" t="s">
        <v>83</v>
      </c>
      <c r="H1063" t="s">
        <v>96</v>
      </c>
      <c r="I1063">
        <v>38774</v>
      </c>
      <c r="J1063">
        <v>49740</v>
      </c>
    </row>
    <row r="1064" spans="1:10" x14ac:dyDescent="0.3">
      <c r="A1064" t="s">
        <v>1191</v>
      </c>
      <c r="B1064" s="1">
        <v>45881</v>
      </c>
      <c r="C1064" t="s">
        <v>113</v>
      </c>
      <c r="D1064">
        <v>33</v>
      </c>
      <c r="E1064" t="s">
        <v>33</v>
      </c>
      <c r="F1064" t="s">
        <v>57</v>
      </c>
      <c r="G1064" t="s">
        <v>160</v>
      </c>
      <c r="H1064" t="s">
        <v>163</v>
      </c>
      <c r="I1064">
        <v>19215</v>
      </c>
      <c r="J1064">
        <v>20493</v>
      </c>
    </row>
    <row r="1065" spans="1:10" x14ac:dyDescent="0.3">
      <c r="A1065" t="s">
        <v>1192</v>
      </c>
      <c r="B1065" s="1">
        <v>45898</v>
      </c>
      <c r="C1065" t="s">
        <v>113</v>
      </c>
      <c r="D1065">
        <v>35</v>
      </c>
      <c r="E1065" t="s">
        <v>70</v>
      </c>
      <c r="F1065" t="s">
        <v>25</v>
      </c>
      <c r="G1065" t="s">
        <v>291</v>
      </c>
      <c r="H1065" t="s">
        <v>133</v>
      </c>
      <c r="I1065">
        <v>36528</v>
      </c>
      <c r="J1065">
        <v>37480</v>
      </c>
    </row>
    <row r="1066" spans="1:10" x14ac:dyDescent="0.3">
      <c r="A1066" t="s">
        <v>1193</v>
      </c>
      <c r="B1066" s="1">
        <v>45958</v>
      </c>
      <c r="C1066" t="s">
        <v>66</v>
      </c>
      <c r="D1066">
        <v>44</v>
      </c>
      <c r="E1066" t="s">
        <v>70</v>
      </c>
      <c r="F1066" t="s">
        <v>19</v>
      </c>
      <c r="G1066" t="s">
        <v>14</v>
      </c>
      <c r="H1066" t="s">
        <v>111</v>
      </c>
      <c r="I1066">
        <v>21665</v>
      </c>
      <c r="J1066">
        <v>15881</v>
      </c>
    </row>
    <row r="1067" spans="1:10" x14ac:dyDescent="0.3">
      <c r="A1067" t="s">
        <v>1194</v>
      </c>
      <c r="B1067" s="1">
        <v>45957</v>
      </c>
      <c r="C1067" t="s">
        <v>66</v>
      </c>
      <c r="D1067">
        <v>44</v>
      </c>
      <c r="E1067" t="s">
        <v>33</v>
      </c>
      <c r="F1067" t="s">
        <v>19</v>
      </c>
      <c r="G1067" t="s">
        <v>149</v>
      </c>
      <c r="H1067" t="s">
        <v>119</v>
      </c>
      <c r="I1067">
        <v>37776</v>
      </c>
      <c r="J1067">
        <v>38696</v>
      </c>
    </row>
    <row r="1068" spans="1:10" x14ac:dyDescent="0.3">
      <c r="A1068" t="s">
        <v>1195</v>
      </c>
      <c r="B1068" s="1">
        <v>45708</v>
      </c>
      <c r="C1068" t="s">
        <v>82</v>
      </c>
      <c r="D1068">
        <v>8</v>
      </c>
      <c r="E1068" t="s">
        <v>61</v>
      </c>
      <c r="F1068" t="s">
        <v>19</v>
      </c>
      <c r="G1068" t="s">
        <v>234</v>
      </c>
      <c r="H1068" t="s">
        <v>98</v>
      </c>
      <c r="I1068">
        <v>27524</v>
      </c>
      <c r="J1068">
        <v>29726</v>
      </c>
    </row>
    <row r="1069" spans="1:10" x14ac:dyDescent="0.3">
      <c r="A1069" t="s">
        <v>1196</v>
      </c>
      <c r="B1069" s="1">
        <v>45701</v>
      </c>
      <c r="C1069" t="s">
        <v>82</v>
      </c>
      <c r="D1069">
        <v>7</v>
      </c>
      <c r="E1069" t="s">
        <v>12</v>
      </c>
      <c r="F1069" t="s">
        <v>43</v>
      </c>
      <c r="G1069" t="s">
        <v>30</v>
      </c>
      <c r="H1069" t="s">
        <v>55</v>
      </c>
      <c r="I1069">
        <v>23143</v>
      </c>
      <c r="J1069">
        <v>18367</v>
      </c>
    </row>
    <row r="1070" spans="1:10" x14ac:dyDescent="0.3">
      <c r="A1070" t="s">
        <v>1197</v>
      </c>
      <c r="B1070" s="1">
        <v>45994</v>
      </c>
      <c r="C1070" t="s">
        <v>100</v>
      </c>
      <c r="D1070">
        <v>49</v>
      </c>
      <c r="E1070" t="s">
        <v>61</v>
      </c>
      <c r="F1070" t="s">
        <v>140</v>
      </c>
      <c r="G1070" t="s">
        <v>234</v>
      </c>
      <c r="H1070" t="s">
        <v>111</v>
      </c>
      <c r="I1070">
        <v>23117</v>
      </c>
      <c r="J1070">
        <v>30005</v>
      </c>
    </row>
    <row r="1071" spans="1:10" x14ac:dyDescent="0.3">
      <c r="A1071" t="s">
        <v>1198</v>
      </c>
      <c r="B1071" s="1">
        <v>46004</v>
      </c>
      <c r="C1071" t="s">
        <v>100</v>
      </c>
      <c r="D1071">
        <v>50</v>
      </c>
      <c r="E1071" t="s">
        <v>24</v>
      </c>
      <c r="F1071" t="s">
        <v>122</v>
      </c>
      <c r="G1071" t="s">
        <v>145</v>
      </c>
      <c r="H1071" t="s">
        <v>41</v>
      </c>
      <c r="I1071">
        <v>24903</v>
      </c>
      <c r="J1071">
        <v>20414</v>
      </c>
    </row>
    <row r="1072" spans="1:10" x14ac:dyDescent="0.3">
      <c r="A1072" t="s">
        <v>1199</v>
      </c>
      <c r="B1072" s="1">
        <v>45910</v>
      </c>
      <c r="C1072" t="s">
        <v>38</v>
      </c>
      <c r="D1072">
        <v>37</v>
      </c>
      <c r="E1072" t="s">
        <v>39</v>
      </c>
      <c r="F1072" t="s">
        <v>34</v>
      </c>
      <c r="G1072" t="s">
        <v>44</v>
      </c>
      <c r="H1072" t="s">
        <v>98</v>
      </c>
      <c r="I1072">
        <v>35524</v>
      </c>
      <c r="J1072">
        <v>27316</v>
      </c>
    </row>
    <row r="1073" spans="1:10" x14ac:dyDescent="0.3">
      <c r="A1073" t="s">
        <v>1200</v>
      </c>
      <c r="B1073" s="1">
        <v>45934</v>
      </c>
      <c r="C1073" t="s">
        <v>66</v>
      </c>
      <c r="D1073">
        <v>40</v>
      </c>
      <c r="E1073" t="s">
        <v>61</v>
      </c>
      <c r="F1073" t="s">
        <v>122</v>
      </c>
      <c r="G1073" t="s">
        <v>93</v>
      </c>
      <c r="H1073" t="s">
        <v>21</v>
      </c>
      <c r="I1073">
        <v>38710</v>
      </c>
      <c r="J1073">
        <v>30433</v>
      </c>
    </row>
    <row r="1074" spans="1:10" x14ac:dyDescent="0.3">
      <c r="A1074" t="s">
        <v>1201</v>
      </c>
      <c r="B1074" s="1">
        <v>45674</v>
      </c>
      <c r="C1074" t="s">
        <v>17</v>
      </c>
      <c r="D1074">
        <v>3</v>
      </c>
      <c r="E1074" t="s">
        <v>12</v>
      </c>
      <c r="F1074" t="s">
        <v>29</v>
      </c>
      <c r="G1074" t="s">
        <v>240</v>
      </c>
      <c r="H1074" t="s">
        <v>119</v>
      </c>
      <c r="I1074">
        <v>37917</v>
      </c>
      <c r="J1074">
        <v>30861</v>
      </c>
    </row>
    <row r="1075" spans="1:10" x14ac:dyDescent="0.3">
      <c r="A1075" t="s">
        <v>1202</v>
      </c>
      <c r="B1075" s="1">
        <v>45960</v>
      </c>
      <c r="C1075" t="s">
        <v>66</v>
      </c>
      <c r="D1075">
        <v>44</v>
      </c>
      <c r="E1075" t="s">
        <v>12</v>
      </c>
      <c r="F1075" t="s">
        <v>62</v>
      </c>
      <c r="G1075" t="s">
        <v>118</v>
      </c>
      <c r="H1075" t="s">
        <v>157</v>
      </c>
      <c r="I1075">
        <v>30848</v>
      </c>
      <c r="J1075">
        <v>29477</v>
      </c>
    </row>
    <row r="1076" spans="1:10" x14ac:dyDescent="0.3">
      <c r="A1076" t="s">
        <v>1203</v>
      </c>
      <c r="B1076" s="1">
        <v>45916</v>
      </c>
      <c r="C1076" t="s">
        <v>38</v>
      </c>
      <c r="D1076">
        <v>38</v>
      </c>
      <c r="E1076" t="s">
        <v>12</v>
      </c>
      <c r="F1076" t="s">
        <v>57</v>
      </c>
      <c r="G1076" t="s">
        <v>35</v>
      </c>
      <c r="H1076" t="s">
        <v>133</v>
      </c>
      <c r="I1076">
        <v>24468</v>
      </c>
      <c r="J1076">
        <v>23420</v>
      </c>
    </row>
    <row r="1077" spans="1:10" x14ac:dyDescent="0.3">
      <c r="A1077" t="s">
        <v>1204</v>
      </c>
      <c r="B1077" s="1">
        <v>46003</v>
      </c>
      <c r="C1077" t="s">
        <v>100</v>
      </c>
      <c r="D1077">
        <v>50</v>
      </c>
      <c r="E1077" t="s">
        <v>24</v>
      </c>
      <c r="F1077" t="s">
        <v>50</v>
      </c>
      <c r="G1077" t="s">
        <v>67</v>
      </c>
      <c r="H1077" t="s">
        <v>133</v>
      </c>
      <c r="I1077">
        <v>18431</v>
      </c>
      <c r="J1077">
        <v>18582</v>
      </c>
    </row>
    <row r="1078" spans="1:10" x14ac:dyDescent="0.3">
      <c r="A1078" t="s">
        <v>1205</v>
      </c>
      <c r="B1078" s="1">
        <v>45822</v>
      </c>
      <c r="C1078" t="s">
        <v>74</v>
      </c>
      <c r="D1078">
        <v>24</v>
      </c>
      <c r="E1078" t="s">
        <v>39</v>
      </c>
      <c r="F1078" t="s">
        <v>25</v>
      </c>
      <c r="G1078" t="s">
        <v>141</v>
      </c>
      <c r="H1078" t="s">
        <v>151</v>
      </c>
      <c r="I1078">
        <v>33000</v>
      </c>
      <c r="J1078">
        <v>26719</v>
      </c>
    </row>
    <row r="1079" spans="1:10" x14ac:dyDescent="0.3">
      <c r="A1079" t="s">
        <v>1206</v>
      </c>
      <c r="B1079" s="1">
        <v>45894</v>
      </c>
      <c r="C1079" t="s">
        <v>113</v>
      </c>
      <c r="D1079">
        <v>35</v>
      </c>
      <c r="E1079" t="s">
        <v>18</v>
      </c>
      <c r="F1079" t="s">
        <v>62</v>
      </c>
      <c r="G1079" t="s">
        <v>26</v>
      </c>
      <c r="H1079" t="s">
        <v>211</v>
      </c>
      <c r="I1079">
        <v>36030</v>
      </c>
      <c r="J1079">
        <v>32096</v>
      </c>
    </row>
    <row r="1080" spans="1:10" x14ac:dyDescent="0.3">
      <c r="A1080" t="s">
        <v>1207</v>
      </c>
      <c r="B1080" s="1">
        <v>45733</v>
      </c>
      <c r="C1080" t="s">
        <v>95</v>
      </c>
      <c r="D1080">
        <v>12</v>
      </c>
      <c r="E1080" t="s">
        <v>12</v>
      </c>
      <c r="F1080" t="s">
        <v>50</v>
      </c>
      <c r="G1080" t="s">
        <v>224</v>
      </c>
      <c r="H1080" t="s">
        <v>36</v>
      </c>
      <c r="I1080">
        <v>25397</v>
      </c>
      <c r="J1080">
        <v>30023</v>
      </c>
    </row>
    <row r="1081" spans="1:10" x14ac:dyDescent="0.3">
      <c r="A1081" t="s">
        <v>1208</v>
      </c>
      <c r="B1081" s="1">
        <v>45966</v>
      </c>
      <c r="C1081" t="s">
        <v>23</v>
      </c>
      <c r="D1081">
        <v>45</v>
      </c>
      <c r="E1081" t="s">
        <v>24</v>
      </c>
      <c r="F1081" t="s">
        <v>29</v>
      </c>
      <c r="G1081" t="s">
        <v>132</v>
      </c>
      <c r="H1081" t="s">
        <v>165</v>
      </c>
      <c r="I1081">
        <v>32582</v>
      </c>
      <c r="J1081">
        <v>31033</v>
      </c>
    </row>
    <row r="1082" spans="1:10" x14ac:dyDescent="0.3">
      <c r="A1082" t="s">
        <v>1209</v>
      </c>
      <c r="B1082" s="1">
        <v>45931</v>
      </c>
      <c r="C1082" t="s">
        <v>66</v>
      </c>
      <c r="D1082">
        <v>40</v>
      </c>
      <c r="E1082" t="s">
        <v>24</v>
      </c>
      <c r="F1082" t="s">
        <v>25</v>
      </c>
      <c r="G1082" t="s">
        <v>58</v>
      </c>
      <c r="H1082" t="s">
        <v>151</v>
      </c>
      <c r="I1082">
        <v>29960</v>
      </c>
      <c r="J1082">
        <v>23807</v>
      </c>
    </row>
    <row r="1083" spans="1:10" x14ac:dyDescent="0.3">
      <c r="A1083" t="s">
        <v>1210</v>
      </c>
      <c r="B1083" s="1">
        <v>45751</v>
      </c>
      <c r="C1083" t="s">
        <v>86</v>
      </c>
      <c r="D1083">
        <v>14</v>
      </c>
      <c r="E1083" t="s">
        <v>70</v>
      </c>
      <c r="F1083" t="s">
        <v>101</v>
      </c>
      <c r="G1083" t="s">
        <v>141</v>
      </c>
      <c r="H1083" t="s">
        <v>103</v>
      </c>
      <c r="I1083">
        <v>38082</v>
      </c>
      <c r="J1083">
        <v>46875</v>
      </c>
    </row>
    <row r="1084" spans="1:10" x14ac:dyDescent="0.3">
      <c r="A1084" t="s">
        <v>1211</v>
      </c>
      <c r="B1084" s="1">
        <v>45901</v>
      </c>
      <c r="C1084" t="s">
        <v>38</v>
      </c>
      <c r="D1084">
        <v>36</v>
      </c>
      <c r="E1084" t="s">
        <v>39</v>
      </c>
      <c r="F1084" t="s">
        <v>34</v>
      </c>
      <c r="G1084" t="s">
        <v>26</v>
      </c>
      <c r="H1084" t="s">
        <v>27</v>
      </c>
      <c r="I1084">
        <v>26862</v>
      </c>
      <c r="J1084">
        <v>30514</v>
      </c>
    </row>
    <row r="1085" spans="1:10" x14ac:dyDescent="0.3">
      <c r="A1085" t="s">
        <v>1212</v>
      </c>
      <c r="B1085" s="1">
        <v>45838</v>
      </c>
      <c r="C1085" t="s">
        <v>74</v>
      </c>
      <c r="D1085">
        <v>27</v>
      </c>
      <c r="E1085" t="s">
        <v>33</v>
      </c>
      <c r="F1085" t="s">
        <v>193</v>
      </c>
      <c r="G1085" t="s">
        <v>67</v>
      </c>
      <c r="H1085" t="s">
        <v>15</v>
      </c>
      <c r="I1085">
        <v>22245</v>
      </c>
      <c r="J1085">
        <v>17173</v>
      </c>
    </row>
    <row r="1086" spans="1:10" x14ac:dyDescent="0.3">
      <c r="A1086" t="s">
        <v>1213</v>
      </c>
      <c r="B1086" s="1">
        <v>45910</v>
      </c>
      <c r="C1086" t="s">
        <v>38</v>
      </c>
      <c r="D1086">
        <v>37</v>
      </c>
      <c r="E1086" t="s">
        <v>24</v>
      </c>
      <c r="F1086" t="s">
        <v>29</v>
      </c>
      <c r="G1086" t="s">
        <v>115</v>
      </c>
      <c r="H1086" t="s">
        <v>119</v>
      </c>
      <c r="I1086">
        <v>33000</v>
      </c>
      <c r="J1086">
        <v>36808</v>
      </c>
    </row>
    <row r="1087" spans="1:10" x14ac:dyDescent="0.3">
      <c r="A1087" t="s">
        <v>1214</v>
      </c>
      <c r="B1087" s="1">
        <v>46004</v>
      </c>
      <c r="C1087" t="s">
        <v>100</v>
      </c>
      <c r="D1087">
        <v>50</v>
      </c>
      <c r="E1087" t="s">
        <v>33</v>
      </c>
      <c r="F1087" t="s">
        <v>29</v>
      </c>
      <c r="G1087" t="s">
        <v>324</v>
      </c>
      <c r="H1087" t="s">
        <v>123</v>
      </c>
      <c r="I1087">
        <v>24642</v>
      </c>
      <c r="J1087">
        <v>25464</v>
      </c>
    </row>
    <row r="1088" spans="1:10" x14ac:dyDescent="0.3">
      <c r="A1088" t="s">
        <v>1215</v>
      </c>
      <c r="B1088" s="1">
        <v>45806</v>
      </c>
      <c r="C1088" t="s">
        <v>90</v>
      </c>
      <c r="D1088">
        <v>22</v>
      </c>
      <c r="E1088" t="s">
        <v>24</v>
      </c>
      <c r="F1088" t="s">
        <v>25</v>
      </c>
      <c r="G1088" t="s">
        <v>234</v>
      </c>
      <c r="H1088" t="s">
        <v>48</v>
      </c>
      <c r="I1088">
        <v>24453</v>
      </c>
      <c r="J1088">
        <v>28242</v>
      </c>
    </row>
    <row r="1089" spans="1:10" x14ac:dyDescent="0.3">
      <c r="A1089" t="s">
        <v>1216</v>
      </c>
      <c r="B1089" s="1">
        <v>45880</v>
      </c>
      <c r="C1089" t="s">
        <v>113</v>
      </c>
      <c r="D1089">
        <v>33</v>
      </c>
      <c r="E1089" t="s">
        <v>39</v>
      </c>
      <c r="F1089" t="s">
        <v>46</v>
      </c>
      <c r="G1089" t="s">
        <v>26</v>
      </c>
      <c r="H1089" t="s">
        <v>31</v>
      </c>
      <c r="I1089">
        <v>16200</v>
      </c>
      <c r="J1089">
        <v>15704</v>
      </c>
    </row>
    <row r="1090" spans="1:10" x14ac:dyDescent="0.3">
      <c r="A1090" t="s">
        <v>1217</v>
      </c>
      <c r="B1090" s="1">
        <v>45665</v>
      </c>
      <c r="C1090" t="s">
        <v>17</v>
      </c>
      <c r="D1090">
        <v>2</v>
      </c>
      <c r="E1090" t="s">
        <v>24</v>
      </c>
      <c r="F1090" t="s">
        <v>62</v>
      </c>
      <c r="G1090" t="s">
        <v>83</v>
      </c>
      <c r="H1090" t="s">
        <v>52</v>
      </c>
      <c r="I1090">
        <v>28536</v>
      </c>
      <c r="J1090">
        <v>29256</v>
      </c>
    </row>
    <row r="1091" spans="1:10" x14ac:dyDescent="0.3">
      <c r="A1091" t="s">
        <v>1218</v>
      </c>
      <c r="B1091" s="1">
        <v>45733</v>
      </c>
      <c r="C1091" t="s">
        <v>95</v>
      </c>
      <c r="D1091">
        <v>12</v>
      </c>
      <c r="E1091" t="s">
        <v>61</v>
      </c>
      <c r="F1091" t="s">
        <v>25</v>
      </c>
      <c r="G1091" t="s">
        <v>47</v>
      </c>
      <c r="H1091" t="s">
        <v>103</v>
      </c>
      <c r="I1091">
        <v>15117</v>
      </c>
      <c r="J1091">
        <v>17444</v>
      </c>
    </row>
    <row r="1092" spans="1:10" x14ac:dyDescent="0.3">
      <c r="A1092" t="s">
        <v>1219</v>
      </c>
      <c r="B1092" s="1">
        <v>45900</v>
      </c>
      <c r="C1092" t="s">
        <v>113</v>
      </c>
      <c r="D1092">
        <v>35</v>
      </c>
      <c r="E1092" t="s">
        <v>18</v>
      </c>
      <c r="F1092" t="s">
        <v>13</v>
      </c>
      <c r="G1092" t="s">
        <v>44</v>
      </c>
      <c r="H1092" t="s">
        <v>84</v>
      </c>
      <c r="I1092">
        <v>33842</v>
      </c>
      <c r="J1092">
        <v>33838</v>
      </c>
    </row>
    <row r="1093" spans="1:10" x14ac:dyDescent="0.3">
      <c r="A1093" t="s">
        <v>1220</v>
      </c>
      <c r="B1093" s="1">
        <v>45908</v>
      </c>
      <c r="C1093" t="s">
        <v>38</v>
      </c>
      <c r="D1093">
        <v>37</v>
      </c>
      <c r="E1093" t="s">
        <v>24</v>
      </c>
      <c r="F1093" t="s">
        <v>43</v>
      </c>
      <c r="G1093" t="s">
        <v>30</v>
      </c>
      <c r="H1093" t="s">
        <v>96</v>
      </c>
      <c r="I1093">
        <v>17924</v>
      </c>
      <c r="J1093">
        <v>13142</v>
      </c>
    </row>
    <row r="1094" spans="1:10" x14ac:dyDescent="0.3">
      <c r="A1094" t="s">
        <v>1221</v>
      </c>
      <c r="B1094" s="1">
        <v>45731</v>
      </c>
      <c r="C1094" t="s">
        <v>95</v>
      </c>
      <c r="D1094">
        <v>11</v>
      </c>
      <c r="E1094" t="s">
        <v>24</v>
      </c>
      <c r="F1094" t="s">
        <v>13</v>
      </c>
      <c r="G1094" t="s">
        <v>291</v>
      </c>
      <c r="H1094" t="s">
        <v>111</v>
      </c>
      <c r="I1094">
        <v>39071</v>
      </c>
      <c r="J1094">
        <v>29023</v>
      </c>
    </row>
    <row r="1095" spans="1:10" x14ac:dyDescent="0.3">
      <c r="A1095" t="s">
        <v>1222</v>
      </c>
      <c r="B1095" s="1">
        <v>45857</v>
      </c>
      <c r="C1095" t="s">
        <v>11</v>
      </c>
      <c r="D1095">
        <v>29</v>
      </c>
      <c r="E1095" t="s">
        <v>61</v>
      </c>
      <c r="F1095" t="s">
        <v>34</v>
      </c>
      <c r="G1095" t="s">
        <v>182</v>
      </c>
      <c r="H1095" t="s">
        <v>111</v>
      </c>
      <c r="I1095">
        <v>21271</v>
      </c>
      <c r="J1095">
        <v>15855</v>
      </c>
    </row>
    <row r="1096" spans="1:10" x14ac:dyDescent="0.3">
      <c r="A1096" t="s">
        <v>1223</v>
      </c>
      <c r="B1096" s="1">
        <v>45927</v>
      </c>
      <c r="C1096" t="s">
        <v>38</v>
      </c>
      <c r="D1096">
        <v>39</v>
      </c>
      <c r="E1096" t="s">
        <v>12</v>
      </c>
      <c r="F1096" t="s">
        <v>114</v>
      </c>
      <c r="G1096" t="s">
        <v>240</v>
      </c>
      <c r="H1096" t="s">
        <v>116</v>
      </c>
      <c r="I1096">
        <v>28695</v>
      </c>
      <c r="J1096">
        <v>30710</v>
      </c>
    </row>
    <row r="1097" spans="1:10" x14ac:dyDescent="0.3">
      <c r="A1097" t="s">
        <v>1224</v>
      </c>
      <c r="B1097" s="1">
        <v>45964</v>
      </c>
      <c r="C1097" t="s">
        <v>23</v>
      </c>
      <c r="D1097">
        <v>45</v>
      </c>
      <c r="E1097" t="s">
        <v>24</v>
      </c>
      <c r="F1097" t="s">
        <v>114</v>
      </c>
      <c r="G1097" t="s">
        <v>26</v>
      </c>
      <c r="H1097" t="s">
        <v>151</v>
      </c>
      <c r="I1097">
        <v>34444</v>
      </c>
      <c r="J1097">
        <v>26927</v>
      </c>
    </row>
    <row r="1098" spans="1:10" x14ac:dyDescent="0.3">
      <c r="A1098" t="s">
        <v>1225</v>
      </c>
      <c r="B1098" s="1">
        <v>45862</v>
      </c>
      <c r="C1098" t="s">
        <v>11</v>
      </c>
      <c r="D1098">
        <v>30</v>
      </c>
      <c r="E1098" t="s">
        <v>18</v>
      </c>
      <c r="F1098" t="s">
        <v>109</v>
      </c>
      <c r="G1098" t="s">
        <v>266</v>
      </c>
      <c r="H1098" t="s">
        <v>98</v>
      </c>
      <c r="I1098">
        <v>30918</v>
      </c>
      <c r="J1098">
        <v>33019</v>
      </c>
    </row>
    <row r="1099" spans="1:10" x14ac:dyDescent="0.3">
      <c r="A1099" t="s">
        <v>1226</v>
      </c>
      <c r="B1099" s="1">
        <v>45685</v>
      </c>
      <c r="C1099" t="s">
        <v>17</v>
      </c>
      <c r="D1099">
        <v>5</v>
      </c>
      <c r="E1099" t="s">
        <v>39</v>
      </c>
      <c r="F1099" t="s">
        <v>50</v>
      </c>
      <c r="G1099" t="s">
        <v>253</v>
      </c>
      <c r="H1099" t="s">
        <v>80</v>
      </c>
      <c r="I1099">
        <v>28563</v>
      </c>
      <c r="J1099">
        <v>33327</v>
      </c>
    </row>
    <row r="1100" spans="1:10" x14ac:dyDescent="0.3">
      <c r="A1100" t="s">
        <v>1227</v>
      </c>
      <c r="B1100" s="1">
        <v>45970</v>
      </c>
      <c r="C1100" t="s">
        <v>23</v>
      </c>
      <c r="D1100">
        <v>45</v>
      </c>
      <c r="E1100" t="s">
        <v>24</v>
      </c>
      <c r="F1100" t="s">
        <v>92</v>
      </c>
      <c r="G1100" t="s">
        <v>115</v>
      </c>
      <c r="H1100" t="s">
        <v>243</v>
      </c>
      <c r="I1100">
        <v>24732</v>
      </c>
      <c r="J1100">
        <v>22583</v>
      </c>
    </row>
    <row r="1101" spans="1:10" x14ac:dyDescent="0.3">
      <c r="A1101" t="s">
        <v>1228</v>
      </c>
      <c r="B1101" s="1">
        <v>45891</v>
      </c>
      <c r="C1101" t="s">
        <v>113</v>
      </c>
      <c r="D1101">
        <v>34</v>
      </c>
      <c r="E1101" t="s">
        <v>24</v>
      </c>
      <c r="F1101" t="s">
        <v>46</v>
      </c>
      <c r="G1101" t="s">
        <v>240</v>
      </c>
      <c r="H1101" t="s">
        <v>133</v>
      </c>
      <c r="I1101">
        <v>32262</v>
      </c>
      <c r="J1101">
        <v>41265</v>
      </c>
    </row>
    <row r="1102" spans="1:10" x14ac:dyDescent="0.3">
      <c r="A1102" t="s">
        <v>1229</v>
      </c>
      <c r="B1102" s="1">
        <v>45859</v>
      </c>
      <c r="C1102" t="s">
        <v>11</v>
      </c>
      <c r="D1102">
        <v>30</v>
      </c>
      <c r="E1102" t="s">
        <v>70</v>
      </c>
      <c r="F1102" t="s">
        <v>78</v>
      </c>
      <c r="G1102" t="s">
        <v>79</v>
      </c>
      <c r="H1102" t="s">
        <v>111</v>
      </c>
      <c r="I1102">
        <v>25709</v>
      </c>
      <c r="J1102">
        <v>26862</v>
      </c>
    </row>
    <row r="1103" spans="1:10" x14ac:dyDescent="0.3">
      <c r="A1103" t="s">
        <v>1230</v>
      </c>
      <c r="B1103" s="1">
        <v>45683</v>
      </c>
      <c r="C1103" t="s">
        <v>17</v>
      </c>
      <c r="D1103">
        <v>4</v>
      </c>
      <c r="E1103" t="s">
        <v>39</v>
      </c>
      <c r="F1103" t="s">
        <v>193</v>
      </c>
      <c r="G1103" t="s">
        <v>30</v>
      </c>
      <c r="H1103" t="s">
        <v>84</v>
      </c>
      <c r="I1103">
        <v>25541</v>
      </c>
      <c r="J1103">
        <v>19730</v>
      </c>
    </row>
    <row r="1104" spans="1:10" x14ac:dyDescent="0.3">
      <c r="A1104" t="s">
        <v>1231</v>
      </c>
      <c r="B1104" s="1">
        <v>45998</v>
      </c>
      <c r="C1104" t="s">
        <v>100</v>
      </c>
      <c r="D1104">
        <v>49</v>
      </c>
      <c r="E1104" t="s">
        <v>61</v>
      </c>
      <c r="F1104" t="s">
        <v>114</v>
      </c>
      <c r="G1104" t="s">
        <v>76</v>
      </c>
      <c r="H1104" t="s">
        <v>103</v>
      </c>
      <c r="I1104">
        <v>15867</v>
      </c>
      <c r="J1104">
        <v>18122</v>
      </c>
    </row>
    <row r="1105" spans="1:10" x14ac:dyDescent="0.3">
      <c r="A1105" t="s">
        <v>1232</v>
      </c>
      <c r="B1105" s="1">
        <v>45860</v>
      </c>
      <c r="C1105" t="s">
        <v>11</v>
      </c>
      <c r="D1105">
        <v>30</v>
      </c>
      <c r="E1105" t="s">
        <v>61</v>
      </c>
      <c r="F1105" t="s">
        <v>122</v>
      </c>
      <c r="G1105" t="s">
        <v>135</v>
      </c>
      <c r="H1105" t="s">
        <v>103</v>
      </c>
      <c r="I1105">
        <v>32671</v>
      </c>
      <c r="J1105">
        <v>26086</v>
      </c>
    </row>
    <row r="1106" spans="1:10" x14ac:dyDescent="0.3">
      <c r="A1106" t="s">
        <v>1233</v>
      </c>
      <c r="B1106" s="1">
        <v>45917</v>
      </c>
      <c r="C1106" t="s">
        <v>38</v>
      </c>
      <c r="D1106">
        <v>38</v>
      </c>
      <c r="E1106" t="s">
        <v>70</v>
      </c>
      <c r="F1106" t="s">
        <v>43</v>
      </c>
      <c r="G1106" t="s">
        <v>20</v>
      </c>
      <c r="H1106" t="s">
        <v>96</v>
      </c>
      <c r="I1106">
        <v>29446</v>
      </c>
      <c r="J1106">
        <v>22877</v>
      </c>
    </row>
    <row r="1107" spans="1:10" x14ac:dyDescent="0.3">
      <c r="A1107" t="s">
        <v>1234</v>
      </c>
      <c r="B1107" s="1">
        <v>45866</v>
      </c>
      <c r="C1107" t="s">
        <v>11</v>
      </c>
      <c r="D1107">
        <v>31</v>
      </c>
      <c r="E1107" t="s">
        <v>18</v>
      </c>
      <c r="F1107" t="s">
        <v>114</v>
      </c>
      <c r="G1107" t="s">
        <v>182</v>
      </c>
      <c r="H1107" t="s">
        <v>48</v>
      </c>
      <c r="I1107">
        <v>15339</v>
      </c>
      <c r="J1107">
        <v>16820</v>
      </c>
    </row>
    <row r="1108" spans="1:10" x14ac:dyDescent="0.3">
      <c r="A1108" t="s">
        <v>1235</v>
      </c>
      <c r="B1108" s="1">
        <v>45993</v>
      </c>
      <c r="C1108" t="s">
        <v>100</v>
      </c>
      <c r="D1108">
        <v>49</v>
      </c>
      <c r="E1108" t="s">
        <v>70</v>
      </c>
      <c r="F1108" t="s">
        <v>57</v>
      </c>
      <c r="G1108" t="s">
        <v>93</v>
      </c>
      <c r="H1108" t="s">
        <v>31</v>
      </c>
      <c r="I1108">
        <v>32708</v>
      </c>
      <c r="J1108">
        <v>27604</v>
      </c>
    </row>
    <row r="1109" spans="1:10" x14ac:dyDescent="0.3">
      <c r="A1109" t="s">
        <v>1236</v>
      </c>
      <c r="B1109" s="1">
        <v>45928</v>
      </c>
      <c r="C1109" t="s">
        <v>38</v>
      </c>
      <c r="D1109">
        <v>39</v>
      </c>
      <c r="E1109" t="s">
        <v>18</v>
      </c>
      <c r="F1109" t="s">
        <v>13</v>
      </c>
      <c r="G1109" t="s">
        <v>135</v>
      </c>
      <c r="H1109" t="s">
        <v>36</v>
      </c>
      <c r="I1109">
        <v>15004</v>
      </c>
      <c r="J1109">
        <v>17977</v>
      </c>
    </row>
    <row r="1110" spans="1:10" x14ac:dyDescent="0.3">
      <c r="A1110" t="s">
        <v>1237</v>
      </c>
      <c r="B1110" s="1">
        <v>45770</v>
      </c>
      <c r="C1110" t="s">
        <v>86</v>
      </c>
      <c r="D1110">
        <v>17</v>
      </c>
      <c r="E1110" t="s">
        <v>61</v>
      </c>
      <c r="F1110" t="s">
        <v>29</v>
      </c>
      <c r="G1110" t="s">
        <v>14</v>
      </c>
      <c r="H1110" t="s">
        <v>151</v>
      </c>
      <c r="I1110">
        <v>16695</v>
      </c>
      <c r="J1110">
        <v>20590</v>
      </c>
    </row>
    <row r="1111" spans="1:10" x14ac:dyDescent="0.3">
      <c r="A1111" t="s">
        <v>1238</v>
      </c>
      <c r="B1111" s="1">
        <v>45779</v>
      </c>
      <c r="C1111" t="s">
        <v>90</v>
      </c>
      <c r="D1111">
        <v>18</v>
      </c>
      <c r="E1111" t="s">
        <v>70</v>
      </c>
      <c r="F1111" t="s">
        <v>193</v>
      </c>
      <c r="G1111" t="s">
        <v>132</v>
      </c>
      <c r="H1111" t="s">
        <v>211</v>
      </c>
      <c r="I1111">
        <v>33422</v>
      </c>
      <c r="J1111">
        <v>36688</v>
      </c>
    </row>
    <row r="1112" spans="1:10" x14ac:dyDescent="0.3">
      <c r="A1112" t="s">
        <v>1239</v>
      </c>
      <c r="B1112" s="1">
        <v>45858</v>
      </c>
      <c r="C1112" t="s">
        <v>11</v>
      </c>
      <c r="D1112">
        <v>29</v>
      </c>
      <c r="E1112" t="s">
        <v>24</v>
      </c>
      <c r="F1112" t="s">
        <v>13</v>
      </c>
      <c r="G1112" t="s">
        <v>107</v>
      </c>
      <c r="H1112" t="s">
        <v>31</v>
      </c>
      <c r="I1112">
        <v>22932</v>
      </c>
      <c r="J1112">
        <v>19472</v>
      </c>
    </row>
    <row r="1113" spans="1:10" x14ac:dyDescent="0.3">
      <c r="A1113" t="s">
        <v>1240</v>
      </c>
      <c r="B1113" s="1">
        <v>45676</v>
      </c>
      <c r="C1113" t="s">
        <v>17</v>
      </c>
      <c r="D1113">
        <v>3</v>
      </c>
      <c r="E1113" t="s">
        <v>24</v>
      </c>
      <c r="F1113" t="s">
        <v>43</v>
      </c>
      <c r="G1113" t="s">
        <v>149</v>
      </c>
      <c r="H1113" t="s">
        <v>68</v>
      </c>
      <c r="I1113">
        <v>39200</v>
      </c>
      <c r="J1113">
        <v>39829</v>
      </c>
    </row>
    <row r="1114" spans="1:10" x14ac:dyDescent="0.3">
      <c r="A1114" t="s">
        <v>1241</v>
      </c>
      <c r="B1114" s="1">
        <v>45844</v>
      </c>
      <c r="C1114" t="s">
        <v>11</v>
      </c>
      <c r="D1114">
        <v>27</v>
      </c>
      <c r="E1114" t="s">
        <v>33</v>
      </c>
      <c r="F1114" t="s">
        <v>140</v>
      </c>
      <c r="G1114" t="s">
        <v>47</v>
      </c>
      <c r="H1114" t="s">
        <v>155</v>
      </c>
      <c r="I1114">
        <v>24870</v>
      </c>
      <c r="J1114">
        <v>21432</v>
      </c>
    </row>
    <row r="1115" spans="1:10" x14ac:dyDescent="0.3">
      <c r="A1115" t="s">
        <v>1242</v>
      </c>
      <c r="B1115" s="1">
        <v>45981</v>
      </c>
      <c r="C1115" t="s">
        <v>23</v>
      </c>
      <c r="D1115">
        <v>47</v>
      </c>
      <c r="E1115" t="s">
        <v>24</v>
      </c>
      <c r="F1115" t="s">
        <v>140</v>
      </c>
      <c r="G1115" t="s">
        <v>326</v>
      </c>
      <c r="H1115" t="s">
        <v>163</v>
      </c>
      <c r="I1115">
        <v>37470</v>
      </c>
      <c r="J1115">
        <v>32352</v>
      </c>
    </row>
    <row r="1116" spans="1:10" x14ac:dyDescent="0.3">
      <c r="A1116" t="s">
        <v>1243</v>
      </c>
      <c r="B1116" s="1">
        <v>45799</v>
      </c>
      <c r="C1116" t="s">
        <v>90</v>
      </c>
      <c r="D1116">
        <v>21</v>
      </c>
      <c r="E1116" t="s">
        <v>18</v>
      </c>
      <c r="F1116" t="s">
        <v>75</v>
      </c>
      <c r="G1116" t="s">
        <v>110</v>
      </c>
      <c r="H1116" t="s">
        <v>103</v>
      </c>
      <c r="I1116">
        <v>35871</v>
      </c>
      <c r="J1116">
        <v>38574</v>
      </c>
    </row>
    <row r="1117" spans="1:10" x14ac:dyDescent="0.3">
      <c r="A1117" t="s">
        <v>1244</v>
      </c>
      <c r="B1117" s="1">
        <v>45899</v>
      </c>
      <c r="C1117" t="s">
        <v>113</v>
      </c>
      <c r="D1117">
        <v>35</v>
      </c>
      <c r="E1117" t="s">
        <v>70</v>
      </c>
      <c r="F1117" t="s">
        <v>109</v>
      </c>
      <c r="G1117" t="s">
        <v>147</v>
      </c>
      <c r="H1117" t="s">
        <v>48</v>
      </c>
      <c r="I1117">
        <v>17234</v>
      </c>
      <c r="J1117">
        <v>21190</v>
      </c>
    </row>
    <row r="1118" spans="1:10" x14ac:dyDescent="0.3">
      <c r="A1118" t="s">
        <v>1245</v>
      </c>
      <c r="B1118" s="1">
        <v>45861</v>
      </c>
      <c r="C1118" t="s">
        <v>11</v>
      </c>
      <c r="D1118">
        <v>30</v>
      </c>
      <c r="E1118" t="s">
        <v>24</v>
      </c>
      <c r="F1118" t="s">
        <v>62</v>
      </c>
      <c r="G1118" t="s">
        <v>20</v>
      </c>
      <c r="H1118" t="s">
        <v>15</v>
      </c>
      <c r="I1118">
        <v>35841</v>
      </c>
      <c r="J1118">
        <v>34274</v>
      </c>
    </row>
    <row r="1119" spans="1:10" x14ac:dyDescent="0.3">
      <c r="A1119" t="s">
        <v>1246</v>
      </c>
      <c r="B1119" s="1">
        <v>45671</v>
      </c>
      <c r="C1119" t="s">
        <v>17</v>
      </c>
      <c r="D1119">
        <v>3</v>
      </c>
      <c r="E1119" t="s">
        <v>33</v>
      </c>
      <c r="F1119" t="s">
        <v>34</v>
      </c>
      <c r="G1119" t="s">
        <v>132</v>
      </c>
      <c r="H1119" t="s">
        <v>103</v>
      </c>
      <c r="I1119">
        <v>39674</v>
      </c>
      <c r="J1119">
        <v>42268</v>
      </c>
    </row>
    <row r="1120" spans="1:10" x14ac:dyDescent="0.3">
      <c r="A1120" t="s">
        <v>1247</v>
      </c>
      <c r="B1120" s="1">
        <v>45979</v>
      </c>
      <c r="C1120" t="s">
        <v>23</v>
      </c>
      <c r="D1120">
        <v>47</v>
      </c>
      <c r="E1120" t="s">
        <v>61</v>
      </c>
      <c r="F1120" t="s">
        <v>140</v>
      </c>
      <c r="G1120" t="s">
        <v>118</v>
      </c>
      <c r="H1120" t="s">
        <v>163</v>
      </c>
      <c r="I1120">
        <v>37467</v>
      </c>
      <c r="J1120">
        <v>41429</v>
      </c>
    </row>
    <row r="1121" spans="1:10" x14ac:dyDescent="0.3">
      <c r="A1121" t="s">
        <v>1248</v>
      </c>
      <c r="B1121" s="1">
        <v>45921</v>
      </c>
      <c r="C1121" t="s">
        <v>38</v>
      </c>
      <c r="D1121">
        <v>38</v>
      </c>
      <c r="E1121" t="s">
        <v>18</v>
      </c>
      <c r="F1121" t="s">
        <v>92</v>
      </c>
      <c r="G1121" t="s">
        <v>35</v>
      </c>
      <c r="H1121" t="s">
        <v>36</v>
      </c>
      <c r="I1121">
        <v>38528</v>
      </c>
      <c r="J1121">
        <v>49538</v>
      </c>
    </row>
    <row r="1122" spans="1:10" x14ac:dyDescent="0.3">
      <c r="A1122" t="s">
        <v>1249</v>
      </c>
      <c r="B1122" s="1">
        <v>45910</v>
      </c>
      <c r="C1122" t="s">
        <v>38</v>
      </c>
      <c r="D1122">
        <v>37</v>
      </c>
      <c r="E1122" t="s">
        <v>61</v>
      </c>
      <c r="F1122" t="s">
        <v>57</v>
      </c>
      <c r="G1122" t="s">
        <v>72</v>
      </c>
      <c r="H1122" t="s">
        <v>59</v>
      </c>
      <c r="I1122">
        <v>27208</v>
      </c>
      <c r="J1122">
        <v>27594</v>
      </c>
    </row>
    <row r="1123" spans="1:10" x14ac:dyDescent="0.3">
      <c r="A1123" t="s">
        <v>1250</v>
      </c>
      <c r="B1123" s="1">
        <v>46021</v>
      </c>
      <c r="C1123" t="s">
        <v>100</v>
      </c>
      <c r="D1123">
        <v>1</v>
      </c>
      <c r="E1123" t="s">
        <v>24</v>
      </c>
      <c r="F1123" t="s">
        <v>43</v>
      </c>
      <c r="G1123" t="s">
        <v>93</v>
      </c>
      <c r="H1123" t="s">
        <v>119</v>
      </c>
      <c r="I1123">
        <v>33344</v>
      </c>
      <c r="J1123">
        <v>38874</v>
      </c>
    </row>
    <row r="1124" spans="1:10" x14ac:dyDescent="0.3">
      <c r="A1124" t="s">
        <v>1251</v>
      </c>
      <c r="B1124" s="1">
        <v>45864</v>
      </c>
      <c r="C1124" t="s">
        <v>11</v>
      </c>
      <c r="D1124">
        <v>30</v>
      </c>
      <c r="E1124" t="s">
        <v>33</v>
      </c>
      <c r="F1124" t="s">
        <v>29</v>
      </c>
      <c r="G1124" t="s">
        <v>201</v>
      </c>
      <c r="H1124" t="s">
        <v>48</v>
      </c>
      <c r="I1124">
        <v>37043</v>
      </c>
      <c r="J1124">
        <v>27150</v>
      </c>
    </row>
    <row r="1125" spans="1:10" x14ac:dyDescent="0.3">
      <c r="A1125" t="s">
        <v>1252</v>
      </c>
      <c r="B1125" s="1">
        <v>45797</v>
      </c>
      <c r="C1125" t="s">
        <v>90</v>
      </c>
      <c r="D1125">
        <v>21</v>
      </c>
      <c r="E1125" t="s">
        <v>18</v>
      </c>
      <c r="F1125" t="s">
        <v>87</v>
      </c>
      <c r="G1125" t="s">
        <v>102</v>
      </c>
      <c r="H1125" t="s">
        <v>155</v>
      </c>
      <c r="I1125">
        <v>27659</v>
      </c>
      <c r="J1125">
        <v>34336</v>
      </c>
    </row>
    <row r="1126" spans="1:10" x14ac:dyDescent="0.3">
      <c r="A1126" t="s">
        <v>1253</v>
      </c>
      <c r="B1126" s="1">
        <v>45883</v>
      </c>
      <c r="C1126" t="s">
        <v>113</v>
      </c>
      <c r="D1126">
        <v>33</v>
      </c>
      <c r="E1126" t="s">
        <v>61</v>
      </c>
      <c r="F1126" t="s">
        <v>101</v>
      </c>
      <c r="G1126" t="s">
        <v>88</v>
      </c>
      <c r="H1126" t="s">
        <v>80</v>
      </c>
      <c r="I1126">
        <v>30783</v>
      </c>
      <c r="J1126">
        <v>27651</v>
      </c>
    </row>
    <row r="1127" spans="1:10" x14ac:dyDescent="0.3">
      <c r="A1127" t="s">
        <v>1254</v>
      </c>
      <c r="B1127" s="1">
        <v>45887</v>
      </c>
      <c r="C1127" t="s">
        <v>113</v>
      </c>
      <c r="D1127">
        <v>34</v>
      </c>
      <c r="E1127" t="s">
        <v>33</v>
      </c>
      <c r="F1127" t="s">
        <v>29</v>
      </c>
      <c r="G1127" t="s">
        <v>132</v>
      </c>
      <c r="H1127" t="s">
        <v>157</v>
      </c>
      <c r="I1127">
        <v>32469</v>
      </c>
      <c r="J1127">
        <v>40002</v>
      </c>
    </row>
    <row r="1128" spans="1:10" x14ac:dyDescent="0.3">
      <c r="A1128" t="s">
        <v>1255</v>
      </c>
      <c r="B1128" s="1">
        <v>45850</v>
      </c>
      <c r="C1128" t="s">
        <v>11</v>
      </c>
      <c r="D1128">
        <v>28</v>
      </c>
      <c r="E1128" t="s">
        <v>24</v>
      </c>
      <c r="F1128" t="s">
        <v>25</v>
      </c>
      <c r="G1128" t="s">
        <v>135</v>
      </c>
      <c r="H1128" t="s">
        <v>98</v>
      </c>
      <c r="I1128">
        <v>38046</v>
      </c>
      <c r="J1128">
        <v>46138</v>
      </c>
    </row>
    <row r="1129" spans="1:10" x14ac:dyDescent="0.3">
      <c r="A1129" t="s">
        <v>1256</v>
      </c>
      <c r="B1129" s="1">
        <v>45993</v>
      </c>
      <c r="C1129" t="s">
        <v>100</v>
      </c>
      <c r="D1129">
        <v>49</v>
      </c>
      <c r="E1129" t="s">
        <v>39</v>
      </c>
      <c r="F1129" t="s">
        <v>78</v>
      </c>
      <c r="G1129" t="s">
        <v>63</v>
      </c>
      <c r="H1129" t="s">
        <v>31</v>
      </c>
      <c r="I1129">
        <v>20752</v>
      </c>
      <c r="J1129">
        <v>16943</v>
      </c>
    </row>
    <row r="1130" spans="1:10" x14ac:dyDescent="0.3">
      <c r="A1130" t="s">
        <v>1257</v>
      </c>
      <c r="B1130" s="1">
        <v>45852</v>
      </c>
      <c r="C1130" t="s">
        <v>11</v>
      </c>
      <c r="D1130">
        <v>29</v>
      </c>
      <c r="E1130" t="s">
        <v>12</v>
      </c>
      <c r="F1130" t="s">
        <v>122</v>
      </c>
      <c r="G1130" t="s">
        <v>234</v>
      </c>
      <c r="H1130" t="s">
        <v>133</v>
      </c>
      <c r="I1130">
        <v>38564</v>
      </c>
      <c r="J1130">
        <v>47752</v>
      </c>
    </row>
    <row r="1131" spans="1:10" x14ac:dyDescent="0.3">
      <c r="A1131" t="s">
        <v>1258</v>
      </c>
      <c r="B1131" s="1">
        <v>45979</v>
      </c>
      <c r="C1131" t="s">
        <v>23</v>
      </c>
      <c r="D1131">
        <v>47</v>
      </c>
      <c r="E1131" t="s">
        <v>24</v>
      </c>
      <c r="F1131" t="s">
        <v>50</v>
      </c>
      <c r="G1131" t="s">
        <v>20</v>
      </c>
      <c r="H1131" t="s">
        <v>155</v>
      </c>
      <c r="I1131">
        <v>19287</v>
      </c>
      <c r="J1131">
        <v>17187</v>
      </c>
    </row>
    <row r="1132" spans="1:10" x14ac:dyDescent="0.3">
      <c r="A1132" t="s">
        <v>1259</v>
      </c>
      <c r="B1132" s="1">
        <v>46018</v>
      </c>
      <c r="C1132" t="s">
        <v>100</v>
      </c>
      <c r="D1132">
        <v>52</v>
      </c>
      <c r="E1132" t="s">
        <v>39</v>
      </c>
      <c r="F1132" t="s">
        <v>109</v>
      </c>
      <c r="G1132" t="s">
        <v>149</v>
      </c>
      <c r="H1132" t="s">
        <v>123</v>
      </c>
      <c r="I1132">
        <v>21794</v>
      </c>
      <c r="J1132">
        <v>18223</v>
      </c>
    </row>
    <row r="1133" spans="1:10" x14ac:dyDescent="0.3">
      <c r="A1133" t="s">
        <v>1260</v>
      </c>
      <c r="B1133" s="1">
        <v>45923</v>
      </c>
      <c r="C1133" t="s">
        <v>38</v>
      </c>
      <c r="D1133">
        <v>39</v>
      </c>
      <c r="E1133" t="s">
        <v>70</v>
      </c>
      <c r="F1133" t="s">
        <v>50</v>
      </c>
      <c r="G1133" t="s">
        <v>115</v>
      </c>
      <c r="H1133" t="s">
        <v>243</v>
      </c>
      <c r="I1133">
        <v>16178</v>
      </c>
      <c r="J1133">
        <v>14492</v>
      </c>
    </row>
    <row r="1134" spans="1:10" x14ac:dyDescent="0.3">
      <c r="A1134" t="s">
        <v>1261</v>
      </c>
      <c r="B1134" s="1">
        <v>45976</v>
      </c>
      <c r="C1134" t="s">
        <v>23</v>
      </c>
      <c r="D1134">
        <v>46</v>
      </c>
      <c r="E1134" t="s">
        <v>61</v>
      </c>
      <c r="F1134" t="s">
        <v>29</v>
      </c>
      <c r="G1134" t="s">
        <v>182</v>
      </c>
      <c r="H1134" t="s">
        <v>52</v>
      </c>
      <c r="I1134">
        <v>23127</v>
      </c>
      <c r="J1134">
        <v>23519</v>
      </c>
    </row>
    <row r="1135" spans="1:10" x14ac:dyDescent="0.3">
      <c r="A1135" t="s">
        <v>1262</v>
      </c>
      <c r="B1135" s="1">
        <v>45866</v>
      </c>
      <c r="C1135" t="s">
        <v>11</v>
      </c>
      <c r="D1135">
        <v>31</v>
      </c>
      <c r="E1135" t="s">
        <v>24</v>
      </c>
      <c r="F1135" t="s">
        <v>92</v>
      </c>
      <c r="G1135" t="s">
        <v>201</v>
      </c>
      <c r="H1135" t="s">
        <v>151</v>
      </c>
      <c r="I1135">
        <v>27673</v>
      </c>
      <c r="J1135">
        <v>20037</v>
      </c>
    </row>
    <row r="1136" spans="1:10" x14ac:dyDescent="0.3">
      <c r="A1136" t="s">
        <v>1263</v>
      </c>
      <c r="B1136" s="1">
        <v>45934</v>
      </c>
      <c r="C1136" t="s">
        <v>66</v>
      </c>
      <c r="D1136">
        <v>40</v>
      </c>
      <c r="E1136" t="s">
        <v>18</v>
      </c>
      <c r="F1136" t="s">
        <v>114</v>
      </c>
      <c r="G1136" t="s">
        <v>324</v>
      </c>
      <c r="H1136" t="s">
        <v>41</v>
      </c>
      <c r="I1136">
        <v>38122</v>
      </c>
      <c r="J1136">
        <v>35567</v>
      </c>
    </row>
    <row r="1137" spans="1:10" x14ac:dyDescent="0.3">
      <c r="A1137" t="s">
        <v>1264</v>
      </c>
      <c r="B1137" s="1">
        <v>45855</v>
      </c>
      <c r="C1137" t="s">
        <v>11</v>
      </c>
      <c r="D1137">
        <v>29</v>
      </c>
      <c r="E1137" t="s">
        <v>12</v>
      </c>
      <c r="F1137" t="s">
        <v>43</v>
      </c>
      <c r="G1137" t="s">
        <v>54</v>
      </c>
      <c r="H1137" t="s">
        <v>31</v>
      </c>
      <c r="I1137">
        <v>16463</v>
      </c>
      <c r="J1137">
        <v>14575</v>
      </c>
    </row>
    <row r="1138" spans="1:10" x14ac:dyDescent="0.3">
      <c r="A1138" t="s">
        <v>1265</v>
      </c>
      <c r="B1138" s="1">
        <v>45741</v>
      </c>
      <c r="C1138" t="s">
        <v>95</v>
      </c>
      <c r="D1138">
        <v>13</v>
      </c>
      <c r="E1138" t="s">
        <v>61</v>
      </c>
      <c r="F1138" t="s">
        <v>193</v>
      </c>
      <c r="G1138" t="s">
        <v>130</v>
      </c>
      <c r="H1138" t="s">
        <v>243</v>
      </c>
      <c r="I1138">
        <v>20537</v>
      </c>
      <c r="J1138">
        <v>18436</v>
      </c>
    </row>
    <row r="1139" spans="1:10" x14ac:dyDescent="0.3">
      <c r="A1139" t="s">
        <v>1266</v>
      </c>
      <c r="B1139" s="1">
        <v>45940</v>
      </c>
      <c r="C1139" t="s">
        <v>66</v>
      </c>
      <c r="D1139">
        <v>41</v>
      </c>
      <c r="E1139" t="s">
        <v>70</v>
      </c>
      <c r="F1139" t="s">
        <v>34</v>
      </c>
      <c r="G1139" t="s">
        <v>253</v>
      </c>
      <c r="H1139" t="s">
        <v>133</v>
      </c>
      <c r="I1139">
        <v>23950</v>
      </c>
      <c r="J1139">
        <v>27586</v>
      </c>
    </row>
    <row r="1140" spans="1:10" x14ac:dyDescent="0.3">
      <c r="A1140" t="s">
        <v>1267</v>
      </c>
      <c r="B1140" s="1">
        <v>45664</v>
      </c>
      <c r="C1140" t="s">
        <v>17</v>
      </c>
      <c r="D1140">
        <v>2</v>
      </c>
      <c r="E1140" t="s">
        <v>33</v>
      </c>
      <c r="F1140" t="s">
        <v>78</v>
      </c>
      <c r="G1140" t="s">
        <v>145</v>
      </c>
      <c r="H1140" t="s">
        <v>15</v>
      </c>
      <c r="I1140">
        <v>37940</v>
      </c>
      <c r="J1140">
        <v>33922</v>
      </c>
    </row>
    <row r="1141" spans="1:10" x14ac:dyDescent="0.3">
      <c r="A1141" t="s">
        <v>1268</v>
      </c>
      <c r="B1141" s="1">
        <v>45767</v>
      </c>
      <c r="C1141" t="s">
        <v>86</v>
      </c>
      <c r="D1141">
        <v>16</v>
      </c>
      <c r="E1141" t="s">
        <v>18</v>
      </c>
      <c r="F1141" t="s">
        <v>57</v>
      </c>
      <c r="G1141" t="s">
        <v>147</v>
      </c>
      <c r="H1141" t="s">
        <v>55</v>
      </c>
      <c r="I1141">
        <v>21403</v>
      </c>
      <c r="J1141">
        <v>25138</v>
      </c>
    </row>
    <row r="1142" spans="1:10" x14ac:dyDescent="0.3">
      <c r="A1142" t="s">
        <v>1269</v>
      </c>
      <c r="B1142" s="1">
        <v>45858</v>
      </c>
      <c r="C1142" t="s">
        <v>11</v>
      </c>
      <c r="D1142">
        <v>29</v>
      </c>
      <c r="E1142" t="s">
        <v>39</v>
      </c>
      <c r="F1142" t="s">
        <v>25</v>
      </c>
      <c r="G1142" t="s">
        <v>266</v>
      </c>
      <c r="H1142" t="s">
        <v>151</v>
      </c>
      <c r="I1142">
        <v>30815</v>
      </c>
      <c r="J1142">
        <v>33927</v>
      </c>
    </row>
    <row r="1143" spans="1:10" x14ac:dyDescent="0.3">
      <c r="A1143" t="s">
        <v>1270</v>
      </c>
      <c r="B1143" s="1">
        <v>45744</v>
      </c>
      <c r="C1143" t="s">
        <v>95</v>
      </c>
      <c r="D1143">
        <v>13</v>
      </c>
      <c r="E1143" t="s">
        <v>70</v>
      </c>
      <c r="F1143" t="s">
        <v>140</v>
      </c>
      <c r="G1143" t="s">
        <v>149</v>
      </c>
      <c r="H1143" t="s">
        <v>31</v>
      </c>
      <c r="I1143">
        <v>27782</v>
      </c>
      <c r="J1143">
        <v>30824</v>
      </c>
    </row>
    <row r="1144" spans="1:10" x14ac:dyDescent="0.3">
      <c r="A1144" t="s">
        <v>1271</v>
      </c>
      <c r="B1144" s="1">
        <v>45999</v>
      </c>
      <c r="C1144" t="s">
        <v>100</v>
      </c>
      <c r="D1144">
        <v>50</v>
      </c>
      <c r="E1144" t="s">
        <v>18</v>
      </c>
      <c r="F1144" t="s">
        <v>87</v>
      </c>
      <c r="G1144" t="s">
        <v>14</v>
      </c>
      <c r="H1144" t="s">
        <v>116</v>
      </c>
      <c r="I1144">
        <v>33392</v>
      </c>
      <c r="J1144">
        <v>28592</v>
      </c>
    </row>
    <row r="1145" spans="1:10" x14ac:dyDescent="0.3">
      <c r="A1145" t="s">
        <v>1272</v>
      </c>
      <c r="B1145" s="1">
        <v>45804</v>
      </c>
      <c r="C1145" t="s">
        <v>90</v>
      </c>
      <c r="D1145">
        <v>22</v>
      </c>
      <c r="E1145" t="s">
        <v>61</v>
      </c>
      <c r="F1145" t="s">
        <v>62</v>
      </c>
      <c r="G1145" t="s">
        <v>126</v>
      </c>
      <c r="H1145" t="s">
        <v>15</v>
      </c>
      <c r="I1145">
        <v>26999</v>
      </c>
      <c r="J1145">
        <v>21568</v>
      </c>
    </row>
    <row r="1146" spans="1:10" x14ac:dyDescent="0.3">
      <c r="A1146" t="s">
        <v>1273</v>
      </c>
      <c r="B1146" s="1">
        <v>45867</v>
      </c>
      <c r="C1146" t="s">
        <v>11</v>
      </c>
      <c r="D1146">
        <v>31</v>
      </c>
      <c r="E1146" t="s">
        <v>12</v>
      </c>
      <c r="F1146" t="s">
        <v>109</v>
      </c>
      <c r="G1146" t="s">
        <v>51</v>
      </c>
      <c r="H1146" t="s">
        <v>68</v>
      </c>
      <c r="I1146">
        <v>30288</v>
      </c>
      <c r="J1146">
        <v>24569</v>
      </c>
    </row>
    <row r="1147" spans="1:10" x14ac:dyDescent="0.3">
      <c r="A1147" t="s">
        <v>1274</v>
      </c>
      <c r="B1147" s="1">
        <v>45965</v>
      </c>
      <c r="C1147" t="s">
        <v>23</v>
      </c>
      <c r="D1147">
        <v>45</v>
      </c>
      <c r="E1147" t="s">
        <v>39</v>
      </c>
      <c r="F1147" t="s">
        <v>43</v>
      </c>
      <c r="G1147" t="s">
        <v>72</v>
      </c>
      <c r="H1147" t="s">
        <v>68</v>
      </c>
      <c r="I1147">
        <v>29381</v>
      </c>
      <c r="J1147">
        <v>29275</v>
      </c>
    </row>
    <row r="1148" spans="1:10" x14ac:dyDescent="0.3">
      <c r="A1148" t="s">
        <v>1275</v>
      </c>
      <c r="B1148" s="1">
        <v>45772</v>
      </c>
      <c r="C1148" t="s">
        <v>86</v>
      </c>
      <c r="D1148">
        <v>17</v>
      </c>
      <c r="E1148" t="s">
        <v>39</v>
      </c>
      <c r="F1148" t="s">
        <v>122</v>
      </c>
      <c r="G1148" t="s">
        <v>72</v>
      </c>
      <c r="H1148" t="s">
        <v>188</v>
      </c>
      <c r="I1148">
        <v>36277</v>
      </c>
      <c r="J1148">
        <v>45203</v>
      </c>
    </row>
    <row r="1149" spans="1:10" x14ac:dyDescent="0.3">
      <c r="A1149" t="s">
        <v>1276</v>
      </c>
      <c r="B1149" s="1">
        <v>45730</v>
      </c>
      <c r="C1149" t="s">
        <v>95</v>
      </c>
      <c r="D1149">
        <v>11</v>
      </c>
      <c r="E1149" t="s">
        <v>18</v>
      </c>
      <c r="F1149" t="s">
        <v>101</v>
      </c>
      <c r="G1149" t="s">
        <v>54</v>
      </c>
      <c r="H1149" t="s">
        <v>68</v>
      </c>
      <c r="I1149">
        <v>19386</v>
      </c>
      <c r="J1149">
        <v>22680</v>
      </c>
    </row>
    <row r="1150" spans="1:10" x14ac:dyDescent="0.3">
      <c r="A1150" t="s">
        <v>1277</v>
      </c>
      <c r="B1150" s="1">
        <v>45698</v>
      </c>
      <c r="C1150" t="s">
        <v>82</v>
      </c>
      <c r="D1150">
        <v>7</v>
      </c>
      <c r="E1150" t="s">
        <v>18</v>
      </c>
      <c r="F1150" t="s">
        <v>75</v>
      </c>
      <c r="G1150" t="s">
        <v>291</v>
      </c>
      <c r="H1150" t="s">
        <v>116</v>
      </c>
      <c r="I1150">
        <v>39358</v>
      </c>
      <c r="J1150">
        <v>42695</v>
      </c>
    </row>
    <row r="1151" spans="1:10" x14ac:dyDescent="0.3">
      <c r="A1151" t="s">
        <v>1278</v>
      </c>
      <c r="B1151" s="1">
        <v>45694</v>
      </c>
      <c r="C1151" t="s">
        <v>82</v>
      </c>
      <c r="D1151">
        <v>6</v>
      </c>
      <c r="E1151" t="s">
        <v>70</v>
      </c>
      <c r="F1151" t="s">
        <v>75</v>
      </c>
      <c r="G1151" t="s">
        <v>230</v>
      </c>
      <c r="H1151" t="s">
        <v>21</v>
      </c>
      <c r="I1151">
        <v>20909</v>
      </c>
      <c r="J1151">
        <v>26246</v>
      </c>
    </row>
    <row r="1152" spans="1:10" x14ac:dyDescent="0.3">
      <c r="A1152" t="s">
        <v>1279</v>
      </c>
      <c r="B1152" s="1">
        <v>45862</v>
      </c>
      <c r="C1152" t="s">
        <v>11</v>
      </c>
      <c r="D1152">
        <v>30</v>
      </c>
      <c r="E1152" t="s">
        <v>33</v>
      </c>
      <c r="F1152" t="s">
        <v>75</v>
      </c>
      <c r="G1152" t="s">
        <v>88</v>
      </c>
      <c r="H1152" t="s">
        <v>123</v>
      </c>
      <c r="I1152">
        <v>38962</v>
      </c>
      <c r="J1152">
        <v>47351</v>
      </c>
    </row>
    <row r="1153" spans="1:10" x14ac:dyDescent="0.3">
      <c r="A1153" t="s">
        <v>1280</v>
      </c>
      <c r="B1153" s="1">
        <v>45989</v>
      </c>
      <c r="C1153" t="s">
        <v>23</v>
      </c>
      <c r="D1153">
        <v>48</v>
      </c>
      <c r="E1153" t="s">
        <v>33</v>
      </c>
      <c r="F1153" t="s">
        <v>57</v>
      </c>
      <c r="G1153" t="s">
        <v>171</v>
      </c>
      <c r="H1153" t="s">
        <v>55</v>
      </c>
      <c r="I1153">
        <v>36915</v>
      </c>
      <c r="J1153">
        <v>29572</v>
      </c>
    </row>
    <row r="1154" spans="1:10" x14ac:dyDescent="0.3">
      <c r="A1154" t="s">
        <v>1281</v>
      </c>
      <c r="B1154" s="1">
        <v>45989</v>
      </c>
      <c r="C1154" t="s">
        <v>23</v>
      </c>
      <c r="D1154">
        <v>48</v>
      </c>
      <c r="E1154" t="s">
        <v>70</v>
      </c>
      <c r="F1154" t="s">
        <v>34</v>
      </c>
      <c r="G1154" t="s">
        <v>137</v>
      </c>
      <c r="H1154" t="s">
        <v>84</v>
      </c>
      <c r="I1154">
        <v>32415</v>
      </c>
      <c r="J1154">
        <v>24677</v>
      </c>
    </row>
    <row r="1155" spans="1:10" x14ac:dyDescent="0.3">
      <c r="A1155" t="s">
        <v>1282</v>
      </c>
      <c r="B1155" s="1">
        <v>45705</v>
      </c>
      <c r="C1155" t="s">
        <v>82</v>
      </c>
      <c r="D1155">
        <v>8</v>
      </c>
      <c r="E1155" t="s">
        <v>24</v>
      </c>
      <c r="F1155" t="s">
        <v>34</v>
      </c>
      <c r="G1155" t="s">
        <v>326</v>
      </c>
      <c r="H1155" t="s">
        <v>111</v>
      </c>
      <c r="I1155">
        <v>26190</v>
      </c>
      <c r="J1155">
        <v>27133</v>
      </c>
    </row>
    <row r="1156" spans="1:10" x14ac:dyDescent="0.3">
      <c r="A1156" t="s">
        <v>1283</v>
      </c>
      <c r="B1156" s="1">
        <v>45928</v>
      </c>
      <c r="C1156" t="s">
        <v>38</v>
      </c>
      <c r="D1156">
        <v>39</v>
      </c>
      <c r="E1156" t="s">
        <v>18</v>
      </c>
      <c r="F1156" t="s">
        <v>25</v>
      </c>
      <c r="G1156" t="s">
        <v>63</v>
      </c>
      <c r="H1156" t="s">
        <v>80</v>
      </c>
      <c r="I1156">
        <v>18529</v>
      </c>
      <c r="J1156">
        <v>16406</v>
      </c>
    </row>
    <row r="1157" spans="1:10" x14ac:dyDescent="0.3">
      <c r="A1157" t="s">
        <v>1284</v>
      </c>
      <c r="B1157" s="1">
        <v>45705</v>
      </c>
      <c r="C1157" t="s">
        <v>82</v>
      </c>
      <c r="D1157">
        <v>8</v>
      </c>
      <c r="E1157" t="s">
        <v>39</v>
      </c>
      <c r="F1157" t="s">
        <v>62</v>
      </c>
      <c r="G1157" t="s">
        <v>128</v>
      </c>
      <c r="H1157" t="s">
        <v>188</v>
      </c>
      <c r="I1157">
        <v>26816</v>
      </c>
      <c r="J1157">
        <v>30854</v>
      </c>
    </row>
    <row r="1158" spans="1:10" x14ac:dyDescent="0.3">
      <c r="A1158" t="s">
        <v>1285</v>
      </c>
      <c r="B1158" s="1">
        <v>45967</v>
      </c>
      <c r="C1158" t="s">
        <v>23</v>
      </c>
      <c r="D1158">
        <v>45</v>
      </c>
      <c r="E1158" t="s">
        <v>12</v>
      </c>
      <c r="F1158" t="s">
        <v>25</v>
      </c>
      <c r="G1158" t="s">
        <v>201</v>
      </c>
      <c r="H1158" t="s">
        <v>64</v>
      </c>
      <c r="I1158">
        <v>18917</v>
      </c>
      <c r="J1158">
        <v>14359</v>
      </c>
    </row>
    <row r="1159" spans="1:10" x14ac:dyDescent="0.3">
      <c r="A1159" t="s">
        <v>1286</v>
      </c>
      <c r="B1159" s="1">
        <v>45870</v>
      </c>
      <c r="C1159" t="s">
        <v>113</v>
      </c>
      <c r="D1159">
        <v>31</v>
      </c>
      <c r="E1159" t="s">
        <v>18</v>
      </c>
      <c r="F1159" t="s">
        <v>140</v>
      </c>
      <c r="G1159" t="s">
        <v>51</v>
      </c>
      <c r="H1159" t="s">
        <v>151</v>
      </c>
      <c r="I1159">
        <v>30158</v>
      </c>
      <c r="J1159">
        <v>33925</v>
      </c>
    </row>
    <row r="1160" spans="1:10" x14ac:dyDescent="0.3">
      <c r="A1160" t="s">
        <v>1287</v>
      </c>
      <c r="B1160" s="1">
        <v>45825</v>
      </c>
      <c r="C1160" t="s">
        <v>74</v>
      </c>
      <c r="D1160">
        <v>25</v>
      </c>
      <c r="E1160" t="s">
        <v>39</v>
      </c>
      <c r="F1160" t="s">
        <v>75</v>
      </c>
      <c r="G1160" t="s">
        <v>182</v>
      </c>
      <c r="H1160" t="s">
        <v>84</v>
      </c>
      <c r="I1160">
        <v>29816</v>
      </c>
      <c r="J1160">
        <v>23566</v>
      </c>
    </row>
    <row r="1161" spans="1:10" x14ac:dyDescent="0.3">
      <c r="A1161" t="s">
        <v>1288</v>
      </c>
      <c r="B1161" s="1">
        <v>45871</v>
      </c>
      <c r="C1161" t="s">
        <v>113</v>
      </c>
      <c r="D1161">
        <v>31</v>
      </c>
      <c r="E1161" t="s">
        <v>12</v>
      </c>
      <c r="F1161" t="s">
        <v>57</v>
      </c>
      <c r="G1161" t="s">
        <v>201</v>
      </c>
      <c r="H1161" t="s">
        <v>27</v>
      </c>
      <c r="I1161">
        <v>27453</v>
      </c>
      <c r="J1161">
        <v>26333</v>
      </c>
    </row>
    <row r="1162" spans="1:10" x14ac:dyDescent="0.3">
      <c r="A1162" t="s">
        <v>1289</v>
      </c>
      <c r="B1162" s="1">
        <v>45757</v>
      </c>
      <c r="C1162" t="s">
        <v>86</v>
      </c>
      <c r="D1162">
        <v>15</v>
      </c>
      <c r="E1162" t="s">
        <v>12</v>
      </c>
      <c r="F1162" t="s">
        <v>75</v>
      </c>
      <c r="G1162" t="s">
        <v>83</v>
      </c>
      <c r="H1162" t="s">
        <v>151</v>
      </c>
      <c r="I1162">
        <v>25788</v>
      </c>
      <c r="J1162">
        <v>20947</v>
      </c>
    </row>
    <row r="1163" spans="1:10" x14ac:dyDescent="0.3">
      <c r="A1163" t="s">
        <v>1290</v>
      </c>
      <c r="B1163" s="1">
        <v>45964</v>
      </c>
      <c r="C1163" t="s">
        <v>23</v>
      </c>
      <c r="D1163">
        <v>45</v>
      </c>
      <c r="E1163" t="s">
        <v>61</v>
      </c>
      <c r="F1163" t="s">
        <v>109</v>
      </c>
      <c r="G1163" t="s">
        <v>130</v>
      </c>
      <c r="H1163" t="s">
        <v>36</v>
      </c>
      <c r="I1163">
        <v>35900</v>
      </c>
      <c r="J1163">
        <v>45098</v>
      </c>
    </row>
    <row r="1164" spans="1:10" x14ac:dyDescent="0.3">
      <c r="A1164" t="s">
        <v>1291</v>
      </c>
      <c r="B1164" s="1">
        <v>45774</v>
      </c>
      <c r="C1164" t="s">
        <v>86</v>
      </c>
      <c r="D1164">
        <v>17</v>
      </c>
      <c r="E1164" t="s">
        <v>39</v>
      </c>
      <c r="F1164" t="s">
        <v>19</v>
      </c>
      <c r="G1164" t="s">
        <v>206</v>
      </c>
      <c r="H1164" t="s">
        <v>243</v>
      </c>
      <c r="I1164">
        <v>19501</v>
      </c>
      <c r="J1164">
        <v>16361</v>
      </c>
    </row>
    <row r="1165" spans="1:10" x14ac:dyDescent="0.3">
      <c r="A1165" t="s">
        <v>1292</v>
      </c>
      <c r="B1165" s="1">
        <v>45777</v>
      </c>
      <c r="C1165" t="s">
        <v>86</v>
      </c>
      <c r="D1165">
        <v>18</v>
      </c>
      <c r="E1165" t="s">
        <v>61</v>
      </c>
      <c r="F1165" t="s">
        <v>62</v>
      </c>
      <c r="G1165" t="s">
        <v>79</v>
      </c>
      <c r="H1165" t="s">
        <v>64</v>
      </c>
      <c r="I1165">
        <v>17454</v>
      </c>
      <c r="J1165">
        <v>20960</v>
      </c>
    </row>
    <row r="1166" spans="1:10" x14ac:dyDescent="0.3">
      <c r="A1166" t="s">
        <v>1293</v>
      </c>
      <c r="B1166" s="1">
        <v>45918</v>
      </c>
      <c r="C1166" t="s">
        <v>38</v>
      </c>
      <c r="D1166">
        <v>38</v>
      </c>
      <c r="E1166" t="s">
        <v>33</v>
      </c>
      <c r="F1166" t="s">
        <v>87</v>
      </c>
      <c r="G1166" t="s">
        <v>199</v>
      </c>
      <c r="H1166" t="s">
        <v>103</v>
      </c>
      <c r="I1166">
        <v>19243</v>
      </c>
      <c r="J1166">
        <v>18061</v>
      </c>
    </row>
    <row r="1167" spans="1:10" x14ac:dyDescent="0.3">
      <c r="A1167" t="s">
        <v>1294</v>
      </c>
      <c r="B1167" s="1">
        <v>45660</v>
      </c>
      <c r="C1167" t="s">
        <v>17</v>
      </c>
      <c r="D1167">
        <v>1</v>
      </c>
      <c r="E1167" t="s">
        <v>39</v>
      </c>
      <c r="F1167" t="s">
        <v>101</v>
      </c>
      <c r="G1167" t="s">
        <v>182</v>
      </c>
      <c r="H1167" t="s">
        <v>111</v>
      </c>
      <c r="I1167">
        <v>35124</v>
      </c>
      <c r="J1167">
        <v>38216</v>
      </c>
    </row>
    <row r="1168" spans="1:10" x14ac:dyDescent="0.3">
      <c r="A1168" t="s">
        <v>1295</v>
      </c>
      <c r="B1168" s="1">
        <v>45927</v>
      </c>
      <c r="C1168" t="s">
        <v>38</v>
      </c>
      <c r="D1168">
        <v>39</v>
      </c>
      <c r="E1168" t="s">
        <v>18</v>
      </c>
      <c r="F1168" t="s">
        <v>50</v>
      </c>
      <c r="G1168" t="s">
        <v>102</v>
      </c>
      <c r="H1168" t="s">
        <v>80</v>
      </c>
      <c r="I1168">
        <v>15557</v>
      </c>
      <c r="J1168">
        <v>19250</v>
      </c>
    </row>
    <row r="1169" spans="1:10" x14ac:dyDescent="0.3">
      <c r="A1169" t="s">
        <v>1296</v>
      </c>
      <c r="B1169" s="1">
        <v>45955</v>
      </c>
      <c r="C1169" t="s">
        <v>66</v>
      </c>
      <c r="D1169">
        <v>43</v>
      </c>
      <c r="E1169" t="s">
        <v>39</v>
      </c>
      <c r="F1169" t="s">
        <v>92</v>
      </c>
      <c r="G1169" t="s">
        <v>132</v>
      </c>
      <c r="H1169" t="s">
        <v>52</v>
      </c>
      <c r="I1169">
        <v>29723</v>
      </c>
      <c r="J1169">
        <v>21927</v>
      </c>
    </row>
    <row r="1170" spans="1:10" x14ac:dyDescent="0.3">
      <c r="A1170" t="s">
        <v>1297</v>
      </c>
      <c r="B1170" s="1">
        <v>45996</v>
      </c>
      <c r="C1170" t="s">
        <v>100</v>
      </c>
      <c r="D1170">
        <v>49</v>
      </c>
      <c r="E1170" t="s">
        <v>61</v>
      </c>
      <c r="F1170" t="s">
        <v>57</v>
      </c>
      <c r="G1170" t="s">
        <v>93</v>
      </c>
      <c r="H1170" t="s">
        <v>211</v>
      </c>
      <c r="I1170">
        <v>29984</v>
      </c>
      <c r="J1170">
        <v>25852</v>
      </c>
    </row>
    <row r="1171" spans="1:10" x14ac:dyDescent="0.3">
      <c r="A1171" t="s">
        <v>1298</v>
      </c>
      <c r="B1171" s="1">
        <v>45826</v>
      </c>
      <c r="C1171" t="s">
        <v>74</v>
      </c>
      <c r="D1171">
        <v>25</v>
      </c>
      <c r="E1171" t="s">
        <v>39</v>
      </c>
      <c r="F1171" t="s">
        <v>19</v>
      </c>
      <c r="G1171" t="s">
        <v>51</v>
      </c>
      <c r="H1171" t="s">
        <v>31</v>
      </c>
      <c r="I1171">
        <v>39520</v>
      </c>
      <c r="J1171">
        <v>34366</v>
      </c>
    </row>
    <row r="1172" spans="1:10" x14ac:dyDescent="0.3">
      <c r="A1172" t="s">
        <v>1299</v>
      </c>
      <c r="B1172" s="1">
        <v>46016</v>
      </c>
      <c r="C1172" t="s">
        <v>100</v>
      </c>
      <c r="D1172">
        <v>52</v>
      </c>
      <c r="E1172" t="s">
        <v>24</v>
      </c>
      <c r="F1172" t="s">
        <v>46</v>
      </c>
      <c r="G1172" t="s">
        <v>107</v>
      </c>
      <c r="H1172" t="s">
        <v>84</v>
      </c>
      <c r="I1172">
        <v>30470</v>
      </c>
      <c r="J1172">
        <v>26391</v>
      </c>
    </row>
    <row r="1173" spans="1:10" x14ac:dyDescent="0.3">
      <c r="A1173" t="s">
        <v>1300</v>
      </c>
      <c r="B1173" s="1">
        <v>45844</v>
      </c>
      <c r="C1173" t="s">
        <v>11</v>
      </c>
      <c r="D1173">
        <v>27</v>
      </c>
      <c r="E1173" t="s">
        <v>61</v>
      </c>
      <c r="F1173" t="s">
        <v>193</v>
      </c>
      <c r="G1173" t="s">
        <v>47</v>
      </c>
      <c r="H1173" t="s">
        <v>111</v>
      </c>
      <c r="I1173">
        <v>25294</v>
      </c>
      <c r="J1173">
        <v>25585</v>
      </c>
    </row>
    <row r="1174" spans="1:10" x14ac:dyDescent="0.3">
      <c r="A1174" t="s">
        <v>1301</v>
      </c>
      <c r="B1174" s="1">
        <v>45807</v>
      </c>
      <c r="C1174" t="s">
        <v>90</v>
      </c>
      <c r="D1174">
        <v>22</v>
      </c>
      <c r="E1174" t="s">
        <v>33</v>
      </c>
      <c r="F1174" t="s">
        <v>34</v>
      </c>
      <c r="G1174" t="s">
        <v>266</v>
      </c>
      <c r="H1174" t="s">
        <v>243</v>
      </c>
      <c r="I1174">
        <v>22399</v>
      </c>
      <c r="J1174">
        <v>25058</v>
      </c>
    </row>
    <row r="1175" spans="1:10" x14ac:dyDescent="0.3">
      <c r="A1175" t="s">
        <v>1302</v>
      </c>
      <c r="B1175" s="1">
        <v>45805</v>
      </c>
      <c r="C1175" t="s">
        <v>90</v>
      </c>
      <c r="D1175">
        <v>22</v>
      </c>
      <c r="E1175" t="s">
        <v>61</v>
      </c>
      <c r="F1175" t="s">
        <v>57</v>
      </c>
      <c r="G1175" t="s">
        <v>40</v>
      </c>
      <c r="H1175" t="s">
        <v>52</v>
      </c>
      <c r="I1175">
        <v>34575</v>
      </c>
      <c r="J1175">
        <v>39919</v>
      </c>
    </row>
    <row r="1176" spans="1:10" x14ac:dyDescent="0.3">
      <c r="A1176" t="s">
        <v>1303</v>
      </c>
      <c r="B1176" s="1">
        <v>45950</v>
      </c>
      <c r="C1176" t="s">
        <v>66</v>
      </c>
      <c r="D1176">
        <v>43</v>
      </c>
      <c r="E1176" t="s">
        <v>70</v>
      </c>
      <c r="F1176" t="s">
        <v>75</v>
      </c>
      <c r="G1176" t="s">
        <v>20</v>
      </c>
      <c r="H1176" t="s">
        <v>52</v>
      </c>
      <c r="I1176">
        <v>30104</v>
      </c>
      <c r="J1176">
        <v>33724</v>
      </c>
    </row>
    <row r="1177" spans="1:10" x14ac:dyDescent="0.3">
      <c r="A1177" t="s">
        <v>1304</v>
      </c>
      <c r="B1177" s="1">
        <v>45901</v>
      </c>
      <c r="C1177" t="s">
        <v>38</v>
      </c>
      <c r="D1177">
        <v>36</v>
      </c>
      <c r="E1177" t="s">
        <v>18</v>
      </c>
      <c r="F1177" t="s">
        <v>50</v>
      </c>
      <c r="G1177" t="s">
        <v>63</v>
      </c>
      <c r="H1177" t="s">
        <v>163</v>
      </c>
      <c r="I1177">
        <v>19214</v>
      </c>
      <c r="J1177">
        <v>15783</v>
      </c>
    </row>
    <row r="1178" spans="1:10" x14ac:dyDescent="0.3">
      <c r="A1178" t="s">
        <v>1305</v>
      </c>
      <c r="B1178" s="1">
        <v>45900</v>
      </c>
      <c r="C1178" t="s">
        <v>113</v>
      </c>
      <c r="D1178">
        <v>35</v>
      </c>
      <c r="E1178" t="s">
        <v>12</v>
      </c>
      <c r="F1178" t="s">
        <v>46</v>
      </c>
      <c r="G1178" t="s">
        <v>199</v>
      </c>
      <c r="H1178" t="s">
        <v>52</v>
      </c>
      <c r="I1178">
        <v>30823</v>
      </c>
      <c r="J1178">
        <v>31692</v>
      </c>
    </row>
    <row r="1179" spans="1:10" x14ac:dyDescent="0.3">
      <c r="A1179" t="s">
        <v>1306</v>
      </c>
      <c r="B1179" s="1">
        <v>45830</v>
      </c>
      <c r="C1179" t="s">
        <v>74</v>
      </c>
      <c r="D1179">
        <v>25</v>
      </c>
      <c r="E1179" t="s">
        <v>39</v>
      </c>
      <c r="F1179" t="s">
        <v>19</v>
      </c>
      <c r="G1179" t="s">
        <v>128</v>
      </c>
      <c r="H1179" t="s">
        <v>64</v>
      </c>
      <c r="I1179">
        <v>17631</v>
      </c>
      <c r="J1179">
        <v>19761</v>
      </c>
    </row>
    <row r="1180" spans="1:10" x14ac:dyDescent="0.3">
      <c r="A1180" t="s">
        <v>1307</v>
      </c>
      <c r="B1180" s="1">
        <v>45700</v>
      </c>
      <c r="C1180" t="s">
        <v>82</v>
      </c>
      <c r="D1180">
        <v>7</v>
      </c>
      <c r="E1180" t="s">
        <v>39</v>
      </c>
      <c r="F1180" t="s">
        <v>50</v>
      </c>
      <c r="G1180" t="s">
        <v>141</v>
      </c>
      <c r="H1180" t="s">
        <v>157</v>
      </c>
      <c r="I1180">
        <v>21877</v>
      </c>
      <c r="J1180">
        <v>20357</v>
      </c>
    </row>
    <row r="1181" spans="1:10" x14ac:dyDescent="0.3">
      <c r="A1181" t="s">
        <v>1308</v>
      </c>
      <c r="B1181" s="1">
        <v>45725</v>
      </c>
      <c r="C1181" t="s">
        <v>95</v>
      </c>
      <c r="D1181">
        <v>10</v>
      </c>
      <c r="E1181" t="s">
        <v>12</v>
      </c>
      <c r="F1181" t="s">
        <v>43</v>
      </c>
      <c r="G1181" t="s">
        <v>118</v>
      </c>
      <c r="H1181" t="s">
        <v>21</v>
      </c>
      <c r="I1181">
        <v>28871</v>
      </c>
      <c r="J1181">
        <v>33818</v>
      </c>
    </row>
    <row r="1182" spans="1:10" x14ac:dyDescent="0.3">
      <c r="A1182" t="s">
        <v>1309</v>
      </c>
      <c r="B1182" s="1">
        <v>45798</v>
      </c>
      <c r="C1182" t="s">
        <v>90</v>
      </c>
      <c r="D1182">
        <v>21</v>
      </c>
      <c r="E1182" t="s">
        <v>70</v>
      </c>
      <c r="F1182" t="s">
        <v>57</v>
      </c>
      <c r="G1182" t="s">
        <v>149</v>
      </c>
      <c r="H1182" t="s">
        <v>59</v>
      </c>
      <c r="I1182">
        <v>24427</v>
      </c>
      <c r="J1182">
        <v>17716</v>
      </c>
    </row>
    <row r="1183" spans="1:10" x14ac:dyDescent="0.3">
      <c r="A1183" t="s">
        <v>1310</v>
      </c>
      <c r="B1183" s="1">
        <v>45753</v>
      </c>
      <c r="C1183" t="s">
        <v>86</v>
      </c>
      <c r="D1183">
        <v>14</v>
      </c>
      <c r="E1183" t="s">
        <v>33</v>
      </c>
      <c r="F1183" t="s">
        <v>62</v>
      </c>
      <c r="G1183" t="s">
        <v>88</v>
      </c>
      <c r="H1183" t="s">
        <v>55</v>
      </c>
      <c r="I1183">
        <v>32721</v>
      </c>
      <c r="J1183">
        <v>32357</v>
      </c>
    </row>
    <row r="1184" spans="1:10" x14ac:dyDescent="0.3">
      <c r="A1184" t="s">
        <v>1311</v>
      </c>
      <c r="B1184" s="1">
        <v>45958</v>
      </c>
      <c r="C1184" t="s">
        <v>66</v>
      </c>
      <c r="D1184">
        <v>44</v>
      </c>
      <c r="E1184" t="s">
        <v>24</v>
      </c>
      <c r="F1184" t="s">
        <v>50</v>
      </c>
      <c r="G1184" t="s">
        <v>30</v>
      </c>
      <c r="H1184" t="s">
        <v>211</v>
      </c>
      <c r="I1184">
        <v>20928</v>
      </c>
      <c r="J1184">
        <v>19070</v>
      </c>
    </row>
    <row r="1185" spans="1:10" x14ac:dyDescent="0.3">
      <c r="A1185" t="s">
        <v>1312</v>
      </c>
      <c r="B1185" s="1">
        <v>45778</v>
      </c>
      <c r="C1185" t="s">
        <v>90</v>
      </c>
      <c r="D1185">
        <v>18</v>
      </c>
      <c r="E1185" t="s">
        <v>33</v>
      </c>
      <c r="F1185" t="s">
        <v>62</v>
      </c>
      <c r="G1185" t="s">
        <v>137</v>
      </c>
      <c r="H1185" t="s">
        <v>52</v>
      </c>
      <c r="I1185">
        <v>15192</v>
      </c>
      <c r="J1185">
        <v>14472</v>
      </c>
    </row>
    <row r="1186" spans="1:10" x14ac:dyDescent="0.3">
      <c r="A1186" t="s">
        <v>1313</v>
      </c>
      <c r="B1186" s="1">
        <v>45985</v>
      </c>
      <c r="C1186" t="s">
        <v>23</v>
      </c>
      <c r="D1186">
        <v>48</v>
      </c>
      <c r="E1186" t="s">
        <v>12</v>
      </c>
      <c r="F1186" t="s">
        <v>122</v>
      </c>
      <c r="G1186" t="s">
        <v>145</v>
      </c>
      <c r="H1186" t="s">
        <v>96</v>
      </c>
      <c r="I1186">
        <v>18421</v>
      </c>
      <c r="J1186">
        <v>18968</v>
      </c>
    </row>
    <row r="1187" spans="1:10" x14ac:dyDescent="0.3">
      <c r="A1187" t="s">
        <v>1314</v>
      </c>
      <c r="B1187" s="1">
        <v>45690</v>
      </c>
      <c r="C1187" t="s">
        <v>82</v>
      </c>
      <c r="D1187">
        <v>5</v>
      </c>
      <c r="E1187" t="s">
        <v>33</v>
      </c>
      <c r="F1187" t="s">
        <v>43</v>
      </c>
      <c r="G1187" t="s">
        <v>93</v>
      </c>
      <c r="H1187" t="s">
        <v>155</v>
      </c>
      <c r="I1187">
        <v>38885</v>
      </c>
      <c r="J1187">
        <v>48399</v>
      </c>
    </row>
    <row r="1188" spans="1:10" x14ac:dyDescent="0.3">
      <c r="A1188" t="s">
        <v>1315</v>
      </c>
      <c r="B1188" s="1">
        <v>45841</v>
      </c>
      <c r="C1188" t="s">
        <v>11</v>
      </c>
      <c r="D1188">
        <v>27</v>
      </c>
      <c r="E1188" t="s">
        <v>39</v>
      </c>
      <c r="F1188" t="s">
        <v>62</v>
      </c>
      <c r="G1188" t="s">
        <v>199</v>
      </c>
      <c r="H1188" t="s">
        <v>84</v>
      </c>
      <c r="I1188">
        <v>38339</v>
      </c>
      <c r="J1188">
        <v>38111</v>
      </c>
    </row>
    <row r="1189" spans="1:10" x14ac:dyDescent="0.3">
      <c r="A1189" t="s">
        <v>1316</v>
      </c>
      <c r="B1189" s="1">
        <v>45919</v>
      </c>
      <c r="C1189" t="s">
        <v>38</v>
      </c>
      <c r="D1189">
        <v>38</v>
      </c>
      <c r="E1189" t="s">
        <v>18</v>
      </c>
      <c r="F1189" t="s">
        <v>140</v>
      </c>
      <c r="G1189" t="s">
        <v>266</v>
      </c>
      <c r="H1189" t="s">
        <v>21</v>
      </c>
      <c r="I1189">
        <v>28026</v>
      </c>
      <c r="J1189">
        <v>31442</v>
      </c>
    </row>
    <row r="1190" spans="1:10" x14ac:dyDescent="0.3">
      <c r="A1190" t="s">
        <v>1317</v>
      </c>
      <c r="B1190" s="1">
        <v>45879</v>
      </c>
      <c r="C1190" t="s">
        <v>113</v>
      </c>
      <c r="D1190">
        <v>32</v>
      </c>
      <c r="E1190" t="s">
        <v>61</v>
      </c>
      <c r="F1190" t="s">
        <v>92</v>
      </c>
      <c r="G1190" t="s">
        <v>126</v>
      </c>
      <c r="H1190" t="s">
        <v>123</v>
      </c>
      <c r="I1190">
        <v>34038</v>
      </c>
      <c r="J1190">
        <v>33678</v>
      </c>
    </row>
    <row r="1191" spans="1:10" x14ac:dyDescent="0.3">
      <c r="A1191" t="s">
        <v>1318</v>
      </c>
      <c r="B1191" s="1">
        <v>45873</v>
      </c>
      <c r="C1191" t="s">
        <v>113</v>
      </c>
      <c r="D1191">
        <v>32</v>
      </c>
      <c r="E1191" t="s">
        <v>70</v>
      </c>
      <c r="F1191" t="s">
        <v>19</v>
      </c>
      <c r="G1191" t="s">
        <v>107</v>
      </c>
      <c r="H1191" t="s">
        <v>163</v>
      </c>
      <c r="I1191">
        <v>33198</v>
      </c>
      <c r="J1191">
        <v>25199</v>
      </c>
    </row>
    <row r="1192" spans="1:10" x14ac:dyDescent="0.3">
      <c r="A1192" t="s">
        <v>1319</v>
      </c>
      <c r="B1192" s="1">
        <v>45859</v>
      </c>
      <c r="C1192" t="s">
        <v>11</v>
      </c>
      <c r="D1192">
        <v>30</v>
      </c>
      <c r="E1192" t="s">
        <v>61</v>
      </c>
      <c r="F1192" t="s">
        <v>57</v>
      </c>
      <c r="G1192" t="s">
        <v>324</v>
      </c>
      <c r="H1192" t="s">
        <v>116</v>
      </c>
      <c r="I1192">
        <v>35595</v>
      </c>
      <c r="J1192">
        <v>29549</v>
      </c>
    </row>
    <row r="1193" spans="1:10" x14ac:dyDescent="0.3">
      <c r="A1193" t="s">
        <v>1320</v>
      </c>
      <c r="B1193" s="1">
        <v>45742</v>
      </c>
      <c r="C1193" t="s">
        <v>95</v>
      </c>
      <c r="D1193">
        <v>13</v>
      </c>
      <c r="E1193" t="s">
        <v>70</v>
      </c>
      <c r="F1193" t="s">
        <v>13</v>
      </c>
      <c r="G1193" t="s">
        <v>266</v>
      </c>
      <c r="H1193" t="s">
        <v>123</v>
      </c>
      <c r="I1193">
        <v>34063</v>
      </c>
      <c r="J1193">
        <v>31001</v>
      </c>
    </row>
    <row r="1194" spans="1:10" x14ac:dyDescent="0.3">
      <c r="A1194" t="s">
        <v>1321</v>
      </c>
      <c r="B1194" s="1">
        <v>45776</v>
      </c>
      <c r="C1194" t="s">
        <v>86</v>
      </c>
      <c r="D1194">
        <v>18</v>
      </c>
      <c r="E1194" t="s">
        <v>12</v>
      </c>
      <c r="F1194" t="s">
        <v>87</v>
      </c>
      <c r="G1194" t="s">
        <v>149</v>
      </c>
      <c r="H1194" t="s">
        <v>80</v>
      </c>
      <c r="I1194">
        <v>24632</v>
      </c>
      <c r="J1194">
        <v>18304</v>
      </c>
    </row>
    <row r="1195" spans="1:10" x14ac:dyDescent="0.3">
      <c r="A1195" t="s">
        <v>1322</v>
      </c>
      <c r="B1195" s="1">
        <v>45679</v>
      </c>
      <c r="C1195" t="s">
        <v>17</v>
      </c>
      <c r="D1195">
        <v>4</v>
      </c>
      <c r="E1195" t="s">
        <v>18</v>
      </c>
      <c r="F1195" t="s">
        <v>62</v>
      </c>
      <c r="G1195" t="s">
        <v>130</v>
      </c>
      <c r="H1195" t="s">
        <v>52</v>
      </c>
      <c r="I1195">
        <v>33972</v>
      </c>
      <c r="J1195">
        <v>41674</v>
      </c>
    </row>
    <row r="1196" spans="1:10" x14ac:dyDescent="0.3">
      <c r="A1196" t="s">
        <v>1323</v>
      </c>
      <c r="B1196" s="1">
        <v>45994</v>
      </c>
      <c r="C1196" t="s">
        <v>100</v>
      </c>
      <c r="D1196">
        <v>49</v>
      </c>
      <c r="E1196" t="s">
        <v>33</v>
      </c>
      <c r="F1196" t="s">
        <v>50</v>
      </c>
      <c r="G1196" t="s">
        <v>126</v>
      </c>
      <c r="H1196" t="s">
        <v>59</v>
      </c>
      <c r="I1196">
        <v>23963</v>
      </c>
      <c r="J1196">
        <v>30099</v>
      </c>
    </row>
    <row r="1197" spans="1:10" x14ac:dyDescent="0.3">
      <c r="A1197" t="s">
        <v>1324</v>
      </c>
      <c r="B1197" s="1">
        <v>45763</v>
      </c>
      <c r="C1197" t="s">
        <v>86</v>
      </c>
      <c r="D1197">
        <v>16</v>
      </c>
      <c r="E1197" t="s">
        <v>39</v>
      </c>
      <c r="F1197" t="s">
        <v>29</v>
      </c>
      <c r="G1197" t="s">
        <v>54</v>
      </c>
      <c r="H1197" t="s">
        <v>68</v>
      </c>
      <c r="I1197">
        <v>29802</v>
      </c>
      <c r="J1197">
        <v>27278</v>
      </c>
    </row>
    <row r="1198" spans="1:10" x14ac:dyDescent="0.3">
      <c r="A1198" t="s">
        <v>1325</v>
      </c>
      <c r="B1198" s="1">
        <v>45833</v>
      </c>
      <c r="C1198" t="s">
        <v>74</v>
      </c>
      <c r="D1198">
        <v>26</v>
      </c>
      <c r="E1198" t="s">
        <v>39</v>
      </c>
      <c r="F1198" t="s">
        <v>109</v>
      </c>
      <c r="G1198" t="s">
        <v>83</v>
      </c>
      <c r="H1198" t="s">
        <v>151</v>
      </c>
      <c r="I1198">
        <v>15956</v>
      </c>
      <c r="J1198">
        <v>11278</v>
      </c>
    </row>
    <row r="1199" spans="1:10" x14ac:dyDescent="0.3">
      <c r="A1199" t="s">
        <v>1326</v>
      </c>
      <c r="B1199" s="1">
        <v>45666</v>
      </c>
      <c r="C1199" t="s">
        <v>17</v>
      </c>
      <c r="D1199">
        <v>2</v>
      </c>
      <c r="E1199" t="s">
        <v>12</v>
      </c>
      <c r="F1199" t="s">
        <v>43</v>
      </c>
      <c r="G1199" t="s">
        <v>191</v>
      </c>
      <c r="H1199" t="s">
        <v>123</v>
      </c>
      <c r="I1199">
        <v>24655</v>
      </c>
      <c r="J1199">
        <v>20736</v>
      </c>
    </row>
    <row r="1200" spans="1:10" x14ac:dyDescent="0.3">
      <c r="A1200" t="s">
        <v>1327</v>
      </c>
      <c r="B1200" s="1">
        <v>45694</v>
      </c>
      <c r="C1200" t="s">
        <v>82</v>
      </c>
      <c r="D1200">
        <v>6</v>
      </c>
      <c r="E1200" t="s">
        <v>12</v>
      </c>
      <c r="F1200" t="s">
        <v>25</v>
      </c>
      <c r="G1200" t="s">
        <v>44</v>
      </c>
      <c r="H1200" t="s">
        <v>188</v>
      </c>
      <c r="I1200">
        <v>26965</v>
      </c>
      <c r="J1200">
        <v>30191</v>
      </c>
    </row>
    <row r="1201" spans="1:10" x14ac:dyDescent="0.3">
      <c r="A1201" t="s">
        <v>1328</v>
      </c>
      <c r="B1201" s="1">
        <v>45947</v>
      </c>
      <c r="C1201" t="s">
        <v>66</v>
      </c>
      <c r="D1201">
        <v>42</v>
      </c>
      <c r="E1201" t="s">
        <v>70</v>
      </c>
      <c r="F1201" t="s">
        <v>50</v>
      </c>
      <c r="G1201" t="s">
        <v>118</v>
      </c>
      <c r="H1201" t="s">
        <v>55</v>
      </c>
      <c r="I1201">
        <v>35250</v>
      </c>
      <c r="J1201">
        <v>40143</v>
      </c>
    </row>
    <row r="1202" spans="1:10" x14ac:dyDescent="0.3">
      <c r="A1202" t="s">
        <v>1329</v>
      </c>
      <c r="B1202" s="1">
        <v>45941</v>
      </c>
      <c r="C1202" t="s">
        <v>66</v>
      </c>
      <c r="D1202">
        <v>41</v>
      </c>
      <c r="E1202" t="s">
        <v>70</v>
      </c>
      <c r="F1202" t="s">
        <v>19</v>
      </c>
      <c r="G1202" t="s">
        <v>67</v>
      </c>
      <c r="H1202" t="s">
        <v>119</v>
      </c>
      <c r="I1202">
        <v>27731</v>
      </c>
      <c r="J1202">
        <v>21970</v>
      </c>
    </row>
    <row r="1203" spans="1:10" x14ac:dyDescent="0.3">
      <c r="A1203" t="s">
        <v>1330</v>
      </c>
      <c r="B1203" s="1">
        <v>45935</v>
      </c>
      <c r="C1203" t="s">
        <v>66</v>
      </c>
      <c r="D1203">
        <v>40</v>
      </c>
      <c r="E1203" t="s">
        <v>61</v>
      </c>
      <c r="F1203" t="s">
        <v>87</v>
      </c>
      <c r="G1203" t="s">
        <v>93</v>
      </c>
      <c r="H1203" t="s">
        <v>103</v>
      </c>
      <c r="I1203">
        <v>25141</v>
      </c>
      <c r="J1203">
        <v>25973</v>
      </c>
    </row>
    <row r="1204" spans="1:10" x14ac:dyDescent="0.3">
      <c r="A1204" t="s">
        <v>1331</v>
      </c>
      <c r="B1204" s="1">
        <v>45916</v>
      </c>
      <c r="C1204" t="s">
        <v>38</v>
      </c>
      <c r="D1204">
        <v>38</v>
      </c>
      <c r="E1204" t="s">
        <v>39</v>
      </c>
      <c r="F1204" t="s">
        <v>57</v>
      </c>
      <c r="G1204" t="s">
        <v>54</v>
      </c>
      <c r="H1204" t="s">
        <v>123</v>
      </c>
      <c r="I1204">
        <v>34911</v>
      </c>
      <c r="J1204">
        <v>27859</v>
      </c>
    </row>
    <row r="1205" spans="1:10" x14ac:dyDescent="0.3">
      <c r="A1205" t="s">
        <v>1332</v>
      </c>
      <c r="B1205" s="1">
        <v>45668</v>
      </c>
      <c r="C1205" t="s">
        <v>17</v>
      </c>
      <c r="D1205">
        <v>2</v>
      </c>
      <c r="E1205" t="s">
        <v>18</v>
      </c>
      <c r="F1205" t="s">
        <v>25</v>
      </c>
      <c r="G1205" t="s">
        <v>145</v>
      </c>
      <c r="H1205" t="s">
        <v>123</v>
      </c>
      <c r="I1205">
        <v>18512</v>
      </c>
      <c r="J1205">
        <v>23703</v>
      </c>
    </row>
    <row r="1206" spans="1:10" x14ac:dyDescent="0.3">
      <c r="A1206" t="s">
        <v>1333</v>
      </c>
      <c r="B1206" s="1">
        <v>45885</v>
      </c>
      <c r="C1206" t="s">
        <v>113</v>
      </c>
      <c r="D1206">
        <v>33</v>
      </c>
      <c r="E1206" t="s">
        <v>70</v>
      </c>
      <c r="F1206" t="s">
        <v>43</v>
      </c>
      <c r="G1206" t="s">
        <v>67</v>
      </c>
      <c r="H1206" t="s">
        <v>243</v>
      </c>
      <c r="I1206">
        <v>36923</v>
      </c>
      <c r="J1206">
        <v>34429</v>
      </c>
    </row>
    <row r="1207" spans="1:10" x14ac:dyDescent="0.3">
      <c r="A1207" t="s">
        <v>1334</v>
      </c>
      <c r="B1207" s="1">
        <v>45931</v>
      </c>
      <c r="C1207" t="s">
        <v>66</v>
      </c>
      <c r="D1207">
        <v>40</v>
      </c>
      <c r="E1207" t="s">
        <v>18</v>
      </c>
      <c r="F1207" t="s">
        <v>34</v>
      </c>
      <c r="G1207" t="s">
        <v>224</v>
      </c>
      <c r="H1207" t="s">
        <v>157</v>
      </c>
      <c r="I1207">
        <v>15858</v>
      </c>
      <c r="J1207">
        <v>16256</v>
      </c>
    </row>
    <row r="1208" spans="1:10" x14ac:dyDescent="0.3">
      <c r="A1208" t="s">
        <v>1335</v>
      </c>
      <c r="B1208" s="1">
        <v>45788</v>
      </c>
      <c r="C1208" t="s">
        <v>90</v>
      </c>
      <c r="D1208">
        <v>19</v>
      </c>
      <c r="E1208" t="s">
        <v>70</v>
      </c>
      <c r="F1208" t="s">
        <v>43</v>
      </c>
      <c r="G1208" t="s">
        <v>44</v>
      </c>
      <c r="H1208" t="s">
        <v>59</v>
      </c>
      <c r="I1208">
        <v>38201</v>
      </c>
      <c r="J1208">
        <v>45382</v>
      </c>
    </row>
    <row r="1209" spans="1:10" x14ac:dyDescent="0.3">
      <c r="A1209" t="s">
        <v>1336</v>
      </c>
      <c r="B1209" s="1">
        <v>45745</v>
      </c>
      <c r="C1209" t="s">
        <v>95</v>
      </c>
      <c r="D1209">
        <v>13</v>
      </c>
      <c r="E1209" t="s">
        <v>70</v>
      </c>
      <c r="F1209" t="s">
        <v>13</v>
      </c>
      <c r="G1209" t="s">
        <v>324</v>
      </c>
      <c r="H1209" t="s">
        <v>68</v>
      </c>
      <c r="I1209">
        <v>24236</v>
      </c>
      <c r="J1209">
        <v>19222</v>
      </c>
    </row>
    <row r="1210" spans="1:10" x14ac:dyDescent="0.3">
      <c r="A1210" t="s">
        <v>1337</v>
      </c>
      <c r="B1210" s="1">
        <v>45743</v>
      </c>
      <c r="C1210" t="s">
        <v>95</v>
      </c>
      <c r="D1210">
        <v>13</v>
      </c>
      <c r="E1210" t="s">
        <v>70</v>
      </c>
      <c r="F1210" t="s">
        <v>114</v>
      </c>
      <c r="G1210" t="s">
        <v>206</v>
      </c>
      <c r="H1210" t="s">
        <v>123</v>
      </c>
      <c r="I1210">
        <v>22342</v>
      </c>
      <c r="J1210">
        <v>26540</v>
      </c>
    </row>
    <row r="1211" spans="1:10" x14ac:dyDescent="0.3">
      <c r="A1211" t="s">
        <v>1338</v>
      </c>
      <c r="B1211" s="1">
        <v>45765</v>
      </c>
      <c r="C1211" t="s">
        <v>86</v>
      </c>
      <c r="D1211">
        <v>16</v>
      </c>
      <c r="E1211" t="s">
        <v>39</v>
      </c>
      <c r="F1211" t="s">
        <v>57</v>
      </c>
      <c r="G1211" t="s">
        <v>76</v>
      </c>
      <c r="H1211" t="s">
        <v>80</v>
      </c>
      <c r="I1211">
        <v>25239</v>
      </c>
      <c r="J1211">
        <v>19161</v>
      </c>
    </row>
    <row r="1212" spans="1:10" x14ac:dyDescent="0.3">
      <c r="A1212" t="s">
        <v>1339</v>
      </c>
      <c r="B1212" s="1">
        <v>46019</v>
      </c>
      <c r="C1212" t="s">
        <v>100</v>
      </c>
      <c r="D1212">
        <v>52</v>
      </c>
      <c r="E1212" t="s">
        <v>61</v>
      </c>
      <c r="F1212" t="s">
        <v>87</v>
      </c>
      <c r="G1212" t="s">
        <v>266</v>
      </c>
      <c r="H1212" t="s">
        <v>36</v>
      </c>
      <c r="I1212">
        <v>28752</v>
      </c>
      <c r="J1212">
        <v>28000</v>
      </c>
    </row>
    <row r="1213" spans="1:10" x14ac:dyDescent="0.3">
      <c r="A1213" t="s">
        <v>1340</v>
      </c>
      <c r="B1213" s="1">
        <v>45882</v>
      </c>
      <c r="C1213" t="s">
        <v>113</v>
      </c>
      <c r="D1213">
        <v>33</v>
      </c>
      <c r="E1213" t="s">
        <v>24</v>
      </c>
      <c r="F1213" t="s">
        <v>46</v>
      </c>
      <c r="G1213" t="s">
        <v>324</v>
      </c>
      <c r="H1213" t="s">
        <v>36</v>
      </c>
      <c r="I1213">
        <v>34111</v>
      </c>
      <c r="J1213">
        <v>36806</v>
      </c>
    </row>
    <row r="1214" spans="1:10" x14ac:dyDescent="0.3">
      <c r="A1214" t="s">
        <v>1341</v>
      </c>
      <c r="B1214" s="1">
        <v>45684</v>
      </c>
      <c r="C1214" t="s">
        <v>17</v>
      </c>
      <c r="D1214">
        <v>5</v>
      </c>
      <c r="E1214" t="s">
        <v>39</v>
      </c>
      <c r="F1214" t="s">
        <v>193</v>
      </c>
      <c r="G1214" t="s">
        <v>40</v>
      </c>
      <c r="H1214" t="s">
        <v>59</v>
      </c>
      <c r="I1214">
        <v>28353</v>
      </c>
      <c r="J1214">
        <v>33766</v>
      </c>
    </row>
    <row r="1215" spans="1:10" x14ac:dyDescent="0.3">
      <c r="A1215" t="s">
        <v>1342</v>
      </c>
      <c r="B1215" s="1">
        <v>45828</v>
      </c>
      <c r="C1215" t="s">
        <v>74</v>
      </c>
      <c r="D1215">
        <v>25</v>
      </c>
      <c r="E1215" t="s">
        <v>61</v>
      </c>
      <c r="F1215" t="s">
        <v>50</v>
      </c>
      <c r="G1215" t="s">
        <v>171</v>
      </c>
      <c r="H1215" t="s">
        <v>116</v>
      </c>
      <c r="I1215">
        <v>31746</v>
      </c>
      <c r="J1215">
        <v>26307</v>
      </c>
    </row>
    <row r="1216" spans="1:10" x14ac:dyDescent="0.3">
      <c r="A1216" t="s">
        <v>1343</v>
      </c>
      <c r="B1216" s="1">
        <v>45846</v>
      </c>
      <c r="C1216" t="s">
        <v>11</v>
      </c>
      <c r="D1216">
        <v>28</v>
      </c>
      <c r="E1216" t="s">
        <v>24</v>
      </c>
      <c r="F1216" t="s">
        <v>87</v>
      </c>
      <c r="G1216" t="s">
        <v>326</v>
      </c>
      <c r="H1216" t="s">
        <v>31</v>
      </c>
      <c r="I1216">
        <v>17495</v>
      </c>
      <c r="J1216">
        <v>20923</v>
      </c>
    </row>
    <row r="1217" spans="1:10" x14ac:dyDescent="0.3">
      <c r="A1217" t="s">
        <v>1344</v>
      </c>
      <c r="B1217" s="1">
        <v>45726</v>
      </c>
      <c r="C1217" t="s">
        <v>95</v>
      </c>
      <c r="D1217">
        <v>11</v>
      </c>
      <c r="E1217" t="s">
        <v>12</v>
      </c>
      <c r="F1217" t="s">
        <v>25</v>
      </c>
      <c r="G1217" t="s">
        <v>171</v>
      </c>
      <c r="H1217" t="s">
        <v>133</v>
      </c>
      <c r="I1217">
        <v>22378</v>
      </c>
      <c r="J1217">
        <v>25002</v>
      </c>
    </row>
    <row r="1218" spans="1:10" x14ac:dyDescent="0.3">
      <c r="A1218" t="s">
        <v>1345</v>
      </c>
      <c r="B1218" s="1">
        <v>45974</v>
      </c>
      <c r="C1218" t="s">
        <v>23</v>
      </c>
      <c r="D1218">
        <v>46</v>
      </c>
      <c r="E1218" t="s">
        <v>39</v>
      </c>
      <c r="F1218" t="s">
        <v>46</v>
      </c>
      <c r="G1218" t="s">
        <v>324</v>
      </c>
      <c r="H1218" t="s">
        <v>188</v>
      </c>
      <c r="I1218">
        <v>30717</v>
      </c>
      <c r="J1218">
        <v>23497</v>
      </c>
    </row>
    <row r="1219" spans="1:10" x14ac:dyDescent="0.3">
      <c r="A1219" t="s">
        <v>1346</v>
      </c>
      <c r="B1219" s="1">
        <v>45796</v>
      </c>
      <c r="C1219" t="s">
        <v>90</v>
      </c>
      <c r="D1219">
        <v>21</v>
      </c>
      <c r="E1219" t="s">
        <v>12</v>
      </c>
      <c r="F1219" t="s">
        <v>13</v>
      </c>
      <c r="G1219" t="s">
        <v>149</v>
      </c>
      <c r="H1219" t="s">
        <v>211</v>
      </c>
      <c r="I1219">
        <v>29503</v>
      </c>
      <c r="J1219">
        <v>23980</v>
      </c>
    </row>
    <row r="1220" spans="1:10" x14ac:dyDescent="0.3">
      <c r="A1220" t="s">
        <v>1347</v>
      </c>
      <c r="B1220" s="1">
        <v>45685</v>
      </c>
      <c r="C1220" t="s">
        <v>17</v>
      </c>
      <c r="D1220">
        <v>5</v>
      </c>
      <c r="E1220" t="s">
        <v>12</v>
      </c>
      <c r="F1220" t="s">
        <v>101</v>
      </c>
      <c r="G1220" t="s">
        <v>14</v>
      </c>
      <c r="H1220" t="s">
        <v>64</v>
      </c>
      <c r="I1220">
        <v>35701</v>
      </c>
      <c r="J1220">
        <v>37384</v>
      </c>
    </row>
    <row r="1221" spans="1:10" x14ac:dyDescent="0.3">
      <c r="A1221" t="s">
        <v>1348</v>
      </c>
      <c r="B1221" s="1">
        <v>45724</v>
      </c>
      <c r="C1221" t="s">
        <v>95</v>
      </c>
      <c r="D1221">
        <v>10</v>
      </c>
      <c r="E1221" t="s">
        <v>70</v>
      </c>
      <c r="F1221" t="s">
        <v>34</v>
      </c>
      <c r="G1221" t="s">
        <v>126</v>
      </c>
      <c r="H1221" t="s">
        <v>15</v>
      </c>
      <c r="I1221">
        <v>28187</v>
      </c>
      <c r="J1221">
        <v>35788</v>
      </c>
    </row>
    <row r="1222" spans="1:10" x14ac:dyDescent="0.3">
      <c r="A1222" t="s">
        <v>1349</v>
      </c>
      <c r="B1222" s="1">
        <v>45873</v>
      </c>
      <c r="C1222" t="s">
        <v>113</v>
      </c>
      <c r="D1222">
        <v>32</v>
      </c>
      <c r="E1222" t="s">
        <v>70</v>
      </c>
      <c r="F1222" t="s">
        <v>50</v>
      </c>
      <c r="G1222" t="s">
        <v>147</v>
      </c>
      <c r="H1222" t="s">
        <v>84</v>
      </c>
      <c r="I1222">
        <v>21854</v>
      </c>
      <c r="J1222">
        <v>28398</v>
      </c>
    </row>
    <row r="1223" spans="1:10" x14ac:dyDescent="0.3">
      <c r="A1223" t="s">
        <v>1350</v>
      </c>
      <c r="B1223" s="1">
        <v>45823</v>
      </c>
      <c r="C1223" t="s">
        <v>74</v>
      </c>
      <c r="D1223">
        <v>24</v>
      </c>
      <c r="E1223" t="s">
        <v>24</v>
      </c>
      <c r="F1223" t="s">
        <v>193</v>
      </c>
      <c r="G1223" t="s">
        <v>160</v>
      </c>
      <c r="H1223" t="s">
        <v>55</v>
      </c>
      <c r="I1223">
        <v>22351</v>
      </c>
      <c r="J1223">
        <v>23323</v>
      </c>
    </row>
    <row r="1224" spans="1:10" x14ac:dyDescent="0.3">
      <c r="A1224" t="s">
        <v>1351</v>
      </c>
      <c r="B1224" s="1">
        <v>45916</v>
      </c>
      <c r="C1224" t="s">
        <v>38</v>
      </c>
      <c r="D1224">
        <v>38</v>
      </c>
      <c r="E1224" t="s">
        <v>24</v>
      </c>
      <c r="F1224" t="s">
        <v>122</v>
      </c>
      <c r="G1224" t="s">
        <v>128</v>
      </c>
      <c r="H1224" t="s">
        <v>151</v>
      </c>
      <c r="I1224">
        <v>24413</v>
      </c>
      <c r="J1224">
        <v>26220</v>
      </c>
    </row>
    <row r="1225" spans="1:10" x14ac:dyDescent="0.3">
      <c r="A1225" t="s">
        <v>1352</v>
      </c>
      <c r="B1225" s="1">
        <v>45916</v>
      </c>
      <c r="C1225" t="s">
        <v>38</v>
      </c>
      <c r="D1225">
        <v>38</v>
      </c>
      <c r="E1225" t="s">
        <v>18</v>
      </c>
      <c r="F1225" t="s">
        <v>140</v>
      </c>
      <c r="G1225" t="s">
        <v>324</v>
      </c>
      <c r="H1225" t="s">
        <v>80</v>
      </c>
      <c r="I1225">
        <v>25342</v>
      </c>
      <c r="J1225">
        <v>31666</v>
      </c>
    </row>
    <row r="1226" spans="1:10" x14ac:dyDescent="0.3">
      <c r="A1226" t="s">
        <v>1353</v>
      </c>
      <c r="B1226" s="1">
        <v>45831</v>
      </c>
      <c r="C1226" t="s">
        <v>74</v>
      </c>
      <c r="D1226">
        <v>26</v>
      </c>
      <c r="E1226" t="s">
        <v>18</v>
      </c>
      <c r="F1226" t="s">
        <v>57</v>
      </c>
      <c r="G1226" t="s">
        <v>30</v>
      </c>
      <c r="H1226" t="s">
        <v>243</v>
      </c>
      <c r="I1226">
        <v>21076</v>
      </c>
      <c r="J1226">
        <v>24576</v>
      </c>
    </row>
    <row r="1227" spans="1:10" x14ac:dyDescent="0.3">
      <c r="A1227" t="s">
        <v>1354</v>
      </c>
      <c r="B1227" s="1">
        <v>45801</v>
      </c>
      <c r="C1227" t="s">
        <v>90</v>
      </c>
      <c r="D1227">
        <v>21</v>
      </c>
      <c r="E1227" t="s">
        <v>12</v>
      </c>
      <c r="F1227" t="s">
        <v>34</v>
      </c>
      <c r="G1227" t="s">
        <v>240</v>
      </c>
      <c r="H1227" t="s">
        <v>55</v>
      </c>
      <c r="I1227">
        <v>19055</v>
      </c>
      <c r="J1227">
        <v>14658</v>
      </c>
    </row>
    <row r="1228" spans="1:10" x14ac:dyDescent="0.3">
      <c r="A1228" t="s">
        <v>1355</v>
      </c>
      <c r="B1228" s="1">
        <v>45779</v>
      </c>
      <c r="C1228" t="s">
        <v>90</v>
      </c>
      <c r="D1228">
        <v>18</v>
      </c>
      <c r="E1228" t="s">
        <v>39</v>
      </c>
      <c r="F1228" t="s">
        <v>78</v>
      </c>
      <c r="G1228" t="s">
        <v>76</v>
      </c>
      <c r="H1228" t="s">
        <v>41</v>
      </c>
      <c r="I1228">
        <v>35929</v>
      </c>
      <c r="J1228">
        <v>41116</v>
      </c>
    </row>
    <row r="1229" spans="1:10" x14ac:dyDescent="0.3">
      <c r="A1229" t="s">
        <v>1356</v>
      </c>
      <c r="B1229" s="1">
        <v>45673</v>
      </c>
      <c r="C1229" t="s">
        <v>17</v>
      </c>
      <c r="D1229">
        <v>3</v>
      </c>
      <c r="E1229" t="s">
        <v>70</v>
      </c>
      <c r="F1229" t="s">
        <v>46</v>
      </c>
      <c r="G1229" t="s">
        <v>201</v>
      </c>
      <c r="H1229" t="s">
        <v>123</v>
      </c>
      <c r="I1229">
        <v>25830</v>
      </c>
      <c r="J1229">
        <v>27347</v>
      </c>
    </row>
    <row r="1230" spans="1:10" x14ac:dyDescent="0.3">
      <c r="A1230" t="s">
        <v>1357</v>
      </c>
      <c r="B1230" s="1">
        <v>45951</v>
      </c>
      <c r="C1230" t="s">
        <v>66</v>
      </c>
      <c r="D1230">
        <v>43</v>
      </c>
      <c r="E1230" t="s">
        <v>61</v>
      </c>
      <c r="F1230" t="s">
        <v>29</v>
      </c>
      <c r="G1230" t="s">
        <v>234</v>
      </c>
      <c r="H1230" t="s">
        <v>96</v>
      </c>
      <c r="I1230">
        <v>35335</v>
      </c>
      <c r="J1230">
        <v>44945</v>
      </c>
    </row>
    <row r="1231" spans="1:10" x14ac:dyDescent="0.3">
      <c r="A1231" t="s">
        <v>1358</v>
      </c>
      <c r="B1231" s="1">
        <v>45805</v>
      </c>
      <c r="C1231" t="s">
        <v>90</v>
      </c>
      <c r="D1231">
        <v>22</v>
      </c>
      <c r="E1231" t="s">
        <v>12</v>
      </c>
      <c r="F1231" t="s">
        <v>114</v>
      </c>
      <c r="G1231" t="s">
        <v>201</v>
      </c>
      <c r="H1231" t="s">
        <v>55</v>
      </c>
      <c r="I1231">
        <v>25184</v>
      </c>
      <c r="J1231">
        <v>23529</v>
      </c>
    </row>
    <row r="1232" spans="1:10" x14ac:dyDescent="0.3">
      <c r="A1232" t="s">
        <v>1359</v>
      </c>
      <c r="B1232" s="1">
        <v>45950</v>
      </c>
      <c r="C1232" t="s">
        <v>66</v>
      </c>
      <c r="D1232">
        <v>43</v>
      </c>
      <c r="E1232" t="s">
        <v>39</v>
      </c>
      <c r="F1232" t="s">
        <v>78</v>
      </c>
      <c r="G1232" t="s">
        <v>93</v>
      </c>
      <c r="H1232" t="s">
        <v>96</v>
      </c>
      <c r="I1232">
        <v>24555</v>
      </c>
      <c r="J1232">
        <v>30515</v>
      </c>
    </row>
    <row r="1233" spans="1:10" x14ac:dyDescent="0.3">
      <c r="A1233" t="s">
        <v>1360</v>
      </c>
      <c r="B1233" s="1">
        <v>45715</v>
      </c>
      <c r="C1233" t="s">
        <v>82</v>
      </c>
      <c r="D1233">
        <v>9</v>
      </c>
      <c r="E1233" t="s">
        <v>70</v>
      </c>
      <c r="F1233" t="s">
        <v>75</v>
      </c>
      <c r="G1233" t="s">
        <v>171</v>
      </c>
      <c r="H1233" t="s">
        <v>15</v>
      </c>
      <c r="I1233">
        <v>27294</v>
      </c>
      <c r="J1233">
        <v>21134</v>
      </c>
    </row>
    <row r="1234" spans="1:10" x14ac:dyDescent="0.3">
      <c r="A1234" t="s">
        <v>1361</v>
      </c>
      <c r="B1234" s="1">
        <v>45821</v>
      </c>
      <c r="C1234" t="s">
        <v>74</v>
      </c>
      <c r="D1234">
        <v>24</v>
      </c>
      <c r="E1234" t="s">
        <v>12</v>
      </c>
      <c r="F1234" t="s">
        <v>43</v>
      </c>
      <c r="G1234" t="s">
        <v>199</v>
      </c>
      <c r="H1234" t="s">
        <v>123</v>
      </c>
      <c r="I1234">
        <v>16531</v>
      </c>
      <c r="J1234">
        <v>14318</v>
      </c>
    </row>
    <row r="1235" spans="1:10" x14ac:dyDescent="0.3">
      <c r="A1235" t="s">
        <v>1362</v>
      </c>
      <c r="B1235" s="1">
        <v>45736</v>
      </c>
      <c r="C1235" t="s">
        <v>95</v>
      </c>
      <c r="D1235">
        <v>12</v>
      </c>
      <c r="E1235" t="s">
        <v>12</v>
      </c>
      <c r="F1235" t="s">
        <v>75</v>
      </c>
      <c r="G1235" t="s">
        <v>266</v>
      </c>
      <c r="H1235" t="s">
        <v>96</v>
      </c>
      <c r="I1235">
        <v>35461</v>
      </c>
      <c r="J1235">
        <v>42040</v>
      </c>
    </row>
    <row r="1236" spans="1:10" x14ac:dyDescent="0.3">
      <c r="A1236" t="s">
        <v>1363</v>
      </c>
      <c r="B1236" s="1">
        <v>45740</v>
      </c>
      <c r="C1236" t="s">
        <v>95</v>
      </c>
      <c r="D1236">
        <v>13</v>
      </c>
      <c r="E1236" t="s">
        <v>61</v>
      </c>
      <c r="F1236" t="s">
        <v>62</v>
      </c>
      <c r="G1236" t="s">
        <v>118</v>
      </c>
      <c r="H1236" t="s">
        <v>151</v>
      </c>
      <c r="I1236">
        <v>36771</v>
      </c>
      <c r="J1236">
        <v>27264</v>
      </c>
    </row>
    <row r="1237" spans="1:10" x14ac:dyDescent="0.3">
      <c r="A1237" t="s">
        <v>1364</v>
      </c>
      <c r="B1237" s="1">
        <v>45683</v>
      </c>
      <c r="C1237" t="s">
        <v>17</v>
      </c>
      <c r="D1237">
        <v>4</v>
      </c>
      <c r="E1237" t="s">
        <v>33</v>
      </c>
      <c r="F1237" t="s">
        <v>29</v>
      </c>
      <c r="G1237" t="s">
        <v>128</v>
      </c>
      <c r="H1237" t="s">
        <v>119</v>
      </c>
      <c r="I1237">
        <v>15621</v>
      </c>
      <c r="J1237">
        <v>19487</v>
      </c>
    </row>
    <row r="1238" spans="1:10" x14ac:dyDescent="0.3">
      <c r="A1238" t="s">
        <v>1365</v>
      </c>
      <c r="B1238" s="1">
        <v>45787</v>
      </c>
      <c r="C1238" t="s">
        <v>90</v>
      </c>
      <c r="D1238">
        <v>19</v>
      </c>
      <c r="E1238" t="s">
        <v>70</v>
      </c>
      <c r="F1238" t="s">
        <v>29</v>
      </c>
      <c r="G1238" t="s">
        <v>88</v>
      </c>
      <c r="H1238" t="s">
        <v>27</v>
      </c>
      <c r="I1238">
        <v>17875</v>
      </c>
      <c r="J1238">
        <v>16962</v>
      </c>
    </row>
    <row r="1239" spans="1:10" x14ac:dyDescent="0.3">
      <c r="A1239" t="s">
        <v>1366</v>
      </c>
      <c r="B1239" s="1">
        <v>45833</v>
      </c>
      <c r="C1239" t="s">
        <v>74</v>
      </c>
      <c r="D1239">
        <v>26</v>
      </c>
      <c r="E1239" t="s">
        <v>24</v>
      </c>
      <c r="F1239" t="s">
        <v>46</v>
      </c>
      <c r="G1239" t="s">
        <v>326</v>
      </c>
      <c r="H1239" t="s">
        <v>21</v>
      </c>
      <c r="I1239">
        <v>30349</v>
      </c>
      <c r="J1239">
        <v>27199</v>
      </c>
    </row>
    <row r="1240" spans="1:10" x14ac:dyDescent="0.3">
      <c r="A1240" t="s">
        <v>1367</v>
      </c>
      <c r="B1240" s="1">
        <v>45708</v>
      </c>
      <c r="C1240" t="s">
        <v>82</v>
      </c>
      <c r="D1240">
        <v>8</v>
      </c>
      <c r="E1240" t="s">
        <v>33</v>
      </c>
      <c r="F1240" t="s">
        <v>19</v>
      </c>
      <c r="G1240" t="s">
        <v>20</v>
      </c>
      <c r="H1240" t="s">
        <v>98</v>
      </c>
      <c r="I1240">
        <v>35832</v>
      </c>
      <c r="J1240">
        <v>44488</v>
      </c>
    </row>
    <row r="1241" spans="1:10" x14ac:dyDescent="0.3">
      <c r="A1241" t="s">
        <v>1368</v>
      </c>
      <c r="B1241" s="1">
        <v>45923</v>
      </c>
      <c r="C1241" t="s">
        <v>38</v>
      </c>
      <c r="D1241">
        <v>39</v>
      </c>
      <c r="E1241" t="s">
        <v>18</v>
      </c>
      <c r="F1241" t="s">
        <v>87</v>
      </c>
      <c r="G1241" t="s">
        <v>147</v>
      </c>
      <c r="H1241" t="s">
        <v>103</v>
      </c>
      <c r="I1241">
        <v>27280</v>
      </c>
      <c r="J1241">
        <v>32181</v>
      </c>
    </row>
    <row r="1242" spans="1:10" x14ac:dyDescent="0.3">
      <c r="A1242" t="s">
        <v>1369</v>
      </c>
      <c r="B1242" s="1">
        <v>45783</v>
      </c>
      <c r="C1242" t="s">
        <v>90</v>
      </c>
      <c r="D1242">
        <v>19</v>
      </c>
      <c r="E1242" t="s">
        <v>33</v>
      </c>
      <c r="F1242" t="s">
        <v>62</v>
      </c>
      <c r="G1242" t="s">
        <v>118</v>
      </c>
      <c r="H1242" t="s">
        <v>68</v>
      </c>
      <c r="I1242">
        <v>15799</v>
      </c>
      <c r="J1242">
        <v>19143</v>
      </c>
    </row>
    <row r="1243" spans="1:10" x14ac:dyDescent="0.3">
      <c r="A1243" t="s">
        <v>1370</v>
      </c>
      <c r="B1243" s="1">
        <v>45749</v>
      </c>
      <c r="C1243" t="s">
        <v>86</v>
      </c>
      <c r="D1243">
        <v>14</v>
      </c>
      <c r="E1243" t="s">
        <v>24</v>
      </c>
      <c r="F1243" t="s">
        <v>193</v>
      </c>
      <c r="G1243" t="s">
        <v>76</v>
      </c>
      <c r="H1243" t="s">
        <v>64</v>
      </c>
      <c r="I1243">
        <v>25597</v>
      </c>
      <c r="J1243">
        <v>32700</v>
      </c>
    </row>
    <row r="1244" spans="1:10" x14ac:dyDescent="0.3">
      <c r="A1244" t="s">
        <v>1371</v>
      </c>
      <c r="B1244" s="1">
        <v>45776</v>
      </c>
      <c r="C1244" t="s">
        <v>86</v>
      </c>
      <c r="D1244">
        <v>18</v>
      </c>
      <c r="E1244" t="s">
        <v>70</v>
      </c>
      <c r="F1244" t="s">
        <v>140</v>
      </c>
      <c r="G1244" t="s">
        <v>110</v>
      </c>
      <c r="H1244" t="s">
        <v>151</v>
      </c>
      <c r="I1244">
        <v>27406</v>
      </c>
      <c r="J1244">
        <v>31488</v>
      </c>
    </row>
    <row r="1245" spans="1:10" x14ac:dyDescent="0.3">
      <c r="A1245" t="s">
        <v>1372</v>
      </c>
      <c r="B1245" s="1">
        <v>45870</v>
      </c>
      <c r="C1245" t="s">
        <v>113</v>
      </c>
      <c r="D1245">
        <v>31</v>
      </c>
      <c r="E1245" t="s">
        <v>18</v>
      </c>
      <c r="F1245" t="s">
        <v>46</v>
      </c>
      <c r="G1245" t="s">
        <v>67</v>
      </c>
      <c r="H1245" t="s">
        <v>41</v>
      </c>
      <c r="I1245">
        <v>23523</v>
      </c>
      <c r="J1245">
        <v>17960</v>
      </c>
    </row>
    <row r="1246" spans="1:10" x14ac:dyDescent="0.3">
      <c r="A1246" t="s">
        <v>1373</v>
      </c>
      <c r="B1246" s="1">
        <v>45907</v>
      </c>
      <c r="C1246" t="s">
        <v>38</v>
      </c>
      <c r="D1246">
        <v>36</v>
      </c>
      <c r="E1246" t="s">
        <v>70</v>
      </c>
      <c r="F1246" t="s">
        <v>43</v>
      </c>
      <c r="G1246" t="s">
        <v>147</v>
      </c>
      <c r="H1246" t="s">
        <v>211</v>
      </c>
      <c r="I1246">
        <v>24444</v>
      </c>
      <c r="J1246">
        <v>25965</v>
      </c>
    </row>
    <row r="1247" spans="1:10" x14ac:dyDescent="0.3">
      <c r="A1247" t="s">
        <v>1374</v>
      </c>
      <c r="B1247" s="1">
        <v>45658</v>
      </c>
      <c r="C1247" t="s">
        <v>17</v>
      </c>
      <c r="D1247">
        <v>1</v>
      </c>
      <c r="E1247" t="s">
        <v>12</v>
      </c>
      <c r="F1247" t="s">
        <v>87</v>
      </c>
      <c r="G1247" t="s">
        <v>324</v>
      </c>
      <c r="H1247" t="s">
        <v>80</v>
      </c>
      <c r="I1247">
        <v>30516</v>
      </c>
      <c r="J1247">
        <v>25161</v>
      </c>
    </row>
    <row r="1248" spans="1:10" x14ac:dyDescent="0.3">
      <c r="A1248" t="s">
        <v>1375</v>
      </c>
      <c r="B1248" s="1">
        <v>45779</v>
      </c>
      <c r="C1248" t="s">
        <v>90</v>
      </c>
      <c r="D1248">
        <v>18</v>
      </c>
      <c r="E1248" t="s">
        <v>24</v>
      </c>
      <c r="F1248" t="s">
        <v>122</v>
      </c>
      <c r="G1248" t="s">
        <v>199</v>
      </c>
      <c r="H1248" t="s">
        <v>15</v>
      </c>
      <c r="I1248">
        <v>20999</v>
      </c>
      <c r="J1248">
        <v>22599</v>
      </c>
    </row>
    <row r="1249" spans="1:10" x14ac:dyDescent="0.3">
      <c r="A1249" t="s">
        <v>1376</v>
      </c>
      <c r="B1249" s="1">
        <v>45668</v>
      </c>
      <c r="C1249" t="s">
        <v>17</v>
      </c>
      <c r="D1249">
        <v>2</v>
      </c>
      <c r="E1249" t="s">
        <v>18</v>
      </c>
      <c r="F1249" t="s">
        <v>109</v>
      </c>
      <c r="G1249" t="s">
        <v>63</v>
      </c>
      <c r="H1249" t="s">
        <v>52</v>
      </c>
      <c r="I1249">
        <v>32110</v>
      </c>
      <c r="J1249">
        <v>33031</v>
      </c>
    </row>
    <row r="1250" spans="1:10" x14ac:dyDescent="0.3">
      <c r="A1250" t="s">
        <v>1377</v>
      </c>
      <c r="B1250" s="1">
        <v>45664</v>
      </c>
      <c r="C1250" t="s">
        <v>17</v>
      </c>
      <c r="D1250">
        <v>2</v>
      </c>
      <c r="E1250" t="s">
        <v>33</v>
      </c>
      <c r="F1250" t="s">
        <v>75</v>
      </c>
      <c r="G1250" t="s">
        <v>135</v>
      </c>
      <c r="H1250" t="s">
        <v>36</v>
      </c>
      <c r="I1250">
        <v>28693</v>
      </c>
      <c r="J1250">
        <v>27045</v>
      </c>
    </row>
    <row r="1251" spans="1:10" x14ac:dyDescent="0.3">
      <c r="A1251" t="s">
        <v>1378</v>
      </c>
      <c r="B1251" s="1">
        <v>45876</v>
      </c>
      <c r="C1251" t="s">
        <v>113</v>
      </c>
      <c r="D1251">
        <v>32</v>
      </c>
      <c r="E1251" t="s">
        <v>39</v>
      </c>
      <c r="F1251" t="s">
        <v>92</v>
      </c>
      <c r="G1251" t="s">
        <v>132</v>
      </c>
      <c r="H1251" t="s">
        <v>59</v>
      </c>
      <c r="I1251">
        <v>35111</v>
      </c>
      <c r="J1251">
        <v>28897</v>
      </c>
    </row>
    <row r="1252" spans="1:10" x14ac:dyDescent="0.3">
      <c r="A1252" t="s">
        <v>1379</v>
      </c>
      <c r="B1252" s="1">
        <v>45689</v>
      </c>
      <c r="C1252" t="s">
        <v>82</v>
      </c>
      <c r="D1252">
        <v>5</v>
      </c>
      <c r="E1252" t="s">
        <v>33</v>
      </c>
      <c r="F1252" t="s">
        <v>122</v>
      </c>
      <c r="G1252" t="s">
        <v>40</v>
      </c>
      <c r="H1252" t="s">
        <v>48</v>
      </c>
      <c r="I1252">
        <v>25439</v>
      </c>
      <c r="J1252">
        <v>25113</v>
      </c>
    </row>
    <row r="1253" spans="1:10" x14ac:dyDescent="0.3">
      <c r="A1253" t="s">
        <v>1380</v>
      </c>
      <c r="B1253" s="1">
        <v>45913</v>
      </c>
      <c r="C1253" t="s">
        <v>38</v>
      </c>
      <c r="D1253">
        <v>37</v>
      </c>
      <c r="E1253" t="s">
        <v>61</v>
      </c>
      <c r="F1253" t="s">
        <v>140</v>
      </c>
      <c r="G1253" t="s">
        <v>118</v>
      </c>
      <c r="H1253" t="s">
        <v>116</v>
      </c>
      <c r="I1253">
        <v>18361</v>
      </c>
      <c r="J1253">
        <v>17488</v>
      </c>
    </row>
    <row r="1254" spans="1:10" x14ac:dyDescent="0.3">
      <c r="A1254" t="s">
        <v>1381</v>
      </c>
      <c r="B1254" s="1">
        <v>45816</v>
      </c>
      <c r="C1254" t="s">
        <v>74</v>
      </c>
      <c r="D1254">
        <v>23</v>
      </c>
      <c r="E1254" t="s">
        <v>18</v>
      </c>
      <c r="F1254" t="s">
        <v>114</v>
      </c>
      <c r="G1254" t="s">
        <v>147</v>
      </c>
      <c r="H1254" t="s">
        <v>188</v>
      </c>
      <c r="I1254">
        <v>33518</v>
      </c>
      <c r="J1254">
        <v>28046</v>
      </c>
    </row>
    <row r="1255" spans="1:10" x14ac:dyDescent="0.3">
      <c r="A1255" t="s">
        <v>1382</v>
      </c>
      <c r="B1255" s="1">
        <v>45845</v>
      </c>
      <c r="C1255" t="s">
        <v>11</v>
      </c>
      <c r="D1255">
        <v>28</v>
      </c>
      <c r="E1255" t="s">
        <v>24</v>
      </c>
      <c r="F1255" t="s">
        <v>109</v>
      </c>
      <c r="G1255" t="s">
        <v>199</v>
      </c>
      <c r="H1255" t="s">
        <v>103</v>
      </c>
      <c r="I1255">
        <v>21997</v>
      </c>
      <c r="J1255">
        <v>19185</v>
      </c>
    </row>
    <row r="1256" spans="1:10" x14ac:dyDescent="0.3">
      <c r="A1256" t="s">
        <v>1383</v>
      </c>
      <c r="B1256" s="1">
        <v>45933</v>
      </c>
      <c r="C1256" t="s">
        <v>66</v>
      </c>
      <c r="D1256">
        <v>40</v>
      </c>
      <c r="E1256" t="s">
        <v>18</v>
      </c>
      <c r="F1256" t="s">
        <v>122</v>
      </c>
      <c r="G1256" t="s">
        <v>199</v>
      </c>
      <c r="H1256" t="s">
        <v>163</v>
      </c>
      <c r="I1256">
        <v>26500</v>
      </c>
      <c r="J1256">
        <v>18939</v>
      </c>
    </row>
    <row r="1257" spans="1:10" x14ac:dyDescent="0.3">
      <c r="A1257" t="s">
        <v>1384</v>
      </c>
      <c r="B1257" s="1">
        <v>46009</v>
      </c>
      <c r="C1257" t="s">
        <v>100</v>
      </c>
      <c r="D1257">
        <v>51</v>
      </c>
      <c r="E1257" t="s">
        <v>39</v>
      </c>
      <c r="F1257" t="s">
        <v>34</v>
      </c>
      <c r="G1257" t="s">
        <v>115</v>
      </c>
      <c r="H1257" t="s">
        <v>151</v>
      </c>
      <c r="I1257">
        <v>33468</v>
      </c>
      <c r="J1257">
        <v>41179</v>
      </c>
    </row>
    <row r="1258" spans="1:10" x14ac:dyDescent="0.3">
      <c r="A1258" t="s">
        <v>1385</v>
      </c>
      <c r="B1258" s="1">
        <v>45697</v>
      </c>
      <c r="C1258" t="s">
        <v>82</v>
      </c>
      <c r="D1258">
        <v>6</v>
      </c>
      <c r="E1258" t="s">
        <v>24</v>
      </c>
      <c r="F1258" t="s">
        <v>140</v>
      </c>
      <c r="G1258" t="s">
        <v>47</v>
      </c>
      <c r="H1258" t="s">
        <v>211</v>
      </c>
      <c r="I1258">
        <v>35625</v>
      </c>
      <c r="J1258">
        <v>40517</v>
      </c>
    </row>
    <row r="1259" spans="1:10" x14ac:dyDescent="0.3">
      <c r="A1259" t="s">
        <v>1386</v>
      </c>
      <c r="B1259" s="1">
        <v>45742</v>
      </c>
      <c r="C1259" t="s">
        <v>95</v>
      </c>
      <c r="D1259">
        <v>13</v>
      </c>
      <c r="E1259" t="s">
        <v>39</v>
      </c>
      <c r="F1259" t="s">
        <v>122</v>
      </c>
      <c r="G1259" t="s">
        <v>47</v>
      </c>
      <c r="H1259" t="s">
        <v>84</v>
      </c>
      <c r="I1259">
        <v>21466</v>
      </c>
      <c r="J1259">
        <v>26361</v>
      </c>
    </row>
    <row r="1260" spans="1:10" x14ac:dyDescent="0.3">
      <c r="A1260" t="s">
        <v>1387</v>
      </c>
      <c r="B1260" s="1">
        <v>45904</v>
      </c>
      <c r="C1260" t="s">
        <v>38</v>
      </c>
      <c r="D1260">
        <v>36</v>
      </c>
      <c r="E1260" t="s">
        <v>12</v>
      </c>
      <c r="F1260" t="s">
        <v>114</v>
      </c>
      <c r="G1260" t="s">
        <v>191</v>
      </c>
      <c r="H1260" t="s">
        <v>31</v>
      </c>
      <c r="I1260">
        <v>29613</v>
      </c>
      <c r="J1260">
        <v>24246</v>
      </c>
    </row>
    <row r="1261" spans="1:10" x14ac:dyDescent="0.3">
      <c r="A1261" t="s">
        <v>1388</v>
      </c>
      <c r="B1261" s="1">
        <v>46012</v>
      </c>
      <c r="C1261" t="s">
        <v>100</v>
      </c>
      <c r="D1261">
        <v>51</v>
      </c>
      <c r="E1261" t="s">
        <v>70</v>
      </c>
      <c r="F1261" t="s">
        <v>34</v>
      </c>
      <c r="G1261" t="s">
        <v>93</v>
      </c>
      <c r="H1261" t="s">
        <v>96</v>
      </c>
      <c r="I1261">
        <v>27438</v>
      </c>
      <c r="J1261">
        <v>21550</v>
      </c>
    </row>
    <row r="1262" spans="1:10" x14ac:dyDescent="0.3">
      <c r="A1262" t="s">
        <v>1389</v>
      </c>
      <c r="B1262" s="1">
        <v>45802</v>
      </c>
      <c r="C1262" t="s">
        <v>90</v>
      </c>
      <c r="D1262">
        <v>21</v>
      </c>
      <c r="E1262" t="s">
        <v>12</v>
      </c>
      <c r="F1262" t="s">
        <v>122</v>
      </c>
      <c r="G1262" t="s">
        <v>26</v>
      </c>
      <c r="H1262" t="s">
        <v>31</v>
      </c>
      <c r="I1262">
        <v>18642</v>
      </c>
      <c r="J1262">
        <v>16291</v>
      </c>
    </row>
    <row r="1263" spans="1:10" x14ac:dyDescent="0.3">
      <c r="A1263" t="s">
        <v>1390</v>
      </c>
      <c r="B1263" s="1">
        <v>45945</v>
      </c>
      <c r="C1263" t="s">
        <v>66</v>
      </c>
      <c r="D1263">
        <v>42</v>
      </c>
      <c r="E1263" t="s">
        <v>12</v>
      </c>
      <c r="F1263" t="s">
        <v>50</v>
      </c>
      <c r="G1263" t="s">
        <v>14</v>
      </c>
      <c r="H1263" t="s">
        <v>84</v>
      </c>
      <c r="I1263">
        <v>19522</v>
      </c>
      <c r="J1263">
        <v>19161</v>
      </c>
    </row>
    <row r="1264" spans="1:10" x14ac:dyDescent="0.3">
      <c r="A1264" t="s">
        <v>1391</v>
      </c>
      <c r="B1264" s="1">
        <v>45983</v>
      </c>
      <c r="C1264" t="s">
        <v>23</v>
      </c>
      <c r="D1264">
        <v>47</v>
      </c>
      <c r="E1264" t="s">
        <v>39</v>
      </c>
      <c r="F1264" t="s">
        <v>193</v>
      </c>
      <c r="G1264" t="s">
        <v>147</v>
      </c>
      <c r="H1264" t="s">
        <v>52</v>
      </c>
      <c r="I1264">
        <v>24033</v>
      </c>
      <c r="J1264">
        <v>27592</v>
      </c>
    </row>
    <row r="1265" spans="1:10" x14ac:dyDescent="0.3">
      <c r="A1265" t="s">
        <v>1392</v>
      </c>
      <c r="B1265" s="1">
        <v>45693</v>
      </c>
      <c r="C1265" t="s">
        <v>82</v>
      </c>
      <c r="D1265">
        <v>6</v>
      </c>
      <c r="E1265" t="s">
        <v>33</v>
      </c>
      <c r="F1265" t="s">
        <v>140</v>
      </c>
      <c r="G1265" t="s">
        <v>51</v>
      </c>
      <c r="H1265" t="s">
        <v>151</v>
      </c>
      <c r="I1265">
        <v>30838</v>
      </c>
      <c r="J1265">
        <v>30566</v>
      </c>
    </row>
    <row r="1266" spans="1:10" x14ac:dyDescent="0.3">
      <c r="A1266" t="s">
        <v>1393</v>
      </c>
      <c r="B1266" s="1">
        <v>45901</v>
      </c>
      <c r="C1266" t="s">
        <v>38</v>
      </c>
      <c r="D1266">
        <v>36</v>
      </c>
      <c r="E1266" t="s">
        <v>12</v>
      </c>
      <c r="F1266" t="s">
        <v>29</v>
      </c>
      <c r="G1266" t="s">
        <v>83</v>
      </c>
      <c r="H1266" t="s">
        <v>243</v>
      </c>
      <c r="I1266">
        <v>27129</v>
      </c>
      <c r="J1266">
        <v>20489</v>
      </c>
    </row>
    <row r="1267" spans="1:10" x14ac:dyDescent="0.3">
      <c r="A1267" t="s">
        <v>1394</v>
      </c>
      <c r="B1267" s="1">
        <v>45682</v>
      </c>
      <c r="C1267" t="s">
        <v>17</v>
      </c>
      <c r="D1267">
        <v>4</v>
      </c>
      <c r="E1267" t="s">
        <v>39</v>
      </c>
      <c r="F1267" t="s">
        <v>114</v>
      </c>
      <c r="G1267" t="s">
        <v>115</v>
      </c>
      <c r="H1267" t="s">
        <v>68</v>
      </c>
      <c r="I1267">
        <v>35896</v>
      </c>
      <c r="J1267">
        <v>44130</v>
      </c>
    </row>
    <row r="1268" spans="1:10" x14ac:dyDescent="0.3">
      <c r="A1268" t="s">
        <v>1395</v>
      </c>
      <c r="B1268" s="1">
        <v>45794</v>
      </c>
      <c r="C1268" t="s">
        <v>90</v>
      </c>
      <c r="D1268">
        <v>20</v>
      </c>
      <c r="E1268" t="s">
        <v>18</v>
      </c>
      <c r="F1268" t="s">
        <v>101</v>
      </c>
      <c r="G1268" t="s">
        <v>324</v>
      </c>
      <c r="H1268" t="s">
        <v>52</v>
      </c>
      <c r="I1268">
        <v>24658</v>
      </c>
      <c r="J1268">
        <v>19037</v>
      </c>
    </row>
    <row r="1269" spans="1:10" x14ac:dyDescent="0.3">
      <c r="A1269" t="s">
        <v>1396</v>
      </c>
      <c r="B1269" s="1">
        <v>45660</v>
      </c>
      <c r="C1269" t="s">
        <v>17</v>
      </c>
      <c r="D1269">
        <v>1</v>
      </c>
      <c r="E1269" t="s">
        <v>61</v>
      </c>
      <c r="F1269" t="s">
        <v>122</v>
      </c>
      <c r="G1269" t="s">
        <v>291</v>
      </c>
      <c r="H1269" t="s">
        <v>21</v>
      </c>
      <c r="I1269">
        <v>37769</v>
      </c>
      <c r="J1269">
        <v>40543</v>
      </c>
    </row>
    <row r="1270" spans="1:10" x14ac:dyDescent="0.3">
      <c r="A1270" t="s">
        <v>1397</v>
      </c>
      <c r="B1270" s="1">
        <v>45909</v>
      </c>
      <c r="C1270" t="s">
        <v>38</v>
      </c>
      <c r="D1270">
        <v>37</v>
      </c>
      <c r="E1270" t="s">
        <v>24</v>
      </c>
      <c r="F1270" t="s">
        <v>109</v>
      </c>
      <c r="G1270" t="s">
        <v>20</v>
      </c>
      <c r="H1270" t="s">
        <v>157</v>
      </c>
      <c r="I1270">
        <v>36837</v>
      </c>
      <c r="J1270">
        <v>28653</v>
      </c>
    </row>
    <row r="1271" spans="1:10" x14ac:dyDescent="0.3">
      <c r="A1271" t="s">
        <v>1398</v>
      </c>
      <c r="B1271" s="1">
        <v>45881</v>
      </c>
      <c r="C1271" t="s">
        <v>113</v>
      </c>
      <c r="D1271">
        <v>33</v>
      </c>
      <c r="E1271" t="s">
        <v>18</v>
      </c>
      <c r="F1271" t="s">
        <v>34</v>
      </c>
      <c r="G1271" t="s">
        <v>110</v>
      </c>
      <c r="H1271" t="s">
        <v>103</v>
      </c>
      <c r="I1271">
        <v>37847</v>
      </c>
      <c r="J1271">
        <v>37259</v>
      </c>
    </row>
    <row r="1272" spans="1:10" x14ac:dyDescent="0.3">
      <c r="A1272" t="s">
        <v>1399</v>
      </c>
      <c r="B1272" s="1">
        <v>45925</v>
      </c>
      <c r="C1272" t="s">
        <v>38</v>
      </c>
      <c r="D1272">
        <v>39</v>
      </c>
      <c r="E1272" t="s">
        <v>18</v>
      </c>
      <c r="F1272" t="s">
        <v>25</v>
      </c>
      <c r="G1272" t="s">
        <v>76</v>
      </c>
      <c r="H1272" t="s">
        <v>27</v>
      </c>
      <c r="I1272">
        <v>35997</v>
      </c>
      <c r="J1272">
        <v>34871</v>
      </c>
    </row>
    <row r="1273" spans="1:10" x14ac:dyDescent="0.3">
      <c r="A1273" t="s">
        <v>1400</v>
      </c>
      <c r="B1273" s="1">
        <v>45890</v>
      </c>
      <c r="C1273" t="s">
        <v>113</v>
      </c>
      <c r="D1273">
        <v>34</v>
      </c>
      <c r="E1273" t="s">
        <v>33</v>
      </c>
      <c r="F1273" t="s">
        <v>50</v>
      </c>
      <c r="G1273" t="s">
        <v>201</v>
      </c>
      <c r="H1273" t="s">
        <v>151</v>
      </c>
      <c r="I1273">
        <v>21194</v>
      </c>
      <c r="J1273">
        <v>17128</v>
      </c>
    </row>
    <row r="1274" spans="1:10" x14ac:dyDescent="0.3">
      <c r="A1274" t="s">
        <v>1401</v>
      </c>
      <c r="B1274" s="1">
        <v>45948</v>
      </c>
      <c r="C1274" t="s">
        <v>66</v>
      </c>
      <c r="D1274">
        <v>42</v>
      </c>
      <c r="E1274" t="s">
        <v>39</v>
      </c>
      <c r="F1274" t="s">
        <v>109</v>
      </c>
      <c r="G1274" t="s">
        <v>26</v>
      </c>
      <c r="H1274" t="s">
        <v>48</v>
      </c>
      <c r="I1274">
        <v>32316</v>
      </c>
      <c r="J1274">
        <v>35683</v>
      </c>
    </row>
    <row r="1275" spans="1:10" x14ac:dyDescent="0.3">
      <c r="A1275" t="s">
        <v>1402</v>
      </c>
      <c r="B1275" s="1">
        <v>45777</v>
      </c>
      <c r="C1275" t="s">
        <v>86</v>
      </c>
      <c r="D1275">
        <v>18</v>
      </c>
      <c r="E1275" t="s">
        <v>18</v>
      </c>
      <c r="F1275" t="s">
        <v>122</v>
      </c>
      <c r="G1275" t="s">
        <v>93</v>
      </c>
      <c r="H1275" t="s">
        <v>123</v>
      </c>
      <c r="I1275">
        <v>35160</v>
      </c>
      <c r="J1275">
        <v>40266</v>
      </c>
    </row>
    <row r="1276" spans="1:10" x14ac:dyDescent="0.3">
      <c r="A1276" t="s">
        <v>1403</v>
      </c>
      <c r="B1276" s="1">
        <v>45752</v>
      </c>
      <c r="C1276" t="s">
        <v>86</v>
      </c>
      <c r="D1276">
        <v>14</v>
      </c>
      <c r="E1276" t="s">
        <v>33</v>
      </c>
      <c r="F1276" t="s">
        <v>29</v>
      </c>
      <c r="G1276" t="s">
        <v>115</v>
      </c>
      <c r="H1276" t="s">
        <v>211</v>
      </c>
      <c r="I1276">
        <v>33074</v>
      </c>
      <c r="J1276">
        <v>39241</v>
      </c>
    </row>
    <row r="1277" spans="1:10" x14ac:dyDescent="0.3">
      <c r="A1277" t="s">
        <v>1404</v>
      </c>
      <c r="B1277" s="1">
        <v>45858</v>
      </c>
      <c r="C1277" t="s">
        <v>11</v>
      </c>
      <c r="D1277">
        <v>29</v>
      </c>
      <c r="E1277" t="s">
        <v>18</v>
      </c>
      <c r="F1277" t="s">
        <v>57</v>
      </c>
      <c r="G1277" t="s">
        <v>93</v>
      </c>
      <c r="H1277" t="s">
        <v>188</v>
      </c>
      <c r="I1277">
        <v>23475</v>
      </c>
      <c r="J1277">
        <v>26558</v>
      </c>
    </row>
    <row r="1278" spans="1:10" x14ac:dyDescent="0.3">
      <c r="A1278" t="s">
        <v>1405</v>
      </c>
      <c r="B1278" s="1">
        <v>45855</v>
      </c>
      <c r="C1278" t="s">
        <v>11</v>
      </c>
      <c r="D1278">
        <v>29</v>
      </c>
      <c r="E1278" t="s">
        <v>18</v>
      </c>
      <c r="F1278" t="s">
        <v>101</v>
      </c>
      <c r="G1278" t="s">
        <v>72</v>
      </c>
      <c r="H1278" t="s">
        <v>103</v>
      </c>
      <c r="I1278">
        <v>36884</v>
      </c>
      <c r="J1278">
        <v>27713</v>
      </c>
    </row>
    <row r="1279" spans="1:10" x14ac:dyDescent="0.3">
      <c r="A1279" t="s">
        <v>1406</v>
      </c>
      <c r="B1279" s="1">
        <v>45752</v>
      </c>
      <c r="C1279" t="s">
        <v>86</v>
      </c>
      <c r="D1279">
        <v>14</v>
      </c>
      <c r="E1279" t="s">
        <v>70</v>
      </c>
      <c r="F1279" t="s">
        <v>109</v>
      </c>
      <c r="G1279" t="s">
        <v>135</v>
      </c>
      <c r="H1279" t="s">
        <v>123</v>
      </c>
      <c r="I1279">
        <v>27983</v>
      </c>
      <c r="J1279">
        <v>31474</v>
      </c>
    </row>
    <row r="1280" spans="1:10" x14ac:dyDescent="0.3">
      <c r="A1280" t="s">
        <v>1407</v>
      </c>
      <c r="B1280" s="1">
        <v>45790</v>
      </c>
      <c r="C1280" t="s">
        <v>90</v>
      </c>
      <c r="D1280">
        <v>20</v>
      </c>
      <c r="E1280" t="s">
        <v>61</v>
      </c>
      <c r="F1280" t="s">
        <v>34</v>
      </c>
      <c r="G1280" t="s">
        <v>266</v>
      </c>
      <c r="H1280" t="s">
        <v>116</v>
      </c>
      <c r="I1280">
        <v>27773</v>
      </c>
      <c r="J1280">
        <v>28303</v>
      </c>
    </row>
    <row r="1281" spans="1:10" x14ac:dyDescent="0.3">
      <c r="A1281" t="s">
        <v>1408</v>
      </c>
      <c r="B1281" s="1">
        <v>45943</v>
      </c>
      <c r="C1281" t="s">
        <v>66</v>
      </c>
      <c r="D1281">
        <v>42</v>
      </c>
      <c r="E1281" t="s">
        <v>12</v>
      </c>
      <c r="F1281" t="s">
        <v>122</v>
      </c>
      <c r="G1281" t="s">
        <v>130</v>
      </c>
      <c r="H1281" t="s">
        <v>119</v>
      </c>
      <c r="I1281">
        <v>17455</v>
      </c>
      <c r="J1281">
        <v>16151</v>
      </c>
    </row>
    <row r="1282" spans="1:10" x14ac:dyDescent="0.3">
      <c r="A1282" t="s">
        <v>1409</v>
      </c>
      <c r="B1282" s="1">
        <v>45897</v>
      </c>
      <c r="C1282" t="s">
        <v>113</v>
      </c>
      <c r="D1282">
        <v>35</v>
      </c>
      <c r="E1282" t="s">
        <v>70</v>
      </c>
      <c r="F1282" t="s">
        <v>43</v>
      </c>
      <c r="G1282" t="s">
        <v>240</v>
      </c>
      <c r="H1282" t="s">
        <v>151</v>
      </c>
      <c r="I1282">
        <v>30121</v>
      </c>
      <c r="J1282">
        <v>21159</v>
      </c>
    </row>
    <row r="1283" spans="1:10" x14ac:dyDescent="0.3">
      <c r="A1283" t="s">
        <v>1410</v>
      </c>
      <c r="B1283" s="1">
        <v>45745</v>
      </c>
      <c r="C1283" t="s">
        <v>95</v>
      </c>
      <c r="D1283">
        <v>13</v>
      </c>
      <c r="E1283" t="s">
        <v>18</v>
      </c>
      <c r="F1283" t="s">
        <v>193</v>
      </c>
      <c r="G1283" t="s">
        <v>130</v>
      </c>
      <c r="H1283" t="s">
        <v>211</v>
      </c>
      <c r="I1283">
        <v>37060</v>
      </c>
      <c r="J1283">
        <v>43070</v>
      </c>
    </row>
    <row r="1284" spans="1:10" x14ac:dyDescent="0.3">
      <c r="A1284" t="s">
        <v>1411</v>
      </c>
      <c r="B1284" s="1">
        <v>45665</v>
      </c>
      <c r="C1284" t="s">
        <v>17</v>
      </c>
      <c r="D1284">
        <v>2</v>
      </c>
      <c r="E1284" t="s">
        <v>12</v>
      </c>
      <c r="F1284" t="s">
        <v>25</v>
      </c>
      <c r="G1284" t="s">
        <v>141</v>
      </c>
      <c r="H1284" t="s">
        <v>155</v>
      </c>
      <c r="I1284">
        <v>17911</v>
      </c>
      <c r="J1284">
        <v>19703</v>
      </c>
    </row>
    <row r="1285" spans="1:10" x14ac:dyDescent="0.3">
      <c r="A1285" t="s">
        <v>1412</v>
      </c>
      <c r="B1285" s="1">
        <v>46002</v>
      </c>
      <c r="C1285" t="s">
        <v>100</v>
      </c>
      <c r="D1285">
        <v>50</v>
      </c>
      <c r="E1285" t="s">
        <v>33</v>
      </c>
      <c r="F1285" t="s">
        <v>193</v>
      </c>
      <c r="G1285" t="s">
        <v>88</v>
      </c>
      <c r="H1285" t="s">
        <v>80</v>
      </c>
      <c r="I1285">
        <v>18621</v>
      </c>
      <c r="J1285">
        <v>14667</v>
      </c>
    </row>
    <row r="1286" spans="1:10" x14ac:dyDescent="0.3">
      <c r="A1286" t="s">
        <v>1413</v>
      </c>
      <c r="B1286" s="1">
        <v>45945</v>
      </c>
      <c r="C1286" t="s">
        <v>66</v>
      </c>
      <c r="D1286">
        <v>42</v>
      </c>
      <c r="E1286" t="s">
        <v>12</v>
      </c>
      <c r="F1286" t="s">
        <v>109</v>
      </c>
      <c r="G1286" t="s">
        <v>67</v>
      </c>
      <c r="H1286" t="s">
        <v>84</v>
      </c>
      <c r="I1286">
        <v>25522</v>
      </c>
      <c r="J1286">
        <v>30937</v>
      </c>
    </row>
    <row r="1287" spans="1:10" x14ac:dyDescent="0.3">
      <c r="A1287" t="s">
        <v>1414</v>
      </c>
      <c r="B1287" s="1">
        <v>45747</v>
      </c>
      <c r="C1287" t="s">
        <v>95</v>
      </c>
      <c r="D1287">
        <v>14</v>
      </c>
      <c r="E1287" t="s">
        <v>18</v>
      </c>
      <c r="F1287" t="s">
        <v>25</v>
      </c>
      <c r="G1287" t="s">
        <v>145</v>
      </c>
      <c r="H1287" t="s">
        <v>119</v>
      </c>
      <c r="I1287">
        <v>25659</v>
      </c>
      <c r="J1287">
        <v>28601</v>
      </c>
    </row>
    <row r="1288" spans="1:10" x14ac:dyDescent="0.3">
      <c r="A1288" t="s">
        <v>1415</v>
      </c>
      <c r="B1288" s="1">
        <v>45868</v>
      </c>
      <c r="C1288" t="s">
        <v>11</v>
      </c>
      <c r="D1288">
        <v>31</v>
      </c>
      <c r="E1288" t="s">
        <v>70</v>
      </c>
      <c r="F1288" t="s">
        <v>46</v>
      </c>
      <c r="G1288" t="s">
        <v>26</v>
      </c>
      <c r="H1288" t="s">
        <v>48</v>
      </c>
      <c r="I1288">
        <v>17423</v>
      </c>
      <c r="J1288">
        <v>17345</v>
      </c>
    </row>
    <row r="1289" spans="1:10" x14ac:dyDescent="0.3">
      <c r="A1289" t="s">
        <v>1416</v>
      </c>
      <c r="B1289" s="1">
        <v>45977</v>
      </c>
      <c r="C1289" t="s">
        <v>23</v>
      </c>
      <c r="D1289">
        <v>46</v>
      </c>
      <c r="E1289" t="s">
        <v>70</v>
      </c>
      <c r="F1289" t="s">
        <v>140</v>
      </c>
      <c r="G1289" t="s">
        <v>137</v>
      </c>
      <c r="H1289" t="s">
        <v>151</v>
      </c>
      <c r="I1289">
        <v>21586</v>
      </c>
      <c r="J1289">
        <v>20018</v>
      </c>
    </row>
    <row r="1290" spans="1:10" x14ac:dyDescent="0.3">
      <c r="A1290" t="s">
        <v>1417</v>
      </c>
      <c r="B1290" s="1">
        <v>45985</v>
      </c>
      <c r="C1290" t="s">
        <v>23</v>
      </c>
      <c r="D1290">
        <v>48</v>
      </c>
      <c r="E1290" t="s">
        <v>61</v>
      </c>
      <c r="F1290" t="s">
        <v>87</v>
      </c>
      <c r="G1290" t="s">
        <v>67</v>
      </c>
      <c r="H1290" t="s">
        <v>98</v>
      </c>
      <c r="I1290">
        <v>30170</v>
      </c>
      <c r="J1290">
        <v>35717</v>
      </c>
    </row>
    <row r="1291" spans="1:10" x14ac:dyDescent="0.3">
      <c r="A1291" t="s">
        <v>1418</v>
      </c>
      <c r="B1291" s="1">
        <v>45982</v>
      </c>
      <c r="C1291" t="s">
        <v>23</v>
      </c>
      <c r="D1291">
        <v>47</v>
      </c>
      <c r="E1291" t="s">
        <v>61</v>
      </c>
      <c r="F1291" t="s">
        <v>140</v>
      </c>
      <c r="G1291" t="s">
        <v>230</v>
      </c>
      <c r="H1291" t="s">
        <v>27</v>
      </c>
      <c r="I1291">
        <v>38122</v>
      </c>
      <c r="J1291">
        <v>34526</v>
      </c>
    </row>
    <row r="1292" spans="1:10" x14ac:dyDescent="0.3">
      <c r="A1292" t="s">
        <v>1419</v>
      </c>
      <c r="B1292" s="1">
        <v>45721</v>
      </c>
      <c r="C1292" t="s">
        <v>95</v>
      </c>
      <c r="D1292">
        <v>10</v>
      </c>
      <c r="E1292" t="s">
        <v>12</v>
      </c>
      <c r="F1292" t="s">
        <v>78</v>
      </c>
      <c r="G1292" t="s">
        <v>126</v>
      </c>
      <c r="H1292" t="s">
        <v>36</v>
      </c>
      <c r="I1292">
        <v>21864</v>
      </c>
      <c r="J1292">
        <v>21646</v>
      </c>
    </row>
    <row r="1293" spans="1:10" x14ac:dyDescent="0.3">
      <c r="A1293" t="s">
        <v>1420</v>
      </c>
      <c r="B1293" s="1">
        <v>45877</v>
      </c>
      <c r="C1293" t="s">
        <v>113</v>
      </c>
      <c r="D1293">
        <v>32</v>
      </c>
      <c r="E1293" t="s">
        <v>61</v>
      </c>
      <c r="F1293" t="s">
        <v>87</v>
      </c>
      <c r="G1293" t="s">
        <v>171</v>
      </c>
      <c r="H1293" t="s">
        <v>21</v>
      </c>
      <c r="I1293">
        <v>30584</v>
      </c>
      <c r="J1293">
        <v>31271</v>
      </c>
    </row>
    <row r="1294" spans="1:10" x14ac:dyDescent="0.3">
      <c r="A1294" t="s">
        <v>1421</v>
      </c>
      <c r="B1294" s="1">
        <v>45756</v>
      </c>
      <c r="C1294" t="s">
        <v>86</v>
      </c>
      <c r="D1294">
        <v>15</v>
      </c>
      <c r="E1294" t="s">
        <v>18</v>
      </c>
      <c r="F1294" t="s">
        <v>57</v>
      </c>
      <c r="G1294" t="s">
        <v>30</v>
      </c>
      <c r="H1294" t="s">
        <v>119</v>
      </c>
      <c r="I1294">
        <v>36341</v>
      </c>
      <c r="J1294">
        <v>39794</v>
      </c>
    </row>
    <row r="1295" spans="1:10" x14ac:dyDescent="0.3">
      <c r="A1295" t="s">
        <v>1422</v>
      </c>
      <c r="B1295" s="1">
        <v>45818</v>
      </c>
      <c r="C1295" t="s">
        <v>74</v>
      </c>
      <c r="D1295">
        <v>24</v>
      </c>
      <c r="E1295" t="s">
        <v>70</v>
      </c>
      <c r="F1295" t="s">
        <v>87</v>
      </c>
      <c r="G1295" t="s">
        <v>40</v>
      </c>
      <c r="H1295" t="s">
        <v>111</v>
      </c>
      <c r="I1295">
        <v>34894</v>
      </c>
      <c r="J1295">
        <v>37797</v>
      </c>
    </row>
    <row r="1296" spans="1:10" x14ac:dyDescent="0.3">
      <c r="A1296" t="s">
        <v>1423</v>
      </c>
      <c r="B1296" s="1">
        <v>45722</v>
      </c>
      <c r="C1296" t="s">
        <v>95</v>
      </c>
      <c r="D1296">
        <v>10</v>
      </c>
      <c r="E1296" t="s">
        <v>39</v>
      </c>
      <c r="F1296" t="s">
        <v>75</v>
      </c>
      <c r="G1296" t="s">
        <v>107</v>
      </c>
      <c r="H1296" t="s">
        <v>80</v>
      </c>
      <c r="I1296">
        <v>18509</v>
      </c>
      <c r="J1296">
        <v>18937</v>
      </c>
    </row>
    <row r="1297" spans="1:10" x14ac:dyDescent="0.3">
      <c r="A1297" t="s">
        <v>1424</v>
      </c>
      <c r="B1297" s="1">
        <v>45753</v>
      </c>
      <c r="C1297" t="s">
        <v>86</v>
      </c>
      <c r="D1297">
        <v>14</v>
      </c>
      <c r="E1297" t="s">
        <v>24</v>
      </c>
      <c r="F1297" t="s">
        <v>43</v>
      </c>
      <c r="G1297" t="s">
        <v>47</v>
      </c>
      <c r="H1297" t="s">
        <v>64</v>
      </c>
      <c r="I1297">
        <v>34268</v>
      </c>
      <c r="J1297">
        <v>27253</v>
      </c>
    </row>
    <row r="1298" spans="1:10" x14ac:dyDescent="0.3">
      <c r="A1298" t="s">
        <v>1425</v>
      </c>
      <c r="B1298" s="1">
        <v>45923</v>
      </c>
      <c r="C1298" t="s">
        <v>38</v>
      </c>
      <c r="D1298">
        <v>39</v>
      </c>
      <c r="E1298" t="s">
        <v>61</v>
      </c>
      <c r="F1298" t="s">
        <v>122</v>
      </c>
      <c r="G1298" t="s">
        <v>324</v>
      </c>
      <c r="H1298" t="s">
        <v>36</v>
      </c>
      <c r="I1298">
        <v>22411</v>
      </c>
      <c r="J1298">
        <v>28123</v>
      </c>
    </row>
    <row r="1299" spans="1:10" x14ac:dyDescent="0.3">
      <c r="A1299" t="s">
        <v>1426</v>
      </c>
      <c r="B1299" s="1">
        <v>45726</v>
      </c>
      <c r="C1299" t="s">
        <v>95</v>
      </c>
      <c r="D1299">
        <v>11</v>
      </c>
      <c r="E1299" t="s">
        <v>39</v>
      </c>
      <c r="F1299" t="s">
        <v>13</v>
      </c>
      <c r="G1299" t="s">
        <v>58</v>
      </c>
      <c r="H1299" t="s">
        <v>243</v>
      </c>
      <c r="I1299">
        <v>19131</v>
      </c>
      <c r="J1299">
        <v>21493</v>
      </c>
    </row>
    <row r="1300" spans="1:10" x14ac:dyDescent="0.3">
      <c r="A1300" t="s">
        <v>1427</v>
      </c>
      <c r="B1300" s="1">
        <v>45663</v>
      </c>
      <c r="C1300" t="s">
        <v>17</v>
      </c>
      <c r="D1300">
        <v>2</v>
      </c>
      <c r="E1300" t="s">
        <v>12</v>
      </c>
      <c r="F1300" t="s">
        <v>19</v>
      </c>
      <c r="G1300" t="s">
        <v>44</v>
      </c>
      <c r="H1300" t="s">
        <v>27</v>
      </c>
      <c r="I1300">
        <v>16543</v>
      </c>
      <c r="J1300">
        <v>21242</v>
      </c>
    </row>
    <row r="1301" spans="1:10" x14ac:dyDescent="0.3">
      <c r="A1301" t="s">
        <v>1428</v>
      </c>
      <c r="B1301" s="1">
        <v>46018</v>
      </c>
      <c r="C1301" t="s">
        <v>100</v>
      </c>
      <c r="D1301">
        <v>52</v>
      </c>
      <c r="E1301" t="s">
        <v>61</v>
      </c>
      <c r="F1301" t="s">
        <v>62</v>
      </c>
      <c r="G1301" t="s">
        <v>291</v>
      </c>
      <c r="H1301" t="s">
        <v>59</v>
      </c>
      <c r="I1301">
        <v>16707</v>
      </c>
      <c r="J1301">
        <v>15982</v>
      </c>
    </row>
    <row r="1302" spans="1:10" x14ac:dyDescent="0.3">
      <c r="A1302" t="s">
        <v>1429</v>
      </c>
      <c r="B1302" s="1">
        <v>45890</v>
      </c>
      <c r="C1302" t="s">
        <v>113</v>
      </c>
      <c r="D1302">
        <v>34</v>
      </c>
      <c r="E1302" t="s">
        <v>61</v>
      </c>
      <c r="F1302" t="s">
        <v>13</v>
      </c>
      <c r="G1302" t="s">
        <v>128</v>
      </c>
      <c r="H1302" t="s">
        <v>98</v>
      </c>
      <c r="I1302">
        <v>38380</v>
      </c>
      <c r="J1302">
        <v>45908</v>
      </c>
    </row>
    <row r="1303" spans="1:10" x14ac:dyDescent="0.3">
      <c r="A1303" t="s">
        <v>1430</v>
      </c>
      <c r="B1303" s="1">
        <v>45986</v>
      </c>
      <c r="C1303" t="s">
        <v>23</v>
      </c>
      <c r="D1303">
        <v>48</v>
      </c>
      <c r="E1303" t="s">
        <v>33</v>
      </c>
      <c r="F1303" t="s">
        <v>114</v>
      </c>
      <c r="G1303" t="s">
        <v>67</v>
      </c>
      <c r="H1303" t="s">
        <v>157</v>
      </c>
      <c r="I1303">
        <v>37871</v>
      </c>
      <c r="J1303">
        <v>45428</v>
      </c>
    </row>
    <row r="1304" spans="1:10" x14ac:dyDescent="0.3">
      <c r="A1304" t="s">
        <v>1431</v>
      </c>
      <c r="B1304" s="1">
        <v>45750</v>
      </c>
      <c r="C1304" t="s">
        <v>86</v>
      </c>
      <c r="D1304">
        <v>14</v>
      </c>
      <c r="E1304" t="s">
        <v>12</v>
      </c>
      <c r="F1304" t="s">
        <v>87</v>
      </c>
      <c r="G1304" t="s">
        <v>14</v>
      </c>
      <c r="H1304" t="s">
        <v>55</v>
      </c>
      <c r="I1304">
        <v>16867</v>
      </c>
      <c r="J1304">
        <v>21182</v>
      </c>
    </row>
    <row r="1305" spans="1:10" x14ac:dyDescent="0.3">
      <c r="A1305" t="s">
        <v>1432</v>
      </c>
      <c r="B1305" s="1">
        <v>45729</v>
      </c>
      <c r="C1305" t="s">
        <v>95</v>
      </c>
      <c r="D1305">
        <v>11</v>
      </c>
      <c r="E1305" t="s">
        <v>18</v>
      </c>
      <c r="F1305" t="s">
        <v>43</v>
      </c>
      <c r="G1305" t="s">
        <v>47</v>
      </c>
      <c r="H1305" t="s">
        <v>55</v>
      </c>
      <c r="I1305">
        <v>18386</v>
      </c>
      <c r="J1305">
        <v>20430</v>
      </c>
    </row>
    <row r="1306" spans="1:10" x14ac:dyDescent="0.3">
      <c r="A1306" t="s">
        <v>1433</v>
      </c>
      <c r="B1306" s="1">
        <v>45692</v>
      </c>
      <c r="C1306" t="s">
        <v>82</v>
      </c>
      <c r="D1306">
        <v>6</v>
      </c>
      <c r="E1306" t="s">
        <v>18</v>
      </c>
      <c r="F1306" t="s">
        <v>57</v>
      </c>
      <c r="G1306" t="s">
        <v>26</v>
      </c>
      <c r="H1306" t="s">
        <v>211</v>
      </c>
      <c r="I1306">
        <v>19750</v>
      </c>
      <c r="J1306">
        <v>16747</v>
      </c>
    </row>
    <row r="1307" spans="1:10" x14ac:dyDescent="0.3">
      <c r="A1307" t="s">
        <v>1434</v>
      </c>
      <c r="B1307" s="1">
        <v>45905</v>
      </c>
      <c r="C1307" t="s">
        <v>38</v>
      </c>
      <c r="D1307">
        <v>36</v>
      </c>
      <c r="E1307" t="s">
        <v>24</v>
      </c>
      <c r="F1307" t="s">
        <v>87</v>
      </c>
      <c r="G1307" t="s">
        <v>63</v>
      </c>
      <c r="H1307" t="s">
        <v>96</v>
      </c>
      <c r="I1307">
        <v>16635</v>
      </c>
      <c r="J1307">
        <v>18909</v>
      </c>
    </row>
    <row r="1308" spans="1:10" x14ac:dyDescent="0.3">
      <c r="A1308" t="s">
        <v>1435</v>
      </c>
      <c r="B1308" s="1">
        <v>45720</v>
      </c>
      <c r="C1308" t="s">
        <v>95</v>
      </c>
      <c r="D1308">
        <v>10</v>
      </c>
      <c r="E1308" t="s">
        <v>12</v>
      </c>
      <c r="F1308" t="s">
        <v>114</v>
      </c>
      <c r="G1308" t="s">
        <v>224</v>
      </c>
      <c r="H1308" t="s">
        <v>211</v>
      </c>
      <c r="I1308">
        <v>21067</v>
      </c>
      <c r="J1308">
        <v>17547</v>
      </c>
    </row>
    <row r="1309" spans="1:10" x14ac:dyDescent="0.3">
      <c r="A1309" t="s">
        <v>1436</v>
      </c>
      <c r="B1309" s="1">
        <v>45781</v>
      </c>
      <c r="C1309" t="s">
        <v>90</v>
      </c>
      <c r="D1309">
        <v>18</v>
      </c>
      <c r="E1309" t="s">
        <v>61</v>
      </c>
      <c r="F1309" t="s">
        <v>34</v>
      </c>
      <c r="G1309" t="s">
        <v>107</v>
      </c>
      <c r="H1309" t="s">
        <v>155</v>
      </c>
      <c r="I1309">
        <v>35369</v>
      </c>
      <c r="J1309">
        <v>32017</v>
      </c>
    </row>
    <row r="1310" spans="1:10" x14ac:dyDescent="0.3">
      <c r="A1310" t="s">
        <v>1437</v>
      </c>
      <c r="B1310" s="1">
        <v>45959</v>
      </c>
      <c r="C1310" t="s">
        <v>66</v>
      </c>
      <c r="D1310">
        <v>44</v>
      </c>
      <c r="E1310" t="s">
        <v>70</v>
      </c>
      <c r="F1310" t="s">
        <v>19</v>
      </c>
      <c r="G1310" t="s">
        <v>93</v>
      </c>
      <c r="H1310" t="s">
        <v>188</v>
      </c>
      <c r="I1310">
        <v>17644</v>
      </c>
      <c r="J1310">
        <v>16606</v>
      </c>
    </row>
    <row r="1311" spans="1:10" x14ac:dyDescent="0.3">
      <c r="A1311" t="s">
        <v>1438</v>
      </c>
      <c r="B1311" s="1">
        <v>45662</v>
      </c>
      <c r="C1311" t="s">
        <v>17</v>
      </c>
      <c r="D1311">
        <v>1</v>
      </c>
      <c r="E1311" t="s">
        <v>18</v>
      </c>
      <c r="F1311" t="s">
        <v>46</v>
      </c>
      <c r="G1311" t="s">
        <v>107</v>
      </c>
      <c r="H1311" t="s">
        <v>157</v>
      </c>
      <c r="I1311">
        <v>27902</v>
      </c>
      <c r="J1311">
        <v>35855</v>
      </c>
    </row>
    <row r="1312" spans="1:10" x14ac:dyDescent="0.3">
      <c r="A1312" t="s">
        <v>1439</v>
      </c>
      <c r="B1312" s="1">
        <v>45854</v>
      </c>
      <c r="C1312" t="s">
        <v>11</v>
      </c>
      <c r="D1312">
        <v>29</v>
      </c>
      <c r="E1312" t="s">
        <v>39</v>
      </c>
      <c r="F1312" t="s">
        <v>29</v>
      </c>
      <c r="G1312" t="s">
        <v>253</v>
      </c>
      <c r="H1312" t="s">
        <v>21</v>
      </c>
      <c r="I1312">
        <v>21692</v>
      </c>
      <c r="J1312">
        <v>25963</v>
      </c>
    </row>
    <row r="1313" spans="1:10" x14ac:dyDescent="0.3">
      <c r="A1313" t="s">
        <v>1440</v>
      </c>
      <c r="B1313" s="1">
        <v>45760</v>
      </c>
      <c r="C1313" t="s">
        <v>86</v>
      </c>
      <c r="D1313">
        <v>15</v>
      </c>
      <c r="E1313" t="s">
        <v>70</v>
      </c>
      <c r="F1313" t="s">
        <v>19</v>
      </c>
      <c r="G1313" t="s">
        <v>14</v>
      </c>
      <c r="H1313" t="s">
        <v>68</v>
      </c>
      <c r="I1313">
        <v>19175</v>
      </c>
      <c r="J1313">
        <v>18567</v>
      </c>
    </row>
    <row r="1314" spans="1:10" x14ac:dyDescent="0.3">
      <c r="A1314" t="s">
        <v>1441</v>
      </c>
      <c r="B1314" s="1">
        <v>45869</v>
      </c>
      <c r="C1314" t="s">
        <v>11</v>
      </c>
      <c r="D1314">
        <v>31</v>
      </c>
      <c r="E1314" t="s">
        <v>12</v>
      </c>
      <c r="F1314" t="s">
        <v>114</v>
      </c>
      <c r="G1314" t="s">
        <v>35</v>
      </c>
      <c r="H1314" t="s">
        <v>31</v>
      </c>
      <c r="I1314">
        <v>19992</v>
      </c>
      <c r="J1314">
        <v>21003</v>
      </c>
    </row>
    <row r="1315" spans="1:10" x14ac:dyDescent="0.3">
      <c r="A1315" t="s">
        <v>1442</v>
      </c>
      <c r="B1315" s="1">
        <v>45807</v>
      </c>
      <c r="C1315" t="s">
        <v>90</v>
      </c>
      <c r="D1315">
        <v>22</v>
      </c>
      <c r="E1315" t="s">
        <v>18</v>
      </c>
      <c r="F1315" t="s">
        <v>62</v>
      </c>
      <c r="G1315" t="s">
        <v>35</v>
      </c>
      <c r="H1315" t="s">
        <v>133</v>
      </c>
      <c r="I1315">
        <v>26237</v>
      </c>
      <c r="J1315">
        <v>22856</v>
      </c>
    </row>
    <row r="1316" spans="1:10" x14ac:dyDescent="0.3">
      <c r="A1316" t="s">
        <v>1443</v>
      </c>
      <c r="B1316" s="1">
        <v>46010</v>
      </c>
      <c r="C1316" t="s">
        <v>100</v>
      </c>
      <c r="D1316">
        <v>51</v>
      </c>
      <c r="E1316" t="s">
        <v>24</v>
      </c>
      <c r="F1316" t="s">
        <v>29</v>
      </c>
      <c r="G1316" t="s">
        <v>63</v>
      </c>
      <c r="H1316" t="s">
        <v>68</v>
      </c>
      <c r="I1316">
        <v>19261</v>
      </c>
      <c r="J1316">
        <v>20069</v>
      </c>
    </row>
    <row r="1317" spans="1:10" x14ac:dyDescent="0.3">
      <c r="A1317" t="s">
        <v>1444</v>
      </c>
      <c r="B1317" s="1">
        <v>45956</v>
      </c>
      <c r="C1317" t="s">
        <v>66</v>
      </c>
      <c r="D1317">
        <v>43</v>
      </c>
      <c r="E1317" t="s">
        <v>12</v>
      </c>
      <c r="F1317" t="s">
        <v>78</v>
      </c>
      <c r="G1317" t="s">
        <v>63</v>
      </c>
      <c r="H1317" t="s">
        <v>31</v>
      </c>
      <c r="I1317">
        <v>19387</v>
      </c>
      <c r="J1317">
        <v>13890</v>
      </c>
    </row>
    <row r="1318" spans="1:10" x14ac:dyDescent="0.3">
      <c r="A1318" t="s">
        <v>1445</v>
      </c>
      <c r="B1318" s="1">
        <v>45989</v>
      </c>
      <c r="C1318" t="s">
        <v>23</v>
      </c>
      <c r="D1318">
        <v>48</v>
      </c>
      <c r="E1318" t="s">
        <v>12</v>
      </c>
      <c r="F1318" t="s">
        <v>19</v>
      </c>
      <c r="G1318" t="s">
        <v>93</v>
      </c>
      <c r="H1318" t="s">
        <v>98</v>
      </c>
      <c r="I1318">
        <v>22473</v>
      </c>
      <c r="J1318">
        <v>28889</v>
      </c>
    </row>
    <row r="1319" spans="1:10" x14ac:dyDescent="0.3">
      <c r="A1319" t="s">
        <v>1446</v>
      </c>
      <c r="B1319" s="1">
        <v>45809</v>
      </c>
      <c r="C1319" t="s">
        <v>74</v>
      </c>
      <c r="D1319">
        <v>22</v>
      </c>
      <c r="E1319" t="s">
        <v>39</v>
      </c>
      <c r="F1319" t="s">
        <v>109</v>
      </c>
      <c r="G1319" t="s">
        <v>324</v>
      </c>
      <c r="H1319" t="s">
        <v>21</v>
      </c>
      <c r="I1319">
        <v>38053</v>
      </c>
      <c r="J1319">
        <v>31923</v>
      </c>
    </row>
    <row r="1320" spans="1:10" x14ac:dyDescent="0.3">
      <c r="A1320" t="s">
        <v>1447</v>
      </c>
      <c r="B1320" s="1">
        <v>45811</v>
      </c>
      <c r="C1320" t="s">
        <v>74</v>
      </c>
      <c r="D1320">
        <v>23</v>
      </c>
      <c r="E1320" t="s">
        <v>24</v>
      </c>
      <c r="F1320" t="s">
        <v>87</v>
      </c>
      <c r="G1320" t="s">
        <v>206</v>
      </c>
      <c r="H1320" t="s">
        <v>41</v>
      </c>
      <c r="I1320">
        <v>33961</v>
      </c>
      <c r="J1320">
        <v>36456</v>
      </c>
    </row>
    <row r="1321" spans="1:10" x14ac:dyDescent="0.3">
      <c r="A1321" t="s">
        <v>1448</v>
      </c>
      <c r="B1321" s="1">
        <v>45895</v>
      </c>
      <c r="C1321" t="s">
        <v>113</v>
      </c>
      <c r="D1321">
        <v>35</v>
      </c>
      <c r="E1321" t="s">
        <v>70</v>
      </c>
      <c r="F1321" t="s">
        <v>50</v>
      </c>
      <c r="G1321" t="s">
        <v>93</v>
      </c>
      <c r="H1321" t="s">
        <v>123</v>
      </c>
      <c r="I1321">
        <v>31240</v>
      </c>
      <c r="J1321">
        <v>21967</v>
      </c>
    </row>
    <row r="1322" spans="1:10" x14ac:dyDescent="0.3">
      <c r="A1322" t="s">
        <v>1449</v>
      </c>
      <c r="B1322" s="1">
        <v>45771</v>
      </c>
      <c r="C1322" t="s">
        <v>86</v>
      </c>
      <c r="D1322">
        <v>17</v>
      </c>
      <c r="E1322" t="s">
        <v>70</v>
      </c>
      <c r="F1322" t="s">
        <v>140</v>
      </c>
      <c r="G1322" t="s">
        <v>93</v>
      </c>
      <c r="H1322" t="s">
        <v>119</v>
      </c>
      <c r="I1322">
        <v>34555</v>
      </c>
      <c r="J1322">
        <v>30951</v>
      </c>
    </row>
    <row r="1323" spans="1:10" x14ac:dyDescent="0.3">
      <c r="A1323" t="s">
        <v>1450</v>
      </c>
      <c r="B1323" s="1">
        <v>45662</v>
      </c>
      <c r="C1323" t="s">
        <v>17</v>
      </c>
      <c r="D1323">
        <v>1</v>
      </c>
      <c r="E1323" t="s">
        <v>61</v>
      </c>
      <c r="F1323" t="s">
        <v>78</v>
      </c>
      <c r="G1323" t="s">
        <v>145</v>
      </c>
      <c r="H1323" t="s">
        <v>211</v>
      </c>
      <c r="I1323">
        <v>29240</v>
      </c>
      <c r="J1323">
        <v>25470</v>
      </c>
    </row>
    <row r="1324" spans="1:10" x14ac:dyDescent="0.3">
      <c r="A1324" t="s">
        <v>1451</v>
      </c>
      <c r="B1324" s="1">
        <v>45818</v>
      </c>
      <c r="C1324" t="s">
        <v>74</v>
      </c>
      <c r="D1324">
        <v>24</v>
      </c>
      <c r="E1324" t="s">
        <v>70</v>
      </c>
      <c r="F1324" t="s">
        <v>13</v>
      </c>
      <c r="G1324" t="s">
        <v>160</v>
      </c>
      <c r="H1324" t="s">
        <v>243</v>
      </c>
      <c r="I1324">
        <v>35057</v>
      </c>
      <c r="J1324">
        <v>30062</v>
      </c>
    </row>
    <row r="1325" spans="1:10" x14ac:dyDescent="0.3">
      <c r="A1325" t="s">
        <v>1452</v>
      </c>
      <c r="B1325" s="1">
        <v>45918</v>
      </c>
      <c r="C1325" t="s">
        <v>38</v>
      </c>
      <c r="D1325">
        <v>38</v>
      </c>
      <c r="E1325" t="s">
        <v>24</v>
      </c>
      <c r="F1325" t="s">
        <v>43</v>
      </c>
      <c r="G1325" t="s">
        <v>132</v>
      </c>
      <c r="H1325" t="s">
        <v>157</v>
      </c>
      <c r="I1325">
        <v>28010</v>
      </c>
      <c r="J1325">
        <v>33163</v>
      </c>
    </row>
    <row r="1326" spans="1:10" x14ac:dyDescent="0.3">
      <c r="A1326" t="s">
        <v>1453</v>
      </c>
      <c r="B1326" s="1">
        <v>45703</v>
      </c>
      <c r="C1326" t="s">
        <v>82</v>
      </c>
      <c r="D1326">
        <v>7</v>
      </c>
      <c r="E1326" t="s">
        <v>24</v>
      </c>
      <c r="F1326" t="s">
        <v>140</v>
      </c>
      <c r="G1326" t="s">
        <v>201</v>
      </c>
      <c r="H1326" t="s">
        <v>151</v>
      </c>
      <c r="I1326">
        <v>17794</v>
      </c>
      <c r="J1326">
        <v>20713</v>
      </c>
    </row>
    <row r="1327" spans="1:10" x14ac:dyDescent="0.3">
      <c r="A1327" t="s">
        <v>1454</v>
      </c>
      <c r="B1327" s="1">
        <v>45917</v>
      </c>
      <c r="C1327" t="s">
        <v>38</v>
      </c>
      <c r="D1327">
        <v>38</v>
      </c>
      <c r="E1327" t="s">
        <v>70</v>
      </c>
      <c r="F1327" t="s">
        <v>46</v>
      </c>
      <c r="G1327" t="s">
        <v>253</v>
      </c>
      <c r="H1327" t="s">
        <v>52</v>
      </c>
      <c r="I1327">
        <v>37396</v>
      </c>
      <c r="J1327">
        <v>39595</v>
      </c>
    </row>
    <row r="1328" spans="1:10" x14ac:dyDescent="0.3">
      <c r="A1328" t="s">
        <v>1455</v>
      </c>
      <c r="B1328" s="1">
        <v>45851</v>
      </c>
      <c r="C1328" t="s">
        <v>11</v>
      </c>
      <c r="D1328">
        <v>28</v>
      </c>
      <c r="E1328" t="s">
        <v>12</v>
      </c>
      <c r="F1328" t="s">
        <v>29</v>
      </c>
      <c r="G1328" t="s">
        <v>199</v>
      </c>
      <c r="H1328" t="s">
        <v>211</v>
      </c>
      <c r="I1328">
        <v>25812</v>
      </c>
      <c r="J1328">
        <v>29187</v>
      </c>
    </row>
    <row r="1329" spans="1:10" x14ac:dyDescent="0.3">
      <c r="A1329" t="s">
        <v>1456</v>
      </c>
      <c r="B1329" s="1">
        <v>45848</v>
      </c>
      <c r="C1329" t="s">
        <v>11</v>
      </c>
      <c r="D1329">
        <v>28</v>
      </c>
      <c r="E1329" t="s">
        <v>39</v>
      </c>
      <c r="F1329" t="s">
        <v>114</v>
      </c>
      <c r="G1329" t="s">
        <v>79</v>
      </c>
      <c r="H1329" t="s">
        <v>111</v>
      </c>
      <c r="I1329">
        <v>39813</v>
      </c>
      <c r="J1329">
        <v>45868</v>
      </c>
    </row>
    <row r="1330" spans="1:10" x14ac:dyDescent="0.3">
      <c r="A1330" t="s">
        <v>1457</v>
      </c>
      <c r="B1330" s="1">
        <v>45833</v>
      </c>
      <c r="C1330" t="s">
        <v>74</v>
      </c>
      <c r="D1330">
        <v>26</v>
      </c>
      <c r="E1330" t="s">
        <v>39</v>
      </c>
      <c r="F1330" t="s">
        <v>29</v>
      </c>
      <c r="G1330" t="s">
        <v>72</v>
      </c>
      <c r="H1330" t="s">
        <v>21</v>
      </c>
      <c r="I1330">
        <v>19536</v>
      </c>
      <c r="J1330">
        <v>20206</v>
      </c>
    </row>
    <row r="1331" spans="1:10" x14ac:dyDescent="0.3">
      <c r="A1331" t="s">
        <v>1458</v>
      </c>
      <c r="B1331" s="1">
        <v>45839</v>
      </c>
      <c r="C1331" t="s">
        <v>11</v>
      </c>
      <c r="D1331">
        <v>27</v>
      </c>
      <c r="E1331" t="s">
        <v>12</v>
      </c>
      <c r="F1331" t="s">
        <v>13</v>
      </c>
      <c r="G1331" t="s">
        <v>83</v>
      </c>
      <c r="H1331" t="s">
        <v>48</v>
      </c>
      <c r="I1331">
        <v>25342</v>
      </c>
      <c r="J1331">
        <v>27648</v>
      </c>
    </row>
    <row r="1332" spans="1:10" x14ac:dyDescent="0.3">
      <c r="A1332" t="s">
        <v>1459</v>
      </c>
      <c r="B1332" s="1">
        <v>45768</v>
      </c>
      <c r="C1332" t="s">
        <v>86</v>
      </c>
      <c r="D1332">
        <v>17</v>
      </c>
      <c r="E1332" t="s">
        <v>18</v>
      </c>
      <c r="F1332" t="s">
        <v>140</v>
      </c>
      <c r="G1332" t="s">
        <v>160</v>
      </c>
      <c r="H1332" t="s">
        <v>52</v>
      </c>
      <c r="I1332">
        <v>37371</v>
      </c>
      <c r="J1332">
        <v>30798</v>
      </c>
    </row>
    <row r="1333" spans="1:10" x14ac:dyDescent="0.3">
      <c r="A1333" t="s">
        <v>1460</v>
      </c>
      <c r="B1333" s="1">
        <v>45753</v>
      </c>
      <c r="C1333" t="s">
        <v>86</v>
      </c>
      <c r="D1333">
        <v>14</v>
      </c>
      <c r="E1333" t="s">
        <v>39</v>
      </c>
      <c r="F1333" t="s">
        <v>122</v>
      </c>
      <c r="G1333" t="s">
        <v>58</v>
      </c>
      <c r="H1333" t="s">
        <v>84</v>
      </c>
      <c r="I1333">
        <v>36419</v>
      </c>
      <c r="J1333">
        <v>36867</v>
      </c>
    </row>
    <row r="1334" spans="1:10" x14ac:dyDescent="0.3">
      <c r="A1334" t="s">
        <v>1461</v>
      </c>
      <c r="B1334" s="1">
        <v>45966</v>
      </c>
      <c r="C1334" t="s">
        <v>23</v>
      </c>
      <c r="D1334">
        <v>45</v>
      </c>
      <c r="E1334" t="s">
        <v>18</v>
      </c>
      <c r="F1334" t="s">
        <v>46</v>
      </c>
      <c r="G1334" t="s">
        <v>67</v>
      </c>
      <c r="H1334" t="s">
        <v>68</v>
      </c>
      <c r="I1334">
        <v>18516</v>
      </c>
      <c r="J1334">
        <v>20531</v>
      </c>
    </row>
    <row r="1335" spans="1:10" x14ac:dyDescent="0.3">
      <c r="A1335" t="s">
        <v>1462</v>
      </c>
      <c r="B1335" s="1">
        <v>45794</v>
      </c>
      <c r="C1335" t="s">
        <v>90</v>
      </c>
      <c r="D1335">
        <v>20</v>
      </c>
      <c r="E1335" t="s">
        <v>33</v>
      </c>
      <c r="F1335" t="s">
        <v>87</v>
      </c>
      <c r="G1335" t="s">
        <v>20</v>
      </c>
      <c r="H1335" t="s">
        <v>15</v>
      </c>
      <c r="I1335">
        <v>29994</v>
      </c>
      <c r="J1335">
        <v>36785</v>
      </c>
    </row>
    <row r="1336" spans="1:10" x14ac:dyDescent="0.3">
      <c r="A1336" t="s">
        <v>1463</v>
      </c>
      <c r="B1336" s="1">
        <v>45858</v>
      </c>
      <c r="C1336" t="s">
        <v>11</v>
      </c>
      <c r="D1336">
        <v>29</v>
      </c>
      <c r="E1336" t="s">
        <v>12</v>
      </c>
      <c r="F1336" t="s">
        <v>46</v>
      </c>
      <c r="G1336" t="s">
        <v>44</v>
      </c>
      <c r="H1336" t="s">
        <v>84</v>
      </c>
      <c r="I1336">
        <v>37180</v>
      </c>
      <c r="J1336">
        <v>33849</v>
      </c>
    </row>
    <row r="1337" spans="1:10" x14ac:dyDescent="0.3">
      <c r="A1337" t="s">
        <v>1464</v>
      </c>
      <c r="B1337" s="1">
        <v>45846</v>
      </c>
      <c r="C1337" t="s">
        <v>11</v>
      </c>
      <c r="D1337">
        <v>28</v>
      </c>
      <c r="E1337" t="s">
        <v>33</v>
      </c>
      <c r="F1337" t="s">
        <v>193</v>
      </c>
      <c r="G1337" t="s">
        <v>132</v>
      </c>
      <c r="H1337" t="s">
        <v>55</v>
      </c>
      <c r="I1337">
        <v>16001</v>
      </c>
      <c r="J1337">
        <v>20692</v>
      </c>
    </row>
    <row r="1338" spans="1:10" x14ac:dyDescent="0.3">
      <c r="A1338" t="s">
        <v>1465</v>
      </c>
      <c r="B1338" s="1">
        <v>45953</v>
      </c>
      <c r="C1338" t="s">
        <v>66</v>
      </c>
      <c r="D1338">
        <v>43</v>
      </c>
      <c r="E1338" t="s">
        <v>18</v>
      </c>
      <c r="F1338" t="s">
        <v>57</v>
      </c>
      <c r="G1338" t="s">
        <v>135</v>
      </c>
      <c r="H1338" t="s">
        <v>151</v>
      </c>
      <c r="I1338">
        <v>17280</v>
      </c>
      <c r="J1338">
        <v>14139</v>
      </c>
    </row>
    <row r="1339" spans="1:10" x14ac:dyDescent="0.3">
      <c r="A1339" t="s">
        <v>1466</v>
      </c>
      <c r="B1339" s="1">
        <v>45707</v>
      </c>
      <c r="C1339" t="s">
        <v>82</v>
      </c>
      <c r="D1339">
        <v>8</v>
      </c>
      <c r="E1339" t="s">
        <v>24</v>
      </c>
      <c r="F1339" t="s">
        <v>50</v>
      </c>
      <c r="G1339" t="s">
        <v>132</v>
      </c>
      <c r="H1339" t="s">
        <v>165</v>
      </c>
      <c r="I1339">
        <v>29817</v>
      </c>
      <c r="J1339">
        <v>30098</v>
      </c>
    </row>
    <row r="1340" spans="1:10" x14ac:dyDescent="0.3">
      <c r="A1340" t="s">
        <v>1467</v>
      </c>
      <c r="B1340" s="1">
        <v>45760</v>
      </c>
      <c r="C1340" t="s">
        <v>86</v>
      </c>
      <c r="D1340">
        <v>15</v>
      </c>
      <c r="E1340" t="s">
        <v>24</v>
      </c>
      <c r="F1340" t="s">
        <v>140</v>
      </c>
      <c r="G1340" t="s">
        <v>135</v>
      </c>
      <c r="H1340" t="s">
        <v>111</v>
      </c>
      <c r="I1340">
        <v>16973</v>
      </c>
      <c r="J1340">
        <v>19759</v>
      </c>
    </row>
    <row r="1341" spans="1:10" x14ac:dyDescent="0.3">
      <c r="A1341" t="s">
        <v>1468</v>
      </c>
      <c r="B1341" s="1">
        <v>45852</v>
      </c>
      <c r="C1341" t="s">
        <v>11</v>
      </c>
      <c r="D1341">
        <v>29</v>
      </c>
      <c r="E1341" t="s">
        <v>39</v>
      </c>
      <c r="F1341" t="s">
        <v>29</v>
      </c>
      <c r="G1341" t="s">
        <v>224</v>
      </c>
      <c r="H1341" t="s">
        <v>21</v>
      </c>
      <c r="I1341">
        <v>31969</v>
      </c>
      <c r="J1341">
        <v>37766</v>
      </c>
    </row>
    <row r="1342" spans="1:10" x14ac:dyDescent="0.3">
      <c r="A1342" t="s">
        <v>1469</v>
      </c>
      <c r="B1342" s="1">
        <v>45709</v>
      </c>
      <c r="C1342" t="s">
        <v>82</v>
      </c>
      <c r="D1342">
        <v>8</v>
      </c>
      <c r="E1342" t="s">
        <v>18</v>
      </c>
      <c r="F1342" t="s">
        <v>114</v>
      </c>
      <c r="G1342" t="s">
        <v>14</v>
      </c>
      <c r="H1342" t="s">
        <v>96</v>
      </c>
      <c r="I1342">
        <v>33148</v>
      </c>
      <c r="J1342">
        <v>31209</v>
      </c>
    </row>
    <row r="1343" spans="1:10" x14ac:dyDescent="0.3">
      <c r="A1343" t="s">
        <v>1470</v>
      </c>
      <c r="B1343" s="1">
        <v>45662</v>
      </c>
      <c r="C1343" t="s">
        <v>17</v>
      </c>
      <c r="D1343">
        <v>1</v>
      </c>
      <c r="E1343" t="s">
        <v>18</v>
      </c>
      <c r="F1343" t="s">
        <v>34</v>
      </c>
      <c r="G1343" t="s">
        <v>135</v>
      </c>
      <c r="H1343" t="s">
        <v>84</v>
      </c>
      <c r="I1343">
        <v>24313</v>
      </c>
      <c r="J1343">
        <v>24808</v>
      </c>
    </row>
    <row r="1344" spans="1:10" x14ac:dyDescent="0.3">
      <c r="A1344" t="s">
        <v>1471</v>
      </c>
      <c r="B1344" s="1">
        <v>45949</v>
      </c>
      <c r="C1344" t="s">
        <v>66</v>
      </c>
      <c r="D1344">
        <v>42</v>
      </c>
      <c r="E1344" t="s">
        <v>70</v>
      </c>
      <c r="F1344" t="s">
        <v>25</v>
      </c>
      <c r="G1344" t="s">
        <v>291</v>
      </c>
      <c r="H1344" t="s">
        <v>68</v>
      </c>
      <c r="I1344">
        <v>17963</v>
      </c>
      <c r="J1344">
        <v>20228</v>
      </c>
    </row>
    <row r="1345" spans="1:10" x14ac:dyDescent="0.3">
      <c r="A1345" t="s">
        <v>1472</v>
      </c>
      <c r="B1345" s="1">
        <v>45748</v>
      </c>
      <c r="C1345" t="s">
        <v>86</v>
      </c>
      <c r="D1345">
        <v>14</v>
      </c>
      <c r="E1345" t="s">
        <v>70</v>
      </c>
      <c r="F1345" t="s">
        <v>75</v>
      </c>
      <c r="G1345" t="s">
        <v>30</v>
      </c>
      <c r="H1345" t="s">
        <v>55</v>
      </c>
      <c r="I1345">
        <v>19404</v>
      </c>
      <c r="J1345">
        <v>14699</v>
      </c>
    </row>
    <row r="1346" spans="1:10" x14ac:dyDescent="0.3">
      <c r="A1346" t="s">
        <v>1473</v>
      </c>
      <c r="B1346" s="1">
        <v>45819</v>
      </c>
      <c r="C1346" t="s">
        <v>74</v>
      </c>
      <c r="D1346">
        <v>24</v>
      </c>
      <c r="E1346" t="s">
        <v>61</v>
      </c>
      <c r="F1346" t="s">
        <v>78</v>
      </c>
      <c r="G1346" t="s">
        <v>199</v>
      </c>
      <c r="H1346" t="s">
        <v>103</v>
      </c>
      <c r="I1346">
        <v>19793</v>
      </c>
      <c r="J1346">
        <v>23323</v>
      </c>
    </row>
    <row r="1347" spans="1:10" x14ac:dyDescent="0.3">
      <c r="A1347" t="s">
        <v>1474</v>
      </c>
      <c r="B1347" s="1">
        <v>45742</v>
      </c>
      <c r="C1347" t="s">
        <v>95</v>
      </c>
      <c r="D1347">
        <v>13</v>
      </c>
      <c r="E1347" t="s">
        <v>33</v>
      </c>
      <c r="F1347" t="s">
        <v>78</v>
      </c>
      <c r="G1347" t="s">
        <v>44</v>
      </c>
      <c r="H1347" t="s">
        <v>155</v>
      </c>
      <c r="I1347">
        <v>30926</v>
      </c>
      <c r="J1347">
        <v>38226</v>
      </c>
    </row>
    <row r="1348" spans="1:10" x14ac:dyDescent="0.3">
      <c r="A1348" t="s">
        <v>1475</v>
      </c>
      <c r="B1348" s="1">
        <v>45758</v>
      </c>
      <c r="C1348" t="s">
        <v>86</v>
      </c>
      <c r="D1348">
        <v>15</v>
      </c>
      <c r="E1348" t="s">
        <v>24</v>
      </c>
      <c r="F1348" t="s">
        <v>92</v>
      </c>
      <c r="G1348" t="s">
        <v>141</v>
      </c>
      <c r="H1348" t="s">
        <v>84</v>
      </c>
      <c r="I1348">
        <v>17919</v>
      </c>
      <c r="J1348">
        <v>13083</v>
      </c>
    </row>
    <row r="1349" spans="1:10" x14ac:dyDescent="0.3">
      <c r="A1349" t="s">
        <v>1476</v>
      </c>
      <c r="B1349" s="1">
        <v>45687</v>
      </c>
      <c r="C1349" t="s">
        <v>17</v>
      </c>
      <c r="D1349">
        <v>5</v>
      </c>
      <c r="E1349" t="s">
        <v>12</v>
      </c>
      <c r="F1349" t="s">
        <v>122</v>
      </c>
      <c r="G1349" t="s">
        <v>40</v>
      </c>
      <c r="H1349" t="s">
        <v>111</v>
      </c>
      <c r="I1349">
        <v>39461</v>
      </c>
      <c r="J1349">
        <v>45260</v>
      </c>
    </row>
    <row r="1350" spans="1:10" x14ac:dyDescent="0.3">
      <c r="A1350" t="s">
        <v>1477</v>
      </c>
      <c r="B1350" s="1">
        <v>45732</v>
      </c>
      <c r="C1350" t="s">
        <v>95</v>
      </c>
      <c r="D1350">
        <v>11</v>
      </c>
      <c r="E1350" t="s">
        <v>39</v>
      </c>
      <c r="F1350" t="s">
        <v>92</v>
      </c>
      <c r="G1350" t="s">
        <v>230</v>
      </c>
      <c r="H1350" t="s">
        <v>59</v>
      </c>
      <c r="I1350">
        <v>24743</v>
      </c>
      <c r="J1350">
        <v>18318</v>
      </c>
    </row>
    <row r="1351" spans="1:10" x14ac:dyDescent="0.3">
      <c r="A1351" t="s">
        <v>1478</v>
      </c>
      <c r="B1351" s="1">
        <v>45706</v>
      </c>
      <c r="C1351" t="s">
        <v>82</v>
      </c>
      <c r="D1351">
        <v>8</v>
      </c>
      <c r="E1351" t="s">
        <v>24</v>
      </c>
      <c r="F1351" t="s">
        <v>78</v>
      </c>
      <c r="G1351" t="s">
        <v>44</v>
      </c>
      <c r="H1351" t="s">
        <v>133</v>
      </c>
      <c r="I1351">
        <v>20721</v>
      </c>
      <c r="J1351">
        <v>15206</v>
      </c>
    </row>
    <row r="1352" spans="1:10" x14ac:dyDescent="0.3">
      <c r="A1352" t="s">
        <v>1479</v>
      </c>
      <c r="B1352" s="1">
        <v>45881</v>
      </c>
      <c r="C1352" t="s">
        <v>113</v>
      </c>
      <c r="D1352">
        <v>33</v>
      </c>
      <c r="E1352" t="s">
        <v>18</v>
      </c>
      <c r="F1352" t="s">
        <v>109</v>
      </c>
      <c r="G1352" t="s">
        <v>107</v>
      </c>
      <c r="H1352" t="s">
        <v>119</v>
      </c>
      <c r="I1352">
        <v>30817</v>
      </c>
      <c r="J1352">
        <v>21923</v>
      </c>
    </row>
    <row r="1353" spans="1:10" x14ac:dyDescent="0.3">
      <c r="A1353" t="s">
        <v>1480</v>
      </c>
      <c r="B1353" s="1">
        <v>45704</v>
      </c>
      <c r="C1353" t="s">
        <v>82</v>
      </c>
      <c r="D1353">
        <v>7</v>
      </c>
      <c r="E1353" t="s">
        <v>18</v>
      </c>
      <c r="F1353" t="s">
        <v>13</v>
      </c>
      <c r="G1353" t="s">
        <v>145</v>
      </c>
      <c r="H1353" t="s">
        <v>52</v>
      </c>
      <c r="I1353">
        <v>16271</v>
      </c>
      <c r="J1353">
        <v>12328</v>
      </c>
    </row>
    <row r="1354" spans="1:10" x14ac:dyDescent="0.3">
      <c r="A1354" t="s">
        <v>1481</v>
      </c>
      <c r="B1354" s="1">
        <v>46003</v>
      </c>
      <c r="C1354" t="s">
        <v>100</v>
      </c>
      <c r="D1354">
        <v>50</v>
      </c>
      <c r="E1354" t="s">
        <v>61</v>
      </c>
      <c r="F1354" t="s">
        <v>193</v>
      </c>
      <c r="G1354" t="s">
        <v>141</v>
      </c>
      <c r="H1354" t="s">
        <v>116</v>
      </c>
      <c r="I1354">
        <v>25368</v>
      </c>
      <c r="J1354">
        <v>31926</v>
      </c>
    </row>
    <row r="1355" spans="1:10" x14ac:dyDescent="0.3">
      <c r="A1355" t="s">
        <v>1482</v>
      </c>
      <c r="B1355" s="1">
        <v>45938</v>
      </c>
      <c r="C1355" t="s">
        <v>66</v>
      </c>
      <c r="D1355">
        <v>41</v>
      </c>
      <c r="E1355" t="s">
        <v>18</v>
      </c>
      <c r="F1355" t="s">
        <v>109</v>
      </c>
      <c r="G1355" t="s">
        <v>54</v>
      </c>
      <c r="H1355" t="s">
        <v>31</v>
      </c>
      <c r="I1355">
        <v>25075</v>
      </c>
      <c r="J1355">
        <v>29630</v>
      </c>
    </row>
    <row r="1356" spans="1:10" x14ac:dyDescent="0.3">
      <c r="A1356" t="s">
        <v>1483</v>
      </c>
      <c r="B1356" s="1">
        <v>45672</v>
      </c>
      <c r="C1356" t="s">
        <v>17</v>
      </c>
      <c r="D1356">
        <v>3</v>
      </c>
      <c r="E1356" t="s">
        <v>18</v>
      </c>
      <c r="F1356" t="s">
        <v>122</v>
      </c>
      <c r="G1356" t="s">
        <v>147</v>
      </c>
      <c r="H1356" t="s">
        <v>55</v>
      </c>
      <c r="I1356">
        <v>24600</v>
      </c>
      <c r="J1356">
        <v>22154</v>
      </c>
    </row>
    <row r="1357" spans="1:10" x14ac:dyDescent="0.3">
      <c r="A1357" t="s">
        <v>1484</v>
      </c>
      <c r="B1357" s="1">
        <v>45944</v>
      </c>
      <c r="C1357" t="s">
        <v>66</v>
      </c>
      <c r="D1357">
        <v>42</v>
      </c>
      <c r="E1357" t="s">
        <v>24</v>
      </c>
      <c r="F1357" t="s">
        <v>29</v>
      </c>
      <c r="G1357" t="s">
        <v>253</v>
      </c>
      <c r="H1357" t="s">
        <v>211</v>
      </c>
      <c r="I1357">
        <v>30779</v>
      </c>
      <c r="J1357">
        <v>31730</v>
      </c>
    </row>
    <row r="1358" spans="1:10" x14ac:dyDescent="0.3">
      <c r="A1358" t="s">
        <v>1485</v>
      </c>
      <c r="B1358" s="1">
        <v>45943</v>
      </c>
      <c r="C1358" t="s">
        <v>66</v>
      </c>
      <c r="D1358">
        <v>42</v>
      </c>
      <c r="E1358" t="s">
        <v>24</v>
      </c>
      <c r="F1358" t="s">
        <v>109</v>
      </c>
      <c r="G1358" t="s">
        <v>118</v>
      </c>
      <c r="H1358" t="s">
        <v>188</v>
      </c>
      <c r="I1358">
        <v>22501</v>
      </c>
      <c r="J1358">
        <v>21153</v>
      </c>
    </row>
    <row r="1359" spans="1:10" x14ac:dyDescent="0.3">
      <c r="A1359" t="s">
        <v>1486</v>
      </c>
      <c r="B1359" s="1">
        <v>45838</v>
      </c>
      <c r="C1359" t="s">
        <v>74</v>
      </c>
      <c r="D1359">
        <v>27</v>
      </c>
      <c r="E1359" t="s">
        <v>61</v>
      </c>
      <c r="F1359" t="s">
        <v>29</v>
      </c>
      <c r="G1359" t="s">
        <v>135</v>
      </c>
      <c r="H1359" t="s">
        <v>165</v>
      </c>
      <c r="I1359">
        <v>16640</v>
      </c>
      <c r="J1359">
        <v>12330</v>
      </c>
    </row>
    <row r="1360" spans="1:10" x14ac:dyDescent="0.3">
      <c r="A1360" t="s">
        <v>1487</v>
      </c>
      <c r="B1360" s="1">
        <v>45703</v>
      </c>
      <c r="C1360" t="s">
        <v>82</v>
      </c>
      <c r="D1360">
        <v>7</v>
      </c>
      <c r="E1360" t="s">
        <v>18</v>
      </c>
      <c r="F1360" t="s">
        <v>193</v>
      </c>
      <c r="G1360" t="s">
        <v>130</v>
      </c>
      <c r="H1360" t="s">
        <v>116</v>
      </c>
      <c r="I1360">
        <v>27368</v>
      </c>
      <c r="J1360">
        <v>28824</v>
      </c>
    </row>
    <row r="1361" spans="1:10" x14ac:dyDescent="0.3">
      <c r="A1361" t="s">
        <v>1488</v>
      </c>
      <c r="B1361" s="1">
        <v>46008</v>
      </c>
      <c r="C1361" t="s">
        <v>100</v>
      </c>
      <c r="D1361">
        <v>51</v>
      </c>
      <c r="E1361" t="s">
        <v>61</v>
      </c>
      <c r="F1361" t="s">
        <v>122</v>
      </c>
      <c r="G1361" t="s">
        <v>79</v>
      </c>
      <c r="H1361" t="s">
        <v>27</v>
      </c>
      <c r="I1361">
        <v>28891</v>
      </c>
      <c r="J1361">
        <v>21951</v>
      </c>
    </row>
    <row r="1362" spans="1:10" x14ac:dyDescent="0.3">
      <c r="A1362" t="s">
        <v>1489</v>
      </c>
      <c r="B1362" s="1">
        <v>46020</v>
      </c>
      <c r="C1362" t="s">
        <v>100</v>
      </c>
      <c r="D1362">
        <v>1</v>
      </c>
      <c r="E1362" t="s">
        <v>70</v>
      </c>
      <c r="F1362" t="s">
        <v>46</v>
      </c>
      <c r="G1362" t="s">
        <v>35</v>
      </c>
      <c r="H1362" t="s">
        <v>133</v>
      </c>
      <c r="I1362">
        <v>35288</v>
      </c>
      <c r="J1362">
        <v>29265</v>
      </c>
    </row>
    <row r="1363" spans="1:10" x14ac:dyDescent="0.3">
      <c r="A1363" t="s">
        <v>1490</v>
      </c>
      <c r="B1363" s="1">
        <v>45731</v>
      </c>
      <c r="C1363" t="s">
        <v>95</v>
      </c>
      <c r="D1363">
        <v>11</v>
      </c>
      <c r="E1363" t="s">
        <v>18</v>
      </c>
      <c r="F1363" t="s">
        <v>109</v>
      </c>
      <c r="G1363" t="s">
        <v>79</v>
      </c>
      <c r="H1363" t="s">
        <v>188</v>
      </c>
      <c r="I1363">
        <v>37004</v>
      </c>
      <c r="J1363">
        <v>42525</v>
      </c>
    </row>
    <row r="1364" spans="1:10" x14ac:dyDescent="0.3">
      <c r="A1364" t="s">
        <v>1491</v>
      </c>
      <c r="B1364" s="1">
        <v>45806</v>
      </c>
      <c r="C1364" t="s">
        <v>90</v>
      </c>
      <c r="D1364">
        <v>22</v>
      </c>
      <c r="E1364" t="s">
        <v>33</v>
      </c>
      <c r="F1364" t="s">
        <v>87</v>
      </c>
      <c r="G1364" t="s">
        <v>128</v>
      </c>
      <c r="H1364" t="s">
        <v>84</v>
      </c>
      <c r="I1364">
        <v>16603</v>
      </c>
      <c r="J1364">
        <v>16995</v>
      </c>
    </row>
    <row r="1365" spans="1:10" x14ac:dyDescent="0.3">
      <c r="A1365" t="s">
        <v>1492</v>
      </c>
      <c r="B1365" s="1">
        <v>45797</v>
      </c>
      <c r="C1365" t="s">
        <v>90</v>
      </c>
      <c r="D1365">
        <v>21</v>
      </c>
      <c r="E1365" t="s">
        <v>33</v>
      </c>
      <c r="F1365" t="s">
        <v>140</v>
      </c>
      <c r="G1365" t="s">
        <v>182</v>
      </c>
      <c r="H1365" t="s">
        <v>188</v>
      </c>
      <c r="I1365">
        <v>28832</v>
      </c>
      <c r="J1365">
        <v>20872</v>
      </c>
    </row>
    <row r="1366" spans="1:10" x14ac:dyDescent="0.3">
      <c r="A1366" t="s">
        <v>1493</v>
      </c>
      <c r="B1366" s="1">
        <v>45930</v>
      </c>
      <c r="C1366" t="s">
        <v>38</v>
      </c>
      <c r="D1366">
        <v>40</v>
      </c>
      <c r="E1366" t="s">
        <v>24</v>
      </c>
      <c r="F1366" t="s">
        <v>101</v>
      </c>
      <c r="G1366" t="s">
        <v>20</v>
      </c>
      <c r="H1366" t="s">
        <v>188</v>
      </c>
      <c r="I1366">
        <v>20586</v>
      </c>
      <c r="J1366">
        <v>22628</v>
      </c>
    </row>
    <row r="1367" spans="1:10" x14ac:dyDescent="0.3">
      <c r="A1367" t="s">
        <v>1494</v>
      </c>
      <c r="B1367" s="1">
        <v>45920</v>
      </c>
      <c r="C1367" t="s">
        <v>38</v>
      </c>
      <c r="D1367">
        <v>38</v>
      </c>
      <c r="E1367" t="s">
        <v>33</v>
      </c>
      <c r="F1367" t="s">
        <v>92</v>
      </c>
      <c r="G1367" t="s">
        <v>107</v>
      </c>
      <c r="H1367" t="s">
        <v>59</v>
      </c>
      <c r="I1367">
        <v>19551</v>
      </c>
      <c r="J1367">
        <v>16837</v>
      </c>
    </row>
    <row r="1368" spans="1:10" x14ac:dyDescent="0.3">
      <c r="A1368" t="s">
        <v>1495</v>
      </c>
      <c r="B1368" s="1">
        <v>45902</v>
      </c>
      <c r="C1368" t="s">
        <v>38</v>
      </c>
      <c r="D1368">
        <v>36</v>
      </c>
      <c r="E1368" t="s">
        <v>70</v>
      </c>
      <c r="F1368" t="s">
        <v>29</v>
      </c>
      <c r="G1368" t="s">
        <v>149</v>
      </c>
      <c r="H1368" t="s">
        <v>243</v>
      </c>
      <c r="I1368">
        <v>21102</v>
      </c>
      <c r="J1368">
        <v>15705</v>
      </c>
    </row>
    <row r="1369" spans="1:10" x14ac:dyDescent="0.3">
      <c r="A1369" t="s">
        <v>1496</v>
      </c>
      <c r="B1369" s="1">
        <v>45731</v>
      </c>
      <c r="C1369" t="s">
        <v>95</v>
      </c>
      <c r="D1369">
        <v>11</v>
      </c>
      <c r="E1369" t="s">
        <v>70</v>
      </c>
      <c r="F1369" t="s">
        <v>57</v>
      </c>
      <c r="G1369" t="s">
        <v>224</v>
      </c>
      <c r="H1369" t="s">
        <v>155</v>
      </c>
      <c r="I1369">
        <v>35919</v>
      </c>
      <c r="J1369">
        <v>37840</v>
      </c>
    </row>
    <row r="1370" spans="1:10" x14ac:dyDescent="0.3">
      <c r="A1370" t="s">
        <v>1497</v>
      </c>
      <c r="B1370" s="1">
        <v>45987</v>
      </c>
      <c r="C1370" t="s">
        <v>23</v>
      </c>
      <c r="D1370">
        <v>48</v>
      </c>
      <c r="E1370" t="s">
        <v>18</v>
      </c>
      <c r="F1370" t="s">
        <v>140</v>
      </c>
      <c r="G1370" t="s">
        <v>88</v>
      </c>
      <c r="H1370" t="s">
        <v>31</v>
      </c>
      <c r="I1370">
        <v>17469</v>
      </c>
      <c r="J1370">
        <v>14256</v>
      </c>
    </row>
    <row r="1371" spans="1:10" x14ac:dyDescent="0.3">
      <c r="A1371" t="s">
        <v>1498</v>
      </c>
      <c r="B1371" s="1">
        <v>45827</v>
      </c>
      <c r="C1371" t="s">
        <v>74</v>
      </c>
      <c r="D1371">
        <v>25</v>
      </c>
      <c r="E1371" t="s">
        <v>12</v>
      </c>
      <c r="F1371" t="s">
        <v>101</v>
      </c>
      <c r="G1371" t="s">
        <v>135</v>
      </c>
      <c r="H1371" t="s">
        <v>68</v>
      </c>
      <c r="I1371">
        <v>39943</v>
      </c>
      <c r="J1371">
        <v>47411</v>
      </c>
    </row>
    <row r="1372" spans="1:10" x14ac:dyDescent="0.3">
      <c r="A1372" t="s">
        <v>1499</v>
      </c>
      <c r="B1372" s="1">
        <v>45689</v>
      </c>
      <c r="C1372" t="s">
        <v>82</v>
      </c>
      <c r="D1372">
        <v>5</v>
      </c>
      <c r="E1372" t="s">
        <v>18</v>
      </c>
      <c r="F1372" t="s">
        <v>13</v>
      </c>
      <c r="G1372" t="s">
        <v>149</v>
      </c>
      <c r="H1372" t="s">
        <v>36</v>
      </c>
      <c r="I1372">
        <v>21042</v>
      </c>
      <c r="J1372">
        <v>16791</v>
      </c>
    </row>
    <row r="1373" spans="1:10" x14ac:dyDescent="0.3">
      <c r="A1373" t="s">
        <v>1500</v>
      </c>
      <c r="B1373" s="1">
        <v>45714</v>
      </c>
      <c r="C1373" t="s">
        <v>82</v>
      </c>
      <c r="D1373">
        <v>9</v>
      </c>
      <c r="E1373" t="s">
        <v>24</v>
      </c>
      <c r="F1373" t="s">
        <v>101</v>
      </c>
      <c r="G1373" t="s">
        <v>199</v>
      </c>
      <c r="H1373" t="s">
        <v>36</v>
      </c>
      <c r="I1373">
        <v>25762</v>
      </c>
      <c r="J1373">
        <v>29983</v>
      </c>
    </row>
    <row r="1374" spans="1:10" x14ac:dyDescent="0.3">
      <c r="A1374" t="s">
        <v>1501</v>
      </c>
      <c r="B1374" s="1">
        <v>45689</v>
      </c>
      <c r="C1374" t="s">
        <v>82</v>
      </c>
      <c r="D1374">
        <v>5</v>
      </c>
      <c r="E1374" t="s">
        <v>12</v>
      </c>
      <c r="F1374" t="s">
        <v>13</v>
      </c>
      <c r="G1374" t="s">
        <v>230</v>
      </c>
      <c r="H1374" t="s">
        <v>116</v>
      </c>
      <c r="I1374">
        <v>27167</v>
      </c>
      <c r="J1374">
        <v>21543</v>
      </c>
    </row>
    <row r="1375" spans="1:10" x14ac:dyDescent="0.3">
      <c r="A1375" t="s">
        <v>1502</v>
      </c>
      <c r="B1375" s="1">
        <v>45967</v>
      </c>
      <c r="C1375" t="s">
        <v>23</v>
      </c>
      <c r="D1375">
        <v>45</v>
      </c>
      <c r="E1375" t="s">
        <v>70</v>
      </c>
      <c r="F1375" t="s">
        <v>29</v>
      </c>
      <c r="G1375" t="s">
        <v>324</v>
      </c>
      <c r="H1375" t="s">
        <v>188</v>
      </c>
      <c r="I1375">
        <v>20964</v>
      </c>
      <c r="J1375">
        <v>16085</v>
      </c>
    </row>
    <row r="1376" spans="1:10" x14ac:dyDescent="0.3">
      <c r="A1376" t="s">
        <v>1503</v>
      </c>
      <c r="B1376" s="1">
        <v>45744</v>
      </c>
      <c r="C1376" t="s">
        <v>95</v>
      </c>
      <c r="D1376">
        <v>13</v>
      </c>
      <c r="E1376" t="s">
        <v>70</v>
      </c>
      <c r="F1376" t="s">
        <v>122</v>
      </c>
      <c r="G1376" t="s">
        <v>63</v>
      </c>
      <c r="H1376" t="s">
        <v>133</v>
      </c>
      <c r="I1376">
        <v>30133</v>
      </c>
      <c r="J1376">
        <v>37652</v>
      </c>
    </row>
    <row r="1377" spans="1:10" x14ac:dyDescent="0.3">
      <c r="A1377" t="s">
        <v>1504</v>
      </c>
      <c r="B1377" s="1">
        <v>45854</v>
      </c>
      <c r="C1377" t="s">
        <v>11</v>
      </c>
      <c r="D1377">
        <v>29</v>
      </c>
      <c r="E1377" t="s">
        <v>18</v>
      </c>
      <c r="F1377" t="s">
        <v>46</v>
      </c>
      <c r="G1377" t="s">
        <v>147</v>
      </c>
      <c r="H1377" t="s">
        <v>41</v>
      </c>
      <c r="I1377">
        <v>29618</v>
      </c>
      <c r="J1377">
        <v>22800</v>
      </c>
    </row>
    <row r="1378" spans="1:10" x14ac:dyDescent="0.3">
      <c r="A1378" t="s">
        <v>1505</v>
      </c>
      <c r="B1378" s="1">
        <v>45931</v>
      </c>
      <c r="C1378" t="s">
        <v>66</v>
      </c>
      <c r="D1378">
        <v>40</v>
      </c>
      <c r="E1378" t="s">
        <v>61</v>
      </c>
      <c r="F1378" t="s">
        <v>114</v>
      </c>
      <c r="G1378" t="s">
        <v>291</v>
      </c>
      <c r="H1378" t="s">
        <v>116</v>
      </c>
      <c r="I1378">
        <v>17089</v>
      </c>
      <c r="J1378">
        <v>15288</v>
      </c>
    </row>
    <row r="1379" spans="1:10" x14ac:dyDescent="0.3">
      <c r="A1379" t="s">
        <v>1506</v>
      </c>
      <c r="B1379" s="1">
        <v>45860</v>
      </c>
      <c r="C1379" t="s">
        <v>11</v>
      </c>
      <c r="D1379">
        <v>30</v>
      </c>
      <c r="E1379" t="s">
        <v>12</v>
      </c>
      <c r="F1379" t="s">
        <v>75</v>
      </c>
      <c r="G1379" t="s">
        <v>110</v>
      </c>
      <c r="H1379" t="s">
        <v>211</v>
      </c>
      <c r="I1379">
        <v>15934</v>
      </c>
      <c r="J1379">
        <v>15757</v>
      </c>
    </row>
    <row r="1380" spans="1:10" x14ac:dyDescent="0.3">
      <c r="A1380" t="s">
        <v>1507</v>
      </c>
      <c r="B1380" s="1">
        <v>46006</v>
      </c>
      <c r="C1380" t="s">
        <v>100</v>
      </c>
      <c r="D1380">
        <v>51</v>
      </c>
      <c r="E1380" t="s">
        <v>12</v>
      </c>
      <c r="F1380" t="s">
        <v>193</v>
      </c>
      <c r="G1380" t="s">
        <v>44</v>
      </c>
      <c r="H1380" t="s">
        <v>27</v>
      </c>
      <c r="I1380">
        <v>25820</v>
      </c>
      <c r="J1380">
        <v>33539</v>
      </c>
    </row>
    <row r="1381" spans="1:10" x14ac:dyDescent="0.3">
      <c r="A1381" t="s">
        <v>1508</v>
      </c>
      <c r="B1381" s="1">
        <v>45984</v>
      </c>
      <c r="C1381" t="s">
        <v>23</v>
      </c>
      <c r="D1381">
        <v>47</v>
      </c>
      <c r="E1381" t="s">
        <v>12</v>
      </c>
      <c r="F1381" t="s">
        <v>87</v>
      </c>
      <c r="G1381" t="s">
        <v>14</v>
      </c>
      <c r="H1381" t="s">
        <v>188</v>
      </c>
      <c r="I1381">
        <v>35193</v>
      </c>
      <c r="J1381">
        <v>27364</v>
      </c>
    </row>
    <row r="1382" spans="1:10" x14ac:dyDescent="0.3">
      <c r="A1382" t="s">
        <v>1509</v>
      </c>
      <c r="B1382" s="1">
        <v>45747</v>
      </c>
      <c r="C1382" t="s">
        <v>95</v>
      </c>
      <c r="D1382">
        <v>14</v>
      </c>
      <c r="E1382" t="s">
        <v>61</v>
      </c>
      <c r="F1382" t="s">
        <v>43</v>
      </c>
      <c r="G1382" t="s">
        <v>40</v>
      </c>
      <c r="H1382" t="s">
        <v>155</v>
      </c>
      <c r="I1382">
        <v>23809</v>
      </c>
      <c r="J1382">
        <v>24632</v>
      </c>
    </row>
    <row r="1383" spans="1:10" x14ac:dyDescent="0.3">
      <c r="A1383" t="s">
        <v>1510</v>
      </c>
      <c r="B1383" s="1">
        <v>45968</v>
      </c>
      <c r="C1383" t="s">
        <v>23</v>
      </c>
      <c r="D1383">
        <v>45</v>
      </c>
      <c r="E1383" t="s">
        <v>39</v>
      </c>
      <c r="F1383" t="s">
        <v>57</v>
      </c>
      <c r="G1383" t="s">
        <v>118</v>
      </c>
      <c r="H1383" t="s">
        <v>64</v>
      </c>
      <c r="I1383">
        <v>38791</v>
      </c>
      <c r="J1383">
        <v>37372</v>
      </c>
    </row>
    <row r="1384" spans="1:10" x14ac:dyDescent="0.3">
      <c r="A1384" t="s">
        <v>1511</v>
      </c>
      <c r="B1384" s="1">
        <v>45895</v>
      </c>
      <c r="C1384" t="s">
        <v>113</v>
      </c>
      <c r="D1384">
        <v>35</v>
      </c>
      <c r="E1384" t="s">
        <v>12</v>
      </c>
      <c r="F1384" t="s">
        <v>114</v>
      </c>
      <c r="G1384" t="s">
        <v>58</v>
      </c>
      <c r="H1384" t="s">
        <v>188</v>
      </c>
      <c r="I1384">
        <v>27795</v>
      </c>
      <c r="J1384">
        <v>35588</v>
      </c>
    </row>
    <row r="1385" spans="1:10" x14ac:dyDescent="0.3">
      <c r="A1385" t="s">
        <v>1512</v>
      </c>
      <c r="B1385" s="1">
        <v>45837</v>
      </c>
      <c r="C1385" t="s">
        <v>74</v>
      </c>
      <c r="D1385">
        <v>26</v>
      </c>
      <c r="E1385" t="s">
        <v>70</v>
      </c>
      <c r="F1385" t="s">
        <v>46</v>
      </c>
      <c r="G1385" t="s">
        <v>88</v>
      </c>
      <c r="H1385" t="s">
        <v>59</v>
      </c>
      <c r="I1385">
        <v>20835</v>
      </c>
      <c r="J1385">
        <v>23972</v>
      </c>
    </row>
    <row r="1386" spans="1:10" x14ac:dyDescent="0.3">
      <c r="A1386" t="s">
        <v>1513</v>
      </c>
      <c r="B1386" s="1">
        <v>45719</v>
      </c>
      <c r="C1386" t="s">
        <v>95</v>
      </c>
      <c r="D1386">
        <v>10</v>
      </c>
      <c r="E1386" t="s">
        <v>24</v>
      </c>
      <c r="F1386" t="s">
        <v>25</v>
      </c>
      <c r="G1386" t="s">
        <v>54</v>
      </c>
      <c r="H1386" t="s">
        <v>52</v>
      </c>
      <c r="I1386">
        <v>38468</v>
      </c>
      <c r="J1386">
        <v>36675</v>
      </c>
    </row>
    <row r="1387" spans="1:10" x14ac:dyDescent="0.3">
      <c r="A1387" t="s">
        <v>1514</v>
      </c>
      <c r="B1387" s="1">
        <v>45856</v>
      </c>
      <c r="C1387" t="s">
        <v>11</v>
      </c>
      <c r="D1387">
        <v>29</v>
      </c>
      <c r="E1387" t="s">
        <v>39</v>
      </c>
      <c r="F1387" t="s">
        <v>193</v>
      </c>
      <c r="G1387" t="s">
        <v>110</v>
      </c>
      <c r="H1387" t="s">
        <v>36</v>
      </c>
      <c r="I1387">
        <v>18958</v>
      </c>
      <c r="J1387">
        <v>14674</v>
      </c>
    </row>
    <row r="1388" spans="1:10" x14ac:dyDescent="0.3">
      <c r="A1388" t="s">
        <v>1515</v>
      </c>
      <c r="B1388" s="1">
        <v>45994</v>
      </c>
      <c r="C1388" t="s">
        <v>100</v>
      </c>
      <c r="D1388">
        <v>49</v>
      </c>
      <c r="E1388" t="s">
        <v>70</v>
      </c>
      <c r="F1388" t="s">
        <v>109</v>
      </c>
      <c r="G1388" t="s">
        <v>83</v>
      </c>
      <c r="H1388" t="s">
        <v>116</v>
      </c>
      <c r="I1388">
        <v>33447</v>
      </c>
      <c r="J1388">
        <v>43331</v>
      </c>
    </row>
    <row r="1389" spans="1:10" x14ac:dyDescent="0.3">
      <c r="A1389" t="s">
        <v>1516</v>
      </c>
      <c r="B1389" s="1">
        <v>45680</v>
      </c>
      <c r="C1389" t="s">
        <v>17</v>
      </c>
      <c r="D1389">
        <v>4</v>
      </c>
      <c r="E1389" t="s">
        <v>39</v>
      </c>
      <c r="F1389" t="s">
        <v>78</v>
      </c>
      <c r="G1389" t="s">
        <v>26</v>
      </c>
      <c r="H1389" t="s">
        <v>165</v>
      </c>
      <c r="I1389">
        <v>30701</v>
      </c>
      <c r="J1389">
        <v>32922</v>
      </c>
    </row>
    <row r="1390" spans="1:10" x14ac:dyDescent="0.3">
      <c r="A1390" t="s">
        <v>1517</v>
      </c>
      <c r="B1390" s="1">
        <v>46016</v>
      </c>
      <c r="C1390" t="s">
        <v>100</v>
      </c>
      <c r="D1390">
        <v>52</v>
      </c>
      <c r="E1390" t="s">
        <v>18</v>
      </c>
      <c r="F1390" t="s">
        <v>43</v>
      </c>
      <c r="G1390" t="s">
        <v>171</v>
      </c>
      <c r="H1390" t="s">
        <v>15</v>
      </c>
      <c r="I1390">
        <v>19112</v>
      </c>
      <c r="J1390">
        <v>14382</v>
      </c>
    </row>
    <row r="1391" spans="1:10" x14ac:dyDescent="0.3">
      <c r="A1391" t="s">
        <v>1518</v>
      </c>
      <c r="B1391" s="1">
        <v>45688</v>
      </c>
      <c r="C1391" t="s">
        <v>17</v>
      </c>
      <c r="D1391">
        <v>5</v>
      </c>
      <c r="E1391" t="s">
        <v>61</v>
      </c>
      <c r="F1391" t="s">
        <v>140</v>
      </c>
      <c r="G1391" t="s">
        <v>54</v>
      </c>
      <c r="H1391" t="s">
        <v>163</v>
      </c>
      <c r="I1391">
        <v>39231</v>
      </c>
      <c r="J1391">
        <v>30222</v>
      </c>
    </row>
    <row r="1392" spans="1:10" x14ac:dyDescent="0.3">
      <c r="A1392" t="s">
        <v>1519</v>
      </c>
      <c r="B1392" s="1">
        <v>45957</v>
      </c>
      <c r="C1392" t="s">
        <v>66</v>
      </c>
      <c r="D1392">
        <v>44</v>
      </c>
      <c r="E1392" t="s">
        <v>39</v>
      </c>
      <c r="F1392" t="s">
        <v>46</v>
      </c>
      <c r="G1392" t="s">
        <v>63</v>
      </c>
      <c r="H1392" t="s">
        <v>157</v>
      </c>
      <c r="I1392">
        <v>20804</v>
      </c>
      <c r="J1392">
        <v>25525</v>
      </c>
    </row>
    <row r="1393" spans="1:10" x14ac:dyDescent="0.3">
      <c r="A1393" t="s">
        <v>1520</v>
      </c>
      <c r="B1393" s="1">
        <v>45706</v>
      </c>
      <c r="C1393" t="s">
        <v>82</v>
      </c>
      <c r="D1393">
        <v>8</v>
      </c>
      <c r="E1393" t="s">
        <v>24</v>
      </c>
      <c r="F1393" t="s">
        <v>57</v>
      </c>
      <c r="G1393" t="s">
        <v>141</v>
      </c>
      <c r="H1393" t="s">
        <v>155</v>
      </c>
      <c r="I1393">
        <v>18858</v>
      </c>
      <c r="J1393">
        <v>15056</v>
      </c>
    </row>
    <row r="1394" spans="1:10" x14ac:dyDescent="0.3">
      <c r="A1394" t="s">
        <v>1521</v>
      </c>
      <c r="B1394" s="1">
        <v>45959</v>
      </c>
      <c r="C1394" t="s">
        <v>66</v>
      </c>
      <c r="D1394">
        <v>44</v>
      </c>
      <c r="E1394" t="s">
        <v>12</v>
      </c>
      <c r="F1394" t="s">
        <v>34</v>
      </c>
      <c r="G1394" t="s">
        <v>35</v>
      </c>
      <c r="H1394" t="s">
        <v>15</v>
      </c>
      <c r="I1394">
        <v>29447</v>
      </c>
      <c r="J1394">
        <v>35381</v>
      </c>
    </row>
    <row r="1395" spans="1:10" x14ac:dyDescent="0.3">
      <c r="A1395" t="s">
        <v>1522</v>
      </c>
      <c r="B1395" s="1">
        <v>45852</v>
      </c>
      <c r="C1395" t="s">
        <v>11</v>
      </c>
      <c r="D1395">
        <v>29</v>
      </c>
      <c r="E1395" t="s">
        <v>61</v>
      </c>
      <c r="F1395" t="s">
        <v>25</v>
      </c>
      <c r="G1395" t="s">
        <v>182</v>
      </c>
      <c r="H1395" t="s">
        <v>21</v>
      </c>
      <c r="I1395">
        <v>35772</v>
      </c>
      <c r="J1395">
        <v>29539</v>
      </c>
    </row>
    <row r="1396" spans="1:10" x14ac:dyDescent="0.3">
      <c r="A1396" t="s">
        <v>1523</v>
      </c>
      <c r="B1396" s="1">
        <v>45853</v>
      </c>
      <c r="C1396" t="s">
        <v>11</v>
      </c>
      <c r="D1396">
        <v>29</v>
      </c>
      <c r="E1396" t="s">
        <v>33</v>
      </c>
      <c r="F1396" t="s">
        <v>43</v>
      </c>
      <c r="G1396" t="s">
        <v>206</v>
      </c>
      <c r="H1396" t="s">
        <v>84</v>
      </c>
      <c r="I1396">
        <v>35727</v>
      </c>
      <c r="J1396">
        <v>41563</v>
      </c>
    </row>
    <row r="1397" spans="1:10" x14ac:dyDescent="0.3">
      <c r="A1397" t="s">
        <v>1524</v>
      </c>
      <c r="B1397" s="1">
        <v>45995</v>
      </c>
      <c r="C1397" t="s">
        <v>100</v>
      </c>
      <c r="D1397">
        <v>49</v>
      </c>
      <c r="E1397" t="s">
        <v>12</v>
      </c>
      <c r="F1397" t="s">
        <v>19</v>
      </c>
      <c r="G1397" t="s">
        <v>20</v>
      </c>
      <c r="H1397" t="s">
        <v>21</v>
      </c>
      <c r="I1397">
        <v>30772</v>
      </c>
      <c r="J1397">
        <v>39025</v>
      </c>
    </row>
    <row r="1398" spans="1:10" x14ac:dyDescent="0.3">
      <c r="A1398" t="s">
        <v>1525</v>
      </c>
      <c r="B1398" s="1">
        <v>45950</v>
      </c>
      <c r="C1398" t="s">
        <v>66</v>
      </c>
      <c r="D1398">
        <v>43</v>
      </c>
      <c r="E1398" t="s">
        <v>70</v>
      </c>
      <c r="F1398" t="s">
        <v>25</v>
      </c>
      <c r="G1398" t="s">
        <v>234</v>
      </c>
      <c r="H1398" t="s">
        <v>31</v>
      </c>
      <c r="I1398">
        <v>20791</v>
      </c>
      <c r="J1398">
        <v>19446</v>
      </c>
    </row>
    <row r="1399" spans="1:10" x14ac:dyDescent="0.3">
      <c r="A1399" t="s">
        <v>1526</v>
      </c>
      <c r="B1399" s="1">
        <v>45662</v>
      </c>
      <c r="C1399" t="s">
        <v>17</v>
      </c>
      <c r="D1399">
        <v>1</v>
      </c>
      <c r="E1399" t="s">
        <v>61</v>
      </c>
      <c r="F1399" t="s">
        <v>101</v>
      </c>
      <c r="G1399" t="s">
        <v>35</v>
      </c>
      <c r="H1399" t="s">
        <v>119</v>
      </c>
      <c r="I1399">
        <v>37412</v>
      </c>
      <c r="J1399">
        <v>43042</v>
      </c>
    </row>
    <row r="1400" spans="1:10" x14ac:dyDescent="0.3">
      <c r="A1400" t="s">
        <v>1527</v>
      </c>
      <c r="B1400" s="1">
        <v>45993</v>
      </c>
      <c r="C1400" t="s">
        <v>100</v>
      </c>
      <c r="D1400">
        <v>49</v>
      </c>
      <c r="E1400" t="s">
        <v>39</v>
      </c>
      <c r="F1400" t="s">
        <v>109</v>
      </c>
      <c r="G1400" t="s">
        <v>234</v>
      </c>
      <c r="H1400" t="s">
        <v>27</v>
      </c>
      <c r="I1400">
        <v>36526</v>
      </c>
      <c r="J1400">
        <v>45060</v>
      </c>
    </row>
    <row r="1401" spans="1:10" x14ac:dyDescent="0.3">
      <c r="A1401" t="s">
        <v>1528</v>
      </c>
      <c r="B1401" s="1">
        <v>45685</v>
      </c>
      <c r="C1401" t="s">
        <v>17</v>
      </c>
      <c r="D1401">
        <v>5</v>
      </c>
      <c r="E1401" t="s">
        <v>12</v>
      </c>
      <c r="F1401" t="s">
        <v>193</v>
      </c>
      <c r="G1401" t="s">
        <v>206</v>
      </c>
      <c r="H1401" t="s">
        <v>123</v>
      </c>
      <c r="I1401">
        <v>22418</v>
      </c>
      <c r="J1401">
        <v>28283</v>
      </c>
    </row>
    <row r="1402" spans="1:10" x14ac:dyDescent="0.3">
      <c r="A1402" t="s">
        <v>1529</v>
      </c>
      <c r="B1402" s="1">
        <v>45939</v>
      </c>
      <c r="C1402" t="s">
        <v>66</v>
      </c>
      <c r="D1402">
        <v>41</v>
      </c>
      <c r="E1402" t="s">
        <v>61</v>
      </c>
      <c r="F1402" t="s">
        <v>101</v>
      </c>
      <c r="G1402" t="s">
        <v>51</v>
      </c>
      <c r="H1402" t="s">
        <v>116</v>
      </c>
      <c r="I1402">
        <v>24847</v>
      </c>
      <c r="J1402">
        <v>19347</v>
      </c>
    </row>
    <row r="1403" spans="1:10" x14ac:dyDescent="0.3">
      <c r="A1403" t="s">
        <v>1530</v>
      </c>
      <c r="B1403" s="1">
        <v>45976</v>
      </c>
      <c r="C1403" t="s">
        <v>23</v>
      </c>
      <c r="D1403">
        <v>46</v>
      </c>
      <c r="E1403" t="s">
        <v>33</v>
      </c>
      <c r="F1403" t="s">
        <v>62</v>
      </c>
      <c r="G1403" t="s">
        <v>118</v>
      </c>
      <c r="H1403" t="s">
        <v>96</v>
      </c>
      <c r="I1403">
        <v>18949</v>
      </c>
      <c r="J1403">
        <v>16910</v>
      </c>
    </row>
    <row r="1404" spans="1:10" x14ac:dyDescent="0.3">
      <c r="A1404" t="s">
        <v>1531</v>
      </c>
      <c r="B1404" s="1">
        <v>45683</v>
      </c>
      <c r="C1404" t="s">
        <v>17</v>
      </c>
      <c r="D1404">
        <v>4</v>
      </c>
      <c r="E1404" t="s">
        <v>12</v>
      </c>
      <c r="F1404" t="s">
        <v>193</v>
      </c>
      <c r="G1404" t="s">
        <v>201</v>
      </c>
      <c r="H1404" t="s">
        <v>119</v>
      </c>
      <c r="I1404">
        <v>16430</v>
      </c>
      <c r="J1404">
        <v>18050</v>
      </c>
    </row>
    <row r="1405" spans="1:10" x14ac:dyDescent="0.3">
      <c r="A1405" t="s">
        <v>1532</v>
      </c>
      <c r="B1405" s="1">
        <v>45763</v>
      </c>
      <c r="C1405" t="s">
        <v>86</v>
      </c>
      <c r="D1405">
        <v>16</v>
      </c>
      <c r="E1405" t="s">
        <v>33</v>
      </c>
      <c r="F1405" t="s">
        <v>78</v>
      </c>
      <c r="G1405" t="s">
        <v>51</v>
      </c>
      <c r="H1405" t="s">
        <v>157</v>
      </c>
      <c r="I1405">
        <v>28844</v>
      </c>
      <c r="J1405">
        <v>30460</v>
      </c>
    </row>
    <row r="1406" spans="1:10" x14ac:dyDescent="0.3">
      <c r="A1406" t="s">
        <v>1533</v>
      </c>
      <c r="B1406" s="1">
        <v>45905</v>
      </c>
      <c r="C1406" t="s">
        <v>38</v>
      </c>
      <c r="D1406">
        <v>36</v>
      </c>
      <c r="E1406" t="s">
        <v>18</v>
      </c>
      <c r="F1406" t="s">
        <v>34</v>
      </c>
      <c r="G1406" t="s">
        <v>40</v>
      </c>
      <c r="H1406" t="s">
        <v>243</v>
      </c>
      <c r="I1406">
        <v>21935</v>
      </c>
      <c r="J1406">
        <v>15548</v>
      </c>
    </row>
    <row r="1407" spans="1:10" x14ac:dyDescent="0.3">
      <c r="A1407" t="s">
        <v>1534</v>
      </c>
      <c r="B1407" s="1">
        <v>45762</v>
      </c>
      <c r="C1407" t="s">
        <v>86</v>
      </c>
      <c r="D1407">
        <v>16</v>
      </c>
      <c r="E1407" t="s">
        <v>24</v>
      </c>
      <c r="F1407" t="s">
        <v>25</v>
      </c>
      <c r="G1407" t="s">
        <v>132</v>
      </c>
      <c r="H1407" t="s">
        <v>96</v>
      </c>
      <c r="I1407">
        <v>32346</v>
      </c>
      <c r="J1407">
        <v>35582</v>
      </c>
    </row>
    <row r="1408" spans="1:10" x14ac:dyDescent="0.3">
      <c r="A1408" t="s">
        <v>1535</v>
      </c>
      <c r="B1408" s="1">
        <v>45908</v>
      </c>
      <c r="C1408" t="s">
        <v>38</v>
      </c>
      <c r="D1408">
        <v>37</v>
      </c>
      <c r="E1408" t="s">
        <v>33</v>
      </c>
      <c r="F1408" t="s">
        <v>78</v>
      </c>
      <c r="G1408" t="s">
        <v>191</v>
      </c>
      <c r="H1408" t="s">
        <v>68</v>
      </c>
      <c r="I1408">
        <v>37201</v>
      </c>
      <c r="J1408">
        <v>34093</v>
      </c>
    </row>
    <row r="1409" spans="1:10" x14ac:dyDescent="0.3">
      <c r="A1409" t="s">
        <v>1536</v>
      </c>
      <c r="B1409" s="1">
        <v>45802</v>
      </c>
      <c r="C1409" t="s">
        <v>90</v>
      </c>
      <c r="D1409">
        <v>21</v>
      </c>
      <c r="E1409" t="s">
        <v>39</v>
      </c>
      <c r="F1409" t="s">
        <v>46</v>
      </c>
      <c r="G1409" t="s">
        <v>324</v>
      </c>
      <c r="H1409" t="s">
        <v>52</v>
      </c>
      <c r="I1409">
        <v>21636</v>
      </c>
      <c r="J1409">
        <v>18444</v>
      </c>
    </row>
    <row r="1410" spans="1:10" x14ac:dyDescent="0.3">
      <c r="A1410" t="s">
        <v>1537</v>
      </c>
      <c r="B1410" s="1">
        <v>45857</v>
      </c>
      <c r="C1410" t="s">
        <v>11</v>
      </c>
      <c r="D1410">
        <v>29</v>
      </c>
      <c r="E1410" t="s">
        <v>18</v>
      </c>
      <c r="F1410" t="s">
        <v>87</v>
      </c>
      <c r="G1410" t="s">
        <v>76</v>
      </c>
      <c r="H1410" t="s">
        <v>119</v>
      </c>
      <c r="I1410">
        <v>39899</v>
      </c>
      <c r="J1410">
        <v>34117</v>
      </c>
    </row>
    <row r="1411" spans="1:10" x14ac:dyDescent="0.3">
      <c r="A1411" t="s">
        <v>1538</v>
      </c>
      <c r="B1411" s="1">
        <v>45996</v>
      </c>
      <c r="C1411" t="s">
        <v>100</v>
      </c>
      <c r="D1411">
        <v>49</v>
      </c>
      <c r="E1411" t="s">
        <v>61</v>
      </c>
      <c r="F1411" t="s">
        <v>13</v>
      </c>
      <c r="G1411" t="s">
        <v>54</v>
      </c>
      <c r="H1411" t="s">
        <v>123</v>
      </c>
      <c r="I1411">
        <v>15840</v>
      </c>
      <c r="J1411">
        <v>16837</v>
      </c>
    </row>
    <row r="1412" spans="1:10" x14ac:dyDescent="0.3">
      <c r="A1412" t="s">
        <v>1539</v>
      </c>
      <c r="B1412" s="1">
        <v>45688</v>
      </c>
      <c r="C1412" t="s">
        <v>17</v>
      </c>
      <c r="D1412">
        <v>5</v>
      </c>
      <c r="E1412" t="s">
        <v>18</v>
      </c>
      <c r="F1412" t="s">
        <v>19</v>
      </c>
      <c r="G1412" t="s">
        <v>110</v>
      </c>
      <c r="H1412" t="s">
        <v>116</v>
      </c>
      <c r="I1412">
        <v>27845</v>
      </c>
      <c r="J1412">
        <v>25085</v>
      </c>
    </row>
    <row r="1413" spans="1:10" x14ac:dyDescent="0.3">
      <c r="A1413" t="s">
        <v>1540</v>
      </c>
      <c r="B1413" s="1">
        <v>45992</v>
      </c>
      <c r="C1413" t="s">
        <v>100</v>
      </c>
      <c r="D1413">
        <v>49</v>
      </c>
      <c r="E1413" t="s">
        <v>24</v>
      </c>
      <c r="F1413" t="s">
        <v>62</v>
      </c>
      <c r="G1413" t="s">
        <v>145</v>
      </c>
      <c r="H1413" t="s">
        <v>103</v>
      </c>
      <c r="I1413">
        <v>32683</v>
      </c>
      <c r="J1413">
        <v>35343</v>
      </c>
    </row>
    <row r="1414" spans="1:10" x14ac:dyDescent="0.3">
      <c r="A1414" t="s">
        <v>1541</v>
      </c>
      <c r="B1414" s="1">
        <v>45753</v>
      </c>
      <c r="C1414" t="s">
        <v>86</v>
      </c>
      <c r="D1414">
        <v>14</v>
      </c>
      <c r="E1414" t="s">
        <v>33</v>
      </c>
      <c r="F1414" t="s">
        <v>62</v>
      </c>
      <c r="G1414" t="s">
        <v>182</v>
      </c>
      <c r="H1414" t="s">
        <v>41</v>
      </c>
      <c r="I1414">
        <v>17604</v>
      </c>
      <c r="J1414">
        <v>17814</v>
      </c>
    </row>
    <row r="1415" spans="1:10" x14ac:dyDescent="0.3">
      <c r="A1415" t="s">
        <v>1542</v>
      </c>
      <c r="B1415" s="1">
        <v>45781</v>
      </c>
      <c r="C1415" t="s">
        <v>90</v>
      </c>
      <c r="D1415">
        <v>18</v>
      </c>
      <c r="E1415" t="s">
        <v>39</v>
      </c>
      <c r="F1415" t="s">
        <v>29</v>
      </c>
      <c r="G1415" t="s">
        <v>115</v>
      </c>
      <c r="H1415" t="s">
        <v>155</v>
      </c>
      <c r="I1415">
        <v>26889</v>
      </c>
      <c r="J1415">
        <v>19988</v>
      </c>
    </row>
    <row r="1416" spans="1:10" x14ac:dyDescent="0.3">
      <c r="A1416" t="s">
        <v>1543</v>
      </c>
      <c r="B1416" s="1">
        <v>45678</v>
      </c>
      <c r="C1416" t="s">
        <v>17</v>
      </c>
      <c r="D1416">
        <v>4</v>
      </c>
      <c r="E1416" t="s">
        <v>24</v>
      </c>
      <c r="F1416" t="s">
        <v>46</v>
      </c>
      <c r="G1416" t="s">
        <v>135</v>
      </c>
      <c r="H1416" t="s">
        <v>21</v>
      </c>
      <c r="I1416">
        <v>18032</v>
      </c>
      <c r="J1416">
        <v>15023</v>
      </c>
    </row>
    <row r="1417" spans="1:10" x14ac:dyDescent="0.3">
      <c r="A1417" t="s">
        <v>1544</v>
      </c>
      <c r="B1417" s="1">
        <v>45925</v>
      </c>
      <c r="C1417" t="s">
        <v>38</v>
      </c>
      <c r="D1417">
        <v>39</v>
      </c>
      <c r="E1417" t="s">
        <v>70</v>
      </c>
      <c r="F1417" t="s">
        <v>13</v>
      </c>
      <c r="G1417" t="s">
        <v>83</v>
      </c>
      <c r="H1417" t="s">
        <v>157</v>
      </c>
      <c r="I1417">
        <v>20237</v>
      </c>
      <c r="J1417">
        <v>22470</v>
      </c>
    </row>
    <row r="1418" spans="1:10" x14ac:dyDescent="0.3">
      <c r="A1418" t="s">
        <v>1545</v>
      </c>
      <c r="B1418" s="1">
        <v>45893</v>
      </c>
      <c r="C1418" t="s">
        <v>113</v>
      </c>
      <c r="D1418">
        <v>34</v>
      </c>
      <c r="E1418" t="s">
        <v>24</v>
      </c>
      <c r="F1418" t="s">
        <v>57</v>
      </c>
      <c r="G1418" t="s">
        <v>67</v>
      </c>
      <c r="H1418" t="s">
        <v>36</v>
      </c>
      <c r="I1418">
        <v>25892</v>
      </c>
      <c r="J1418">
        <v>29918</v>
      </c>
    </row>
    <row r="1419" spans="1:10" x14ac:dyDescent="0.3">
      <c r="A1419" t="s">
        <v>1546</v>
      </c>
      <c r="B1419" s="1">
        <v>45874</v>
      </c>
      <c r="C1419" t="s">
        <v>113</v>
      </c>
      <c r="D1419">
        <v>32</v>
      </c>
      <c r="E1419" t="s">
        <v>12</v>
      </c>
      <c r="F1419" t="s">
        <v>25</v>
      </c>
      <c r="G1419" t="s">
        <v>160</v>
      </c>
      <c r="H1419" t="s">
        <v>68</v>
      </c>
      <c r="I1419">
        <v>24171</v>
      </c>
      <c r="J1419">
        <v>19073</v>
      </c>
    </row>
    <row r="1420" spans="1:10" x14ac:dyDescent="0.3">
      <c r="A1420" t="s">
        <v>1547</v>
      </c>
      <c r="B1420" s="1">
        <v>45942</v>
      </c>
      <c r="C1420" t="s">
        <v>66</v>
      </c>
      <c r="D1420">
        <v>41</v>
      </c>
      <c r="E1420" t="s">
        <v>24</v>
      </c>
      <c r="F1420" t="s">
        <v>34</v>
      </c>
      <c r="G1420" t="s">
        <v>35</v>
      </c>
      <c r="H1420" t="s">
        <v>27</v>
      </c>
      <c r="I1420">
        <v>18393</v>
      </c>
      <c r="J1420">
        <v>18041</v>
      </c>
    </row>
    <row r="1421" spans="1:10" x14ac:dyDescent="0.3">
      <c r="A1421" t="s">
        <v>1548</v>
      </c>
      <c r="B1421" s="1">
        <v>45950</v>
      </c>
      <c r="C1421" t="s">
        <v>66</v>
      </c>
      <c r="D1421">
        <v>43</v>
      </c>
      <c r="E1421" t="s">
        <v>12</v>
      </c>
      <c r="F1421" t="s">
        <v>62</v>
      </c>
      <c r="G1421" t="s">
        <v>291</v>
      </c>
      <c r="H1421" t="s">
        <v>64</v>
      </c>
      <c r="I1421">
        <v>28754</v>
      </c>
      <c r="J1421">
        <v>35389</v>
      </c>
    </row>
    <row r="1422" spans="1:10" x14ac:dyDescent="0.3">
      <c r="A1422" t="s">
        <v>1549</v>
      </c>
      <c r="B1422" s="1">
        <v>45862</v>
      </c>
      <c r="C1422" t="s">
        <v>11</v>
      </c>
      <c r="D1422">
        <v>30</v>
      </c>
      <c r="E1422" t="s">
        <v>18</v>
      </c>
      <c r="F1422" t="s">
        <v>25</v>
      </c>
      <c r="G1422" t="s">
        <v>141</v>
      </c>
      <c r="H1422" t="s">
        <v>243</v>
      </c>
      <c r="I1422">
        <v>22745</v>
      </c>
      <c r="J1422">
        <v>24912</v>
      </c>
    </row>
    <row r="1423" spans="1:10" x14ac:dyDescent="0.3">
      <c r="A1423" t="s">
        <v>1550</v>
      </c>
      <c r="B1423" s="1">
        <v>45689</v>
      </c>
      <c r="C1423" t="s">
        <v>82</v>
      </c>
      <c r="D1423">
        <v>5</v>
      </c>
      <c r="E1423" t="s">
        <v>70</v>
      </c>
      <c r="F1423" t="s">
        <v>140</v>
      </c>
      <c r="G1423" t="s">
        <v>76</v>
      </c>
      <c r="H1423" t="s">
        <v>41</v>
      </c>
      <c r="I1423">
        <v>23047</v>
      </c>
      <c r="J1423">
        <v>25502</v>
      </c>
    </row>
    <row r="1424" spans="1:10" x14ac:dyDescent="0.3">
      <c r="A1424" t="s">
        <v>1551</v>
      </c>
      <c r="B1424" s="1">
        <v>45762</v>
      </c>
      <c r="C1424" t="s">
        <v>86</v>
      </c>
      <c r="D1424">
        <v>16</v>
      </c>
      <c r="E1424" t="s">
        <v>39</v>
      </c>
      <c r="F1424" t="s">
        <v>140</v>
      </c>
      <c r="G1424" t="s">
        <v>199</v>
      </c>
      <c r="H1424" t="s">
        <v>36</v>
      </c>
      <c r="I1424">
        <v>16442</v>
      </c>
      <c r="J1424">
        <v>18101</v>
      </c>
    </row>
    <row r="1425" spans="1:10" x14ac:dyDescent="0.3">
      <c r="A1425" t="s">
        <v>1552</v>
      </c>
      <c r="B1425" s="1">
        <v>45716</v>
      </c>
      <c r="C1425" t="s">
        <v>82</v>
      </c>
      <c r="D1425">
        <v>9</v>
      </c>
      <c r="E1425" t="s">
        <v>39</v>
      </c>
      <c r="F1425" t="s">
        <v>114</v>
      </c>
      <c r="G1425" t="s">
        <v>291</v>
      </c>
      <c r="H1425" t="s">
        <v>165</v>
      </c>
      <c r="I1425">
        <v>37907</v>
      </c>
      <c r="J1425">
        <v>44807</v>
      </c>
    </row>
    <row r="1426" spans="1:10" x14ac:dyDescent="0.3">
      <c r="A1426" t="s">
        <v>1553</v>
      </c>
      <c r="B1426" s="1">
        <v>45934</v>
      </c>
      <c r="C1426" t="s">
        <v>66</v>
      </c>
      <c r="D1426">
        <v>40</v>
      </c>
      <c r="E1426" t="s">
        <v>18</v>
      </c>
      <c r="F1426" t="s">
        <v>193</v>
      </c>
      <c r="G1426" t="s">
        <v>266</v>
      </c>
      <c r="H1426" t="s">
        <v>27</v>
      </c>
      <c r="I1426">
        <v>39711</v>
      </c>
      <c r="J1426">
        <v>47052</v>
      </c>
    </row>
    <row r="1427" spans="1:10" x14ac:dyDescent="0.3">
      <c r="A1427" t="s">
        <v>1554</v>
      </c>
      <c r="B1427" s="1">
        <v>45812</v>
      </c>
      <c r="C1427" t="s">
        <v>74</v>
      </c>
      <c r="D1427">
        <v>23</v>
      </c>
      <c r="E1427" t="s">
        <v>18</v>
      </c>
      <c r="F1427" t="s">
        <v>19</v>
      </c>
      <c r="G1427" t="s">
        <v>132</v>
      </c>
      <c r="H1427" t="s">
        <v>103</v>
      </c>
      <c r="I1427">
        <v>24372</v>
      </c>
      <c r="J1427">
        <v>19709</v>
      </c>
    </row>
    <row r="1428" spans="1:10" x14ac:dyDescent="0.3">
      <c r="A1428" t="s">
        <v>1555</v>
      </c>
      <c r="B1428" s="1">
        <v>45877</v>
      </c>
      <c r="C1428" t="s">
        <v>113</v>
      </c>
      <c r="D1428">
        <v>32</v>
      </c>
      <c r="E1428" t="s">
        <v>24</v>
      </c>
      <c r="F1428" t="s">
        <v>19</v>
      </c>
      <c r="G1428" t="s">
        <v>67</v>
      </c>
      <c r="H1428" t="s">
        <v>243</v>
      </c>
      <c r="I1428">
        <v>25274</v>
      </c>
      <c r="J1428">
        <v>24928</v>
      </c>
    </row>
    <row r="1429" spans="1:10" x14ac:dyDescent="0.3">
      <c r="A1429" t="s">
        <v>1556</v>
      </c>
      <c r="B1429" s="1">
        <v>45874</v>
      </c>
      <c r="C1429" t="s">
        <v>113</v>
      </c>
      <c r="D1429">
        <v>32</v>
      </c>
      <c r="E1429" t="s">
        <v>61</v>
      </c>
      <c r="F1429" t="s">
        <v>109</v>
      </c>
      <c r="G1429" t="s">
        <v>234</v>
      </c>
      <c r="H1429" t="s">
        <v>15</v>
      </c>
      <c r="I1429">
        <v>37770</v>
      </c>
      <c r="J1429">
        <v>35875</v>
      </c>
    </row>
    <row r="1430" spans="1:10" x14ac:dyDescent="0.3">
      <c r="A1430" t="s">
        <v>1557</v>
      </c>
      <c r="B1430" s="1">
        <v>45670</v>
      </c>
      <c r="C1430" t="s">
        <v>17</v>
      </c>
      <c r="D1430">
        <v>3</v>
      </c>
      <c r="E1430" t="s">
        <v>12</v>
      </c>
      <c r="F1430" t="s">
        <v>122</v>
      </c>
      <c r="G1430" t="s">
        <v>126</v>
      </c>
      <c r="H1430" t="s">
        <v>80</v>
      </c>
      <c r="I1430">
        <v>28160</v>
      </c>
      <c r="J1430">
        <v>28161</v>
      </c>
    </row>
    <row r="1431" spans="1:10" x14ac:dyDescent="0.3">
      <c r="A1431" t="s">
        <v>1558</v>
      </c>
      <c r="B1431" s="1">
        <v>45677</v>
      </c>
      <c r="C1431" t="s">
        <v>17</v>
      </c>
      <c r="D1431">
        <v>4</v>
      </c>
      <c r="E1431" t="s">
        <v>24</v>
      </c>
      <c r="F1431" t="s">
        <v>109</v>
      </c>
      <c r="G1431" t="s">
        <v>79</v>
      </c>
      <c r="H1431" t="s">
        <v>96</v>
      </c>
      <c r="I1431">
        <v>20079</v>
      </c>
      <c r="J1431">
        <v>16492</v>
      </c>
    </row>
    <row r="1432" spans="1:10" x14ac:dyDescent="0.3">
      <c r="A1432" t="s">
        <v>1559</v>
      </c>
      <c r="B1432" s="1">
        <v>45775</v>
      </c>
      <c r="C1432" t="s">
        <v>86</v>
      </c>
      <c r="D1432">
        <v>18</v>
      </c>
      <c r="E1432" t="s">
        <v>70</v>
      </c>
      <c r="F1432" t="s">
        <v>140</v>
      </c>
      <c r="G1432" t="s">
        <v>145</v>
      </c>
      <c r="H1432" t="s">
        <v>27</v>
      </c>
      <c r="I1432">
        <v>27979</v>
      </c>
      <c r="J1432">
        <v>19683</v>
      </c>
    </row>
    <row r="1433" spans="1:10" x14ac:dyDescent="0.3">
      <c r="A1433" t="s">
        <v>1560</v>
      </c>
      <c r="B1433" s="1">
        <v>45929</v>
      </c>
      <c r="C1433" t="s">
        <v>38</v>
      </c>
      <c r="D1433">
        <v>40</v>
      </c>
      <c r="E1433" t="s">
        <v>33</v>
      </c>
      <c r="F1433" t="s">
        <v>25</v>
      </c>
      <c r="G1433" t="s">
        <v>115</v>
      </c>
      <c r="H1433" t="s">
        <v>41</v>
      </c>
      <c r="I1433">
        <v>24240</v>
      </c>
      <c r="J1433">
        <v>30136</v>
      </c>
    </row>
    <row r="1434" spans="1:10" x14ac:dyDescent="0.3">
      <c r="A1434" t="s">
        <v>1561</v>
      </c>
      <c r="B1434" s="1">
        <v>45951</v>
      </c>
      <c r="C1434" t="s">
        <v>66</v>
      </c>
      <c r="D1434">
        <v>43</v>
      </c>
      <c r="E1434" t="s">
        <v>39</v>
      </c>
      <c r="F1434" t="s">
        <v>87</v>
      </c>
      <c r="G1434" t="s">
        <v>182</v>
      </c>
      <c r="H1434" t="s">
        <v>98</v>
      </c>
      <c r="I1434">
        <v>17257</v>
      </c>
      <c r="J1434">
        <v>13966</v>
      </c>
    </row>
    <row r="1435" spans="1:10" x14ac:dyDescent="0.3">
      <c r="A1435" t="s">
        <v>1562</v>
      </c>
      <c r="B1435" s="1">
        <v>45971</v>
      </c>
      <c r="C1435" t="s">
        <v>23</v>
      </c>
      <c r="D1435">
        <v>46</v>
      </c>
      <c r="E1435" t="s">
        <v>24</v>
      </c>
      <c r="F1435" t="s">
        <v>109</v>
      </c>
      <c r="G1435" t="s">
        <v>324</v>
      </c>
      <c r="H1435" t="s">
        <v>41</v>
      </c>
      <c r="I1435">
        <v>16287</v>
      </c>
      <c r="J1435">
        <v>13811</v>
      </c>
    </row>
    <row r="1436" spans="1:10" x14ac:dyDescent="0.3">
      <c r="A1436" t="s">
        <v>1563</v>
      </c>
      <c r="B1436" s="1">
        <v>45671</v>
      </c>
      <c r="C1436" t="s">
        <v>17</v>
      </c>
      <c r="D1436">
        <v>3</v>
      </c>
      <c r="E1436" t="s">
        <v>33</v>
      </c>
      <c r="F1436" t="s">
        <v>193</v>
      </c>
      <c r="G1436" t="s">
        <v>147</v>
      </c>
      <c r="H1436" t="s">
        <v>64</v>
      </c>
      <c r="I1436">
        <v>26708</v>
      </c>
      <c r="J1436">
        <v>22239</v>
      </c>
    </row>
    <row r="1437" spans="1:10" x14ac:dyDescent="0.3">
      <c r="A1437" t="s">
        <v>1564</v>
      </c>
      <c r="B1437" s="1">
        <v>45670</v>
      </c>
      <c r="C1437" t="s">
        <v>17</v>
      </c>
      <c r="D1437">
        <v>3</v>
      </c>
      <c r="E1437" t="s">
        <v>24</v>
      </c>
      <c r="F1437" t="s">
        <v>62</v>
      </c>
      <c r="G1437" t="s">
        <v>141</v>
      </c>
      <c r="H1437" t="s">
        <v>119</v>
      </c>
      <c r="I1437">
        <v>18518</v>
      </c>
      <c r="J1437">
        <v>21687</v>
      </c>
    </row>
    <row r="1438" spans="1:10" x14ac:dyDescent="0.3">
      <c r="A1438" t="s">
        <v>1565</v>
      </c>
      <c r="B1438" s="1">
        <v>45867</v>
      </c>
      <c r="C1438" t="s">
        <v>11</v>
      </c>
      <c r="D1438">
        <v>31</v>
      </c>
      <c r="E1438" t="s">
        <v>24</v>
      </c>
      <c r="F1438" t="s">
        <v>34</v>
      </c>
      <c r="G1438" t="s">
        <v>130</v>
      </c>
      <c r="H1438" t="s">
        <v>41</v>
      </c>
      <c r="I1438">
        <v>39621</v>
      </c>
      <c r="J1438">
        <v>35664</v>
      </c>
    </row>
    <row r="1439" spans="1:10" x14ac:dyDescent="0.3">
      <c r="A1439" t="s">
        <v>1566</v>
      </c>
      <c r="B1439" s="1">
        <v>45907</v>
      </c>
      <c r="C1439" t="s">
        <v>38</v>
      </c>
      <c r="D1439">
        <v>36</v>
      </c>
      <c r="E1439" t="s">
        <v>33</v>
      </c>
      <c r="F1439" t="s">
        <v>34</v>
      </c>
      <c r="G1439" t="s">
        <v>149</v>
      </c>
      <c r="H1439" t="s">
        <v>119</v>
      </c>
      <c r="I1439">
        <v>23000</v>
      </c>
      <c r="J1439">
        <v>16387</v>
      </c>
    </row>
    <row r="1440" spans="1:10" x14ac:dyDescent="0.3">
      <c r="A1440" t="s">
        <v>1567</v>
      </c>
      <c r="B1440" s="1">
        <v>45826</v>
      </c>
      <c r="C1440" t="s">
        <v>74</v>
      </c>
      <c r="D1440">
        <v>25</v>
      </c>
      <c r="E1440" t="s">
        <v>18</v>
      </c>
      <c r="F1440" t="s">
        <v>109</v>
      </c>
      <c r="G1440" t="s">
        <v>83</v>
      </c>
      <c r="H1440" t="s">
        <v>98</v>
      </c>
      <c r="I1440">
        <v>25197</v>
      </c>
      <c r="J1440">
        <v>29922</v>
      </c>
    </row>
    <row r="1441" spans="1:10" x14ac:dyDescent="0.3">
      <c r="A1441" t="s">
        <v>1568</v>
      </c>
      <c r="B1441" s="1">
        <v>45820</v>
      </c>
      <c r="C1441" t="s">
        <v>74</v>
      </c>
      <c r="D1441">
        <v>24</v>
      </c>
      <c r="E1441" t="s">
        <v>24</v>
      </c>
      <c r="F1441" t="s">
        <v>29</v>
      </c>
      <c r="G1441" t="s">
        <v>182</v>
      </c>
      <c r="H1441" t="s">
        <v>211</v>
      </c>
      <c r="I1441">
        <v>17476</v>
      </c>
      <c r="J1441">
        <v>19757</v>
      </c>
    </row>
    <row r="1442" spans="1:10" x14ac:dyDescent="0.3">
      <c r="A1442" t="s">
        <v>1569</v>
      </c>
      <c r="B1442" s="1">
        <v>45684</v>
      </c>
      <c r="C1442" t="s">
        <v>17</v>
      </c>
      <c r="D1442">
        <v>5</v>
      </c>
      <c r="E1442" t="s">
        <v>12</v>
      </c>
      <c r="F1442" t="s">
        <v>75</v>
      </c>
      <c r="G1442" t="s">
        <v>199</v>
      </c>
      <c r="H1442" t="s">
        <v>55</v>
      </c>
      <c r="I1442">
        <v>28511</v>
      </c>
      <c r="J1442">
        <v>29701</v>
      </c>
    </row>
    <row r="1443" spans="1:10" x14ac:dyDescent="0.3">
      <c r="A1443" t="s">
        <v>1570</v>
      </c>
      <c r="B1443" s="1">
        <v>45910</v>
      </c>
      <c r="C1443" t="s">
        <v>38</v>
      </c>
      <c r="D1443">
        <v>37</v>
      </c>
      <c r="E1443" t="s">
        <v>33</v>
      </c>
      <c r="F1443" t="s">
        <v>87</v>
      </c>
      <c r="G1443" t="s">
        <v>191</v>
      </c>
      <c r="H1443" t="s">
        <v>59</v>
      </c>
      <c r="I1443">
        <v>23072</v>
      </c>
      <c r="J1443">
        <v>22193</v>
      </c>
    </row>
    <row r="1444" spans="1:10" x14ac:dyDescent="0.3">
      <c r="A1444" t="s">
        <v>1571</v>
      </c>
      <c r="B1444" s="1">
        <v>45749</v>
      </c>
      <c r="C1444" t="s">
        <v>86</v>
      </c>
      <c r="D1444">
        <v>14</v>
      </c>
      <c r="E1444" t="s">
        <v>12</v>
      </c>
      <c r="F1444" t="s">
        <v>140</v>
      </c>
      <c r="G1444" t="s">
        <v>110</v>
      </c>
      <c r="H1444" t="s">
        <v>96</v>
      </c>
      <c r="I1444">
        <v>20726</v>
      </c>
      <c r="J1444">
        <v>18366</v>
      </c>
    </row>
    <row r="1445" spans="1:10" x14ac:dyDescent="0.3">
      <c r="A1445" t="s">
        <v>1572</v>
      </c>
      <c r="B1445" s="1">
        <v>45957</v>
      </c>
      <c r="C1445" t="s">
        <v>66</v>
      </c>
      <c r="D1445">
        <v>44</v>
      </c>
      <c r="E1445" t="s">
        <v>12</v>
      </c>
      <c r="F1445" t="s">
        <v>122</v>
      </c>
      <c r="G1445" t="s">
        <v>93</v>
      </c>
      <c r="H1445" t="s">
        <v>188</v>
      </c>
      <c r="I1445">
        <v>22304</v>
      </c>
      <c r="J1445">
        <v>27411</v>
      </c>
    </row>
    <row r="1446" spans="1:10" x14ac:dyDescent="0.3">
      <c r="A1446" t="s">
        <v>1573</v>
      </c>
      <c r="B1446" s="1">
        <v>45766</v>
      </c>
      <c r="C1446" t="s">
        <v>86</v>
      </c>
      <c r="D1446">
        <v>16</v>
      </c>
      <c r="E1446" t="s">
        <v>24</v>
      </c>
      <c r="F1446" t="s">
        <v>13</v>
      </c>
      <c r="G1446" t="s">
        <v>110</v>
      </c>
      <c r="H1446" t="s">
        <v>36</v>
      </c>
      <c r="I1446">
        <v>15397</v>
      </c>
      <c r="J1446">
        <v>18637</v>
      </c>
    </row>
    <row r="1447" spans="1:10" x14ac:dyDescent="0.3">
      <c r="A1447" t="s">
        <v>1574</v>
      </c>
      <c r="B1447" s="1">
        <v>45897</v>
      </c>
      <c r="C1447" t="s">
        <v>113</v>
      </c>
      <c r="D1447">
        <v>35</v>
      </c>
      <c r="E1447" t="s">
        <v>39</v>
      </c>
      <c r="F1447" t="s">
        <v>122</v>
      </c>
      <c r="G1447" t="s">
        <v>234</v>
      </c>
      <c r="H1447" t="s">
        <v>64</v>
      </c>
      <c r="I1447">
        <v>34136</v>
      </c>
      <c r="J1447">
        <v>37391</v>
      </c>
    </row>
    <row r="1448" spans="1:10" x14ac:dyDescent="0.3">
      <c r="A1448" t="s">
        <v>1575</v>
      </c>
      <c r="B1448" s="1">
        <v>45843</v>
      </c>
      <c r="C1448" t="s">
        <v>11</v>
      </c>
      <c r="D1448">
        <v>27</v>
      </c>
      <c r="E1448" t="s">
        <v>18</v>
      </c>
      <c r="F1448" t="s">
        <v>25</v>
      </c>
      <c r="G1448" t="s">
        <v>102</v>
      </c>
      <c r="H1448" t="s">
        <v>27</v>
      </c>
      <c r="I1448">
        <v>27789</v>
      </c>
      <c r="J1448">
        <v>25178</v>
      </c>
    </row>
    <row r="1449" spans="1:10" x14ac:dyDescent="0.3">
      <c r="A1449" t="s">
        <v>1576</v>
      </c>
      <c r="B1449" s="1">
        <v>45982</v>
      </c>
      <c r="C1449" t="s">
        <v>23</v>
      </c>
      <c r="D1449">
        <v>47</v>
      </c>
      <c r="E1449" t="s">
        <v>12</v>
      </c>
      <c r="F1449" t="s">
        <v>62</v>
      </c>
      <c r="G1449" t="s">
        <v>132</v>
      </c>
      <c r="H1449" t="s">
        <v>59</v>
      </c>
      <c r="I1449">
        <v>22662</v>
      </c>
      <c r="J1449">
        <v>17552</v>
      </c>
    </row>
    <row r="1450" spans="1:10" x14ac:dyDescent="0.3">
      <c r="A1450" t="s">
        <v>1577</v>
      </c>
      <c r="B1450" s="1">
        <v>45859</v>
      </c>
      <c r="C1450" t="s">
        <v>11</v>
      </c>
      <c r="D1450">
        <v>30</v>
      </c>
      <c r="E1450" t="s">
        <v>12</v>
      </c>
      <c r="F1450" t="s">
        <v>46</v>
      </c>
      <c r="G1450" t="s">
        <v>79</v>
      </c>
      <c r="H1450" t="s">
        <v>119</v>
      </c>
      <c r="I1450">
        <v>28023</v>
      </c>
      <c r="J1450">
        <v>29756</v>
      </c>
    </row>
    <row r="1451" spans="1:10" x14ac:dyDescent="0.3">
      <c r="A1451" t="s">
        <v>1578</v>
      </c>
      <c r="B1451" s="1">
        <v>45708</v>
      </c>
      <c r="C1451" t="s">
        <v>82</v>
      </c>
      <c r="D1451">
        <v>8</v>
      </c>
      <c r="E1451" t="s">
        <v>24</v>
      </c>
      <c r="F1451" t="s">
        <v>25</v>
      </c>
      <c r="G1451" t="s">
        <v>30</v>
      </c>
      <c r="H1451" t="s">
        <v>41</v>
      </c>
      <c r="I1451">
        <v>19464</v>
      </c>
      <c r="J1451">
        <v>15294</v>
      </c>
    </row>
    <row r="1452" spans="1:10" x14ac:dyDescent="0.3">
      <c r="A1452" t="s">
        <v>1579</v>
      </c>
      <c r="B1452" s="1">
        <v>45794</v>
      </c>
      <c r="C1452" t="s">
        <v>90</v>
      </c>
      <c r="D1452">
        <v>20</v>
      </c>
      <c r="E1452" t="s">
        <v>39</v>
      </c>
      <c r="F1452" t="s">
        <v>109</v>
      </c>
      <c r="G1452" t="s">
        <v>130</v>
      </c>
      <c r="H1452" t="s">
        <v>163</v>
      </c>
      <c r="I1452">
        <v>21341</v>
      </c>
      <c r="J1452">
        <v>20673</v>
      </c>
    </row>
    <row r="1453" spans="1:10" x14ac:dyDescent="0.3">
      <c r="A1453" t="s">
        <v>1580</v>
      </c>
      <c r="B1453" s="1">
        <v>45864</v>
      </c>
      <c r="C1453" t="s">
        <v>11</v>
      </c>
      <c r="D1453">
        <v>30</v>
      </c>
      <c r="E1453" t="s">
        <v>24</v>
      </c>
      <c r="F1453" t="s">
        <v>114</v>
      </c>
      <c r="G1453" t="s">
        <v>234</v>
      </c>
      <c r="H1453" t="s">
        <v>27</v>
      </c>
      <c r="I1453">
        <v>28484</v>
      </c>
      <c r="J1453">
        <v>29759</v>
      </c>
    </row>
    <row r="1454" spans="1:10" x14ac:dyDescent="0.3">
      <c r="A1454" t="s">
        <v>1581</v>
      </c>
      <c r="B1454" s="1">
        <v>45965</v>
      </c>
      <c r="C1454" t="s">
        <v>23</v>
      </c>
      <c r="D1454">
        <v>45</v>
      </c>
      <c r="E1454" t="s">
        <v>61</v>
      </c>
      <c r="F1454" t="s">
        <v>13</v>
      </c>
      <c r="G1454" t="s">
        <v>266</v>
      </c>
      <c r="H1454" t="s">
        <v>98</v>
      </c>
      <c r="I1454">
        <v>23957</v>
      </c>
      <c r="J1454">
        <v>23809</v>
      </c>
    </row>
    <row r="1455" spans="1:10" x14ac:dyDescent="0.3">
      <c r="A1455" t="s">
        <v>1582</v>
      </c>
      <c r="B1455" s="1">
        <v>45984</v>
      </c>
      <c r="C1455" t="s">
        <v>23</v>
      </c>
      <c r="D1455">
        <v>47</v>
      </c>
      <c r="E1455" t="s">
        <v>12</v>
      </c>
      <c r="F1455" t="s">
        <v>34</v>
      </c>
      <c r="G1455" t="s">
        <v>126</v>
      </c>
      <c r="H1455" t="s">
        <v>157</v>
      </c>
      <c r="I1455">
        <v>36410</v>
      </c>
      <c r="J1455">
        <v>35033</v>
      </c>
    </row>
    <row r="1456" spans="1:10" x14ac:dyDescent="0.3">
      <c r="A1456" t="s">
        <v>1583</v>
      </c>
      <c r="B1456" s="1">
        <v>45845</v>
      </c>
      <c r="C1456" t="s">
        <v>11</v>
      </c>
      <c r="D1456">
        <v>28</v>
      </c>
      <c r="E1456" t="s">
        <v>33</v>
      </c>
      <c r="F1456" t="s">
        <v>50</v>
      </c>
      <c r="G1456" t="s">
        <v>240</v>
      </c>
      <c r="H1456" t="s">
        <v>41</v>
      </c>
      <c r="I1456">
        <v>25885</v>
      </c>
      <c r="J1456">
        <v>27743</v>
      </c>
    </row>
    <row r="1457" spans="1:10" x14ac:dyDescent="0.3">
      <c r="A1457" t="s">
        <v>1584</v>
      </c>
      <c r="B1457" s="1">
        <v>45827</v>
      </c>
      <c r="C1457" t="s">
        <v>74</v>
      </c>
      <c r="D1457">
        <v>25</v>
      </c>
      <c r="E1457" t="s">
        <v>39</v>
      </c>
      <c r="F1457" t="s">
        <v>13</v>
      </c>
      <c r="G1457" t="s">
        <v>135</v>
      </c>
      <c r="H1457" t="s">
        <v>84</v>
      </c>
      <c r="I1457">
        <v>16435</v>
      </c>
      <c r="J1457">
        <v>12226</v>
      </c>
    </row>
    <row r="1458" spans="1:10" x14ac:dyDescent="0.3">
      <c r="A1458" t="s">
        <v>1585</v>
      </c>
      <c r="B1458" s="1">
        <v>45937</v>
      </c>
      <c r="C1458" t="s">
        <v>66</v>
      </c>
      <c r="D1458">
        <v>41</v>
      </c>
      <c r="E1458" t="s">
        <v>24</v>
      </c>
      <c r="F1458" t="s">
        <v>193</v>
      </c>
      <c r="G1458" t="s">
        <v>126</v>
      </c>
      <c r="H1458" t="s">
        <v>188</v>
      </c>
      <c r="I1458">
        <v>35622</v>
      </c>
      <c r="J1458">
        <v>28847</v>
      </c>
    </row>
    <row r="1459" spans="1:10" x14ac:dyDescent="0.3">
      <c r="A1459" t="s">
        <v>1586</v>
      </c>
      <c r="B1459" s="1">
        <v>45900</v>
      </c>
      <c r="C1459" t="s">
        <v>113</v>
      </c>
      <c r="D1459">
        <v>35</v>
      </c>
      <c r="E1459" t="s">
        <v>39</v>
      </c>
      <c r="F1459" t="s">
        <v>34</v>
      </c>
      <c r="G1459" t="s">
        <v>199</v>
      </c>
      <c r="H1459" t="s">
        <v>80</v>
      </c>
      <c r="I1459">
        <v>22244</v>
      </c>
      <c r="J1459">
        <v>16008</v>
      </c>
    </row>
    <row r="1460" spans="1:10" x14ac:dyDescent="0.3">
      <c r="A1460" t="s">
        <v>1587</v>
      </c>
      <c r="B1460" s="1">
        <v>45938</v>
      </c>
      <c r="C1460" t="s">
        <v>66</v>
      </c>
      <c r="D1460">
        <v>41</v>
      </c>
      <c r="E1460" t="s">
        <v>70</v>
      </c>
      <c r="F1460" t="s">
        <v>114</v>
      </c>
      <c r="G1460" t="s">
        <v>51</v>
      </c>
      <c r="H1460" t="s">
        <v>163</v>
      </c>
      <c r="I1460">
        <v>31976</v>
      </c>
      <c r="J1460">
        <v>23618</v>
      </c>
    </row>
    <row r="1461" spans="1:10" x14ac:dyDescent="0.3">
      <c r="A1461" t="s">
        <v>1588</v>
      </c>
      <c r="B1461" s="1">
        <v>45963</v>
      </c>
      <c r="C1461" t="s">
        <v>23</v>
      </c>
      <c r="D1461">
        <v>44</v>
      </c>
      <c r="E1461" t="s">
        <v>39</v>
      </c>
      <c r="F1461" t="s">
        <v>13</v>
      </c>
      <c r="G1461" t="s">
        <v>58</v>
      </c>
      <c r="H1461" t="s">
        <v>36</v>
      </c>
      <c r="I1461">
        <v>15081</v>
      </c>
      <c r="J1461">
        <v>13268</v>
      </c>
    </row>
    <row r="1462" spans="1:10" x14ac:dyDescent="0.3">
      <c r="A1462" t="s">
        <v>1589</v>
      </c>
      <c r="B1462" s="1">
        <v>45667</v>
      </c>
      <c r="C1462" t="s">
        <v>17</v>
      </c>
      <c r="D1462">
        <v>2</v>
      </c>
      <c r="E1462" t="s">
        <v>33</v>
      </c>
      <c r="F1462" t="s">
        <v>75</v>
      </c>
      <c r="G1462" t="s">
        <v>63</v>
      </c>
      <c r="H1462" t="s">
        <v>48</v>
      </c>
      <c r="I1462">
        <v>27917</v>
      </c>
      <c r="J1462">
        <v>29746</v>
      </c>
    </row>
    <row r="1463" spans="1:10" x14ac:dyDescent="0.3">
      <c r="A1463" t="s">
        <v>1590</v>
      </c>
      <c r="B1463" s="1">
        <v>45697</v>
      </c>
      <c r="C1463" t="s">
        <v>82</v>
      </c>
      <c r="D1463">
        <v>6</v>
      </c>
      <c r="E1463" t="s">
        <v>70</v>
      </c>
      <c r="F1463" t="s">
        <v>62</v>
      </c>
      <c r="G1463" t="s">
        <v>199</v>
      </c>
      <c r="H1463" t="s">
        <v>96</v>
      </c>
      <c r="I1463">
        <v>25319</v>
      </c>
      <c r="J1463">
        <v>18742</v>
      </c>
    </row>
    <row r="1464" spans="1:10" x14ac:dyDescent="0.3">
      <c r="A1464" t="s">
        <v>1591</v>
      </c>
      <c r="B1464" s="1">
        <v>45867</v>
      </c>
      <c r="C1464" t="s">
        <v>11</v>
      </c>
      <c r="D1464">
        <v>31</v>
      </c>
      <c r="E1464" t="s">
        <v>61</v>
      </c>
      <c r="F1464" t="s">
        <v>101</v>
      </c>
      <c r="G1464" t="s">
        <v>137</v>
      </c>
      <c r="H1464" t="s">
        <v>31</v>
      </c>
      <c r="I1464">
        <v>15908</v>
      </c>
      <c r="J1464">
        <v>17048</v>
      </c>
    </row>
    <row r="1465" spans="1:10" x14ac:dyDescent="0.3">
      <c r="A1465" t="s">
        <v>1592</v>
      </c>
      <c r="B1465" s="1">
        <v>45974</v>
      </c>
      <c r="C1465" t="s">
        <v>23</v>
      </c>
      <c r="D1465">
        <v>46</v>
      </c>
      <c r="E1465" t="s">
        <v>33</v>
      </c>
      <c r="F1465" t="s">
        <v>13</v>
      </c>
      <c r="G1465" t="s">
        <v>72</v>
      </c>
      <c r="H1465" t="s">
        <v>155</v>
      </c>
      <c r="I1465">
        <v>22205</v>
      </c>
      <c r="J1465">
        <v>28018</v>
      </c>
    </row>
    <row r="1466" spans="1:10" x14ac:dyDescent="0.3">
      <c r="A1466" t="s">
        <v>1593</v>
      </c>
      <c r="B1466" s="1">
        <v>45819</v>
      </c>
      <c r="C1466" t="s">
        <v>74</v>
      </c>
      <c r="D1466">
        <v>24</v>
      </c>
      <c r="E1466" t="s">
        <v>61</v>
      </c>
      <c r="F1466" t="s">
        <v>13</v>
      </c>
      <c r="G1466" t="s">
        <v>291</v>
      </c>
      <c r="H1466" t="s">
        <v>21</v>
      </c>
      <c r="I1466">
        <v>27804</v>
      </c>
      <c r="J1466">
        <v>21900</v>
      </c>
    </row>
    <row r="1467" spans="1:10" x14ac:dyDescent="0.3">
      <c r="A1467" t="s">
        <v>1594</v>
      </c>
      <c r="B1467" s="1">
        <v>45779</v>
      </c>
      <c r="C1467" t="s">
        <v>90</v>
      </c>
      <c r="D1467">
        <v>18</v>
      </c>
      <c r="E1467" t="s">
        <v>24</v>
      </c>
      <c r="F1467" t="s">
        <v>25</v>
      </c>
      <c r="G1467" t="s">
        <v>63</v>
      </c>
      <c r="H1467" t="s">
        <v>80</v>
      </c>
      <c r="I1467">
        <v>34303</v>
      </c>
      <c r="J1467">
        <v>26168</v>
      </c>
    </row>
    <row r="1468" spans="1:10" x14ac:dyDescent="0.3">
      <c r="A1468" t="s">
        <v>1595</v>
      </c>
      <c r="B1468" s="1">
        <v>45683</v>
      </c>
      <c r="C1468" t="s">
        <v>17</v>
      </c>
      <c r="D1468">
        <v>4</v>
      </c>
      <c r="E1468" t="s">
        <v>12</v>
      </c>
      <c r="F1468" t="s">
        <v>101</v>
      </c>
      <c r="G1468" t="s">
        <v>137</v>
      </c>
      <c r="H1468" t="s">
        <v>52</v>
      </c>
      <c r="I1468">
        <v>38270</v>
      </c>
      <c r="J1468">
        <v>35721</v>
      </c>
    </row>
    <row r="1469" spans="1:10" x14ac:dyDescent="0.3">
      <c r="A1469" t="s">
        <v>1596</v>
      </c>
      <c r="B1469" s="1">
        <v>45682</v>
      </c>
      <c r="C1469" t="s">
        <v>17</v>
      </c>
      <c r="D1469">
        <v>4</v>
      </c>
      <c r="E1469" t="s">
        <v>61</v>
      </c>
      <c r="F1469" t="s">
        <v>114</v>
      </c>
      <c r="G1469" t="s">
        <v>20</v>
      </c>
      <c r="H1469" t="s">
        <v>163</v>
      </c>
      <c r="I1469">
        <v>15483</v>
      </c>
      <c r="J1469">
        <v>17134</v>
      </c>
    </row>
    <row r="1470" spans="1:10" x14ac:dyDescent="0.3">
      <c r="A1470" t="s">
        <v>1597</v>
      </c>
      <c r="B1470" s="1">
        <v>45910</v>
      </c>
      <c r="C1470" t="s">
        <v>38</v>
      </c>
      <c r="D1470">
        <v>37</v>
      </c>
      <c r="E1470" t="s">
        <v>18</v>
      </c>
      <c r="F1470" t="s">
        <v>109</v>
      </c>
      <c r="G1470" t="s">
        <v>135</v>
      </c>
      <c r="H1470" t="s">
        <v>116</v>
      </c>
      <c r="I1470">
        <v>27700</v>
      </c>
      <c r="J1470">
        <v>24695</v>
      </c>
    </row>
    <row r="1471" spans="1:10" x14ac:dyDescent="0.3">
      <c r="A1471" t="s">
        <v>1598</v>
      </c>
      <c r="B1471" s="1">
        <v>45974</v>
      </c>
      <c r="C1471" t="s">
        <v>23</v>
      </c>
      <c r="D1471">
        <v>46</v>
      </c>
      <c r="E1471" t="s">
        <v>33</v>
      </c>
      <c r="F1471" t="s">
        <v>140</v>
      </c>
      <c r="G1471" t="s">
        <v>145</v>
      </c>
      <c r="H1471" t="s">
        <v>41</v>
      </c>
      <c r="I1471">
        <v>15922</v>
      </c>
      <c r="J1471">
        <v>17889</v>
      </c>
    </row>
    <row r="1472" spans="1:10" x14ac:dyDescent="0.3">
      <c r="A1472" t="s">
        <v>1599</v>
      </c>
      <c r="B1472" s="1">
        <v>45704</v>
      </c>
      <c r="C1472" t="s">
        <v>82</v>
      </c>
      <c r="D1472">
        <v>7</v>
      </c>
      <c r="E1472" t="s">
        <v>24</v>
      </c>
      <c r="F1472" t="s">
        <v>87</v>
      </c>
      <c r="G1472" t="s">
        <v>324</v>
      </c>
      <c r="H1472" t="s">
        <v>41</v>
      </c>
      <c r="I1472">
        <v>19380</v>
      </c>
      <c r="J1472">
        <v>15814</v>
      </c>
    </row>
    <row r="1473" spans="1:10" x14ac:dyDescent="0.3">
      <c r="A1473" t="s">
        <v>1600</v>
      </c>
      <c r="B1473" s="1">
        <v>45862</v>
      </c>
      <c r="C1473" t="s">
        <v>11</v>
      </c>
      <c r="D1473">
        <v>30</v>
      </c>
      <c r="E1473" t="s">
        <v>39</v>
      </c>
      <c r="F1473" t="s">
        <v>25</v>
      </c>
      <c r="G1473" t="s">
        <v>147</v>
      </c>
      <c r="H1473" t="s">
        <v>111</v>
      </c>
      <c r="I1473">
        <v>25246</v>
      </c>
      <c r="J1473">
        <v>19191</v>
      </c>
    </row>
    <row r="1474" spans="1:10" x14ac:dyDescent="0.3">
      <c r="A1474" t="s">
        <v>1601</v>
      </c>
      <c r="B1474" s="1">
        <v>45792</v>
      </c>
      <c r="C1474" t="s">
        <v>90</v>
      </c>
      <c r="D1474">
        <v>20</v>
      </c>
      <c r="E1474" t="s">
        <v>33</v>
      </c>
      <c r="F1474" t="s">
        <v>57</v>
      </c>
      <c r="G1474" t="s">
        <v>141</v>
      </c>
      <c r="H1474" t="s">
        <v>165</v>
      </c>
      <c r="I1474">
        <v>26358</v>
      </c>
      <c r="J1474">
        <v>25327</v>
      </c>
    </row>
    <row r="1475" spans="1:10" x14ac:dyDescent="0.3">
      <c r="A1475" t="s">
        <v>1602</v>
      </c>
      <c r="B1475" s="1">
        <v>45703</v>
      </c>
      <c r="C1475" t="s">
        <v>82</v>
      </c>
      <c r="D1475">
        <v>7</v>
      </c>
      <c r="E1475" t="s">
        <v>18</v>
      </c>
      <c r="F1475" t="s">
        <v>78</v>
      </c>
      <c r="G1475" t="s">
        <v>88</v>
      </c>
      <c r="H1475" t="s">
        <v>163</v>
      </c>
      <c r="I1475">
        <v>19773</v>
      </c>
      <c r="J1475">
        <v>20865</v>
      </c>
    </row>
    <row r="1476" spans="1:10" x14ac:dyDescent="0.3">
      <c r="A1476" t="s">
        <v>1603</v>
      </c>
      <c r="B1476" s="1">
        <v>45721</v>
      </c>
      <c r="C1476" t="s">
        <v>95</v>
      </c>
      <c r="D1476">
        <v>10</v>
      </c>
      <c r="E1476" t="s">
        <v>24</v>
      </c>
      <c r="F1476" t="s">
        <v>140</v>
      </c>
      <c r="G1476" t="s">
        <v>118</v>
      </c>
      <c r="H1476" t="s">
        <v>80</v>
      </c>
      <c r="I1476">
        <v>34825</v>
      </c>
      <c r="J1476">
        <v>24735</v>
      </c>
    </row>
    <row r="1477" spans="1:10" x14ac:dyDescent="0.3">
      <c r="A1477" t="s">
        <v>1604</v>
      </c>
      <c r="B1477" s="1">
        <v>45843</v>
      </c>
      <c r="C1477" t="s">
        <v>11</v>
      </c>
      <c r="D1477">
        <v>27</v>
      </c>
      <c r="E1477" t="s">
        <v>33</v>
      </c>
      <c r="F1477" t="s">
        <v>87</v>
      </c>
      <c r="G1477" t="s">
        <v>20</v>
      </c>
      <c r="H1477" t="s">
        <v>84</v>
      </c>
      <c r="I1477">
        <v>19179</v>
      </c>
      <c r="J1477">
        <v>24448</v>
      </c>
    </row>
    <row r="1478" spans="1:10" x14ac:dyDescent="0.3">
      <c r="A1478" t="s">
        <v>1605</v>
      </c>
      <c r="B1478" s="1">
        <v>45884</v>
      </c>
      <c r="C1478" t="s">
        <v>113</v>
      </c>
      <c r="D1478">
        <v>33</v>
      </c>
      <c r="E1478" t="s">
        <v>24</v>
      </c>
      <c r="F1478" t="s">
        <v>193</v>
      </c>
      <c r="G1478" t="s">
        <v>26</v>
      </c>
      <c r="H1478" t="s">
        <v>48</v>
      </c>
      <c r="I1478">
        <v>22276</v>
      </c>
      <c r="J1478">
        <v>16676</v>
      </c>
    </row>
    <row r="1479" spans="1:10" x14ac:dyDescent="0.3">
      <c r="A1479" t="s">
        <v>1606</v>
      </c>
      <c r="B1479" s="1">
        <v>45748</v>
      </c>
      <c r="C1479" t="s">
        <v>86</v>
      </c>
      <c r="D1479">
        <v>14</v>
      </c>
      <c r="E1479" t="s">
        <v>33</v>
      </c>
      <c r="F1479" t="s">
        <v>87</v>
      </c>
      <c r="G1479" t="s">
        <v>118</v>
      </c>
      <c r="H1479" t="s">
        <v>188</v>
      </c>
      <c r="I1479">
        <v>20446</v>
      </c>
      <c r="J1479">
        <v>16050</v>
      </c>
    </row>
    <row r="1480" spans="1:10" x14ac:dyDescent="0.3">
      <c r="A1480" t="s">
        <v>1607</v>
      </c>
      <c r="B1480" s="1">
        <v>45799</v>
      </c>
      <c r="C1480" t="s">
        <v>90</v>
      </c>
      <c r="D1480">
        <v>21</v>
      </c>
      <c r="E1480" t="s">
        <v>33</v>
      </c>
      <c r="F1480" t="s">
        <v>122</v>
      </c>
      <c r="G1480" t="s">
        <v>54</v>
      </c>
      <c r="H1480" t="s">
        <v>41</v>
      </c>
      <c r="I1480">
        <v>19524</v>
      </c>
      <c r="J1480">
        <v>14378</v>
      </c>
    </row>
    <row r="1481" spans="1:10" x14ac:dyDescent="0.3">
      <c r="A1481" t="s">
        <v>1608</v>
      </c>
      <c r="B1481" s="1">
        <v>45697</v>
      </c>
      <c r="C1481" t="s">
        <v>82</v>
      </c>
      <c r="D1481">
        <v>6</v>
      </c>
      <c r="E1481" t="s">
        <v>18</v>
      </c>
      <c r="F1481" t="s">
        <v>75</v>
      </c>
      <c r="G1481" t="s">
        <v>182</v>
      </c>
      <c r="H1481" t="s">
        <v>111</v>
      </c>
      <c r="I1481">
        <v>17823</v>
      </c>
      <c r="J1481">
        <v>15755</v>
      </c>
    </row>
    <row r="1482" spans="1:10" x14ac:dyDescent="0.3">
      <c r="A1482" t="s">
        <v>1609</v>
      </c>
      <c r="B1482" s="1">
        <v>45913</v>
      </c>
      <c r="C1482" t="s">
        <v>38</v>
      </c>
      <c r="D1482">
        <v>37</v>
      </c>
      <c r="E1482" t="s">
        <v>70</v>
      </c>
      <c r="F1482" t="s">
        <v>87</v>
      </c>
      <c r="G1482" t="s">
        <v>171</v>
      </c>
      <c r="H1482" t="s">
        <v>157</v>
      </c>
      <c r="I1482">
        <v>22322</v>
      </c>
      <c r="J1482">
        <v>24076</v>
      </c>
    </row>
    <row r="1483" spans="1:10" x14ac:dyDescent="0.3">
      <c r="A1483" t="s">
        <v>1610</v>
      </c>
      <c r="B1483" s="1">
        <v>45675</v>
      </c>
      <c r="C1483" t="s">
        <v>17</v>
      </c>
      <c r="D1483">
        <v>3</v>
      </c>
      <c r="E1483" t="s">
        <v>61</v>
      </c>
      <c r="F1483" t="s">
        <v>50</v>
      </c>
      <c r="G1483" t="s">
        <v>240</v>
      </c>
      <c r="H1483" t="s">
        <v>80</v>
      </c>
      <c r="I1483">
        <v>30621</v>
      </c>
      <c r="J1483">
        <v>24598</v>
      </c>
    </row>
    <row r="1484" spans="1:10" x14ac:dyDescent="0.3">
      <c r="A1484" t="s">
        <v>1611</v>
      </c>
      <c r="B1484" s="1">
        <v>45919</v>
      </c>
      <c r="C1484" t="s">
        <v>38</v>
      </c>
      <c r="D1484">
        <v>38</v>
      </c>
      <c r="E1484" t="s">
        <v>18</v>
      </c>
      <c r="F1484" t="s">
        <v>78</v>
      </c>
      <c r="G1484" t="s">
        <v>58</v>
      </c>
      <c r="H1484" t="s">
        <v>52</v>
      </c>
      <c r="I1484">
        <v>34418</v>
      </c>
      <c r="J1484">
        <v>32130</v>
      </c>
    </row>
    <row r="1485" spans="1:10" x14ac:dyDescent="0.3">
      <c r="A1485" t="s">
        <v>1612</v>
      </c>
      <c r="B1485" s="1">
        <v>45749</v>
      </c>
      <c r="C1485" t="s">
        <v>86</v>
      </c>
      <c r="D1485">
        <v>14</v>
      </c>
      <c r="E1485" t="s">
        <v>70</v>
      </c>
      <c r="F1485" t="s">
        <v>43</v>
      </c>
      <c r="G1485" t="s">
        <v>234</v>
      </c>
      <c r="H1485" t="s">
        <v>116</v>
      </c>
      <c r="I1485">
        <v>23668</v>
      </c>
      <c r="J1485">
        <v>27826</v>
      </c>
    </row>
    <row r="1486" spans="1:10" x14ac:dyDescent="0.3">
      <c r="A1486" t="s">
        <v>1613</v>
      </c>
      <c r="B1486" s="1">
        <v>45764</v>
      </c>
      <c r="C1486" t="s">
        <v>86</v>
      </c>
      <c r="D1486">
        <v>16</v>
      </c>
      <c r="E1486" t="s">
        <v>70</v>
      </c>
      <c r="F1486" t="s">
        <v>140</v>
      </c>
      <c r="G1486" t="s">
        <v>51</v>
      </c>
      <c r="H1486" t="s">
        <v>36</v>
      </c>
      <c r="I1486">
        <v>18217</v>
      </c>
      <c r="J1486">
        <v>12827</v>
      </c>
    </row>
    <row r="1487" spans="1:10" x14ac:dyDescent="0.3">
      <c r="A1487" t="s">
        <v>1614</v>
      </c>
      <c r="B1487" s="1">
        <v>45658</v>
      </c>
      <c r="C1487" t="s">
        <v>17</v>
      </c>
      <c r="D1487">
        <v>1</v>
      </c>
      <c r="E1487" t="s">
        <v>18</v>
      </c>
      <c r="F1487" t="s">
        <v>29</v>
      </c>
      <c r="G1487" t="s">
        <v>30</v>
      </c>
      <c r="H1487" t="s">
        <v>119</v>
      </c>
      <c r="I1487">
        <v>36759</v>
      </c>
      <c r="J1487">
        <v>36531</v>
      </c>
    </row>
    <row r="1488" spans="1:10" x14ac:dyDescent="0.3">
      <c r="A1488" t="s">
        <v>1615</v>
      </c>
      <c r="B1488" s="1">
        <v>45781</v>
      </c>
      <c r="C1488" t="s">
        <v>90</v>
      </c>
      <c r="D1488">
        <v>18</v>
      </c>
      <c r="E1488" t="s">
        <v>61</v>
      </c>
      <c r="F1488" t="s">
        <v>122</v>
      </c>
      <c r="G1488" t="s">
        <v>58</v>
      </c>
      <c r="H1488" t="s">
        <v>111</v>
      </c>
      <c r="I1488">
        <v>25982</v>
      </c>
      <c r="J1488">
        <v>28611</v>
      </c>
    </row>
    <row r="1489" spans="1:10" x14ac:dyDescent="0.3">
      <c r="A1489" t="s">
        <v>1616</v>
      </c>
      <c r="B1489" s="1">
        <v>45739</v>
      </c>
      <c r="C1489" t="s">
        <v>95</v>
      </c>
      <c r="D1489">
        <v>12</v>
      </c>
      <c r="E1489" t="s">
        <v>33</v>
      </c>
      <c r="F1489" t="s">
        <v>34</v>
      </c>
      <c r="G1489" t="s">
        <v>201</v>
      </c>
      <c r="H1489" t="s">
        <v>103</v>
      </c>
      <c r="I1489">
        <v>39909</v>
      </c>
      <c r="J1489">
        <v>28950</v>
      </c>
    </row>
    <row r="1490" spans="1:10" x14ac:dyDescent="0.3">
      <c r="A1490" t="s">
        <v>1617</v>
      </c>
      <c r="B1490" s="1">
        <v>45745</v>
      </c>
      <c r="C1490" t="s">
        <v>95</v>
      </c>
      <c r="D1490">
        <v>13</v>
      </c>
      <c r="E1490" t="s">
        <v>61</v>
      </c>
      <c r="F1490" t="s">
        <v>75</v>
      </c>
      <c r="G1490" t="s">
        <v>76</v>
      </c>
      <c r="H1490" t="s">
        <v>243</v>
      </c>
      <c r="I1490">
        <v>27212</v>
      </c>
      <c r="J1490">
        <v>34873</v>
      </c>
    </row>
    <row r="1491" spans="1:10" x14ac:dyDescent="0.3">
      <c r="A1491" t="s">
        <v>1618</v>
      </c>
      <c r="B1491" s="1">
        <v>46000</v>
      </c>
      <c r="C1491" t="s">
        <v>100</v>
      </c>
      <c r="D1491">
        <v>50</v>
      </c>
      <c r="E1491" t="s">
        <v>33</v>
      </c>
      <c r="F1491" t="s">
        <v>50</v>
      </c>
      <c r="G1491" t="s">
        <v>171</v>
      </c>
      <c r="H1491" t="s">
        <v>68</v>
      </c>
      <c r="I1491">
        <v>16053</v>
      </c>
      <c r="J1491">
        <v>16763</v>
      </c>
    </row>
    <row r="1492" spans="1:10" x14ac:dyDescent="0.3">
      <c r="A1492" t="s">
        <v>1619</v>
      </c>
      <c r="B1492" s="1">
        <v>45705</v>
      </c>
      <c r="C1492" t="s">
        <v>82</v>
      </c>
      <c r="D1492">
        <v>8</v>
      </c>
      <c r="E1492" t="s">
        <v>24</v>
      </c>
      <c r="F1492" t="s">
        <v>34</v>
      </c>
      <c r="G1492" t="s">
        <v>291</v>
      </c>
      <c r="H1492" t="s">
        <v>84</v>
      </c>
      <c r="I1492">
        <v>26312</v>
      </c>
      <c r="J1492">
        <v>29298</v>
      </c>
    </row>
    <row r="1493" spans="1:10" x14ac:dyDescent="0.3">
      <c r="A1493" t="s">
        <v>1620</v>
      </c>
      <c r="B1493" s="1">
        <v>45887</v>
      </c>
      <c r="C1493" t="s">
        <v>113</v>
      </c>
      <c r="D1493">
        <v>34</v>
      </c>
      <c r="E1493" t="s">
        <v>61</v>
      </c>
      <c r="F1493" t="s">
        <v>140</v>
      </c>
      <c r="G1493" t="s">
        <v>171</v>
      </c>
      <c r="H1493" t="s">
        <v>55</v>
      </c>
      <c r="I1493">
        <v>25443</v>
      </c>
      <c r="J1493">
        <v>18666</v>
      </c>
    </row>
    <row r="1494" spans="1:10" x14ac:dyDescent="0.3">
      <c r="A1494" t="s">
        <v>1621</v>
      </c>
      <c r="B1494" s="1">
        <v>45889</v>
      </c>
      <c r="C1494" t="s">
        <v>113</v>
      </c>
      <c r="D1494">
        <v>34</v>
      </c>
      <c r="E1494" t="s">
        <v>12</v>
      </c>
      <c r="F1494" t="s">
        <v>75</v>
      </c>
      <c r="G1494" t="s">
        <v>145</v>
      </c>
      <c r="H1494" t="s">
        <v>123</v>
      </c>
      <c r="I1494">
        <v>18181</v>
      </c>
      <c r="J1494">
        <v>23458</v>
      </c>
    </row>
    <row r="1495" spans="1:10" x14ac:dyDescent="0.3">
      <c r="A1495" t="s">
        <v>1622</v>
      </c>
      <c r="B1495" s="1">
        <v>45862</v>
      </c>
      <c r="C1495" t="s">
        <v>11</v>
      </c>
      <c r="D1495">
        <v>30</v>
      </c>
      <c r="E1495" t="s">
        <v>70</v>
      </c>
      <c r="F1495" t="s">
        <v>114</v>
      </c>
      <c r="G1495" t="s">
        <v>240</v>
      </c>
      <c r="H1495" t="s">
        <v>84</v>
      </c>
      <c r="I1495">
        <v>35628</v>
      </c>
      <c r="J1495">
        <v>37836</v>
      </c>
    </row>
    <row r="1496" spans="1:10" x14ac:dyDescent="0.3">
      <c r="A1496" t="s">
        <v>1623</v>
      </c>
      <c r="B1496" s="1">
        <v>45744</v>
      </c>
      <c r="C1496" t="s">
        <v>95</v>
      </c>
      <c r="D1496">
        <v>13</v>
      </c>
      <c r="E1496" t="s">
        <v>33</v>
      </c>
      <c r="F1496" t="s">
        <v>78</v>
      </c>
      <c r="G1496" t="s">
        <v>253</v>
      </c>
      <c r="H1496" t="s">
        <v>111</v>
      </c>
      <c r="I1496">
        <v>20774</v>
      </c>
      <c r="J1496">
        <v>18274</v>
      </c>
    </row>
    <row r="1497" spans="1:10" x14ac:dyDescent="0.3">
      <c r="A1497" t="s">
        <v>1624</v>
      </c>
      <c r="B1497" s="1">
        <v>45815</v>
      </c>
      <c r="C1497" t="s">
        <v>74</v>
      </c>
      <c r="D1497">
        <v>23</v>
      </c>
      <c r="E1497" t="s">
        <v>70</v>
      </c>
      <c r="F1497" t="s">
        <v>109</v>
      </c>
      <c r="G1497" t="s">
        <v>115</v>
      </c>
      <c r="H1497" t="s">
        <v>36</v>
      </c>
      <c r="I1497">
        <v>20884</v>
      </c>
      <c r="J1497">
        <v>15987</v>
      </c>
    </row>
    <row r="1498" spans="1:10" x14ac:dyDescent="0.3">
      <c r="A1498" t="s">
        <v>1625</v>
      </c>
      <c r="B1498" s="1">
        <v>45679</v>
      </c>
      <c r="C1498" t="s">
        <v>17</v>
      </c>
      <c r="D1498">
        <v>4</v>
      </c>
      <c r="E1498" t="s">
        <v>39</v>
      </c>
      <c r="F1498" t="s">
        <v>109</v>
      </c>
      <c r="G1498" t="s">
        <v>206</v>
      </c>
      <c r="H1498" t="s">
        <v>31</v>
      </c>
      <c r="I1498">
        <v>35740</v>
      </c>
      <c r="J1498">
        <v>33913</v>
      </c>
    </row>
    <row r="1499" spans="1:10" x14ac:dyDescent="0.3">
      <c r="A1499" t="s">
        <v>1626</v>
      </c>
      <c r="B1499" s="1">
        <v>45933</v>
      </c>
      <c r="C1499" t="s">
        <v>66</v>
      </c>
      <c r="D1499">
        <v>40</v>
      </c>
      <c r="E1499" t="s">
        <v>12</v>
      </c>
      <c r="F1499" t="s">
        <v>92</v>
      </c>
      <c r="G1499" t="s">
        <v>224</v>
      </c>
      <c r="H1499" t="s">
        <v>64</v>
      </c>
      <c r="I1499">
        <v>36466</v>
      </c>
      <c r="J1499">
        <v>43778</v>
      </c>
    </row>
    <row r="1500" spans="1:10" x14ac:dyDescent="0.3">
      <c r="A1500" t="s">
        <v>1627</v>
      </c>
      <c r="B1500" s="1">
        <v>45775</v>
      </c>
      <c r="C1500" t="s">
        <v>86</v>
      </c>
      <c r="D1500">
        <v>18</v>
      </c>
      <c r="E1500" t="s">
        <v>70</v>
      </c>
      <c r="F1500" t="s">
        <v>122</v>
      </c>
      <c r="G1500" t="s">
        <v>88</v>
      </c>
      <c r="H1500" t="s">
        <v>188</v>
      </c>
      <c r="I1500">
        <v>34437</v>
      </c>
      <c r="J1500">
        <v>37553</v>
      </c>
    </row>
    <row r="1501" spans="1:10" x14ac:dyDescent="0.3">
      <c r="A1501" t="s">
        <v>1628</v>
      </c>
      <c r="B1501" s="1">
        <v>45743</v>
      </c>
      <c r="C1501" t="s">
        <v>95</v>
      </c>
      <c r="D1501">
        <v>13</v>
      </c>
      <c r="E1501" t="s">
        <v>24</v>
      </c>
      <c r="F1501" t="s">
        <v>92</v>
      </c>
      <c r="G1501" t="s">
        <v>326</v>
      </c>
      <c r="H1501" t="s">
        <v>52</v>
      </c>
      <c r="I1501">
        <v>22697</v>
      </c>
      <c r="J1501">
        <v>28694</v>
      </c>
    </row>
    <row r="1502" spans="1:10" x14ac:dyDescent="0.3">
      <c r="A1502" t="s">
        <v>1629</v>
      </c>
      <c r="B1502" s="1">
        <v>45679</v>
      </c>
      <c r="C1502" t="s">
        <v>17</v>
      </c>
      <c r="D1502">
        <v>4</v>
      </c>
      <c r="E1502" t="s">
        <v>61</v>
      </c>
      <c r="F1502" t="s">
        <v>13</v>
      </c>
      <c r="G1502" t="s">
        <v>160</v>
      </c>
      <c r="H1502" t="s">
        <v>52</v>
      </c>
      <c r="I1502">
        <v>36647</v>
      </c>
      <c r="J1502">
        <v>31710</v>
      </c>
    </row>
    <row r="1503" spans="1:10" x14ac:dyDescent="0.3">
      <c r="A1503" t="s">
        <v>1630</v>
      </c>
      <c r="B1503" s="1">
        <v>45898</v>
      </c>
      <c r="C1503" t="s">
        <v>113</v>
      </c>
      <c r="D1503">
        <v>35</v>
      </c>
      <c r="E1503" t="s">
        <v>12</v>
      </c>
      <c r="F1503" t="s">
        <v>92</v>
      </c>
      <c r="G1503" t="s">
        <v>182</v>
      </c>
      <c r="H1503" t="s">
        <v>36</v>
      </c>
      <c r="I1503">
        <v>19690</v>
      </c>
      <c r="J1503">
        <v>23760</v>
      </c>
    </row>
    <row r="1504" spans="1:10" x14ac:dyDescent="0.3">
      <c r="A1504" t="s">
        <v>1631</v>
      </c>
      <c r="B1504" s="1">
        <v>45781</v>
      </c>
      <c r="C1504" t="s">
        <v>90</v>
      </c>
      <c r="D1504">
        <v>18</v>
      </c>
      <c r="E1504" t="s">
        <v>24</v>
      </c>
      <c r="F1504" t="s">
        <v>92</v>
      </c>
      <c r="G1504" t="s">
        <v>54</v>
      </c>
      <c r="H1504" t="s">
        <v>155</v>
      </c>
      <c r="I1504">
        <v>27515</v>
      </c>
      <c r="J1504">
        <v>34133</v>
      </c>
    </row>
    <row r="1505" spans="1:10" x14ac:dyDescent="0.3">
      <c r="A1505" t="s">
        <v>1632</v>
      </c>
      <c r="B1505" s="1">
        <v>45742</v>
      </c>
      <c r="C1505" t="s">
        <v>95</v>
      </c>
      <c r="D1505">
        <v>13</v>
      </c>
      <c r="E1505" t="s">
        <v>18</v>
      </c>
      <c r="F1505" t="s">
        <v>57</v>
      </c>
      <c r="G1505" t="s">
        <v>171</v>
      </c>
      <c r="H1505" t="s">
        <v>211</v>
      </c>
      <c r="I1505">
        <v>39212</v>
      </c>
      <c r="J1505">
        <v>42944</v>
      </c>
    </row>
    <row r="1506" spans="1:10" x14ac:dyDescent="0.3">
      <c r="A1506" t="s">
        <v>1633</v>
      </c>
      <c r="B1506" s="1">
        <v>45688</v>
      </c>
      <c r="C1506" t="s">
        <v>17</v>
      </c>
      <c r="D1506">
        <v>5</v>
      </c>
      <c r="E1506" t="s">
        <v>39</v>
      </c>
      <c r="F1506" t="s">
        <v>43</v>
      </c>
      <c r="G1506" t="s">
        <v>253</v>
      </c>
      <c r="H1506" t="s">
        <v>133</v>
      </c>
      <c r="I1506">
        <v>37726</v>
      </c>
      <c r="J1506">
        <v>26507</v>
      </c>
    </row>
    <row r="1507" spans="1:10" x14ac:dyDescent="0.3">
      <c r="A1507" t="s">
        <v>1634</v>
      </c>
      <c r="B1507" s="1">
        <v>45710</v>
      </c>
      <c r="C1507" t="s">
        <v>82</v>
      </c>
      <c r="D1507">
        <v>8</v>
      </c>
      <c r="E1507" t="s">
        <v>61</v>
      </c>
      <c r="F1507" t="s">
        <v>13</v>
      </c>
      <c r="G1507" t="s">
        <v>240</v>
      </c>
      <c r="H1507" t="s">
        <v>59</v>
      </c>
      <c r="I1507">
        <v>37401</v>
      </c>
      <c r="J1507">
        <v>45261</v>
      </c>
    </row>
    <row r="1508" spans="1:10" x14ac:dyDescent="0.3">
      <c r="A1508" t="s">
        <v>1635</v>
      </c>
      <c r="B1508" s="1">
        <v>45987</v>
      </c>
      <c r="C1508" t="s">
        <v>23</v>
      </c>
      <c r="D1508">
        <v>48</v>
      </c>
      <c r="E1508" t="s">
        <v>24</v>
      </c>
      <c r="F1508" t="s">
        <v>25</v>
      </c>
      <c r="G1508" t="s">
        <v>126</v>
      </c>
      <c r="H1508" t="s">
        <v>68</v>
      </c>
      <c r="I1508">
        <v>24568</v>
      </c>
      <c r="J1508">
        <v>25884</v>
      </c>
    </row>
    <row r="1509" spans="1:10" x14ac:dyDescent="0.3">
      <c r="A1509" t="s">
        <v>1636</v>
      </c>
      <c r="B1509" s="1">
        <v>45969</v>
      </c>
      <c r="C1509" t="s">
        <v>23</v>
      </c>
      <c r="D1509">
        <v>45</v>
      </c>
      <c r="E1509" t="s">
        <v>33</v>
      </c>
      <c r="F1509" t="s">
        <v>193</v>
      </c>
      <c r="G1509" t="s">
        <v>54</v>
      </c>
      <c r="H1509" t="s">
        <v>48</v>
      </c>
      <c r="I1509">
        <v>19822</v>
      </c>
      <c r="J1509">
        <v>21093</v>
      </c>
    </row>
    <row r="1510" spans="1:10" x14ac:dyDescent="0.3">
      <c r="A1510" t="s">
        <v>1637</v>
      </c>
      <c r="B1510" s="1">
        <v>45986</v>
      </c>
      <c r="C1510" t="s">
        <v>23</v>
      </c>
      <c r="D1510">
        <v>48</v>
      </c>
      <c r="E1510" t="s">
        <v>70</v>
      </c>
      <c r="F1510" t="s">
        <v>43</v>
      </c>
      <c r="G1510" t="s">
        <v>201</v>
      </c>
      <c r="H1510" t="s">
        <v>41</v>
      </c>
      <c r="I1510">
        <v>33852</v>
      </c>
      <c r="J1510">
        <v>35672</v>
      </c>
    </row>
    <row r="1511" spans="1:10" x14ac:dyDescent="0.3">
      <c r="A1511" t="s">
        <v>1638</v>
      </c>
      <c r="B1511" s="1">
        <v>45921</v>
      </c>
      <c r="C1511" t="s">
        <v>38</v>
      </c>
      <c r="D1511">
        <v>38</v>
      </c>
      <c r="E1511" t="s">
        <v>18</v>
      </c>
      <c r="F1511" t="s">
        <v>122</v>
      </c>
      <c r="G1511" t="s">
        <v>93</v>
      </c>
      <c r="H1511" t="s">
        <v>84</v>
      </c>
      <c r="I1511">
        <v>27465</v>
      </c>
      <c r="J1511">
        <v>28937</v>
      </c>
    </row>
    <row r="1512" spans="1:10" x14ac:dyDescent="0.3">
      <c r="A1512" t="s">
        <v>1639</v>
      </c>
      <c r="B1512" s="1">
        <v>45890</v>
      </c>
      <c r="C1512" t="s">
        <v>113</v>
      </c>
      <c r="D1512">
        <v>34</v>
      </c>
      <c r="E1512" t="s">
        <v>24</v>
      </c>
      <c r="F1512" t="s">
        <v>87</v>
      </c>
      <c r="G1512" t="s">
        <v>58</v>
      </c>
      <c r="H1512" t="s">
        <v>15</v>
      </c>
      <c r="I1512">
        <v>33509</v>
      </c>
      <c r="J1512">
        <v>27973</v>
      </c>
    </row>
    <row r="1513" spans="1:10" x14ac:dyDescent="0.3">
      <c r="A1513" t="s">
        <v>1640</v>
      </c>
      <c r="B1513" s="1">
        <v>45824</v>
      </c>
      <c r="C1513" t="s">
        <v>74</v>
      </c>
      <c r="D1513">
        <v>25</v>
      </c>
      <c r="E1513" t="s">
        <v>33</v>
      </c>
      <c r="F1513" t="s">
        <v>109</v>
      </c>
      <c r="G1513" t="s">
        <v>326</v>
      </c>
      <c r="H1513" t="s">
        <v>188</v>
      </c>
      <c r="I1513">
        <v>21695</v>
      </c>
      <c r="J1513">
        <v>22612</v>
      </c>
    </row>
    <row r="1514" spans="1:10" x14ac:dyDescent="0.3">
      <c r="A1514" t="s">
        <v>1641</v>
      </c>
      <c r="B1514" s="1">
        <v>45721</v>
      </c>
      <c r="C1514" t="s">
        <v>95</v>
      </c>
      <c r="D1514">
        <v>10</v>
      </c>
      <c r="E1514" t="s">
        <v>39</v>
      </c>
      <c r="F1514" t="s">
        <v>34</v>
      </c>
      <c r="G1514" t="s">
        <v>191</v>
      </c>
      <c r="H1514" t="s">
        <v>36</v>
      </c>
      <c r="I1514">
        <v>33829</v>
      </c>
      <c r="J1514">
        <v>31390</v>
      </c>
    </row>
    <row r="1515" spans="1:10" x14ac:dyDescent="0.3">
      <c r="A1515" t="s">
        <v>1642</v>
      </c>
      <c r="B1515" s="1">
        <v>46008</v>
      </c>
      <c r="C1515" t="s">
        <v>100</v>
      </c>
      <c r="D1515">
        <v>51</v>
      </c>
      <c r="E1515" t="s">
        <v>24</v>
      </c>
      <c r="F1515" t="s">
        <v>109</v>
      </c>
      <c r="G1515" t="s">
        <v>107</v>
      </c>
      <c r="H1515" t="s">
        <v>21</v>
      </c>
      <c r="I1515">
        <v>25141</v>
      </c>
      <c r="J1515">
        <v>20702</v>
      </c>
    </row>
    <row r="1516" spans="1:10" x14ac:dyDescent="0.3">
      <c r="A1516" t="s">
        <v>1643</v>
      </c>
      <c r="B1516" s="1">
        <v>45821</v>
      </c>
      <c r="C1516" t="s">
        <v>74</v>
      </c>
      <c r="D1516">
        <v>24</v>
      </c>
      <c r="E1516" t="s">
        <v>61</v>
      </c>
      <c r="F1516" t="s">
        <v>19</v>
      </c>
      <c r="G1516" t="s">
        <v>224</v>
      </c>
      <c r="H1516" t="s">
        <v>151</v>
      </c>
      <c r="I1516">
        <v>39185</v>
      </c>
      <c r="J1516">
        <v>43014</v>
      </c>
    </row>
    <row r="1517" spans="1:10" x14ac:dyDescent="0.3">
      <c r="A1517" t="s">
        <v>1644</v>
      </c>
      <c r="B1517" s="1">
        <v>45712</v>
      </c>
      <c r="C1517" t="s">
        <v>82</v>
      </c>
      <c r="D1517">
        <v>9</v>
      </c>
      <c r="E1517" t="s">
        <v>33</v>
      </c>
      <c r="F1517" t="s">
        <v>101</v>
      </c>
      <c r="G1517" t="s">
        <v>79</v>
      </c>
      <c r="H1517" t="s">
        <v>41</v>
      </c>
      <c r="I1517">
        <v>32018</v>
      </c>
      <c r="J1517">
        <v>30456</v>
      </c>
    </row>
    <row r="1518" spans="1:10" x14ac:dyDescent="0.3">
      <c r="A1518" t="s">
        <v>1645</v>
      </c>
      <c r="B1518" s="1">
        <v>45691</v>
      </c>
      <c r="C1518" t="s">
        <v>82</v>
      </c>
      <c r="D1518">
        <v>6</v>
      </c>
      <c r="E1518" t="s">
        <v>70</v>
      </c>
      <c r="F1518" t="s">
        <v>92</v>
      </c>
      <c r="G1518" t="s">
        <v>30</v>
      </c>
      <c r="H1518" t="s">
        <v>52</v>
      </c>
      <c r="I1518">
        <v>26792</v>
      </c>
      <c r="J1518">
        <v>23241</v>
      </c>
    </row>
    <row r="1519" spans="1:10" x14ac:dyDescent="0.3">
      <c r="A1519" t="s">
        <v>1646</v>
      </c>
      <c r="B1519" s="1">
        <v>45978</v>
      </c>
      <c r="C1519" t="s">
        <v>23</v>
      </c>
      <c r="D1519">
        <v>47</v>
      </c>
      <c r="E1519" t="s">
        <v>12</v>
      </c>
      <c r="F1519" t="s">
        <v>109</v>
      </c>
      <c r="G1519" t="s">
        <v>160</v>
      </c>
      <c r="H1519" t="s">
        <v>27</v>
      </c>
      <c r="I1519">
        <v>21408</v>
      </c>
      <c r="J1519">
        <v>24721</v>
      </c>
    </row>
    <row r="1520" spans="1:10" x14ac:dyDescent="0.3">
      <c r="A1520" t="s">
        <v>1647</v>
      </c>
      <c r="B1520" s="1">
        <v>45740</v>
      </c>
      <c r="C1520" t="s">
        <v>95</v>
      </c>
      <c r="D1520">
        <v>13</v>
      </c>
      <c r="E1520" t="s">
        <v>18</v>
      </c>
      <c r="F1520" t="s">
        <v>43</v>
      </c>
      <c r="G1520" t="s">
        <v>63</v>
      </c>
      <c r="H1520" t="s">
        <v>15</v>
      </c>
      <c r="I1520">
        <v>19150</v>
      </c>
      <c r="J1520">
        <v>22028</v>
      </c>
    </row>
    <row r="1521" spans="1:10" x14ac:dyDescent="0.3">
      <c r="A1521" t="s">
        <v>1648</v>
      </c>
      <c r="B1521" s="1">
        <v>45898</v>
      </c>
      <c r="C1521" t="s">
        <v>113</v>
      </c>
      <c r="D1521">
        <v>35</v>
      </c>
      <c r="E1521" t="s">
        <v>18</v>
      </c>
      <c r="F1521" t="s">
        <v>114</v>
      </c>
      <c r="G1521" t="s">
        <v>107</v>
      </c>
      <c r="H1521" t="s">
        <v>84</v>
      </c>
      <c r="I1521">
        <v>15253</v>
      </c>
      <c r="J1521">
        <v>19682</v>
      </c>
    </row>
    <row r="1522" spans="1:10" x14ac:dyDescent="0.3">
      <c r="A1522" t="s">
        <v>1649</v>
      </c>
      <c r="B1522" s="1">
        <v>45751</v>
      </c>
      <c r="C1522" t="s">
        <v>86</v>
      </c>
      <c r="D1522">
        <v>14</v>
      </c>
      <c r="E1522" t="s">
        <v>24</v>
      </c>
      <c r="F1522" t="s">
        <v>29</v>
      </c>
      <c r="G1522" t="s">
        <v>145</v>
      </c>
      <c r="H1522" t="s">
        <v>84</v>
      </c>
      <c r="I1522">
        <v>19471</v>
      </c>
      <c r="J1522">
        <v>22509</v>
      </c>
    </row>
    <row r="1523" spans="1:10" x14ac:dyDescent="0.3">
      <c r="A1523" t="s">
        <v>1650</v>
      </c>
      <c r="B1523" s="1">
        <v>45813</v>
      </c>
      <c r="C1523" t="s">
        <v>74</v>
      </c>
      <c r="D1523">
        <v>23</v>
      </c>
      <c r="E1523" t="s">
        <v>24</v>
      </c>
      <c r="F1523" t="s">
        <v>57</v>
      </c>
      <c r="G1523" t="s">
        <v>149</v>
      </c>
      <c r="H1523" t="s">
        <v>157</v>
      </c>
      <c r="I1523">
        <v>23533</v>
      </c>
      <c r="J1523">
        <v>18602</v>
      </c>
    </row>
    <row r="1524" spans="1:10" x14ac:dyDescent="0.3">
      <c r="A1524" t="s">
        <v>1651</v>
      </c>
      <c r="B1524" s="1">
        <v>45942</v>
      </c>
      <c r="C1524" t="s">
        <v>66</v>
      </c>
      <c r="D1524">
        <v>41</v>
      </c>
      <c r="E1524" t="s">
        <v>33</v>
      </c>
      <c r="F1524" t="s">
        <v>43</v>
      </c>
      <c r="G1524" t="s">
        <v>76</v>
      </c>
      <c r="H1524" t="s">
        <v>111</v>
      </c>
      <c r="I1524">
        <v>37861</v>
      </c>
      <c r="J1524">
        <v>39522</v>
      </c>
    </row>
    <row r="1525" spans="1:10" x14ac:dyDescent="0.3">
      <c r="A1525" t="s">
        <v>1652</v>
      </c>
      <c r="B1525" s="1">
        <v>46008</v>
      </c>
      <c r="C1525" t="s">
        <v>100</v>
      </c>
      <c r="D1525">
        <v>51</v>
      </c>
      <c r="E1525" t="s">
        <v>12</v>
      </c>
      <c r="F1525" t="s">
        <v>101</v>
      </c>
      <c r="G1525" t="s">
        <v>88</v>
      </c>
      <c r="H1525" t="s">
        <v>163</v>
      </c>
      <c r="I1525">
        <v>25916</v>
      </c>
      <c r="J1525">
        <v>24097</v>
      </c>
    </row>
    <row r="1526" spans="1:10" x14ac:dyDescent="0.3">
      <c r="A1526" t="s">
        <v>1653</v>
      </c>
      <c r="B1526" s="1">
        <v>45744</v>
      </c>
      <c r="C1526" t="s">
        <v>95</v>
      </c>
      <c r="D1526">
        <v>13</v>
      </c>
      <c r="E1526" t="s">
        <v>70</v>
      </c>
      <c r="F1526" t="s">
        <v>109</v>
      </c>
      <c r="G1526" t="s">
        <v>326</v>
      </c>
      <c r="H1526" t="s">
        <v>133</v>
      </c>
      <c r="I1526">
        <v>20795</v>
      </c>
      <c r="J1526">
        <v>16753</v>
      </c>
    </row>
    <row r="1527" spans="1:10" x14ac:dyDescent="0.3">
      <c r="A1527" t="s">
        <v>1654</v>
      </c>
      <c r="B1527" s="1">
        <v>45751</v>
      </c>
      <c r="C1527" t="s">
        <v>86</v>
      </c>
      <c r="D1527">
        <v>14</v>
      </c>
      <c r="E1527" t="s">
        <v>24</v>
      </c>
      <c r="F1527" t="s">
        <v>29</v>
      </c>
      <c r="G1527" t="s">
        <v>224</v>
      </c>
      <c r="H1527" t="s">
        <v>55</v>
      </c>
      <c r="I1527">
        <v>23622</v>
      </c>
      <c r="J1527">
        <v>20226</v>
      </c>
    </row>
    <row r="1528" spans="1:10" x14ac:dyDescent="0.3">
      <c r="A1528" t="s">
        <v>1655</v>
      </c>
      <c r="B1528" s="1">
        <v>45779</v>
      </c>
      <c r="C1528" t="s">
        <v>90</v>
      </c>
      <c r="D1528">
        <v>18</v>
      </c>
      <c r="E1528" t="s">
        <v>39</v>
      </c>
      <c r="F1528" t="s">
        <v>46</v>
      </c>
      <c r="G1528" t="s">
        <v>224</v>
      </c>
      <c r="H1528" t="s">
        <v>165</v>
      </c>
      <c r="I1528">
        <v>35410</v>
      </c>
      <c r="J1528">
        <v>42346</v>
      </c>
    </row>
    <row r="1529" spans="1:10" x14ac:dyDescent="0.3">
      <c r="A1529" t="s">
        <v>1656</v>
      </c>
      <c r="B1529" s="1">
        <v>45688</v>
      </c>
      <c r="C1529" t="s">
        <v>17</v>
      </c>
      <c r="D1529">
        <v>5</v>
      </c>
      <c r="E1529" t="s">
        <v>39</v>
      </c>
      <c r="F1529" t="s">
        <v>13</v>
      </c>
      <c r="G1529" t="s">
        <v>145</v>
      </c>
      <c r="H1529" t="s">
        <v>98</v>
      </c>
      <c r="I1529">
        <v>25096</v>
      </c>
      <c r="J1529">
        <v>26118</v>
      </c>
    </row>
    <row r="1530" spans="1:10" x14ac:dyDescent="0.3">
      <c r="A1530" t="s">
        <v>1657</v>
      </c>
      <c r="B1530" s="1">
        <v>45666</v>
      </c>
      <c r="C1530" t="s">
        <v>17</v>
      </c>
      <c r="D1530">
        <v>2</v>
      </c>
      <c r="E1530" t="s">
        <v>39</v>
      </c>
      <c r="F1530" t="s">
        <v>114</v>
      </c>
      <c r="G1530" t="s">
        <v>118</v>
      </c>
      <c r="H1530" t="s">
        <v>123</v>
      </c>
      <c r="I1530">
        <v>36749</v>
      </c>
      <c r="J1530">
        <v>44024</v>
      </c>
    </row>
    <row r="1531" spans="1:10" x14ac:dyDescent="0.3">
      <c r="A1531" t="s">
        <v>1658</v>
      </c>
      <c r="B1531" s="1">
        <v>45973</v>
      </c>
      <c r="C1531" t="s">
        <v>23</v>
      </c>
      <c r="D1531">
        <v>46</v>
      </c>
      <c r="E1531" t="s">
        <v>70</v>
      </c>
      <c r="F1531" t="s">
        <v>13</v>
      </c>
      <c r="G1531" t="s">
        <v>324</v>
      </c>
      <c r="H1531" t="s">
        <v>151</v>
      </c>
      <c r="I1531">
        <v>29779</v>
      </c>
      <c r="J1531">
        <v>23661</v>
      </c>
    </row>
    <row r="1532" spans="1:10" x14ac:dyDescent="0.3">
      <c r="A1532" t="s">
        <v>1659</v>
      </c>
      <c r="B1532" s="1">
        <v>45667</v>
      </c>
      <c r="C1532" t="s">
        <v>17</v>
      </c>
      <c r="D1532">
        <v>2</v>
      </c>
      <c r="E1532" t="s">
        <v>33</v>
      </c>
      <c r="F1532" t="s">
        <v>29</v>
      </c>
      <c r="G1532" t="s">
        <v>107</v>
      </c>
      <c r="H1532" t="s">
        <v>21</v>
      </c>
      <c r="I1532">
        <v>28743</v>
      </c>
      <c r="J1532">
        <v>33562</v>
      </c>
    </row>
    <row r="1533" spans="1:10" x14ac:dyDescent="0.3">
      <c r="A1533" t="s">
        <v>1660</v>
      </c>
      <c r="B1533" s="1">
        <v>45873</v>
      </c>
      <c r="C1533" t="s">
        <v>113</v>
      </c>
      <c r="D1533">
        <v>32</v>
      </c>
      <c r="E1533" t="s">
        <v>18</v>
      </c>
      <c r="F1533" t="s">
        <v>29</v>
      </c>
      <c r="G1533" t="s">
        <v>83</v>
      </c>
      <c r="H1533" t="s">
        <v>21</v>
      </c>
      <c r="I1533">
        <v>28855</v>
      </c>
      <c r="J1533">
        <v>21190</v>
      </c>
    </row>
    <row r="1534" spans="1:10" x14ac:dyDescent="0.3">
      <c r="A1534" t="s">
        <v>1661</v>
      </c>
      <c r="B1534" s="1">
        <v>45748</v>
      </c>
      <c r="C1534" t="s">
        <v>86</v>
      </c>
      <c r="D1534">
        <v>14</v>
      </c>
      <c r="E1534" t="s">
        <v>61</v>
      </c>
      <c r="F1534" t="s">
        <v>122</v>
      </c>
      <c r="G1534" t="s">
        <v>79</v>
      </c>
      <c r="H1534" t="s">
        <v>98</v>
      </c>
      <c r="I1534">
        <v>36454</v>
      </c>
      <c r="J1534">
        <v>26178</v>
      </c>
    </row>
    <row r="1535" spans="1:10" x14ac:dyDescent="0.3">
      <c r="A1535" t="s">
        <v>1662</v>
      </c>
      <c r="B1535" s="1">
        <v>45987</v>
      </c>
      <c r="C1535" t="s">
        <v>23</v>
      </c>
      <c r="D1535">
        <v>48</v>
      </c>
      <c r="E1535" t="s">
        <v>61</v>
      </c>
      <c r="F1535" t="s">
        <v>13</v>
      </c>
      <c r="G1535" t="s">
        <v>224</v>
      </c>
      <c r="H1535" t="s">
        <v>188</v>
      </c>
      <c r="I1535">
        <v>35396</v>
      </c>
      <c r="J1535">
        <v>33635</v>
      </c>
    </row>
    <row r="1536" spans="1:10" x14ac:dyDescent="0.3">
      <c r="A1536" t="s">
        <v>1663</v>
      </c>
      <c r="B1536" s="1">
        <v>45660</v>
      </c>
      <c r="C1536" t="s">
        <v>17</v>
      </c>
      <c r="D1536">
        <v>1</v>
      </c>
      <c r="E1536" t="s">
        <v>18</v>
      </c>
      <c r="F1536" t="s">
        <v>87</v>
      </c>
      <c r="G1536" t="s">
        <v>191</v>
      </c>
      <c r="H1536" t="s">
        <v>211</v>
      </c>
      <c r="I1536">
        <v>28838</v>
      </c>
      <c r="J1536">
        <v>37367</v>
      </c>
    </row>
    <row r="1537" spans="1:10" x14ac:dyDescent="0.3">
      <c r="A1537" t="s">
        <v>1664</v>
      </c>
      <c r="B1537" s="1">
        <v>45768</v>
      </c>
      <c r="C1537" t="s">
        <v>86</v>
      </c>
      <c r="D1537">
        <v>17</v>
      </c>
      <c r="E1537" t="s">
        <v>39</v>
      </c>
      <c r="F1537" t="s">
        <v>46</v>
      </c>
      <c r="G1537" t="s">
        <v>199</v>
      </c>
      <c r="H1537" t="s">
        <v>119</v>
      </c>
      <c r="I1537">
        <v>26094</v>
      </c>
      <c r="J1537">
        <v>27157</v>
      </c>
    </row>
    <row r="1538" spans="1:10" x14ac:dyDescent="0.3">
      <c r="A1538" t="s">
        <v>1665</v>
      </c>
      <c r="B1538" s="1">
        <v>45736</v>
      </c>
      <c r="C1538" t="s">
        <v>95</v>
      </c>
      <c r="D1538">
        <v>12</v>
      </c>
      <c r="E1538" t="s">
        <v>12</v>
      </c>
      <c r="F1538" t="s">
        <v>78</v>
      </c>
      <c r="G1538" t="s">
        <v>234</v>
      </c>
      <c r="H1538" t="s">
        <v>59</v>
      </c>
      <c r="I1538">
        <v>16760</v>
      </c>
      <c r="J1538">
        <v>13275</v>
      </c>
    </row>
    <row r="1539" spans="1:10" x14ac:dyDescent="0.3">
      <c r="A1539" t="s">
        <v>1666</v>
      </c>
      <c r="B1539" s="1">
        <v>45757</v>
      </c>
      <c r="C1539" t="s">
        <v>86</v>
      </c>
      <c r="D1539">
        <v>15</v>
      </c>
      <c r="E1539" t="s">
        <v>24</v>
      </c>
      <c r="F1539" t="s">
        <v>46</v>
      </c>
      <c r="G1539" t="s">
        <v>20</v>
      </c>
      <c r="H1539" t="s">
        <v>155</v>
      </c>
      <c r="I1539">
        <v>29438</v>
      </c>
      <c r="J1539">
        <v>28040</v>
      </c>
    </row>
    <row r="1540" spans="1:10" x14ac:dyDescent="0.3">
      <c r="A1540" t="s">
        <v>1667</v>
      </c>
      <c r="B1540" s="1">
        <v>45734</v>
      </c>
      <c r="C1540" t="s">
        <v>95</v>
      </c>
      <c r="D1540">
        <v>12</v>
      </c>
      <c r="E1540" t="s">
        <v>18</v>
      </c>
      <c r="F1540" t="s">
        <v>43</v>
      </c>
      <c r="G1540" t="s">
        <v>14</v>
      </c>
      <c r="H1540" t="s">
        <v>27</v>
      </c>
      <c r="I1540">
        <v>33557</v>
      </c>
      <c r="J1540">
        <v>23920</v>
      </c>
    </row>
    <row r="1541" spans="1:10" x14ac:dyDescent="0.3">
      <c r="A1541" t="s">
        <v>1668</v>
      </c>
      <c r="B1541" s="1">
        <v>46006</v>
      </c>
      <c r="C1541" t="s">
        <v>100</v>
      </c>
      <c r="D1541">
        <v>51</v>
      </c>
      <c r="E1541" t="s">
        <v>24</v>
      </c>
      <c r="F1541" t="s">
        <v>101</v>
      </c>
      <c r="G1541" t="s">
        <v>234</v>
      </c>
      <c r="H1541" t="s">
        <v>64</v>
      </c>
      <c r="I1541">
        <v>21573</v>
      </c>
      <c r="J1541">
        <v>19031</v>
      </c>
    </row>
    <row r="1542" spans="1:10" x14ac:dyDescent="0.3">
      <c r="A1542" t="s">
        <v>1669</v>
      </c>
      <c r="B1542" s="1">
        <v>45985</v>
      </c>
      <c r="C1542" t="s">
        <v>23</v>
      </c>
      <c r="D1542">
        <v>48</v>
      </c>
      <c r="E1542" t="s">
        <v>61</v>
      </c>
      <c r="F1542" t="s">
        <v>87</v>
      </c>
      <c r="G1542" t="s">
        <v>324</v>
      </c>
      <c r="H1542" t="s">
        <v>243</v>
      </c>
      <c r="I1542">
        <v>27374</v>
      </c>
      <c r="J1542">
        <v>29858</v>
      </c>
    </row>
    <row r="1543" spans="1:10" x14ac:dyDescent="0.3">
      <c r="A1543" t="s">
        <v>1670</v>
      </c>
      <c r="B1543" s="1">
        <v>45841</v>
      </c>
      <c r="C1543" t="s">
        <v>11</v>
      </c>
      <c r="D1543">
        <v>27</v>
      </c>
      <c r="E1543" t="s">
        <v>24</v>
      </c>
      <c r="F1543" t="s">
        <v>109</v>
      </c>
      <c r="G1543" t="s">
        <v>126</v>
      </c>
      <c r="H1543" t="s">
        <v>21</v>
      </c>
      <c r="I1543">
        <v>20964</v>
      </c>
      <c r="J1543">
        <v>24544</v>
      </c>
    </row>
    <row r="1544" spans="1:10" x14ac:dyDescent="0.3">
      <c r="A1544" t="s">
        <v>1671</v>
      </c>
      <c r="B1544" s="1">
        <v>45987</v>
      </c>
      <c r="C1544" t="s">
        <v>23</v>
      </c>
      <c r="D1544">
        <v>48</v>
      </c>
      <c r="E1544" t="s">
        <v>18</v>
      </c>
      <c r="F1544" t="s">
        <v>46</v>
      </c>
      <c r="G1544" t="s">
        <v>47</v>
      </c>
      <c r="H1544" t="s">
        <v>155</v>
      </c>
      <c r="I1544">
        <v>22001</v>
      </c>
      <c r="J1544">
        <v>18031</v>
      </c>
    </row>
    <row r="1545" spans="1:10" x14ac:dyDescent="0.3">
      <c r="A1545" t="s">
        <v>1672</v>
      </c>
      <c r="B1545" s="1">
        <v>46013</v>
      </c>
      <c r="C1545" t="s">
        <v>100</v>
      </c>
      <c r="D1545">
        <v>52</v>
      </c>
      <c r="E1545" t="s">
        <v>39</v>
      </c>
      <c r="F1545" t="s">
        <v>122</v>
      </c>
      <c r="G1545" t="s">
        <v>145</v>
      </c>
      <c r="H1545" t="s">
        <v>31</v>
      </c>
      <c r="I1545">
        <v>24751</v>
      </c>
      <c r="J1545">
        <v>26186</v>
      </c>
    </row>
    <row r="1546" spans="1:10" x14ac:dyDescent="0.3">
      <c r="A1546" t="s">
        <v>1673</v>
      </c>
      <c r="B1546" s="1">
        <v>45900</v>
      </c>
      <c r="C1546" t="s">
        <v>113</v>
      </c>
      <c r="D1546">
        <v>35</v>
      </c>
      <c r="E1546" t="s">
        <v>70</v>
      </c>
      <c r="F1546" t="s">
        <v>109</v>
      </c>
      <c r="G1546" t="s">
        <v>63</v>
      </c>
      <c r="H1546" t="s">
        <v>123</v>
      </c>
      <c r="I1546">
        <v>16254</v>
      </c>
      <c r="J1546">
        <v>19257</v>
      </c>
    </row>
    <row r="1547" spans="1:10" x14ac:dyDescent="0.3">
      <c r="A1547" t="s">
        <v>1674</v>
      </c>
      <c r="B1547" s="1">
        <v>45863</v>
      </c>
      <c r="C1547" t="s">
        <v>11</v>
      </c>
      <c r="D1547">
        <v>30</v>
      </c>
      <c r="E1547" t="s">
        <v>12</v>
      </c>
      <c r="F1547" t="s">
        <v>13</v>
      </c>
      <c r="G1547" t="s">
        <v>141</v>
      </c>
      <c r="H1547" t="s">
        <v>155</v>
      </c>
      <c r="I1547">
        <v>16915</v>
      </c>
      <c r="J1547">
        <v>13399</v>
      </c>
    </row>
    <row r="1548" spans="1:10" x14ac:dyDescent="0.3">
      <c r="A1548" t="s">
        <v>1675</v>
      </c>
      <c r="B1548" s="1">
        <v>45968</v>
      </c>
      <c r="C1548" t="s">
        <v>23</v>
      </c>
      <c r="D1548">
        <v>45</v>
      </c>
      <c r="E1548" t="s">
        <v>12</v>
      </c>
      <c r="F1548" t="s">
        <v>114</v>
      </c>
      <c r="G1548" t="s">
        <v>72</v>
      </c>
      <c r="H1548" t="s">
        <v>163</v>
      </c>
      <c r="I1548">
        <v>18393</v>
      </c>
      <c r="J1548">
        <v>17110</v>
      </c>
    </row>
    <row r="1549" spans="1:10" x14ac:dyDescent="0.3">
      <c r="A1549" t="s">
        <v>1676</v>
      </c>
      <c r="B1549" s="1">
        <v>45690</v>
      </c>
      <c r="C1549" t="s">
        <v>82</v>
      </c>
      <c r="D1549">
        <v>5</v>
      </c>
      <c r="E1549" t="s">
        <v>70</v>
      </c>
      <c r="F1549" t="s">
        <v>75</v>
      </c>
      <c r="G1549" t="s">
        <v>149</v>
      </c>
      <c r="H1549" t="s">
        <v>59</v>
      </c>
      <c r="I1549">
        <v>39157</v>
      </c>
      <c r="J1549">
        <v>35880</v>
      </c>
    </row>
    <row r="1550" spans="1:10" x14ac:dyDescent="0.3">
      <c r="A1550" t="s">
        <v>1677</v>
      </c>
      <c r="B1550" s="1">
        <v>45782</v>
      </c>
      <c r="C1550" t="s">
        <v>90</v>
      </c>
      <c r="D1550">
        <v>19</v>
      </c>
      <c r="E1550" t="s">
        <v>33</v>
      </c>
      <c r="F1550" t="s">
        <v>57</v>
      </c>
      <c r="G1550" t="s">
        <v>206</v>
      </c>
      <c r="H1550" t="s">
        <v>98</v>
      </c>
      <c r="I1550">
        <v>29151</v>
      </c>
      <c r="J1550">
        <v>24231</v>
      </c>
    </row>
    <row r="1551" spans="1:10" x14ac:dyDescent="0.3">
      <c r="A1551" t="s">
        <v>1678</v>
      </c>
      <c r="B1551" s="1">
        <v>45796</v>
      </c>
      <c r="C1551" t="s">
        <v>90</v>
      </c>
      <c r="D1551">
        <v>21</v>
      </c>
      <c r="E1551" t="s">
        <v>61</v>
      </c>
      <c r="F1551" t="s">
        <v>122</v>
      </c>
      <c r="G1551" t="s">
        <v>147</v>
      </c>
      <c r="H1551" t="s">
        <v>188</v>
      </c>
      <c r="I1551">
        <v>30564</v>
      </c>
      <c r="J1551">
        <v>38384</v>
      </c>
    </row>
    <row r="1552" spans="1:10" x14ac:dyDescent="0.3">
      <c r="A1552" t="s">
        <v>1679</v>
      </c>
      <c r="B1552" s="1">
        <v>45796</v>
      </c>
      <c r="C1552" t="s">
        <v>90</v>
      </c>
      <c r="D1552">
        <v>21</v>
      </c>
      <c r="E1552" t="s">
        <v>12</v>
      </c>
      <c r="F1552" t="s">
        <v>114</v>
      </c>
      <c r="G1552" t="s">
        <v>54</v>
      </c>
      <c r="H1552" t="s">
        <v>41</v>
      </c>
      <c r="I1552">
        <v>17383</v>
      </c>
      <c r="J1552">
        <v>13422</v>
      </c>
    </row>
    <row r="1553" spans="1:10" x14ac:dyDescent="0.3">
      <c r="A1553" t="s">
        <v>1680</v>
      </c>
      <c r="B1553" s="1">
        <v>45941</v>
      </c>
      <c r="C1553" t="s">
        <v>66</v>
      </c>
      <c r="D1553">
        <v>41</v>
      </c>
      <c r="E1553" t="s">
        <v>39</v>
      </c>
      <c r="F1553" t="s">
        <v>19</v>
      </c>
      <c r="G1553" t="s">
        <v>93</v>
      </c>
      <c r="H1553" t="s">
        <v>68</v>
      </c>
      <c r="I1553">
        <v>25038</v>
      </c>
      <c r="J1553">
        <v>19536</v>
      </c>
    </row>
    <row r="1554" spans="1:10" x14ac:dyDescent="0.3">
      <c r="A1554" t="s">
        <v>1681</v>
      </c>
      <c r="B1554" s="1">
        <v>45906</v>
      </c>
      <c r="C1554" t="s">
        <v>38</v>
      </c>
      <c r="D1554">
        <v>36</v>
      </c>
      <c r="E1554" t="s">
        <v>18</v>
      </c>
      <c r="F1554" t="s">
        <v>25</v>
      </c>
      <c r="G1554" t="s">
        <v>171</v>
      </c>
      <c r="H1554" t="s">
        <v>55</v>
      </c>
      <c r="I1554">
        <v>29254</v>
      </c>
      <c r="J1554">
        <v>28876</v>
      </c>
    </row>
    <row r="1555" spans="1:10" x14ac:dyDescent="0.3">
      <c r="A1555" t="s">
        <v>1682</v>
      </c>
      <c r="B1555" s="1">
        <v>45926</v>
      </c>
      <c r="C1555" t="s">
        <v>38</v>
      </c>
      <c r="D1555">
        <v>39</v>
      </c>
      <c r="E1555" t="s">
        <v>70</v>
      </c>
      <c r="F1555" t="s">
        <v>43</v>
      </c>
      <c r="G1555" t="s">
        <v>128</v>
      </c>
      <c r="H1555" t="s">
        <v>98</v>
      </c>
      <c r="I1555">
        <v>33948</v>
      </c>
      <c r="J1555">
        <v>37152</v>
      </c>
    </row>
    <row r="1556" spans="1:10" x14ac:dyDescent="0.3">
      <c r="A1556" t="s">
        <v>1683</v>
      </c>
      <c r="B1556" s="1">
        <v>45729</v>
      </c>
      <c r="C1556" t="s">
        <v>95</v>
      </c>
      <c r="D1556">
        <v>11</v>
      </c>
      <c r="E1556" t="s">
        <v>70</v>
      </c>
      <c r="F1556" t="s">
        <v>46</v>
      </c>
      <c r="G1556" t="s">
        <v>206</v>
      </c>
      <c r="H1556" t="s">
        <v>111</v>
      </c>
      <c r="I1556">
        <v>38161</v>
      </c>
      <c r="J1556">
        <v>34737</v>
      </c>
    </row>
    <row r="1557" spans="1:10" x14ac:dyDescent="0.3">
      <c r="A1557" t="s">
        <v>1684</v>
      </c>
      <c r="B1557" s="1">
        <v>45880</v>
      </c>
      <c r="C1557" t="s">
        <v>113</v>
      </c>
      <c r="D1557">
        <v>33</v>
      </c>
      <c r="E1557" t="s">
        <v>70</v>
      </c>
      <c r="F1557" t="s">
        <v>78</v>
      </c>
      <c r="G1557" t="s">
        <v>107</v>
      </c>
      <c r="H1557" t="s">
        <v>211</v>
      </c>
      <c r="I1557">
        <v>21672</v>
      </c>
      <c r="J1557">
        <v>23952</v>
      </c>
    </row>
    <row r="1558" spans="1:10" x14ac:dyDescent="0.3">
      <c r="A1558" t="s">
        <v>1685</v>
      </c>
      <c r="B1558" s="1">
        <v>45993</v>
      </c>
      <c r="C1558" t="s">
        <v>100</v>
      </c>
      <c r="D1558">
        <v>49</v>
      </c>
      <c r="E1558" t="s">
        <v>18</v>
      </c>
      <c r="F1558" t="s">
        <v>92</v>
      </c>
      <c r="G1558" t="s">
        <v>26</v>
      </c>
      <c r="H1558" t="s">
        <v>84</v>
      </c>
      <c r="I1558">
        <v>30123</v>
      </c>
      <c r="J1558">
        <v>36206</v>
      </c>
    </row>
    <row r="1559" spans="1:10" x14ac:dyDescent="0.3">
      <c r="A1559" t="s">
        <v>1686</v>
      </c>
      <c r="B1559" s="1">
        <v>45787</v>
      </c>
      <c r="C1559" t="s">
        <v>90</v>
      </c>
      <c r="D1559">
        <v>19</v>
      </c>
      <c r="E1559" t="s">
        <v>18</v>
      </c>
      <c r="F1559" t="s">
        <v>46</v>
      </c>
      <c r="G1559" t="s">
        <v>126</v>
      </c>
      <c r="H1559" t="s">
        <v>27</v>
      </c>
      <c r="I1559">
        <v>28217</v>
      </c>
      <c r="J1559">
        <v>35763</v>
      </c>
    </row>
    <row r="1560" spans="1:10" x14ac:dyDescent="0.3">
      <c r="A1560" t="s">
        <v>1687</v>
      </c>
      <c r="B1560" s="1">
        <v>45678</v>
      </c>
      <c r="C1560" t="s">
        <v>17</v>
      </c>
      <c r="D1560">
        <v>4</v>
      </c>
      <c r="E1560" t="s">
        <v>61</v>
      </c>
      <c r="F1560" t="s">
        <v>114</v>
      </c>
      <c r="G1560" t="s">
        <v>149</v>
      </c>
      <c r="H1560" t="s">
        <v>48</v>
      </c>
      <c r="I1560">
        <v>19700</v>
      </c>
      <c r="J1560">
        <v>25183</v>
      </c>
    </row>
    <row r="1561" spans="1:10" x14ac:dyDescent="0.3">
      <c r="A1561" t="s">
        <v>1688</v>
      </c>
      <c r="B1561" s="1">
        <v>45953</v>
      </c>
      <c r="C1561" t="s">
        <v>66</v>
      </c>
      <c r="D1561">
        <v>43</v>
      </c>
      <c r="E1561" t="s">
        <v>12</v>
      </c>
      <c r="F1561" t="s">
        <v>43</v>
      </c>
      <c r="G1561" t="s">
        <v>118</v>
      </c>
      <c r="H1561" t="s">
        <v>27</v>
      </c>
      <c r="I1561">
        <v>37003</v>
      </c>
      <c r="J1561">
        <v>33382</v>
      </c>
    </row>
    <row r="1562" spans="1:10" x14ac:dyDescent="0.3">
      <c r="A1562" t="s">
        <v>1689</v>
      </c>
      <c r="B1562" s="1">
        <v>45699</v>
      </c>
      <c r="C1562" t="s">
        <v>82</v>
      </c>
      <c r="D1562">
        <v>7</v>
      </c>
      <c r="E1562" t="s">
        <v>33</v>
      </c>
      <c r="F1562" t="s">
        <v>92</v>
      </c>
      <c r="G1562" t="s">
        <v>128</v>
      </c>
      <c r="H1562" t="s">
        <v>133</v>
      </c>
      <c r="I1562">
        <v>30587</v>
      </c>
      <c r="J1562">
        <v>31953</v>
      </c>
    </row>
    <row r="1563" spans="1:10" x14ac:dyDescent="0.3">
      <c r="A1563" t="s">
        <v>1690</v>
      </c>
      <c r="B1563" s="1">
        <v>45842</v>
      </c>
      <c r="C1563" t="s">
        <v>11</v>
      </c>
      <c r="D1563">
        <v>27</v>
      </c>
      <c r="E1563" t="s">
        <v>39</v>
      </c>
      <c r="F1563" t="s">
        <v>62</v>
      </c>
      <c r="G1563" t="s">
        <v>132</v>
      </c>
      <c r="H1563" t="s">
        <v>163</v>
      </c>
      <c r="I1563">
        <v>27460</v>
      </c>
      <c r="J1563">
        <v>26027</v>
      </c>
    </row>
    <row r="1564" spans="1:10" x14ac:dyDescent="0.3">
      <c r="A1564" t="s">
        <v>1691</v>
      </c>
      <c r="B1564" s="1">
        <v>45720</v>
      </c>
      <c r="C1564" t="s">
        <v>95</v>
      </c>
      <c r="D1564">
        <v>10</v>
      </c>
      <c r="E1564" t="s">
        <v>18</v>
      </c>
      <c r="F1564" t="s">
        <v>122</v>
      </c>
      <c r="G1564" t="s">
        <v>182</v>
      </c>
      <c r="H1564" t="s">
        <v>116</v>
      </c>
      <c r="I1564">
        <v>39079</v>
      </c>
      <c r="J1564">
        <v>43664</v>
      </c>
    </row>
    <row r="1565" spans="1:10" x14ac:dyDescent="0.3">
      <c r="A1565" t="s">
        <v>1692</v>
      </c>
      <c r="B1565" s="1">
        <v>45873</v>
      </c>
      <c r="C1565" t="s">
        <v>113</v>
      </c>
      <c r="D1565">
        <v>32</v>
      </c>
      <c r="E1565" t="s">
        <v>24</v>
      </c>
      <c r="F1565" t="s">
        <v>19</v>
      </c>
      <c r="G1565" t="s">
        <v>291</v>
      </c>
      <c r="H1565" t="s">
        <v>133</v>
      </c>
      <c r="I1565">
        <v>26203</v>
      </c>
      <c r="J1565">
        <v>22879</v>
      </c>
    </row>
    <row r="1566" spans="1:10" x14ac:dyDescent="0.3">
      <c r="A1566" t="s">
        <v>1693</v>
      </c>
      <c r="B1566" s="1">
        <v>45751</v>
      </c>
      <c r="C1566" t="s">
        <v>86</v>
      </c>
      <c r="D1566">
        <v>14</v>
      </c>
      <c r="E1566" t="s">
        <v>12</v>
      </c>
      <c r="F1566" t="s">
        <v>13</v>
      </c>
      <c r="G1566" t="s">
        <v>160</v>
      </c>
      <c r="H1566" t="s">
        <v>68</v>
      </c>
      <c r="I1566">
        <v>26038</v>
      </c>
      <c r="J1566">
        <v>27389</v>
      </c>
    </row>
    <row r="1567" spans="1:10" x14ac:dyDescent="0.3">
      <c r="A1567" t="s">
        <v>1694</v>
      </c>
      <c r="B1567" s="1">
        <v>45934</v>
      </c>
      <c r="C1567" t="s">
        <v>66</v>
      </c>
      <c r="D1567">
        <v>40</v>
      </c>
      <c r="E1567" t="s">
        <v>33</v>
      </c>
      <c r="F1567" t="s">
        <v>25</v>
      </c>
      <c r="G1567" t="s">
        <v>145</v>
      </c>
      <c r="H1567" t="s">
        <v>52</v>
      </c>
      <c r="I1567">
        <v>20193</v>
      </c>
      <c r="J1567">
        <v>20810</v>
      </c>
    </row>
    <row r="1568" spans="1:10" x14ac:dyDescent="0.3">
      <c r="A1568" t="s">
        <v>1695</v>
      </c>
      <c r="B1568" s="1">
        <v>45669</v>
      </c>
      <c r="C1568" t="s">
        <v>17</v>
      </c>
      <c r="D1568">
        <v>2</v>
      </c>
      <c r="E1568" t="s">
        <v>70</v>
      </c>
      <c r="F1568" t="s">
        <v>13</v>
      </c>
      <c r="G1568" t="s">
        <v>171</v>
      </c>
      <c r="H1568" t="s">
        <v>155</v>
      </c>
      <c r="I1568">
        <v>24867</v>
      </c>
      <c r="J1568">
        <v>28072</v>
      </c>
    </row>
    <row r="1569" spans="1:10" x14ac:dyDescent="0.3">
      <c r="A1569" t="s">
        <v>1696</v>
      </c>
      <c r="B1569" s="1">
        <v>46020</v>
      </c>
      <c r="C1569" t="s">
        <v>100</v>
      </c>
      <c r="D1569">
        <v>1</v>
      </c>
      <c r="E1569" t="s">
        <v>24</v>
      </c>
      <c r="F1569" t="s">
        <v>78</v>
      </c>
      <c r="G1569" t="s">
        <v>141</v>
      </c>
      <c r="H1569" t="s">
        <v>64</v>
      </c>
      <c r="I1569">
        <v>39060</v>
      </c>
      <c r="J1569">
        <v>48260</v>
      </c>
    </row>
    <row r="1570" spans="1:10" x14ac:dyDescent="0.3">
      <c r="A1570" t="s">
        <v>1697</v>
      </c>
      <c r="B1570" s="1">
        <v>45909</v>
      </c>
      <c r="C1570" t="s">
        <v>38</v>
      </c>
      <c r="D1570">
        <v>37</v>
      </c>
      <c r="E1570" t="s">
        <v>61</v>
      </c>
      <c r="F1570" t="s">
        <v>62</v>
      </c>
      <c r="G1570" t="s">
        <v>240</v>
      </c>
      <c r="H1570" t="s">
        <v>21</v>
      </c>
      <c r="I1570">
        <v>34978</v>
      </c>
      <c r="J1570">
        <v>33701</v>
      </c>
    </row>
    <row r="1571" spans="1:10" x14ac:dyDescent="0.3">
      <c r="A1571" t="s">
        <v>1698</v>
      </c>
      <c r="B1571" s="1">
        <v>45839</v>
      </c>
      <c r="C1571" t="s">
        <v>11</v>
      </c>
      <c r="D1571">
        <v>27</v>
      </c>
      <c r="E1571" t="s">
        <v>70</v>
      </c>
      <c r="F1571" t="s">
        <v>122</v>
      </c>
      <c r="G1571" t="s">
        <v>83</v>
      </c>
      <c r="H1571" t="s">
        <v>52</v>
      </c>
      <c r="I1571">
        <v>19357</v>
      </c>
      <c r="J1571">
        <v>22881</v>
      </c>
    </row>
    <row r="1572" spans="1:10" x14ac:dyDescent="0.3">
      <c r="A1572" t="s">
        <v>1699</v>
      </c>
      <c r="B1572" s="1">
        <v>45905</v>
      </c>
      <c r="C1572" t="s">
        <v>38</v>
      </c>
      <c r="D1572">
        <v>36</v>
      </c>
      <c r="E1572" t="s">
        <v>24</v>
      </c>
      <c r="F1572" t="s">
        <v>114</v>
      </c>
      <c r="G1572" t="s">
        <v>63</v>
      </c>
      <c r="H1572" t="s">
        <v>98</v>
      </c>
      <c r="I1572">
        <v>18839</v>
      </c>
      <c r="J1572">
        <v>15865</v>
      </c>
    </row>
    <row r="1573" spans="1:10" x14ac:dyDescent="0.3">
      <c r="A1573" t="s">
        <v>1700</v>
      </c>
      <c r="B1573" s="1">
        <v>45972</v>
      </c>
      <c r="C1573" t="s">
        <v>23</v>
      </c>
      <c r="D1573">
        <v>46</v>
      </c>
      <c r="E1573" t="s">
        <v>70</v>
      </c>
      <c r="F1573" t="s">
        <v>114</v>
      </c>
      <c r="G1573" t="s">
        <v>30</v>
      </c>
      <c r="H1573" t="s">
        <v>52</v>
      </c>
      <c r="I1573">
        <v>39393</v>
      </c>
      <c r="J1573">
        <v>29888</v>
      </c>
    </row>
    <row r="1574" spans="1:10" x14ac:dyDescent="0.3">
      <c r="A1574" t="s">
        <v>1701</v>
      </c>
      <c r="B1574" s="1">
        <v>45837</v>
      </c>
      <c r="C1574" t="s">
        <v>74</v>
      </c>
      <c r="D1574">
        <v>26</v>
      </c>
      <c r="E1574" t="s">
        <v>18</v>
      </c>
      <c r="F1574" t="s">
        <v>25</v>
      </c>
      <c r="G1574" t="s">
        <v>47</v>
      </c>
      <c r="H1574" t="s">
        <v>163</v>
      </c>
      <c r="I1574">
        <v>35846</v>
      </c>
      <c r="J1574">
        <v>35467</v>
      </c>
    </row>
    <row r="1575" spans="1:10" x14ac:dyDescent="0.3">
      <c r="A1575" t="s">
        <v>1702</v>
      </c>
      <c r="B1575" s="1">
        <v>45721</v>
      </c>
      <c r="C1575" t="s">
        <v>95</v>
      </c>
      <c r="D1575">
        <v>10</v>
      </c>
      <c r="E1575" t="s">
        <v>70</v>
      </c>
      <c r="F1575" t="s">
        <v>75</v>
      </c>
      <c r="G1575" t="s">
        <v>30</v>
      </c>
      <c r="H1575" t="s">
        <v>96</v>
      </c>
      <c r="I1575">
        <v>15692</v>
      </c>
      <c r="J1575">
        <v>16492</v>
      </c>
    </row>
    <row r="1576" spans="1:10" x14ac:dyDescent="0.3">
      <c r="A1576" t="s">
        <v>1703</v>
      </c>
      <c r="B1576" s="1">
        <v>45858</v>
      </c>
      <c r="C1576" t="s">
        <v>11</v>
      </c>
      <c r="D1576">
        <v>29</v>
      </c>
      <c r="E1576" t="s">
        <v>61</v>
      </c>
      <c r="F1576" t="s">
        <v>34</v>
      </c>
      <c r="G1576" t="s">
        <v>224</v>
      </c>
      <c r="H1576" t="s">
        <v>64</v>
      </c>
      <c r="I1576">
        <v>32821</v>
      </c>
      <c r="J1576">
        <v>40839</v>
      </c>
    </row>
    <row r="1577" spans="1:10" x14ac:dyDescent="0.3">
      <c r="A1577" t="s">
        <v>1704</v>
      </c>
      <c r="B1577" s="1">
        <v>45890</v>
      </c>
      <c r="C1577" t="s">
        <v>113</v>
      </c>
      <c r="D1577">
        <v>34</v>
      </c>
      <c r="E1577" t="s">
        <v>33</v>
      </c>
      <c r="F1577" t="s">
        <v>87</v>
      </c>
      <c r="G1577" t="s">
        <v>326</v>
      </c>
      <c r="H1577" t="s">
        <v>98</v>
      </c>
      <c r="I1577">
        <v>23890</v>
      </c>
      <c r="J1577">
        <v>21049</v>
      </c>
    </row>
    <row r="1578" spans="1:10" x14ac:dyDescent="0.3">
      <c r="A1578" t="s">
        <v>1705</v>
      </c>
      <c r="B1578" s="1">
        <v>45802</v>
      </c>
      <c r="C1578" t="s">
        <v>90</v>
      </c>
      <c r="D1578">
        <v>21</v>
      </c>
      <c r="E1578" t="s">
        <v>39</v>
      </c>
      <c r="F1578" t="s">
        <v>193</v>
      </c>
      <c r="G1578" t="s">
        <v>110</v>
      </c>
      <c r="H1578" t="s">
        <v>155</v>
      </c>
      <c r="I1578">
        <v>23064</v>
      </c>
      <c r="J1578">
        <v>23006</v>
      </c>
    </row>
    <row r="1579" spans="1:10" x14ac:dyDescent="0.3">
      <c r="A1579" t="s">
        <v>1706</v>
      </c>
      <c r="B1579" s="1">
        <v>45744</v>
      </c>
      <c r="C1579" t="s">
        <v>95</v>
      </c>
      <c r="D1579">
        <v>13</v>
      </c>
      <c r="E1579" t="s">
        <v>33</v>
      </c>
      <c r="F1579" t="s">
        <v>87</v>
      </c>
      <c r="G1579" t="s">
        <v>26</v>
      </c>
      <c r="H1579" t="s">
        <v>64</v>
      </c>
      <c r="I1579">
        <v>37350</v>
      </c>
      <c r="J1579">
        <v>26232</v>
      </c>
    </row>
    <row r="1580" spans="1:10" x14ac:dyDescent="0.3">
      <c r="A1580" t="s">
        <v>1707</v>
      </c>
      <c r="B1580" s="1">
        <v>45958</v>
      </c>
      <c r="C1580" t="s">
        <v>66</v>
      </c>
      <c r="D1580">
        <v>44</v>
      </c>
      <c r="E1580" t="s">
        <v>39</v>
      </c>
      <c r="F1580" t="s">
        <v>101</v>
      </c>
      <c r="G1580" t="s">
        <v>324</v>
      </c>
      <c r="H1580" t="s">
        <v>59</v>
      </c>
      <c r="I1580">
        <v>35317</v>
      </c>
      <c r="J1580">
        <v>40406</v>
      </c>
    </row>
    <row r="1581" spans="1:10" x14ac:dyDescent="0.3">
      <c r="A1581" t="s">
        <v>1708</v>
      </c>
      <c r="B1581" s="1">
        <v>45863</v>
      </c>
      <c r="C1581" t="s">
        <v>11</v>
      </c>
      <c r="D1581">
        <v>30</v>
      </c>
      <c r="E1581" t="s">
        <v>33</v>
      </c>
      <c r="F1581" t="s">
        <v>92</v>
      </c>
      <c r="G1581" t="s">
        <v>324</v>
      </c>
      <c r="H1581" t="s">
        <v>55</v>
      </c>
      <c r="I1581">
        <v>31252</v>
      </c>
      <c r="J1581">
        <v>25095</v>
      </c>
    </row>
    <row r="1582" spans="1:10" x14ac:dyDescent="0.3">
      <c r="A1582" t="s">
        <v>1709</v>
      </c>
      <c r="B1582" s="1">
        <v>45842</v>
      </c>
      <c r="C1582" t="s">
        <v>11</v>
      </c>
      <c r="D1582">
        <v>27</v>
      </c>
      <c r="E1582" t="s">
        <v>39</v>
      </c>
      <c r="F1582" t="s">
        <v>19</v>
      </c>
      <c r="G1582" t="s">
        <v>30</v>
      </c>
      <c r="H1582" t="s">
        <v>41</v>
      </c>
      <c r="I1582">
        <v>21851</v>
      </c>
      <c r="J1582">
        <v>27189</v>
      </c>
    </row>
    <row r="1583" spans="1:10" x14ac:dyDescent="0.3">
      <c r="A1583" t="s">
        <v>1710</v>
      </c>
      <c r="B1583" s="1">
        <v>45758</v>
      </c>
      <c r="C1583" t="s">
        <v>86</v>
      </c>
      <c r="D1583">
        <v>15</v>
      </c>
      <c r="E1583" t="s">
        <v>33</v>
      </c>
      <c r="F1583" t="s">
        <v>92</v>
      </c>
      <c r="G1583" t="s">
        <v>171</v>
      </c>
      <c r="H1583" t="s">
        <v>36</v>
      </c>
      <c r="I1583">
        <v>33536</v>
      </c>
      <c r="J1583">
        <v>39410</v>
      </c>
    </row>
    <row r="1584" spans="1:10" x14ac:dyDescent="0.3">
      <c r="A1584" t="s">
        <v>1711</v>
      </c>
      <c r="B1584" s="1">
        <v>46006</v>
      </c>
      <c r="C1584" t="s">
        <v>100</v>
      </c>
      <c r="D1584">
        <v>51</v>
      </c>
      <c r="E1584" t="s">
        <v>61</v>
      </c>
      <c r="F1584" t="s">
        <v>78</v>
      </c>
      <c r="G1584" t="s">
        <v>326</v>
      </c>
      <c r="H1584" t="s">
        <v>36</v>
      </c>
      <c r="I1584">
        <v>37465</v>
      </c>
      <c r="J1584">
        <v>35311</v>
      </c>
    </row>
    <row r="1585" spans="1:10" x14ac:dyDescent="0.3">
      <c r="A1585" t="s">
        <v>1712</v>
      </c>
      <c r="B1585" s="1">
        <v>45859</v>
      </c>
      <c r="C1585" t="s">
        <v>11</v>
      </c>
      <c r="D1585">
        <v>30</v>
      </c>
      <c r="E1585" t="s">
        <v>39</v>
      </c>
      <c r="F1585" t="s">
        <v>75</v>
      </c>
      <c r="G1585" t="s">
        <v>182</v>
      </c>
      <c r="H1585" t="s">
        <v>52</v>
      </c>
      <c r="I1585">
        <v>17728</v>
      </c>
      <c r="J1585">
        <v>14380</v>
      </c>
    </row>
    <row r="1586" spans="1:10" x14ac:dyDescent="0.3">
      <c r="A1586" t="s">
        <v>1713</v>
      </c>
      <c r="B1586" s="1">
        <v>45776</v>
      </c>
      <c r="C1586" t="s">
        <v>86</v>
      </c>
      <c r="D1586">
        <v>18</v>
      </c>
      <c r="E1586" t="s">
        <v>24</v>
      </c>
      <c r="F1586" t="s">
        <v>34</v>
      </c>
      <c r="G1586" t="s">
        <v>14</v>
      </c>
      <c r="H1586" t="s">
        <v>31</v>
      </c>
      <c r="I1586">
        <v>15504</v>
      </c>
      <c r="J1586">
        <v>18629</v>
      </c>
    </row>
    <row r="1587" spans="1:10" x14ac:dyDescent="0.3">
      <c r="A1587" t="s">
        <v>1714</v>
      </c>
      <c r="B1587" s="1">
        <v>46007</v>
      </c>
      <c r="C1587" t="s">
        <v>100</v>
      </c>
      <c r="D1587">
        <v>51</v>
      </c>
      <c r="E1587" t="s">
        <v>18</v>
      </c>
      <c r="F1587" t="s">
        <v>25</v>
      </c>
      <c r="G1587" t="s">
        <v>128</v>
      </c>
      <c r="H1587" t="s">
        <v>68</v>
      </c>
      <c r="I1587">
        <v>23873</v>
      </c>
      <c r="J1587">
        <v>30298</v>
      </c>
    </row>
    <row r="1588" spans="1:10" x14ac:dyDescent="0.3">
      <c r="A1588" t="s">
        <v>1715</v>
      </c>
      <c r="B1588" s="1">
        <v>45946</v>
      </c>
      <c r="C1588" t="s">
        <v>66</v>
      </c>
      <c r="D1588">
        <v>42</v>
      </c>
      <c r="E1588" t="s">
        <v>70</v>
      </c>
      <c r="F1588" t="s">
        <v>109</v>
      </c>
      <c r="G1588" t="s">
        <v>30</v>
      </c>
      <c r="H1588" t="s">
        <v>36</v>
      </c>
      <c r="I1588">
        <v>24588</v>
      </c>
      <c r="J1588">
        <v>31549</v>
      </c>
    </row>
    <row r="1589" spans="1:10" x14ac:dyDescent="0.3">
      <c r="A1589" t="s">
        <v>1716</v>
      </c>
      <c r="B1589" s="1">
        <v>45855</v>
      </c>
      <c r="C1589" t="s">
        <v>11</v>
      </c>
      <c r="D1589">
        <v>29</v>
      </c>
      <c r="E1589" t="s">
        <v>24</v>
      </c>
      <c r="F1589" t="s">
        <v>101</v>
      </c>
      <c r="G1589" t="s">
        <v>88</v>
      </c>
      <c r="H1589" t="s">
        <v>155</v>
      </c>
      <c r="I1589">
        <v>18576</v>
      </c>
      <c r="J1589">
        <v>13935</v>
      </c>
    </row>
    <row r="1590" spans="1:10" x14ac:dyDescent="0.3">
      <c r="A1590" t="s">
        <v>1717</v>
      </c>
      <c r="B1590" s="1">
        <v>45682</v>
      </c>
      <c r="C1590" t="s">
        <v>17</v>
      </c>
      <c r="D1590">
        <v>4</v>
      </c>
      <c r="E1590" t="s">
        <v>61</v>
      </c>
      <c r="F1590" t="s">
        <v>43</v>
      </c>
      <c r="G1590" t="s">
        <v>107</v>
      </c>
      <c r="H1590" t="s">
        <v>243</v>
      </c>
      <c r="I1590">
        <v>27292</v>
      </c>
      <c r="J1590">
        <v>33138</v>
      </c>
    </row>
    <row r="1591" spans="1:10" x14ac:dyDescent="0.3">
      <c r="A1591" t="s">
        <v>1718</v>
      </c>
      <c r="B1591" s="1">
        <v>45715</v>
      </c>
      <c r="C1591" t="s">
        <v>82</v>
      </c>
      <c r="D1591">
        <v>9</v>
      </c>
      <c r="E1591" t="s">
        <v>18</v>
      </c>
      <c r="F1591" t="s">
        <v>29</v>
      </c>
      <c r="G1591" t="s">
        <v>135</v>
      </c>
      <c r="H1591" t="s">
        <v>36</v>
      </c>
      <c r="I1591">
        <v>17114</v>
      </c>
      <c r="J1591">
        <v>17241</v>
      </c>
    </row>
    <row r="1592" spans="1:10" x14ac:dyDescent="0.3">
      <c r="A1592" t="s">
        <v>1719</v>
      </c>
      <c r="B1592" s="1">
        <v>45701</v>
      </c>
      <c r="C1592" t="s">
        <v>82</v>
      </c>
      <c r="D1592">
        <v>7</v>
      </c>
      <c r="E1592" t="s">
        <v>12</v>
      </c>
      <c r="F1592" t="s">
        <v>140</v>
      </c>
      <c r="G1592" t="s">
        <v>20</v>
      </c>
      <c r="H1592" t="s">
        <v>98</v>
      </c>
      <c r="I1592">
        <v>33263</v>
      </c>
      <c r="J1592">
        <v>25989</v>
      </c>
    </row>
    <row r="1593" spans="1:10" x14ac:dyDescent="0.3">
      <c r="A1593" t="s">
        <v>1720</v>
      </c>
      <c r="B1593" s="1">
        <v>45686</v>
      </c>
      <c r="C1593" t="s">
        <v>17</v>
      </c>
      <c r="D1593">
        <v>5</v>
      </c>
      <c r="E1593" t="s">
        <v>12</v>
      </c>
      <c r="F1593" t="s">
        <v>25</v>
      </c>
      <c r="G1593" t="s">
        <v>199</v>
      </c>
      <c r="H1593" t="s">
        <v>27</v>
      </c>
      <c r="I1593">
        <v>20981</v>
      </c>
      <c r="J1593">
        <v>20721</v>
      </c>
    </row>
    <row r="1594" spans="1:10" x14ac:dyDescent="0.3">
      <c r="A1594" t="s">
        <v>1721</v>
      </c>
      <c r="B1594" s="1">
        <v>45971</v>
      </c>
      <c r="C1594" t="s">
        <v>23</v>
      </c>
      <c r="D1594">
        <v>46</v>
      </c>
      <c r="E1594" t="s">
        <v>39</v>
      </c>
      <c r="F1594" t="s">
        <v>29</v>
      </c>
      <c r="G1594" t="s">
        <v>83</v>
      </c>
      <c r="H1594" t="s">
        <v>157</v>
      </c>
      <c r="I1594">
        <v>35682</v>
      </c>
      <c r="J1594">
        <v>29204</v>
      </c>
    </row>
    <row r="1595" spans="1:10" x14ac:dyDescent="0.3">
      <c r="A1595" t="s">
        <v>1722</v>
      </c>
      <c r="B1595" s="1">
        <v>45934</v>
      </c>
      <c r="C1595" t="s">
        <v>66</v>
      </c>
      <c r="D1595">
        <v>40</v>
      </c>
      <c r="E1595" t="s">
        <v>18</v>
      </c>
      <c r="F1595" t="s">
        <v>87</v>
      </c>
      <c r="G1595" t="s">
        <v>44</v>
      </c>
      <c r="H1595" t="s">
        <v>27</v>
      </c>
      <c r="I1595">
        <v>38531</v>
      </c>
      <c r="J1595">
        <v>47703</v>
      </c>
    </row>
    <row r="1596" spans="1:10" x14ac:dyDescent="0.3">
      <c r="A1596" t="s">
        <v>1723</v>
      </c>
      <c r="B1596" s="1">
        <v>45925</v>
      </c>
      <c r="C1596" t="s">
        <v>38</v>
      </c>
      <c r="D1596">
        <v>39</v>
      </c>
      <c r="E1596" t="s">
        <v>61</v>
      </c>
      <c r="F1596" t="s">
        <v>78</v>
      </c>
      <c r="G1596" t="s">
        <v>201</v>
      </c>
      <c r="H1596" t="s">
        <v>98</v>
      </c>
      <c r="I1596">
        <v>18886</v>
      </c>
      <c r="J1596">
        <v>16009</v>
      </c>
    </row>
    <row r="1597" spans="1:10" x14ac:dyDescent="0.3">
      <c r="A1597" t="s">
        <v>1724</v>
      </c>
      <c r="B1597" s="1">
        <v>45765</v>
      </c>
      <c r="C1597" t="s">
        <v>86</v>
      </c>
      <c r="D1597">
        <v>16</v>
      </c>
      <c r="E1597" t="s">
        <v>24</v>
      </c>
      <c r="F1597" t="s">
        <v>109</v>
      </c>
      <c r="G1597" t="s">
        <v>88</v>
      </c>
      <c r="H1597" t="s">
        <v>31</v>
      </c>
      <c r="I1597">
        <v>23022</v>
      </c>
      <c r="J1597">
        <v>29513</v>
      </c>
    </row>
    <row r="1598" spans="1:10" x14ac:dyDescent="0.3">
      <c r="A1598" t="s">
        <v>1725</v>
      </c>
      <c r="B1598" s="1">
        <v>45906</v>
      </c>
      <c r="C1598" t="s">
        <v>38</v>
      </c>
      <c r="D1598">
        <v>36</v>
      </c>
      <c r="E1598" t="s">
        <v>39</v>
      </c>
      <c r="F1598" t="s">
        <v>62</v>
      </c>
      <c r="G1598" t="s">
        <v>72</v>
      </c>
      <c r="H1598" t="s">
        <v>123</v>
      </c>
      <c r="I1598">
        <v>23089</v>
      </c>
      <c r="J1598">
        <v>17678</v>
      </c>
    </row>
    <row r="1599" spans="1:10" x14ac:dyDescent="0.3">
      <c r="A1599" t="s">
        <v>1726</v>
      </c>
      <c r="B1599" s="1">
        <v>45950</v>
      </c>
      <c r="C1599" t="s">
        <v>66</v>
      </c>
      <c r="D1599">
        <v>43</v>
      </c>
      <c r="E1599" t="s">
        <v>33</v>
      </c>
      <c r="F1599" t="s">
        <v>62</v>
      </c>
      <c r="G1599" t="s">
        <v>171</v>
      </c>
      <c r="H1599" t="s">
        <v>98</v>
      </c>
      <c r="I1599">
        <v>31095</v>
      </c>
      <c r="J1599">
        <v>38637</v>
      </c>
    </row>
    <row r="1600" spans="1:10" x14ac:dyDescent="0.3">
      <c r="A1600" t="s">
        <v>1727</v>
      </c>
      <c r="B1600" s="1">
        <v>45795</v>
      </c>
      <c r="C1600" t="s">
        <v>90</v>
      </c>
      <c r="D1600">
        <v>20</v>
      </c>
      <c r="E1600" t="s">
        <v>70</v>
      </c>
      <c r="F1600" t="s">
        <v>109</v>
      </c>
      <c r="G1600" t="s">
        <v>234</v>
      </c>
      <c r="H1600" t="s">
        <v>21</v>
      </c>
      <c r="I1600">
        <v>39895</v>
      </c>
      <c r="J1600">
        <v>35087</v>
      </c>
    </row>
    <row r="1601" spans="1:10" x14ac:dyDescent="0.3">
      <c r="A1601" t="s">
        <v>1728</v>
      </c>
      <c r="B1601" s="1">
        <v>45765</v>
      </c>
      <c r="C1601" t="s">
        <v>86</v>
      </c>
      <c r="D1601">
        <v>16</v>
      </c>
      <c r="E1601" t="s">
        <v>70</v>
      </c>
      <c r="F1601" t="s">
        <v>43</v>
      </c>
      <c r="G1601" t="s">
        <v>126</v>
      </c>
      <c r="H1601" t="s">
        <v>41</v>
      </c>
      <c r="I1601">
        <v>21211</v>
      </c>
      <c r="J1601">
        <v>21296</v>
      </c>
    </row>
    <row r="1602" spans="1:10" x14ac:dyDescent="0.3">
      <c r="A1602" t="s">
        <v>1729</v>
      </c>
      <c r="B1602" s="1">
        <v>45780</v>
      </c>
      <c r="C1602" t="s">
        <v>90</v>
      </c>
      <c r="D1602">
        <v>18</v>
      </c>
      <c r="E1602" t="s">
        <v>18</v>
      </c>
      <c r="F1602" t="s">
        <v>13</v>
      </c>
      <c r="G1602" t="s">
        <v>115</v>
      </c>
      <c r="H1602" t="s">
        <v>163</v>
      </c>
      <c r="I1602">
        <v>37746</v>
      </c>
      <c r="J1602">
        <v>35004</v>
      </c>
    </row>
    <row r="1603" spans="1:10" x14ac:dyDescent="0.3">
      <c r="A1603" t="s">
        <v>1730</v>
      </c>
      <c r="B1603" s="1">
        <v>45918</v>
      </c>
      <c r="C1603" t="s">
        <v>38</v>
      </c>
      <c r="D1603">
        <v>38</v>
      </c>
      <c r="E1603" t="s">
        <v>70</v>
      </c>
      <c r="F1603" t="s">
        <v>140</v>
      </c>
      <c r="G1603" t="s">
        <v>224</v>
      </c>
      <c r="H1603" t="s">
        <v>211</v>
      </c>
      <c r="I1603">
        <v>25405</v>
      </c>
      <c r="J1603">
        <v>23248</v>
      </c>
    </row>
    <row r="1604" spans="1:10" x14ac:dyDescent="0.3">
      <c r="A1604" t="s">
        <v>1731</v>
      </c>
      <c r="B1604" s="1">
        <v>45871</v>
      </c>
      <c r="C1604" t="s">
        <v>113</v>
      </c>
      <c r="D1604">
        <v>31</v>
      </c>
      <c r="E1604" t="s">
        <v>33</v>
      </c>
      <c r="F1604" t="s">
        <v>19</v>
      </c>
      <c r="G1604" t="s">
        <v>160</v>
      </c>
      <c r="H1604" t="s">
        <v>31</v>
      </c>
      <c r="I1604">
        <v>16342</v>
      </c>
      <c r="J1604">
        <v>12799</v>
      </c>
    </row>
    <row r="1605" spans="1:10" x14ac:dyDescent="0.3">
      <c r="A1605" t="s">
        <v>1732</v>
      </c>
      <c r="B1605" s="1">
        <v>45909</v>
      </c>
      <c r="C1605" t="s">
        <v>38</v>
      </c>
      <c r="D1605">
        <v>37</v>
      </c>
      <c r="E1605" t="s">
        <v>70</v>
      </c>
      <c r="F1605" t="s">
        <v>101</v>
      </c>
      <c r="G1605" t="s">
        <v>326</v>
      </c>
      <c r="H1605" t="s">
        <v>163</v>
      </c>
      <c r="I1605">
        <v>30767</v>
      </c>
      <c r="J1605">
        <v>25343</v>
      </c>
    </row>
    <row r="1606" spans="1:10" x14ac:dyDescent="0.3">
      <c r="A1606" t="s">
        <v>1733</v>
      </c>
      <c r="B1606" s="1">
        <v>45767</v>
      </c>
      <c r="C1606" t="s">
        <v>86</v>
      </c>
      <c r="D1606">
        <v>16</v>
      </c>
      <c r="E1606" t="s">
        <v>12</v>
      </c>
      <c r="F1606" t="s">
        <v>114</v>
      </c>
      <c r="G1606" t="s">
        <v>145</v>
      </c>
      <c r="H1606" t="s">
        <v>15</v>
      </c>
      <c r="I1606">
        <v>29720</v>
      </c>
      <c r="J1606">
        <v>23488</v>
      </c>
    </row>
    <row r="1607" spans="1:10" x14ac:dyDescent="0.3">
      <c r="A1607" t="s">
        <v>1734</v>
      </c>
      <c r="B1607" s="1">
        <v>45947</v>
      </c>
      <c r="C1607" t="s">
        <v>66</v>
      </c>
      <c r="D1607">
        <v>42</v>
      </c>
      <c r="E1607" t="s">
        <v>39</v>
      </c>
      <c r="F1607" t="s">
        <v>101</v>
      </c>
      <c r="G1607" t="s">
        <v>72</v>
      </c>
      <c r="H1607" t="s">
        <v>27</v>
      </c>
      <c r="I1607">
        <v>19833</v>
      </c>
      <c r="J1607">
        <v>22285</v>
      </c>
    </row>
    <row r="1608" spans="1:10" x14ac:dyDescent="0.3">
      <c r="A1608" t="s">
        <v>1735</v>
      </c>
      <c r="B1608" s="1">
        <v>46004</v>
      </c>
      <c r="C1608" t="s">
        <v>100</v>
      </c>
      <c r="D1608">
        <v>50</v>
      </c>
      <c r="E1608" t="s">
        <v>61</v>
      </c>
      <c r="F1608" t="s">
        <v>25</v>
      </c>
      <c r="G1608" t="s">
        <v>79</v>
      </c>
      <c r="H1608" t="s">
        <v>116</v>
      </c>
      <c r="I1608">
        <v>30964</v>
      </c>
      <c r="J1608">
        <v>26060</v>
      </c>
    </row>
    <row r="1609" spans="1:10" x14ac:dyDescent="0.3">
      <c r="A1609" t="s">
        <v>1736</v>
      </c>
      <c r="B1609" s="1">
        <v>45786</v>
      </c>
      <c r="C1609" t="s">
        <v>90</v>
      </c>
      <c r="D1609">
        <v>19</v>
      </c>
      <c r="E1609" t="s">
        <v>39</v>
      </c>
      <c r="F1609" t="s">
        <v>193</v>
      </c>
      <c r="G1609" t="s">
        <v>110</v>
      </c>
      <c r="H1609" t="s">
        <v>157</v>
      </c>
      <c r="I1609">
        <v>29520</v>
      </c>
      <c r="J1609">
        <v>36177</v>
      </c>
    </row>
    <row r="1610" spans="1:10" x14ac:dyDescent="0.3">
      <c r="A1610" t="s">
        <v>1737</v>
      </c>
      <c r="B1610" s="1">
        <v>45887</v>
      </c>
      <c r="C1610" t="s">
        <v>113</v>
      </c>
      <c r="D1610">
        <v>34</v>
      </c>
      <c r="E1610" t="s">
        <v>12</v>
      </c>
      <c r="F1610" t="s">
        <v>19</v>
      </c>
      <c r="G1610" t="s">
        <v>135</v>
      </c>
      <c r="H1610" t="s">
        <v>119</v>
      </c>
      <c r="I1610">
        <v>33791</v>
      </c>
      <c r="J1610">
        <v>37657</v>
      </c>
    </row>
    <row r="1611" spans="1:10" x14ac:dyDescent="0.3">
      <c r="A1611" t="s">
        <v>1738</v>
      </c>
      <c r="B1611" s="1">
        <v>45934</v>
      </c>
      <c r="C1611" t="s">
        <v>66</v>
      </c>
      <c r="D1611">
        <v>40</v>
      </c>
      <c r="E1611" t="s">
        <v>12</v>
      </c>
      <c r="F1611" t="s">
        <v>114</v>
      </c>
      <c r="G1611" t="s">
        <v>206</v>
      </c>
      <c r="H1611" t="s">
        <v>21</v>
      </c>
      <c r="I1611">
        <v>31462</v>
      </c>
      <c r="J1611">
        <v>25229</v>
      </c>
    </row>
    <row r="1612" spans="1:10" x14ac:dyDescent="0.3">
      <c r="A1612" t="s">
        <v>1739</v>
      </c>
      <c r="B1612" s="1">
        <v>45684</v>
      </c>
      <c r="C1612" t="s">
        <v>17</v>
      </c>
      <c r="D1612">
        <v>5</v>
      </c>
      <c r="E1612" t="s">
        <v>39</v>
      </c>
      <c r="F1612" t="s">
        <v>34</v>
      </c>
      <c r="G1612" t="s">
        <v>14</v>
      </c>
      <c r="H1612" t="s">
        <v>151</v>
      </c>
      <c r="I1612">
        <v>32465</v>
      </c>
      <c r="J1612">
        <v>38738</v>
      </c>
    </row>
    <row r="1613" spans="1:10" x14ac:dyDescent="0.3">
      <c r="A1613" t="s">
        <v>1740</v>
      </c>
      <c r="B1613" s="1">
        <v>45851</v>
      </c>
      <c r="C1613" t="s">
        <v>11</v>
      </c>
      <c r="D1613">
        <v>28</v>
      </c>
      <c r="E1613" t="s">
        <v>33</v>
      </c>
      <c r="F1613" t="s">
        <v>87</v>
      </c>
      <c r="G1613" t="s">
        <v>88</v>
      </c>
      <c r="H1613" t="s">
        <v>188</v>
      </c>
      <c r="I1613">
        <v>33208</v>
      </c>
      <c r="J1613">
        <v>36777</v>
      </c>
    </row>
    <row r="1614" spans="1:10" x14ac:dyDescent="0.3">
      <c r="A1614" t="s">
        <v>1741</v>
      </c>
      <c r="B1614" s="1">
        <v>45940</v>
      </c>
      <c r="C1614" t="s">
        <v>66</v>
      </c>
      <c r="D1614">
        <v>41</v>
      </c>
      <c r="E1614" t="s">
        <v>18</v>
      </c>
      <c r="F1614" t="s">
        <v>87</v>
      </c>
      <c r="G1614" t="s">
        <v>126</v>
      </c>
      <c r="H1614" t="s">
        <v>27</v>
      </c>
      <c r="I1614">
        <v>32030</v>
      </c>
      <c r="J1614">
        <v>34973</v>
      </c>
    </row>
    <row r="1615" spans="1:10" x14ac:dyDescent="0.3">
      <c r="A1615" t="s">
        <v>1742</v>
      </c>
      <c r="B1615" s="1">
        <v>45735</v>
      </c>
      <c r="C1615" t="s">
        <v>95</v>
      </c>
      <c r="D1615">
        <v>12</v>
      </c>
      <c r="E1615" t="s">
        <v>61</v>
      </c>
      <c r="F1615" t="s">
        <v>122</v>
      </c>
      <c r="G1615" t="s">
        <v>30</v>
      </c>
      <c r="H1615" t="s">
        <v>123</v>
      </c>
      <c r="I1615">
        <v>35547</v>
      </c>
      <c r="J1615">
        <v>34206</v>
      </c>
    </row>
    <row r="1616" spans="1:10" x14ac:dyDescent="0.3">
      <c r="A1616" t="s">
        <v>1743</v>
      </c>
      <c r="B1616" s="1">
        <v>45973</v>
      </c>
      <c r="C1616" t="s">
        <v>23</v>
      </c>
      <c r="D1616">
        <v>46</v>
      </c>
      <c r="E1616" t="s">
        <v>12</v>
      </c>
      <c r="F1616" t="s">
        <v>109</v>
      </c>
      <c r="G1616" t="s">
        <v>326</v>
      </c>
      <c r="H1616" t="s">
        <v>165</v>
      </c>
      <c r="I1616">
        <v>37301</v>
      </c>
      <c r="J1616">
        <v>45568</v>
      </c>
    </row>
    <row r="1617" spans="1:10" x14ac:dyDescent="0.3">
      <c r="A1617" t="s">
        <v>1744</v>
      </c>
      <c r="B1617" s="1">
        <v>45704</v>
      </c>
      <c r="C1617" t="s">
        <v>82</v>
      </c>
      <c r="D1617">
        <v>7</v>
      </c>
      <c r="E1617" t="s">
        <v>70</v>
      </c>
      <c r="F1617" t="s">
        <v>57</v>
      </c>
      <c r="G1617" t="s">
        <v>44</v>
      </c>
      <c r="H1617" t="s">
        <v>21</v>
      </c>
      <c r="I1617">
        <v>35799</v>
      </c>
      <c r="J1617">
        <v>37430</v>
      </c>
    </row>
    <row r="1618" spans="1:10" x14ac:dyDescent="0.3">
      <c r="A1618" t="s">
        <v>1745</v>
      </c>
      <c r="B1618" s="1">
        <v>46015</v>
      </c>
      <c r="C1618" t="s">
        <v>100</v>
      </c>
      <c r="D1618">
        <v>52</v>
      </c>
      <c r="E1618" t="s">
        <v>12</v>
      </c>
      <c r="F1618" t="s">
        <v>50</v>
      </c>
      <c r="G1618" t="s">
        <v>147</v>
      </c>
      <c r="H1618" t="s">
        <v>31</v>
      </c>
      <c r="I1618">
        <v>19911</v>
      </c>
      <c r="J1618">
        <v>23035</v>
      </c>
    </row>
    <row r="1619" spans="1:10" x14ac:dyDescent="0.3">
      <c r="A1619" t="s">
        <v>1746</v>
      </c>
      <c r="B1619" s="1">
        <v>45746</v>
      </c>
      <c r="C1619" t="s">
        <v>95</v>
      </c>
      <c r="D1619">
        <v>13</v>
      </c>
      <c r="E1619" t="s">
        <v>33</v>
      </c>
      <c r="F1619" t="s">
        <v>50</v>
      </c>
      <c r="G1619" t="s">
        <v>14</v>
      </c>
      <c r="H1619" t="s">
        <v>55</v>
      </c>
      <c r="I1619">
        <v>30632</v>
      </c>
      <c r="J1619">
        <v>38307</v>
      </c>
    </row>
    <row r="1620" spans="1:10" x14ac:dyDescent="0.3">
      <c r="A1620" t="s">
        <v>1747</v>
      </c>
      <c r="B1620" s="1">
        <v>45725</v>
      </c>
      <c r="C1620" t="s">
        <v>95</v>
      </c>
      <c r="D1620">
        <v>10</v>
      </c>
      <c r="E1620" t="s">
        <v>18</v>
      </c>
      <c r="F1620" t="s">
        <v>57</v>
      </c>
      <c r="G1620" t="s">
        <v>26</v>
      </c>
      <c r="H1620" t="s">
        <v>80</v>
      </c>
      <c r="I1620">
        <v>26028</v>
      </c>
      <c r="J1620">
        <v>20859</v>
      </c>
    </row>
    <row r="1621" spans="1:10" x14ac:dyDescent="0.3">
      <c r="A1621" t="s">
        <v>1748</v>
      </c>
      <c r="B1621" s="1">
        <v>45768</v>
      </c>
      <c r="C1621" t="s">
        <v>86</v>
      </c>
      <c r="D1621">
        <v>17</v>
      </c>
      <c r="E1621" t="s">
        <v>18</v>
      </c>
      <c r="F1621" t="s">
        <v>75</v>
      </c>
      <c r="G1621" t="s">
        <v>40</v>
      </c>
      <c r="H1621" t="s">
        <v>116</v>
      </c>
      <c r="I1621">
        <v>31737</v>
      </c>
      <c r="J1621">
        <v>36659</v>
      </c>
    </row>
    <row r="1622" spans="1:10" x14ac:dyDescent="0.3">
      <c r="A1622" t="s">
        <v>1749</v>
      </c>
      <c r="B1622" s="1">
        <v>45672</v>
      </c>
      <c r="C1622" t="s">
        <v>17</v>
      </c>
      <c r="D1622">
        <v>3</v>
      </c>
      <c r="E1622" t="s">
        <v>61</v>
      </c>
      <c r="F1622" t="s">
        <v>43</v>
      </c>
      <c r="G1622" t="s">
        <v>107</v>
      </c>
      <c r="H1622" t="s">
        <v>111</v>
      </c>
      <c r="I1622">
        <v>17722</v>
      </c>
      <c r="J1622">
        <v>16227</v>
      </c>
    </row>
    <row r="1623" spans="1:10" x14ac:dyDescent="0.3">
      <c r="A1623" t="s">
        <v>1750</v>
      </c>
      <c r="B1623" s="1">
        <v>45920</v>
      </c>
      <c r="C1623" t="s">
        <v>38</v>
      </c>
      <c r="D1623">
        <v>38</v>
      </c>
      <c r="E1623" t="s">
        <v>33</v>
      </c>
      <c r="F1623" t="s">
        <v>46</v>
      </c>
      <c r="G1623" t="s">
        <v>132</v>
      </c>
      <c r="H1623" t="s">
        <v>211</v>
      </c>
      <c r="I1623">
        <v>36141</v>
      </c>
      <c r="J1623">
        <v>31922</v>
      </c>
    </row>
    <row r="1624" spans="1:10" x14ac:dyDescent="0.3">
      <c r="A1624" t="s">
        <v>1751</v>
      </c>
      <c r="B1624" s="1">
        <v>45905</v>
      </c>
      <c r="C1624" t="s">
        <v>38</v>
      </c>
      <c r="D1624">
        <v>36</v>
      </c>
      <c r="E1624" t="s">
        <v>33</v>
      </c>
      <c r="F1624" t="s">
        <v>62</v>
      </c>
      <c r="G1624" t="s">
        <v>63</v>
      </c>
      <c r="H1624" t="s">
        <v>27</v>
      </c>
      <c r="I1624">
        <v>15073</v>
      </c>
      <c r="J1624">
        <v>12955</v>
      </c>
    </row>
    <row r="1625" spans="1:10" x14ac:dyDescent="0.3">
      <c r="A1625" t="s">
        <v>1752</v>
      </c>
      <c r="B1625" s="1">
        <v>45698</v>
      </c>
      <c r="C1625" t="s">
        <v>82</v>
      </c>
      <c r="D1625">
        <v>7</v>
      </c>
      <c r="E1625" t="s">
        <v>12</v>
      </c>
      <c r="F1625" t="s">
        <v>114</v>
      </c>
      <c r="G1625" t="s">
        <v>63</v>
      </c>
      <c r="H1625" t="s">
        <v>84</v>
      </c>
      <c r="I1625">
        <v>17784</v>
      </c>
      <c r="J1625">
        <v>17406</v>
      </c>
    </row>
    <row r="1626" spans="1:10" x14ac:dyDescent="0.3">
      <c r="A1626" t="s">
        <v>1753</v>
      </c>
      <c r="B1626" s="1">
        <v>45863</v>
      </c>
      <c r="C1626" t="s">
        <v>11</v>
      </c>
      <c r="D1626">
        <v>30</v>
      </c>
      <c r="E1626" t="s">
        <v>18</v>
      </c>
      <c r="F1626" t="s">
        <v>193</v>
      </c>
      <c r="G1626" t="s">
        <v>88</v>
      </c>
      <c r="H1626" t="s">
        <v>165</v>
      </c>
      <c r="I1626">
        <v>21631</v>
      </c>
      <c r="J1626">
        <v>18509</v>
      </c>
    </row>
    <row r="1627" spans="1:10" x14ac:dyDescent="0.3">
      <c r="A1627" t="s">
        <v>1754</v>
      </c>
      <c r="B1627" s="1">
        <v>45871</v>
      </c>
      <c r="C1627" t="s">
        <v>113</v>
      </c>
      <c r="D1627">
        <v>31</v>
      </c>
      <c r="E1627" t="s">
        <v>18</v>
      </c>
      <c r="F1627" t="s">
        <v>46</v>
      </c>
      <c r="G1627" t="s">
        <v>44</v>
      </c>
      <c r="H1627" t="s">
        <v>133</v>
      </c>
      <c r="I1627">
        <v>24414</v>
      </c>
      <c r="J1627">
        <v>25419</v>
      </c>
    </row>
    <row r="1628" spans="1:10" x14ac:dyDescent="0.3">
      <c r="A1628" t="s">
        <v>1755</v>
      </c>
      <c r="B1628" s="1">
        <v>45984</v>
      </c>
      <c r="C1628" t="s">
        <v>23</v>
      </c>
      <c r="D1628">
        <v>47</v>
      </c>
      <c r="E1628" t="s">
        <v>24</v>
      </c>
      <c r="F1628" t="s">
        <v>34</v>
      </c>
      <c r="G1628" t="s">
        <v>47</v>
      </c>
      <c r="H1628" t="s">
        <v>84</v>
      </c>
      <c r="I1628">
        <v>36335</v>
      </c>
      <c r="J1628">
        <v>32250</v>
      </c>
    </row>
    <row r="1629" spans="1:10" x14ac:dyDescent="0.3">
      <c r="A1629" t="s">
        <v>1756</v>
      </c>
      <c r="B1629" s="1">
        <v>45747</v>
      </c>
      <c r="C1629" t="s">
        <v>95</v>
      </c>
      <c r="D1629">
        <v>14</v>
      </c>
      <c r="E1629" t="s">
        <v>24</v>
      </c>
      <c r="F1629" t="s">
        <v>50</v>
      </c>
      <c r="G1629" t="s">
        <v>191</v>
      </c>
      <c r="H1629" t="s">
        <v>15</v>
      </c>
      <c r="I1629">
        <v>38043</v>
      </c>
      <c r="J1629">
        <v>42741</v>
      </c>
    </row>
    <row r="1630" spans="1:10" x14ac:dyDescent="0.3">
      <c r="A1630" t="s">
        <v>1757</v>
      </c>
      <c r="B1630" s="1">
        <v>45972</v>
      </c>
      <c r="C1630" t="s">
        <v>23</v>
      </c>
      <c r="D1630">
        <v>46</v>
      </c>
      <c r="E1630" t="s">
        <v>39</v>
      </c>
      <c r="F1630" t="s">
        <v>87</v>
      </c>
      <c r="G1630" t="s">
        <v>132</v>
      </c>
      <c r="H1630" t="s">
        <v>151</v>
      </c>
      <c r="I1630">
        <v>21775</v>
      </c>
      <c r="J1630">
        <v>26443</v>
      </c>
    </row>
    <row r="1631" spans="1:10" x14ac:dyDescent="0.3">
      <c r="A1631" t="s">
        <v>1758</v>
      </c>
      <c r="B1631" s="1">
        <v>45859</v>
      </c>
      <c r="C1631" t="s">
        <v>11</v>
      </c>
      <c r="D1631">
        <v>30</v>
      </c>
      <c r="E1631" t="s">
        <v>70</v>
      </c>
      <c r="F1631" t="s">
        <v>34</v>
      </c>
      <c r="G1631" t="s">
        <v>58</v>
      </c>
      <c r="H1631" t="s">
        <v>52</v>
      </c>
      <c r="I1631">
        <v>39290</v>
      </c>
      <c r="J1631">
        <v>37576</v>
      </c>
    </row>
    <row r="1632" spans="1:10" x14ac:dyDescent="0.3">
      <c r="A1632" t="s">
        <v>1759</v>
      </c>
      <c r="B1632" s="1">
        <v>45753</v>
      </c>
      <c r="C1632" t="s">
        <v>86</v>
      </c>
      <c r="D1632">
        <v>14</v>
      </c>
      <c r="E1632" t="s">
        <v>70</v>
      </c>
      <c r="F1632" t="s">
        <v>25</v>
      </c>
      <c r="G1632" t="s">
        <v>199</v>
      </c>
      <c r="H1632" t="s">
        <v>98</v>
      </c>
      <c r="I1632">
        <v>29227</v>
      </c>
      <c r="J1632">
        <v>21187</v>
      </c>
    </row>
    <row r="1633" spans="1:10" x14ac:dyDescent="0.3">
      <c r="A1633" t="s">
        <v>1760</v>
      </c>
      <c r="B1633" s="1">
        <v>45726</v>
      </c>
      <c r="C1633" t="s">
        <v>95</v>
      </c>
      <c r="D1633">
        <v>11</v>
      </c>
      <c r="E1633" t="s">
        <v>18</v>
      </c>
      <c r="F1633" t="s">
        <v>13</v>
      </c>
      <c r="G1633" t="s">
        <v>234</v>
      </c>
      <c r="H1633" t="s">
        <v>96</v>
      </c>
      <c r="I1633">
        <v>33545</v>
      </c>
      <c r="J1633">
        <v>36196</v>
      </c>
    </row>
    <row r="1634" spans="1:10" x14ac:dyDescent="0.3">
      <c r="A1634" t="s">
        <v>1761</v>
      </c>
      <c r="B1634" s="1">
        <v>45879</v>
      </c>
      <c r="C1634" t="s">
        <v>113</v>
      </c>
      <c r="D1634">
        <v>32</v>
      </c>
      <c r="E1634" t="s">
        <v>33</v>
      </c>
      <c r="F1634" t="s">
        <v>43</v>
      </c>
      <c r="G1634" t="s">
        <v>171</v>
      </c>
      <c r="H1634" t="s">
        <v>123</v>
      </c>
      <c r="I1634">
        <v>31842</v>
      </c>
      <c r="J1634">
        <v>26470</v>
      </c>
    </row>
    <row r="1635" spans="1:10" x14ac:dyDescent="0.3">
      <c r="A1635" t="s">
        <v>1762</v>
      </c>
      <c r="B1635" s="1">
        <v>45678</v>
      </c>
      <c r="C1635" t="s">
        <v>17</v>
      </c>
      <c r="D1635">
        <v>4</v>
      </c>
      <c r="E1635" t="s">
        <v>61</v>
      </c>
      <c r="F1635" t="s">
        <v>101</v>
      </c>
      <c r="G1635" t="s">
        <v>141</v>
      </c>
      <c r="H1635" t="s">
        <v>48</v>
      </c>
      <c r="I1635">
        <v>28291</v>
      </c>
      <c r="J1635">
        <v>35828</v>
      </c>
    </row>
    <row r="1636" spans="1:10" x14ac:dyDescent="0.3">
      <c r="A1636" t="s">
        <v>1763</v>
      </c>
      <c r="B1636" s="1">
        <v>45941</v>
      </c>
      <c r="C1636" t="s">
        <v>66</v>
      </c>
      <c r="D1636">
        <v>41</v>
      </c>
      <c r="E1636" t="s">
        <v>24</v>
      </c>
      <c r="F1636" t="s">
        <v>50</v>
      </c>
      <c r="G1636" t="s">
        <v>58</v>
      </c>
      <c r="H1636" t="s">
        <v>96</v>
      </c>
      <c r="I1636">
        <v>26888</v>
      </c>
      <c r="J1636">
        <v>25648</v>
      </c>
    </row>
    <row r="1637" spans="1:10" x14ac:dyDescent="0.3">
      <c r="A1637" t="s">
        <v>1764</v>
      </c>
      <c r="B1637" s="1">
        <v>46000</v>
      </c>
      <c r="C1637" t="s">
        <v>100</v>
      </c>
      <c r="D1637">
        <v>50</v>
      </c>
      <c r="E1637" t="s">
        <v>61</v>
      </c>
      <c r="F1637" t="s">
        <v>62</v>
      </c>
      <c r="G1637" t="s">
        <v>230</v>
      </c>
      <c r="H1637" t="s">
        <v>243</v>
      </c>
      <c r="I1637">
        <v>20297</v>
      </c>
      <c r="J1637">
        <v>14286</v>
      </c>
    </row>
    <row r="1638" spans="1:10" x14ac:dyDescent="0.3">
      <c r="A1638" t="s">
        <v>1765</v>
      </c>
      <c r="B1638" s="1">
        <v>45701</v>
      </c>
      <c r="C1638" t="s">
        <v>82</v>
      </c>
      <c r="D1638">
        <v>7</v>
      </c>
      <c r="E1638" t="s">
        <v>18</v>
      </c>
      <c r="F1638" t="s">
        <v>92</v>
      </c>
      <c r="G1638" t="s">
        <v>171</v>
      </c>
      <c r="H1638" t="s">
        <v>27</v>
      </c>
      <c r="I1638">
        <v>30130</v>
      </c>
      <c r="J1638">
        <v>27025</v>
      </c>
    </row>
    <row r="1639" spans="1:10" x14ac:dyDescent="0.3">
      <c r="A1639" t="s">
        <v>1766</v>
      </c>
      <c r="B1639" s="1">
        <v>45983</v>
      </c>
      <c r="C1639" t="s">
        <v>23</v>
      </c>
      <c r="D1639">
        <v>47</v>
      </c>
      <c r="E1639" t="s">
        <v>33</v>
      </c>
      <c r="F1639" t="s">
        <v>193</v>
      </c>
      <c r="G1639" t="s">
        <v>326</v>
      </c>
      <c r="H1639" t="s">
        <v>188</v>
      </c>
      <c r="I1639">
        <v>38573</v>
      </c>
      <c r="J1639">
        <v>43699</v>
      </c>
    </row>
    <row r="1640" spans="1:10" x14ac:dyDescent="0.3">
      <c r="A1640" t="s">
        <v>1767</v>
      </c>
      <c r="B1640" s="1">
        <v>45811</v>
      </c>
      <c r="C1640" t="s">
        <v>74</v>
      </c>
      <c r="D1640">
        <v>23</v>
      </c>
      <c r="E1640" t="s">
        <v>33</v>
      </c>
      <c r="F1640" t="s">
        <v>13</v>
      </c>
      <c r="G1640" t="s">
        <v>199</v>
      </c>
      <c r="H1640" t="s">
        <v>59</v>
      </c>
      <c r="I1640">
        <v>31796</v>
      </c>
      <c r="J1640">
        <v>38280</v>
      </c>
    </row>
    <row r="1641" spans="1:10" x14ac:dyDescent="0.3">
      <c r="A1641" t="s">
        <v>1768</v>
      </c>
      <c r="B1641" s="1">
        <v>45908</v>
      </c>
      <c r="C1641" t="s">
        <v>38</v>
      </c>
      <c r="D1641">
        <v>37</v>
      </c>
      <c r="E1641" t="s">
        <v>18</v>
      </c>
      <c r="F1641" t="s">
        <v>43</v>
      </c>
      <c r="G1641" t="s">
        <v>253</v>
      </c>
      <c r="H1641" t="s">
        <v>48</v>
      </c>
      <c r="I1641">
        <v>36162</v>
      </c>
      <c r="J1641">
        <v>38987</v>
      </c>
    </row>
    <row r="1642" spans="1:10" x14ac:dyDescent="0.3">
      <c r="A1642" t="s">
        <v>1769</v>
      </c>
      <c r="B1642" s="1">
        <v>45692</v>
      </c>
      <c r="C1642" t="s">
        <v>82</v>
      </c>
      <c r="D1642">
        <v>6</v>
      </c>
      <c r="E1642" t="s">
        <v>33</v>
      </c>
      <c r="F1642" t="s">
        <v>34</v>
      </c>
      <c r="G1642" t="s">
        <v>199</v>
      </c>
      <c r="H1642" t="s">
        <v>243</v>
      </c>
      <c r="I1642">
        <v>33880</v>
      </c>
      <c r="J1642">
        <v>28428</v>
      </c>
    </row>
    <row r="1643" spans="1:10" x14ac:dyDescent="0.3">
      <c r="A1643" t="s">
        <v>1770</v>
      </c>
      <c r="B1643" s="1">
        <v>45970</v>
      </c>
      <c r="C1643" t="s">
        <v>23</v>
      </c>
      <c r="D1643">
        <v>45</v>
      </c>
      <c r="E1643" t="s">
        <v>33</v>
      </c>
      <c r="F1643" t="s">
        <v>50</v>
      </c>
      <c r="G1643" t="s">
        <v>141</v>
      </c>
      <c r="H1643" t="s">
        <v>31</v>
      </c>
      <c r="I1643">
        <v>27135</v>
      </c>
      <c r="J1643">
        <v>19755</v>
      </c>
    </row>
    <row r="1644" spans="1:10" x14ac:dyDescent="0.3">
      <c r="A1644" t="s">
        <v>1771</v>
      </c>
      <c r="B1644" s="1">
        <v>45810</v>
      </c>
      <c r="C1644" t="s">
        <v>74</v>
      </c>
      <c r="D1644">
        <v>23</v>
      </c>
      <c r="E1644" t="s">
        <v>12</v>
      </c>
      <c r="F1644" t="s">
        <v>25</v>
      </c>
      <c r="G1644" t="s">
        <v>44</v>
      </c>
      <c r="H1644" t="s">
        <v>165</v>
      </c>
      <c r="I1644">
        <v>22240</v>
      </c>
      <c r="J1644">
        <v>24137</v>
      </c>
    </row>
    <row r="1645" spans="1:10" x14ac:dyDescent="0.3">
      <c r="A1645" t="s">
        <v>1772</v>
      </c>
      <c r="B1645" s="1">
        <v>45865</v>
      </c>
      <c r="C1645" t="s">
        <v>11</v>
      </c>
      <c r="D1645">
        <v>30</v>
      </c>
      <c r="E1645" t="s">
        <v>18</v>
      </c>
      <c r="F1645" t="s">
        <v>140</v>
      </c>
      <c r="G1645" t="s">
        <v>30</v>
      </c>
      <c r="H1645" t="s">
        <v>96</v>
      </c>
      <c r="I1645">
        <v>16122</v>
      </c>
      <c r="J1645">
        <v>16763</v>
      </c>
    </row>
    <row r="1646" spans="1:10" x14ac:dyDescent="0.3">
      <c r="A1646" t="s">
        <v>1773</v>
      </c>
      <c r="B1646" s="1">
        <v>45989</v>
      </c>
      <c r="C1646" t="s">
        <v>23</v>
      </c>
      <c r="D1646">
        <v>48</v>
      </c>
      <c r="E1646" t="s">
        <v>12</v>
      </c>
      <c r="F1646" t="s">
        <v>87</v>
      </c>
      <c r="G1646" t="s">
        <v>93</v>
      </c>
      <c r="H1646" t="s">
        <v>119</v>
      </c>
      <c r="I1646">
        <v>21794</v>
      </c>
      <c r="J1646">
        <v>23420</v>
      </c>
    </row>
    <row r="1647" spans="1:10" x14ac:dyDescent="0.3">
      <c r="A1647" t="s">
        <v>1774</v>
      </c>
      <c r="B1647" s="1">
        <v>45670</v>
      </c>
      <c r="C1647" t="s">
        <v>17</v>
      </c>
      <c r="D1647">
        <v>3</v>
      </c>
      <c r="E1647" t="s">
        <v>39</v>
      </c>
      <c r="F1647" t="s">
        <v>140</v>
      </c>
      <c r="G1647" t="s">
        <v>149</v>
      </c>
      <c r="H1647" t="s">
        <v>31</v>
      </c>
      <c r="I1647">
        <v>22593</v>
      </c>
      <c r="J1647">
        <v>22819</v>
      </c>
    </row>
    <row r="1648" spans="1:10" x14ac:dyDescent="0.3">
      <c r="A1648" t="s">
        <v>1775</v>
      </c>
      <c r="B1648" s="1">
        <v>45746</v>
      </c>
      <c r="C1648" t="s">
        <v>95</v>
      </c>
      <c r="D1648">
        <v>13</v>
      </c>
      <c r="E1648" t="s">
        <v>33</v>
      </c>
      <c r="F1648" t="s">
        <v>29</v>
      </c>
      <c r="G1648" t="s">
        <v>206</v>
      </c>
      <c r="H1648" t="s">
        <v>64</v>
      </c>
      <c r="I1648">
        <v>35166</v>
      </c>
      <c r="J1648">
        <v>28064</v>
      </c>
    </row>
    <row r="1649" spans="1:10" x14ac:dyDescent="0.3">
      <c r="A1649" t="s">
        <v>1776</v>
      </c>
      <c r="B1649" s="1">
        <v>45829</v>
      </c>
      <c r="C1649" t="s">
        <v>74</v>
      </c>
      <c r="D1649">
        <v>25</v>
      </c>
      <c r="E1649" t="s">
        <v>12</v>
      </c>
      <c r="F1649" t="s">
        <v>101</v>
      </c>
      <c r="G1649" t="s">
        <v>72</v>
      </c>
      <c r="H1649" t="s">
        <v>98</v>
      </c>
      <c r="I1649">
        <v>32777</v>
      </c>
      <c r="J1649">
        <v>26383</v>
      </c>
    </row>
    <row r="1650" spans="1:10" x14ac:dyDescent="0.3">
      <c r="A1650" t="s">
        <v>1777</v>
      </c>
      <c r="B1650" s="1">
        <v>45964</v>
      </c>
      <c r="C1650" t="s">
        <v>23</v>
      </c>
      <c r="D1650">
        <v>45</v>
      </c>
      <c r="E1650" t="s">
        <v>33</v>
      </c>
      <c r="F1650" t="s">
        <v>25</v>
      </c>
      <c r="G1650" t="s">
        <v>110</v>
      </c>
      <c r="H1650" t="s">
        <v>243</v>
      </c>
      <c r="I1650">
        <v>24458</v>
      </c>
      <c r="J1650">
        <v>19250</v>
      </c>
    </row>
    <row r="1651" spans="1:10" x14ac:dyDescent="0.3">
      <c r="A1651" t="s">
        <v>1778</v>
      </c>
      <c r="B1651" s="1">
        <v>45734</v>
      </c>
      <c r="C1651" t="s">
        <v>95</v>
      </c>
      <c r="D1651">
        <v>12</v>
      </c>
      <c r="E1651" t="s">
        <v>70</v>
      </c>
      <c r="F1651" t="s">
        <v>109</v>
      </c>
      <c r="G1651" t="s">
        <v>182</v>
      </c>
      <c r="H1651" t="s">
        <v>103</v>
      </c>
      <c r="I1651">
        <v>25909</v>
      </c>
      <c r="J1651">
        <v>29406</v>
      </c>
    </row>
    <row r="1652" spans="1:10" x14ac:dyDescent="0.3">
      <c r="A1652" t="s">
        <v>1779</v>
      </c>
      <c r="B1652" s="1">
        <v>45681</v>
      </c>
      <c r="C1652" t="s">
        <v>17</v>
      </c>
      <c r="D1652">
        <v>4</v>
      </c>
      <c r="E1652" t="s">
        <v>18</v>
      </c>
      <c r="F1652" t="s">
        <v>29</v>
      </c>
      <c r="G1652" t="s">
        <v>115</v>
      </c>
      <c r="H1652" t="s">
        <v>98</v>
      </c>
      <c r="I1652">
        <v>17419</v>
      </c>
      <c r="J1652">
        <v>21909</v>
      </c>
    </row>
    <row r="1653" spans="1:10" x14ac:dyDescent="0.3">
      <c r="A1653" t="s">
        <v>1780</v>
      </c>
      <c r="B1653" s="1">
        <v>45869</v>
      </c>
      <c r="C1653" t="s">
        <v>11</v>
      </c>
      <c r="D1653">
        <v>31</v>
      </c>
      <c r="E1653" t="s">
        <v>33</v>
      </c>
      <c r="F1653" t="s">
        <v>25</v>
      </c>
      <c r="G1653" t="s">
        <v>26</v>
      </c>
      <c r="H1653" t="s">
        <v>165</v>
      </c>
      <c r="I1653">
        <v>32613</v>
      </c>
      <c r="J1653">
        <v>35676</v>
      </c>
    </row>
    <row r="1654" spans="1:10" x14ac:dyDescent="0.3">
      <c r="A1654" t="s">
        <v>1781</v>
      </c>
      <c r="B1654" s="1">
        <v>45795</v>
      </c>
      <c r="C1654" t="s">
        <v>90</v>
      </c>
      <c r="D1654">
        <v>20</v>
      </c>
      <c r="E1654" t="s">
        <v>18</v>
      </c>
      <c r="F1654" t="s">
        <v>46</v>
      </c>
      <c r="G1654" t="s">
        <v>63</v>
      </c>
      <c r="H1654" t="s">
        <v>59</v>
      </c>
      <c r="I1654">
        <v>23908</v>
      </c>
      <c r="J1654">
        <v>20603</v>
      </c>
    </row>
    <row r="1655" spans="1:10" x14ac:dyDescent="0.3">
      <c r="A1655" t="s">
        <v>1782</v>
      </c>
      <c r="B1655" s="1">
        <v>45922</v>
      </c>
      <c r="C1655" t="s">
        <v>38</v>
      </c>
      <c r="D1655">
        <v>39</v>
      </c>
      <c r="E1655" t="s">
        <v>24</v>
      </c>
      <c r="F1655" t="s">
        <v>101</v>
      </c>
      <c r="G1655" t="s">
        <v>83</v>
      </c>
      <c r="H1655" t="s">
        <v>15</v>
      </c>
      <c r="I1655">
        <v>24548</v>
      </c>
      <c r="J1655">
        <v>22733</v>
      </c>
    </row>
    <row r="1656" spans="1:10" x14ac:dyDescent="0.3">
      <c r="A1656" t="s">
        <v>1783</v>
      </c>
      <c r="B1656" s="1">
        <v>45658</v>
      </c>
      <c r="C1656" t="s">
        <v>17</v>
      </c>
      <c r="D1656">
        <v>1</v>
      </c>
      <c r="E1656" t="s">
        <v>33</v>
      </c>
      <c r="F1656" t="s">
        <v>46</v>
      </c>
      <c r="G1656" t="s">
        <v>224</v>
      </c>
      <c r="H1656" t="s">
        <v>15</v>
      </c>
      <c r="I1656">
        <v>20353</v>
      </c>
      <c r="J1656">
        <v>24486</v>
      </c>
    </row>
    <row r="1657" spans="1:10" x14ac:dyDescent="0.3">
      <c r="A1657" t="s">
        <v>1784</v>
      </c>
      <c r="B1657" s="1">
        <v>46007</v>
      </c>
      <c r="C1657" t="s">
        <v>100</v>
      </c>
      <c r="D1657">
        <v>51</v>
      </c>
      <c r="E1657" t="s">
        <v>24</v>
      </c>
      <c r="F1657" t="s">
        <v>25</v>
      </c>
      <c r="G1657" t="s">
        <v>107</v>
      </c>
      <c r="H1657" t="s">
        <v>163</v>
      </c>
      <c r="I1657">
        <v>26928</v>
      </c>
      <c r="J1657">
        <v>23436</v>
      </c>
    </row>
    <row r="1658" spans="1:10" x14ac:dyDescent="0.3">
      <c r="A1658" t="s">
        <v>1785</v>
      </c>
      <c r="B1658" s="1">
        <v>45690</v>
      </c>
      <c r="C1658" t="s">
        <v>82</v>
      </c>
      <c r="D1658">
        <v>5</v>
      </c>
      <c r="E1658" t="s">
        <v>33</v>
      </c>
      <c r="F1658" t="s">
        <v>109</v>
      </c>
      <c r="G1658" t="s">
        <v>58</v>
      </c>
      <c r="H1658" t="s">
        <v>98</v>
      </c>
      <c r="I1658">
        <v>27931</v>
      </c>
      <c r="J1658">
        <v>29764</v>
      </c>
    </row>
    <row r="1659" spans="1:10" x14ac:dyDescent="0.3">
      <c r="A1659" t="s">
        <v>1786</v>
      </c>
      <c r="B1659" s="1">
        <v>45805</v>
      </c>
      <c r="C1659" t="s">
        <v>90</v>
      </c>
      <c r="D1659">
        <v>22</v>
      </c>
      <c r="E1659" t="s">
        <v>39</v>
      </c>
      <c r="F1659" t="s">
        <v>29</v>
      </c>
      <c r="G1659" t="s">
        <v>47</v>
      </c>
      <c r="H1659" t="s">
        <v>52</v>
      </c>
      <c r="I1659">
        <v>29334</v>
      </c>
      <c r="J1659">
        <v>36316</v>
      </c>
    </row>
    <row r="1660" spans="1:10" x14ac:dyDescent="0.3">
      <c r="A1660" t="s">
        <v>1787</v>
      </c>
      <c r="B1660" s="1">
        <v>45704</v>
      </c>
      <c r="C1660" t="s">
        <v>82</v>
      </c>
      <c r="D1660">
        <v>7</v>
      </c>
      <c r="E1660" t="s">
        <v>61</v>
      </c>
      <c r="F1660" t="s">
        <v>109</v>
      </c>
      <c r="G1660" t="s">
        <v>141</v>
      </c>
      <c r="H1660" t="s">
        <v>31</v>
      </c>
      <c r="I1660">
        <v>34728</v>
      </c>
      <c r="J1660">
        <v>38473</v>
      </c>
    </row>
    <row r="1661" spans="1:10" x14ac:dyDescent="0.3">
      <c r="A1661" t="s">
        <v>1788</v>
      </c>
      <c r="B1661" s="1">
        <v>45987</v>
      </c>
      <c r="C1661" t="s">
        <v>23</v>
      </c>
      <c r="D1661">
        <v>48</v>
      </c>
      <c r="E1661" t="s">
        <v>18</v>
      </c>
      <c r="F1661" t="s">
        <v>19</v>
      </c>
      <c r="G1661" t="s">
        <v>35</v>
      </c>
      <c r="H1661" t="s">
        <v>84</v>
      </c>
      <c r="I1661">
        <v>31279</v>
      </c>
      <c r="J1661">
        <v>32103</v>
      </c>
    </row>
    <row r="1662" spans="1:10" x14ac:dyDescent="0.3">
      <c r="A1662" t="s">
        <v>1789</v>
      </c>
      <c r="B1662" s="1">
        <v>45666</v>
      </c>
      <c r="C1662" t="s">
        <v>17</v>
      </c>
      <c r="D1662">
        <v>2</v>
      </c>
      <c r="E1662" t="s">
        <v>61</v>
      </c>
      <c r="F1662" t="s">
        <v>75</v>
      </c>
      <c r="G1662" t="s">
        <v>201</v>
      </c>
      <c r="H1662" t="s">
        <v>157</v>
      </c>
      <c r="I1662">
        <v>38703</v>
      </c>
      <c r="J1662">
        <v>36459</v>
      </c>
    </row>
    <row r="1663" spans="1:10" x14ac:dyDescent="0.3">
      <c r="A1663" t="s">
        <v>1790</v>
      </c>
      <c r="B1663" s="1">
        <v>46003</v>
      </c>
      <c r="C1663" t="s">
        <v>100</v>
      </c>
      <c r="D1663">
        <v>50</v>
      </c>
      <c r="E1663" t="s">
        <v>61</v>
      </c>
      <c r="F1663" t="s">
        <v>140</v>
      </c>
      <c r="G1663" t="s">
        <v>160</v>
      </c>
      <c r="H1663" t="s">
        <v>165</v>
      </c>
      <c r="I1663">
        <v>25737</v>
      </c>
      <c r="J1663">
        <v>29642</v>
      </c>
    </row>
    <row r="1664" spans="1:10" x14ac:dyDescent="0.3">
      <c r="A1664" t="s">
        <v>1791</v>
      </c>
      <c r="B1664" s="1">
        <v>45743</v>
      </c>
      <c r="C1664" t="s">
        <v>95</v>
      </c>
      <c r="D1664">
        <v>13</v>
      </c>
      <c r="E1664" t="s">
        <v>12</v>
      </c>
      <c r="F1664" t="s">
        <v>78</v>
      </c>
      <c r="G1664" t="s">
        <v>35</v>
      </c>
      <c r="H1664" t="s">
        <v>243</v>
      </c>
      <c r="I1664">
        <v>19383</v>
      </c>
      <c r="J1664">
        <v>18003</v>
      </c>
    </row>
    <row r="1665" spans="1:10" x14ac:dyDescent="0.3">
      <c r="A1665" t="s">
        <v>1792</v>
      </c>
      <c r="B1665" s="1">
        <v>45759</v>
      </c>
      <c r="C1665" t="s">
        <v>86</v>
      </c>
      <c r="D1665">
        <v>15</v>
      </c>
      <c r="E1665" t="s">
        <v>33</v>
      </c>
      <c r="F1665" t="s">
        <v>114</v>
      </c>
      <c r="G1665" t="s">
        <v>130</v>
      </c>
      <c r="H1665" t="s">
        <v>151</v>
      </c>
      <c r="I1665">
        <v>33770</v>
      </c>
      <c r="J1665">
        <v>40011</v>
      </c>
    </row>
    <row r="1666" spans="1:10" x14ac:dyDescent="0.3">
      <c r="A1666" t="s">
        <v>1793</v>
      </c>
      <c r="B1666" s="1">
        <v>45756</v>
      </c>
      <c r="C1666" t="s">
        <v>86</v>
      </c>
      <c r="D1666">
        <v>15</v>
      </c>
      <c r="E1666" t="s">
        <v>18</v>
      </c>
      <c r="F1666" t="s">
        <v>29</v>
      </c>
      <c r="G1666" t="s">
        <v>88</v>
      </c>
      <c r="H1666" t="s">
        <v>98</v>
      </c>
      <c r="I1666">
        <v>38025</v>
      </c>
      <c r="J1666">
        <v>36656</v>
      </c>
    </row>
    <row r="1667" spans="1:10" x14ac:dyDescent="0.3">
      <c r="A1667" t="s">
        <v>1794</v>
      </c>
      <c r="B1667" s="1">
        <v>45903</v>
      </c>
      <c r="C1667" t="s">
        <v>38</v>
      </c>
      <c r="D1667">
        <v>36</v>
      </c>
      <c r="E1667" t="s">
        <v>18</v>
      </c>
      <c r="F1667" t="s">
        <v>46</v>
      </c>
      <c r="G1667" t="s">
        <v>54</v>
      </c>
      <c r="H1667" t="s">
        <v>123</v>
      </c>
      <c r="I1667">
        <v>24811</v>
      </c>
      <c r="J1667">
        <v>28285</v>
      </c>
    </row>
    <row r="1668" spans="1:10" x14ac:dyDescent="0.3">
      <c r="A1668" t="s">
        <v>1795</v>
      </c>
      <c r="B1668" s="1">
        <v>45741</v>
      </c>
      <c r="C1668" t="s">
        <v>95</v>
      </c>
      <c r="D1668">
        <v>13</v>
      </c>
      <c r="E1668" t="s">
        <v>24</v>
      </c>
      <c r="F1668" t="s">
        <v>19</v>
      </c>
      <c r="G1668" t="s">
        <v>291</v>
      </c>
      <c r="H1668" t="s">
        <v>15</v>
      </c>
      <c r="I1668">
        <v>30657</v>
      </c>
      <c r="J1668">
        <v>38100</v>
      </c>
    </row>
    <row r="1669" spans="1:10" x14ac:dyDescent="0.3">
      <c r="A1669" t="s">
        <v>1796</v>
      </c>
      <c r="B1669" s="1">
        <v>46008</v>
      </c>
      <c r="C1669" t="s">
        <v>100</v>
      </c>
      <c r="D1669">
        <v>51</v>
      </c>
      <c r="E1669" t="s">
        <v>12</v>
      </c>
      <c r="F1669" t="s">
        <v>43</v>
      </c>
      <c r="G1669" t="s">
        <v>171</v>
      </c>
      <c r="H1669" t="s">
        <v>119</v>
      </c>
      <c r="I1669">
        <v>23870</v>
      </c>
      <c r="J1669">
        <v>18177</v>
      </c>
    </row>
    <row r="1670" spans="1:10" x14ac:dyDescent="0.3">
      <c r="A1670" t="s">
        <v>1797</v>
      </c>
      <c r="B1670" s="1">
        <v>45659</v>
      </c>
      <c r="C1670" t="s">
        <v>17</v>
      </c>
      <c r="D1670">
        <v>1</v>
      </c>
      <c r="E1670" t="s">
        <v>24</v>
      </c>
      <c r="F1670" t="s">
        <v>109</v>
      </c>
      <c r="G1670" t="s">
        <v>76</v>
      </c>
      <c r="H1670" t="s">
        <v>111</v>
      </c>
      <c r="I1670">
        <v>20240</v>
      </c>
      <c r="J1670">
        <v>14653</v>
      </c>
    </row>
    <row r="1671" spans="1:10" x14ac:dyDescent="0.3">
      <c r="A1671" t="s">
        <v>1798</v>
      </c>
      <c r="B1671" s="1">
        <v>45761</v>
      </c>
      <c r="C1671" t="s">
        <v>86</v>
      </c>
      <c r="D1671">
        <v>16</v>
      </c>
      <c r="E1671" t="s">
        <v>61</v>
      </c>
      <c r="F1671" t="s">
        <v>34</v>
      </c>
      <c r="G1671" t="s">
        <v>137</v>
      </c>
      <c r="H1671" t="s">
        <v>27</v>
      </c>
      <c r="I1671">
        <v>20874</v>
      </c>
      <c r="J1671">
        <v>26837</v>
      </c>
    </row>
    <row r="1672" spans="1:10" x14ac:dyDescent="0.3">
      <c r="A1672" t="s">
        <v>1799</v>
      </c>
      <c r="B1672" s="1">
        <v>45887</v>
      </c>
      <c r="C1672" t="s">
        <v>113</v>
      </c>
      <c r="D1672">
        <v>34</v>
      </c>
      <c r="E1672" t="s">
        <v>39</v>
      </c>
      <c r="F1672" t="s">
        <v>50</v>
      </c>
      <c r="G1672" t="s">
        <v>20</v>
      </c>
      <c r="H1672" t="s">
        <v>123</v>
      </c>
      <c r="I1672">
        <v>29941</v>
      </c>
      <c r="J1672">
        <v>34753</v>
      </c>
    </row>
    <row r="1673" spans="1:10" x14ac:dyDescent="0.3">
      <c r="A1673" t="s">
        <v>1800</v>
      </c>
      <c r="B1673" s="1">
        <v>45945</v>
      </c>
      <c r="C1673" t="s">
        <v>66</v>
      </c>
      <c r="D1673">
        <v>42</v>
      </c>
      <c r="E1673" t="s">
        <v>39</v>
      </c>
      <c r="F1673" t="s">
        <v>50</v>
      </c>
      <c r="G1673" t="s">
        <v>135</v>
      </c>
      <c r="H1673" t="s">
        <v>96</v>
      </c>
      <c r="I1673">
        <v>39706</v>
      </c>
      <c r="J1673">
        <v>42479</v>
      </c>
    </row>
    <row r="1674" spans="1:10" x14ac:dyDescent="0.3">
      <c r="A1674" t="s">
        <v>1801</v>
      </c>
      <c r="B1674" s="1">
        <v>45925</v>
      </c>
      <c r="C1674" t="s">
        <v>38</v>
      </c>
      <c r="D1674">
        <v>39</v>
      </c>
      <c r="E1674" t="s">
        <v>39</v>
      </c>
      <c r="F1674" t="s">
        <v>122</v>
      </c>
      <c r="G1674" t="s">
        <v>54</v>
      </c>
      <c r="H1674" t="s">
        <v>116</v>
      </c>
      <c r="I1674">
        <v>33369</v>
      </c>
      <c r="J1674">
        <v>31899</v>
      </c>
    </row>
    <row r="1675" spans="1:10" x14ac:dyDescent="0.3">
      <c r="A1675" t="s">
        <v>1802</v>
      </c>
      <c r="B1675" s="1">
        <v>45885</v>
      </c>
      <c r="C1675" t="s">
        <v>113</v>
      </c>
      <c r="D1675">
        <v>33</v>
      </c>
      <c r="E1675" t="s">
        <v>33</v>
      </c>
      <c r="F1675" t="s">
        <v>62</v>
      </c>
      <c r="G1675" t="s">
        <v>20</v>
      </c>
      <c r="H1675" t="s">
        <v>80</v>
      </c>
      <c r="I1675">
        <v>23246</v>
      </c>
      <c r="J1675">
        <v>21255</v>
      </c>
    </row>
    <row r="1676" spans="1:10" x14ac:dyDescent="0.3">
      <c r="A1676" t="s">
        <v>1803</v>
      </c>
      <c r="B1676" s="1">
        <v>45843</v>
      </c>
      <c r="C1676" t="s">
        <v>11</v>
      </c>
      <c r="D1676">
        <v>27</v>
      </c>
      <c r="E1676" t="s">
        <v>61</v>
      </c>
      <c r="F1676" t="s">
        <v>140</v>
      </c>
      <c r="G1676" t="s">
        <v>224</v>
      </c>
      <c r="H1676" t="s">
        <v>48</v>
      </c>
      <c r="I1676">
        <v>37900</v>
      </c>
      <c r="J1676">
        <v>32376</v>
      </c>
    </row>
    <row r="1677" spans="1:10" x14ac:dyDescent="0.3">
      <c r="A1677" t="s">
        <v>1804</v>
      </c>
      <c r="B1677" s="1">
        <v>45852</v>
      </c>
      <c r="C1677" t="s">
        <v>11</v>
      </c>
      <c r="D1677">
        <v>29</v>
      </c>
      <c r="E1677" t="s">
        <v>12</v>
      </c>
      <c r="F1677" t="s">
        <v>43</v>
      </c>
      <c r="G1677" t="s">
        <v>76</v>
      </c>
      <c r="H1677" t="s">
        <v>96</v>
      </c>
      <c r="I1677">
        <v>18047</v>
      </c>
      <c r="J1677">
        <v>17781</v>
      </c>
    </row>
    <row r="1678" spans="1:10" x14ac:dyDescent="0.3">
      <c r="A1678" t="s">
        <v>1805</v>
      </c>
      <c r="B1678" s="1">
        <v>45909</v>
      </c>
      <c r="C1678" t="s">
        <v>38</v>
      </c>
      <c r="D1678">
        <v>37</v>
      </c>
      <c r="E1678" t="s">
        <v>12</v>
      </c>
      <c r="F1678" t="s">
        <v>114</v>
      </c>
      <c r="G1678" t="s">
        <v>102</v>
      </c>
      <c r="H1678" t="s">
        <v>119</v>
      </c>
      <c r="I1678">
        <v>20752</v>
      </c>
      <c r="J1678">
        <v>15270</v>
      </c>
    </row>
    <row r="1679" spans="1:10" x14ac:dyDescent="0.3">
      <c r="A1679" t="s">
        <v>1806</v>
      </c>
      <c r="B1679" s="1">
        <v>45666</v>
      </c>
      <c r="C1679" t="s">
        <v>17</v>
      </c>
      <c r="D1679">
        <v>2</v>
      </c>
      <c r="E1679" t="s">
        <v>12</v>
      </c>
      <c r="F1679" t="s">
        <v>25</v>
      </c>
      <c r="G1679" t="s">
        <v>234</v>
      </c>
      <c r="H1679" t="s">
        <v>165</v>
      </c>
      <c r="I1679">
        <v>27395</v>
      </c>
      <c r="J1679">
        <v>19394</v>
      </c>
    </row>
    <row r="1680" spans="1:10" x14ac:dyDescent="0.3">
      <c r="A1680" t="s">
        <v>1807</v>
      </c>
      <c r="B1680" s="1">
        <v>45851</v>
      </c>
      <c r="C1680" t="s">
        <v>11</v>
      </c>
      <c r="D1680">
        <v>28</v>
      </c>
      <c r="E1680" t="s">
        <v>12</v>
      </c>
      <c r="F1680" t="s">
        <v>109</v>
      </c>
      <c r="G1680" t="s">
        <v>130</v>
      </c>
      <c r="H1680" t="s">
        <v>15</v>
      </c>
      <c r="I1680">
        <v>31874</v>
      </c>
      <c r="J1680">
        <v>28379</v>
      </c>
    </row>
    <row r="1681" spans="1:10" x14ac:dyDescent="0.3">
      <c r="A1681" t="s">
        <v>1808</v>
      </c>
      <c r="B1681" s="1">
        <v>46001</v>
      </c>
      <c r="C1681" t="s">
        <v>100</v>
      </c>
      <c r="D1681">
        <v>50</v>
      </c>
      <c r="E1681" t="s">
        <v>24</v>
      </c>
      <c r="F1681" t="s">
        <v>34</v>
      </c>
      <c r="G1681" t="s">
        <v>135</v>
      </c>
      <c r="H1681" t="s">
        <v>119</v>
      </c>
      <c r="I1681">
        <v>21459</v>
      </c>
      <c r="J1681">
        <v>23279</v>
      </c>
    </row>
    <row r="1682" spans="1:10" x14ac:dyDescent="0.3">
      <c r="A1682" t="s">
        <v>1809</v>
      </c>
      <c r="B1682" s="1">
        <v>45819</v>
      </c>
      <c r="C1682" t="s">
        <v>74</v>
      </c>
      <c r="D1682">
        <v>24</v>
      </c>
      <c r="E1682" t="s">
        <v>24</v>
      </c>
      <c r="F1682" t="s">
        <v>34</v>
      </c>
      <c r="G1682" t="s">
        <v>102</v>
      </c>
      <c r="H1682" t="s">
        <v>111</v>
      </c>
      <c r="I1682">
        <v>32323</v>
      </c>
      <c r="J1682">
        <v>41681</v>
      </c>
    </row>
    <row r="1683" spans="1:10" x14ac:dyDescent="0.3">
      <c r="A1683" t="s">
        <v>1810</v>
      </c>
      <c r="B1683" s="1">
        <v>45865</v>
      </c>
      <c r="C1683" t="s">
        <v>11</v>
      </c>
      <c r="D1683">
        <v>30</v>
      </c>
      <c r="E1683" t="s">
        <v>12</v>
      </c>
      <c r="F1683" t="s">
        <v>140</v>
      </c>
      <c r="G1683" t="s">
        <v>160</v>
      </c>
      <c r="H1683" t="s">
        <v>243</v>
      </c>
      <c r="I1683">
        <v>30498</v>
      </c>
      <c r="J1683">
        <v>27863</v>
      </c>
    </row>
    <row r="1684" spans="1:10" x14ac:dyDescent="0.3">
      <c r="A1684" t="s">
        <v>1811</v>
      </c>
      <c r="B1684" s="1">
        <v>45676</v>
      </c>
      <c r="C1684" t="s">
        <v>17</v>
      </c>
      <c r="D1684">
        <v>3</v>
      </c>
      <c r="E1684" t="s">
        <v>70</v>
      </c>
      <c r="F1684" t="s">
        <v>46</v>
      </c>
      <c r="G1684" t="s">
        <v>40</v>
      </c>
      <c r="H1684" t="s">
        <v>133</v>
      </c>
      <c r="I1684">
        <v>31421</v>
      </c>
      <c r="J1684">
        <v>27732</v>
      </c>
    </row>
    <row r="1685" spans="1:10" x14ac:dyDescent="0.3">
      <c r="A1685" t="s">
        <v>1812</v>
      </c>
      <c r="B1685" s="1">
        <v>45815</v>
      </c>
      <c r="C1685" t="s">
        <v>74</v>
      </c>
      <c r="D1685">
        <v>23</v>
      </c>
      <c r="E1685" t="s">
        <v>24</v>
      </c>
      <c r="F1685" t="s">
        <v>109</v>
      </c>
      <c r="G1685" t="s">
        <v>76</v>
      </c>
      <c r="H1685" t="s">
        <v>27</v>
      </c>
      <c r="I1685">
        <v>28246</v>
      </c>
      <c r="J1685">
        <v>23209</v>
      </c>
    </row>
    <row r="1686" spans="1:10" x14ac:dyDescent="0.3">
      <c r="A1686" t="s">
        <v>1813</v>
      </c>
      <c r="B1686" s="1">
        <v>45936</v>
      </c>
      <c r="C1686" t="s">
        <v>66</v>
      </c>
      <c r="D1686">
        <v>41</v>
      </c>
      <c r="E1686" t="s">
        <v>61</v>
      </c>
      <c r="F1686" t="s">
        <v>109</v>
      </c>
      <c r="G1686" t="s">
        <v>147</v>
      </c>
      <c r="H1686" t="s">
        <v>59</v>
      </c>
      <c r="I1686">
        <v>32461</v>
      </c>
      <c r="J1686">
        <v>27938</v>
      </c>
    </row>
    <row r="1687" spans="1:10" x14ac:dyDescent="0.3">
      <c r="A1687" t="s">
        <v>1814</v>
      </c>
      <c r="B1687" s="1">
        <v>45672</v>
      </c>
      <c r="C1687" t="s">
        <v>17</v>
      </c>
      <c r="D1687">
        <v>3</v>
      </c>
      <c r="E1687" t="s">
        <v>18</v>
      </c>
      <c r="F1687" t="s">
        <v>101</v>
      </c>
      <c r="G1687" t="s">
        <v>224</v>
      </c>
      <c r="H1687" t="s">
        <v>84</v>
      </c>
      <c r="I1687">
        <v>24470</v>
      </c>
      <c r="J1687">
        <v>31586</v>
      </c>
    </row>
    <row r="1688" spans="1:10" x14ac:dyDescent="0.3">
      <c r="A1688" t="s">
        <v>1815</v>
      </c>
      <c r="B1688" s="1">
        <v>45692</v>
      </c>
      <c r="C1688" t="s">
        <v>82</v>
      </c>
      <c r="D1688">
        <v>6</v>
      </c>
      <c r="E1688" t="s">
        <v>39</v>
      </c>
      <c r="F1688" t="s">
        <v>29</v>
      </c>
      <c r="G1688" t="s">
        <v>266</v>
      </c>
      <c r="H1688" t="s">
        <v>64</v>
      </c>
      <c r="I1688">
        <v>35304</v>
      </c>
      <c r="J1688">
        <v>36927</v>
      </c>
    </row>
    <row r="1689" spans="1:10" x14ac:dyDescent="0.3">
      <c r="A1689" t="s">
        <v>1816</v>
      </c>
      <c r="B1689" s="1">
        <v>45665</v>
      </c>
      <c r="C1689" t="s">
        <v>17</v>
      </c>
      <c r="D1689">
        <v>2</v>
      </c>
      <c r="E1689" t="s">
        <v>12</v>
      </c>
      <c r="F1689" t="s">
        <v>114</v>
      </c>
      <c r="G1689" t="s">
        <v>324</v>
      </c>
      <c r="H1689" t="s">
        <v>157</v>
      </c>
      <c r="I1689">
        <v>28777</v>
      </c>
      <c r="J1689">
        <v>21047</v>
      </c>
    </row>
    <row r="1690" spans="1:10" x14ac:dyDescent="0.3">
      <c r="A1690" t="s">
        <v>1817</v>
      </c>
      <c r="B1690" s="1">
        <v>45944</v>
      </c>
      <c r="C1690" t="s">
        <v>66</v>
      </c>
      <c r="D1690">
        <v>42</v>
      </c>
      <c r="E1690" t="s">
        <v>70</v>
      </c>
      <c r="F1690" t="s">
        <v>109</v>
      </c>
      <c r="G1690" t="s">
        <v>26</v>
      </c>
      <c r="H1690" t="s">
        <v>151</v>
      </c>
      <c r="I1690">
        <v>17959</v>
      </c>
      <c r="J1690">
        <v>17250</v>
      </c>
    </row>
    <row r="1691" spans="1:10" x14ac:dyDescent="0.3">
      <c r="A1691" t="s">
        <v>1818</v>
      </c>
      <c r="B1691" s="1">
        <v>45874</v>
      </c>
      <c r="C1691" t="s">
        <v>113</v>
      </c>
      <c r="D1691">
        <v>32</v>
      </c>
      <c r="E1691" t="s">
        <v>39</v>
      </c>
      <c r="F1691" t="s">
        <v>19</v>
      </c>
      <c r="G1691" t="s">
        <v>88</v>
      </c>
      <c r="H1691" t="s">
        <v>103</v>
      </c>
      <c r="I1691">
        <v>28842</v>
      </c>
      <c r="J1691">
        <v>36058</v>
      </c>
    </row>
    <row r="1692" spans="1:10" x14ac:dyDescent="0.3">
      <c r="A1692" t="s">
        <v>1819</v>
      </c>
      <c r="B1692" s="1">
        <v>45668</v>
      </c>
      <c r="C1692" t="s">
        <v>17</v>
      </c>
      <c r="D1692">
        <v>2</v>
      </c>
      <c r="E1692" t="s">
        <v>70</v>
      </c>
      <c r="F1692" t="s">
        <v>46</v>
      </c>
      <c r="G1692" t="s">
        <v>253</v>
      </c>
      <c r="H1692" t="s">
        <v>64</v>
      </c>
      <c r="I1692">
        <v>24649</v>
      </c>
      <c r="J1692">
        <v>28382</v>
      </c>
    </row>
    <row r="1693" spans="1:10" x14ac:dyDescent="0.3">
      <c r="A1693" t="s">
        <v>1820</v>
      </c>
      <c r="B1693" s="1">
        <v>45771</v>
      </c>
      <c r="C1693" t="s">
        <v>86</v>
      </c>
      <c r="D1693">
        <v>17</v>
      </c>
      <c r="E1693" t="s">
        <v>39</v>
      </c>
      <c r="F1693" t="s">
        <v>193</v>
      </c>
      <c r="G1693" t="s">
        <v>147</v>
      </c>
      <c r="H1693" t="s">
        <v>15</v>
      </c>
      <c r="I1693">
        <v>34300</v>
      </c>
      <c r="J1693">
        <v>29277</v>
      </c>
    </row>
    <row r="1694" spans="1:10" x14ac:dyDescent="0.3">
      <c r="A1694" t="s">
        <v>1821</v>
      </c>
      <c r="B1694" s="1">
        <v>45952</v>
      </c>
      <c r="C1694" t="s">
        <v>66</v>
      </c>
      <c r="D1694">
        <v>43</v>
      </c>
      <c r="E1694" t="s">
        <v>18</v>
      </c>
      <c r="F1694" t="s">
        <v>78</v>
      </c>
      <c r="G1694" t="s">
        <v>191</v>
      </c>
      <c r="H1694" t="s">
        <v>155</v>
      </c>
      <c r="I1694">
        <v>39440</v>
      </c>
      <c r="J1694">
        <v>30192</v>
      </c>
    </row>
    <row r="1695" spans="1:10" x14ac:dyDescent="0.3">
      <c r="A1695" t="s">
        <v>1822</v>
      </c>
      <c r="B1695" s="1">
        <v>45843</v>
      </c>
      <c r="C1695" t="s">
        <v>11</v>
      </c>
      <c r="D1695">
        <v>27</v>
      </c>
      <c r="E1695" t="s">
        <v>33</v>
      </c>
      <c r="F1695" t="s">
        <v>109</v>
      </c>
      <c r="G1695" t="s">
        <v>83</v>
      </c>
      <c r="H1695" t="s">
        <v>15</v>
      </c>
      <c r="I1695">
        <v>30784</v>
      </c>
      <c r="J1695">
        <v>26273</v>
      </c>
    </row>
    <row r="1696" spans="1:10" x14ac:dyDescent="0.3">
      <c r="A1696" t="s">
        <v>1823</v>
      </c>
      <c r="B1696" s="1">
        <v>45912</v>
      </c>
      <c r="C1696" t="s">
        <v>38</v>
      </c>
      <c r="D1696">
        <v>37</v>
      </c>
      <c r="E1696" t="s">
        <v>70</v>
      </c>
      <c r="F1696" t="s">
        <v>92</v>
      </c>
      <c r="G1696" t="s">
        <v>58</v>
      </c>
      <c r="H1696" t="s">
        <v>119</v>
      </c>
      <c r="I1696">
        <v>21922</v>
      </c>
      <c r="J1696">
        <v>19977</v>
      </c>
    </row>
    <row r="1697" spans="1:10" x14ac:dyDescent="0.3">
      <c r="A1697" t="s">
        <v>1824</v>
      </c>
      <c r="B1697" s="1">
        <v>45869</v>
      </c>
      <c r="C1697" t="s">
        <v>11</v>
      </c>
      <c r="D1697">
        <v>31</v>
      </c>
      <c r="E1697" t="s">
        <v>18</v>
      </c>
      <c r="F1697" t="s">
        <v>43</v>
      </c>
      <c r="G1697" t="s">
        <v>35</v>
      </c>
      <c r="H1697" t="s">
        <v>68</v>
      </c>
      <c r="I1697">
        <v>29402</v>
      </c>
      <c r="J1697">
        <v>24710</v>
      </c>
    </row>
    <row r="1698" spans="1:10" x14ac:dyDescent="0.3">
      <c r="A1698" t="s">
        <v>1825</v>
      </c>
      <c r="B1698" s="1">
        <v>45769</v>
      </c>
      <c r="C1698" t="s">
        <v>86</v>
      </c>
      <c r="D1698">
        <v>17</v>
      </c>
      <c r="E1698" t="s">
        <v>24</v>
      </c>
      <c r="F1698" t="s">
        <v>50</v>
      </c>
      <c r="G1698" t="s">
        <v>160</v>
      </c>
      <c r="H1698" t="s">
        <v>48</v>
      </c>
      <c r="I1698">
        <v>21665</v>
      </c>
      <c r="J1698">
        <v>16325</v>
      </c>
    </row>
    <row r="1699" spans="1:10" x14ac:dyDescent="0.3">
      <c r="A1699" t="s">
        <v>1826</v>
      </c>
      <c r="B1699" s="1">
        <v>45697</v>
      </c>
      <c r="C1699" t="s">
        <v>82</v>
      </c>
      <c r="D1699">
        <v>6</v>
      </c>
      <c r="E1699" t="s">
        <v>33</v>
      </c>
      <c r="F1699" t="s">
        <v>75</v>
      </c>
      <c r="G1699" t="s">
        <v>47</v>
      </c>
      <c r="H1699" t="s">
        <v>15</v>
      </c>
      <c r="I1699">
        <v>26839</v>
      </c>
      <c r="J1699">
        <v>20247</v>
      </c>
    </row>
    <row r="1700" spans="1:10" x14ac:dyDescent="0.3">
      <c r="A1700" t="s">
        <v>1827</v>
      </c>
      <c r="B1700" s="1">
        <v>45740</v>
      </c>
      <c r="C1700" t="s">
        <v>95</v>
      </c>
      <c r="D1700">
        <v>13</v>
      </c>
      <c r="E1700" t="s">
        <v>39</v>
      </c>
      <c r="F1700" t="s">
        <v>92</v>
      </c>
      <c r="G1700" t="s">
        <v>240</v>
      </c>
      <c r="H1700" t="s">
        <v>31</v>
      </c>
      <c r="I1700">
        <v>26803</v>
      </c>
      <c r="J1700">
        <v>26112</v>
      </c>
    </row>
    <row r="1701" spans="1:10" x14ac:dyDescent="0.3">
      <c r="A1701" t="s">
        <v>1828</v>
      </c>
      <c r="B1701" s="1">
        <v>45676</v>
      </c>
      <c r="C1701" t="s">
        <v>17</v>
      </c>
      <c r="D1701">
        <v>3</v>
      </c>
      <c r="E1701" t="s">
        <v>12</v>
      </c>
      <c r="F1701" t="s">
        <v>34</v>
      </c>
      <c r="G1701" t="s">
        <v>115</v>
      </c>
      <c r="H1701" t="s">
        <v>64</v>
      </c>
      <c r="I1701">
        <v>16766</v>
      </c>
      <c r="J1701">
        <v>14691</v>
      </c>
    </row>
    <row r="1702" spans="1:10" x14ac:dyDescent="0.3">
      <c r="A1702" t="s">
        <v>1829</v>
      </c>
      <c r="B1702" s="1">
        <v>45823</v>
      </c>
      <c r="C1702" t="s">
        <v>74</v>
      </c>
      <c r="D1702">
        <v>24</v>
      </c>
      <c r="E1702" t="s">
        <v>18</v>
      </c>
      <c r="F1702" t="s">
        <v>122</v>
      </c>
      <c r="G1702" t="s">
        <v>199</v>
      </c>
      <c r="H1702" t="s">
        <v>111</v>
      </c>
      <c r="I1702">
        <v>29038</v>
      </c>
      <c r="J1702">
        <v>23766</v>
      </c>
    </row>
    <row r="1703" spans="1:10" x14ac:dyDescent="0.3">
      <c r="A1703" t="s">
        <v>1830</v>
      </c>
      <c r="B1703" s="1">
        <v>45976</v>
      </c>
      <c r="C1703" t="s">
        <v>23</v>
      </c>
      <c r="D1703">
        <v>46</v>
      </c>
      <c r="E1703" t="s">
        <v>70</v>
      </c>
      <c r="F1703" t="s">
        <v>87</v>
      </c>
      <c r="G1703" t="s">
        <v>44</v>
      </c>
      <c r="H1703" t="s">
        <v>163</v>
      </c>
      <c r="I1703">
        <v>34342</v>
      </c>
      <c r="J1703">
        <v>40650</v>
      </c>
    </row>
    <row r="1704" spans="1:10" x14ac:dyDescent="0.3">
      <c r="A1704" t="s">
        <v>1831</v>
      </c>
      <c r="B1704" s="1">
        <v>45955</v>
      </c>
      <c r="C1704" t="s">
        <v>66</v>
      </c>
      <c r="D1704">
        <v>43</v>
      </c>
      <c r="E1704" t="s">
        <v>33</v>
      </c>
      <c r="F1704" t="s">
        <v>109</v>
      </c>
      <c r="G1704" t="s">
        <v>76</v>
      </c>
      <c r="H1704" t="s">
        <v>68</v>
      </c>
      <c r="I1704">
        <v>18505</v>
      </c>
      <c r="J1704">
        <v>23946</v>
      </c>
    </row>
    <row r="1705" spans="1:10" x14ac:dyDescent="0.3">
      <c r="A1705" t="s">
        <v>1832</v>
      </c>
      <c r="B1705" s="1">
        <v>45929</v>
      </c>
      <c r="C1705" t="s">
        <v>38</v>
      </c>
      <c r="D1705">
        <v>40</v>
      </c>
      <c r="E1705" t="s">
        <v>39</v>
      </c>
      <c r="F1705" t="s">
        <v>101</v>
      </c>
      <c r="G1705" t="s">
        <v>44</v>
      </c>
      <c r="H1705" t="s">
        <v>64</v>
      </c>
      <c r="I1705">
        <v>31419</v>
      </c>
      <c r="J1705">
        <v>27369</v>
      </c>
    </row>
    <row r="1706" spans="1:10" x14ac:dyDescent="0.3">
      <c r="A1706" t="s">
        <v>1833</v>
      </c>
      <c r="B1706" s="1">
        <v>45918</v>
      </c>
      <c r="C1706" t="s">
        <v>38</v>
      </c>
      <c r="D1706">
        <v>38</v>
      </c>
      <c r="E1706" t="s">
        <v>12</v>
      </c>
      <c r="F1706" t="s">
        <v>109</v>
      </c>
      <c r="G1706" t="s">
        <v>93</v>
      </c>
      <c r="H1706" t="s">
        <v>116</v>
      </c>
      <c r="I1706">
        <v>20979</v>
      </c>
      <c r="J1706">
        <v>23178</v>
      </c>
    </row>
    <row r="1707" spans="1:10" x14ac:dyDescent="0.3">
      <c r="A1707" t="s">
        <v>1834</v>
      </c>
      <c r="B1707" s="1">
        <v>45908</v>
      </c>
      <c r="C1707" t="s">
        <v>38</v>
      </c>
      <c r="D1707">
        <v>37</v>
      </c>
      <c r="E1707" t="s">
        <v>61</v>
      </c>
      <c r="F1707" t="s">
        <v>75</v>
      </c>
      <c r="G1707" t="s">
        <v>58</v>
      </c>
      <c r="H1707" t="s">
        <v>119</v>
      </c>
      <c r="I1707">
        <v>21927</v>
      </c>
      <c r="J1707">
        <v>25608</v>
      </c>
    </row>
    <row r="1708" spans="1:10" x14ac:dyDescent="0.3">
      <c r="A1708" t="s">
        <v>1835</v>
      </c>
      <c r="B1708" s="1">
        <v>45694</v>
      </c>
      <c r="C1708" t="s">
        <v>82</v>
      </c>
      <c r="D1708">
        <v>6</v>
      </c>
      <c r="E1708" t="s">
        <v>24</v>
      </c>
      <c r="F1708" t="s">
        <v>78</v>
      </c>
      <c r="G1708" t="s">
        <v>26</v>
      </c>
      <c r="H1708" t="s">
        <v>151</v>
      </c>
      <c r="I1708">
        <v>35516</v>
      </c>
      <c r="J1708">
        <v>38920</v>
      </c>
    </row>
    <row r="1709" spans="1:10" x14ac:dyDescent="0.3">
      <c r="A1709" t="s">
        <v>1836</v>
      </c>
      <c r="B1709" s="1">
        <v>45997</v>
      </c>
      <c r="C1709" t="s">
        <v>100</v>
      </c>
      <c r="D1709">
        <v>49</v>
      </c>
      <c r="E1709" t="s">
        <v>61</v>
      </c>
      <c r="F1709" t="s">
        <v>50</v>
      </c>
      <c r="G1709" t="s">
        <v>110</v>
      </c>
      <c r="H1709" t="s">
        <v>133</v>
      </c>
      <c r="I1709">
        <v>35135</v>
      </c>
      <c r="J1709">
        <v>41558</v>
      </c>
    </row>
    <row r="1710" spans="1:10" x14ac:dyDescent="0.3">
      <c r="A1710" t="s">
        <v>1837</v>
      </c>
      <c r="B1710" s="1">
        <v>45949</v>
      </c>
      <c r="C1710" t="s">
        <v>66</v>
      </c>
      <c r="D1710">
        <v>42</v>
      </c>
      <c r="E1710" t="s">
        <v>70</v>
      </c>
      <c r="F1710" t="s">
        <v>114</v>
      </c>
      <c r="G1710" t="s">
        <v>253</v>
      </c>
      <c r="H1710" t="s">
        <v>155</v>
      </c>
      <c r="I1710">
        <v>21146</v>
      </c>
      <c r="J1710">
        <v>22446</v>
      </c>
    </row>
    <row r="1711" spans="1:10" x14ac:dyDescent="0.3">
      <c r="A1711" t="s">
        <v>1838</v>
      </c>
      <c r="B1711" s="1">
        <v>45897</v>
      </c>
      <c r="C1711" t="s">
        <v>113</v>
      </c>
      <c r="D1711">
        <v>35</v>
      </c>
      <c r="E1711" t="s">
        <v>33</v>
      </c>
      <c r="F1711" t="s">
        <v>13</v>
      </c>
      <c r="G1711" t="s">
        <v>72</v>
      </c>
      <c r="H1711" t="s">
        <v>157</v>
      </c>
      <c r="I1711">
        <v>33060</v>
      </c>
      <c r="J1711">
        <v>28161</v>
      </c>
    </row>
    <row r="1712" spans="1:10" x14ac:dyDescent="0.3">
      <c r="A1712" t="s">
        <v>1839</v>
      </c>
      <c r="B1712" s="1">
        <v>46009</v>
      </c>
      <c r="C1712" t="s">
        <v>100</v>
      </c>
      <c r="D1712">
        <v>51</v>
      </c>
      <c r="E1712" t="s">
        <v>70</v>
      </c>
      <c r="F1712" t="s">
        <v>114</v>
      </c>
      <c r="G1712" t="s">
        <v>26</v>
      </c>
      <c r="H1712" t="s">
        <v>21</v>
      </c>
      <c r="I1712">
        <v>17239</v>
      </c>
      <c r="J1712">
        <v>22100</v>
      </c>
    </row>
    <row r="1713" spans="1:10" x14ac:dyDescent="0.3">
      <c r="A1713" t="s">
        <v>1840</v>
      </c>
      <c r="B1713" s="1">
        <v>45725</v>
      </c>
      <c r="C1713" t="s">
        <v>95</v>
      </c>
      <c r="D1713">
        <v>10</v>
      </c>
      <c r="E1713" t="s">
        <v>24</v>
      </c>
      <c r="F1713" t="s">
        <v>75</v>
      </c>
      <c r="G1713" t="s">
        <v>147</v>
      </c>
      <c r="H1713" t="s">
        <v>243</v>
      </c>
      <c r="I1713">
        <v>16325</v>
      </c>
      <c r="J1713">
        <v>15627</v>
      </c>
    </row>
    <row r="1714" spans="1:10" x14ac:dyDescent="0.3">
      <c r="A1714" t="s">
        <v>1841</v>
      </c>
      <c r="B1714" s="1">
        <v>46012</v>
      </c>
      <c r="C1714" t="s">
        <v>100</v>
      </c>
      <c r="D1714">
        <v>51</v>
      </c>
      <c r="E1714" t="s">
        <v>18</v>
      </c>
      <c r="F1714" t="s">
        <v>50</v>
      </c>
      <c r="G1714" t="s">
        <v>47</v>
      </c>
      <c r="H1714" t="s">
        <v>243</v>
      </c>
      <c r="I1714">
        <v>37934</v>
      </c>
      <c r="J1714">
        <v>45941</v>
      </c>
    </row>
    <row r="1715" spans="1:10" x14ac:dyDescent="0.3">
      <c r="A1715" t="s">
        <v>1842</v>
      </c>
      <c r="B1715" s="1">
        <v>45737</v>
      </c>
      <c r="C1715" t="s">
        <v>95</v>
      </c>
      <c r="D1715">
        <v>12</v>
      </c>
      <c r="E1715" t="s">
        <v>18</v>
      </c>
      <c r="F1715" t="s">
        <v>46</v>
      </c>
      <c r="G1715" t="s">
        <v>182</v>
      </c>
      <c r="H1715" t="s">
        <v>21</v>
      </c>
      <c r="I1715">
        <v>39875</v>
      </c>
      <c r="J1715">
        <v>30366</v>
      </c>
    </row>
    <row r="1716" spans="1:10" x14ac:dyDescent="0.3">
      <c r="A1716" t="s">
        <v>1843</v>
      </c>
      <c r="B1716" s="1">
        <v>45725</v>
      </c>
      <c r="C1716" t="s">
        <v>95</v>
      </c>
      <c r="D1716">
        <v>10</v>
      </c>
      <c r="E1716" t="s">
        <v>12</v>
      </c>
      <c r="F1716" t="s">
        <v>19</v>
      </c>
      <c r="G1716" t="s">
        <v>137</v>
      </c>
      <c r="H1716" t="s">
        <v>123</v>
      </c>
      <c r="I1716">
        <v>17769</v>
      </c>
      <c r="J1716">
        <v>17789</v>
      </c>
    </row>
    <row r="1717" spans="1:10" x14ac:dyDescent="0.3">
      <c r="A1717" t="s">
        <v>1844</v>
      </c>
      <c r="B1717" s="1">
        <v>45694</v>
      </c>
      <c r="C1717" t="s">
        <v>82</v>
      </c>
      <c r="D1717">
        <v>6</v>
      </c>
      <c r="E1717" t="s">
        <v>39</v>
      </c>
      <c r="F1717" t="s">
        <v>29</v>
      </c>
      <c r="G1717" t="s">
        <v>63</v>
      </c>
      <c r="H1717" t="s">
        <v>151</v>
      </c>
      <c r="I1717">
        <v>18247</v>
      </c>
      <c r="J1717">
        <v>13216</v>
      </c>
    </row>
    <row r="1718" spans="1:10" x14ac:dyDescent="0.3">
      <c r="A1718" t="s">
        <v>1845</v>
      </c>
      <c r="B1718" s="1">
        <v>45864</v>
      </c>
      <c r="C1718" t="s">
        <v>11</v>
      </c>
      <c r="D1718">
        <v>30</v>
      </c>
      <c r="E1718" t="s">
        <v>39</v>
      </c>
      <c r="F1718" t="s">
        <v>87</v>
      </c>
      <c r="G1718" t="s">
        <v>230</v>
      </c>
      <c r="H1718" t="s">
        <v>68</v>
      </c>
      <c r="I1718">
        <v>34753</v>
      </c>
      <c r="J1718">
        <v>42532</v>
      </c>
    </row>
    <row r="1719" spans="1:10" x14ac:dyDescent="0.3">
      <c r="A1719" t="s">
        <v>1846</v>
      </c>
      <c r="B1719" s="1">
        <v>45659</v>
      </c>
      <c r="C1719" t="s">
        <v>17</v>
      </c>
      <c r="D1719">
        <v>1</v>
      </c>
      <c r="E1719" t="s">
        <v>18</v>
      </c>
      <c r="F1719" t="s">
        <v>57</v>
      </c>
      <c r="G1719" t="s">
        <v>160</v>
      </c>
      <c r="H1719" t="s">
        <v>133</v>
      </c>
      <c r="I1719">
        <v>28360</v>
      </c>
      <c r="J1719">
        <v>32639</v>
      </c>
    </row>
    <row r="1720" spans="1:10" x14ac:dyDescent="0.3">
      <c r="A1720" t="s">
        <v>1847</v>
      </c>
      <c r="B1720" s="1">
        <v>45799</v>
      </c>
      <c r="C1720" t="s">
        <v>90</v>
      </c>
      <c r="D1720">
        <v>21</v>
      </c>
      <c r="E1720" t="s">
        <v>39</v>
      </c>
      <c r="F1720" t="s">
        <v>62</v>
      </c>
      <c r="G1720" t="s">
        <v>110</v>
      </c>
      <c r="H1720" t="s">
        <v>21</v>
      </c>
      <c r="I1720">
        <v>16165</v>
      </c>
      <c r="J1720">
        <v>13420</v>
      </c>
    </row>
    <row r="1721" spans="1:10" x14ac:dyDescent="0.3">
      <c r="A1721" t="s">
        <v>1848</v>
      </c>
      <c r="B1721" s="1">
        <v>45785</v>
      </c>
      <c r="C1721" t="s">
        <v>90</v>
      </c>
      <c r="D1721">
        <v>19</v>
      </c>
      <c r="E1721" t="s">
        <v>39</v>
      </c>
      <c r="F1721" t="s">
        <v>50</v>
      </c>
      <c r="G1721" t="s">
        <v>137</v>
      </c>
      <c r="H1721" t="s">
        <v>155</v>
      </c>
      <c r="I1721">
        <v>34317</v>
      </c>
      <c r="J1721">
        <v>36007</v>
      </c>
    </row>
    <row r="1722" spans="1:10" x14ac:dyDescent="0.3">
      <c r="A1722" t="s">
        <v>1849</v>
      </c>
      <c r="B1722" s="1">
        <v>45962</v>
      </c>
      <c r="C1722" t="s">
        <v>23</v>
      </c>
      <c r="D1722">
        <v>44</v>
      </c>
      <c r="E1722" t="s">
        <v>33</v>
      </c>
      <c r="F1722" t="s">
        <v>13</v>
      </c>
      <c r="G1722" t="s">
        <v>51</v>
      </c>
      <c r="H1722" t="s">
        <v>188</v>
      </c>
      <c r="I1722">
        <v>38030</v>
      </c>
      <c r="J1722">
        <v>44150</v>
      </c>
    </row>
    <row r="1723" spans="1:10" x14ac:dyDescent="0.3">
      <c r="A1723" t="s">
        <v>1850</v>
      </c>
      <c r="B1723" s="1">
        <v>45696</v>
      </c>
      <c r="C1723" t="s">
        <v>82</v>
      </c>
      <c r="D1723">
        <v>6</v>
      </c>
      <c r="E1723" t="s">
        <v>33</v>
      </c>
      <c r="F1723" t="s">
        <v>122</v>
      </c>
      <c r="G1723" t="s">
        <v>266</v>
      </c>
      <c r="H1723" t="s">
        <v>80</v>
      </c>
      <c r="I1723">
        <v>30074</v>
      </c>
      <c r="J1723">
        <v>34154</v>
      </c>
    </row>
    <row r="1724" spans="1:10" x14ac:dyDescent="0.3">
      <c r="A1724" t="s">
        <v>1851</v>
      </c>
      <c r="B1724" s="1">
        <v>45842</v>
      </c>
      <c r="C1724" t="s">
        <v>11</v>
      </c>
      <c r="D1724">
        <v>27</v>
      </c>
      <c r="E1724" t="s">
        <v>12</v>
      </c>
      <c r="F1724" t="s">
        <v>43</v>
      </c>
      <c r="G1724" t="s">
        <v>199</v>
      </c>
      <c r="H1724" t="s">
        <v>157</v>
      </c>
      <c r="I1724">
        <v>35276</v>
      </c>
      <c r="J1724">
        <v>29215</v>
      </c>
    </row>
    <row r="1725" spans="1:10" x14ac:dyDescent="0.3">
      <c r="A1725" t="s">
        <v>1852</v>
      </c>
      <c r="B1725" s="1">
        <v>45780</v>
      </c>
      <c r="C1725" t="s">
        <v>90</v>
      </c>
      <c r="D1725">
        <v>18</v>
      </c>
      <c r="E1725" t="s">
        <v>70</v>
      </c>
      <c r="F1725" t="s">
        <v>13</v>
      </c>
      <c r="G1725" t="s">
        <v>44</v>
      </c>
      <c r="H1725" t="s">
        <v>96</v>
      </c>
      <c r="I1725">
        <v>19327</v>
      </c>
      <c r="J1725">
        <v>22491</v>
      </c>
    </row>
    <row r="1726" spans="1:10" x14ac:dyDescent="0.3">
      <c r="A1726" t="s">
        <v>1853</v>
      </c>
      <c r="B1726" s="1">
        <v>45869</v>
      </c>
      <c r="C1726" t="s">
        <v>11</v>
      </c>
      <c r="D1726">
        <v>31</v>
      </c>
      <c r="E1726" t="s">
        <v>70</v>
      </c>
      <c r="F1726" t="s">
        <v>109</v>
      </c>
      <c r="G1726" t="s">
        <v>20</v>
      </c>
      <c r="H1726" t="s">
        <v>55</v>
      </c>
      <c r="I1726">
        <v>22886</v>
      </c>
      <c r="J1726">
        <v>27764</v>
      </c>
    </row>
    <row r="1727" spans="1:10" x14ac:dyDescent="0.3">
      <c r="A1727" t="s">
        <v>1854</v>
      </c>
      <c r="B1727" s="1">
        <v>46022</v>
      </c>
      <c r="C1727" t="s">
        <v>100</v>
      </c>
      <c r="D1727">
        <v>1</v>
      </c>
      <c r="E1727" t="s">
        <v>33</v>
      </c>
      <c r="F1727" t="s">
        <v>29</v>
      </c>
      <c r="G1727" t="s">
        <v>26</v>
      </c>
      <c r="H1727" t="s">
        <v>163</v>
      </c>
      <c r="I1727">
        <v>21013</v>
      </c>
      <c r="J1727">
        <v>16006</v>
      </c>
    </row>
    <row r="1728" spans="1:10" x14ac:dyDescent="0.3">
      <c r="A1728" t="s">
        <v>1855</v>
      </c>
      <c r="B1728" s="1">
        <v>45838</v>
      </c>
      <c r="C1728" t="s">
        <v>74</v>
      </c>
      <c r="D1728">
        <v>27</v>
      </c>
      <c r="E1728" t="s">
        <v>70</v>
      </c>
      <c r="F1728" t="s">
        <v>57</v>
      </c>
      <c r="G1728" t="s">
        <v>72</v>
      </c>
      <c r="H1728" t="s">
        <v>31</v>
      </c>
      <c r="I1728">
        <v>29602</v>
      </c>
      <c r="J1728">
        <v>25739</v>
      </c>
    </row>
    <row r="1729" spans="1:10" x14ac:dyDescent="0.3">
      <c r="A1729" t="s">
        <v>1856</v>
      </c>
      <c r="B1729" s="1">
        <v>45798</v>
      </c>
      <c r="C1729" t="s">
        <v>90</v>
      </c>
      <c r="D1729">
        <v>21</v>
      </c>
      <c r="E1729" t="s">
        <v>12</v>
      </c>
      <c r="F1729" t="s">
        <v>34</v>
      </c>
      <c r="G1729" t="s">
        <v>44</v>
      </c>
      <c r="H1729" t="s">
        <v>15</v>
      </c>
      <c r="I1729">
        <v>15923</v>
      </c>
      <c r="J1729">
        <v>12394</v>
      </c>
    </row>
    <row r="1730" spans="1:10" x14ac:dyDescent="0.3">
      <c r="A1730" t="s">
        <v>1857</v>
      </c>
      <c r="B1730" s="1">
        <v>45810</v>
      </c>
      <c r="C1730" t="s">
        <v>74</v>
      </c>
      <c r="D1730">
        <v>23</v>
      </c>
      <c r="E1730" t="s">
        <v>24</v>
      </c>
      <c r="F1730" t="s">
        <v>50</v>
      </c>
      <c r="G1730" t="s">
        <v>118</v>
      </c>
      <c r="H1730" t="s">
        <v>41</v>
      </c>
      <c r="I1730">
        <v>36619</v>
      </c>
      <c r="J1730">
        <v>46065</v>
      </c>
    </row>
    <row r="1731" spans="1:10" x14ac:dyDescent="0.3">
      <c r="A1731" t="s">
        <v>1858</v>
      </c>
      <c r="B1731" s="1">
        <v>45805</v>
      </c>
      <c r="C1731" t="s">
        <v>90</v>
      </c>
      <c r="D1731">
        <v>22</v>
      </c>
      <c r="E1731" t="s">
        <v>61</v>
      </c>
      <c r="F1731" t="s">
        <v>50</v>
      </c>
      <c r="G1731" t="s">
        <v>88</v>
      </c>
      <c r="H1731" t="s">
        <v>188</v>
      </c>
      <c r="I1731">
        <v>32396</v>
      </c>
      <c r="J1731">
        <v>25157</v>
      </c>
    </row>
    <row r="1732" spans="1:10" x14ac:dyDescent="0.3">
      <c r="A1732" t="s">
        <v>1859</v>
      </c>
      <c r="B1732" s="1">
        <v>45976</v>
      </c>
      <c r="C1732" t="s">
        <v>23</v>
      </c>
      <c r="D1732">
        <v>46</v>
      </c>
      <c r="E1732" t="s">
        <v>12</v>
      </c>
      <c r="F1732" t="s">
        <v>34</v>
      </c>
      <c r="G1732" t="s">
        <v>26</v>
      </c>
      <c r="H1732" t="s">
        <v>188</v>
      </c>
      <c r="I1732">
        <v>27268</v>
      </c>
      <c r="J1732">
        <v>20132</v>
      </c>
    </row>
    <row r="1733" spans="1:10" x14ac:dyDescent="0.3">
      <c r="A1733" t="s">
        <v>1860</v>
      </c>
      <c r="B1733" s="1">
        <v>45702</v>
      </c>
      <c r="C1733" t="s">
        <v>82</v>
      </c>
      <c r="D1733">
        <v>7</v>
      </c>
      <c r="E1733" t="s">
        <v>12</v>
      </c>
      <c r="F1733" t="s">
        <v>122</v>
      </c>
      <c r="G1733" t="s">
        <v>137</v>
      </c>
      <c r="H1733" t="s">
        <v>36</v>
      </c>
      <c r="I1733">
        <v>31988</v>
      </c>
      <c r="J1733">
        <v>28563</v>
      </c>
    </row>
    <row r="1734" spans="1:10" x14ac:dyDescent="0.3">
      <c r="A1734" t="s">
        <v>1861</v>
      </c>
      <c r="B1734" s="1">
        <v>45758</v>
      </c>
      <c r="C1734" t="s">
        <v>86</v>
      </c>
      <c r="D1734">
        <v>15</v>
      </c>
      <c r="E1734" t="s">
        <v>70</v>
      </c>
      <c r="F1734" t="s">
        <v>43</v>
      </c>
      <c r="G1734" t="s">
        <v>326</v>
      </c>
      <c r="H1734" t="s">
        <v>123</v>
      </c>
      <c r="I1734">
        <v>35268</v>
      </c>
      <c r="J1734">
        <v>35427</v>
      </c>
    </row>
    <row r="1735" spans="1:10" x14ac:dyDescent="0.3">
      <c r="A1735" t="s">
        <v>1862</v>
      </c>
      <c r="B1735" s="1">
        <v>45777</v>
      </c>
      <c r="C1735" t="s">
        <v>86</v>
      </c>
      <c r="D1735">
        <v>18</v>
      </c>
      <c r="E1735" t="s">
        <v>70</v>
      </c>
      <c r="F1735" t="s">
        <v>140</v>
      </c>
      <c r="G1735" t="s">
        <v>20</v>
      </c>
      <c r="H1735" t="s">
        <v>151</v>
      </c>
      <c r="I1735">
        <v>25567</v>
      </c>
      <c r="J1735">
        <v>23210</v>
      </c>
    </row>
    <row r="1736" spans="1:10" x14ac:dyDescent="0.3">
      <c r="A1736" t="s">
        <v>1863</v>
      </c>
      <c r="B1736" s="1">
        <v>45873</v>
      </c>
      <c r="C1736" t="s">
        <v>113</v>
      </c>
      <c r="D1736">
        <v>32</v>
      </c>
      <c r="E1736" t="s">
        <v>24</v>
      </c>
      <c r="F1736" t="s">
        <v>29</v>
      </c>
      <c r="G1736" t="s">
        <v>234</v>
      </c>
      <c r="H1736" t="s">
        <v>15</v>
      </c>
      <c r="I1736">
        <v>26908</v>
      </c>
      <c r="J1736">
        <v>20981</v>
      </c>
    </row>
    <row r="1737" spans="1:10" x14ac:dyDescent="0.3">
      <c r="A1737" t="s">
        <v>1864</v>
      </c>
      <c r="B1737" s="1">
        <v>45935</v>
      </c>
      <c r="C1737" t="s">
        <v>66</v>
      </c>
      <c r="D1737">
        <v>40</v>
      </c>
      <c r="E1737" t="s">
        <v>39</v>
      </c>
      <c r="F1737" t="s">
        <v>46</v>
      </c>
      <c r="G1737" t="s">
        <v>20</v>
      </c>
      <c r="H1737" t="s">
        <v>103</v>
      </c>
      <c r="I1737">
        <v>34682</v>
      </c>
      <c r="J1737">
        <v>26425</v>
      </c>
    </row>
    <row r="1738" spans="1:10" x14ac:dyDescent="0.3">
      <c r="A1738" t="s">
        <v>1865</v>
      </c>
      <c r="B1738" s="1">
        <v>45918</v>
      </c>
      <c r="C1738" t="s">
        <v>38</v>
      </c>
      <c r="D1738">
        <v>38</v>
      </c>
      <c r="E1738" t="s">
        <v>18</v>
      </c>
      <c r="F1738" t="s">
        <v>122</v>
      </c>
      <c r="G1738" t="s">
        <v>58</v>
      </c>
      <c r="H1738" t="s">
        <v>98</v>
      </c>
      <c r="I1738">
        <v>36993</v>
      </c>
      <c r="J1738">
        <v>30160</v>
      </c>
    </row>
    <row r="1739" spans="1:10" x14ac:dyDescent="0.3">
      <c r="A1739" t="s">
        <v>1866</v>
      </c>
      <c r="B1739" s="1">
        <v>45708</v>
      </c>
      <c r="C1739" t="s">
        <v>82</v>
      </c>
      <c r="D1739">
        <v>8</v>
      </c>
      <c r="E1739" t="s">
        <v>18</v>
      </c>
      <c r="F1739" t="s">
        <v>87</v>
      </c>
      <c r="G1739" t="s">
        <v>67</v>
      </c>
      <c r="H1739" t="s">
        <v>157</v>
      </c>
      <c r="I1739">
        <v>16454</v>
      </c>
      <c r="J1739">
        <v>15584</v>
      </c>
    </row>
    <row r="1740" spans="1:10" x14ac:dyDescent="0.3">
      <c r="A1740" t="s">
        <v>1867</v>
      </c>
      <c r="B1740" s="1">
        <v>45822</v>
      </c>
      <c r="C1740" t="s">
        <v>74</v>
      </c>
      <c r="D1740">
        <v>24</v>
      </c>
      <c r="E1740" t="s">
        <v>70</v>
      </c>
      <c r="F1740" t="s">
        <v>29</v>
      </c>
      <c r="G1740" t="s">
        <v>30</v>
      </c>
      <c r="H1740" t="s">
        <v>188</v>
      </c>
      <c r="I1740">
        <v>21660</v>
      </c>
      <c r="J1740">
        <v>15683</v>
      </c>
    </row>
    <row r="1741" spans="1:10" x14ac:dyDescent="0.3">
      <c r="A1741" t="s">
        <v>1868</v>
      </c>
      <c r="B1741" s="1">
        <v>45903</v>
      </c>
      <c r="C1741" t="s">
        <v>38</v>
      </c>
      <c r="D1741">
        <v>36</v>
      </c>
      <c r="E1741" t="s">
        <v>12</v>
      </c>
      <c r="F1741" t="s">
        <v>122</v>
      </c>
      <c r="G1741" t="s">
        <v>14</v>
      </c>
      <c r="H1741" t="s">
        <v>27</v>
      </c>
      <c r="I1741">
        <v>39276</v>
      </c>
      <c r="J1741">
        <v>49135</v>
      </c>
    </row>
    <row r="1742" spans="1:10" x14ac:dyDescent="0.3">
      <c r="A1742" t="s">
        <v>1869</v>
      </c>
      <c r="B1742" s="1">
        <v>45996</v>
      </c>
      <c r="C1742" t="s">
        <v>100</v>
      </c>
      <c r="D1742">
        <v>49</v>
      </c>
      <c r="E1742" t="s">
        <v>70</v>
      </c>
      <c r="F1742" t="s">
        <v>29</v>
      </c>
      <c r="G1742" t="s">
        <v>72</v>
      </c>
      <c r="H1742" t="s">
        <v>21</v>
      </c>
      <c r="I1742">
        <v>39494</v>
      </c>
      <c r="J1742">
        <v>48709</v>
      </c>
    </row>
    <row r="1743" spans="1:10" x14ac:dyDescent="0.3">
      <c r="A1743" t="s">
        <v>1870</v>
      </c>
      <c r="B1743" s="1">
        <v>45681</v>
      </c>
      <c r="C1743" t="s">
        <v>17</v>
      </c>
      <c r="D1743">
        <v>4</v>
      </c>
      <c r="E1743" t="s">
        <v>12</v>
      </c>
      <c r="F1743" t="s">
        <v>75</v>
      </c>
      <c r="G1743" t="s">
        <v>224</v>
      </c>
      <c r="H1743" t="s">
        <v>98</v>
      </c>
      <c r="I1743">
        <v>31052</v>
      </c>
      <c r="J1743">
        <v>40013</v>
      </c>
    </row>
    <row r="1744" spans="1:10" x14ac:dyDescent="0.3">
      <c r="A1744" t="s">
        <v>1871</v>
      </c>
      <c r="B1744" s="1">
        <v>45945</v>
      </c>
      <c r="C1744" t="s">
        <v>66</v>
      </c>
      <c r="D1744">
        <v>42</v>
      </c>
      <c r="E1744" t="s">
        <v>12</v>
      </c>
      <c r="F1744" t="s">
        <v>140</v>
      </c>
      <c r="G1744" t="s">
        <v>93</v>
      </c>
      <c r="H1744" t="s">
        <v>103</v>
      </c>
      <c r="I1744">
        <v>23361</v>
      </c>
      <c r="J1744">
        <v>22978</v>
      </c>
    </row>
    <row r="1745" spans="1:10" x14ac:dyDescent="0.3">
      <c r="A1745" t="s">
        <v>1872</v>
      </c>
      <c r="B1745" s="1">
        <v>45699</v>
      </c>
      <c r="C1745" t="s">
        <v>82</v>
      </c>
      <c r="D1745">
        <v>7</v>
      </c>
      <c r="E1745" t="s">
        <v>33</v>
      </c>
      <c r="F1745" t="s">
        <v>101</v>
      </c>
      <c r="G1745" t="s">
        <v>79</v>
      </c>
      <c r="H1745" t="s">
        <v>52</v>
      </c>
      <c r="I1745">
        <v>22387</v>
      </c>
      <c r="J1745">
        <v>20013</v>
      </c>
    </row>
    <row r="1746" spans="1:10" x14ac:dyDescent="0.3">
      <c r="A1746" t="s">
        <v>1873</v>
      </c>
      <c r="B1746" s="1">
        <v>45740</v>
      </c>
      <c r="C1746" t="s">
        <v>95</v>
      </c>
      <c r="D1746">
        <v>13</v>
      </c>
      <c r="E1746" t="s">
        <v>39</v>
      </c>
      <c r="F1746" t="s">
        <v>75</v>
      </c>
      <c r="G1746" t="s">
        <v>199</v>
      </c>
      <c r="H1746" t="s">
        <v>188</v>
      </c>
      <c r="I1746">
        <v>16363</v>
      </c>
      <c r="J1746">
        <v>16395</v>
      </c>
    </row>
    <row r="1747" spans="1:10" x14ac:dyDescent="0.3">
      <c r="A1747" t="s">
        <v>1874</v>
      </c>
      <c r="B1747" s="1">
        <v>45820</v>
      </c>
      <c r="C1747" t="s">
        <v>74</v>
      </c>
      <c r="D1747">
        <v>24</v>
      </c>
      <c r="E1747" t="s">
        <v>70</v>
      </c>
      <c r="F1747" t="s">
        <v>19</v>
      </c>
      <c r="G1747" t="s">
        <v>326</v>
      </c>
      <c r="H1747" t="s">
        <v>80</v>
      </c>
      <c r="I1747">
        <v>18966</v>
      </c>
      <c r="J1747">
        <v>21445</v>
      </c>
    </row>
    <row r="1748" spans="1:10" x14ac:dyDescent="0.3">
      <c r="A1748" t="s">
        <v>1875</v>
      </c>
      <c r="B1748" s="1">
        <v>46015</v>
      </c>
      <c r="C1748" t="s">
        <v>100</v>
      </c>
      <c r="D1748">
        <v>52</v>
      </c>
      <c r="E1748" t="s">
        <v>24</v>
      </c>
      <c r="F1748" t="s">
        <v>114</v>
      </c>
      <c r="G1748" t="s">
        <v>72</v>
      </c>
      <c r="H1748" t="s">
        <v>64</v>
      </c>
      <c r="I1748">
        <v>25714</v>
      </c>
      <c r="J1748">
        <v>21814</v>
      </c>
    </row>
    <row r="1749" spans="1:10" x14ac:dyDescent="0.3">
      <c r="A1749" t="s">
        <v>1876</v>
      </c>
      <c r="B1749" s="1">
        <v>45794</v>
      </c>
      <c r="C1749" t="s">
        <v>90</v>
      </c>
      <c r="D1749">
        <v>20</v>
      </c>
      <c r="E1749" t="s">
        <v>24</v>
      </c>
      <c r="F1749" t="s">
        <v>140</v>
      </c>
      <c r="G1749" t="s">
        <v>118</v>
      </c>
      <c r="H1749" t="s">
        <v>243</v>
      </c>
      <c r="I1749">
        <v>15876</v>
      </c>
      <c r="J1749">
        <v>18014</v>
      </c>
    </row>
    <row r="1750" spans="1:10" x14ac:dyDescent="0.3">
      <c r="A1750" t="s">
        <v>1877</v>
      </c>
      <c r="B1750" s="1">
        <v>45753</v>
      </c>
      <c r="C1750" t="s">
        <v>86</v>
      </c>
      <c r="D1750">
        <v>14</v>
      </c>
      <c r="E1750" t="s">
        <v>24</v>
      </c>
      <c r="F1750" t="s">
        <v>34</v>
      </c>
      <c r="G1750" t="s">
        <v>291</v>
      </c>
      <c r="H1750" t="s">
        <v>155</v>
      </c>
      <c r="I1750">
        <v>20891</v>
      </c>
      <c r="J1750">
        <v>17870</v>
      </c>
    </row>
    <row r="1751" spans="1:10" x14ac:dyDescent="0.3">
      <c r="A1751" t="s">
        <v>1878</v>
      </c>
      <c r="B1751" s="1">
        <v>45908</v>
      </c>
      <c r="C1751" t="s">
        <v>38</v>
      </c>
      <c r="D1751">
        <v>37</v>
      </c>
      <c r="E1751" t="s">
        <v>39</v>
      </c>
      <c r="F1751" t="s">
        <v>46</v>
      </c>
      <c r="G1751" t="s">
        <v>107</v>
      </c>
      <c r="H1751" t="s">
        <v>59</v>
      </c>
      <c r="I1751">
        <v>23509</v>
      </c>
      <c r="J1751">
        <v>23844</v>
      </c>
    </row>
    <row r="1752" spans="1:10" x14ac:dyDescent="0.3">
      <c r="A1752" t="s">
        <v>1879</v>
      </c>
      <c r="B1752" s="1">
        <v>45715</v>
      </c>
      <c r="C1752" t="s">
        <v>82</v>
      </c>
      <c r="D1752">
        <v>9</v>
      </c>
      <c r="E1752" t="s">
        <v>39</v>
      </c>
      <c r="F1752" t="s">
        <v>109</v>
      </c>
      <c r="G1752" t="s">
        <v>20</v>
      </c>
      <c r="H1752" t="s">
        <v>84</v>
      </c>
      <c r="I1752">
        <v>27980</v>
      </c>
      <c r="J1752">
        <v>29177</v>
      </c>
    </row>
    <row r="1753" spans="1:10" x14ac:dyDescent="0.3">
      <c r="A1753" t="s">
        <v>1880</v>
      </c>
      <c r="B1753" s="1">
        <v>45838</v>
      </c>
      <c r="C1753" t="s">
        <v>74</v>
      </c>
      <c r="D1753">
        <v>27</v>
      </c>
      <c r="E1753" t="s">
        <v>24</v>
      </c>
      <c r="F1753" t="s">
        <v>122</v>
      </c>
      <c r="G1753" t="s">
        <v>107</v>
      </c>
      <c r="H1753" t="s">
        <v>55</v>
      </c>
      <c r="I1753">
        <v>23183</v>
      </c>
      <c r="J1753">
        <v>22607</v>
      </c>
    </row>
    <row r="1754" spans="1:10" x14ac:dyDescent="0.3">
      <c r="A1754" t="s">
        <v>1881</v>
      </c>
      <c r="B1754" s="1">
        <v>45953</v>
      </c>
      <c r="C1754" t="s">
        <v>66</v>
      </c>
      <c r="D1754">
        <v>43</v>
      </c>
      <c r="E1754" t="s">
        <v>24</v>
      </c>
      <c r="F1754" t="s">
        <v>193</v>
      </c>
      <c r="G1754" t="s">
        <v>110</v>
      </c>
      <c r="H1754" t="s">
        <v>68</v>
      </c>
      <c r="I1754">
        <v>17561</v>
      </c>
      <c r="J1754">
        <v>18763</v>
      </c>
    </row>
    <row r="1755" spans="1:10" x14ac:dyDescent="0.3">
      <c r="A1755" t="s">
        <v>1882</v>
      </c>
      <c r="B1755" s="1">
        <v>45910</v>
      </c>
      <c r="C1755" t="s">
        <v>38</v>
      </c>
      <c r="D1755">
        <v>37</v>
      </c>
      <c r="E1755" t="s">
        <v>39</v>
      </c>
      <c r="F1755" t="s">
        <v>78</v>
      </c>
      <c r="G1755" t="s">
        <v>76</v>
      </c>
      <c r="H1755" t="s">
        <v>96</v>
      </c>
      <c r="I1755">
        <v>20069</v>
      </c>
      <c r="J1755">
        <v>16427</v>
      </c>
    </row>
    <row r="1756" spans="1:10" x14ac:dyDescent="0.3">
      <c r="A1756" t="s">
        <v>1883</v>
      </c>
      <c r="B1756" s="1">
        <v>45909</v>
      </c>
      <c r="C1756" t="s">
        <v>38</v>
      </c>
      <c r="D1756">
        <v>37</v>
      </c>
      <c r="E1756" t="s">
        <v>18</v>
      </c>
      <c r="F1756" t="s">
        <v>193</v>
      </c>
      <c r="G1756" t="s">
        <v>63</v>
      </c>
      <c r="H1756" t="s">
        <v>52</v>
      </c>
      <c r="I1756">
        <v>15294</v>
      </c>
      <c r="J1756">
        <v>13572</v>
      </c>
    </row>
    <row r="1757" spans="1:10" x14ac:dyDescent="0.3">
      <c r="A1757" t="s">
        <v>1884</v>
      </c>
      <c r="B1757" s="1">
        <v>45887</v>
      </c>
      <c r="C1757" t="s">
        <v>113</v>
      </c>
      <c r="D1757">
        <v>34</v>
      </c>
      <c r="E1757" t="s">
        <v>61</v>
      </c>
      <c r="F1757" t="s">
        <v>140</v>
      </c>
      <c r="G1757" t="s">
        <v>326</v>
      </c>
      <c r="H1757" t="s">
        <v>31</v>
      </c>
      <c r="I1757">
        <v>39623</v>
      </c>
      <c r="J1757">
        <v>45118</v>
      </c>
    </row>
    <row r="1758" spans="1:10" x14ac:dyDescent="0.3">
      <c r="A1758" t="s">
        <v>1885</v>
      </c>
      <c r="B1758" s="1">
        <v>45691</v>
      </c>
      <c r="C1758" t="s">
        <v>82</v>
      </c>
      <c r="D1758">
        <v>6</v>
      </c>
      <c r="E1758" t="s">
        <v>61</v>
      </c>
      <c r="F1758" t="s">
        <v>193</v>
      </c>
      <c r="G1758" t="s">
        <v>76</v>
      </c>
      <c r="H1758" t="s">
        <v>36</v>
      </c>
      <c r="I1758">
        <v>18307</v>
      </c>
      <c r="J1758">
        <v>19393</v>
      </c>
    </row>
    <row r="1759" spans="1:10" x14ac:dyDescent="0.3">
      <c r="A1759" t="s">
        <v>1886</v>
      </c>
      <c r="B1759" s="1">
        <v>45726</v>
      </c>
      <c r="C1759" t="s">
        <v>95</v>
      </c>
      <c r="D1759">
        <v>11</v>
      </c>
      <c r="E1759" t="s">
        <v>12</v>
      </c>
      <c r="F1759" t="s">
        <v>19</v>
      </c>
      <c r="G1759" t="s">
        <v>130</v>
      </c>
      <c r="H1759" t="s">
        <v>155</v>
      </c>
      <c r="I1759">
        <v>18086</v>
      </c>
      <c r="J1759">
        <v>18163</v>
      </c>
    </row>
    <row r="1760" spans="1:10" x14ac:dyDescent="0.3">
      <c r="A1760" t="s">
        <v>1887</v>
      </c>
      <c r="B1760" s="1">
        <v>46019</v>
      </c>
      <c r="C1760" t="s">
        <v>100</v>
      </c>
      <c r="D1760">
        <v>52</v>
      </c>
      <c r="E1760" t="s">
        <v>61</v>
      </c>
      <c r="F1760" t="s">
        <v>25</v>
      </c>
      <c r="G1760" t="s">
        <v>206</v>
      </c>
      <c r="H1760" t="s">
        <v>151</v>
      </c>
      <c r="I1760">
        <v>25341</v>
      </c>
      <c r="J1760">
        <v>27218</v>
      </c>
    </row>
    <row r="1761" spans="1:10" x14ac:dyDescent="0.3">
      <c r="A1761" t="s">
        <v>1888</v>
      </c>
      <c r="B1761" s="1">
        <v>45706</v>
      </c>
      <c r="C1761" t="s">
        <v>82</v>
      </c>
      <c r="D1761">
        <v>8</v>
      </c>
      <c r="E1761" t="s">
        <v>18</v>
      </c>
      <c r="F1761" t="s">
        <v>140</v>
      </c>
      <c r="G1761" t="s">
        <v>149</v>
      </c>
      <c r="H1761" t="s">
        <v>55</v>
      </c>
      <c r="I1761">
        <v>18942</v>
      </c>
      <c r="J1761">
        <v>14247</v>
      </c>
    </row>
    <row r="1762" spans="1:10" x14ac:dyDescent="0.3">
      <c r="A1762" t="s">
        <v>1889</v>
      </c>
      <c r="B1762" s="1">
        <v>45693</v>
      </c>
      <c r="C1762" t="s">
        <v>82</v>
      </c>
      <c r="D1762">
        <v>6</v>
      </c>
      <c r="E1762" t="s">
        <v>12</v>
      </c>
      <c r="F1762" t="s">
        <v>92</v>
      </c>
      <c r="G1762" t="s">
        <v>240</v>
      </c>
      <c r="H1762" t="s">
        <v>15</v>
      </c>
      <c r="I1762">
        <v>39923</v>
      </c>
      <c r="J1762">
        <v>45908</v>
      </c>
    </row>
    <row r="1763" spans="1:10" x14ac:dyDescent="0.3">
      <c r="A1763" t="s">
        <v>1890</v>
      </c>
      <c r="B1763" s="1">
        <v>46018</v>
      </c>
      <c r="C1763" t="s">
        <v>100</v>
      </c>
      <c r="D1763">
        <v>52</v>
      </c>
      <c r="E1763" t="s">
        <v>39</v>
      </c>
      <c r="F1763" t="s">
        <v>114</v>
      </c>
      <c r="G1763" t="s">
        <v>54</v>
      </c>
      <c r="H1763" t="s">
        <v>98</v>
      </c>
      <c r="I1763">
        <v>38025</v>
      </c>
      <c r="J1763">
        <v>32033</v>
      </c>
    </row>
    <row r="1764" spans="1:10" x14ac:dyDescent="0.3">
      <c r="A1764" t="s">
        <v>1891</v>
      </c>
      <c r="B1764" s="1">
        <v>45683</v>
      </c>
      <c r="C1764" t="s">
        <v>17</v>
      </c>
      <c r="D1764">
        <v>4</v>
      </c>
      <c r="E1764" t="s">
        <v>33</v>
      </c>
      <c r="F1764" t="s">
        <v>101</v>
      </c>
      <c r="G1764" t="s">
        <v>118</v>
      </c>
      <c r="H1764" t="s">
        <v>52</v>
      </c>
      <c r="I1764">
        <v>18397</v>
      </c>
      <c r="J1764">
        <v>13575</v>
      </c>
    </row>
    <row r="1765" spans="1:10" x14ac:dyDescent="0.3">
      <c r="A1765" t="s">
        <v>1892</v>
      </c>
      <c r="B1765" s="1">
        <v>45732</v>
      </c>
      <c r="C1765" t="s">
        <v>95</v>
      </c>
      <c r="D1765">
        <v>11</v>
      </c>
      <c r="E1765" t="s">
        <v>12</v>
      </c>
      <c r="F1765" t="s">
        <v>62</v>
      </c>
      <c r="G1765" t="s">
        <v>171</v>
      </c>
      <c r="H1765" t="s">
        <v>116</v>
      </c>
      <c r="I1765">
        <v>33121</v>
      </c>
      <c r="J1765">
        <v>28211</v>
      </c>
    </row>
    <row r="1766" spans="1:10" x14ac:dyDescent="0.3">
      <c r="A1766" t="s">
        <v>1893</v>
      </c>
      <c r="B1766" s="1">
        <v>45926</v>
      </c>
      <c r="C1766" t="s">
        <v>38</v>
      </c>
      <c r="D1766">
        <v>39</v>
      </c>
      <c r="E1766" t="s">
        <v>70</v>
      </c>
      <c r="F1766" t="s">
        <v>50</v>
      </c>
      <c r="G1766" t="s">
        <v>30</v>
      </c>
      <c r="H1766" t="s">
        <v>243</v>
      </c>
      <c r="I1766">
        <v>23600</v>
      </c>
      <c r="J1766">
        <v>17495</v>
      </c>
    </row>
    <row r="1767" spans="1:10" x14ac:dyDescent="0.3">
      <c r="A1767" t="s">
        <v>1894</v>
      </c>
      <c r="B1767" s="1">
        <v>45738</v>
      </c>
      <c r="C1767" t="s">
        <v>95</v>
      </c>
      <c r="D1767">
        <v>12</v>
      </c>
      <c r="E1767" t="s">
        <v>24</v>
      </c>
      <c r="F1767" t="s">
        <v>46</v>
      </c>
      <c r="G1767" t="s">
        <v>51</v>
      </c>
      <c r="H1767" t="s">
        <v>80</v>
      </c>
      <c r="I1767">
        <v>38371</v>
      </c>
      <c r="J1767">
        <v>30154</v>
      </c>
    </row>
    <row r="1768" spans="1:10" x14ac:dyDescent="0.3">
      <c r="A1768" t="s">
        <v>1895</v>
      </c>
      <c r="B1768" s="1">
        <v>45699</v>
      </c>
      <c r="C1768" t="s">
        <v>82</v>
      </c>
      <c r="D1768">
        <v>7</v>
      </c>
      <c r="E1768" t="s">
        <v>24</v>
      </c>
      <c r="F1768" t="s">
        <v>43</v>
      </c>
      <c r="G1768" t="s">
        <v>266</v>
      </c>
      <c r="H1768" t="s">
        <v>84</v>
      </c>
      <c r="I1768">
        <v>27670</v>
      </c>
      <c r="J1768">
        <v>20709</v>
      </c>
    </row>
    <row r="1769" spans="1:10" x14ac:dyDescent="0.3">
      <c r="A1769" t="s">
        <v>1896</v>
      </c>
      <c r="B1769" s="1">
        <v>45869</v>
      </c>
      <c r="C1769" t="s">
        <v>11</v>
      </c>
      <c r="D1769">
        <v>31</v>
      </c>
      <c r="E1769" t="s">
        <v>12</v>
      </c>
      <c r="F1769" t="s">
        <v>13</v>
      </c>
      <c r="G1769" t="s">
        <v>266</v>
      </c>
      <c r="H1769" t="s">
        <v>123</v>
      </c>
      <c r="I1769">
        <v>36104</v>
      </c>
      <c r="J1769">
        <v>31989</v>
      </c>
    </row>
    <row r="1770" spans="1:10" x14ac:dyDescent="0.3">
      <c r="A1770" t="s">
        <v>1897</v>
      </c>
      <c r="B1770" s="1">
        <v>46001</v>
      </c>
      <c r="C1770" t="s">
        <v>100</v>
      </c>
      <c r="D1770">
        <v>50</v>
      </c>
      <c r="E1770" t="s">
        <v>70</v>
      </c>
      <c r="F1770" t="s">
        <v>34</v>
      </c>
      <c r="G1770" t="s">
        <v>67</v>
      </c>
      <c r="H1770" t="s">
        <v>96</v>
      </c>
      <c r="I1770">
        <v>17914</v>
      </c>
      <c r="J1770">
        <v>15495</v>
      </c>
    </row>
    <row r="1771" spans="1:10" x14ac:dyDescent="0.3">
      <c r="A1771" t="s">
        <v>1898</v>
      </c>
      <c r="B1771" s="1">
        <v>45861</v>
      </c>
      <c r="C1771" t="s">
        <v>11</v>
      </c>
      <c r="D1771">
        <v>30</v>
      </c>
      <c r="E1771" t="s">
        <v>12</v>
      </c>
      <c r="F1771" t="s">
        <v>50</v>
      </c>
      <c r="G1771" t="s">
        <v>76</v>
      </c>
      <c r="H1771" t="s">
        <v>163</v>
      </c>
      <c r="I1771">
        <v>29981</v>
      </c>
      <c r="J1771">
        <v>36042</v>
      </c>
    </row>
    <row r="1772" spans="1:10" x14ac:dyDescent="0.3">
      <c r="A1772" t="s">
        <v>1899</v>
      </c>
      <c r="B1772" s="1">
        <v>45723</v>
      </c>
      <c r="C1772" t="s">
        <v>95</v>
      </c>
      <c r="D1772">
        <v>10</v>
      </c>
      <c r="E1772" t="s">
        <v>61</v>
      </c>
      <c r="F1772" t="s">
        <v>13</v>
      </c>
      <c r="G1772" t="s">
        <v>110</v>
      </c>
      <c r="H1772" t="s">
        <v>151</v>
      </c>
      <c r="I1772">
        <v>16727</v>
      </c>
      <c r="J1772">
        <v>14211</v>
      </c>
    </row>
    <row r="1773" spans="1:10" x14ac:dyDescent="0.3">
      <c r="A1773" t="s">
        <v>1900</v>
      </c>
      <c r="B1773" s="1">
        <v>45812</v>
      </c>
      <c r="C1773" t="s">
        <v>74</v>
      </c>
      <c r="D1773">
        <v>23</v>
      </c>
      <c r="E1773" t="s">
        <v>33</v>
      </c>
      <c r="F1773" t="s">
        <v>78</v>
      </c>
      <c r="G1773" t="s">
        <v>206</v>
      </c>
      <c r="H1773" t="s">
        <v>68</v>
      </c>
      <c r="I1773">
        <v>26780</v>
      </c>
      <c r="J1773">
        <v>30860</v>
      </c>
    </row>
    <row r="1774" spans="1:10" x14ac:dyDescent="0.3">
      <c r="A1774" t="s">
        <v>1901</v>
      </c>
      <c r="B1774" s="1">
        <v>45995</v>
      </c>
      <c r="C1774" t="s">
        <v>100</v>
      </c>
      <c r="D1774">
        <v>49</v>
      </c>
      <c r="E1774" t="s">
        <v>61</v>
      </c>
      <c r="F1774" t="s">
        <v>78</v>
      </c>
      <c r="G1774" t="s">
        <v>147</v>
      </c>
      <c r="H1774" t="s">
        <v>52</v>
      </c>
      <c r="I1774">
        <v>18346</v>
      </c>
      <c r="J1774">
        <v>21092</v>
      </c>
    </row>
    <row r="1775" spans="1:10" x14ac:dyDescent="0.3">
      <c r="A1775" t="s">
        <v>1902</v>
      </c>
      <c r="B1775" s="1">
        <v>45927</v>
      </c>
      <c r="C1775" t="s">
        <v>38</v>
      </c>
      <c r="D1775">
        <v>39</v>
      </c>
      <c r="E1775" t="s">
        <v>12</v>
      </c>
      <c r="F1775" t="s">
        <v>78</v>
      </c>
      <c r="G1775" t="s">
        <v>47</v>
      </c>
      <c r="H1775" t="s">
        <v>119</v>
      </c>
      <c r="I1775">
        <v>27950</v>
      </c>
      <c r="J1775">
        <v>20848</v>
      </c>
    </row>
    <row r="1776" spans="1:10" x14ac:dyDescent="0.3">
      <c r="A1776" t="s">
        <v>1903</v>
      </c>
      <c r="B1776" s="1">
        <v>45728</v>
      </c>
      <c r="C1776" t="s">
        <v>95</v>
      </c>
      <c r="D1776">
        <v>11</v>
      </c>
      <c r="E1776" t="s">
        <v>70</v>
      </c>
      <c r="F1776" t="s">
        <v>46</v>
      </c>
      <c r="G1776" t="s">
        <v>40</v>
      </c>
      <c r="H1776" t="s">
        <v>103</v>
      </c>
      <c r="I1776">
        <v>15938</v>
      </c>
      <c r="J1776">
        <v>18846</v>
      </c>
    </row>
    <row r="1777" spans="1:10" x14ac:dyDescent="0.3">
      <c r="A1777" t="s">
        <v>1904</v>
      </c>
      <c r="B1777" s="1">
        <v>45734</v>
      </c>
      <c r="C1777" t="s">
        <v>95</v>
      </c>
      <c r="D1777">
        <v>12</v>
      </c>
      <c r="E1777" t="s">
        <v>61</v>
      </c>
      <c r="F1777" t="s">
        <v>114</v>
      </c>
      <c r="G1777" t="s">
        <v>137</v>
      </c>
      <c r="H1777" t="s">
        <v>84</v>
      </c>
      <c r="I1777">
        <v>27767</v>
      </c>
      <c r="J1777">
        <v>30883</v>
      </c>
    </row>
    <row r="1778" spans="1:10" x14ac:dyDescent="0.3">
      <c r="A1778" t="s">
        <v>1905</v>
      </c>
      <c r="B1778" s="1">
        <v>45666</v>
      </c>
      <c r="C1778" t="s">
        <v>17</v>
      </c>
      <c r="D1778">
        <v>2</v>
      </c>
      <c r="E1778" t="s">
        <v>70</v>
      </c>
      <c r="F1778" t="s">
        <v>57</v>
      </c>
      <c r="G1778" t="s">
        <v>234</v>
      </c>
      <c r="H1778" t="s">
        <v>119</v>
      </c>
      <c r="I1778">
        <v>23008</v>
      </c>
      <c r="J1778">
        <v>20925</v>
      </c>
    </row>
    <row r="1779" spans="1:10" x14ac:dyDescent="0.3">
      <c r="A1779" t="s">
        <v>1906</v>
      </c>
      <c r="B1779" s="1">
        <v>45938</v>
      </c>
      <c r="C1779" t="s">
        <v>66</v>
      </c>
      <c r="D1779">
        <v>41</v>
      </c>
      <c r="E1779" t="s">
        <v>33</v>
      </c>
      <c r="F1779" t="s">
        <v>43</v>
      </c>
      <c r="G1779" t="s">
        <v>40</v>
      </c>
      <c r="H1779" t="s">
        <v>41</v>
      </c>
      <c r="I1779">
        <v>31902</v>
      </c>
      <c r="J1779">
        <v>28266</v>
      </c>
    </row>
    <row r="1780" spans="1:10" x14ac:dyDescent="0.3">
      <c r="A1780" t="s">
        <v>1907</v>
      </c>
      <c r="B1780" s="1">
        <v>45901</v>
      </c>
      <c r="C1780" t="s">
        <v>38</v>
      </c>
      <c r="D1780">
        <v>36</v>
      </c>
      <c r="E1780" t="s">
        <v>18</v>
      </c>
      <c r="F1780" t="s">
        <v>34</v>
      </c>
      <c r="G1780" t="s">
        <v>147</v>
      </c>
      <c r="H1780" t="s">
        <v>15</v>
      </c>
      <c r="I1780">
        <v>15152</v>
      </c>
      <c r="J1780">
        <v>13703</v>
      </c>
    </row>
    <row r="1781" spans="1:10" x14ac:dyDescent="0.3">
      <c r="A1781" t="s">
        <v>1908</v>
      </c>
      <c r="B1781" s="1">
        <v>45798</v>
      </c>
      <c r="C1781" t="s">
        <v>90</v>
      </c>
      <c r="D1781">
        <v>21</v>
      </c>
      <c r="E1781" t="s">
        <v>39</v>
      </c>
      <c r="F1781" t="s">
        <v>25</v>
      </c>
      <c r="G1781" t="s">
        <v>182</v>
      </c>
      <c r="H1781" t="s">
        <v>165</v>
      </c>
      <c r="I1781">
        <v>23558</v>
      </c>
      <c r="J1781">
        <v>18044</v>
      </c>
    </row>
    <row r="1782" spans="1:10" x14ac:dyDescent="0.3">
      <c r="A1782" t="s">
        <v>1909</v>
      </c>
      <c r="B1782" s="1">
        <v>45745</v>
      </c>
      <c r="C1782" t="s">
        <v>95</v>
      </c>
      <c r="D1782">
        <v>13</v>
      </c>
      <c r="E1782" t="s">
        <v>61</v>
      </c>
      <c r="F1782" t="s">
        <v>75</v>
      </c>
      <c r="G1782" t="s">
        <v>88</v>
      </c>
      <c r="H1782" t="s">
        <v>103</v>
      </c>
      <c r="I1782">
        <v>25541</v>
      </c>
      <c r="J1782">
        <v>21282</v>
      </c>
    </row>
    <row r="1783" spans="1:10" x14ac:dyDescent="0.3">
      <c r="A1783" t="s">
        <v>1910</v>
      </c>
      <c r="B1783" s="1">
        <v>45680</v>
      </c>
      <c r="C1783" t="s">
        <v>17</v>
      </c>
      <c r="D1783">
        <v>4</v>
      </c>
      <c r="E1783" t="s">
        <v>12</v>
      </c>
      <c r="F1783" t="s">
        <v>50</v>
      </c>
      <c r="G1783" t="s">
        <v>44</v>
      </c>
      <c r="H1783" t="s">
        <v>64</v>
      </c>
      <c r="I1783">
        <v>38003</v>
      </c>
      <c r="J1783">
        <v>32940</v>
      </c>
    </row>
    <row r="1784" spans="1:10" x14ac:dyDescent="0.3">
      <c r="A1784" t="s">
        <v>1911</v>
      </c>
      <c r="B1784" s="1">
        <v>45808</v>
      </c>
      <c r="C1784" t="s">
        <v>90</v>
      </c>
      <c r="D1784">
        <v>22</v>
      </c>
      <c r="E1784" t="s">
        <v>61</v>
      </c>
      <c r="F1784" t="s">
        <v>87</v>
      </c>
      <c r="G1784" t="s">
        <v>54</v>
      </c>
      <c r="H1784" t="s">
        <v>111</v>
      </c>
      <c r="I1784">
        <v>16301</v>
      </c>
      <c r="J1784">
        <v>15660</v>
      </c>
    </row>
    <row r="1785" spans="1:10" x14ac:dyDescent="0.3">
      <c r="A1785" t="s">
        <v>1912</v>
      </c>
      <c r="B1785" s="1">
        <v>45783</v>
      </c>
      <c r="C1785" t="s">
        <v>90</v>
      </c>
      <c r="D1785">
        <v>19</v>
      </c>
      <c r="E1785" t="s">
        <v>39</v>
      </c>
      <c r="F1785" t="s">
        <v>43</v>
      </c>
      <c r="G1785" t="s">
        <v>67</v>
      </c>
      <c r="H1785" t="s">
        <v>155</v>
      </c>
      <c r="I1785">
        <v>16783</v>
      </c>
      <c r="J1785">
        <v>15728</v>
      </c>
    </row>
    <row r="1786" spans="1:10" x14ac:dyDescent="0.3">
      <c r="A1786" t="s">
        <v>1913</v>
      </c>
      <c r="B1786" s="1">
        <v>45779</v>
      </c>
      <c r="C1786" t="s">
        <v>90</v>
      </c>
      <c r="D1786">
        <v>18</v>
      </c>
      <c r="E1786" t="s">
        <v>33</v>
      </c>
      <c r="F1786" t="s">
        <v>57</v>
      </c>
      <c r="G1786" t="s">
        <v>149</v>
      </c>
      <c r="H1786" t="s">
        <v>96</v>
      </c>
      <c r="I1786">
        <v>16915</v>
      </c>
      <c r="J1786">
        <v>21139</v>
      </c>
    </row>
    <row r="1787" spans="1:10" x14ac:dyDescent="0.3">
      <c r="A1787" t="s">
        <v>1914</v>
      </c>
      <c r="B1787" s="1">
        <v>45685</v>
      </c>
      <c r="C1787" t="s">
        <v>17</v>
      </c>
      <c r="D1787">
        <v>5</v>
      </c>
      <c r="E1787" t="s">
        <v>70</v>
      </c>
      <c r="F1787" t="s">
        <v>87</v>
      </c>
      <c r="G1787" t="s">
        <v>14</v>
      </c>
      <c r="H1787" t="s">
        <v>211</v>
      </c>
      <c r="I1787">
        <v>30139</v>
      </c>
      <c r="J1787">
        <v>29100</v>
      </c>
    </row>
    <row r="1788" spans="1:10" x14ac:dyDescent="0.3">
      <c r="A1788" t="s">
        <v>1915</v>
      </c>
      <c r="B1788" s="1">
        <v>46006</v>
      </c>
      <c r="C1788" t="s">
        <v>100</v>
      </c>
      <c r="D1788">
        <v>51</v>
      </c>
      <c r="E1788" t="s">
        <v>33</v>
      </c>
      <c r="F1788" t="s">
        <v>13</v>
      </c>
      <c r="G1788" t="s">
        <v>135</v>
      </c>
      <c r="H1788" t="s">
        <v>123</v>
      </c>
      <c r="I1788">
        <v>38831</v>
      </c>
      <c r="J1788">
        <v>28508</v>
      </c>
    </row>
    <row r="1789" spans="1:10" x14ac:dyDescent="0.3">
      <c r="A1789" t="s">
        <v>1916</v>
      </c>
      <c r="B1789" s="1">
        <v>45917</v>
      </c>
      <c r="C1789" t="s">
        <v>38</v>
      </c>
      <c r="D1789">
        <v>38</v>
      </c>
      <c r="E1789" t="s">
        <v>70</v>
      </c>
      <c r="F1789" t="s">
        <v>13</v>
      </c>
      <c r="G1789" t="s">
        <v>79</v>
      </c>
      <c r="H1789" t="s">
        <v>98</v>
      </c>
      <c r="I1789">
        <v>24215</v>
      </c>
      <c r="J1789">
        <v>24031</v>
      </c>
    </row>
    <row r="1790" spans="1:10" x14ac:dyDescent="0.3">
      <c r="A1790" t="s">
        <v>1917</v>
      </c>
      <c r="B1790" s="1">
        <v>45761</v>
      </c>
      <c r="C1790" t="s">
        <v>86</v>
      </c>
      <c r="D1790">
        <v>16</v>
      </c>
      <c r="E1790" t="s">
        <v>39</v>
      </c>
      <c r="F1790" t="s">
        <v>78</v>
      </c>
      <c r="G1790" t="s">
        <v>141</v>
      </c>
      <c r="H1790" t="s">
        <v>84</v>
      </c>
      <c r="I1790">
        <v>35540</v>
      </c>
      <c r="J1790">
        <v>40193</v>
      </c>
    </row>
    <row r="1791" spans="1:10" x14ac:dyDescent="0.3">
      <c r="A1791" t="s">
        <v>1918</v>
      </c>
      <c r="B1791" s="1">
        <v>45941</v>
      </c>
      <c r="C1791" t="s">
        <v>66</v>
      </c>
      <c r="D1791">
        <v>41</v>
      </c>
      <c r="E1791" t="s">
        <v>33</v>
      </c>
      <c r="F1791" t="s">
        <v>75</v>
      </c>
      <c r="G1791" t="s">
        <v>135</v>
      </c>
      <c r="H1791" t="s">
        <v>15</v>
      </c>
      <c r="I1791">
        <v>35528</v>
      </c>
      <c r="J1791">
        <v>29748</v>
      </c>
    </row>
    <row r="1792" spans="1:10" x14ac:dyDescent="0.3">
      <c r="A1792" t="s">
        <v>1919</v>
      </c>
      <c r="B1792" s="1">
        <v>45864</v>
      </c>
      <c r="C1792" t="s">
        <v>11</v>
      </c>
      <c r="D1792">
        <v>30</v>
      </c>
      <c r="E1792" t="s">
        <v>33</v>
      </c>
      <c r="F1792" t="s">
        <v>114</v>
      </c>
      <c r="G1792" t="s">
        <v>88</v>
      </c>
      <c r="H1792" t="s">
        <v>36</v>
      </c>
      <c r="I1792">
        <v>34750</v>
      </c>
      <c r="J1792">
        <v>36987</v>
      </c>
    </row>
    <row r="1793" spans="1:10" x14ac:dyDescent="0.3">
      <c r="A1793" t="s">
        <v>1920</v>
      </c>
      <c r="B1793" s="1">
        <v>45817</v>
      </c>
      <c r="C1793" t="s">
        <v>74</v>
      </c>
      <c r="D1793">
        <v>24</v>
      </c>
      <c r="E1793" t="s">
        <v>12</v>
      </c>
      <c r="F1793" t="s">
        <v>43</v>
      </c>
      <c r="G1793" t="s">
        <v>191</v>
      </c>
      <c r="H1793" t="s">
        <v>116</v>
      </c>
      <c r="I1793">
        <v>19793</v>
      </c>
      <c r="J1793">
        <v>23947</v>
      </c>
    </row>
    <row r="1794" spans="1:10" x14ac:dyDescent="0.3">
      <c r="A1794" t="s">
        <v>1921</v>
      </c>
      <c r="B1794" s="1">
        <v>45661</v>
      </c>
      <c r="C1794" t="s">
        <v>17</v>
      </c>
      <c r="D1794">
        <v>1</v>
      </c>
      <c r="E1794" t="s">
        <v>39</v>
      </c>
      <c r="F1794" t="s">
        <v>25</v>
      </c>
      <c r="G1794" t="s">
        <v>206</v>
      </c>
      <c r="H1794" t="s">
        <v>151</v>
      </c>
      <c r="I1794">
        <v>17986</v>
      </c>
      <c r="J1794">
        <v>21778</v>
      </c>
    </row>
    <row r="1795" spans="1:10" x14ac:dyDescent="0.3">
      <c r="A1795" t="s">
        <v>1922</v>
      </c>
      <c r="B1795" s="1">
        <v>45925</v>
      </c>
      <c r="C1795" t="s">
        <v>38</v>
      </c>
      <c r="D1795">
        <v>39</v>
      </c>
      <c r="E1795" t="s">
        <v>70</v>
      </c>
      <c r="F1795" t="s">
        <v>57</v>
      </c>
      <c r="G1795" t="s">
        <v>72</v>
      </c>
      <c r="H1795" t="s">
        <v>48</v>
      </c>
      <c r="I1795">
        <v>20062</v>
      </c>
      <c r="J1795">
        <v>16670</v>
      </c>
    </row>
    <row r="1796" spans="1:10" x14ac:dyDescent="0.3">
      <c r="A1796" t="s">
        <v>1923</v>
      </c>
      <c r="B1796" s="1">
        <v>45807</v>
      </c>
      <c r="C1796" t="s">
        <v>90</v>
      </c>
      <c r="D1796">
        <v>22</v>
      </c>
      <c r="E1796" t="s">
        <v>12</v>
      </c>
      <c r="F1796" t="s">
        <v>140</v>
      </c>
      <c r="G1796" t="s">
        <v>160</v>
      </c>
      <c r="H1796" t="s">
        <v>103</v>
      </c>
      <c r="I1796">
        <v>34029</v>
      </c>
      <c r="J1796">
        <v>24106</v>
      </c>
    </row>
    <row r="1797" spans="1:10" x14ac:dyDescent="0.3">
      <c r="A1797" t="s">
        <v>1924</v>
      </c>
      <c r="B1797" s="1">
        <v>45786</v>
      </c>
      <c r="C1797" t="s">
        <v>90</v>
      </c>
      <c r="D1797">
        <v>19</v>
      </c>
      <c r="E1797" t="s">
        <v>70</v>
      </c>
      <c r="F1797" t="s">
        <v>46</v>
      </c>
      <c r="G1797" t="s">
        <v>291</v>
      </c>
      <c r="H1797" t="s">
        <v>80</v>
      </c>
      <c r="I1797">
        <v>17018</v>
      </c>
      <c r="J1797">
        <v>21217</v>
      </c>
    </row>
    <row r="1798" spans="1:10" x14ac:dyDescent="0.3">
      <c r="A1798" t="s">
        <v>1925</v>
      </c>
      <c r="B1798" s="1">
        <v>45861</v>
      </c>
      <c r="C1798" t="s">
        <v>11</v>
      </c>
      <c r="D1798">
        <v>30</v>
      </c>
      <c r="E1798" t="s">
        <v>39</v>
      </c>
      <c r="F1798" t="s">
        <v>29</v>
      </c>
      <c r="G1798" t="s">
        <v>266</v>
      </c>
      <c r="H1798" t="s">
        <v>55</v>
      </c>
      <c r="I1798">
        <v>34384</v>
      </c>
      <c r="J1798">
        <v>30497</v>
      </c>
    </row>
    <row r="1799" spans="1:10" x14ac:dyDescent="0.3">
      <c r="A1799" t="s">
        <v>1926</v>
      </c>
      <c r="B1799" s="1">
        <v>45834</v>
      </c>
      <c r="C1799" t="s">
        <v>74</v>
      </c>
      <c r="D1799">
        <v>26</v>
      </c>
      <c r="E1799" t="s">
        <v>12</v>
      </c>
      <c r="F1799" t="s">
        <v>101</v>
      </c>
      <c r="G1799" t="s">
        <v>149</v>
      </c>
      <c r="H1799" t="s">
        <v>96</v>
      </c>
      <c r="I1799">
        <v>37238</v>
      </c>
      <c r="J1799">
        <v>35767</v>
      </c>
    </row>
    <row r="1800" spans="1:10" x14ac:dyDescent="0.3">
      <c r="A1800" t="s">
        <v>1927</v>
      </c>
      <c r="B1800" s="1">
        <v>45697</v>
      </c>
      <c r="C1800" t="s">
        <v>82</v>
      </c>
      <c r="D1800">
        <v>6</v>
      </c>
      <c r="E1800" t="s">
        <v>24</v>
      </c>
      <c r="F1800" t="s">
        <v>92</v>
      </c>
      <c r="G1800" t="s">
        <v>191</v>
      </c>
      <c r="H1800" t="s">
        <v>98</v>
      </c>
      <c r="I1800">
        <v>16726</v>
      </c>
      <c r="J1800">
        <v>20982</v>
      </c>
    </row>
    <row r="1801" spans="1:10" x14ac:dyDescent="0.3">
      <c r="A1801" t="s">
        <v>1928</v>
      </c>
      <c r="B1801" s="1">
        <v>46010</v>
      </c>
      <c r="C1801" t="s">
        <v>100</v>
      </c>
      <c r="D1801">
        <v>51</v>
      </c>
      <c r="E1801" t="s">
        <v>12</v>
      </c>
      <c r="F1801" t="s">
        <v>43</v>
      </c>
      <c r="G1801" t="s">
        <v>199</v>
      </c>
      <c r="H1801" t="s">
        <v>155</v>
      </c>
      <c r="I1801">
        <v>15132</v>
      </c>
      <c r="J1801">
        <v>18482</v>
      </c>
    </row>
    <row r="1802" spans="1:10" x14ac:dyDescent="0.3">
      <c r="A1802" t="s">
        <v>1929</v>
      </c>
      <c r="B1802" s="1">
        <v>45659</v>
      </c>
      <c r="C1802" t="s">
        <v>17</v>
      </c>
      <c r="D1802">
        <v>1</v>
      </c>
      <c r="E1802" t="s">
        <v>18</v>
      </c>
      <c r="F1802" t="s">
        <v>101</v>
      </c>
      <c r="G1802" t="s">
        <v>79</v>
      </c>
      <c r="H1802" t="s">
        <v>98</v>
      </c>
      <c r="I1802">
        <v>31461</v>
      </c>
      <c r="J1802">
        <v>32733</v>
      </c>
    </row>
    <row r="1803" spans="1:10" x14ac:dyDescent="0.3">
      <c r="A1803" t="s">
        <v>1930</v>
      </c>
      <c r="B1803" s="1">
        <v>45769</v>
      </c>
      <c r="C1803" t="s">
        <v>86</v>
      </c>
      <c r="D1803">
        <v>17</v>
      </c>
      <c r="E1803" t="s">
        <v>33</v>
      </c>
      <c r="F1803" t="s">
        <v>122</v>
      </c>
      <c r="G1803" t="s">
        <v>107</v>
      </c>
      <c r="H1803" t="s">
        <v>27</v>
      </c>
      <c r="I1803">
        <v>31521</v>
      </c>
      <c r="J1803">
        <v>38082</v>
      </c>
    </row>
    <row r="1804" spans="1:10" x14ac:dyDescent="0.3">
      <c r="A1804" t="s">
        <v>1931</v>
      </c>
      <c r="B1804" s="1">
        <v>45951</v>
      </c>
      <c r="C1804" t="s">
        <v>66</v>
      </c>
      <c r="D1804">
        <v>43</v>
      </c>
      <c r="E1804" t="s">
        <v>61</v>
      </c>
      <c r="F1804" t="s">
        <v>75</v>
      </c>
      <c r="G1804" t="s">
        <v>206</v>
      </c>
      <c r="H1804" t="s">
        <v>188</v>
      </c>
      <c r="I1804">
        <v>27375</v>
      </c>
      <c r="J1804">
        <v>21142</v>
      </c>
    </row>
    <row r="1805" spans="1:10" x14ac:dyDescent="0.3">
      <c r="A1805" t="s">
        <v>1932</v>
      </c>
      <c r="B1805" s="1">
        <v>45750</v>
      </c>
      <c r="C1805" t="s">
        <v>86</v>
      </c>
      <c r="D1805">
        <v>14</v>
      </c>
      <c r="E1805" t="s">
        <v>12</v>
      </c>
      <c r="F1805" t="s">
        <v>13</v>
      </c>
      <c r="G1805" t="s">
        <v>115</v>
      </c>
      <c r="H1805" t="s">
        <v>41</v>
      </c>
      <c r="I1805">
        <v>35452</v>
      </c>
      <c r="J1805">
        <v>28737</v>
      </c>
    </row>
    <row r="1806" spans="1:10" x14ac:dyDescent="0.3">
      <c r="A1806" t="s">
        <v>1933</v>
      </c>
      <c r="B1806" s="1">
        <v>45835</v>
      </c>
      <c r="C1806" t="s">
        <v>74</v>
      </c>
      <c r="D1806">
        <v>26</v>
      </c>
      <c r="E1806" t="s">
        <v>70</v>
      </c>
      <c r="F1806" t="s">
        <v>13</v>
      </c>
      <c r="G1806" t="s">
        <v>324</v>
      </c>
      <c r="H1806" t="s">
        <v>27</v>
      </c>
      <c r="I1806">
        <v>38975</v>
      </c>
      <c r="J1806">
        <v>46061</v>
      </c>
    </row>
    <row r="1807" spans="1:10" x14ac:dyDescent="0.3">
      <c r="A1807" t="s">
        <v>1934</v>
      </c>
      <c r="B1807" s="1">
        <v>45981</v>
      </c>
      <c r="C1807" t="s">
        <v>23</v>
      </c>
      <c r="D1807">
        <v>47</v>
      </c>
      <c r="E1807" t="s">
        <v>61</v>
      </c>
      <c r="F1807" t="s">
        <v>114</v>
      </c>
      <c r="G1807" t="s">
        <v>63</v>
      </c>
      <c r="H1807" t="s">
        <v>98</v>
      </c>
      <c r="I1807">
        <v>22141</v>
      </c>
      <c r="J1807">
        <v>27918</v>
      </c>
    </row>
    <row r="1808" spans="1:10" x14ac:dyDescent="0.3">
      <c r="A1808" t="s">
        <v>1935</v>
      </c>
      <c r="B1808" s="1">
        <v>46010</v>
      </c>
      <c r="C1808" t="s">
        <v>100</v>
      </c>
      <c r="D1808">
        <v>51</v>
      </c>
      <c r="E1808" t="s">
        <v>61</v>
      </c>
      <c r="F1808" t="s">
        <v>92</v>
      </c>
      <c r="G1808" t="s">
        <v>76</v>
      </c>
      <c r="H1808" t="s">
        <v>48</v>
      </c>
      <c r="I1808">
        <v>39110</v>
      </c>
      <c r="J1808">
        <v>36022</v>
      </c>
    </row>
    <row r="1809" spans="1:10" x14ac:dyDescent="0.3">
      <c r="A1809" t="s">
        <v>1936</v>
      </c>
      <c r="B1809" s="1">
        <v>45978</v>
      </c>
      <c r="C1809" t="s">
        <v>23</v>
      </c>
      <c r="D1809">
        <v>47</v>
      </c>
      <c r="E1809" t="s">
        <v>12</v>
      </c>
      <c r="F1809" t="s">
        <v>57</v>
      </c>
      <c r="G1809" t="s">
        <v>51</v>
      </c>
      <c r="H1809" t="s">
        <v>119</v>
      </c>
      <c r="I1809">
        <v>23956</v>
      </c>
      <c r="J1809">
        <v>21464</v>
      </c>
    </row>
    <row r="1810" spans="1:10" x14ac:dyDescent="0.3">
      <c r="A1810" t="s">
        <v>1937</v>
      </c>
      <c r="B1810" s="1">
        <v>45938</v>
      </c>
      <c r="C1810" t="s">
        <v>66</v>
      </c>
      <c r="D1810">
        <v>41</v>
      </c>
      <c r="E1810" t="s">
        <v>12</v>
      </c>
      <c r="F1810" t="s">
        <v>29</v>
      </c>
      <c r="G1810" t="s">
        <v>14</v>
      </c>
      <c r="H1810" t="s">
        <v>96</v>
      </c>
      <c r="I1810">
        <v>38770</v>
      </c>
      <c r="J1810">
        <v>33894</v>
      </c>
    </row>
    <row r="1811" spans="1:10" x14ac:dyDescent="0.3">
      <c r="A1811" t="s">
        <v>1938</v>
      </c>
      <c r="B1811" s="1">
        <v>45669</v>
      </c>
      <c r="C1811" t="s">
        <v>17</v>
      </c>
      <c r="D1811">
        <v>2</v>
      </c>
      <c r="E1811" t="s">
        <v>61</v>
      </c>
      <c r="F1811" t="s">
        <v>34</v>
      </c>
      <c r="G1811" t="s">
        <v>110</v>
      </c>
      <c r="H1811" t="s">
        <v>151</v>
      </c>
      <c r="I1811">
        <v>21904</v>
      </c>
      <c r="J1811">
        <v>28331</v>
      </c>
    </row>
    <row r="1812" spans="1:10" x14ac:dyDescent="0.3">
      <c r="A1812" t="s">
        <v>1939</v>
      </c>
      <c r="B1812" s="1">
        <v>45786</v>
      </c>
      <c r="C1812" t="s">
        <v>90</v>
      </c>
      <c r="D1812">
        <v>19</v>
      </c>
      <c r="E1812" t="s">
        <v>12</v>
      </c>
      <c r="F1812" t="s">
        <v>114</v>
      </c>
      <c r="G1812" t="s">
        <v>44</v>
      </c>
      <c r="H1812" t="s">
        <v>36</v>
      </c>
      <c r="I1812">
        <v>18529</v>
      </c>
      <c r="J1812">
        <v>19324</v>
      </c>
    </row>
    <row r="1813" spans="1:10" x14ac:dyDescent="0.3">
      <c r="A1813" t="s">
        <v>1940</v>
      </c>
      <c r="B1813" s="1">
        <v>45854</v>
      </c>
      <c r="C1813" t="s">
        <v>11</v>
      </c>
      <c r="D1813">
        <v>29</v>
      </c>
      <c r="E1813" t="s">
        <v>39</v>
      </c>
      <c r="F1813" t="s">
        <v>57</v>
      </c>
      <c r="G1813" t="s">
        <v>93</v>
      </c>
      <c r="H1813" t="s">
        <v>116</v>
      </c>
      <c r="I1813">
        <v>31023</v>
      </c>
      <c r="J1813">
        <v>32134</v>
      </c>
    </row>
    <row r="1814" spans="1:10" x14ac:dyDescent="0.3">
      <c r="A1814" t="s">
        <v>1941</v>
      </c>
      <c r="B1814" s="1">
        <v>45921</v>
      </c>
      <c r="C1814" t="s">
        <v>38</v>
      </c>
      <c r="D1814">
        <v>38</v>
      </c>
      <c r="E1814" t="s">
        <v>70</v>
      </c>
      <c r="F1814" t="s">
        <v>43</v>
      </c>
      <c r="G1814" t="s">
        <v>230</v>
      </c>
      <c r="H1814" t="s">
        <v>27</v>
      </c>
      <c r="I1814">
        <v>37801</v>
      </c>
      <c r="J1814">
        <v>47196</v>
      </c>
    </row>
    <row r="1815" spans="1:10" x14ac:dyDescent="0.3">
      <c r="A1815" t="s">
        <v>1942</v>
      </c>
      <c r="B1815" s="1">
        <v>45867</v>
      </c>
      <c r="C1815" t="s">
        <v>11</v>
      </c>
      <c r="D1815">
        <v>31</v>
      </c>
      <c r="E1815" t="s">
        <v>33</v>
      </c>
      <c r="F1815" t="s">
        <v>43</v>
      </c>
      <c r="G1815" t="s">
        <v>126</v>
      </c>
      <c r="H1815" t="s">
        <v>27</v>
      </c>
      <c r="I1815">
        <v>15819</v>
      </c>
      <c r="J1815">
        <v>16686</v>
      </c>
    </row>
    <row r="1816" spans="1:10" x14ac:dyDescent="0.3">
      <c r="A1816" t="s">
        <v>1943</v>
      </c>
      <c r="B1816" s="1">
        <v>45746</v>
      </c>
      <c r="C1816" t="s">
        <v>95</v>
      </c>
      <c r="D1816">
        <v>13</v>
      </c>
      <c r="E1816" t="s">
        <v>33</v>
      </c>
      <c r="F1816" t="s">
        <v>57</v>
      </c>
      <c r="G1816" t="s">
        <v>26</v>
      </c>
      <c r="H1816" t="s">
        <v>165</v>
      </c>
      <c r="I1816">
        <v>18953</v>
      </c>
      <c r="J1816">
        <v>16405</v>
      </c>
    </row>
    <row r="1817" spans="1:10" x14ac:dyDescent="0.3">
      <c r="A1817" t="s">
        <v>1944</v>
      </c>
      <c r="B1817" s="1">
        <v>45942</v>
      </c>
      <c r="C1817" t="s">
        <v>66</v>
      </c>
      <c r="D1817">
        <v>41</v>
      </c>
      <c r="E1817" t="s">
        <v>70</v>
      </c>
      <c r="F1817" t="s">
        <v>109</v>
      </c>
      <c r="G1817" t="s">
        <v>135</v>
      </c>
      <c r="H1817" t="s">
        <v>52</v>
      </c>
      <c r="I1817">
        <v>38670</v>
      </c>
      <c r="J1817">
        <v>28600</v>
      </c>
    </row>
    <row r="1818" spans="1:10" x14ac:dyDescent="0.3">
      <c r="A1818" t="s">
        <v>1945</v>
      </c>
      <c r="B1818" s="1">
        <v>45713</v>
      </c>
      <c r="C1818" t="s">
        <v>82</v>
      </c>
      <c r="D1818">
        <v>9</v>
      </c>
      <c r="E1818" t="s">
        <v>24</v>
      </c>
      <c r="F1818" t="s">
        <v>13</v>
      </c>
      <c r="G1818" t="s">
        <v>291</v>
      </c>
      <c r="H1818" t="s">
        <v>157</v>
      </c>
      <c r="I1818">
        <v>24694</v>
      </c>
      <c r="J1818">
        <v>22825</v>
      </c>
    </row>
    <row r="1819" spans="1:10" x14ac:dyDescent="0.3">
      <c r="A1819" t="s">
        <v>1946</v>
      </c>
      <c r="B1819" s="1">
        <v>45848</v>
      </c>
      <c r="C1819" t="s">
        <v>11</v>
      </c>
      <c r="D1819">
        <v>28</v>
      </c>
      <c r="E1819" t="s">
        <v>18</v>
      </c>
      <c r="F1819" t="s">
        <v>114</v>
      </c>
      <c r="G1819" t="s">
        <v>147</v>
      </c>
      <c r="H1819" t="s">
        <v>36</v>
      </c>
      <c r="I1819">
        <v>20199</v>
      </c>
      <c r="J1819">
        <v>24962</v>
      </c>
    </row>
    <row r="1820" spans="1:10" x14ac:dyDescent="0.3">
      <c r="A1820" t="s">
        <v>1947</v>
      </c>
      <c r="B1820" s="1">
        <v>45905</v>
      </c>
      <c r="C1820" t="s">
        <v>38</v>
      </c>
      <c r="D1820">
        <v>36</v>
      </c>
      <c r="E1820" t="s">
        <v>24</v>
      </c>
      <c r="F1820" t="s">
        <v>140</v>
      </c>
      <c r="G1820" t="s">
        <v>291</v>
      </c>
      <c r="H1820" t="s">
        <v>36</v>
      </c>
      <c r="I1820">
        <v>31741</v>
      </c>
      <c r="J1820">
        <v>22441</v>
      </c>
    </row>
    <row r="1821" spans="1:10" x14ac:dyDescent="0.3">
      <c r="A1821" t="s">
        <v>1948</v>
      </c>
      <c r="B1821" s="1">
        <v>45688</v>
      </c>
      <c r="C1821" t="s">
        <v>17</v>
      </c>
      <c r="D1821">
        <v>5</v>
      </c>
      <c r="E1821" t="s">
        <v>24</v>
      </c>
      <c r="F1821" t="s">
        <v>25</v>
      </c>
      <c r="G1821" t="s">
        <v>324</v>
      </c>
      <c r="H1821" t="s">
        <v>116</v>
      </c>
      <c r="I1821">
        <v>36659</v>
      </c>
      <c r="J1821">
        <v>33740</v>
      </c>
    </row>
    <row r="1822" spans="1:10" x14ac:dyDescent="0.3">
      <c r="A1822" t="s">
        <v>1949</v>
      </c>
      <c r="B1822" s="1">
        <v>45945</v>
      </c>
      <c r="C1822" t="s">
        <v>66</v>
      </c>
      <c r="D1822">
        <v>42</v>
      </c>
      <c r="E1822" t="s">
        <v>33</v>
      </c>
      <c r="F1822" t="s">
        <v>50</v>
      </c>
      <c r="G1822" t="s">
        <v>58</v>
      </c>
      <c r="H1822" t="s">
        <v>211</v>
      </c>
      <c r="I1822">
        <v>22316</v>
      </c>
      <c r="J1822">
        <v>19245</v>
      </c>
    </row>
    <row r="1823" spans="1:10" x14ac:dyDescent="0.3">
      <c r="A1823" t="s">
        <v>1950</v>
      </c>
      <c r="B1823" s="1">
        <v>45788</v>
      </c>
      <c r="C1823" t="s">
        <v>90</v>
      </c>
      <c r="D1823">
        <v>19</v>
      </c>
      <c r="E1823" t="s">
        <v>61</v>
      </c>
      <c r="F1823" t="s">
        <v>25</v>
      </c>
      <c r="G1823" t="s">
        <v>93</v>
      </c>
      <c r="H1823" t="s">
        <v>84</v>
      </c>
      <c r="I1823">
        <v>17207</v>
      </c>
      <c r="J1823">
        <v>22260</v>
      </c>
    </row>
    <row r="1824" spans="1:10" x14ac:dyDescent="0.3">
      <c r="A1824" t="s">
        <v>1951</v>
      </c>
      <c r="B1824" s="1">
        <v>45955</v>
      </c>
      <c r="C1824" t="s">
        <v>66</v>
      </c>
      <c r="D1824">
        <v>43</v>
      </c>
      <c r="E1824" t="s">
        <v>12</v>
      </c>
      <c r="F1824" t="s">
        <v>19</v>
      </c>
      <c r="G1824" t="s">
        <v>58</v>
      </c>
      <c r="H1824" t="s">
        <v>21</v>
      </c>
      <c r="I1824">
        <v>39009</v>
      </c>
      <c r="J1824">
        <v>35753</v>
      </c>
    </row>
    <row r="1825" spans="1:10" x14ac:dyDescent="0.3">
      <c r="A1825" t="s">
        <v>1952</v>
      </c>
      <c r="B1825" s="1">
        <v>45977</v>
      </c>
      <c r="C1825" t="s">
        <v>23</v>
      </c>
      <c r="D1825">
        <v>46</v>
      </c>
      <c r="E1825" t="s">
        <v>39</v>
      </c>
      <c r="F1825" t="s">
        <v>101</v>
      </c>
      <c r="G1825" t="s">
        <v>102</v>
      </c>
      <c r="H1825" t="s">
        <v>41</v>
      </c>
      <c r="I1825">
        <v>32411</v>
      </c>
      <c r="J1825">
        <v>34377</v>
      </c>
    </row>
    <row r="1826" spans="1:10" x14ac:dyDescent="0.3">
      <c r="A1826" t="s">
        <v>1953</v>
      </c>
      <c r="B1826" s="1">
        <v>45717</v>
      </c>
      <c r="C1826" t="s">
        <v>95</v>
      </c>
      <c r="D1826">
        <v>9</v>
      </c>
      <c r="E1826" t="s">
        <v>24</v>
      </c>
      <c r="F1826" t="s">
        <v>101</v>
      </c>
      <c r="G1826" t="s">
        <v>141</v>
      </c>
      <c r="H1826" t="s">
        <v>157</v>
      </c>
      <c r="I1826">
        <v>35164</v>
      </c>
      <c r="J1826">
        <v>36032</v>
      </c>
    </row>
    <row r="1827" spans="1:10" x14ac:dyDescent="0.3">
      <c r="A1827" t="s">
        <v>1954</v>
      </c>
      <c r="B1827" s="1">
        <v>45850</v>
      </c>
      <c r="C1827" t="s">
        <v>11</v>
      </c>
      <c r="D1827">
        <v>28</v>
      </c>
      <c r="E1827" t="s">
        <v>18</v>
      </c>
      <c r="F1827" t="s">
        <v>140</v>
      </c>
      <c r="G1827" t="s">
        <v>230</v>
      </c>
      <c r="H1827" t="s">
        <v>211</v>
      </c>
      <c r="I1827">
        <v>25177</v>
      </c>
      <c r="J1827">
        <v>30005</v>
      </c>
    </row>
    <row r="1828" spans="1:10" x14ac:dyDescent="0.3">
      <c r="A1828" t="s">
        <v>1955</v>
      </c>
      <c r="B1828" s="1">
        <v>45727</v>
      </c>
      <c r="C1828" t="s">
        <v>95</v>
      </c>
      <c r="D1828">
        <v>11</v>
      </c>
      <c r="E1828" t="s">
        <v>24</v>
      </c>
      <c r="F1828" t="s">
        <v>78</v>
      </c>
      <c r="G1828" t="s">
        <v>324</v>
      </c>
      <c r="H1828" t="s">
        <v>68</v>
      </c>
      <c r="I1828">
        <v>33598</v>
      </c>
      <c r="J1828">
        <v>38848</v>
      </c>
    </row>
    <row r="1829" spans="1:10" x14ac:dyDescent="0.3">
      <c r="A1829" t="s">
        <v>1956</v>
      </c>
      <c r="B1829" s="1">
        <v>45806</v>
      </c>
      <c r="C1829" t="s">
        <v>90</v>
      </c>
      <c r="D1829">
        <v>22</v>
      </c>
      <c r="E1829" t="s">
        <v>18</v>
      </c>
      <c r="F1829" t="s">
        <v>122</v>
      </c>
      <c r="G1829" t="s">
        <v>240</v>
      </c>
      <c r="H1829" t="s">
        <v>123</v>
      </c>
      <c r="I1829">
        <v>33473</v>
      </c>
      <c r="J1829">
        <v>24036</v>
      </c>
    </row>
    <row r="1830" spans="1:10" x14ac:dyDescent="0.3">
      <c r="A1830" t="s">
        <v>1957</v>
      </c>
      <c r="B1830" s="1">
        <v>45947</v>
      </c>
      <c r="C1830" t="s">
        <v>66</v>
      </c>
      <c r="D1830">
        <v>42</v>
      </c>
      <c r="E1830" t="s">
        <v>12</v>
      </c>
      <c r="F1830" t="s">
        <v>75</v>
      </c>
      <c r="G1830" t="s">
        <v>230</v>
      </c>
      <c r="H1830" t="s">
        <v>84</v>
      </c>
      <c r="I1830">
        <v>32850</v>
      </c>
      <c r="J1830">
        <v>26961</v>
      </c>
    </row>
    <row r="1831" spans="1:10" x14ac:dyDescent="0.3">
      <c r="A1831" t="s">
        <v>1958</v>
      </c>
      <c r="B1831" s="1">
        <v>45942</v>
      </c>
      <c r="C1831" t="s">
        <v>66</v>
      </c>
      <c r="D1831">
        <v>41</v>
      </c>
      <c r="E1831" t="s">
        <v>61</v>
      </c>
      <c r="F1831" t="s">
        <v>75</v>
      </c>
      <c r="G1831" t="s">
        <v>234</v>
      </c>
      <c r="H1831" t="s">
        <v>68</v>
      </c>
      <c r="I1831">
        <v>23083</v>
      </c>
      <c r="J1831">
        <v>21099</v>
      </c>
    </row>
    <row r="1832" spans="1:10" x14ac:dyDescent="0.3">
      <c r="A1832" t="s">
        <v>1959</v>
      </c>
      <c r="B1832" s="1">
        <v>45980</v>
      </c>
      <c r="C1832" t="s">
        <v>23</v>
      </c>
      <c r="D1832">
        <v>47</v>
      </c>
      <c r="E1832" t="s">
        <v>61</v>
      </c>
      <c r="F1832" t="s">
        <v>193</v>
      </c>
      <c r="G1832" t="s">
        <v>171</v>
      </c>
      <c r="H1832" t="s">
        <v>64</v>
      </c>
      <c r="I1832">
        <v>17153</v>
      </c>
      <c r="J1832">
        <v>18453</v>
      </c>
    </row>
    <row r="1833" spans="1:10" x14ac:dyDescent="0.3">
      <c r="A1833" t="s">
        <v>1960</v>
      </c>
      <c r="B1833" s="1">
        <v>45876</v>
      </c>
      <c r="C1833" t="s">
        <v>113</v>
      </c>
      <c r="D1833">
        <v>32</v>
      </c>
      <c r="E1833" t="s">
        <v>61</v>
      </c>
      <c r="F1833" t="s">
        <v>46</v>
      </c>
      <c r="G1833" t="s">
        <v>14</v>
      </c>
      <c r="H1833" t="s">
        <v>116</v>
      </c>
      <c r="I1833">
        <v>29548</v>
      </c>
      <c r="J1833">
        <v>24761</v>
      </c>
    </row>
    <row r="1834" spans="1:10" x14ac:dyDescent="0.3">
      <c r="A1834" t="s">
        <v>1961</v>
      </c>
      <c r="B1834" s="1">
        <v>45726</v>
      </c>
      <c r="C1834" t="s">
        <v>95</v>
      </c>
      <c r="D1834">
        <v>11</v>
      </c>
      <c r="E1834" t="s">
        <v>24</v>
      </c>
      <c r="F1834" t="s">
        <v>75</v>
      </c>
      <c r="G1834" t="s">
        <v>40</v>
      </c>
      <c r="H1834" t="s">
        <v>59</v>
      </c>
      <c r="I1834">
        <v>32212</v>
      </c>
      <c r="J1834">
        <v>34259</v>
      </c>
    </row>
    <row r="1835" spans="1:10" x14ac:dyDescent="0.3">
      <c r="A1835" t="s">
        <v>1962</v>
      </c>
      <c r="B1835" s="1">
        <v>45759</v>
      </c>
      <c r="C1835" t="s">
        <v>86</v>
      </c>
      <c r="D1835">
        <v>15</v>
      </c>
      <c r="E1835" t="s">
        <v>24</v>
      </c>
      <c r="F1835" t="s">
        <v>87</v>
      </c>
      <c r="G1835" t="s">
        <v>224</v>
      </c>
      <c r="H1835" t="s">
        <v>36</v>
      </c>
      <c r="I1835">
        <v>25964</v>
      </c>
      <c r="J1835">
        <v>29764</v>
      </c>
    </row>
    <row r="1836" spans="1:10" x14ac:dyDescent="0.3">
      <c r="A1836" t="s">
        <v>1963</v>
      </c>
      <c r="B1836" s="1">
        <v>45935</v>
      </c>
      <c r="C1836" t="s">
        <v>66</v>
      </c>
      <c r="D1836">
        <v>40</v>
      </c>
      <c r="E1836" t="s">
        <v>12</v>
      </c>
      <c r="F1836" t="s">
        <v>19</v>
      </c>
      <c r="G1836" t="s">
        <v>230</v>
      </c>
      <c r="H1836" t="s">
        <v>59</v>
      </c>
      <c r="I1836">
        <v>32973</v>
      </c>
      <c r="J1836">
        <v>37699</v>
      </c>
    </row>
    <row r="1837" spans="1:10" x14ac:dyDescent="0.3">
      <c r="A1837" t="s">
        <v>1964</v>
      </c>
      <c r="B1837" s="1">
        <v>45956</v>
      </c>
      <c r="C1837" t="s">
        <v>66</v>
      </c>
      <c r="D1837">
        <v>43</v>
      </c>
      <c r="E1837" t="s">
        <v>24</v>
      </c>
      <c r="F1837" t="s">
        <v>140</v>
      </c>
      <c r="G1837" t="s">
        <v>126</v>
      </c>
      <c r="H1837" t="s">
        <v>31</v>
      </c>
      <c r="I1837">
        <v>28498</v>
      </c>
      <c r="J1837">
        <v>29768</v>
      </c>
    </row>
    <row r="1838" spans="1:10" x14ac:dyDescent="0.3">
      <c r="A1838" t="s">
        <v>1965</v>
      </c>
      <c r="B1838" s="1">
        <v>45956</v>
      </c>
      <c r="C1838" t="s">
        <v>66</v>
      </c>
      <c r="D1838">
        <v>43</v>
      </c>
      <c r="E1838" t="s">
        <v>39</v>
      </c>
      <c r="F1838" t="s">
        <v>122</v>
      </c>
      <c r="G1838" t="s">
        <v>40</v>
      </c>
      <c r="H1838" t="s">
        <v>123</v>
      </c>
      <c r="I1838">
        <v>37233</v>
      </c>
      <c r="J1838">
        <v>27626</v>
      </c>
    </row>
    <row r="1839" spans="1:10" x14ac:dyDescent="0.3">
      <c r="A1839" t="s">
        <v>1966</v>
      </c>
      <c r="B1839" s="1">
        <v>45733</v>
      </c>
      <c r="C1839" t="s">
        <v>95</v>
      </c>
      <c r="D1839">
        <v>12</v>
      </c>
      <c r="E1839" t="s">
        <v>61</v>
      </c>
      <c r="F1839" t="s">
        <v>19</v>
      </c>
      <c r="G1839" t="s">
        <v>93</v>
      </c>
      <c r="H1839" t="s">
        <v>116</v>
      </c>
      <c r="I1839">
        <v>27602</v>
      </c>
      <c r="J1839">
        <v>28651</v>
      </c>
    </row>
    <row r="1840" spans="1:10" x14ac:dyDescent="0.3">
      <c r="A1840" t="s">
        <v>1967</v>
      </c>
      <c r="B1840" s="1">
        <v>45870</v>
      </c>
      <c r="C1840" t="s">
        <v>113</v>
      </c>
      <c r="D1840">
        <v>31</v>
      </c>
      <c r="E1840" t="s">
        <v>70</v>
      </c>
      <c r="F1840" t="s">
        <v>75</v>
      </c>
      <c r="G1840" t="s">
        <v>147</v>
      </c>
      <c r="H1840" t="s">
        <v>165</v>
      </c>
      <c r="I1840">
        <v>24280</v>
      </c>
      <c r="J1840">
        <v>30226</v>
      </c>
    </row>
    <row r="1841" spans="1:10" x14ac:dyDescent="0.3">
      <c r="A1841" t="s">
        <v>1968</v>
      </c>
      <c r="B1841" s="1">
        <v>45821</v>
      </c>
      <c r="C1841" t="s">
        <v>74</v>
      </c>
      <c r="D1841">
        <v>24</v>
      </c>
      <c r="E1841" t="s">
        <v>18</v>
      </c>
      <c r="F1841" t="s">
        <v>87</v>
      </c>
      <c r="G1841" t="s">
        <v>72</v>
      </c>
      <c r="H1841" t="s">
        <v>84</v>
      </c>
      <c r="I1841">
        <v>25190</v>
      </c>
      <c r="J1841">
        <v>28837</v>
      </c>
    </row>
    <row r="1842" spans="1:10" x14ac:dyDescent="0.3">
      <c r="A1842" t="s">
        <v>1969</v>
      </c>
      <c r="B1842" s="1">
        <v>45944</v>
      </c>
      <c r="C1842" t="s">
        <v>66</v>
      </c>
      <c r="D1842">
        <v>42</v>
      </c>
      <c r="E1842" t="s">
        <v>39</v>
      </c>
      <c r="F1842" t="s">
        <v>57</v>
      </c>
      <c r="G1842" t="s">
        <v>234</v>
      </c>
      <c r="H1842" t="s">
        <v>21</v>
      </c>
      <c r="I1842">
        <v>34246</v>
      </c>
      <c r="J1842">
        <v>27445</v>
      </c>
    </row>
    <row r="1843" spans="1:10" x14ac:dyDescent="0.3">
      <c r="A1843" t="s">
        <v>1970</v>
      </c>
      <c r="B1843" s="1">
        <v>45849</v>
      </c>
      <c r="C1843" t="s">
        <v>11</v>
      </c>
      <c r="D1843">
        <v>28</v>
      </c>
      <c r="E1843" t="s">
        <v>70</v>
      </c>
      <c r="F1843" t="s">
        <v>101</v>
      </c>
      <c r="G1843" t="s">
        <v>160</v>
      </c>
      <c r="H1843" t="s">
        <v>155</v>
      </c>
      <c r="I1843">
        <v>26079</v>
      </c>
      <c r="J1843">
        <v>26105</v>
      </c>
    </row>
    <row r="1844" spans="1:10" x14ac:dyDescent="0.3">
      <c r="A1844" t="s">
        <v>1971</v>
      </c>
      <c r="B1844" s="1">
        <v>45955</v>
      </c>
      <c r="C1844" t="s">
        <v>66</v>
      </c>
      <c r="D1844">
        <v>43</v>
      </c>
      <c r="E1844" t="s">
        <v>12</v>
      </c>
      <c r="F1844" t="s">
        <v>34</v>
      </c>
      <c r="G1844" t="s">
        <v>115</v>
      </c>
      <c r="H1844" t="s">
        <v>68</v>
      </c>
      <c r="I1844">
        <v>34975</v>
      </c>
      <c r="J1844">
        <v>32954</v>
      </c>
    </row>
    <row r="1845" spans="1:10" x14ac:dyDescent="0.3">
      <c r="A1845" t="s">
        <v>1972</v>
      </c>
      <c r="B1845" s="1">
        <v>45694</v>
      </c>
      <c r="C1845" t="s">
        <v>82</v>
      </c>
      <c r="D1845">
        <v>6</v>
      </c>
      <c r="E1845" t="s">
        <v>12</v>
      </c>
      <c r="F1845" t="s">
        <v>78</v>
      </c>
      <c r="G1845" t="s">
        <v>224</v>
      </c>
      <c r="H1845" t="s">
        <v>41</v>
      </c>
      <c r="I1845">
        <v>16706</v>
      </c>
      <c r="J1845">
        <v>19374</v>
      </c>
    </row>
    <row r="1846" spans="1:10" x14ac:dyDescent="0.3">
      <c r="A1846" t="s">
        <v>1973</v>
      </c>
      <c r="B1846" s="1">
        <v>45906</v>
      </c>
      <c r="C1846" t="s">
        <v>38</v>
      </c>
      <c r="D1846">
        <v>36</v>
      </c>
      <c r="E1846" t="s">
        <v>12</v>
      </c>
      <c r="F1846" t="s">
        <v>122</v>
      </c>
      <c r="G1846" t="s">
        <v>88</v>
      </c>
      <c r="H1846" t="s">
        <v>84</v>
      </c>
      <c r="I1846">
        <v>15991</v>
      </c>
      <c r="J1846">
        <v>11752</v>
      </c>
    </row>
    <row r="1847" spans="1:10" x14ac:dyDescent="0.3">
      <c r="A1847" t="s">
        <v>1974</v>
      </c>
      <c r="B1847" s="1">
        <v>46001</v>
      </c>
      <c r="C1847" t="s">
        <v>100</v>
      </c>
      <c r="D1847">
        <v>50</v>
      </c>
      <c r="E1847" t="s">
        <v>24</v>
      </c>
      <c r="F1847" t="s">
        <v>75</v>
      </c>
      <c r="G1847" t="s">
        <v>47</v>
      </c>
      <c r="H1847" t="s">
        <v>151</v>
      </c>
      <c r="I1847">
        <v>23495</v>
      </c>
      <c r="J1847">
        <v>25980</v>
      </c>
    </row>
    <row r="1848" spans="1:10" x14ac:dyDescent="0.3">
      <c r="A1848" t="s">
        <v>1975</v>
      </c>
      <c r="B1848" s="1">
        <v>45709</v>
      </c>
      <c r="C1848" t="s">
        <v>82</v>
      </c>
      <c r="D1848">
        <v>8</v>
      </c>
      <c r="E1848" t="s">
        <v>18</v>
      </c>
      <c r="F1848" t="s">
        <v>114</v>
      </c>
      <c r="G1848" t="s">
        <v>35</v>
      </c>
      <c r="H1848" t="s">
        <v>133</v>
      </c>
      <c r="I1848">
        <v>27828</v>
      </c>
      <c r="J1848">
        <v>25424</v>
      </c>
    </row>
    <row r="1849" spans="1:10" x14ac:dyDescent="0.3">
      <c r="A1849" t="s">
        <v>1976</v>
      </c>
      <c r="B1849" s="1">
        <v>45694</v>
      </c>
      <c r="C1849" t="s">
        <v>82</v>
      </c>
      <c r="D1849">
        <v>6</v>
      </c>
      <c r="E1849" t="s">
        <v>18</v>
      </c>
      <c r="F1849" t="s">
        <v>13</v>
      </c>
      <c r="G1849" t="s">
        <v>201</v>
      </c>
      <c r="H1849" t="s">
        <v>116</v>
      </c>
      <c r="I1849">
        <v>32633</v>
      </c>
      <c r="J1849">
        <v>29571</v>
      </c>
    </row>
    <row r="1850" spans="1:10" x14ac:dyDescent="0.3">
      <c r="A1850" t="s">
        <v>1977</v>
      </c>
      <c r="B1850" s="1">
        <v>45966</v>
      </c>
      <c r="C1850" t="s">
        <v>23</v>
      </c>
      <c r="D1850">
        <v>45</v>
      </c>
      <c r="E1850" t="s">
        <v>24</v>
      </c>
      <c r="F1850" t="s">
        <v>29</v>
      </c>
      <c r="G1850" t="s">
        <v>107</v>
      </c>
      <c r="H1850" t="s">
        <v>64</v>
      </c>
      <c r="I1850">
        <v>23885</v>
      </c>
      <c r="J1850">
        <v>29314</v>
      </c>
    </row>
    <row r="1851" spans="1:10" x14ac:dyDescent="0.3">
      <c r="A1851" t="s">
        <v>1978</v>
      </c>
      <c r="B1851" s="1">
        <v>45992</v>
      </c>
      <c r="C1851" t="s">
        <v>100</v>
      </c>
      <c r="D1851">
        <v>49</v>
      </c>
      <c r="E1851" t="s">
        <v>39</v>
      </c>
      <c r="F1851" t="s">
        <v>34</v>
      </c>
      <c r="G1851" t="s">
        <v>126</v>
      </c>
      <c r="H1851" t="s">
        <v>116</v>
      </c>
      <c r="I1851">
        <v>29085</v>
      </c>
      <c r="J1851">
        <v>20388</v>
      </c>
    </row>
    <row r="1852" spans="1:10" x14ac:dyDescent="0.3">
      <c r="A1852" t="s">
        <v>1979</v>
      </c>
      <c r="B1852" s="1">
        <v>45944</v>
      </c>
      <c r="C1852" t="s">
        <v>66</v>
      </c>
      <c r="D1852">
        <v>42</v>
      </c>
      <c r="E1852" t="s">
        <v>70</v>
      </c>
      <c r="F1852" t="s">
        <v>46</v>
      </c>
      <c r="G1852" t="s">
        <v>26</v>
      </c>
      <c r="H1852" t="s">
        <v>64</v>
      </c>
      <c r="I1852">
        <v>23732</v>
      </c>
      <c r="J1852">
        <v>19605</v>
      </c>
    </row>
    <row r="1853" spans="1:10" x14ac:dyDescent="0.3">
      <c r="A1853" t="s">
        <v>1980</v>
      </c>
      <c r="B1853" s="1">
        <v>45969</v>
      </c>
      <c r="C1853" t="s">
        <v>23</v>
      </c>
      <c r="D1853">
        <v>45</v>
      </c>
      <c r="E1853" t="s">
        <v>39</v>
      </c>
      <c r="F1853" t="s">
        <v>29</v>
      </c>
      <c r="G1853" t="s">
        <v>130</v>
      </c>
      <c r="H1853" t="s">
        <v>243</v>
      </c>
      <c r="I1853">
        <v>39770</v>
      </c>
      <c r="J1853">
        <v>45678</v>
      </c>
    </row>
    <row r="1854" spans="1:10" x14ac:dyDescent="0.3">
      <c r="A1854" t="s">
        <v>1981</v>
      </c>
      <c r="B1854" s="1">
        <v>45948</v>
      </c>
      <c r="C1854" t="s">
        <v>66</v>
      </c>
      <c r="D1854">
        <v>42</v>
      </c>
      <c r="E1854" t="s">
        <v>39</v>
      </c>
      <c r="F1854" t="s">
        <v>109</v>
      </c>
      <c r="G1854" t="s">
        <v>118</v>
      </c>
      <c r="H1854" t="s">
        <v>163</v>
      </c>
      <c r="I1854">
        <v>25316</v>
      </c>
      <c r="J1854">
        <v>19387</v>
      </c>
    </row>
    <row r="1855" spans="1:10" x14ac:dyDescent="0.3">
      <c r="A1855" t="s">
        <v>1982</v>
      </c>
      <c r="B1855" s="1">
        <v>45684</v>
      </c>
      <c r="C1855" t="s">
        <v>17</v>
      </c>
      <c r="D1855">
        <v>5</v>
      </c>
      <c r="E1855" t="s">
        <v>18</v>
      </c>
      <c r="F1855" t="s">
        <v>75</v>
      </c>
      <c r="G1855" t="s">
        <v>72</v>
      </c>
      <c r="H1855" t="s">
        <v>157</v>
      </c>
      <c r="I1855">
        <v>29214</v>
      </c>
      <c r="J1855">
        <v>35360</v>
      </c>
    </row>
    <row r="1856" spans="1:10" x14ac:dyDescent="0.3">
      <c r="A1856" t="s">
        <v>1983</v>
      </c>
      <c r="B1856" s="1">
        <v>45876</v>
      </c>
      <c r="C1856" t="s">
        <v>113</v>
      </c>
      <c r="D1856">
        <v>32</v>
      </c>
      <c r="E1856" t="s">
        <v>18</v>
      </c>
      <c r="F1856" t="s">
        <v>50</v>
      </c>
      <c r="G1856" t="s">
        <v>40</v>
      </c>
      <c r="H1856" t="s">
        <v>98</v>
      </c>
      <c r="I1856">
        <v>16616</v>
      </c>
      <c r="J1856">
        <v>19926</v>
      </c>
    </row>
    <row r="1857" spans="1:10" x14ac:dyDescent="0.3">
      <c r="A1857" t="s">
        <v>1984</v>
      </c>
      <c r="B1857" s="1">
        <v>45750</v>
      </c>
      <c r="C1857" t="s">
        <v>86</v>
      </c>
      <c r="D1857">
        <v>14</v>
      </c>
      <c r="E1857" t="s">
        <v>33</v>
      </c>
      <c r="F1857" t="s">
        <v>109</v>
      </c>
      <c r="G1857" t="s">
        <v>128</v>
      </c>
      <c r="H1857" t="s">
        <v>52</v>
      </c>
      <c r="I1857">
        <v>37822</v>
      </c>
      <c r="J1857">
        <v>41486</v>
      </c>
    </row>
    <row r="1858" spans="1:10" x14ac:dyDescent="0.3">
      <c r="A1858" t="s">
        <v>1985</v>
      </c>
      <c r="B1858" s="1">
        <v>46010</v>
      </c>
      <c r="C1858" t="s">
        <v>100</v>
      </c>
      <c r="D1858">
        <v>51</v>
      </c>
      <c r="E1858" t="s">
        <v>18</v>
      </c>
      <c r="F1858" t="s">
        <v>101</v>
      </c>
      <c r="G1858" t="s">
        <v>160</v>
      </c>
      <c r="H1858" t="s">
        <v>211</v>
      </c>
      <c r="I1858">
        <v>25341</v>
      </c>
      <c r="J1858">
        <v>28824</v>
      </c>
    </row>
    <row r="1859" spans="1:10" x14ac:dyDescent="0.3">
      <c r="A1859" t="s">
        <v>1986</v>
      </c>
      <c r="B1859" s="1">
        <v>45686</v>
      </c>
      <c r="C1859" t="s">
        <v>17</v>
      </c>
      <c r="D1859">
        <v>5</v>
      </c>
      <c r="E1859" t="s">
        <v>18</v>
      </c>
      <c r="F1859" t="s">
        <v>46</v>
      </c>
      <c r="G1859" t="s">
        <v>83</v>
      </c>
      <c r="H1859" t="s">
        <v>41</v>
      </c>
      <c r="I1859">
        <v>35624</v>
      </c>
      <c r="J1859">
        <v>28900</v>
      </c>
    </row>
    <row r="1860" spans="1:10" x14ac:dyDescent="0.3">
      <c r="A1860" t="s">
        <v>1987</v>
      </c>
      <c r="B1860" s="1">
        <v>45808</v>
      </c>
      <c r="C1860" t="s">
        <v>90</v>
      </c>
      <c r="D1860">
        <v>22</v>
      </c>
      <c r="E1860" t="s">
        <v>24</v>
      </c>
      <c r="F1860" t="s">
        <v>109</v>
      </c>
      <c r="G1860" t="s">
        <v>126</v>
      </c>
      <c r="H1860" t="s">
        <v>52</v>
      </c>
      <c r="I1860">
        <v>23757</v>
      </c>
      <c r="J1860">
        <v>28462</v>
      </c>
    </row>
    <row r="1861" spans="1:10" x14ac:dyDescent="0.3">
      <c r="A1861" t="s">
        <v>1988</v>
      </c>
      <c r="B1861" s="1">
        <v>45913</v>
      </c>
      <c r="C1861" t="s">
        <v>38</v>
      </c>
      <c r="D1861">
        <v>37</v>
      </c>
      <c r="E1861" t="s">
        <v>39</v>
      </c>
      <c r="F1861" t="s">
        <v>46</v>
      </c>
      <c r="G1861" t="s">
        <v>26</v>
      </c>
      <c r="H1861" t="s">
        <v>98</v>
      </c>
      <c r="I1861">
        <v>15612</v>
      </c>
      <c r="J1861">
        <v>12243</v>
      </c>
    </row>
    <row r="1862" spans="1:10" x14ac:dyDescent="0.3">
      <c r="A1862" t="s">
        <v>1989</v>
      </c>
      <c r="B1862" s="1">
        <v>45969</v>
      </c>
      <c r="C1862" t="s">
        <v>23</v>
      </c>
      <c r="D1862">
        <v>45</v>
      </c>
      <c r="E1862" t="s">
        <v>12</v>
      </c>
      <c r="F1862" t="s">
        <v>92</v>
      </c>
      <c r="G1862" t="s">
        <v>191</v>
      </c>
      <c r="H1862" t="s">
        <v>15</v>
      </c>
      <c r="I1862">
        <v>32256</v>
      </c>
      <c r="J1862">
        <v>37950</v>
      </c>
    </row>
    <row r="1863" spans="1:10" x14ac:dyDescent="0.3">
      <c r="A1863" t="s">
        <v>1990</v>
      </c>
      <c r="B1863" s="1">
        <v>45753</v>
      </c>
      <c r="C1863" t="s">
        <v>86</v>
      </c>
      <c r="D1863">
        <v>14</v>
      </c>
      <c r="E1863" t="s">
        <v>61</v>
      </c>
      <c r="F1863" t="s">
        <v>62</v>
      </c>
      <c r="G1863" t="s">
        <v>88</v>
      </c>
      <c r="H1863" t="s">
        <v>52</v>
      </c>
      <c r="I1863">
        <v>33226</v>
      </c>
      <c r="J1863">
        <v>38517</v>
      </c>
    </row>
    <row r="1864" spans="1:10" x14ac:dyDescent="0.3">
      <c r="A1864" t="s">
        <v>1991</v>
      </c>
      <c r="B1864" s="1">
        <v>45903</v>
      </c>
      <c r="C1864" t="s">
        <v>38</v>
      </c>
      <c r="D1864">
        <v>36</v>
      </c>
      <c r="E1864" t="s">
        <v>12</v>
      </c>
      <c r="F1864" t="s">
        <v>46</v>
      </c>
      <c r="G1864" t="s">
        <v>79</v>
      </c>
      <c r="H1864" t="s">
        <v>119</v>
      </c>
      <c r="I1864">
        <v>20215</v>
      </c>
      <c r="J1864">
        <v>17370</v>
      </c>
    </row>
    <row r="1865" spans="1:10" x14ac:dyDescent="0.3">
      <c r="A1865" t="s">
        <v>1992</v>
      </c>
      <c r="B1865" s="1">
        <v>45913</v>
      </c>
      <c r="C1865" t="s">
        <v>38</v>
      </c>
      <c r="D1865">
        <v>37</v>
      </c>
      <c r="E1865" t="s">
        <v>12</v>
      </c>
      <c r="F1865" t="s">
        <v>25</v>
      </c>
      <c r="G1865" t="s">
        <v>149</v>
      </c>
      <c r="H1865" t="s">
        <v>119</v>
      </c>
      <c r="I1865">
        <v>33313</v>
      </c>
      <c r="J1865">
        <v>41762</v>
      </c>
    </row>
    <row r="1866" spans="1:10" x14ac:dyDescent="0.3">
      <c r="A1866" t="s">
        <v>1993</v>
      </c>
      <c r="B1866" s="1">
        <v>45983</v>
      </c>
      <c r="C1866" t="s">
        <v>23</v>
      </c>
      <c r="D1866">
        <v>47</v>
      </c>
      <c r="E1866" t="s">
        <v>33</v>
      </c>
      <c r="F1866" t="s">
        <v>109</v>
      </c>
      <c r="G1866" t="s">
        <v>40</v>
      </c>
      <c r="H1866" t="s">
        <v>98</v>
      </c>
      <c r="I1866">
        <v>37827</v>
      </c>
      <c r="J1866">
        <v>47212</v>
      </c>
    </row>
    <row r="1867" spans="1:10" x14ac:dyDescent="0.3">
      <c r="A1867" t="s">
        <v>1994</v>
      </c>
      <c r="B1867" s="1">
        <v>45963</v>
      </c>
      <c r="C1867" t="s">
        <v>23</v>
      </c>
      <c r="D1867">
        <v>44</v>
      </c>
      <c r="E1867" t="s">
        <v>24</v>
      </c>
      <c r="F1867" t="s">
        <v>75</v>
      </c>
      <c r="G1867" t="s">
        <v>141</v>
      </c>
      <c r="H1867" t="s">
        <v>116</v>
      </c>
      <c r="I1867">
        <v>15613</v>
      </c>
      <c r="J1867">
        <v>12933</v>
      </c>
    </row>
    <row r="1868" spans="1:10" x14ac:dyDescent="0.3">
      <c r="A1868" t="s">
        <v>1995</v>
      </c>
      <c r="B1868" s="1">
        <v>45924</v>
      </c>
      <c r="C1868" t="s">
        <v>38</v>
      </c>
      <c r="D1868">
        <v>39</v>
      </c>
      <c r="E1868" t="s">
        <v>33</v>
      </c>
      <c r="F1868" t="s">
        <v>101</v>
      </c>
      <c r="G1868" t="s">
        <v>132</v>
      </c>
      <c r="H1868" t="s">
        <v>15</v>
      </c>
      <c r="I1868">
        <v>18299</v>
      </c>
      <c r="J1868">
        <v>17520</v>
      </c>
    </row>
    <row r="1869" spans="1:10" x14ac:dyDescent="0.3">
      <c r="A1869" t="s">
        <v>1996</v>
      </c>
      <c r="B1869" s="1">
        <v>45742</v>
      </c>
      <c r="C1869" t="s">
        <v>95</v>
      </c>
      <c r="D1869">
        <v>13</v>
      </c>
      <c r="E1869" t="s">
        <v>39</v>
      </c>
      <c r="F1869" t="s">
        <v>193</v>
      </c>
      <c r="G1869" t="s">
        <v>147</v>
      </c>
      <c r="H1869" t="s">
        <v>15</v>
      </c>
      <c r="I1869">
        <v>17939</v>
      </c>
      <c r="J1869">
        <v>16026</v>
      </c>
    </row>
    <row r="1870" spans="1:10" x14ac:dyDescent="0.3">
      <c r="A1870" t="s">
        <v>1997</v>
      </c>
      <c r="B1870" s="1">
        <v>45896</v>
      </c>
      <c r="C1870" t="s">
        <v>113</v>
      </c>
      <c r="D1870">
        <v>35</v>
      </c>
      <c r="E1870" t="s">
        <v>33</v>
      </c>
      <c r="F1870" t="s">
        <v>62</v>
      </c>
      <c r="G1870" t="s">
        <v>83</v>
      </c>
      <c r="H1870" t="s">
        <v>80</v>
      </c>
      <c r="I1870">
        <v>28829</v>
      </c>
      <c r="J1870">
        <v>24409</v>
      </c>
    </row>
    <row r="1871" spans="1:10" x14ac:dyDescent="0.3">
      <c r="A1871" t="s">
        <v>1998</v>
      </c>
      <c r="B1871" s="1">
        <v>45999</v>
      </c>
      <c r="C1871" t="s">
        <v>100</v>
      </c>
      <c r="D1871">
        <v>50</v>
      </c>
      <c r="E1871" t="s">
        <v>61</v>
      </c>
      <c r="F1871" t="s">
        <v>50</v>
      </c>
      <c r="G1871" t="s">
        <v>201</v>
      </c>
      <c r="H1871" t="s">
        <v>123</v>
      </c>
      <c r="I1871">
        <v>20933</v>
      </c>
      <c r="J1871">
        <v>15291</v>
      </c>
    </row>
    <row r="1872" spans="1:10" x14ac:dyDescent="0.3">
      <c r="A1872" t="s">
        <v>1999</v>
      </c>
      <c r="B1872" s="1">
        <v>45758</v>
      </c>
      <c r="C1872" t="s">
        <v>86</v>
      </c>
      <c r="D1872">
        <v>15</v>
      </c>
      <c r="E1872" t="s">
        <v>18</v>
      </c>
      <c r="F1872" t="s">
        <v>25</v>
      </c>
      <c r="G1872" t="s">
        <v>47</v>
      </c>
      <c r="H1872" t="s">
        <v>64</v>
      </c>
      <c r="I1872">
        <v>19025</v>
      </c>
      <c r="J1872">
        <v>13639</v>
      </c>
    </row>
    <row r="1873" spans="1:10" x14ac:dyDescent="0.3">
      <c r="A1873" t="s">
        <v>2000</v>
      </c>
      <c r="B1873" s="1">
        <v>45733</v>
      </c>
      <c r="C1873" t="s">
        <v>95</v>
      </c>
      <c r="D1873">
        <v>12</v>
      </c>
      <c r="E1873" t="s">
        <v>39</v>
      </c>
      <c r="F1873" t="s">
        <v>62</v>
      </c>
      <c r="G1873" t="s">
        <v>230</v>
      </c>
      <c r="H1873" t="s">
        <v>96</v>
      </c>
      <c r="I1873">
        <v>22377</v>
      </c>
      <c r="J1873">
        <v>25581</v>
      </c>
    </row>
    <row r="1874" spans="1:10" x14ac:dyDescent="0.3">
      <c r="A1874" t="s">
        <v>2001</v>
      </c>
      <c r="B1874" s="1">
        <v>45803</v>
      </c>
      <c r="C1874" t="s">
        <v>90</v>
      </c>
      <c r="D1874">
        <v>22</v>
      </c>
      <c r="E1874" t="s">
        <v>70</v>
      </c>
      <c r="F1874" t="s">
        <v>92</v>
      </c>
      <c r="G1874" t="s">
        <v>110</v>
      </c>
      <c r="H1874" t="s">
        <v>31</v>
      </c>
      <c r="I1874">
        <v>38332</v>
      </c>
      <c r="J1874">
        <v>30905</v>
      </c>
    </row>
    <row r="1875" spans="1:10" x14ac:dyDescent="0.3">
      <c r="A1875" t="s">
        <v>2002</v>
      </c>
      <c r="B1875" s="1">
        <v>45778</v>
      </c>
      <c r="C1875" t="s">
        <v>90</v>
      </c>
      <c r="D1875">
        <v>18</v>
      </c>
      <c r="E1875" t="s">
        <v>70</v>
      </c>
      <c r="F1875" t="s">
        <v>50</v>
      </c>
      <c r="G1875" t="s">
        <v>132</v>
      </c>
      <c r="H1875" t="s">
        <v>211</v>
      </c>
      <c r="I1875">
        <v>30726</v>
      </c>
      <c r="J1875">
        <v>33300</v>
      </c>
    </row>
    <row r="1876" spans="1:10" x14ac:dyDescent="0.3">
      <c r="A1876" t="s">
        <v>2003</v>
      </c>
      <c r="B1876" s="1">
        <v>46021</v>
      </c>
      <c r="C1876" t="s">
        <v>100</v>
      </c>
      <c r="D1876">
        <v>1</v>
      </c>
      <c r="E1876" t="s">
        <v>33</v>
      </c>
      <c r="F1876" t="s">
        <v>19</v>
      </c>
      <c r="G1876" t="s">
        <v>30</v>
      </c>
      <c r="H1876" t="s">
        <v>48</v>
      </c>
      <c r="I1876">
        <v>17553</v>
      </c>
      <c r="J1876">
        <v>15587</v>
      </c>
    </row>
    <row r="1877" spans="1:10" x14ac:dyDescent="0.3">
      <c r="A1877" t="s">
        <v>2004</v>
      </c>
      <c r="B1877" s="1">
        <v>45742</v>
      </c>
      <c r="C1877" t="s">
        <v>95</v>
      </c>
      <c r="D1877">
        <v>13</v>
      </c>
      <c r="E1877" t="s">
        <v>61</v>
      </c>
      <c r="F1877" t="s">
        <v>62</v>
      </c>
      <c r="G1877" t="s">
        <v>266</v>
      </c>
      <c r="H1877" t="s">
        <v>151</v>
      </c>
      <c r="I1877">
        <v>21612</v>
      </c>
      <c r="J1877">
        <v>23290</v>
      </c>
    </row>
    <row r="1878" spans="1:10" x14ac:dyDescent="0.3">
      <c r="A1878" t="s">
        <v>2005</v>
      </c>
      <c r="B1878" s="1">
        <v>45977</v>
      </c>
      <c r="C1878" t="s">
        <v>23</v>
      </c>
      <c r="D1878">
        <v>46</v>
      </c>
      <c r="E1878" t="s">
        <v>33</v>
      </c>
      <c r="F1878" t="s">
        <v>78</v>
      </c>
      <c r="G1878" t="s">
        <v>135</v>
      </c>
      <c r="H1878" t="s">
        <v>98</v>
      </c>
      <c r="I1878">
        <v>36513</v>
      </c>
      <c r="J1878">
        <v>44357</v>
      </c>
    </row>
    <row r="1879" spans="1:10" x14ac:dyDescent="0.3">
      <c r="A1879" t="s">
        <v>2006</v>
      </c>
      <c r="B1879" s="1">
        <v>45746</v>
      </c>
      <c r="C1879" t="s">
        <v>95</v>
      </c>
      <c r="D1879">
        <v>13</v>
      </c>
      <c r="E1879" t="s">
        <v>61</v>
      </c>
      <c r="F1879" t="s">
        <v>25</v>
      </c>
      <c r="G1879" t="s">
        <v>115</v>
      </c>
      <c r="H1879" t="s">
        <v>80</v>
      </c>
      <c r="I1879">
        <v>38040</v>
      </c>
      <c r="J1879">
        <v>38284</v>
      </c>
    </row>
    <row r="1880" spans="1:10" x14ac:dyDescent="0.3">
      <c r="A1880" t="s">
        <v>2007</v>
      </c>
      <c r="B1880" s="1">
        <v>45712</v>
      </c>
      <c r="C1880" t="s">
        <v>82</v>
      </c>
      <c r="D1880">
        <v>9</v>
      </c>
      <c r="E1880" t="s">
        <v>70</v>
      </c>
      <c r="F1880" t="s">
        <v>13</v>
      </c>
      <c r="G1880" t="s">
        <v>182</v>
      </c>
      <c r="H1880" t="s">
        <v>27</v>
      </c>
      <c r="I1880">
        <v>15275</v>
      </c>
      <c r="J1880">
        <v>12329</v>
      </c>
    </row>
    <row r="1881" spans="1:10" x14ac:dyDescent="0.3">
      <c r="A1881" t="s">
        <v>2008</v>
      </c>
      <c r="B1881" s="1">
        <v>45713</v>
      </c>
      <c r="C1881" t="s">
        <v>82</v>
      </c>
      <c r="D1881">
        <v>9</v>
      </c>
      <c r="E1881" t="s">
        <v>33</v>
      </c>
      <c r="F1881" t="s">
        <v>92</v>
      </c>
      <c r="G1881" t="s">
        <v>26</v>
      </c>
      <c r="H1881" t="s">
        <v>157</v>
      </c>
      <c r="I1881">
        <v>31540</v>
      </c>
      <c r="J1881">
        <v>35054</v>
      </c>
    </row>
    <row r="1882" spans="1:10" x14ac:dyDescent="0.3">
      <c r="A1882" t="s">
        <v>2009</v>
      </c>
      <c r="B1882" s="1">
        <v>45997</v>
      </c>
      <c r="C1882" t="s">
        <v>100</v>
      </c>
      <c r="D1882">
        <v>49</v>
      </c>
      <c r="E1882" t="s">
        <v>33</v>
      </c>
      <c r="F1882" t="s">
        <v>34</v>
      </c>
      <c r="G1882" t="s">
        <v>171</v>
      </c>
      <c r="H1882" t="s">
        <v>55</v>
      </c>
      <c r="I1882">
        <v>26199</v>
      </c>
      <c r="J1882">
        <v>25856</v>
      </c>
    </row>
    <row r="1883" spans="1:10" x14ac:dyDescent="0.3">
      <c r="A1883" t="s">
        <v>2010</v>
      </c>
      <c r="B1883" s="1">
        <v>45990</v>
      </c>
      <c r="C1883" t="s">
        <v>23</v>
      </c>
      <c r="D1883">
        <v>48</v>
      </c>
      <c r="E1883" t="s">
        <v>70</v>
      </c>
      <c r="F1883" t="s">
        <v>57</v>
      </c>
      <c r="G1883" t="s">
        <v>58</v>
      </c>
      <c r="H1883" t="s">
        <v>64</v>
      </c>
      <c r="I1883">
        <v>37815</v>
      </c>
      <c r="J1883">
        <v>39944</v>
      </c>
    </row>
    <row r="1884" spans="1:10" x14ac:dyDescent="0.3">
      <c r="A1884" t="s">
        <v>2011</v>
      </c>
      <c r="B1884" s="1">
        <v>45859</v>
      </c>
      <c r="C1884" t="s">
        <v>11</v>
      </c>
      <c r="D1884">
        <v>30</v>
      </c>
      <c r="E1884" t="s">
        <v>39</v>
      </c>
      <c r="F1884" t="s">
        <v>109</v>
      </c>
      <c r="G1884" t="s">
        <v>110</v>
      </c>
      <c r="H1884" t="s">
        <v>55</v>
      </c>
      <c r="I1884">
        <v>28998</v>
      </c>
      <c r="J1884">
        <v>34326</v>
      </c>
    </row>
    <row r="1885" spans="1:10" x14ac:dyDescent="0.3">
      <c r="A1885" t="s">
        <v>2012</v>
      </c>
      <c r="B1885" s="1">
        <v>45815</v>
      </c>
      <c r="C1885" t="s">
        <v>74</v>
      </c>
      <c r="D1885">
        <v>23</v>
      </c>
      <c r="E1885" t="s">
        <v>18</v>
      </c>
      <c r="F1885" t="s">
        <v>140</v>
      </c>
      <c r="G1885" t="s">
        <v>93</v>
      </c>
      <c r="H1885" t="s">
        <v>41</v>
      </c>
      <c r="I1885">
        <v>26638</v>
      </c>
      <c r="J1885">
        <v>23005</v>
      </c>
    </row>
    <row r="1886" spans="1:10" x14ac:dyDescent="0.3">
      <c r="A1886" t="s">
        <v>2013</v>
      </c>
      <c r="B1886" s="1">
        <v>46009</v>
      </c>
      <c r="C1886" t="s">
        <v>100</v>
      </c>
      <c r="D1886">
        <v>51</v>
      </c>
      <c r="E1886" t="s">
        <v>33</v>
      </c>
      <c r="F1886" t="s">
        <v>78</v>
      </c>
      <c r="G1886" t="s">
        <v>137</v>
      </c>
      <c r="H1886" t="s">
        <v>59</v>
      </c>
      <c r="I1886">
        <v>31001</v>
      </c>
      <c r="J1886">
        <v>25370</v>
      </c>
    </row>
    <row r="1887" spans="1:10" x14ac:dyDescent="0.3">
      <c r="A1887" t="s">
        <v>2014</v>
      </c>
      <c r="B1887" s="1">
        <v>45897</v>
      </c>
      <c r="C1887" t="s">
        <v>113</v>
      </c>
      <c r="D1887">
        <v>35</v>
      </c>
      <c r="E1887" t="s">
        <v>70</v>
      </c>
      <c r="F1887" t="s">
        <v>140</v>
      </c>
      <c r="G1887" t="s">
        <v>107</v>
      </c>
      <c r="H1887" t="s">
        <v>96</v>
      </c>
      <c r="I1887">
        <v>39107</v>
      </c>
      <c r="J1887">
        <v>39774</v>
      </c>
    </row>
    <row r="1888" spans="1:10" x14ac:dyDescent="0.3">
      <c r="A1888" t="s">
        <v>2015</v>
      </c>
      <c r="B1888" s="1">
        <v>45798</v>
      </c>
      <c r="C1888" t="s">
        <v>90</v>
      </c>
      <c r="D1888">
        <v>21</v>
      </c>
      <c r="E1888" t="s">
        <v>39</v>
      </c>
      <c r="F1888" t="s">
        <v>92</v>
      </c>
      <c r="G1888" t="s">
        <v>93</v>
      </c>
      <c r="H1888" t="s">
        <v>116</v>
      </c>
      <c r="I1888">
        <v>22168</v>
      </c>
      <c r="J1888">
        <v>17026</v>
      </c>
    </row>
    <row r="1889" spans="1:10" x14ac:dyDescent="0.3">
      <c r="A1889" t="s">
        <v>2016</v>
      </c>
      <c r="B1889" s="1">
        <v>46012</v>
      </c>
      <c r="C1889" t="s">
        <v>100</v>
      </c>
      <c r="D1889">
        <v>51</v>
      </c>
      <c r="E1889" t="s">
        <v>24</v>
      </c>
      <c r="F1889" t="s">
        <v>29</v>
      </c>
      <c r="G1889" t="s">
        <v>230</v>
      </c>
      <c r="H1889" t="s">
        <v>55</v>
      </c>
      <c r="I1889">
        <v>21635</v>
      </c>
      <c r="J1889">
        <v>21975</v>
      </c>
    </row>
    <row r="1890" spans="1:10" x14ac:dyDescent="0.3">
      <c r="A1890" t="s">
        <v>2017</v>
      </c>
      <c r="B1890" s="1">
        <v>46018</v>
      </c>
      <c r="C1890" t="s">
        <v>100</v>
      </c>
      <c r="D1890">
        <v>52</v>
      </c>
      <c r="E1890" t="s">
        <v>33</v>
      </c>
      <c r="F1890" t="s">
        <v>101</v>
      </c>
      <c r="G1890" t="s">
        <v>76</v>
      </c>
      <c r="H1890" t="s">
        <v>116</v>
      </c>
      <c r="I1890">
        <v>28558</v>
      </c>
      <c r="J1890">
        <v>21957</v>
      </c>
    </row>
    <row r="1891" spans="1:10" x14ac:dyDescent="0.3">
      <c r="A1891" t="s">
        <v>2018</v>
      </c>
      <c r="B1891" s="1">
        <v>45673</v>
      </c>
      <c r="C1891" t="s">
        <v>17</v>
      </c>
      <c r="D1891">
        <v>3</v>
      </c>
      <c r="E1891" t="s">
        <v>70</v>
      </c>
      <c r="F1891" t="s">
        <v>50</v>
      </c>
      <c r="G1891" t="s">
        <v>291</v>
      </c>
      <c r="H1891" t="s">
        <v>55</v>
      </c>
      <c r="I1891">
        <v>32048</v>
      </c>
      <c r="J1891">
        <v>35403</v>
      </c>
    </row>
    <row r="1892" spans="1:10" x14ac:dyDescent="0.3">
      <c r="A1892" t="s">
        <v>2019</v>
      </c>
      <c r="B1892" s="1">
        <v>45900</v>
      </c>
      <c r="C1892" t="s">
        <v>113</v>
      </c>
      <c r="D1892">
        <v>35</v>
      </c>
      <c r="E1892" t="s">
        <v>12</v>
      </c>
      <c r="F1892" t="s">
        <v>78</v>
      </c>
      <c r="G1892" t="s">
        <v>135</v>
      </c>
      <c r="H1892" t="s">
        <v>27</v>
      </c>
      <c r="I1892">
        <v>18848</v>
      </c>
      <c r="J1892">
        <v>13672</v>
      </c>
    </row>
    <row r="1893" spans="1:10" x14ac:dyDescent="0.3">
      <c r="A1893" t="s">
        <v>2020</v>
      </c>
      <c r="B1893" s="1">
        <v>45931</v>
      </c>
      <c r="C1893" t="s">
        <v>66</v>
      </c>
      <c r="D1893">
        <v>40</v>
      </c>
      <c r="E1893" t="s">
        <v>24</v>
      </c>
      <c r="F1893" t="s">
        <v>87</v>
      </c>
      <c r="G1893" t="s">
        <v>76</v>
      </c>
      <c r="H1893" t="s">
        <v>103</v>
      </c>
      <c r="I1893">
        <v>36946</v>
      </c>
      <c r="J1893">
        <v>47329</v>
      </c>
    </row>
    <row r="1894" spans="1:10" x14ac:dyDescent="0.3">
      <c r="A1894" t="s">
        <v>2021</v>
      </c>
      <c r="B1894" s="1">
        <v>45988</v>
      </c>
      <c r="C1894" t="s">
        <v>23</v>
      </c>
      <c r="D1894">
        <v>48</v>
      </c>
      <c r="E1894" t="s">
        <v>18</v>
      </c>
      <c r="F1894" t="s">
        <v>62</v>
      </c>
      <c r="G1894" t="s">
        <v>182</v>
      </c>
      <c r="H1894" t="s">
        <v>119</v>
      </c>
      <c r="I1894">
        <v>26314</v>
      </c>
      <c r="J1894">
        <v>21117</v>
      </c>
    </row>
    <row r="1895" spans="1:10" x14ac:dyDescent="0.3">
      <c r="A1895" t="s">
        <v>2022</v>
      </c>
      <c r="B1895" s="1">
        <v>45924</v>
      </c>
      <c r="C1895" t="s">
        <v>38</v>
      </c>
      <c r="D1895">
        <v>39</v>
      </c>
      <c r="E1895" t="s">
        <v>18</v>
      </c>
      <c r="F1895" t="s">
        <v>78</v>
      </c>
      <c r="G1895" t="s">
        <v>224</v>
      </c>
      <c r="H1895" t="s">
        <v>116</v>
      </c>
      <c r="I1895">
        <v>25405</v>
      </c>
      <c r="J1895">
        <v>25590</v>
      </c>
    </row>
    <row r="1896" spans="1:10" x14ac:dyDescent="0.3">
      <c r="A1896" t="s">
        <v>2023</v>
      </c>
      <c r="B1896" s="1">
        <v>45741</v>
      </c>
      <c r="C1896" t="s">
        <v>95</v>
      </c>
      <c r="D1896">
        <v>13</v>
      </c>
      <c r="E1896" t="s">
        <v>18</v>
      </c>
      <c r="F1896" t="s">
        <v>193</v>
      </c>
      <c r="G1896" t="s">
        <v>130</v>
      </c>
      <c r="H1896" t="s">
        <v>157</v>
      </c>
      <c r="I1896">
        <v>22093</v>
      </c>
      <c r="J1896">
        <v>23487</v>
      </c>
    </row>
    <row r="1897" spans="1:10" x14ac:dyDescent="0.3">
      <c r="A1897" t="s">
        <v>2024</v>
      </c>
      <c r="B1897" s="1">
        <v>45708</v>
      </c>
      <c r="C1897" t="s">
        <v>82</v>
      </c>
      <c r="D1897">
        <v>8</v>
      </c>
      <c r="E1897" t="s">
        <v>70</v>
      </c>
      <c r="F1897" t="s">
        <v>114</v>
      </c>
      <c r="G1897" t="s">
        <v>191</v>
      </c>
      <c r="H1897" t="s">
        <v>31</v>
      </c>
      <c r="I1897">
        <v>22987</v>
      </c>
      <c r="J1897">
        <v>18283</v>
      </c>
    </row>
    <row r="1898" spans="1:10" x14ac:dyDescent="0.3">
      <c r="A1898" t="s">
        <v>2025</v>
      </c>
      <c r="B1898" s="1">
        <v>45901</v>
      </c>
      <c r="C1898" t="s">
        <v>38</v>
      </c>
      <c r="D1898">
        <v>36</v>
      </c>
      <c r="E1898" t="s">
        <v>12</v>
      </c>
      <c r="F1898" t="s">
        <v>101</v>
      </c>
      <c r="G1898" t="s">
        <v>14</v>
      </c>
      <c r="H1898" t="s">
        <v>27</v>
      </c>
      <c r="I1898">
        <v>20913</v>
      </c>
      <c r="J1898">
        <v>22101</v>
      </c>
    </row>
    <row r="1899" spans="1:10" x14ac:dyDescent="0.3">
      <c r="A1899" t="s">
        <v>2026</v>
      </c>
      <c r="B1899" s="1">
        <v>45684</v>
      </c>
      <c r="C1899" t="s">
        <v>17</v>
      </c>
      <c r="D1899">
        <v>5</v>
      </c>
      <c r="E1899" t="s">
        <v>24</v>
      </c>
      <c r="F1899" t="s">
        <v>62</v>
      </c>
      <c r="G1899" t="s">
        <v>199</v>
      </c>
      <c r="H1899" t="s">
        <v>55</v>
      </c>
      <c r="I1899">
        <v>30226</v>
      </c>
      <c r="J1899">
        <v>33282</v>
      </c>
    </row>
    <row r="1900" spans="1:10" x14ac:dyDescent="0.3">
      <c r="A1900" t="s">
        <v>2027</v>
      </c>
      <c r="B1900" s="1">
        <v>45672</v>
      </c>
      <c r="C1900" t="s">
        <v>17</v>
      </c>
      <c r="D1900">
        <v>3</v>
      </c>
      <c r="E1900" t="s">
        <v>24</v>
      </c>
      <c r="F1900" t="s">
        <v>13</v>
      </c>
      <c r="G1900" t="s">
        <v>14</v>
      </c>
      <c r="H1900" t="s">
        <v>96</v>
      </c>
      <c r="I1900">
        <v>17484</v>
      </c>
      <c r="J1900">
        <v>12868</v>
      </c>
    </row>
    <row r="1901" spans="1:10" x14ac:dyDescent="0.3">
      <c r="A1901" t="s">
        <v>2028</v>
      </c>
      <c r="B1901" s="1">
        <v>45658</v>
      </c>
      <c r="C1901" t="s">
        <v>17</v>
      </c>
      <c r="D1901">
        <v>1</v>
      </c>
      <c r="E1901" t="s">
        <v>12</v>
      </c>
      <c r="F1901" t="s">
        <v>193</v>
      </c>
      <c r="G1901" t="s">
        <v>135</v>
      </c>
      <c r="H1901" t="s">
        <v>55</v>
      </c>
      <c r="I1901">
        <v>35569</v>
      </c>
      <c r="J1901">
        <v>36410</v>
      </c>
    </row>
    <row r="1902" spans="1:10" x14ac:dyDescent="0.3">
      <c r="A1902" t="s">
        <v>2029</v>
      </c>
      <c r="B1902" s="1">
        <v>46003</v>
      </c>
      <c r="C1902" t="s">
        <v>100</v>
      </c>
      <c r="D1902">
        <v>50</v>
      </c>
      <c r="E1902" t="s">
        <v>70</v>
      </c>
      <c r="F1902" t="s">
        <v>43</v>
      </c>
      <c r="G1902" t="s">
        <v>141</v>
      </c>
      <c r="H1902" t="s">
        <v>123</v>
      </c>
      <c r="I1902">
        <v>16333</v>
      </c>
      <c r="J1902">
        <v>13782</v>
      </c>
    </row>
    <row r="1903" spans="1:10" x14ac:dyDescent="0.3">
      <c r="A1903" t="s">
        <v>2030</v>
      </c>
      <c r="B1903" s="1">
        <v>45729</v>
      </c>
      <c r="C1903" t="s">
        <v>95</v>
      </c>
      <c r="D1903">
        <v>11</v>
      </c>
      <c r="E1903" t="s">
        <v>61</v>
      </c>
      <c r="F1903" t="s">
        <v>57</v>
      </c>
      <c r="G1903" t="s">
        <v>126</v>
      </c>
      <c r="H1903" t="s">
        <v>151</v>
      </c>
      <c r="I1903">
        <v>36688</v>
      </c>
      <c r="J1903">
        <v>40826</v>
      </c>
    </row>
    <row r="1904" spans="1:10" x14ac:dyDescent="0.3">
      <c r="A1904" t="s">
        <v>2031</v>
      </c>
      <c r="B1904" s="1">
        <v>45864</v>
      </c>
      <c r="C1904" t="s">
        <v>11</v>
      </c>
      <c r="D1904">
        <v>30</v>
      </c>
      <c r="E1904" t="s">
        <v>33</v>
      </c>
      <c r="F1904" t="s">
        <v>34</v>
      </c>
      <c r="G1904" t="s">
        <v>83</v>
      </c>
      <c r="H1904" t="s">
        <v>157</v>
      </c>
      <c r="I1904">
        <v>28814</v>
      </c>
      <c r="J1904">
        <v>34286</v>
      </c>
    </row>
    <row r="1905" spans="1:10" x14ac:dyDescent="0.3">
      <c r="A1905" t="s">
        <v>2032</v>
      </c>
      <c r="B1905" s="1">
        <v>45795</v>
      </c>
      <c r="C1905" t="s">
        <v>90</v>
      </c>
      <c r="D1905">
        <v>20</v>
      </c>
      <c r="E1905" t="s">
        <v>18</v>
      </c>
      <c r="F1905" t="s">
        <v>109</v>
      </c>
      <c r="G1905" t="s">
        <v>128</v>
      </c>
      <c r="H1905" t="s">
        <v>55</v>
      </c>
      <c r="I1905">
        <v>21986</v>
      </c>
      <c r="J1905">
        <v>16637</v>
      </c>
    </row>
    <row r="1906" spans="1:10" x14ac:dyDescent="0.3">
      <c r="A1906" t="s">
        <v>2033</v>
      </c>
      <c r="B1906" s="1">
        <v>45932</v>
      </c>
      <c r="C1906" t="s">
        <v>66</v>
      </c>
      <c r="D1906">
        <v>40</v>
      </c>
      <c r="E1906" t="s">
        <v>33</v>
      </c>
      <c r="F1906" t="s">
        <v>46</v>
      </c>
      <c r="G1906" t="s">
        <v>76</v>
      </c>
      <c r="H1906" t="s">
        <v>27</v>
      </c>
      <c r="I1906">
        <v>28171</v>
      </c>
      <c r="J1906">
        <v>27497</v>
      </c>
    </row>
    <row r="1907" spans="1:10" x14ac:dyDescent="0.3">
      <c r="A1907" t="s">
        <v>2034</v>
      </c>
      <c r="B1907" s="1">
        <v>45881</v>
      </c>
      <c r="C1907" t="s">
        <v>113</v>
      </c>
      <c r="D1907">
        <v>33</v>
      </c>
      <c r="E1907" t="s">
        <v>61</v>
      </c>
      <c r="F1907" t="s">
        <v>62</v>
      </c>
      <c r="G1907" t="s">
        <v>291</v>
      </c>
      <c r="H1907" t="s">
        <v>151</v>
      </c>
      <c r="I1907">
        <v>22705</v>
      </c>
      <c r="J1907">
        <v>25460</v>
      </c>
    </row>
    <row r="1908" spans="1:10" x14ac:dyDescent="0.3">
      <c r="A1908" t="s">
        <v>2035</v>
      </c>
      <c r="B1908" s="1">
        <v>45865</v>
      </c>
      <c r="C1908" t="s">
        <v>11</v>
      </c>
      <c r="D1908">
        <v>30</v>
      </c>
      <c r="E1908" t="s">
        <v>61</v>
      </c>
      <c r="F1908" t="s">
        <v>101</v>
      </c>
      <c r="G1908" t="s">
        <v>30</v>
      </c>
      <c r="H1908" t="s">
        <v>111</v>
      </c>
      <c r="I1908">
        <v>17286</v>
      </c>
      <c r="J1908">
        <v>21686</v>
      </c>
    </row>
    <row r="1909" spans="1:10" x14ac:dyDescent="0.3">
      <c r="A1909" t="s">
        <v>2036</v>
      </c>
      <c r="B1909" s="1">
        <v>45659</v>
      </c>
      <c r="C1909" t="s">
        <v>17</v>
      </c>
      <c r="D1909">
        <v>1</v>
      </c>
      <c r="E1909" t="s">
        <v>33</v>
      </c>
      <c r="F1909" t="s">
        <v>62</v>
      </c>
      <c r="G1909" t="s">
        <v>224</v>
      </c>
      <c r="H1909" t="s">
        <v>165</v>
      </c>
      <c r="I1909">
        <v>20108</v>
      </c>
      <c r="J1909">
        <v>21161</v>
      </c>
    </row>
    <row r="1910" spans="1:10" x14ac:dyDescent="0.3">
      <c r="A1910" t="s">
        <v>2037</v>
      </c>
      <c r="B1910" s="1">
        <v>45666</v>
      </c>
      <c r="C1910" t="s">
        <v>17</v>
      </c>
      <c r="D1910">
        <v>2</v>
      </c>
      <c r="E1910" t="s">
        <v>24</v>
      </c>
      <c r="F1910" t="s">
        <v>13</v>
      </c>
      <c r="G1910" t="s">
        <v>141</v>
      </c>
      <c r="H1910" t="s">
        <v>155</v>
      </c>
      <c r="I1910">
        <v>20908</v>
      </c>
      <c r="J1910">
        <v>19416</v>
      </c>
    </row>
    <row r="1911" spans="1:10" x14ac:dyDescent="0.3">
      <c r="A1911" t="s">
        <v>2038</v>
      </c>
      <c r="B1911" s="1">
        <v>45846</v>
      </c>
      <c r="C1911" t="s">
        <v>11</v>
      </c>
      <c r="D1911">
        <v>28</v>
      </c>
      <c r="E1911" t="s">
        <v>12</v>
      </c>
      <c r="F1911" t="s">
        <v>13</v>
      </c>
      <c r="G1911" t="s">
        <v>145</v>
      </c>
      <c r="H1911" t="s">
        <v>133</v>
      </c>
      <c r="I1911">
        <v>39110</v>
      </c>
      <c r="J1911">
        <v>33175</v>
      </c>
    </row>
    <row r="1912" spans="1:10" x14ac:dyDescent="0.3">
      <c r="A1912" t="s">
        <v>2039</v>
      </c>
      <c r="B1912" s="1">
        <v>45745</v>
      </c>
      <c r="C1912" t="s">
        <v>95</v>
      </c>
      <c r="D1912">
        <v>13</v>
      </c>
      <c r="E1912" t="s">
        <v>61</v>
      </c>
      <c r="F1912" t="s">
        <v>92</v>
      </c>
      <c r="G1912" t="s">
        <v>67</v>
      </c>
      <c r="H1912" t="s">
        <v>157</v>
      </c>
      <c r="I1912">
        <v>35141</v>
      </c>
      <c r="J1912">
        <v>33131</v>
      </c>
    </row>
    <row r="1913" spans="1:10" x14ac:dyDescent="0.3">
      <c r="A1913" t="s">
        <v>2040</v>
      </c>
      <c r="B1913" s="1">
        <v>45786</v>
      </c>
      <c r="C1913" t="s">
        <v>90</v>
      </c>
      <c r="D1913">
        <v>19</v>
      </c>
      <c r="E1913" t="s">
        <v>70</v>
      </c>
      <c r="F1913" t="s">
        <v>193</v>
      </c>
      <c r="G1913" t="s">
        <v>30</v>
      </c>
      <c r="H1913" t="s">
        <v>151</v>
      </c>
      <c r="I1913">
        <v>23481</v>
      </c>
      <c r="J1913">
        <v>17668</v>
      </c>
    </row>
    <row r="1914" spans="1:10" x14ac:dyDescent="0.3">
      <c r="A1914" t="s">
        <v>2041</v>
      </c>
      <c r="B1914" s="1">
        <v>46017</v>
      </c>
      <c r="C1914" t="s">
        <v>100</v>
      </c>
      <c r="D1914">
        <v>52</v>
      </c>
      <c r="E1914" t="s">
        <v>39</v>
      </c>
      <c r="F1914" t="s">
        <v>122</v>
      </c>
      <c r="G1914" t="s">
        <v>234</v>
      </c>
      <c r="H1914" t="s">
        <v>188</v>
      </c>
      <c r="I1914">
        <v>24670</v>
      </c>
      <c r="J1914">
        <v>24497</v>
      </c>
    </row>
    <row r="1915" spans="1:10" x14ac:dyDescent="0.3">
      <c r="A1915" t="s">
        <v>2042</v>
      </c>
      <c r="B1915" s="1">
        <v>45791</v>
      </c>
      <c r="C1915" t="s">
        <v>90</v>
      </c>
      <c r="D1915">
        <v>20</v>
      </c>
      <c r="E1915" t="s">
        <v>12</v>
      </c>
      <c r="F1915" t="s">
        <v>92</v>
      </c>
      <c r="G1915" t="s">
        <v>118</v>
      </c>
      <c r="H1915" t="s">
        <v>111</v>
      </c>
      <c r="I1915">
        <v>28564</v>
      </c>
      <c r="J1915">
        <v>27714</v>
      </c>
    </row>
    <row r="1916" spans="1:10" x14ac:dyDescent="0.3">
      <c r="A1916" t="s">
        <v>2043</v>
      </c>
      <c r="B1916" s="1">
        <v>45884</v>
      </c>
      <c r="C1916" t="s">
        <v>113</v>
      </c>
      <c r="D1916">
        <v>33</v>
      </c>
      <c r="E1916" t="s">
        <v>70</v>
      </c>
      <c r="F1916" t="s">
        <v>109</v>
      </c>
      <c r="G1916" t="s">
        <v>141</v>
      </c>
      <c r="H1916" t="s">
        <v>52</v>
      </c>
      <c r="I1916">
        <v>32974</v>
      </c>
      <c r="J1916">
        <v>35192</v>
      </c>
    </row>
    <row r="1917" spans="1:10" x14ac:dyDescent="0.3">
      <c r="A1917" t="s">
        <v>2044</v>
      </c>
      <c r="B1917" s="1">
        <v>46019</v>
      </c>
      <c r="C1917" t="s">
        <v>100</v>
      </c>
      <c r="D1917">
        <v>52</v>
      </c>
      <c r="E1917" t="s">
        <v>12</v>
      </c>
      <c r="F1917" t="s">
        <v>57</v>
      </c>
      <c r="G1917" t="s">
        <v>20</v>
      </c>
      <c r="H1917" t="s">
        <v>111</v>
      </c>
      <c r="I1917">
        <v>20838</v>
      </c>
      <c r="J1917">
        <v>23685</v>
      </c>
    </row>
    <row r="1918" spans="1:10" x14ac:dyDescent="0.3">
      <c r="A1918" t="s">
        <v>2045</v>
      </c>
      <c r="B1918" s="1">
        <v>45707</v>
      </c>
      <c r="C1918" t="s">
        <v>82</v>
      </c>
      <c r="D1918">
        <v>8</v>
      </c>
      <c r="E1918" t="s">
        <v>39</v>
      </c>
      <c r="F1918" t="s">
        <v>25</v>
      </c>
      <c r="G1918" t="s">
        <v>149</v>
      </c>
      <c r="H1918" t="s">
        <v>48</v>
      </c>
      <c r="I1918">
        <v>19111</v>
      </c>
      <c r="J1918">
        <v>21823</v>
      </c>
    </row>
    <row r="1919" spans="1:10" x14ac:dyDescent="0.3">
      <c r="A1919" t="s">
        <v>2046</v>
      </c>
      <c r="B1919" s="1">
        <v>45819</v>
      </c>
      <c r="C1919" t="s">
        <v>74</v>
      </c>
      <c r="D1919">
        <v>24</v>
      </c>
      <c r="E1919" t="s">
        <v>24</v>
      </c>
      <c r="F1919" t="s">
        <v>75</v>
      </c>
      <c r="G1919" t="s">
        <v>160</v>
      </c>
      <c r="H1919" t="s">
        <v>59</v>
      </c>
      <c r="I1919">
        <v>28251</v>
      </c>
      <c r="J1919">
        <v>27337</v>
      </c>
    </row>
    <row r="1920" spans="1:10" x14ac:dyDescent="0.3">
      <c r="A1920" t="s">
        <v>2047</v>
      </c>
      <c r="B1920" s="1">
        <v>45980</v>
      </c>
      <c r="C1920" t="s">
        <v>23</v>
      </c>
      <c r="D1920">
        <v>47</v>
      </c>
      <c r="E1920" t="s">
        <v>33</v>
      </c>
      <c r="F1920" t="s">
        <v>43</v>
      </c>
      <c r="G1920" t="s">
        <v>326</v>
      </c>
      <c r="H1920" t="s">
        <v>165</v>
      </c>
      <c r="I1920">
        <v>36541</v>
      </c>
      <c r="J1920">
        <v>32551</v>
      </c>
    </row>
    <row r="1921" spans="1:10" x14ac:dyDescent="0.3">
      <c r="A1921" t="s">
        <v>2048</v>
      </c>
      <c r="B1921" s="1">
        <v>46012</v>
      </c>
      <c r="C1921" t="s">
        <v>100</v>
      </c>
      <c r="D1921">
        <v>51</v>
      </c>
      <c r="E1921" t="s">
        <v>24</v>
      </c>
      <c r="F1921" t="s">
        <v>78</v>
      </c>
      <c r="G1921" t="s">
        <v>30</v>
      </c>
      <c r="H1921" t="s">
        <v>59</v>
      </c>
      <c r="I1921">
        <v>35046</v>
      </c>
      <c r="J1921">
        <v>28243</v>
      </c>
    </row>
    <row r="1922" spans="1:10" x14ac:dyDescent="0.3">
      <c r="A1922" t="s">
        <v>2049</v>
      </c>
      <c r="B1922" s="1">
        <v>45678</v>
      </c>
      <c r="C1922" t="s">
        <v>17</v>
      </c>
      <c r="D1922">
        <v>4</v>
      </c>
      <c r="E1922" t="s">
        <v>12</v>
      </c>
      <c r="F1922" t="s">
        <v>109</v>
      </c>
      <c r="G1922" t="s">
        <v>40</v>
      </c>
      <c r="H1922" t="s">
        <v>188</v>
      </c>
      <c r="I1922">
        <v>24946</v>
      </c>
      <c r="J1922">
        <v>29173</v>
      </c>
    </row>
    <row r="1923" spans="1:10" x14ac:dyDescent="0.3">
      <c r="A1923" t="s">
        <v>2050</v>
      </c>
      <c r="B1923" s="1">
        <v>45745</v>
      </c>
      <c r="C1923" t="s">
        <v>95</v>
      </c>
      <c r="D1923">
        <v>13</v>
      </c>
      <c r="E1923" t="s">
        <v>24</v>
      </c>
      <c r="F1923" t="s">
        <v>87</v>
      </c>
      <c r="G1923" t="s">
        <v>326</v>
      </c>
      <c r="H1923" t="s">
        <v>157</v>
      </c>
      <c r="I1923">
        <v>31856</v>
      </c>
      <c r="J1923">
        <v>28392</v>
      </c>
    </row>
    <row r="1924" spans="1:10" x14ac:dyDescent="0.3">
      <c r="A1924" t="s">
        <v>2051</v>
      </c>
      <c r="B1924" s="1">
        <v>45872</v>
      </c>
      <c r="C1924" t="s">
        <v>113</v>
      </c>
      <c r="D1924">
        <v>31</v>
      </c>
      <c r="E1924" t="s">
        <v>12</v>
      </c>
      <c r="F1924" t="s">
        <v>25</v>
      </c>
      <c r="G1924" t="s">
        <v>126</v>
      </c>
      <c r="H1924" t="s">
        <v>96</v>
      </c>
      <c r="I1924">
        <v>21926</v>
      </c>
      <c r="J1924">
        <v>23230</v>
      </c>
    </row>
    <row r="1925" spans="1:10" x14ac:dyDescent="0.3">
      <c r="A1925" t="s">
        <v>2052</v>
      </c>
      <c r="B1925" s="1">
        <v>45958</v>
      </c>
      <c r="C1925" t="s">
        <v>66</v>
      </c>
      <c r="D1925">
        <v>44</v>
      </c>
      <c r="E1925" t="s">
        <v>33</v>
      </c>
      <c r="F1925" t="s">
        <v>122</v>
      </c>
      <c r="G1925" t="s">
        <v>201</v>
      </c>
      <c r="H1925" t="s">
        <v>116</v>
      </c>
      <c r="I1925">
        <v>23909</v>
      </c>
      <c r="J1925">
        <v>30682</v>
      </c>
    </row>
    <row r="1926" spans="1:10" x14ac:dyDescent="0.3">
      <c r="A1926" t="s">
        <v>2053</v>
      </c>
      <c r="B1926" s="1">
        <v>45668</v>
      </c>
      <c r="C1926" t="s">
        <v>17</v>
      </c>
      <c r="D1926">
        <v>2</v>
      </c>
      <c r="E1926" t="s">
        <v>24</v>
      </c>
      <c r="F1926" t="s">
        <v>57</v>
      </c>
      <c r="G1926" t="s">
        <v>20</v>
      </c>
      <c r="H1926" t="s">
        <v>123</v>
      </c>
      <c r="I1926">
        <v>18936</v>
      </c>
      <c r="J1926">
        <v>23009</v>
      </c>
    </row>
    <row r="1927" spans="1:10" x14ac:dyDescent="0.3">
      <c r="A1927" t="s">
        <v>2054</v>
      </c>
      <c r="B1927" s="1">
        <v>45990</v>
      </c>
      <c r="C1927" t="s">
        <v>23</v>
      </c>
      <c r="D1927">
        <v>48</v>
      </c>
      <c r="E1927" t="s">
        <v>70</v>
      </c>
      <c r="F1927" t="s">
        <v>78</v>
      </c>
      <c r="G1927" t="s">
        <v>40</v>
      </c>
      <c r="H1927" t="s">
        <v>98</v>
      </c>
      <c r="I1927">
        <v>21601</v>
      </c>
      <c r="J1927">
        <v>23665</v>
      </c>
    </row>
    <row r="1928" spans="1:10" x14ac:dyDescent="0.3">
      <c r="A1928" t="s">
        <v>2055</v>
      </c>
      <c r="B1928" s="1">
        <v>46012</v>
      </c>
      <c r="C1928" t="s">
        <v>100</v>
      </c>
      <c r="D1928">
        <v>51</v>
      </c>
      <c r="E1928" t="s">
        <v>61</v>
      </c>
      <c r="F1928" t="s">
        <v>122</v>
      </c>
      <c r="G1928" t="s">
        <v>234</v>
      </c>
      <c r="H1928" t="s">
        <v>155</v>
      </c>
      <c r="I1928">
        <v>31295</v>
      </c>
      <c r="J1928">
        <v>30461</v>
      </c>
    </row>
    <row r="1929" spans="1:10" x14ac:dyDescent="0.3">
      <c r="A1929" t="s">
        <v>2056</v>
      </c>
      <c r="B1929" s="1">
        <v>45811</v>
      </c>
      <c r="C1929" t="s">
        <v>74</v>
      </c>
      <c r="D1929">
        <v>23</v>
      </c>
      <c r="E1929" t="s">
        <v>18</v>
      </c>
      <c r="F1929" t="s">
        <v>34</v>
      </c>
      <c r="G1929" t="s">
        <v>171</v>
      </c>
      <c r="H1929" t="s">
        <v>31</v>
      </c>
      <c r="I1929">
        <v>38491</v>
      </c>
      <c r="J1929">
        <v>37600</v>
      </c>
    </row>
    <row r="1930" spans="1:10" x14ac:dyDescent="0.3">
      <c r="A1930" t="s">
        <v>2057</v>
      </c>
      <c r="B1930" s="1">
        <v>45929</v>
      </c>
      <c r="C1930" t="s">
        <v>38</v>
      </c>
      <c r="D1930">
        <v>40</v>
      </c>
      <c r="E1930" t="s">
        <v>33</v>
      </c>
      <c r="F1930" t="s">
        <v>13</v>
      </c>
      <c r="G1930" t="s">
        <v>291</v>
      </c>
      <c r="H1930" t="s">
        <v>151</v>
      </c>
      <c r="I1930">
        <v>27087</v>
      </c>
      <c r="J1930">
        <v>23341</v>
      </c>
    </row>
    <row r="1931" spans="1:10" x14ac:dyDescent="0.3">
      <c r="A1931" t="s">
        <v>2058</v>
      </c>
      <c r="B1931" s="1">
        <v>45946</v>
      </c>
      <c r="C1931" t="s">
        <v>66</v>
      </c>
      <c r="D1931">
        <v>42</v>
      </c>
      <c r="E1931" t="s">
        <v>24</v>
      </c>
      <c r="F1931" t="s">
        <v>109</v>
      </c>
      <c r="G1931" t="s">
        <v>141</v>
      </c>
      <c r="H1931" t="s">
        <v>116</v>
      </c>
      <c r="I1931">
        <v>16431</v>
      </c>
      <c r="J1931">
        <v>19864</v>
      </c>
    </row>
    <row r="1932" spans="1:10" x14ac:dyDescent="0.3">
      <c r="A1932" t="s">
        <v>2059</v>
      </c>
      <c r="B1932" s="1">
        <v>46004</v>
      </c>
      <c r="C1932" t="s">
        <v>100</v>
      </c>
      <c r="D1932">
        <v>50</v>
      </c>
      <c r="E1932" t="s">
        <v>12</v>
      </c>
      <c r="F1932" t="s">
        <v>29</v>
      </c>
      <c r="G1932" t="s">
        <v>47</v>
      </c>
      <c r="H1932" t="s">
        <v>15</v>
      </c>
      <c r="I1932">
        <v>32209</v>
      </c>
      <c r="J1932">
        <v>29974</v>
      </c>
    </row>
    <row r="1933" spans="1:10" x14ac:dyDescent="0.3">
      <c r="A1933" t="s">
        <v>2060</v>
      </c>
      <c r="B1933" s="1">
        <v>45962</v>
      </c>
      <c r="C1933" t="s">
        <v>23</v>
      </c>
      <c r="D1933">
        <v>44</v>
      </c>
      <c r="E1933" t="s">
        <v>33</v>
      </c>
      <c r="F1933" t="s">
        <v>92</v>
      </c>
      <c r="G1933" t="s">
        <v>149</v>
      </c>
      <c r="H1933" t="s">
        <v>243</v>
      </c>
      <c r="I1933">
        <v>39841</v>
      </c>
      <c r="J1933">
        <v>42052</v>
      </c>
    </row>
    <row r="1934" spans="1:10" x14ac:dyDescent="0.3">
      <c r="A1934" t="s">
        <v>2061</v>
      </c>
      <c r="B1934" s="1">
        <v>46018</v>
      </c>
      <c r="C1934" t="s">
        <v>100</v>
      </c>
      <c r="D1934">
        <v>52</v>
      </c>
      <c r="E1934" t="s">
        <v>12</v>
      </c>
      <c r="F1934" t="s">
        <v>75</v>
      </c>
      <c r="G1934" t="s">
        <v>128</v>
      </c>
      <c r="H1934" t="s">
        <v>21</v>
      </c>
      <c r="I1934">
        <v>22785</v>
      </c>
      <c r="J1934">
        <v>25447</v>
      </c>
    </row>
    <row r="1935" spans="1:10" x14ac:dyDescent="0.3">
      <c r="A1935" t="s">
        <v>2062</v>
      </c>
      <c r="B1935" s="1">
        <v>45735</v>
      </c>
      <c r="C1935" t="s">
        <v>95</v>
      </c>
      <c r="D1935">
        <v>12</v>
      </c>
      <c r="E1935" t="s">
        <v>18</v>
      </c>
      <c r="F1935" t="s">
        <v>43</v>
      </c>
      <c r="G1935" t="s">
        <v>147</v>
      </c>
      <c r="H1935" t="s">
        <v>151</v>
      </c>
      <c r="I1935">
        <v>28007</v>
      </c>
      <c r="J1935">
        <v>21900</v>
      </c>
    </row>
    <row r="1936" spans="1:10" x14ac:dyDescent="0.3">
      <c r="A1936" t="s">
        <v>2063</v>
      </c>
      <c r="B1936" s="1">
        <v>45682</v>
      </c>
      <c r="C1936" t="s">
        <v>17</v>
      </c>
      <c r="D1936">
        <v>4</v>
      </c>
      <c r="E1936" t="s">
        <v>18</v>
      </c>
      <c r="F1936" t="s">
        <v>57</v>
      </c>
      <c r="G1936" t="s">
        <v>51</v>
      </c>
      <c r="H1936" t="s">
        <v>52</v>
      </c>
      <c r="I1936">
        <v>28444</v>
      </c>
      <c r="J1936">
        <v>28337</v>
      </c>
    </row>
    <row r="1937" spans="1:10" x14ac:dyDescent="0.3">
      <c r="A1937" t="s">
        <v>2064</v>
      </c>
      <c r="B1937" s="1">
        <v>45748</v>
      </c>
      <c r="C1937" t="s">
        <v>86</v>
      </c>
      <c r="D1937">
        <v>14</v>
      </c>
      <c r="E1937" t="s">
        <v>12</v>
      </c>
      <c r="F1937" t="s">
        <v>19</v>
      </c>
      <c r="G1937" t="s">
        <v>141</v>
      </c>
      <c r="H1937" t="s">
        <v>59</v>
      </c>
      <c r="I1937">
        <v>34697</v>
      </c>
      <c r="J1937">
        <v>24828</v>
      </c>
    </row>
    <row r="1938" spans="1:10" x14ac:dyDescent="0.3">
      <c r="A1938" t="s">
        <v>2065</v>
      </c>
      <c r="B1938" s="1">
        <v>45718</v>
      </c>
      <c r="C1938" t="s">
        <v>95</v>
      </c>
      <c r="D1938">
        <v>9</v>
      </c>
      <c r="E1938" t="s">
        <v>24</v>
      </c>
      <c r="F1938" t="s">
        <v>87</v>
      </c>
      <c r="G1938" t="s">
        <v>72</v>
      </c>
      <c r="H1938" t="s">
        <v>165</v>
      </c>
      <c r="I1938">
        <v>18188</v>
      </c>
      <c r="J1938">
        <v>19581</v>
      </c>
    </row>
    <row r="1939" spans="1:10" x14ac:dyDescent="0.3">
      <c r="A1939" t="s">
        <v>2066</v>
      </c>
      <c r="B1939" s="1">
        <v>45780</v>
      </c>
      <c r="C1939" t="s">
        <v>90</v>
      </c>
      <c r="D1939">
        <v>18</v>
      </c>
      <c r="E1939" t="s">
        <v>39</v>
      </c>
      <c r="F1939" t="s">
        <v>50</v>
      </c>
      <c r="G1939" t="s">
        <v>147</v>
      </c>
      <c r="H1939" t="s">
        <v>68</v>
      </c>
      <c r="I1939">
        <v>28558</v>
      </c>
      <c r="J1939">
        <v>27761</v>
      </c>
    </row>
    <row r="1940" spans="1:10" x14ac:dyDescent="0.3">
      <c r="A1940" t="s">
        <v>2067</v>
      </c>
      <c r="B1940" s="1">
        <v>45986</v>
      </c>
      <c r="C1940" t="s">
        <v>23</v>
      </c>
      <c r="D1940">
        <v>48</v>
      </c>
      <c r="E1940" t="s">
        <v>61</v>
      </c>
      <c r="F1940" t="s">
        <v>46</v>
      </c>
      <c r="G1940" t="s">
        <v>110</v>
      </c>
      <c r="H1940" t="s">
        <v>188</v>
      </c>
      <c r="I1940">
        <v>16666</v>
      </c>
      <c r="J1940">
        <v>21541</v>
      </c>
    </row>
    <row r="1941" spans="1:10" x14ac:dyDescent="0.3">
      <c r="A1941" t="s">
        <v>2068</v>
      </c>
      <c r="B1941" s="1">
        <v>46019</v>
      </c>
      <c r="C1941" t="s">
        <v>100</v>
      </c>
      <c r="D1941">
        <v>52</v>
      </c>
      <c r="E1941" t="s">
        <v>18</v>
      </c>
      <c r="F1941" t="s">
        <v>101</v>
      </c>
      <c r="G1941" t="s">
        <v>63</v>
      </c>
      <c r="H1941" t="s">
        <v>31</v>
      </c>
      <c r="I1941">
        <v>32453</v>
      </c>
      <c r="J1941">
        <v>38584</v>
      </c>
    </row>
    <row r="1942" spans="1:10" x14ac:dyDescent="0.3">
      <c r="A1942" t="s">
        <v>2069</v>
      </c>
      <c r="B1942" s="1">
        <v>45939</v>
      </c>
      <c r="C1942" t="s">
        <v>66</v>
      </c>
      <c r="D1942">
        <v>41</v>
      </c>
      <c r="E1942" t="s">
        <v>12</v>
      </c>
      <c r="F1942" t="s">
        <v>29</v>
      </c>
      <c r="G1942" t="s">
        <v>88</v>
      </c>
      <c r="H1942" t="s">
        <v>163</v>
      </c>
      <c r="I1942">
        <v>39449</v>
      </c>
      <c r="J1942">
        <v>34880</v>
      </c>
    </row>
    <row r="1943" spans="1:10" x14ac:dyDescent="0.3">
      <c r="A1943" t="s">
        <v>2070</v>
      </c>
      <c r="B1943" s="1">
        <v>45892</v>
      </c>
      <c r="C1943" t="s">
        <v>113</v>
      </c>
      <c r="D1943">
        <v>34</v>
      </c>
      <c r="E1943" t="s">
        <v>39</v>
      </c>
      <c r="F1943" t="s">
        <v>19</v>
      </c>
      <c r="G1943" t="s">
        <v>135</v>
      </c>
      <c r="H1943" t="s">
        <v>211</v>
      </c>
      <c r="I1943">
        <v>24516</v>
      </c>
      <c r="J1943">
        <v>23809</v>
      </c>
    </row>
    <row r="1944" spans="1:10" x14ac:dyDescent="0.3">
      <c r="A1944" t="s">
        <v>2071</v>
      </c>
      <c r="B1944" s="1">
        <v>46012</v>
      </c>
      <c r="C1944" t="s">
        <v>100</v>
      </c>
      <c r="D1944">
        <v>51</v>
      </c>
      <c r="E1944" t="s">
        <v>33</v>
      </c>
      <c r="F1944" t="s">
        <v>92</v>
      </c>
      <c r="G1944" t="s">
        <v>30</v>
      </c>
      <c r="H1944" t="s">
        <v>123</v>
      </c>
      <c r="I1944">
        <v>26067</v>
      </c>
      <c r="J1944">
        <v>30211</v>
      </c>
    </row>
    <row r="1945" spans="1:10" x14ac:dyDescent="0.3">
      <c r="A1945" t="s">
        <v>2072</v>
      </c>
      <c r="B1945" s="1">
        <v>45753</v>
      </c>
      <c r="C1945" t="s">
        <v>86</v>
      </c>
      <c r="D1945">
        <v>14</v>
      </c>
      <c r="E1945" t="s">
        <v>61</v>
      </c>
      <c r="F1945" t="s">
        <v>62</v>
      </c>
      <c r="G1945" t="s">
        <v>149</v>
      </c>
      <c r="H1945" t="s">
        <v>21</v>
      </c>
      <c r="I1945">
        <v>22224</v>
      </c>
      <c r="J1945">
        <v>27758</v>
      </c>
    </row>
    <row r="1946" spans="1:10" x14ac:dyDescent="0.3">
      <c r="A1946" t="s">
        <v>2073</v>
      </c>
      <c r="B1946" s="1">
        <v>45765</v>
      </c>
      <c r="C1946" t="s">
        <v>86</v>
      </c>
      <c r="D1946">
        <v>16</v>
      </c>
      <c r="E1946" t="s">
        <v>61</v>
      </c>
      <c r="F1946" t="s">
        <v>75</v>
      </c>
      <c r="G1946" t="s">
        <v>199</v>
      </c>
      <c r="H1946" t="s">
        <v>36</v>
      </c>
      <c r="I1946">
        <v>21690</v>
      </c>
      <c r="J1946">
        <v>23661</v>
      </c>
    </row>
    <row r="1947" spans="1:10" x14ac:dyDescent="0.3">
      <c r="A1947" t="s">
        <v>2074</v>
      </c>
      <c r="B1947" s="1">
        <v>45693</v>
      </c>
      <c r="C1947" t="s">
        <v>82</v>
      </c>
      <c r="D1947">
        <v>6</v>
      </c>
      <c r="E1947" t="s">
        <v>70</v>
      </c>
      <c r="F1947" t="s">
        <v>140</v>
      </c>
      <c r="G1947" t="s">
        <v>58</v>
      </c>
      <c r="H1947" t="s">
        <v>151</v>
      </c>
      <c r="I1947">
        <v>22965</v>
      </c>
      <c r="J1947">
        <v>27860</v>
      </c>
    </row>
    <row r="1948" spans="1:10" x14ac:dyDescent="0.3">
      <c r="A1948" t="s">
        <v>2075</v>
      </c>
      <c r="B1948" s="1">
        <v>45926</v>
      </c>
      <c r="C1948" t="s">
        <v>38</v>
      </c>
      <c r="D1948">
        <v>39</v>
      </c>
      <c r="E1948" t="s">
        <v>24</v>
      </c>
      <c r="F1948" t="s">
        <v>92</v>
      </c>
      <c r="G1948" t="s">
        <v>20</v>
      </c>
      <c r="H1948" t="s">
        <v>111</v>
      </c>
      <c r="I1948">
        <v>24187</v>
      </c>
      <c r="J1948">
        <v>27708</v>
      </c>
    </row>
    <row r="1949" spans="1:10" x14ac:dyDescent="0.3">
      <c r="A1949" t="s">
        <v>2076</v>
      </c>
      <c r="B1949" s="1">
        <v>45840</v>
      </c>
      <c r="C1949" t="s">
        <v>11</v>
      </c>
      <c r="D1949">
        <v>27</v>
      </c>
      <c r="E1949" t="s">
        <v>12</v>
      </c>
      <c r="F1949" t="s">
        <v>114</v>
      </c>
      <c r="G1949" t="s">
        <v>147</v>
      </c>
      <c r="H1949" t="s">
        <v>55</v>
      </c>
      <c r="I1949">
        <v>29489</v>
      </c>
      <c r="J1949">
        <v>23278</v>
      </c>
    </row>
    <row r="1950" spans="1:10" x14ac:dyDescent="0.3">
      <c r="A1950" t="s">
        <v>2077</v>
      </c>
      <c r="B1950" s="1">
        <v>45958</v>
      </c>
      <c r="C1950" t="s">
        <v>66</v>
      </c>
      <c r="D1950">
        <v>44</v>
      </c>
      <c r="E1950" t="s">
        <v>24</v>
      </c>
      <c r="F1950" t="s">
        <v>109</v>
      </c>
      <c r="G1950" t="s">
        <v>324</v>
      </c>
      <c r="H1950" t="s">
        <v>119</v>
      </c>
      <c r="I1950">
        <v>28467</v>
      </c>
      <c r="J1950">
        <v>20710</v>
      </c>
    </row>
    <row r="1951" spans="1:10" x14ac:dyDescent="0.3">
      <c r="A1951" t="s">
        <v>2078</v>
      </c>
      <c r="B1951" s="1">
        <v>45837</v>
      </c>
      <c r="C1951" t="s">
        <v>74</v>
      </c>
      <c r="D1951">
        <v>26</v>
      </c>
      <c r="E1951" t="s">
        <v>70</v>
      </c>
      <c r="F1951" t="s">
        <v>19</v>
      </c>
      <c r="G1951" t="s">
        <v>63</v>
      </c>
      <c r="H1951" t="s">
        <v>157</v>
      </c>
      <c r="I1951">
        <v>24170</v>
      </c>
      <c r="J1951">
        <v>18887</v>
      </c>
    </row>
    <row r="1952" spans="1:10" x14ac:dyDescent="0.3">
      <c r="A1952" t="s">
        <v>2079</v>
      </c>
      <c r="B1952" s="1">
        <v>45736</v>
      </c>
      <c r="C1952" t="s">
        <v>95</v>
      </c>
      <c r="D1952">
        <v>12</v>
      </c>
      <c r="E1952" t="s">
        <v>70</v>
      </c>
      <c r="F1952" t="s">
        <v>101</v>
      </c>
      <c r="G1952" t="s">
        <v>206</v>
      </c>
      <c r="H1952" t="s">
        <v>151</v>
      </c>
      <c r="I1952">
        <v>21443</v>
      </c>
      <c r="J1952">
        <v>16485</v>
      </c>
    </row>
    <row r="1953" spans="1:10" x14ac:dyDescent="0.3">
      <c r="A1953" t="s">
        <v>2080</v>
      </c>
      <c r="B1953" s="1">
        <v>45668</v>
      </c>
      <c r="C1953" t="s">
        <v>17</v>
      </c>
      <c r="D1953">
        <v>2</v>
      </c>
      <c r="E1953" t="s">
        <v>33</v>
      </c>
      <c r="F1953" t="s">
        <v>29</v>
      </c>
      <c r="G1953" t="s">
        <v>63</v>
      </c>
      <c r="H1953" t="s">
        <v>59</v>
      </c>
      <c r="I1953">
        <v>21323</v>
      </c>
      <c r="J1953">
        <v>15815</v>
      </c>
    </row>
    <row r="1954" spans="1:10" x14ac:dyDescent="0.3">
      <c r="A1954" t="s">
        <v>2081</v>
      </c>
      <c r="B1954" s="1">
        <v>45952</v>
      </c>
      <c r="C1954" t="s">
        <v>66</v>
      </c>
      <c r="D1954">
        <v>43</v>
      </c>
      <c r="E1954" t="s">
        <v>33</v>
      </c>
      <c r="F1954" t="s">
        <v>25</v>
      </c>
      <c r="G1954" t="s">
        <v>191</v>
      </c>
      <c r="H1954" t="s">
        <v>103</v>
      </c>
      <c r="I1954">
        <v>25352</v>
      </c>
      <c r="J1954">
        <v>17842</v>
      </c>
    </row>
    <row r="1955" spans="1:10" x14ac:dyDescent="0.3">
      <c r="A1955" t="s">
        <v>2082</v>
      </c>
      <c r="B1955" s="1">
        <v>45773</v>
      </c>
      <c r="C1955" t="s">
        <v>86</v>
      </c>
      <c r="D1955">
        <v>17</v>
      </c>
      <c r="E1955" t="s">
        <v>24</v>
      </c>
      <c r="F1955" t="s">
        <v>50</v>
      </c>
      <c r="G1955" t="s">
        <v>54</v>
      </c>
      <c r="H1955" t="s">
        <v>36</v>
      </c>
      <c r="I1955">
        <v>31273</v>
      </c>
      <c r="J1955">
        <v>31390</v>
      </c>
    </row>
    <row r="1956" spans="1:10" x14ac:dyDescent="0.3">
      <c r="A1956" t="s">
        <v>2083</v>
      </c>
      <c r="B1956" s="1">
        <v>45754</v>
      </c>
      <c r="C1956" t="s">
        <v>86</v>
      </c>
      <c r="D1956">
        <v>15</v>
      </c>
      <c r="E1956" t="s">
        <v>70</v>
      </c>
      <c r="F1956" t="s">
        <v>140</v>
      </c>
      <c r="G1956" t="s">
        <v>132</v>
      </c>
      <c r="H1956" t="s">
        <v>41</v>
      </c>
      <c r="I1956">
        <v>39319</v>
      </c>
      <c r="J1956">
        <v>50464</v>
      </c>
    </row>
    <row r="1957" spans="1:10" x14ac:dyDescent="0.3">
      <c r="A1957" t="s">
        <v>2084</v>
      </c>
      <c r="B1957" s="1">
        <v>45839</v>
      </c>
      <c r="C1957" t="s">
        <v>11</v>
      </c>
      <c r="D1957">
        <v>27</v>
      </c>
      <c r="E1957" t="s">
        <v>70</v>
      </c>
      <c r="F1957" t="s">
        <v>193</v>
      </c>
      <c r="G1957" t="s">
        <v>182</v>
      </c>
      <c r="H1957" t="s">
        <v>111</v>
      </c>
      <c r="I1957">
        <v>18832</v>
      </c>
      <c r="J1957">
        <v>22184</v>
      </c>
    </row>
    <row r="1958" spans="1:10" x14ac:dyDescent="0.3">
      <c r="A1958" t="s">
        <v>2085</v>
      </c>
      <c r="B1958" s="1">
        <v>45911</v>
      </c>
      <c r="C1958" t="s">
        <v>38</v>
      </c>
      <c r="D1958">
        <v>37</v>
      </c>
      <c r="E1958" t="s">
        <v>61</v>
      </c>
      <c r="F1958" t="s">
        <v>57</v>
      </c>
      <c r="G1958" t="s">
        <v>230</v>
      </c>
      <c r="H1958" t="s">
        <v>84</v>
      </c>
      <c r="I1958">
        <v>33717</v>
      </c>
      <c r="J1958">
        <v>36771</v>
      </c>
    </row>
    <row r="1959" spans="1:10" x14ac:dyDescent="0.3">
      <c r="A1959" t="s">
        <v>2086</v>
      </c>
      <c r="B1959" s="1">
        <v>45783</v>
      </c>
      <c r="C1959" t="s">
        <v>90</v>
      </c>
      <c r="D1959">
        <v>19</v>
      </c>
      <c r="E1959" t="s">
        <v>39</v>
      </c>
      <c r="F1959" t="s">
        <v>114</v>
      </c>
      <c r="G1959" t="s">
        <v>201</v>
      </c>
      <c r="H1959" t="s">
        <v>36</v>
      </c>
      <c r="I1959">
        <v>26794</v>
      </c>
      <c r="J1959">
        <v>20327</v>
      </c>
    </row>
    <row r="1960" spans="1:10" x14ac:dyDescent="0.3">
      <c r="A1960" t="s">
        <v>2087</v>
      </c>
      <c r="B1960" s="1">
        <v>45881</v>
      </c>
      <c r="C1960" t="s">
        <v>113</v>
      </c>
      <c r="D1960">
        <v>33</v>
      </c>
      <c r="E1960" t="s">
        <v>18</v>
      </c>
      <c r="F1960" t="s">
        <v>101</v>
      </c>
      <c r="G1960" t="s">
        <v>47</v>
      </c>
      <c r="H1960" t="s">
        <v>59</v>
      </c>
      <c r="I1960">
        <v>15270</v>
      </c>
      <c r="J1960">
        <v>11649</v>
      </c>
    </row>
    <row r="1961" spans="1:10" x14ac:dyDescent="0.3">
      <c r="A1961" t="s">
        <v>2088</v>
      </c>
      <c r="B1961" s="1">
        <v>45845</v>
      </c>
      <c r="C1961" t="s">
        <v>11</v>
      </c>
      <c r="D1961">
        <v>28</v>
      </c>
      <c r="E1961" t="s">
        <v>24</v>
      </c>
      <c r="F1961" t="s">
        <v>114</v>
      </c>
      <c r="G1961" t="s">
        <v>160</v>
      </c>
      <c r="H1961" t="s">
        <v>119</v>
      </c>
      <c r="I1961">
        <v>25432</v>
      </c>
      <c r="J1961">
        <v>27290</v>
      </c>
    </row>
    <row r="1962" spans="1:10" x14ac:dyDescent="0.3">
      <c r="A1962" t="s">
        <v>2089</v>
      </c>
      <c r="B1962" s="1">
        <v>45853</v>
      </c>
      <c r="C1962" t="s">
        <v>11</v>
      </c>
      <c r="D1962">
        <v>29</v>
      </c>
      <c r="E1962" t="s">
        <v>39</v>
      </c>
      <c r="F1962" t="s">
        <v>29</v>
      </c>
      <c r="G1962" t="s">
        <v>88</v>
      </c>
      <c r="H1962" t="s">
        <v>119</v>
      </c>
      <c r="I1962">
        <v>30803</v>
      </c>
      <c r="J1962">
        <v>38667</v>
      </c>
    </row>
    <row r="1963" spans="1:10" x14ac:dyDescent="0.3">
      <c r="A1963" t="s">
        <v>2090</v>
      </c>
      <c r="B1963" s="1">
        <v>45918</v>
      </c>
      <c r="C1963" t="s">
        <v>38</v>
      </c>
      <c r="D1963">
        <v>38</v>
      </c>
      <c r="E1963" t="s">
        <v>70</v>
      </c>
      <c r="F1963" t="s">
        <v>50</v>
      </c>
      <c r="G1963" t="s">
        <v>126</v>
      </c>
      <c r="H1963" t="s">
        <v>155</v>
      </c>
      <c r="I1963">
        <v>20732</v>
      </c>
      <c r="J1963">
        <v>23579</v>
      </c>
    </row>
    <row r="1964" spans="1:10" x14ac:dyDescent="0.3">
      <c r="A1964" t="s">
        <v>2091</v>
      </c>
      <c r="B1964" s="1">
        <v>45869</v>
      </c>
      <c r="C1964" t="s">
        <v>11</v>
      </c>
      <c r="D1964">
        <v>31</v>
      </c>
      <c r="E1964" t="s">
        <v>70</v>
      </c>
      <c r="F1964" t="s">
        <v>140</v>
      </c>
      <c r="G1964" t="s">
        <v>137</v>
      </c>
      <c r="H1964" t="s">
        <v>84</v>
      </c>
      <c r="I1964">
        <v>24159</v>
      </c>
      <c r="J1964">
        <v>21149</v>
      </c>
    </row>
    <row r="1965" spans="1:10" x14ac:dyDescent="0.3">
      <c r="A1965" t="s">
        <v>2092</v>
      </c>
      <c r="B1965" s="1">
        <v>45863</v>
      </c>
      <c r="C1965" t="s">
        <v>11</v>
      </c>
      <c r="D1965">
        <v>30</v>
      </c>
      <c r="E1965" t="s">
        <v>18</v>
      </c>
      <c r="F1965" t="s">
        <v>29</v>
      </c>
      <c r="G1965" t="s">
        <v>115</v>
      </c>
      <c r="H1965" t="s">
        <v>59</v>
      </c>
      <c r="I1965">
        <v>15183</v>
      </c>
      <c r="J1965">
        <v>14432</v>
      </c>
    </row>
    <row r="1966" spans="1:10" x14ac:dyDescent="0.3">
      <c r="A1966" t="s">
        <v>2093</v>
      </c>
      <c r="B1966" s="1">
        <v>45850</v>
      </c>
      <c r="C1966" t="s">
        <v>11</v>
      </c>
      <c r="D1966">
        <v>28</v>
      </c>
      <c r="E1966" t="s">
        <v>33</v>
      </c>
      <c r="F1966" t="s">
        <v>193</v>
      </c>
      <c r="G1966" t="s">
        <v>47</v>
      </c>
      <c r="H1966" t="s">
        <v>211</v>
      </c>
      <c r="I1966">
        <v>31098</v>
      </c>
      <c r="J1966">
        <v>27809</v>
      </c>
    </row>
    <row r="1967" spans="1:10" x14ac:dyDescent="0.3">
      <c r="A1967" t="s">
        <v>2094</v>
      </c>
      <c r="B1967" s="1">
        <v>45784</v>
      </c>
      <c r="C1967" t="s">
        <v>90</v>
      </c>
      <c r="D1967">
        <v>19</v>
      </c>
      <c r="E1967" t="s">
        <v>39</v>
      </c>
      <c r="F1967" t="s">
        <v>109</v>
      </c>
      <c r="G1967" t="s">
        <v>63</v>
      </c>
      <c r="H1967" t="s">
        <v>59</v>
      </c>
      <c r="I1967">
        <v>38293</v>
      </c>
      <c r="J1967">
        <v>38165</v>
      </c>
    </row>
    <row r="1968" spans="1:10" x14ac:dyDescent="0.3">
      <c r="A1968" t="s">
        <v>2095</v>
      </c>
      <c r="B1968" s="1">
        <v>45758</v>
      </c>
      <c r="C1968" t="s">
        <v>86</v>
      </c>
      <c r="D1968">
        <v>15</v>
      </c>
      <c r="E1968" t="s">
        <v>18</v>
      </c>
      <c r="F1968" t="s">
        <v>13</v>
      </c>
      <c r="G1968" t="s">
        <v>79</v>
      </c>
      <c r="H1968" t="s">
        <v>41</v>
      </c>
      <c r="I1968">
        <v>35984</v>
      </c>
      <c r="J1968">
        <v>30443</v>
      </c>
    </row>
    <row r="1969" spans="1:10" x14ac:dyDescent="0.3">
      <c r="A1969" t="s">
        <v>2096</v>
      </c>
      <c r="B1969" s="1">
        <v>46015</v>
      </c>
      <c r="C1969" t="s">
        <v>100</v>
      </c>
      <c r="D1969">
        <v>52</v>
      </c>
      <c r="E1969" t="s">
        <v>33</v>
      </c>
      <c r="F1969" t="s">
        <v>92</v>
      </c>
      <c r="G1969" t="s">
        <v>115</v>
      </c>
      <c r="H1969" t="s">
        <v>84</v>
      </c>
      <c r="I1969">
        <v>32145</v>
      </c>
      <c r="J1969">
        <v>31191</v>
      </c>
    </row>
    <row r="1970" spans="1:10" x14ac:dyDescent="0.3">
      <c r="A1970" t="s">
        <v>2097</v>
      </c>
      <c r="B1970" s="1">
        <v>45871</v>
      </c>
      <c r="C1970" t="s">
        <v>113</v>
      </c>
      <c r="D1970">
        <v>31</v>
      </c>
      <c r="E1970" t="s">
        <v>12</v>
      </c>
      <c r="F1970" t="s">
        <v>109</v>
      </c>
      <c r="G1970" t="s">
        <v>118</v>
      </c>
      <c r="H1970" t="s">
        <v>123</v>
      </c>
      <c r="I1970">
        <v>35027</v>
      </c>
      <c r="J1970">
        <v>27490</v>
      </c>
    </row>
    <row r="1971" spans="1:10" x14ac:dyDescent="0.3">
      <c r="A1971" t="s">
        <v>2098</v>
      </c>
      <c r="B1971" s="1">
        <v>45901</v>
      </c>
      <c r="C1971" t="s">
        <v>38</v>
      </c>
      <c r="D1971">
        <v>36</v>
      </c>
      <c r="E1971" t="s">
        <v>18</v>
      </c>
      <c r="F1971" t="s">
        <v>140</v>
      </c>
      <c r="G1971" t="s">
        <v>26</v>
      </c>
      <c r="H1971" t="s">
        <v>41</v>
      </c>
      <c r="I1971">
        <v>17804</v>
      </c>
      <c r="J1971">
        <v>19586</v>
      </c>
    </row>
    <row r="1972" spans="1:10" x14ac:dyDescent="0.3">
      <c r="A1972" t="s">
        <v>2099</v>
      </c>
      <c r="B1972" s="1">
        <v>45869</v>
      </c>
      <c r="C1972" t="s">
        <v>11</v>
      </c>
      <c r="D1972">
        <v>31</v>
      </c>
      <c r="E1972" t="s">
        <v>33</v>
      </c>
      <c r="F1972" t="s">
        <v>62</v>
      </c>
      <c r="G1972" t="s">
        <v>54</v>
      </c>
      <c r="H1972" t="s">
        <v>103</v>
      </c>
      <c r="I1972">
        <v>33137</v>
      </c>
      <c r="J1972">
        <v>27256</v>
      </c>
    </row>
    <row r="1973" spans="1:10" x14ac:dyDescent="0.3">
      <c r="A1973" t="s">
        <v>2100</v>
      </c>
      <c r="B1973" s="1">
        <v>45714</v>
      </c>
      <c r="C1973" t="s">
        <v>82</v>
      </c>
      <c r="D1973">
        <v>9</v>
      </c>
      <c r="E1973" t="s">
        <v>24</v>
      </c>
      <c r="F1973" t="s">
        <v>13</v>
      </c>
      <c r="G1973" t="s">
        <v>149</v>
      </c>
      <c r="H1973" t="s">
        <v>188</v>
      </c>
      <c r="I1973">
        <v>38578</v>
      </c>
      <c r="J1973">
        <v>28817</v>
      </c>
    </row>
    <row r="1974" spans="1:10" x14ac:dyDescent="0.3">
      <c r="A1974" t="s">
        <v>2101</v>
      </c>
      <c r="B1974" s="1">
        <v>45679</v>
      </c>
      <c r="C1974" t="s">
        <v>17</v>
      </c>
      <c r="D1974">
        <v>4</v>
      </c>
      <c r="E1974" t="s">
        <v>39</v>
      </c>
      <c r="F1974" t="s">
        <v>78</v>
      </c>
      <c r="G1974" t="s">
        <v>171</v>
      </c>
      <c r="H1974" t="s">
        <v>31</v>
      </c>
      <c r="I1974">
        <v>18878</v>
      </c>
      <c r="J1974">
        <v>21103</v>
      </c>
    </row>
    <row r="1975" spans="1:10" x14ac:dyDescent="0.3">
      <c r="A1975" t="s">
        <v>2102</v>
      </c>
      <c r="B1975" s="1">
        <v>45915</v>
      </c>
      <c r="C1975" t="s">
        <v>38</v>
      </c>
      <c r="D1975">
        <v>38</v>
      </c>
      <c r="E1975" t="s">
        <v>70</v>
      </c>
      <c r="F1975" t="s">
        <v>13</v>
      </c>
      <c r="G1975" t="s">
        <v>88</v>
      </c>
      <c r="H1975" t="s">
        <v>111</v>
      </c>
      <c r="I1975">
        <v>30353</v>
      </c>
      <c r="J1975">
        <v>36698</v>
      </c>
    </row>
    <row r="1976" spans="1:10" x14ac:dyDescent="0.3">
      <c r="A1976" t="s">
        <v>2103</v>
      </c>
      <c r="B1976" s="1">
        <v>45896</v>
      </c>
      <c r="C1976" t="s">
        <v>113</v>
      </c>
      <c r="D1976">
        <v>35</v>
      </c>
      <c r="E1976" t="s">
        <v>12</v>
      </c>
      <c r="F1976" t="s">
        <v>50</v>
      </c>
      <c r="G1976" t="s">
        <v>199</v>
      </c>
      <c r="H1976" t="s">
        <v>116</v>
      </c>
      <c r="I1976">
        <v>25638</v>
      </c>
      <c r="J1976">
        <v>29841</v>
      </c>
    </row>
    <row r="1977" spans="1:10" x14ac:dyDescent="0.3">
      <c r="A1977" t="s">
        <v>2104</v>
      </c>
      <c r="B1977" s="1">
        <v>45747</v>
      </c>
      <c r="C1977" t="s">
        <v>95</v>
      </c>
      <c r="D1977">
        <v>14</v>
      </c>
      <c r="E1977" t="s">
        <v>12</v>
      </c>
      <c r="F1977" t="s">
        <v>29</v>
      </c>
      <c r="G1977" t="s">
        <v>118</v>
      </c>
      <c r="H1977" t="s">
        <v>165</v>
      </c>
      <c r="I1977">
        <v>37535</v>
      </c>
      <c r="J1977">
        <v>39214</v>
      </c>
    </row>
    <row r="1978" spans="1:10" x14ac:dyDescent="0.3">
      <c r="A1978" t="s">
        <v>2105</v>
      </c>
      <c r="B1978" s="1">
        <v>45769</v>
      </c>
      <c r="C1978" t="s">
        <v>86</v>
      </c>
      <c r="D1978">
        <v>17</v>
      </c>
      <c r="E1978" t="s">
        <v>61</v>
      </c>
      <c r="F1978" t="s">
        <v>122</v>
      </c>
      <c r="G1978" t="s">
        <v>47</v>
      </c>
      <c r="H1978" t="s">
        <v>36</v>
      </c>
      <c r="I1978">
        <v>31089</v>
      </c>
      <c r="J1978">
        <v>31429</v>
      </c>
    </row>
    <row r="1979" spans="1:10" x14ac:dyDescent="0.3">
      <c r="A1979" t="s">
        <v>2106</v>
      </c>
      <c r="B1979" s="1">
        <v>45712</v>
      </c>
      <c r="C1979" t="s">
        <v>82</v>
      </c>
      <c r="D1979">
        <v>9</v>
      </c>
      <c r="E1979" t="s">
        <v>33</v>
      </c>
      <c r="F1979" t="s">
        <v>75</v>
      </c>
      <c r="G1979" t="s">
        <v>107</v>
      </c>
      <c r="H1979" t="s">
        <v>96</v>
      </c>
      <c r="I1979">
        <v>38253</v>
      </c>
      <c r="J1979">
        <v>34049</v>
      </c>
    </row>
    <row r="1980" spans="1:10" x14ac:dyDescent="0.3">
      <c r="A1980" t="s">
        <v>2107</v>
      </c>
      <c r="B1980" s="1">
        <v>45923</v>
      </c>
      <c r="C1980" t="s">
        <v>38</v>
      </c>
      <c r="D1980">
        <v>39</v>
      </c>
      <c r="E1980" t="s">
        <v>18</v>
      </c>
      <c r="F1980" t="s">
        <v>122</v>
      </c>
      <c r="G1980" t="s">
        <v>291</v>
      </c>
      <c r="H1980" t="s">
        <v>211</v>
      </c>
      <c r="I1980">
        <v>39444</v>
      </c>
      <c r="J1980">
        <v>30397</v>
      </c>
    </row>
    <row r="1981" spans="1:10" x14ac:dyDescent="0.3">
      <c r="A1981" t="s">
        <v>2108</v>
      </c>
      <c r="B1981" s="1">
        <v>45714</v>
      </c>
      <c r="C1981" t="s">
        <v>82</v>
      </c>
      <c r="D1981">
        <v>9</v>
      </c>
      <c r="E1981" t="s">
        <v>61</v>
      </c>
      <c r="F1981" t="s">
        <v>109</v>
      </c>
      <c r="G1981" t="s">
        <v>145</v>
      </c>
      <c r="H1981" t="s">
        <v>52</v>
      </c>
      <c r="I1981">
        <v>36297</v>
      </c>
      <c r="J1981">
        <v>30290</v>
      </c>
    </row>
    <row r="1982" spans="1:10" x14ac:dyDescent="0.3">
      <c r="A1982" t="s">
        <v>2109</v>
      </c>
      <c r="B1982" s="1">
        <v>46009</v>
      </c>
      <c r="C1982" t="s">
        <v>100</v>
      </c>
      <c r="D1982">
        <v>51</v>
      </c>
      <c r="E1982" t="s">
        <v>12</v>
      </c>
      <c r="F1982" t="s">
        <v>19</v>
      </c>
      <c r="G1982" t="s">
        <v>137</v>
      </c>
      <c r="H1982" t="s">
        <v>27</v>
      </c>
      <c r="I1982">
        <v>20179</v>
      </c>
      <c r="J1982">
        <v>26089</v>
      </c>
    </row>
    <row r="1983" spans="1:10" x14ac:dyDescent="0.3">
      <c r="A1983" t="s">
        <v>2110</v>
      </c>
      <c r="B1983" s="1">
        <v>45976</v>
      </c>
      <c r="C1983" t="s">
        <v>23</v>
      </c>
      <c r="D1983">
        <v>46</v>
      </c>
      <c r="E1983" t="s">
        <v>61</v>
      </c>
      <c r="F1983" t="s">
        <v>109</v>
      </c>
      <c r="G1983" t="s">
        <v>26</v>
      </c>
      <c r="H1983" t="s">
        <v>48</v>
      </c>
      <c r="I1983">
        <v>36133</v>
      </c>
      <c r="J1983">
        <v>38023</v>
      </c>
    </row>
    <row r="1984" spans="1:10" x14ac:dyDescent="0.3">
      <c r="A1984" t="s">
        <v>2111</v>
      </c>
      <c r="B1984" s="1">
        <v>45777</v>
      </c>
      <c r="C1984" t="s">
        <v>86</v>
      </c>
      <c r="D1984">
        <v>18</v>
      </c>
      <c r="E1984" t="s">
        <v>24</v>
      </c>
      <c r="F1984" t="s">
        <v>109</v>
      </c>
      <c r="G1984" t="s">
        <v>93</v>
      </c>
      <c r="H1984" t="s">
        <v>155</v>
      </c>
      <c r="I1984">
        <v>28603</v>
      </c>
      <c r="J1984">
        <v>34185</v>
      </c>
    </row>
    <row r="1985" spans="1:10" x14ac:dyDescent="0.3">
      <c r="A1985" t="s">
        <v>2112</v>
      </c>
      <c r="B1985" s="1">
        <v>45831</v>
      </c>
      <c r="C1985" t="s">
        <v>74</v>
      </c>
      <c r="D1985">
        <v>26</v>
      </c>
      <c r="E1985" t="s">
        <v>12</v>
      </c>
      <c r="F1985" t="s">
        <v>193</v>
      </c>
      <c r="G1985" t="s">
        <v>30</v>
      </c>
      <c r="H1985" t="s">
        <v>59</v>
      </c>
      <c r="I1985">
        <v>17155</v>
      </c>
      <c r="J1985">
        <v>21243</v>
      </c>
    </row>
    <row r="1986" spans="1:10" x14ac:dyDescent="0.3">
      <c r="A1986" t="s">
        <v>2113</v>
      </c>
      <c r="B1986" s="1">
        <v>45862</v>
      </c>
      <c r="C1986" t="s">
        <v>11</v>
      </c>
      <c r="D1986">
        <v>30</v>
      </c>
      <c r="E1986" t="s">
        <v>12</v>
      </c>
      <c r="F1986" t="s">
        <v>101</v>
      </c>
      <c r="G1986" t="s">
        <v>206</v>
      </c>
      <c r="H1986" t="s">
        <v>55</v>
      </c>
      <c r="I1986">
        <v>30638</v>
      </c>
      <c r="J1986">
        <v>22150</v>
      </c>
    </row>
    <row r="1987" spans="1:10" x14ac:dyDescent="0.3">
      <c r="A1987" t="s">
        <v>2114</v>
      </c>
      <c r="B1987" s="1">
        <v>46019</v>
      </c>
      <c r="C1987" t="s">
        <v>100</v>
      </c>
      <c r="D1987">
        <v>52</v>
      </c>
      <c r="E1987" t="s">
        <v>24</v>
      </c>
      <c r="F1987" t="s">
        <v>43</v>
      </c>
      <c r="G1987" t="s">
        <v>126</v>
      </c>
      <c r="H1987" t="s">
        <v>165</v>
      </c>
      <c r="I1987">
        <v>25186</v>
      </c>
      <c r="J1987">
        <v>31284</v>
      </c>
    </row>
    <row r="1988" spans="1:10" x14ac:dyDescent="0.3">
      <c r="A1988" t="s">
        <v>2115</v>
      </c>
      <c r="B1988" s="1">
        <v>45782</v>
      </c>
      <c r="C1988" t="s">
        <v>90</v>
      </c>
      <c r="D1988">
        <v>19</v>
      </c>
      <c r="E1988" t="s">
        <v>24</v>
      </c>
      <c r="F1988" t="s">
        <v>78</v>
      </c>
      <c r="G1988" t="s">
        <v>88</v>
      </c>
      <c r="H1988" t="s">
        <v>59</v>
      </c>
      <c r="I1988">
        <v>17143</v>
      </c>
      <c r="J1988">
        <v>15693</v>
      </c>
    </row>
    <row r="1989" spans="1:10" x14ac:dyDescent="0.3">
      <c r="A1989" t="s">
        <v>2116</v>
      </c>
      <c r="B1989" s="1">
        <v>45972</v>
      </c>
      <c r="C1989" t="s">
        <v>23</v>
      </c>
      <c r="D1989">
        <v>46</v>
      </c>
      <c r="E1989" t="s">
        <v>70</v>
      </c>
      <c r="F1989" t="s">
        <v>122</v>
      </c>
      <c r="G1989" t="s">
        <v>40</v>
      </c>
      <c r="H1989" t="s">
        <v>96</v>
      </c>
      <c r="I1989">
        <v>28900</v>
      </c>
      <c r="J1989">
        <v>30527</v>
      </c>
    </row>
    <row r="1990" spans="1:10" x14ac:dyDescent="0.3">
      <c r="A1990" t="s">
        <v>2117</v>
      </c>
      <c r="B1990" s="1">
        <v>45718</v>
      </c>
      <c r="C1990" t="s">
        <v>95</v>
      </c>
      <c r="D1990">
        <v>9</v>
      </c>
      <c r="E1990" t="s">
        <v>70</v>
      </c>
      <c r="F1990" t="s">
        <v>140</v>
      </c>
      <c r="G1990" t="s">
        <v>224</v>
      </c>
      <c r="H1990" t="s">
        <v>27</v>
      </c>
      <c r="I1990">
        <v>19551</v>
      </c>
      <c r="J1990">
        <v>18648</v>
      </c>
    </row>
    <row r="1991" spans="1:10" x14ac:dyDescent="0.3">
      <c r="A1991" t="s">
        <v>2118</v>
      </c>
      <c r="B1991" s="1">
        <v>45711</v>
      </c>
      <c r="C1991" t="s">
        <v>82</v>
      </c>
      <c r="D1991">
        <v>8</v>
      </c>
      <c r="E1991" t="s">
        <v>24</v>
      </c>
      <c r="F1991" t="s">
        <v>87</v>
      </c>
      <c r="G1991" t="s">
        <v>51</v>
      </c>
      <c r="H1991" t="s">
        <v>31</v>
      </c>
      <c r="I1991">
        <v>28236</v>
      </c>
      <c r="J1991">
        <v>20471</v>
      </c>
    </row>
    <row r="1992" spans="1:10" x14ac:dyDescent="0.3">
      <c r="A1992" t="s">
        <v>2119</v>
      </c>
      <c r="B1992" s="1">
        <v>45722</v>
      </c>
      <c r="C1992" t="s">
        <v>95</v>
      </c>
      <c r="D1992">
        <v>10</v>
      </c>
      <c r="E1992" t="s">
        <v>70</v>
      </c>
      <c r="F1992" t="s">
        <v>34</v>
      </c>
      <c r="G1992" t="s">
        <v>147</v>
      </c>
      <c r="H1992" t="s">
        <v>243</v>
      </c>
      <c r="I1992">
        <v>28104</v>
      </c>
      <c r="J1992">
        <v>32256</v>
      </c>
    </row>
    <row r="1993" spans="1:10" x14ac:dyDescent="0.3">
      <c r="A1993" t="s">
        <v>2120</v>
      </c>
      <c r="B1993" s="1">
        <v>45900</v>
      </c>
      <c r="C1993" t="s">
        <v>113</v>
      </c>
      <c r="D1993">
        <v>35</v>
      </c>
      <c r="E1993" t="s">
        <v>12</v>
      </c>
      <c r="F1993" t="s">
        <v>50</v>
      </c>
      <c r="G1993" t="s">
        <v>110</v>
      </c>
      <c r="H1993" t="s">
        <v>21</v>
      </c>
      <c r="I1993">
        <v>38879</v>
      </c>
      <c r="J1993">
        <v>37697</v>
      </c>
    </row>
    <row r="1994" spans="1:10" x14ac:dyDescent="0.3">
      <c r="A1994" t="s">
        <v>2121</v>
      </c>
      <c r="B1994" s="1">
        <v>45864</v>
      </c>
      <c r="C1994" t="s">
        <v>11</v>
      </c>
      <c r="D1994">
        <v>30</v>
      </c>
      <c r="E1994" t="s">
        <v>24</v>
      </c>
      <c r="F1994" t="s">
        <v>193</v>
      </c>
      <c r="G1994" t="s">
        <v>102</v>
      </c>
      <c r="H1994" t="s">
        <v>68</v>
      </c>
      <c r="I1994">
        <v>23655</v>
      </c>
      <c r="J1994">
        <v>28044</v>
      </c>
    </row>
    <row r="1995" spans="1:10" x14ac:dyDescent="0.3">
      <c r="A1995" t="s">
        <v>2122</v>
      </c>
      <c r="B1995" s="1">
        <v>46009</v>
      </c>
      <c r="C1995" t="s">
        <v>100</v>
      </c>
      <c r="D1995">
        <v>51</v>
      </c>
      <c r="E1995" t="s">
        <v>18</v>
      </c>
      <c r="F1995" t="s">
        <v>114</v>
      </c>
      <c r="G1995" t="s">
        <v>126</v>
      </c>
      <c r="H1995" t="s">
        <v>243</v>
      </c>
      <c r="I1995">
        <v>37019</v>
      </c>
      <c r="J1995">
        <v>42154</v>
      </c>
    </row>
    <row r="1996" spans="1:10" x14ac:dyDescent="0.3">
      <c r="A1996" t="s">
        <v>2123</v>
      </c>
      <c r="B1996" s="1">
        <v>45681</v>
      </c>
      <c r="C1996" t="s">
        <v>17</v>
      </c>
      <c r="D1996">
        <v>4</v>
      </c>
      <c r="E1996" t="s">
        <v>12</v>
      </c>
      <c r="F1996" t="s">
        <v>140</v>
      </c>
      <c r="G1996" t="s">
        <v>171</v>
      </c>
      <c r="H1996" t="s">
        <v>165</v>
      </c>
      <c r="I1996">
        <v>29465</v>
      </c>
      <c r="J1996">
        <v>32140</v>
      </c>
    </row>
    <row r="1997" spans="1:10" x14ac:dyDescent="0.3">
      <c r="A1997" t="s">
        <v>2124</v>
      </c>
      <c r="B1997" s="1">
        <v>46001</v>
      </c>
      <c r="C1997" t="s">
        <v>100</v>
      </c>
      <c r="D1997">
        <v>50</v>
      </c>
      <c r="E1997" t="s">
        <v>18</v>
      </c>
      <c r="F1997" t="s">
        <v>92</v>
      </c>
      <c r="G1997" t="s">
        <v>171</v>
      </c>
      <c r="H1997" t="s">
        <v>68</v>
      </c>
      <c r="I1997">
        <v>36101</v>
      </c>
      <c r="J1997">
        <v>40491</v>
      </c>
    </row>
    <row r="1998" spans="1:10" x14ac:dyDescent="0.3">
      <c r="A1998" t="s">
        <v>2125</v>
      </c>
      <c r="B1998" s="1">
        <v>45856</v>
      </c>
      <c r="C1998" t="s">
        <v>11</v>
      </c>
      <c r="D1998">
        <v>29</v>
      </c>
      <c r="E1998" t="s">
        <v>70</v>
      </c>
      <c r="F1998" t="s">
        <v>57</v>
      </c>
      <c r="G1998" t="s">
        <v>14</v>
      </c>
      <c r="H1998" t="s">
        <v>48</v>
      </c>
      <c r="I1998">
        <v>36526</v>
      </c>
      <c r="J1998">
        <v>32047</v>
      </c>
    </row>
    <row r="1999" spans="1:10" x14ac:dyDescent="0.3">
      <c r="A1999" t="s">
        <v>2126</v>
      </c>
      <c r="B1999" s="1">
        <v>45956</v>
      </c>
      <c r="C1999" t="s">
        <v>66</v>
      </c>
      <c r="D1999">
        <v>43</v>
      </c>
      <c r="E1999" t="s">
        <v>24</v>
      </c>
      <c r="F1999" t="s">
        <v>114</v>
      </c>
      <c r="G1999" t="s">
        <v>201</v>
      </c>
      <c r="H1999" t="s">
        <v>123</v>
      </c>
      <c r="I1999">
        <v>29554</v>
      </c>
      <c r="J1999">
        <v>37850</v>
      </c>
    </row>
    <row r="2000" spans="1:10" x14ac:dyDescent="0.3">
      <c r="A2000" t="s">
        <v>2127</v>
      </c>
      <c r="B2000" s="1">
        <v>45865</v>
      </c>
      <c r="C2000" t="s">
        <v>11</v>
      </c>
      <c r="D2000">
        <v>30</v>
      </c>
      <c r="E2000" t="s">
        <v>70</v>
      </c>
      <c r="F2000" t="s">
        <v>109</v>
      </c>
      <c r="G2000" t="s">
        <v>130</v>
      </c>
      <c r="H2000" t="s">
        <v>15</v>
      </c>
      <c r="I2000">
        <v>29592</v>
      </c>
      <c r="J2000">
        <v>36209</v>
      </c>
    </row>
    <row r="2001" spans="1:10" x14ac:dyDescent="0.3">
      <c r="A2001" t="s">
        <v>2128</v>
      </c>
      <c r="B2001" s="1">
        <v>45762</v>
      </c>
      <c r="C2001" t="s">
        <v>86</v>
      </c>
      <c r="D2001">
        <v>16</v>
      </c>
      <c r="E2001" t="s">
        <v>18</v>
      </c>
      <c r="F2001" t="s">
        <v>114</v>
      </c>
      <c r="G2001" t="s">
        <v>149</v>
      </c>
      <c r="H2001" t="s">
        <v>163</v>
      </c>
      <c r="I2001">
        <v>16751</v>
      </c>
      <c r="J2001">
        <v>20071</v>
      </c>
    </row>
    <row r="2002" spans="1:10" x14ac:dyDescent="0.3">
      <c r="A2002" t="s">
        <v>2129</v>
      </c>
      <c r="B2002" s="1">
        <v>45804</v>
      </c>
      <c r="C2002" t="s">
        <v>90</v>
      </c>
      <c r="D2002">
        <v>22</v>
      </c>
      <c r="E2002" t="s">
        <v>70</v>
      </c>
      <c r="F2002" t="s">
        <v>140</v>
      </c>
      <c r="G2002" t="s">
        <v>240</v>
      </c>
      <c r="H2002" t="s">
        <v>123</v>
      </c>
      <c r="I2002">
        <v>21616</v>
      </c>
      <c r="J2002">
        <v>16090</v>
      </c>
    </row>
    <row r="2003" spans="1:10" x14ac:dyDescent="0.3">
      <c r="A2003" t="s">
        <v>2130</v>
      </c>
      <c r="B2003" s="1">
        <v>45991</v>
      </c>
      <c r="C2003" t="s">
        <v>23</v>
      </c>
      <c r="D2003">
        <v>48</v>
      </c>
      <c r="E2003" t="s">
        <v>61</v>
      </c>
      <c r="F2003" t="s">
        <v>114</v>
      </c>
      <c r="G2003" t="s">
        <v>326</v>
      </c>
      <c r="H2003" t="s">
        <v>27</v>
      </c>
      <c r="I2003">
        <v>35341</v>
      </c>
      <c r="J2003">
        <v>33380</v>
      </c>
    </row>
    <row r="2004" spans="1:10" x14ac:dyDescent="0.3">
      <c r="A2004" t="s">
        <v>2131</v>
      </c>
      <c r="B2004" s="1">
        <v>45731</v>
      </c>
      <c r="C2004" t="s">
        <v>95</v>
      </c>
      <c r="D2004">
        <v>11</v>
      </c>
      <c r="E2004" t="s">
        <v>70</v>
      </c>
      <c r="F2004" t="s">
        <v>25</v>
      </c>
      <c r="G2004" t="s">
        <v>149</v>
      </c>
      <c r="H2004" t="s">
        <v>165</v>
      </c>
      <c r="I2004">
        <v>37465</v>
      </c>
      <c r="J2004">
        <v>32423</v>
      </c>
    </row>
    <row r="2005" spans="1:10" x14ac:dyDescent="0.3">
      <c r="A2005" t="s">
        <v>2132</v>
      </c>
      <c r="B2005" s="1">
        <v>46002</v>
      </c>
      <c r="C2005" t="s">
        <v>100</v>
      </c>
      <c r="D2005">
        <v>50</v>
      </c>
      <c r="E2005" t="s">
        <v>39</v>
      </c>
      <c r="F2005" t="s">
        <v>43</v>
      </c>
      <c r="G2005" t="s">
        <v>230</v>
      </c>
      <c r="H2005" t="s">
        <v>116</v>
      </c>
      <c r="I2005">
        <v>28008</v>
      </c>
      <c r="J2005">
        <v>35246</v>
      </c>
    </row>
    <row r="2006" spans="1:10" x14ac:dyDescent="0.3">
      <c r="A2006" t="s">
        <v>2133</v>
      </c>
      <c r="B2006" s="1">
        <v>45944</v>
      </c>
      <c r="C2006" t="s">
        <v>66</v>
      </c>
      <c r="D2006">
        <v>42</v>
      </c>
      <c r="E2006" t="s">
        <v>12</v>
      </c>
      <c r="F2006" t="s">
        <v>29</v>
      </c>
      <c r="G2006" t="s">
        <v>326</v>
      </c>
      <c r="H2006" t="s">
        <v>96</v>
      </c>
      <c r="I2006">
        <v>37936</v>
      </c>
      <c r="J2006">
        <v>40260</v>
      </c>
    </row>
    <row r="2007" spans="1:10" x14ac:dyDescent="0.3">
      <c r="A2007" t="s">
        <v>2134</v>
      </c>
      <c r="B2007" s="1">
        <v>46002</v>
      </c>
      <c r="C2007" t="s">
        <v>100</v>
      </c>
      <c r="D2007">
        <v>50</v>
      </c>
      <c r="E2007" t="s">
        <v>24</v>
      </c>
      <c r="F2007" t="s">
        <v>87</v>
      </c>
      <c r="G2007" t="s">
        <v>206</v>
      </c>
      <c r="H2007" t="s">
        <v>98</v>
      </c>
      <c r="I2007">
        <v>35608</v>
      </c>
      <c r="J2007">
        <v>25498</v>
      </c>
    </row>
    <row r="2008" spans="1:10" x14ac:dyDescent="0.3">
      <c r="A2008" t="s">
        <v>2135</v>
      </c>
      <c r="B2008" s="1">
        <v>45821</v>
      </c>
      <c r="C2008" t="s">
        <v>74</v>
      </c>
      <c r="D2008">
        <v>24</v>
      </c>
      <c r="E2008" t="s">
        <v>39</v>
      </c>
      <c r="F2008" t="s">
        <v>43</v>
      </c>
      <c r="G2008" t="s">
        <v>130</v>
      </c>
      <c r="H2008" t="s">
        <v>41</v>
      </c>
      <c r="I2008">
        <v>31192</v>
      </c>
      <c r="J2008">
        <v>29192</v>
      </c>
    </row>
    <row r="2009" spans="1:10" x14ac:dyDescent="0.3">
      <c r="A2009" t="s">
        <v>2136</v>
      </c>
      <c r="B2009" s="1">
        <v>45960</v>
      </c>
      <c r="C2009" t="s">
        <v>66</v>
      </c>
      <c r="D2009">
        <v>44</v>
      </c>
      <c r="E2009" t="s">
        <v>70</v>
      </c>
      <c r="F2009" t="s">
        <v>34</v>
      </c>
      <c r="G2009" t="s">
        <v>253</v>
      </c>
      <c r="H2009" t="s">
        <v>15</v>
      </c>
      <c r="I2009">
        <v>34192</v>
      </c>
      <c r="J2009">
        <v>44355</v>
      </c>
    </row>
    <row r="2010" spans="1:10" x14ac:dyDescent="0.3">
      <c r="A2010" t="s">
        <v>2137</v>
      </c>
      <c r="B2010" s="1">
        <v>46007</v>
      </c>
      <c r="C2010" t="s">
        <v>100</v>
      </c>
      <c r="D2010">
        <v>51</v>
      </c>
      <c r="E2010" t="s">
        <v>39</v>
      </c>
      <c r="F2010" t="s">
        <v>25</v>
      </c>
      <c r="G2010" t="s">
        <v>160</v>
      </c>
      <c r="H2010" t="s">
        <v>36</v>
      </c>
      <c r="I2010">
        <v>20522</v>
      </c>
      <c r="J2010">
        <v>16037</v>
      </c>
    </row>
    <row r="2011" spans="1:10" x14ac:dyDescent="0.3">
      <c r="A2011" t="s">
        <v>2138</v>
      </c>
      <c r="B2011" s="1">
        <v>45709</v>
      </c>
      <c r="C2011" t="s">
        <v>82</v>
      </c>
      <c r="D2011">
        <v>8</v>
      </c>
      <c r="E2011" t="s">
        <v>24</v>
      </c>
      <c r="F2011" t="s">
        <v>34</v>
      </c>
      <c r="G2011" t="s">
        <v>191</v>
      </c>
      <c r="H2011" t="s">
        <v>188</v>
      </c>
      <c r="I2011">
        <v>37912</v>
      </c>
      <c r="J2011">
        <v>44765</v>
      </c>
    </row>
    <row r="2012" spans="1:10" x14ac:dyDescent="0.3">
      <c r="A2012" t="s">
        <v>2139</v>
      </c>
      <c r="B2012" s="1">
        <v>45865</v>
      </c>
      <c r="C2012" t="s">
        <v>11</v>
      </c>
      <c r="D2012">
        <v>30</v>
      </c>
      <c r="E2012" t="s">
        <v>18</v>
      </c>
      <c r="F2012" t="s">
        <v>122</v>
      </c>
      <c r="G2012" t="s">
        <v>128</v>
      </c>
      <c r="H2012" t="s">
        <v>84</v>
      </c>
      <c r="I2012">
        <v>33214</v>
      </c>
      <c r="J2012">
        <v>30678</v>
      </c>
    </row>
    <row r="2013" spans="1:10" x14ac:dyDescent="0.3">
      <c r="A2013" t="s">
        <v>2140</v>
      </c>
      <c r="B2013" s="1">
        <v>45696</v>
      </c>
      <c r="C2013" t="s">
        <v>82</v>
      </c>
      <c r="D2013">
        <v>6</v>
      </c>
      <c r="E2013" t="s">
        <v>12</v>
      </c>
      <c r="F2013" t="s">
        <v>78</v>
      </c>
      <c r="G2013" t="s">
        <v>107</v>
      </c>
      <c r="H2013" t="s">
        <v>119</v>
      </c>
      <c r="I2013">
        <v>38125</v>
      </c>
      <c r="J2013">
        <v>36284</v>
      </c>
    </row>
    <row r="2014" spans="1:10" x14ac:dyDescent="0.3">
      <c r="A2014" t="s">
        <v>2141</v>
      </c>
      <c r="B2014" s="1">
        <v>45918</v>
      </c>
      <c r="C2014" t="s">
        <v>38</v>
      </c>
      <c r="D2014">
        <v>38</v>
      </c>
      <c r="E2014" t="s">
        <v>39</v>
      </c>
      <c r="F2014" t="s">
        <v>122</v>
      </c>
      <c r="G2014" t="s">
        <v>201</v>
      </c>
      <c r="H2014" t="s">
        <v>52</v>
      </c>
      <c r="I2014">
        <v>23755</v>
      </c>
      <c r="J2014">
        <v>19168</v>
      </c>
    </row>
    <row r="2015" spans="1:10" x14ac:dyDescent="0.3">
      <c r="A2015" t="s">
        <v>2142</v>
      </c>
      <c r="B2015" s="1">
        <v>45820</v>
      </c>
      <c r="C2015" t="s">
        <v>74</v>
      </c>
      <c r="D2015">
        <v>24</v>
      </c>
      <c r="E2015" t="s">
        <v>39</v>
      </c>
      <c r="F2015" t="s">
        <v>43</v>
      </c>
      <c r="G2015" t="s">
        <v>147</v>
      </c>
      <c r="H2015" t="s">
        <v>36</v>
      </c>
      <c r="I2015">
        <v>19836</v>
      </c>
      <c r="J2015">
        <v>18985</v>
      </c>
    </row>
    <row r="2016" spans="1:10" x14ac:dyDescent="0.3">
      <c r="A2016" t="s">
        <v>2143</v>
      </c>
      <c r="B2016" s="1">
        <v>45775</v>
      </c>
      <c r="C2016" t="s">
        <v>86</v>
      </c>
      <c r="D2016">
        <v>18</v>
      </c>
      <c r="E2016" t="s">
        <v>33</v>
      </c>
      <c r="F2016" t="s">
        <v>57</v>
      </c>
      <c r="G2016" t="s">
        <v>130</v>
      </c>
      <c r="H2016" t="s">
        <v>103</v>
      </c>
      <c r="I2016">
        <v>26421</v>
      </c>
      <c r="J2016">
        <v>26355</v>
      </c>
    </row>
    <row r="2017" spans="1:10" x14ac:dyDescent="0.3">
      <c r="A2017" t="s">
        <v>2144</v>
      </c>
      <c r="B2017" s="1">
        <v>45698</v>
      </c>
      <c r="C2017" t="s">
        <v>82</v>
      </c>
      <c r="D2017">
        <v>7</v>
      </c>
      <c r="E2017" t="s">
        <v>24</v>
      </c>
      <c r="F2017" t="s">
        <v>78</v>
      </c>
      <c r="G2017" t="s">
        <v>14</v>
      </c>
      <c r="H2017" t="s">
        <v>52</v>
      </c>
      <c r="I2017">
        <v>37276</v>
      </c>
      <c r="J2017">
        <v>34175</v>
      </c>
    </row>
    <row r="2018" spans="1:10" x14ac:dyDescent="0.3">
      <c r="A2018" t="s">
        <v>2145</v>
      </c>
      <c r="B2018" s="1">
        <v>46003</v>
      </c>
      <c r="C2018" t="s">
        <v>100</v>
      </c>
      <c r="D2018">
        <v>50</v>
      </c>
      <c r="E2018" t="s">
        <v>61</v>
      </c>
      <c r="F2018" t="s">
        <v>92</v>
      </c>
      <c r="G2018" t="s">
        <v>132</v>
      </c>
      <c r="H2018" t="s">
        <v>15</v>
      </c>
      <c r="I2018">
        <v>17667</v>
      </c>
      <c r="J2018">
        <v>22346</v>
      </c>
    </row>
    <row r="2019" spans="1:10" x14ac:dyDescent="0.3">
      <c r="A2019" t="s">
        <v>2146</v>
      </c>
      <c r="B2019" s="1">
        <v>45822</v>
      </c>
      <c r="C2019" t="s">
        <v>74</v>
      </c>
      <c r="D2019">
        <v>24</v>
      </c>
      <c r="E2019" t="s">
        <v>24</v>
      </c>
      <c r="F2019" t="s">
        <v>50</v>
      </c>
      <c r="G2019" t="s">
        <v>201</v>
      </c>
      <c r="H2019" t="s">
        <v>188</v>
      </c>
      <c r="I2019">
        <v>32226</v>
      </c>
      <c r="J2019">
        <v>28500</v>
      </c>
    </row>
    <row r="2020" spans="1:10" x14ac:dyDescent="0.3">
      <c r="A2020" t="s">
        <v>2147</v>
      </c>
      <c r="B2020" s="1">
        <v>45889</v>
      </c>
      <c r="C2020" t="s">
        <v>113</v>
      </c>
      <c r="D2020">
        <v>34</v>
      </c>
      <c r="E2020" t="s">
        <v>12</v>
      </c>
      <c r="F2020" t="s">
        <v>62</v>
      </c>
      <c r="G2020" t="s">
        <v>224</v>
      </c>
      <c r="H2020" t="s">
        <v>123</v>
      </c>
      <c r="I2020">
        <v>31507</v>
      </c>
      <c r="J2020">
        <v>23251</v>
      </c>
    </row>
    <row r="2021" spans="1:10" x14ac:dyDescent="0.3">
      <c r="A2021" t="s">
        <v>2148</v>
      </c>
      <c r="B2021" s="1">
        <v>45894</v>
      </c>
      <c r="C2021" t="s">
        <v>113</v>
      </c>
      <c r="D2021">
        <v>35</v>
      </c>
      <c r="E2021" t="s">
        <v>39</v>
      </c>
      <c r="F2021" t="s">
        <v>34</v>
      </c>
      <c r="G2021" t="s">
        <v>107</v>
      </c>
      <c r="H2021" t="s">
        <v>103</v>
      </c>
      <c r="I2021">
        <v>24300</v>
      </c>
      <c r="J2021">
        <v>29080</v>
      </c>
    </row>
    <row r="2022" spans="1:10" x14ac:dyDescent="0.3">
      <c r="A2022" t="s">
        <v>2149</v>
      </c>
      <c r="B2022" s="1">
        <v>45997</v>
      </c>
      <c r="C2022" t="s">
        <v>100</v>
      </c>
      <c r="D2022">
        <v>49</v>
      </c>
      <c r="E2022" t="s">
        <v>24</v>
      </c>
      <c r="F2022" t="s">
        <v>109</v>
      </c>
      <c r="G2022" t="s">
        <v>14</v>
      </c>
      <c r="H2022" t="s">
        <v>119</v>
      </c>
      <c r="I2022">
        <v>22918</v>
      </c>
      <c r="J2022">
        <v>20945</v>
      </c>
    </row>
    <row r="2023" spans="1:10" x14ac:dyDescent="0.3">
      <c r="A2023" t="s">
        <v>2150</v>
      </c>
      <c r="B2023" s="1">
        <v>46003</v>
      </c>
      <c r="C2023" t="s">
        <v>100</v>
      </c>
      <c r="D2023">
        <v>50</v>
      </c>
      <c r="E2023" t="s">
        <v>18</v>
      </c>
      <c r="F2023" t="s">
        <v>43</v>
      </c>
      <c r="G2023" t="s">
        <v>72</v>
      </c>
      <c r="H2023" t="s">
        <v>48</v>
      </c>
      <c r="I2023">
        <v>38679</v>
      </c>
      <c r="J2023">
        <v>30241</v>
      </c>
    </row>
    <row r="2024" spans="1:10" x14ac:dyDescent="0.3">
      <c r="A2024" t="s">
        <v>2151</v>
      </c>
      <c r="B2024" s="1">
        <v>45850</v>
      </c>
      <c r="C2024" t="s">
        <v>11</v>
      </c>
      <c r="D2024">
        <v>28</v>
      </c>
      <c r="E2024" t="s">
        <v>12</v>
      </c>
      <c r="F2024" t="s">
        <v>29</v>
      </c>
      <c r="G2024" t="s">
        <v>26</v>
      </c>
      <c r="H2024" t="s">
        <v>64</v>
      </c>
      <c r="I2024">
        <v>31431</v>
      </c>
      <c r="J2024">
        <v>26148</v>
      </c>
    </row>
    <row r="2025" spans="1:10" x14ac:dyDescent="0.3">
      <c r="A2025" t="s">
        <v>2152</v>
      </c>
      <c r="B2025" s="1">
        <v>45988</v>
      </c>
      <c r="C2025" t="s">
        <v>23</v>
      </c>
      <c r="D2025">
        <v>48</v>
      </c>
      <c r="E2025" t="s">
        <v>18</v>
      </c>
      <c r="F2025" t="s">
        <v>43</v>
      </c>
      <c r="G2025" t="s">
        <v>240</v>
      </c>
      <c r="H2025" t="s">
        <v>157</v>
      </c>
      <c r="I2025">
        <v>37699</v>
      </c>
      <c r="J2025">
        <v>34835</v>
      </c>
    </row>
    <row r="2026" spans="1:10" x14ac:dyDescent="0.3">
      <c r="A2026" t="s">
        <v>2153</v>
      </c>
      <c r="B2026" s="1">
        <v>45763</v>
      </c>
      <c r="C2026" t="s">
        <v>86</v>
      </c>
      <c r="D2026">
        <v>16</v>
      </c>
      <c r="E2026" t="s">
        <v>39</v>
      </c>
      <c r="F2026" t="s">
        <v>62</v>
      </c>
      <c r="G2026" t="s">
        <v>67</v>
      </c>
      <c r="H2026" t="s">
        <v>96</v>
      </c>
      <c r="I2026">
        <v>17431</v>
      </c>
      <c r="J2026">
        <v>13024</v>
      </c>
    </row>
    <row r="2027" spans="1:10" x14ac:dyDescent="0.3">
      <c r="A2027" t="s">
        <v>2154</v>
      </c>
      <c r="B2027" s="1">
        <v>45776</v>
      </c>
      <c r="C2027" t="s">
        <v>86</v>
      </c>
      <c r="D2027">
        <v>18</v>
      </c>
      <c r="E2027" t="s">
        <v>70</v>
      </c>
      <c r="F2027" t="s">
        <v>57</v>
      </c>
      <c r="G2027" t="s">
        <v>72</v>
      </c>
      <c r="H2027" t="s">
        <v>36</v>
      </c>
      <c r="I2027">
        <v>24629</v>
      </c>
      <c r="J2027">
        <v>28999</v>
      </c>
    </row>
    <row r="2028" spans="1:10" x14ac:dyDescent="0.3">
      <c r="A2028" t="s">
        <v>2155</v>
      </c>
      <c r="B2028" s="1">
        <v>45694</v>
      </c>
      <c r="C2028" t="s">
        <v>82</v>
      </c>
      <c r="D2028">
        <v>6</v>
      </c>
      <c r="E2028" t="s">
        <v>61</v>
      </c>
      <c r="F2028" t="s">
        <v>75</v>
      </c>
      <c r="G2028" t="s">
        <v>132</v>
      </c>
      <c r="H2028" t="s">
        <v>119</v>
      </c>
      <c r="I2028">
        <v>18421</v>
      </c>
      <c r="J2028">
        <v>23526</v>
      </c>
    </row>
    <row r="2029" spans="1:10" x14ac:dyDescent="0.3">
      <c r="A2029" t="s">
        <v>2156</v>
      </c>
      <c r="B2029" s="1">
        <v>45882</v>
      </c>
      <c r="C2029" t="s">
        <v>113</v>
      </c>
      <c r="D2029">
        <v>33</v>
      </c>
      <c r="E2029" t="s">
        <v>24</v>
      </c>
      <c r="F2029" t="s">
        <v>43</v>
      </c>
      <c r="G2029" t="s">
        <v>47</v>
      </c>
      <c r="H2029" t="s">
        <v>96</v>
      </c>
      <c r="I2029">
        <v>36455</v>
      </c>
      <c r="J2029">
        <v>25947</v>
      </c>
    </row>
    <row r="2030" spans="1:10" x14ac:dyDescent="0.3">
      <c r="A2030" t="s">
        <v>2157</v>
      </c>
      <c r="B2030" s="1">
        <v>45898</v>
      </c>
      <c r="C2030" t="s">
        <v>113</v>
      </c>
      <c r="D2030">
        <v>35</v>
      </c>
      <c r="E2030" t="s">
        <v>39</v>
      </c>
      <c r="F2030" t="s">
        <v>34</v>
      </c>
      <c r="G2030" t="s">
        <v>206</v>
      </c>
      <c r="H2030" t="s">
        <v>15</v>
      </c>
      <c r="I2030">
        <v>35395</v>
      </c>
      <c r="J2030">
        <v>32435</v>
      </c>
    </row>
    <row r="2031" spans="1:10" x14ac:dyDescent="0.3">
      <c r="A2031" t="s">
        <v>2158</v>
      </c>
      <c r="B2031" s="1">
        <v>46012</v>
      </c>
      <c r="C2031" t="s">
        <v>100</v>
      </c>
      <c r="D2031">
        <v>51</v>
      </c>
      <c r="E2031" t="s">
        <v>61</v>
      </c>
      <c r="F2031" t="s">
        <v>75</v>
      </c>
      <c r="G2031" t="s">
        <v>182</v>
      </c>
      <c r="H2031" t="s">
        <v>123</v>
      </c>
      <c r="I2031">
        <v>38362</v>
      </c>
      <c r="J2031">
        <v>28802</v>
      </c>
    </row>
    <row r="2032" spans="1:10" x14ac:dyDescent="0.3">
      <c r="A2032" t="s">
        <v>2159</v>
      </c>
      <c r="B2032" s="1">
        <v>45915</v>
      </c>
      <c r="C2032" t="s">
        <v>38</v>
      </c>
      <c r="D2032">
        <v>38</v>
      </c>
      <c r="E2032" t="s">
        <v>12</v>
      </c>
      <c r="F2032" t="s">
        <v>87</v>
      </c>
      <c r="G2032" t="s">
        <v>324</v>
      </c>
      <c r="H2032" t="s">
        <v>243</v>
      </c>
      <c r="I2032">
        <v>32274</v>
      </c>
      <c r="J2032">
        <v>39565</v>
      </c>
    </row>
    <row r="2033" spans="1:10" x14ac:dyDescent="0.3">
      <c r="A2033" t="s">
        <v>2160</v>
      </c>
      <c r="B2033" s="1">
        <v>45795</v>
      </c>
      <c r="C2033" t="s">
        <v>90</v>
      </c>
      <c r="D2033">
        <v>20</v>
      </c>
      <c r="E2033" t="s">
        <v>24</v>
      </c>
      <c r="F2033" t="s">
        <v>62</v>
      </c>
      <c r="G2033" t="s">
        <v>266</v>
      </c>
      <c r="H2033" t="s">
        <v>41</v>
      </c>
      <c r="I2033">
        <v>39970</v>
      </c>
      <c r="J2033">
        <v>33790</v>
      </c>
    </row>
    <row r="2034" spans="1:10" x14ac:dyDescent="0.3">
      <c r="A2034" t="s">
        <v>2161</v>
      </c>
      <c r="B2034" s="1">
        <v>45881</v>
      </c>
      <c r="C2034" t="s">
        <v>113</v>
      </c>
      <c r="D2034">
        <v>33</v>
      </c>
      <c r="E2034" t="s">
        <v>24</v>
      </c>
      <c r="F2034" t="s">
        <v>101</v>
      </c>
      <c r="G2034" t="s">
        <v>201</v>
      </c>
      <c r="H2034" t="s">
        <v>163</v>
      </c>
      <c r="I2034">
        <v>22696</v>
      </c>
      <c r="J2034">
        <v>18608</v>
      </c>
    </row>
    <row r="2035" spans="1:10" x14ac:dyDescent="0.3">
      <c r="A2035" t="s">
        <v>2162</v>
      </c>
      <c r="B2035" s="1">
        <v>46004</v>
      </c>
      <c r="C2035" t="s">
        <v>100</v>
      </c>
      <c r="D2035">
        <v>50</v>
      </c>
      <c r="E2035" t="s">
        <v>24</v>
      </c>
      <c r="F2035" t="s">
        <v>34</v>
      </c>
      <c r="G2035" t="s">
        <v>76</v>
      </c>
      <c r="H2035" t="s">
        <v>116</v>
      </c>
      <c r="I2035">
        <v>36501</v>
      </c>
      <c r="J2035">
        <v>34914</v>
      </c>
    </row>
    <row r="2036" spans="1:10" x14ac:dyDescent="0.3">
      <c r="A2036" t="s">
        <v>2163</v>
      </c>
      <c r="B2036" s="1">
        <v>45988</v>
      </c>
      <c r="C2036" t="s">
        <v>23</v>
      </c>
      <c r="D2036">
        <v>48</v>
      </c>
      <c r="E2036" t="s">
        <v>18</v>
      </c>
      <c r="F2036" t="s">
        <v>78</v>
      </c>
      <c r="G2036" t="s">
        <v>145</v>
      </c>
      <c r="H2036" t="s">
        <v>21</v>
      </c>
      <c r="I2036">
        <v>19870</v>
      </c>
      <c r="J2036">
        <v>17443</v>
      </c>
    </row>
    <row r="2037" spans="1:10" x14ac:dyDescent="0.3">
      <c r="A2037" t="s">
        <v>2164</v>
      </c>
      <c r="B2037" s="1">
        <v>45719</v>
      </c>
      <c r="C2037" t="s">
        <v>95</v>
      </c>
      <c r="D2037">
        <v>10</v>
      </c>
      <c r="E2037" t="s">
        <v>33</v>
      </c>
      <c r="F2037" t="s">
        <v>92</v>
      </c>
      <c r="G2037" t="s">
        <v>83</v>
      </c>
      <c r="H2037" t="s">
        <v>119</v>
      </c>
      <c r="I2037">
        <v>16737</v>
      </c>
      <c r="J2037">
        <v>14530</v>
      </c>
    </row>
    <row r="2038" spans="1:10" x14ac:dyDescent="0.3">
      <c r="A2038" t="s">
        <v>2165</v>
      </c>
      <c r="B2038" s="1">
        <v>45803</v>
      </c>
      <c r="C2038" t="s">
        <v>90</v>
      </c>
      <c r="D2038">
        <v>22</v>
      </c>
      <c r="E2038" t="s">
        <v>70</v>
      </c>
      <c r="F2038" t="s">
        <v>29</v>
      </c>
      <c r="G2038" t="s">
        <v>206</v>
      </c>
      <c r="H2038" t="s">
        <v>133</v>
      </c>
      <c r="I2038">
        <v>31514</v>
      </c>
      <c r="J2038">
        <v>38444</v>
      </c>
    </row>
    <row r="2039" spans="1:10" x14ac:dyDescent="0.3">
      <c r="A2039" t="s">
        <v>2166</v>
      </c>
      <c r="B2039" s="1">
        <v>45822</v>
      </c>
      <c r="C2039" t="s">
        <v>74</v>
      </c>
      <c r="D2039">
        <v>24</v>
      </c>
      <c r="E2039" t="s">
        <v>24</v>
      </c>
      <c r="F2039" t="s">
        <v>19</v>
      </c>
      <c r="G2039" t="s">
        <v>182</v>
      </c>
      <c r="H2039" t="s">
        <v>165</v>
      </c>
      <c r="I2039">
        <v>28726</v>
      </c>
      <c r="J2039">
        <v>28898</v>
      </c>
    </row>
    <row r="2040" spans="1:10" x14ac:dyDescent="0.3">
      <c r="A2040" t="s">
        <v>2167</v>
      </c>
      <c r="B2040" s="1">
        <v>45850</v>
      </c>
      <c r="C2040" t="s">
        <v>11</v>
      </c>
      <c r="D2040">
        <v>28</v>
      </c>
      <c r="E2040" t="s">
        <v>18</v>
      </c>
      <c r="F2040" t="s">
        <v>34</v>
      </c>
      <c r="G2040" t="s">
        <v>199</v>
      </c>
      <c r="H2040" t="s">
        <v>211</v>
      </c>
      <c r="I2040">
        <v>22086</v>
      </c>
      <c r="J2040">
        <v>25435</v>
      </c>
    </row>
    <row r="2041" spans="1:10" x14ac:dyDescent="0.3">
      <c r="A2041" t="s">
        <v>2168</v>
      </c>
      <c r="B2041" s="1">
        <v>45922</v>
      </c>
      <c r="C2041" t="s">
        <v>38</v>
      </c>
      <c r="D2041">
        <v>39</v>
      </c>
      <c r="E2041" t="s">
        <v>61</v>
      </c>
      <c r="F2041" t="s">
        <v>92</v>
      </c>
      <c r="G2041" t="s">
        <v>171</v>
      </c>
      <c r="H2041" t="s">
        <v>41</v>
      </c>
      <c r="I2041">
        <v>25274</v>
      </c>
      <c r="J2041">
        <v>30129</v>
      </c>
    </row>
    <row r="2042" spans="1:10" x14ac:dyDescent="0.3">
      <c r="A2042" t="s">
        <v>2169</v>
      </c>
      <c r="B2042" s="1">
        <v>45862</v>
      </c>
      <c r="C2042" t="s">
        <v>11</v>
      </c>
      <c r="D2042">
        <v>30</v>
      </c>
      <c r="E2042" t="s">
        <v>18</v>
      </c>
      <c r="F2042" t="s">
        <v>114</v>
      </c>
      <c r="G2042" t="s">
        <v>76</v>
      </c>
      <c r="H2042" t="s">
        <v>31</v>
      </c>
      <c r="I2042">
        <v>38447</v>
      </c>
      <c r="J2042">
        <v>38025</v>
      </c>
    </row>
    <row r="2043" spans="1:10" x14ac:dyDescent="0.3">
      <c r="A2043" t="s">
        <v>2170</v>
      </c>
      <c r="B2043" s="1">
        <v>45982</v>
      </c>
      <c r="C2043" t="s">
        <v>23</v>
      </c>
      <c r="D2043">
        <v>47</v>
      </c>
      <c r="E2043" t="s">
        <v>39</v>
      </c>
      <c r="F2043" t="s">
        <v>122</v>
      </c>
      <c r="G2043" t="s">
        <v>266</v>
      </c>
      <c r="H2043" t="s">
        <v>163</v>
      </c>
      <c r="I2043">
        <v>35328</v>
      </c>
      <c r="J2043">
        <v>36754</v>
      </c>
    </row>
    <row r="2044" spans="1:10" x14ac:dyDescent="0.3">
      <c r="A2044" t="s">
        <v>2171</v>
      </c>
      <c r="B2044" s="1">
        <v>45938</v>
      </c>
      <c r="C2044" t="s">
        <v>66</v>
      </c>
      <c r="D2044">
        <v>41</v>
      </c>
      <c r="E2044" t="s">
        <v>12</v>
      </c>
      <c r="F2044" t="s">
        <v>25</v>
      </c>
      <c r="G2044" t="s">
        <v>72</v>
      </c>
      <c r="H2044" t="s">
        <v>41</v>
      </c>
      <c r="I2044">
        <v>22656</v>
      </c>
      <c r="J2044">
        <v>20865</v>
      </c>
    </row>
    <row r="2045" spans="1:10" x14ac:dyDescent="0.3">
      <c r="A2045" t="s">
        <v>2172</v>
      </c>
      <c r="B2045" s="1">
        <v>45718</v>
      </c>
      <c r="C2045" t="s">
        <v>95</v>
      </c>
      <c r="D2045">
        <v>9</v>
      </c>
      <c r="E2045" t="s">
        <v>18</v>
      </c>
      <c r="F2045" t="s">
        <v>62</v>
      </c>
      <c r="G2045" t="s">
        <v>35</v>
      </c>
      <c r="H2045" t="s">
        <v>111</v>
      </c>
      <c r="I2045">
        <v>18680</v>
      </c>
      <c r="J2045">
        <v>13279</v>
      </c>
    </row>
    <row r="2046" spans="1:10" x14ac:dyDescent="0.3">
      <c r="A2046" t="s">
        <v>2173</v>
      </c>
      <c r="B2046" s="1">
        <v>45704</v>
      </c>
      <c r="C2046" t="s">
        <v>82</v>
      </c>
      <c r="D2046">
        <v>7</v>
      </c>
      <c r="E2046" t="s">
        <v>33</v>
      </c>
      <c r="F2046" t="s">
        <v>140</v>
      </c>
      <c r="G2046" t="s">
        <v>224</v>
      </c>
      <c r="H2046" t="s">
        <v>123</v>
      </c>
      <c r="I2046">
        <v>16990</v>
      </c>
      <c r="J2046">
        <v>20521</v>
      </c>
    </row>
    <row r="2047" spans="1:10" x14ac:dyDescent="0.3">
      <c r="A2047" t="s">
        <v>2174</v>
      </c>
      <c r="B2047" s="1">
        <v>45773</v>
      </c>
      <c r="C2047" t="s">
        <v>86</v>
      </c>
      <c r="D2047">
        <v>17</v>
      </c>
      <c r="E2047" t="s">
        <v>12</v>
      </c>
      <c r="F2047" t="s">
        <v>46</v>
      </c>
      <c r="G2047" t="s">
        <v>324</v>
      </c>
      <c r="H2047" t="s">
        <v>27</v>
      </c>
      <c r="I2047">
        <v>30349</v>
      </c>
      <c r="J2047">
        <v>34116</v>
      </c>
    </row>
    <row r="2048" spans="1:10" x14ac:dyDescent="0.3">
      <c r="A2048" t="s">
        <v>2175</v>
      </c>
      <c r="B2048" s="1">
        <v>45819</v>
      </c>
      <c r="C2048" t="s">
        <v>74</v>
      </c>
      <c r="D2048">
        <v>24</v>
      </c>
      <c r="E2048" t="s">
        <v>33</v>
      </c>
      <c r="F2048" t="s">
        <v>19</v>
      </c>
      <c r="G2048" t="s">
        <v>234</v>
      </c>
      <c r="H2048" t="s">
        <v>15</v>
      </c>
      <c r="I2048">
        <v>36522</v>
      </c>
      <c r="J2048">
        <v>31727</v>
      </c>
    </row>
    <row r="2049" spans="1:10" x14ac:dyDescent="0.3">
      <c r="A2049" t="s">
        <v>2176</v>
      </c>
      <c r="B2049" s="1">
        <v>45798</v>
      </c>
      <c r="C2049" t="s">
        <v>90</v>
      </c>
      <c r="D2049">
        <v>21</v>
      </c>
      <c r="E2049" t="s">
        <v>18</v>
      </c>
      <c r="F2049" t="s">
        <v>122</v>
      </c>
      <c r="G2049" t="s">
        <v>67</v>
      </c>
      <c r="H2049" t="s">
        <v>151</v>
      </c>
      <c r="I2049">
        <v>25784</v>
      </c>
      <c r="J2049">
        <v>28476</v>
      </c>
    </row>
    <row r="2050" spans="1:10" x14ac:dyDescent="0.3">
      <c r="A2050" t="s">
        <v>2177</v>
      </c>
      <c r="B2050" s="1">
        <v>45821</v>
      </c>
      <c r="C2050" t="s">
        <v>74</v>
      </c>
      <c r="D2050">
        <v>24</v>
      </c>
      <c r="E2050" t="s">
        <v>33</v>
      </c>
      <c r="F2050" t="s">
        <v>50</v>
      </c>
      <c r="G2050" t="s">
        <v>93</v>
      </c>
      <c r="H2050" t="s">
        <v>59</v>
      </c>
      <c r="I2050">
        <v>16607</v>
      </c>
      <c r="J2050">
        <v>15634</v>
      </c>
    </row>
    <row r="2051" spans="1:10" x14ac:dyDescent="0.3">
      <c r="A2051" t="s">
        <v>2178</v>
      </c>
      <c r="B2051" s="1">
        <v>45955</v>
      </c>
      <c r="C2051" t="s">
        <v>66</v>
      </c>
      <c r="D2051">
        <v>43</v>
      </c>
      <c r="E2051" t="s">
        <v>18</v>
      </c>
      <c r="F2051" t="s">
        <v>114</v>
      </c>
      <c r="G2051" t="s">
        <v>171</v>
      </c>
      <c r="H2051" t="s">
        <v>27</v>
      </c>
      <c r="I2051">
        <v>22922</v>
      </c>
      <c r="J2051">
        <v>28386</v>
      </c>
    </row>
    <row r="2052" spans="1:10" x14ac:dyDescent="0.3">
      <c r="A2052" t="s">
        <v>2179</v>
      </c>
      <c r="B2052" s="1">
        <v>45805</v>
      </c>
      <c r="C2052" t="s">
        <v>90</v>
      </c>
      <c r="D2052">
        <v>22</v>
      </c>
      <c r="E2052" t="s">
        <v>33</v>
      </c>
      <c r="F2052" t="s">
        <v>78</v>
      </c>
      <c r="G2052" t="s">
        <v>149</v>
      </c>
      <c r="H2052" t="s">
        <v>27</v>
      </c>
      <c r="I2052">
        <v>18925</v>
      </c>
      <c r="J2052">
        <v>24323</v>
      </c>
    </row>
    <row r="2053" spans="1:10" x14ac:dyDescent="0.3">
      <c r="A2053" t="s">
        <v>2180</v>
      </c>
      <c r="B2053" s="1">
        <v>45710</v>
      </c>
      <c r="C2053" t="s">
        <v>82</v>
      </c>
      <c r="D2053">
        <v>8</v>
      </c>
      <c r="E2053" t="s">
        <v>33</v>
      </c>
      <c r="F2053" t="s">
        <v>62</v>
      </c>
      <c r="G2053" t="s">
        <v>130</v>
      </c>
      <c r="H2053" t="s">
        <v>15</v>
      </c>
      <c r="I2053">
        <v>29569</v>
      </c>
      <c r="J2053">
        <v>30452</v>
      </c>
    </row>
    <row r="2054" spans="1:10" x14ac:dyDescent="0.3">
      <c r="A2054" t="s">
        <v>2181</v>
      </c>
      <c r="B2054" s="1">
        <v>45922</v>
      </c>
      <c r="C2054" t="s">
        <v>38</v>
      </c>
      <c r="D2054">
        <v>39</v>
      </c>
      <c r="E2054" t="s">
        <v>70</v>
      </c>
      <c r="F2054" t="s">
        <v>46</v>
      </c>
      <c r="G2054" t="s">
        <v>83</v>
      </c>
      <c r="H2054" t="s">
        <v>36</v>
      </c>
      <c r="I2054">
        <v>32366</v>
      </c>
      <c r="J2054">
        <v>31368</v>
      </c>
    </row>
    <row r="2055" spans="1:10" x14ac:dyDescent="0.3">
      <c r="A2055" t="s">
        <v>2182</v>
      </c>
      <c r="B2055" s="1">
        <v>45759</v>
      </c>
      <c r="C2055" t="s">
        <v>86</v>
      </c>
      <c r="D2055">
        <v>15</v>
      </c>
      <c r="E2055" t="s">
        <v>70</v>
      </c>
      <c r="F2055" t="s">
        <v>29</v>
      </c>
      <c r="G2055" t="s">
        <v>135</v>
      </c>
      <c r="H2055" t="s">
        <v>64</v>
      </c>
      <c r="I2055">
        <v>18421</v>
      </c>
      <c r="J2055">
        <v>19200</v>
      </c>
    </row>
    <row r="2056" spans="1:10" x14ac:dyDescent="0.3">
      <c r="A2056" t="s">
        <v>2183</v>
      </c>
      <c r="B2056" s="1">
        <v>45809</v>
      </c>
      <c r="C2056" t="s">
        <v>74</v>
      </c>
      <c r="D2056">
        <v>22</v>
      </c>
      <c r="E2056" t="s">
        <v>70</v>
      </c>
      <c r="F2056" t="s">
        <v>75</v>
      </c>
      <c r="G2056" t="s">
        <v>171</v>
      </c>
      <c r="H2056" t="s">
        <v>243</v>
      </c>
      <c r="I2056">
        <v>32348</v>
      </c>
      <c r="J2056">
        <v>26380</v>
      </c>
    </row>
    <row r="2057" spans="1:10" x14ac:dyDescent="0.3">
      <c r="A2057" t="s">
        <v>2184</v>
      </c>
      <c r="B2057" s="1">
        <v>45941</v>
      </c>
      <c r="C2057" t="s">
        <v>66</v>
      </c>
      <c r="D2057">
        <v>41</v>
      </c>
      <c r="E2057" t="s">
        <v>39</v>
      </c>
      <c r="F2057" t="s">
        <v>78</v>
      </c>
      <c r="G2057" t="s">
        <v>171</v>
      </c>
      <c r="H2057" t="s">
        <v>157</v>
      </c>
      <c r="I2057">
        <v>26535</v>
      </c>
      <c r="J2057">
        <v>21295</v>
      </c>
    </row>
    <row r="2058" spans="1:10" x14ac:dyDescent="0.3">
      <c r="A2058" t="s">
        <v>2185</v>
      </c>
      <c r="B2058" s="1">
        <v>45845</v>
      </c>
      <c r="C2058" t="s">
        <v>11</v>
      </c>
      <c r="D2058">
        <v>28</v>
      </c>
      <c r="E2058" t="s">
        <v>39</v>
      </c>
      <c r="F2058" t="s">
        <v>193</v>
      </c>
      <c r="G2058" t="s">
        <v>182</v>
      </c>
      <c r="H2058" t="s">
        <v>96</v>
      </c>
      <c r="I2058">
        <v>30379</v>
      </c>
      <c r="J2058">
        <v>32245</v>
      </c>
    </row>
    <row r="2059" spans="1:10" x14ac:dyDescent="0.3">
      <c r="A2059" t="s">
        <v>2186</v>
      </c>
      <c r="B2059" s="1">
        <v>45913</v>
      </c>
      <c r="C2059" t="s">
        <v>38</v>
      </c>
      <c r="D2059">
        <v>37</v>
      </c>
      <c r="E2059" t="s">
        <v>12</v>
      </c>
      <c r="F2059" t="s">
        <v>25</v>
      </c>
      <c r="G2059" t="s">
        <v>88</v>
      </c>
      <c r="H2059" t="s">
        <v>133</v>
      </c>
      <c r="I2059">
        <v>29391</v>
      </c>
      <c r="J2059">
        <v>35024</v>
      </c>
    </row>
    <row r="2060" spans="1:10" x14ac:dyDescent="0.3">
      <c r="A2060" t="s">
        <v>2187</v>
      </c>
      <c r="B2060" s="1">
        <v>45948</v>
      </c>
      <c r="C2060" t="s">
        <v>66</v>
      </c>
      <c r="D2060">
        <v>42</v>
      </c>
      <c r="E2060" t="s">
        <v>24</v>
      </c>
      <c r="F2060" t="s">
        <v>140</v>
      </c>
      <c r="G2060" t="s">
        <v>135</v>
      </c>
      <c r="H2060" t="s">
        <v>68</v>
      </c>
      <c r="I2060">
        <v>21131</v>
      </c>
      <c r="J2060">
        <v>25145</v>
      </c>
    </row>
    <row r="2061" spans="1:10" x14ac:dyDescent="0.3">
      <c r="A2061" t="s">
        <v>2188</v>
      </c>
      <c r="B2061" s="1">
        <v>45907</v>
      </c>
      <c r="C2061" t="s">
        <v>38</v>
      </c>
      <c r="D2061">
        <v>36</v>
      </c>
      <c r="E2061" t="s">
        <v>61</v>
      </c>
      <c r="F2061" t="s">
        <v>13</v>
      </c>
      <c r="G2061" t="s">
        <v>199</v>
      </c>
      <c r="H2061" t="s">
        <v>98</v>
      </c>
      <c r="I2061">
        <v>32263</v>
      </c>
      <c r="J2061">
        <v>27288</v>
      </c>
    </row>
    <row r="2062" spans="1:10" x14ac:dyDescent="0.3">
      <c r="A2062" t="s">
        <v>2189</v>
      </c>
      <c r="B2062" s="1">
        <v>45926</v>
      </c>
      <c r="C2062" t="s">
        <v>38</v>
      </c>
      <c r="D2062">
        <v>39</v>
      </c>
      <c r="E2062" t="s">
        <v>12</v>
      </c>
      <c r="F2062" t="s">
        <v>50</v>
      </c>
      <c r="G2062" t="s">
        <v>130</v>
      </c>
      <c r="H2062" t="s">
        <v>151</v>
      </c>
      <c r="I2062">
        <v>26621</v>
      </c>
      <c r="J2062">
        <v>29734</v>
      </c>
    </row>
    <row r="2063" spans="1:10" x14ac:dyDescent="0.3">
      <c r="A2063" t="s">
        <v>2190</v>
      </c>
      <c r="B2063" s="1">
        <v>45885</v>
      </c>
      <c r="C2063" t="s">
        <v>113</v>
      </c>
      <c r="D2063">
        <v>33</v>
      </c>
      <c r="E2063" t="s">
        <v>12</v>
      </c>
      <c r="F2063" t="s">
        <v>109</v>
      </c>
      <c r="G2063" t="s">
        <v>118</v>
      </c>
      <c r="H2063" t="s">
        <v>123</v>
      </c>
      <c r="I2063">
        <v>23407</v>
      </c>
      <c r="J2063">
        <v>18615</v>
      </c>
    </row>
    <row r="2064" spans="1:10" x14ac:dyDescent="0.3">
      <c r="A2064" t="s">
        <v>2191</v>
      </c>
      <c r="B2064" s="1">
        <v>45710</v>
      </c>
      <c r="C2064" t="s">
        <v>82</v>
      </c>
      <c r="D2064">
        <v>8</v>
      </c>
      <c r="E2064" t="s">
        <v>24</v>
      </c>
      <c r="F2064" t="s">
        <v>62</v>
      </c>
      <c r="G2064" t="s">
        <v>224</v>
      </c>
      <c r="H2064" t="s">
        <v>111</v>
      </c>
      <c r="I2064">
        <v>27817</v>
      </c>
      <c r="J2064">
        <v>29121</v>
      </c>
    </row>
    <row r="2065" spans="1:10" x14ac:dyDescent="0.3">
      <c r="A2065" t="s">
        <v>2192</v>
      </c>
      <c r="B2065" s="1">
        <v>45880</v>
      </c>
      <c r="C2065" t="s">
        <v>113</v>
      </c>
      <c r="D2065">
        <v>33</v>
      </c>
      <c r="E2065" t="s">
        <v>18</v>
      </c>
      <c r="F2065" t="s">
        <v>193</v>
      </c>
      <c r="G2065" t="s">
        <v>26</v>
      </c>
      <c r="H2065" t="s">
        <v>36</v>
      </c>
      <c r="I2065">
        <v>33712</v>
      </c>
      <c r="J2065">
        <v>43356</v>
      </c>
    </row>
    <row r="2066" spans="1:10" x14ac:dyDescent="0.3">
      <c r="A2066" t="s">
        <v>2193</v>
      </c>
      <c r="B2066" s="1">
        <v>45898</v>
      </c>
      <c r="C2066" t="s">
        <v>113</v>
      </c>
      <c r="D2066">
        <v>35</v>
      </c>
      <c r="E2066" t="s">
        <v>39</v>
      </c>
      <c r="F2066" t="s">
        <v>92</v>
      </c>
      <c r="G2066" t="s">
        <v>135</v>
      </c>
      <c r="H2066" t="s">
        <v>111</v>
      </c>
      <c r="I2066">
        <v>18649</v>
      </c>
      <c r="J2066">
        <v>20295</v>
      </c>
    </row>
    <row r="2067" spans="1:10" x14ac:dyDescent="0.3">
      <c r="A2067" t="s">
        <v>2194</v>
      </c>
      <c r="B2067" s="1">
        <v>45960</v>
      </c>
      <c r="C2067" t="s">
        <v>66</v>
      </c>
      <c r="D2067">
        <v>44</v>
      </c>
      <c r="E2067" t="s">
        <v>12</v>
      </c>
      <c r="F2067" t="s">
        <v>57</v>
      </c>
      <c r="G2067" t="s">
        <v>201</v>
      </c>
      <c r="H2067" t="s">
        <v>59</v>
      </c>
      <c r="I2067">
        <v>15534</v>
      </c>
      <c r="J2067">
        <v>14810</v>
      </c>
    </row>
    <row r="2068" spans="1:10" x14ac:dyDescent="0.3">
      <c r="A2068" t="s">
        <v>2195</v>
      </c>
      <c r="B2068" s="1">
        <v>45946</v>
      </c>
      <c r="C2068" t="s">
        <v>66</v>
      </c>
      <c r="D2068">
        <v>42</v>
      </c>
      <c r="E2068" t="s">
        <v>18</v>
      </c>
      <c r="F2068" t="s">
        <v>75</v>
      </c>
      <c r="G2068" t="s">
        <v>324</v>
      </c>
      <c r="H2068" t="s">
        <v>68</v>
      </c>
      <c r="I2068">
        <v>30237</v>
      </c>
      <c r="J2068">
        <v>25258</v>
      </c>
    </row>
    <row r="2069" spans="1:10" x14ac:dyDescent="0.3">
      <c r="A2069" t="s">
        <v>2196</v>
      </c>
      <c r="B2069" s="1">
        <v>45981</v>
      </c>
      <c r="C2069" t="s">
        <v>23</v>
      </c>
      <c r="D2069">
        <v>47</v>
      </c>
      <c r="E2069" t="s">
        <v>39</v>
      </c>
      <c r="F2069" t="s">
        <v>57</v>
      </c>
      <c r="G2069" t="s">
        <v>26</v>
      </c>
      <c r="H2069" t="s">
        <v>48</v>
      </c>
      <c r="I2069">
        <v>35903</v>
      </c>
      <c r="J2069">
        <v>31805</v>
      </c>
    </row>
    <row r="2070" spans="1:10" x14ac:dyDescent="0.3">
      <c r="A2070" t="s">
        <v>2197</v>
      </c>
      <c r="B2070" s="1">
        <v>45684</v>
      </c>
      <c r="C2070" t="s">
        <v>17</v>
      </c>
      <c r="D2070">
        <v>5</v>
      </c>
      <c r="E2070" t="s">
        <v>18</v>
      </c>
      <c r="F2070" t="s">
        <v>29</v>
      </c>
      <c r="G2070" t="s">
        <v>191</v>
      </c>
      <c r="H2070" t="s">
        <v>15</v>
      </c>
      <c r="I2070">
        <v>20576</v>
      </c>
      <c r="J2070">
        <v>26479</v>
      </c>
    </row>
    <row r="2071" spans="1:10" x14ac:dyDescent="0.3">
      <c r="A2071" t="s">
        <v>2198</v>
      </c>
      <c r="B2071" s="1">
        <v>45750</v>
      </c>
      <c r="C2071" t="s">
        <v>86</v>
      </c>
      <c r="D2071">
        <v>14</v>
      </c>
      <c r="E2071" t="s">
        <v>24</v>
      </c>
      <c r="F2071" t="s">
        <v>43</v>
      </c>
      <c r="G2071" t="s">
        <v>40</v>
      </c>
      <c r="H2071" t="s">
        <v>211</v>
      </c>
      <c r="I2071">
        <v>33247</v>
      </c>
      <c r="J2071">
        <v>24459</v>
      </c>
    </row>
    <row r="2072" spans="1:10" x14ac:dyDescent="0.3">
      <c r="A2072" t="s">
        <v>2199</v>
      </c>
      <c r="B2072" s="1">
        <v>45826</v>
      </c>
      <c r="C2072" t="s">
        <v>74</v>
      </c>
      <c r="D2072">
        <v>25</v>
      </c>
      <c r="E2072" t="s">
        <v>18</v>
      </c>
      <c r="F2072" t="s">
        <v>34</v>
      </c>
      <c r="G2072" t="s">
        <v>206</v>
      </c>
      <c r="H2072" t="s">
        <v>116</v>
      </c>
      <c r="I2072">
        <v>32885</v>
      </c>
      <c r="J2072">
        <v>39538</v>
      </c>
    </row>
    <row r="2073" spans="1:10" x14ac:dyDescent="0.3">
      <c r="A2073" t="s">
        <v>2200</v>
      </c>
      <c r="B2073" s="1">
        <v>45914</v>
      </c>
      <c r="C2073" t="s">
        <v>38</v>
      </c>
      <c r="D2073">
        <v>37</v>
      </c>
      <c r="E2073" t="s">
        <v>24</v>
      </c>
      <c r="F2073" t="s">
        <v>50</v>
      </c>
      <c r="G2073" t="s">
        <v>76</v>
      </c>
      <c r="H2073" t="s">
        <v>68</v>
      </c>
      <c r="I2073">
        <v>15920</v>
      </c>
      <c r="J2073">
        <v>15013</v>
      </c>
    </row>
    <row r="2074" spans="1:10" x14ac:dyDescent="0.3">
      <c r="A2074" t="s">
        <v>2201</v>
      </c>
      <c r="B2074" s="1">
        <v>45685</v>
      </c>
      <c r="C2074" t="s">
        <v>17</v>
      </c>
      <c r="D2074">
        <v>5</v>
      </c>
      <c r="E2074" t="s">
        <v>24</v>
      </c>
      <c r="F2074" t="s">
        <v>43</v>
      </c>
      <c r="G2074" t="s">
        <v>26</v>
      </c>
      <c r="H2074" t="s">
        <v>243</v>
      </c>
      <c r="I2074">
        <v>39275</v>
      </c>
      <c r="J2074">
        <v>42347</v>
      </c>
    </row>
    <row r="2075" spans="1:10" x14ac:dyDescent="0.3">
      <c r="A2075" t="s">
        <v>2202</v>
      </c>
      <c r="B2075" s="1">
        <v>45894</v>
      </c>
      <c r="C2075" t="s">
        <v>113</v>
      </c>
      <c r="D2075">
        <v>35</v>
      </c>
      <c r="E2075" t="s">
        <v>39</v>
      </c>
      <c r="F2075" t="s">
        <v>46</v>
      </c>
      <c r="G2075" t="s">
        <v>326</v>
      </c>
      <c r="H2075" t="s">
        <v>68</v>
      </c>
      <c r="I2075">
        <v>27594</v>
      </c>
      <c r="J2075">
        <v>19924</v>
      </c>
    </row>
    <row r="2076" spans="1:10" x14ac:dyDescent="0.3">
      <c r="A2076" t="s">
        <v>2203</v>
      </c>
      <c r="B2076" s="1">
        <v>45898</v>
      </c>
      <c r="C2076" t="s">
        <v>113</v>
      </c>
      <c r="D2076">
        <v>35</v>
      </c>
      <c r="E2076" t="s">
        <v>33</v>
      </c>
      <c r="F2076" t="s">
        <v>140</v>
      </c>
      <c r="G2076" t="s">
        <v>58</v>
      </c>
      <c r="H2076" t="s">
        <v>59</v>
      </c>
      <c r="I2076">
        <v>37603</v>
      </c>
      <c r="J2076">
        <v>34183</v>
      </c>
    </row>
    <row r="2077" spans="1:10" x14ac:dyDescent="0.3">
      <c r="A2077" t="s">
        <v>2204</v>
      </c>
      <c r="B2077" s="1">
        <v>45826</v>
      </c>
      <c r="C2077" t="s">
        <v>74</v>
      </c>
      <c r="D2077">
        <v>25</v>
      </c>
      <c r="E2077" t="s">
        <v>33</v>
      </c>
      <c r="F2077" t="s">
        <v>193</v>
      </c>
      <c r="G2077" t="s">
        <v>199</v>
      </c>
      <c r="H2077" t="s">
        <v>41</v>
      </c>
      <c r="I2077">
        <v>26072</v>
      </c>
      <c r="J2077">
        <v>22587</v>
      </c>
    </row>
    <row r="2078" spans="1:10" x14ac:dyDescent="0.3">
      <c r="A2078" t="s">
        <v>2205</v>
      </c>
      <c r="B2078" s="1">
        <v>45938</v>
      </c>
      <c r="C2078" t="s">
        <v>66</v>
      </c>
      <c r="D2078">
        <v>41</v>
      </c>
      <c r="E2078" t="s">
        <v>24</v>
      </c>
      <c r="F2078" t="s">
        <v>29</v>
      </c>
      <c r="G2078" t="s">
        <v>135</v>
      </c>
      <c r="H2078" t="s">
        <v>116</v>
      </c>
      <c r="I2078">
        <v>26042</v>
      </c>
      <c r="J2078">
        <v>28912</v>
      </c>
    </row>
    <row r="2079" spans="1:10" x14ac:dyDescent="0.3">
      <c r="A2079" t="s">
        <v>2206</v>
      </c>
      <c r="B2079" s="1">
        <v>45735</v>
      </c>
      <c r="C2079" t="s">
        <v>95</v>
      </c>
      <c r="D2079">
        <v>12</v>
      </c>
      <c r="E2079" t="s">
        <v>39</v>
      </c>
      <c r="F2079" t="s">
        <v>109</v>
      </c>
      <c r="G2079" t="s">
        <v>26</v>
      </c>
      <c r="H2079" t="s">
        <v>119</v>
      </c>
      <c r="I2079">
        <v>27807</v>
      </c>
      <c r="J2079">
        <v>28453</v>
      </c>
    </row>
    <row r="2080" spans="1:10" x14ac:dyDescent="0.3">
      <c r="A2080" t="s">
        <v>2207</v>
      </c>
      <c r="B2080" s="1">
        <v>45916</v>
      </c>
      <c r="C2080" t="s">
        <v>38</v>
      </c>
      <c r="D2080">
        <v>38</v>
      </c>
      <c r="E2080" t="s">
        <v>70</v>
      </c>
      <c r="F2080" t="s">
        <v>114</v>
      </c>
      <c r="G2080" t="s">
        <v>234</v>
      </c>
      <c r="H2080" t="s">
        <v>27</v>
      </c>
      <c r="I2080">
        <v>32684</v>
      </c>
      <c r="J2080">
        <v>26568</v>
      </c>
    </row>
    <row r="2081" spans="1:10" x14ac:dyDescent="0.3">
      <c r="A2081" t="s">
        <v>2208</v>
      </c>
      <c r="B2081" s="1">
        <v>45814</v>
      </c>
      <c r="C2081" t="s">
        <v>74</v>
      </c>
      <c r="D2081">
        <v>23</v>
      </c>
      <c r="E2081" t="s">
        <v>61</v>
      </c>
      <c r="F2081" t="s">
        <v>19</v>
      </c>
      <c r="G2081" t="s">
        <v>14</v>
      </c>
      <c r="H2081" t="s">
        <v>188</v>
      </c>
      <c r="I2081">
        <v>31880</v>
      </c>
      <c r="J2081">
        <v>34401</v>
      </c>
    </row>
    <row r="2082" spans="1:10" x14ac:dyDescent="0.3">
      <c r="A2082" t="s">
        <v>2209</v>
      </c>
      <c r="B2082" s="1">
        <v>45975</v>
      </c>
      <c r="C2082" t="s">
        <v>23</v>
      </c>
      <c r="D2082">
        <v>46</v>
      </c>
      <c r="E2082" t="s">
        <v>18</v>
      </c>
      <c r="F2082" t="s">
        <v>193</v>
      </c>
      <c r="G2082" t="s">
        <v>291</v>
      </c>
      <c r="H2082" t="s">
        <v>123</v>
      </c>
      <c r="I2082">
        <v>27106</v>
      </c>
      <c r="J2082">
        <v>28235</v>
      </c>
    </row>
    <row r="2083" spans="1:10" x14ac:dyDescent="0.3">
      <c r="A2083" t="s">
        <v>2210</v>
      </c>
      <c r="B2083" s="1">
        <v>45686</v>
      </c>
      <c r="C2083" t="s">
        <v>17</v>
      </c>
      <c r="D2083">
        <v>5</v>
      </c>
      <c r="E2083" t="s">
        <v>18</v>
      </c>
      <c r="F2083" t="s">
        <v>25</v>
      </c>
      <c r="G2083" t="s">
        <v>35</v>
      </c>
      <c r="H2083" t="s">
        <v>31</v>
      </c>
      <c r="I2083">
        <v>37834</v>
      </c>
      <c r="J2083">
        <v>48934</v>
      </c>
    </row>
    <row r="2084" spans="1:10" x14ac:dyDescent="0.3">
      <c r="A2084" t="s">
        <v>2211</v>
      </c>
      <c r="B2084" s="1">
        <v>45680</v>
      </c>
      <c r="C2084" t="s">
        <v>17</v>
      </c>
      <c r="D2084">
        <v>4</v>
      </c>
      <c r="E2084" t="s">
        <v>61</v>
      </c>
      <c r="F2084" t="s">
        <v>78</v>
      </c>
      <c r="G2084" t="s">
        <v>54</v>
      </c>
      <c r="H2084" t="s">
        <v>103</v>
      </c>
      <c r="I2084">
        <v>17794</v>
      </c>
      <c r="J2084">
        <v>16912</v>
      </c>
    </row>
    <row r="2085" spans="1:10" x14ac:dyDescent="0.3">
      <c r="A2085" t="s">
        <v>2212</v>
      </c>
      <c r="B2085" s="1">
        <v>45959</v>
      </c>
      <c r="C2085" t="s">
        <v>66</v>
      </c>
      <c r="D2085">
        <v>44</v>
      </c>
      <c r="E2085" t="s">
        <v>12</v>
      </c>
      <c r="F2085" t="s">
        <v>122</v>
      </c>
      <c r="G2085" t="s">
        <v>132</v>
      </c>
      <c r="H2085" t="s">
        <v>103</v>
      </c>
      <c r="I2085">
        <v>27652</v>
      </c>
      <c r="J2085">
        <v>22787</v>
      </c>
    </row>
    <row r="2086" spans="1:10" x14ac:dyDescent="0.3">
      <c r="A2086" t="s">
        <v>2213</v>
      </c>
      <c r="B2086" s="1">
        <v>46010</v>
      </c>
      <c r="C2086" t="s">
        <v>100</v>
      </c>
      <c r="D2086">
        <v>51</v>
      </c>
      <c r="E2086" t="s">
        <v>61</v>
      </c>
      <c r="F2086" t="s">
        <v>75</v>
      </c>
      <c r="G2086" t="s">
        <v>72</v>
      </c>
      <c r="H2086" t="s">
        <v>15</v>
      </c>
      <c r="I2086">
        <v>30933</v>
      </c>
      <c r="J2086">
        <v>33436</v>
      </c>
    </row>
    <row r="2087" spans="1:10" x14ac:dyDescent="0.3">
      <c r="A2087" t="s">
        <v>2214</v>
      </c>
      <c r="B2087" s="1">
        <v>45858</v>
      </c>
      <c r="C2087" t="s">
        <v>11</v>
      </c>
      <c r="D2087">
        <v>29</v>
      </c>
      <c r="E2087" t="s">
        <v>33</v>
      </c>
      <c r="F2087" t="s">
        <v>43</v>
      </c>
      <c r="G2087" t="s">
        <v>160</v>
      </c>
      <c r="H2087" t="s">
        <v>111</v>
      </c>
      <c r="I2087">
        <v>31122</v>
      </c>
      <c r="J2087">
        <v>38134</v>
      </c>
    </row>
    <row r="2088" spans="1:10" x14ac:dyDescent="0.3">
      <c r="A2088" t="s">
        <v>2215</v>
      </c>
      <c r="B2088" s="1">
        <v>45909</v>
      </c>
      <c r="C2088" t="s">
        <v>38</v>
      </c>
      <c r="D2088">
        <v>37</v>
      </c>
      <c r="E2088" t="s">
        <v>18</v>
      </c>
      <c r="F2088" t="s">
        <v>46</v>
      </c>
      <c r="G2088" t="s">
        <v>115</v>
      </c>
      <c r="H2088" t="s">
        <v>27</v>
      </c>
      <c r="I2088">
        <v>17239</v>
      </c>
      <c r="J2088">
        <v>19838</v>
      </c>
    </row>
    <row r="2089" spans="1:10" x14ac:dyDescent="0.3">
      <c r="A2089" t="s">
        <v>2216</v>
      </c>
      <c r="B2089" s="1">
        <v>45932</v>
      </c>
      <c r="C2089" t="s">
        <v>66</v>
      </c>
      <c r="D2089">
        <v>40</v>
      </c>
      <c r="E2089" t="s">
        <v>33</v>
      </c>
      <c r="F2089" t="s">
        <v>114</v>
      </c>
      <c r="G2089" t="s">
        <v>83</v>
      </c>
      <c r="H2089" t="s">
        <v>123</v>
      </c>
      <c r="I2089">
        <v>19426</v>
      </c>
      <c r="J2089">
        <v>16501</v>
      </c>
    </row>
    <row r="2090" spans="1:10" x14ac:dyDescent="0.3">
      <c r="A2090" t="s">
        <v>2217</v>
      </c>
      <c r="B2090" s="1">
        <v>45703</v>
      </c>
      <c r="C2090" t="s">
        <v>82</v>
      </c>
      <c r="D2090">
        <v>7</v>
      </c>
      <c r="E2090" t="s">
        <v>61</v>
      </c>
      <c r="F2090" t="s">
        <v>193</v>
      </c>
      <c r="G2090" t="s">
        <v>58</v>
      </c>
      <c r="H2090" t="s">
        <v>133</v>
      </c>
      <c r="I2090">
        <v>15541</v>
      </c>
      <c r="J2090">
        <v>13494</v>
      </c>
    </row>
    <row r="2091" spans="1:10" x14ac:dyDescent="0.3">
      <c r="A2091" t="s">
        <v>2218</v>
      </c>
      <c r="B2091" s="1">
        <v>45867</v>
      </c>
      <c r="C2091" t="s">
        <v>11</v>
      </c>
      <c r="D2091">
        <v>31</v>
      </c>
      <c r="E2091" t="s">
        <v>18</v>
      </c>
      <c r="F2091" t="s">
        <v>62</v>
      </c>
      <c r="G2091" t="s">
        <v>93</v>
      </c>
      <c r="H2091" t="s">
        <v>31</v>
      </c>
      <c r="I2091">
        <v>15470</v>
      </c>
      <c r="J2091">
        <v>19343</v>
      </c>
    </row>
    <row r="2092" spans="1:10" x14ac:dyDescent="0.3">
      <c r="A2092" t="s">
        <v>2219</v>
      </c>
      <c r="B2092" s="1">
        <v>45832</v>
      </c>
      <c r="C2092" t="s">
        <v>74</v>
      </c>
      <c r="D2092">
        <v>26</v>
      </c>
      <c r="E2092" t="s">
        <v>24</v>
      </c>
      <c r="F2092" t="s">
        <v>62</v>
      </c>
      <c r="G2092" t="s">
        <v>35</v>
      </c>
      <c r="H2092" t="s">
        <v>119</v>
      </c>
      <c r="I2092">
        <v>18227</v>
      </c>
      <c r="J2092">
        <v>20552</v>
      </c>
    </row>
    <row r="2093" spans="1:10" x14ac:dyDescent="0.3">
      <c r="A2093" t="s">
        <v>2220</v>
      </c>
      <c r="B2093" s="1">
        <v>45816</v>
      </c>
      <c r="C2093" t="s">
        <v>74</v>
      </c>
      <c r="D2093">
        <v>23</v>
      </c>
      <c r="E2093" t="s">
        <v>12</v>
      </c>
      <c r="F2093" t="s">
        <v>87</v>
      </c>
      <c r="G2093" t="s">
        <v>115</v>
      </c>
      <c r="H2093" t="s">
        <v>98</v>
      </c>
      <c r="I2093">
        <v>33561</v>
      </c>
      <c r="J2093">
        <v>38124</v>
      </c>
    </row>
    <row r="2094" spans="1:10" x14ac:dyDescent="0.3">
      <c r="A2094" t="s">
        <v>2221</v>
      </c>
      <c r="B2094" s="1">
        <v>45908</v>
      </c>
      <c r="C2094" t="s">
        <v>38</v>
      </c>
      <c r="D2094">
        <v>37</v>
      </c>
      <c r="E2094" t="s">
        <v>39</v>
      </c>
      <c r="F2094" t="s">
        <v>57</v>
      </c>
      <c r="G2094" t="s">
        <v>126</v>
      </c>
      <c r="H2094" t="s">
        <v>188</v>
      </c>
      <c r="I2094">
        <v>25688</v>
      </c>
      <c r="J2094">
        <v>30386</v>
      </c>
    </row>
    <row r="2095" spans="1:10" x14ac:dyDescent="0.3">
      <c r="A2095" t="s">
        <v>2222</v>
      </c>
      <c r="B2095" s="1">
        <v>45720</v>
      </c>
      <c r="C2095" t="s">
        <v>95</v>
      </c>
      <c r="D2095">
        <v>10</v>
      </c>
      <c r="E2095" t="s">
        <v>39</v>
      </c>
      <c r="F2095" t="s">
        <v>140</v>
      </c>
      <c r="G2095" t="s">
        <v>145</v>
      </c>
      <c r="H2095" t="s">
        <v>21</v>
      </c>
      <c r="I2095">
        <v>28870</v>
      </c>
      <c r="J2095">
        <v>23984</v>
      </c>
    </row>
    <row r="2096" spans="1:10" x14ac:dyDescent="0.3">
      <c r="A2096" t="s">
        <v>2223</v>
      </c>
      <c r="B2096" s="1">
        <v>45795</v>
      </c>
      <c r="C2096" t="s">
        <v>90</v>
      </c>
      <c r="D2096">
        <v>20</v>
      </c>
      <c r="E2096" t="s">
        <v>18</v>
      </c>
      <c r="F2096" t="s">
        <v>50</v>
      </c>
      <c r="G2096" t="s">
        <v>128</v>
      </c>
      <c r="H2096" t="s">
        <v>55</v>
      </c>
      <c r="I2096">
        <v>20369</v>
      </c>
      <c r="J2096">
        <v>25694</v>
      </c>
    </row>
    <row r="2097" spans="1:10" x14ac:dyDescent="0.3">
      <c r="A2097" t="s">
        <v>2224</v>
      </c>
      <c r="B2097" s="1">
        <v>45895</v>
      </c>
      <c r="C2097" t="s">
        <v>113</v>
      </c>
      <c r="D2097">
        <v>35</v>
      </c>
      <c r="E2097" t="s">
        <v>39</v>
      </c>
      <c r="F2097" t="s">
        <v>109</v>
      </c>
      <c r="G2097" t="s">
        <v>147</v>
      </c>
      <c r="H2097" t="s">
        <v>133</v>
      </c>
      <c r="I2097">
        <v>23756</v>
      </c>
      <c r="J2097">
        <v>21272</v>
      </c>
    </row>
    <row r="2098" spans="1:10" x14ac:dyDescent="0.3">
      <c r="A2098" t="s">
        <v>2225</v>
      </c>
      <c r="B2098" s="1">
        <v>45908</v>
      </c>
      <c r="C2098" t="s">
        <v>38</v>
      </c>
      <c r="D2098">
        <v>37</v>
      </c>
      <c r="E2098" t="s">
        <v>18</v>
      </c>
      <c r="F2098" t="s">
        <v>122</v>
      </c>
      <c r="G2098" t="s">
        <v>14</v>
      </c>
      <c r="H2098" t="s">
        <v>21</v>
      </c>
      <c r="I2098">
        <v>29346</v>
      </c>
      <c r="J2098">
        <v>28978</v>
      </c>
    </row>
    <row r="2099" spans="1:10" x14ac:dyDescent="0.3">
      <c r="A2099" t="s">
        <v>2226</v>
      </c>
      <c r="B2099" s="1">
        <v>45979</v>
      </c>
      <c r="C2099" t="s">
        <v>23</v>
      </c>
      <c r="D2099">
        <v>47</v>
      </c>
      <c r="E2099" t="s">
        <v>33</v>
      </c>
      <c r="F2099" t="s">
        <v>122</v>
      </c>
      <c r="G2099" t="s">
        <v>47</v>
      </c>
      <c r="H2099" t="s">
        <v>123</v>
      </c>
      <c r="I2099">
        <v>33484</v>
      </c>
      <c r="J2099">
        <v>35458</v>
      </c>
    </row>
    <row r="2100" spans="1:10" x14ac:dyDescent="0.3">
      <c r="A2100" t="s">
        <v>2227</v>
      </c>
      <c r="B2100" s="1">
        <v>45955</v>
      </c>
      <c r="C2100" t="s">
        <v>66</v>
      </c>
      <c r="D2100">
        <v>43</v>
      </c>
      <c r="E2100" t="s">
        <v>24</v>
      </c>
      <c r="F2100" t="s">
        <v>109</v>
      </c>
      <c r="G2100" t="s">
        <v>141</v>
      </c>
      <c r="H2100" t="s">
        <v>84</v>
      </c>
      <c r="I2100">
        <v>30674</v>
      </c>
      <c r="J2100">
        <v>29475</v>
      </c>
    </row>
    <row r="2101" spans="1:10" x14ac:dyDescent="0.3">
      <c r="A2101" t="s">
        <v>2228</v>
      </c>
      <c r="B2101" s="1">
        <v>45943</v>
      </c>
      <c r="C2101" t="s">
        <v>66</v>
      </c>
      <c r="D2101">
        <v>42</v>
      </c>
      <c r="E2101" t="s">
        <v>18</v>
      </c>
      <c r="F2101" t="s">
        <v>75</v>
      </c>
      <c r="G2101" t="s">
        <v>191</v>
      </c>
      <c r="H2101" t="s">
        <v>80</v>
      </c>
      <c r="I2101">
        <v>31917</v>
      </c>
      <c r="J2101">
        <v>34788</v>
      </c>
    </row>
    <row r="2102" spans="1:10" x14ac:dyDescent="0.3">
      <c r="A2102" t="s">
        <v>2229</v>
      </c>
      <c r="B2102" s="1">
        <v>45960</v>
      </c>
      <c r="C2102" t="s">
        <v>66</v>
      </c>
      <c r="D2102">
        <v>44</v>
      </c>
      <c r="E2102" t="s">
        <v>61</v>
      </c>
      <c r="F2102" t="s">
        <v>13</v>
      </c>
      <c r="G2102" t="s">
        <v>35</v>
      </c>
      <c r="H2102" t="s">
        <v>52</v>
      </c>
      <c r="I2102">
        <v>15527</v>
      </c>
      <c r="J2102">
        <v>11411</v>
      </c>
    </row>
    <row r="2103" spans="1:10" x14ac:dyDescent="0.3">
      <c r="A2103" t="s">
        <v>2230</v>
      </c>
      <c r="B2103" s="1">
        <v>45925</v>
      </c>
      <c r="C2103" t="s">
        <v>38</v>
      </c>
      <c r="D2103">
        <v>39</v>
      </c>
      <c r="E2103" t="s">
        <v>61</v>
      </c>
      <c r="F2103" t="s">
        <v>34</v>
      </c>
      <c r="G2103" t="s">
        <v>141</v>
      </c>
      <c r="H2103" t="s">
        <v>15</v>
      </c>
      <c r="I2103">
        <v>29515</v>
      </c>
      <c r="J2103">
        <v>28701</v>
      </c>
    </row>
    <row r="2104" spans="1:10" x14ac:dyDescent="0.3">
      <c r="A2104" t="s">
        <v>2231</v>
      </c>
      <c r="B2104" s="1">
        <v>45951</v>
      </c>
      <c r="C2104" t="s">
        <v>66</v>
      </c>
      <c r="D2104">
        <v>43</v>
      </c>
      <c r="E2104" t="s">
        <v>18</v>
      </c>
      <c r="F2104" t="s">
        <v>29</v>
      </c>
      <c r="G2104" t="s">
        <v>291</v>
      </c>
      <c r="H2104" t="s">
        <v>48</v>
      </c>
      <c r="I2104">
        <v>16179</v>
      </c>
      <c r="J2104">
        <v>17892</v>
      </c>
    </row>
    <row r="2105" spans="1:10" x14ac:dyDescent="0.3">
      <c r="A2105" t="s">
        <v>2232</v>
      </c>
      <c r="B2105" s="1">
        <v>45929</v>
      </c>
      <c r="C2105" t="s">
        <v>38</v>
      </c>
      <c r="D2105">
        <v>40</v>
      </c>
      <c r="E2105" t="s">
        <v>24</v>
      </c>
      <c r="F2105" t="s">
        <v>57</v>
      </c>
      <c r="G2105" t="s">
        <v>141</v>
      </c>
      <c r="H2105" t="s">
        <v>98</v>
      </c>
      <c r="I2105">
        <v>33769</v>
      </c>
      <c r="J2105">
        <v>29141</v>
      </c>
    </row>
    <row r="2106" spans="1:10" x14ac:dyDescent="0.3">
      <c r="A2106" t="s">
        <v>2233</v>
      </c>
      <c r="B2106" s="1">
        <v>45966</v>
      </c>
      <c r="C2106" t="s">
        <v>23</v>
      </c>
      <c r="D2106">
        <v>45</v>
      </c>
      <c r="E2106" t="s">
        <v>18</v>
      </c>
      <c r="F2106" t="s">
        <v>19</v>
      </c>
      <c r="G2106" t="s">
        <v>63</v>
      </c>
      <c r="H2106" t="s">
        <v>64</v>
      </c>
      <c r="I2106">
        <v>38060</v>
      </c>
      <c r="J2106">
        <v>38533</v>
      </c>
    </row>
    <row r="2107" spans="1:10" x14ac:dyDescent="0.3">
      <c r="A2107" t="s">
        <v>2234</v>
      </c>
      <c r="B2107" s="1">
        <v>45827</v>
      </c>
      <c r="C2107" t="s">
        <v>74</v>
      </c>
      <c r="D2107">
        <v>25</v>
      </c>
      <c r="E2107" t="s">
        <v>12</v>
      </c>
      <c r="F2107" t="s">
        <v>19</v>
      </c>
      <c r="G2107" t="s">
        <v>115</v>
      </c>
      <c r="H2107" t="s">
        <v>111</v>
      </c>
      <c r="I2107">
        <v>37540</v>
      </c>
      <c r="J2107">
        <v>40923</v>
      </c>
    </row>
    <row r="2108" spans="1:10" x14ac:dyDescent="0.3">
      <c r="A2108" t="s">
        <v>2235</v>
      </c>
      <c r="B2108" s="1">
        <v>45659</v>
      </c>
      <c r="C2108" t="s">
        <v>17</v>
      </c>
      <c r="D2108">
        <v>1</v>
      </c>
      <c r="E2108" t="s">
        <v>61</v>
      </c>
      <c r="F2108" t="s">
        <v>43</v>
      </c>
      <c r="G2108" t="s">
        <v>324</v>
      </c>
      <c r="H2108" t="s">
        <v>151</v>
      </c>
      <c r="I2108">
        <v>18022</v>
      </c>
      <c r="J2108">
        <v>13625</v>
      </c>
    </row>
    <row r="2109" spans="1:10" x14ac:dyDescent="0.3">
      <c r="A2109" t="s">
        <v>2236</v>
      </c>
      <c r="B2109" s="1">
        <v>45875</v>
      </c>
      <c r="C2109" t="s">
        <v>113</v>
      </c>
      <c r="D2109">
        <v>32</v>
      </c>
      <c r="E2109" t="s">
        <v>39</v>
      </c>
      <c r="F2109" t="s">
        <v>114</v>
      </c>
      <c r="G2109" t="s">
        <v>240</v>
      </c>
      <c r="H2109" t="s">
        <v>151</v>
      </c>
      <c r="I2109">
        <v>18913</v>
      </c>
      <c r="J2109">
        <v>18977</v>
      </c>
    </row>
    <row r="2110" spans="1:10" x14ac:dyDescent="0.3">
      <c r="A2110" t="s">
        <v>2237</v>
      </c>
      <c r="B2110" s="1">
        <v>45817</v>
      </c>
      <c r="C2110" t="s">
        <v>74</v>
      </c>
      <c r="D2110">
        <v>24</v>
      </c>
      <c r="E2110" t="s">
        <v>39</v>
      </c>
      <c r="F2110" t="s">
        <v>114</v>
      </c>
      <c r="G2110" t="s">
        <v>240</v>
      </c>
      <c r="H2110" t="s">
        <v>103</v>
      </c>
      <c r="I2110">
        <v>15261</v>
      </c>
      <c r="J2110">
        <v>17683</v>
      </c>
    </row>
    <row r="2111" spans="1:10" x14ac:dyDescent="0.3">
      <c r="A2111" t="s">
        <v>2238</v>
      </c>
      <c r="B2111" s="1">
        <v>46016</v>
      </c>
      <c r="C2111" t="s">
        <v>100</v>
      </c>
      <c r="D2111">
        <v>52</v>
      </c>
      <c r="E2111" t="s">
        <v>18</v>
      </c>
      <c r="F2111" t="s">
        <v>92</v>
      </c>
      <c r="G2111" t="s">
        <v>141</v>
      </c>
      <c r="H2111" t="s">
        <v>55</v>
      </c>
      <c r="I2111">
        <v>33438</v>
      </c>
      <c r="J2111">
        <v>36072</v>
      </c>
    </row>
    <row r="2112" spans="1:10" x14ac:dyDescent="0.3">
      <c r="A2112" t="s">
        <v>2239</v>
      </c>
      <c r="B2112" s="1">
        <v>45969</v>
      </c>
      <c r="C2112" t="s">
        <v>23</v>
      </c>
      <c r="D2112">
        <v>45</v>
      </c>
      <c r="E2112" t="s">
        <v>33</v>
      </c>
      <c r="F2112" t="s">
        <v>140</v>
      </c>
      <c r="G2112" t="s">
        <v>58</v>
      </c>
      <c r="H2112" t="s">
        <v>151</v>
      </c>
      <c r="I2112">
        <v>28056</v>
      </c>
      <c r="J2112">
        <v>27973</v>
      </c>
    </row>
    <row r="2113" spans="1:10" x14ac:dyDescent="0.3">
      <c r="A2113" t="s">
        <v>2240</v>
      </c>
      <c r="B2113" s="1">
        <v>45981</v>
      </c>
      <c r="C2113" t="s">
        <v>23</v>
      </c>
      <c r="D2113">
        <v>47</v>
      </c>
      <c r="E2113" t="s">
        <v>12</v>
      </c>
      <c r="F2113" t="s">
        <v>62</v>
      </c>
      <c r="G2113" t="s">
        <v>224</v>
      </c>
      <c r="H2113" t="s">
        <v>123</v>
      </c>
      <c r="I2113">
        <v>31999</v>
      </c>
      <c r="J2113">
        <v>31148</v>
      </c>
    </row>
    <row r="2114" spans="1:10" x14ac:dyDescent="0.3">
      <c r="A2114" t="s">
        <v>2241</v>
      </c>
      <c r="B2114" s="1">
        <v>45681</v>
      </c>
      <c r="C2114" t="s">
        <v>17</v>
      </c>
      <c r="D2114">
        <v>4</v>
      </c>
      <c r="E2114" t="s">
        <v>70</v>
      </c>
      <c r="F2114" t="s">
        <v>43</v>
      </c>
      <c r="G2114" t="s">
        <v>137</v>
      </c>
      <c r="H2114" t="s">
        <v>188</v>
      </c>
      <c r="I2114">
        <v>32044</v>
      </c>
      <c r="J2114">
        <v>36624</v>
      </c>
    </row>
    <row r="2115" spans="1:10" x14ac:dyDescent="0.3">
      <c r="A2115" t="s">
        <v>2242</v>
      </c>
      <c r="B2115" s="1">
        <v>45883</v>
      </c>
      <c r="C2115" t="s">
        <v>113</v>
      </c>
      <c r="D2115">
        <v>33</v>
      </c>
      <c r="E2115" t="s">
        <v>39</v>
      </c>
      <c r="F2115" t="s">
        <v>13</v>
      </c>
      <c r="G2115" t="s">
        <v>126</v>
      </c>
      <c r="H2115" t="s">
        <v>36</v>
      </c>
      <c r="I2115">
        <v>31641</v>
      </c>
      <c r="J2115">
        <v>28032</v>
      </c>
    </row>
    <row r="2116" spans="1:10" x14ac:dyDescent="0.3">
      <c r="A2116" t="s">
        <v>2243</v>
      </c>
      <c r="B2116" s="1">
        <v>45876</v>
      </c>
      <c r="C2116" t="s">
        <v>113</v>
      </c>
      <c r="D2116">
        <v>32</v>
      </c>
      <c r="E2116" t="s">
        <v>61</v>
      </c>
      <c r="F2116" t="s">
        <v>62</v>
      </c>
      <c r="G2116" t="s">
        <v>67</v>
      </c>
      <c r="H2116" t="s">
        <v>31</v>
      </c>
      <c r="I2116">
        <v>25041</v>
      </c>
      <c r="J2116">
        <v>30324</v>
      </c>
    </row>
    <row r="2117" spans="1:10" x14ac:dyDescent="0.3">
      <c r="A2117" t="s">
        <v>2244</v>
      </c>
      <c r="B2117" s="1">
        <v>45947</v>
      </c>
      <c r="C2117" t="s">
        <v>66</v>
      </c>
      <c r="D2117">
        <v>42</v>
      </c>
      <c r="E2117" t="s">
        <v>61</v>
      </c>
      <c r="F2117" t="s">
        <v>57</v>
      </c>
      <c r="G2117" t="s">
        <v>35</v>
      </c>
      <c r="H2117" t="s">
        <v>21</v>
      </c>
      <c r="I2117">
        <v>39486</v>
      </c>
      <c r="J2117">
        <v>44347</v>
      </c>
    </row>
    <row r="2118" spans="1:10" x14ac:dyDescent="0.3">
      <c r="A2118" t="s">
        <v>2245</v>
      </c>
      <c r="B2118" s="1">
        <v>45716</v>
      </c>
      <c r="C2118" t="s">
        <v>82</v>
      </c>
      <c r="D2118">
        <v>9</v>
      </c>
      <c r="E2118" t="s">
        <v>39</v>
      </c>
      <c r="F2118" t="s">
        <v>92</v>
      </c>
      <c r="G2118" t="s">
        <v>88</v>
      </c>
      <c r="H2118" t="s">
        <v>163</v>
      </c>
      <c r="I2118">
        <v>35362</v>
      </c>
      <c r="J2118">
        <v>34402</v>
      </c>
    </row>
    <row r="2119" spans="1:10" x14ac:dyDescent="0.3">
      <c r="A2119" t="s">
        <v>2246</v>
      </c>
      <c r="B2119" s="1">
        <v>45790</v>
      </c>
      <c r="C2119" t="s">
        <v>90</v>
      </c>
      <c r="D2119">
        <v>20</v>
      </c>
      <c r="E2119" t="s">
        <v>18</v>
      </c>
      <c r="F2119" t="s">
        <v>25</v>
      </c>
      <c r="G2119" t="s">
        <v>171</v>
      </c>
      <c r="H2119" t="s">
        <v>243</v>
      </c>
      <c r="I2119">
        <v>39768</v>
      </c>
      <c r="J2119">
        <v>41777</v>
      </c>
    </row>
    <row r="2120" spans="1:10" x14ac:dyDescent="0.3">
      <c r="A2120" t="s">
        <v>2247</v>
      </c>
      <c r="B2120" s="1">
        <v>45818</v>
      </c>
      <c r="C2120" t="s">
        <v>74</v>
      </c>
      <c r="D2120">
        <v>24</v>
      </c>
      <c r="E2120" t="s">
        <v>18</v>
      </c>
      <c r="F2120" t="s">
        <v>29</v>
      </c>
      <c r="G2120" t="s">
        <v>20</v>
      </c>
      <c r="H2120" t="s">
        <v>111</v>
      </c>
      <c r="I2120">
        <v>23851</v>
      </c>
      <c r="J2120">
        <v>17171</v>
      </c>
    </row>
    <row r="2121" spans="1:10" x14ac:dyDescent="0.3">
      <c r="A2121" t="s">
        <v>2248</v>
      </c>
      <c r="B2121" s="1">
        <v>45881</v>
      </c>
      <c r="C2121" t="s">
        <v>113</v>
      </c>
      <c r="D2121">
        <v>33</v>
      </c>
      <c r="E2121" t="s">
        <v>12</v>
      </c>
      <c r="F2121" t="s">
        <v>92</v>
      </c>
      <c r="G2121" t="s">
        <v>118</v>
      </c>
      <c r="H2121" t="s">
        <v>163</v>
      </c>
      <c r="I2121">
        <v>33503</v>
      </c>
      <c r="J2121">
        <v>39289</v>
      </c>
    </row>
    <row r="2122" spans="1:10" x14ac:dyDescent="0.3">
      <c r="A2122" t="s">
        <v>2249</v>
      </c>
      <c r="B2122" s="1">
        <v>45822</v>
      </c>
      <c r="C2122" t="s">
        <v>74</v>
      </c>
      <c r="D2122">
        <v>24</v>
      </c>
      <c r="E2122" t="s">
        <v>24</v>
      </c>
      <c r="F2122" t="s">
        <v>13</v>
      </c>
      <c r="G2122" t="s">
        <v>67</v>
      </c>
      <c r="H2122" t="s">
        <v>119</v>
      </c>
      <c r="I2122">
        <v>25028</v>
      </c>
      <c r="J2122">
        <v>29177</v>
      </c>
    </row>
    <row r="2123" spans="1:10" x14ac:dyDescent="0.3">
      <c r="A2123" t="s">
        <v>2250</v>
      </c>
      <c r="B2123" s="1">
        <v>45810</v>
      </c>
      <c r="C2123" t="s">
        <v>74</v>
      </c>
      <c r="D2123">
        <v>23</v>
      </c>
      <c r="E2123" t="s">
        <v>12</v>
      </c>
      <c r="F2123" t="s">
        <v>75</v>
      </c>
      <c r="G2123" t="s">
        <v>201</v>
      </c>
      <c r="H2123" t="s">
        <v>52</v>
      </c>
      <c r="I2123">
        <v>19553</v>
      </c>
      <c r="J2123">
        <v>17465</v>
      </c>
    </row>
    <row r="2124" spans="1:10" x14ac:dyDescent="0.3">
      <c r="A2124" t="s">
        <v>2251</v>
      </c>
      <c r="B2124" s="1">
        <v>45682</v>
      </c>
      <c r="C2124" t="s">
        <v>17</v>
      </c>
      <c r="D2124">
        <v>4</v>
      </c>
      <c r="E2124" t="s">
        <v>24</v>
      </c>
      <c r="F2124" t="s">
        <v>101</v>
      </c>
      <c r="G2124" t="s">
        <v>291</v>
      </c>
      <c r="H2124" t="s">
        <v>27</v>
      </c>
      <c r="I2124">
        <v>29526</v>
      </c>
      <c r="J2124">
        <v>29422</v>
      </c>
    </row>
    <row r="2125" spans="1:10" x14ac:dyDescent="0.3">
      <c r="A2125" t="s">
        <v>2252</v>
      </c>
      <c r="B2125" s="1">
        <v>45692</v>
      </c>
      <c r="C2125" t="s">
        <v>82</v>
      </c>
      <c r="D2125">
        <v>6</v>
      </c>
      <c r="E2125" t="s">
        <v>33</v>
      </c>
      <c r="F2125" t="s">
        <v>78</v>
      </c>
      <c r="G2125" t="s">
        <v>110</v>
      </c>
      <c r="H2125" t="s">
        <v>64</v>
      </c>
      <c r="I2125">
        <v>22843</v>
      </c>
      <c r="J2125">
        <v>17219</v>
      </c>
    </row>
    <row r="2126" spans="1:10" x14ac:dyDescent="0.3">
      <c r="A2126" t="s">
        <v>2253</v>
      </c>
      <c r="B2126" s="1">
        <v>45741</v>
      </c>
      <c r="C2126" t="s">
        <v>95</v>
      </c>
      <c r="D2126">
        <v>13</v>
      </c>
      <c r="E2126" t="s">
        <v>70</v>
      </c>
      <c r="F2126" t="s">
        <v>114</v>
      </c>
      <c r="G2126" t="s">
        <v>141</v>
      </c>
      <c r="H2126" t="s">
        <v>98</v>
      </c>
      <c r="I2126">
        <v>28271</v>
      </c>
      <c r="J2126">
        <v>32484</v>
      </c>
    </row>
    <row r="2127" spans="1:10" x14ac:dyDescent="0.3">
      <c r="A2127" t="s">
        <v>2254</v>
      </c>
      <c r="B2127" s="1">
        <v>45907</v>
      </c>
      <c r="C2127" t="s">
        <v>38</v>
      </c>
      <c r="D2127">
        <v>36</v>
      </c>
      <c r="E2127" t="s">
        <v>33</v>
      </c>
      <c r="F2127" t="s">
        <v>19</v>
      </c>
      <c r="G2127" t="s">
        <v>14</v>
      </c>
      <c r="H2127" t="s">
        <v>64</v>
      </c>
      <c r="I2127">
        <v>19227</v>
      </c>
      <c r="J2127">
        <v>18408</v>
      </c>
    </row>
    <row r="2128" spans="1:10" x14ac:dyDescent="0.3">
      <c r="A2128" t="s">
        <v>2255</v>
      </c>
      <c r="B2128" s="1">
        <v>45857</v>
      </c>
      <c r="C2128" t="s">
        <v>11</v>
      </c>
      <c r="D2128">
        <v>29</v>
      </c>
      <c r="E2128" t="s">
        <v>24</v>
      </c>
      <c r="F2128" t="s">
        <v>114</v>
      </c>
      <c r="G2128" t="s">
        <v>20</v>
      </c>
      <c r="H2128" t="s">
        <v>55</v>
      </c>
      <c r="I2128">
        <v>39635</v>
      </c>
      <c r="J2128">
        <v>39175</v>
      </c>
    </row>
    <row r="2129" spans="1:10" x14ac:dyDescent="0.3">
      <c r="A2129" t="s">
        <v>2256</v>
      </c>
      <c r="B2129" s="1">
        <v>45913</v>
      </c>
      <c r="C2129" t="s">
        <v>38</v>
      </c>
      <c r="D2129">
        <v>37</v>
      </c>
      <c r="E2129" t="s">
        <v>33</v>
      </c>
      <c r="F2129" t="s">
        <v>46</v>
      </c>
      <c r="G2129" t="s">
        <v>51</v>
      </c>
      <c r="H2129" t="s">
        <v>103</v>
      </c>
      <c r="I2129">
        <v>30511</v>
      </c>
      <c r="J2129">
        <v>33745</v>
      </c>
    </row>
    <row r="2130" spans="1:10" x14ac:dyDescent="0.3">
      <c r="A2130" t="s">
        <v>2257</v>
      </c>
      <c r="B2130" s="1">
        <v>45862</v>
      </c>
      <c r="C2130" t="s">
        <v>11</v>
      </c>
      <c r="D2130">
        <v>30</v>
      </c>
      <c r="E2130" t="s">
        <v>24</v>
      </c>
      <c r="F2130" t="s">
        <v>43</v>
      </c>
      <c r="G2130" t="s">
        <v>147</v>
      </c>
      <c r="H2130" t="s">
        <v>123</v>
      </c>
      <c r="I2130">
        <v>32986</v>
      </c>
      <c r="J2130">
        <v>33216</v>
      </c>
    </row>
    <row r="2131" spans="1:10" x14ac:dyDescent="0.3">
      <c r="A2131" t="s">
        <v>2258</v>
      </c>
      <c r="B2131" s="1">
        <v>45833</v>
      </c>
      <c r="C2131" t="s">
        <v>74</v>
      </c>
      <c r="D2131">
        <v>26</v>
      </c>
      <c r="E2131" t="s">
        <v>33</v>
      </c>
      <c r="F2131" t="s">
        <v>19</v>
      </c>
      <c r="G2131" t="s">
        <v>30</v>
      </c>
      <c r="H2131" t="s">
        <v>59</v>
      </c>
      <c r="I2131">
        <v>26854</v>
      </c>
      <c r="J2131">
        <v>33420</v>
      </c>
    </row>
    <row r="2132" spans="1:10" x14ac:dyDescent="0.3">
      <c r="A2132" t="s">
        <v>2259</v>
      </c>
      <c r="B2132" s="1">
        <v>45914</v>
      </c>
      <c r="C2132" t="s">
        <v>38</v>
      </c>
      <c r="D2132">
        <v>37</v>
      </c>
      <c r="E2132" t="s">
        <v>70</v>
      </c>
      <c r="F2132" t="s">
        <v>122</v>
      </c>
      <c r="G2132" t="s">
        <v>234</v>
      </c>
      <c r="H2132" t="s">
        <v>133</v>
      </c>
      <c r="I2132">
        <v>30057</v>
      </c>
      <c r="J2132">
        <v>21892</v>
      </c>
    </row>
    <row r="2133" spans="1:10" x14ac:dyDescent="0.3">
      <c r="A2133" t="s">
        <v>2260</v>
      </c>
      <c r="B2133" s="1">
        <v>45779</v>
      </c>
      <c r="C2133" t="s">
        <v>90</v>
      </c>
      <c r="D2133">
        <v>18</v>
      </c>
      <c r="E2133" t="s">
        <v>39</v>
      </c>
      <c r="F2133" t="s">
        <v>25</v>
      </c>
      <c r="G2133" t="s">
        <v>141</v>
      </c>
      <c r="H2133" t="s">
        <v>27</v>
      </c>
      <c r="I2133">
        <v>24572</v>
      </c>
      <c r="J2133">
        <v>24269</v>
      </c>
    </row>
    <row r="2134" spans="1:10" x14ac:dyDescent="0.3">
      <c r="A2134" t="s">
        <v>2261</v>
      </c>
      <c r="B2134" s="1">
        <v>45799</v>
      </c>
      <c r="C2134" t="s">
        <v>90</v>
      </c>
      <c r="D2134">
        <v>21</v>
      </c>
      <c r="E2134" t="s">
        <v>61</v>
      </c>
      <c r="F2134" t="s">
        <v>109</v>
      </c>
      <c r="G2134" t="s">
        <v>51</v>
      </c>
      <c r="H2134" t="s">
        <v>155</v>
      </c>
      <c r="I2134">
        <v>17482</v>
      </c>
      <c r="J2134">
        <v>18568</v>
      </c>
    </row>
    <row r="2135" spans="1:10" x14ac:dyDescent="0.3">
      <c r="A2135" t="s">
        <v>2262</v>
      </c>
      <c r="B2135" s="1">
        <v>45915</v>
      </c>
      <c r="C2135" t="s">
        <v>38</v>
      </c>
      <c r="D2135">
        <v>38</v>
      </c>
      <c r="E2135" t="s">
        <v>39</v>
      </c>
      <c r="F2135" t="s">
        <v>57</v>
      </c>
      <c r="G2135" t="s">
        <v>76</v>
      </c>
      <c r="H2135" t="s">
        <v>151</v>
      </c>
      <c r="I2135">
        <v>22166</v>
      </c>
      <c r="J2135">
        <v>24709</v>
      </c>
    </row>
    <row r="2136" spans="1:10" x14ac:dyDescent="0.3">
      <c r="A2136" t="s">
        <v>2263</v>
      </c>
      <c r="B2136" s="1">
        <v>45811</v>
      </c>
      <c r="C2136" t="s">
        <v>74</v>
      </c>
      <c r="D2136">
        <v>23</v>
      </c>
      <c r="E2136" t="s">
        <v>33</v>
      </c>
      <c r="F2136" t="s">
        <v>62</v>
      </c>
      <c r="G2136" t="s">
        <v>44</v>
      </c>
      <c r="H2136" t="s">
        <v>243</v>
      </c>
      <c r="I2136">
        <v>32275</v>
      </c>
      <c r="J2136">
        <v>29420</v>
      </c>
    </row>
    <row r="2137" spans="1:10" x14ac:dyDescent="0.3">
      <c r="A2137" t="s">
        <v>2264</v>
      </c>
      <c r="B2137" s="1">
        <v>45951</v>
      </c>
      <c r="C2137" t="s">
        <v>66</v>
      </c>
      <c r="D2137">
        <v>43</v>
      </c>
      <c r="E2137" t="s">
        <v>18</v>
      </c>
      <c r="F2137" t="s">
        <v>50</v>
      </c>
      <c r="G2137" t="s">
        <v>35</v>
      </c>
      <c r="H2137" t="s">
        <v>157</v>
      </c>
      <c r="I2137">
        <v>32234</v>
      </c>
      <c r="J2137">
        <v>34210</v>
      </c>
    </row>
    <row r="2138" spans="1:10" x14ac:dyDescent="0.3">
      <c r="A2138" t="s">
        <v>2265</v>
      </c>
      <c r="B2138" s="1">
        <v>46003</v>
      </c>
      <c r="C2138" t="s">
        <v>100</v>
      </c>
      <c r="D2138">
        <v>50</v>
      </c>
      <c r="E2138" t="s">
        <v>12</v>
      </c>
      <c r="F2138" t="s">
        <v>34</v>
      </c>
      <c r="G2138" t="s">
        <v>160</v>
      </c>
      <c r="H2138" t="s">
        <v>55</v>
      </c>
      <c r="I2138">
        <v>24528</v>
      </c>
      <c r="J2138">
        <v>28171</v>
      </c>
    </row>
    <row r="2139" spans="1:10" x14ac:dyDescent="0.3">
      <c r="A2139" t="s">
        <v>2266</v>
      </c>
      <c r="B2139" s="1">
        <v>45757</v>
      </c>
      <c r="C2139" t="s">
        <v>86</v>
      </c>
      <c r="D2139">
        <v>15</v>
      </c>
      <c r="E2139" t="s">
        <v>18</v>
      </c>
      <c r="F2139" t="s">
        <v>75</v>
      </c>
      <c r="G2139" t="s">
        <v>72</v>
      </c>
      <c r="H2139" t="s">
        <v>36</v>
      </c>
      <c r="I2139">
        <v>37471</v>
      </c>
      <c r="J2139">
        <v>39694</v>
      </c>
    </row>
    <row r="2140" spans="1:10" x14ac:dyDescent="0.3">
      <c r="A2140" t="s">
        <v>2267</v>
      </c>
      <c r="B2140" s="1">
        <v>45896</v>
      </c>
      <c r="C2140" t="s">
        <v>113</v>
      </c>
      <c r="D2140">
        <v>35</v>
      </c>
      <c r="E2140" t="s">
        <v>70</v>
      </c>
      <c r="F2140" t="s">
        <v>193</v>
      </c>
      <c r="G2140" t="s">
        <v>83</v>
      </c>
      <c r="H2140" t="s">
        <v>188</v>
      </c>
      <c r="I2140">
        <v>15437</v>
      </c>
      <c r="J2140">
        <v>13707</v>
      </c>
    </row>
    <row r="2141" spans="1:10" x14ac:dyDescent="0.3">
      <c r="A2141" t="s">
        <v>2268</v>
      </c>
      <c r="B2141" s="1">
        <v>45804</v>
      </c>
      <c r="C2141" t="s">
        <v>90</v>
      </c>
      <c r="D2141">
        <v>22</v>
      </c>
      <c r="E2141" t="s">
        <v>12</v>
      </c>
      <c r="F2141" t="s">
        <v>34</v>
      </c>
      <c r="G2141" t="s">
        <v>141</v>
      </c>
      <c r="H2141" t="s">
        <v>163</v>
      </c>
      <c r="I2141">
        <v>35569</v>
      </c>
      <c r="J2141">
        <v>34015</v>
      </c>
    </row>
    <row r="2142" spans="1:10" x14ac:dyDescent="0.3">
      <c r="A2142" t="s">
        <v>2269</v>
      </c>
      <c r="B2142" s="1">
        <v>45953</v>
      </c>
      <c r="C2142" t="s">
        <v>66</v>
      </c>
      <c r="D2142">
        <v>43</v>
      </c>
      <c r="E2142" t="s">
        <v>24</v>
      </c>
      <c r="F2142" t="s">
        <v>29</v>
      </c>
      <c r="G2142" t="s">
        <v>88</v>
      </c>
      <c r="H2142" t="s">
        <v>157</v>
      </c>
      <c r="I2142">
        <v>33163</v>
      </c>
      <c r="J2142">
        <v>34776</v>
      </c>
    </row>
    <row r="2143" spans="1:10" x14ac:dyDescent="0.3">
      <c r="A2143" t="s">
        <v>2270</v>
      </c>
      <c r="B2143" s="1">
        <v>45741</v>
      </c>
      <c r="C2143" t="s">
        <v>95</v>
      </c>
      <c r="D2143">
        <v>13</v>
      </c>
      <c r="E2143" t="s">
        <v>12</v>
      </c>
      <c r="F2143" t="s">
        <v>114</v>
      </c>
      <c r="G2143" t="s">
        <v>132</v>
      </c>
      <c r="H2143" t="s">
        <v>96</v>
      </c>
      <c r="I2143">
        <v>22617</v>
      </c>
      <c r="J2143">
        <v>25217</v>
      </c>
    </row>
    <row r="2144" spans="1:10" x14ac:dyDescent="0.3">
      <c r="A2144" t="s">
        <v>2271</v>
      </c>
      <c r="B2144" s="1">
        <v>45731</v>
      </c>
      <c r="C2144" t="s">
        <v>95</v>
      </c>
      <c r="D2144">
        <v>11</v>
      </c>
      <c r="E2144" t="s">
        <v>24</v>
      </c>
      <c r="F2144" t="s">
        <v>101</v>
      </c>
      <c r="G2144" t="s">
        <v>326</v>
      </c>
      <c r="H2144" t="s">
        <v>123</v>
      </c>
      <c r="I2144">
        <v>25835</v>
      </c>
      <c r="J2144">
        <v>28987</v>
      </c>
    </row>
    <row r="2145" spans="1:10" x14ac:dyDescent="0.3">
      <c r="A2145" t="s">
        <v>2272</v>
      </c>
      <c r="B2145" s="1">
        <v>45992</v>
      </c>
      <c r="C2145" t="s">
        <v>100</v>
      </c>
      <c r="D2145">
        <v>49</v>
      </c>
      <c r="E2145" t="s">
        <v>24</v>
      </c>
      <c r="F2145" t="s">
        <v>57</v>
      </c>
      <c r="G2145" t="s">
        <v>206</v>
      </c>
      <c r="H2145" t="s">
        <v>31</v>
      </c>
      <c r="I2145">
        <v>20400</v>
      </c>
      <c r="J2145">
        <v>21217</v>
      </c>
    </row>
    <row r="2146" spans="1:10" x14ac:dyDescent="0.3">
      <c r="A2146" t="s">
        <v>2273</v>
      </c>
      <c r="B2146" s="1">
        <v>45800</v>
      </c>
      <c r="C2146" t="s">
        <v>90</v>
      </c>
      <c r="D2146">
        <v>21</v>
      </c>
      <c r="E2146" t="s">
        <v>12</v>
      </c>
      <c r="F2146" t="s">
        <v>114</v>
      </c>
      <c r="G2146" t="s">
        <v>35</v>
      </c>
      <c r="H2146" t="s">
        <v>15</v>
      </c>
      <c r="I2146">
        <v>25351</v>
      </c>
      <c r="J2146">
        <v>29268</v>
      </c>
    </row>
    <row r="2147" spans="1:10" x14ac:dyDescent="0.3">
      <c r="A2147" t="s">
        <v>2274</v>
      </c>
      <c r="B2147" s="1">
        <v>45959</v>
      </c>
      <c r="C2147" t="s">
        <v>66</v>
      </c>
      <c r="D2147">
        <v>44</v>
      </c>
      <c r="E2147" t="s">
        <v>33</v>
      </c>
      <c r="F2147" t="s">
        <v>109</v>
      </c>
      <c r="G2147" t="s">
        <v>76</v>
      </c>
      <c r="H2147" t="s">
        <v>211</v>
      </c>
      <c r="I2147">
        <v>24345</v>
      </c>
      <c r="J2147">
        <v>21760</v>
      </c>
    </row>
    <row r="2148" spans="1:10" x14ac:dyDescent="0.3">
      <c r="A2148" t="s">
        <v>2275</v>
      </c>
      <c r="B2148" s="1">
        <v>45676</v>
      </c>
      <c r="C2148" t="s">
        <v>17</v>
      </c>
      <c r="D2148">
        <v>3</v>
      </c>
      <c r="E2148" t="s">
        <v>61</v>
      </c>
      <c r="F2148" t="s">
        <v>101</v>
      </c>
      <c r="G2148" t="s">
        <v>35</v>
      </c>
      <c r="H2148" t="s">
        <v>15</v>
      </c>
      <c r="I2148">
        <v>30008</v>
      </c>
      <c r="J2148">
        <v>28654</v>
      </c>
    </row>
    <row r="2149" spans="1:10" x14ac:dyDescent="0.3">
      <c r="A2149" t="s">
        <v>2276</v>
      </c>
      <c r="B2149" s="1">
        <v>45659</v>
      </c>
      <c r="C2149" t="s">
        <v>17</v>
      </c>
      <c r="D2149">
        <v>1</v>
      </c>
      <c r="E2149" t="s">
        <v>33</v>
      </c>
      <c r="F2149" t="s">
        <v>57</v>
      </c>
      <c r="G2149" t="s">
        <v>107</v>
      </c>
      <c r="H2149" t="s">
        <v>48</v>
      </c>
      <c r="I2149">
        <v>32063</v>
      </c>
      <c r="J2149">
        <v>29668</v>
      </c>
    </row>
    <row r="2150" spans="1:10" x14ac:dyDescent="0.3">
      <c r="A2150" t="s">
        <v>2277</v>
      </c>
      <c r="B2150" s="1">
        <v>45967</v>
      </c>
      <c r="C2150" t="s">
        <v>23</v>
      </c>
      <c r="D2150">
        <v>45</v>
      </c>
      <c r="E2150" t="s">
        <v>70</v>
      </c>
      <c r="F2150" t="s">
        <v>57</v>
      </c>
      <c r="G2150" t="s">
        <v>199</v>
      </c>
      <c r="H2150" t="s">
        <v>103</v>
      </c>
      <c r="I2150">
        <v>34454</v>
      </c>
      <c r="J2150">
        <v>29323</v>
      </c>
    </row>
    <row r="2151" spans="1:10" x14ac:dyDescent="0.3">
      <c r="A2151" t="s">
        <v>2278</v>
      </c>
      <c r="B2151" s="1">
        <v>45986</v>
      </c>
      <c r="C2151" t="s">
        <v>23</v>
      </c>
      <c r="D2151">
        <v>48</v>
      </c>
      <c r="E2151" t="s">
        <v>61</v>
      </c>
      <c r="F2151" t="s">
        <v>43</v>
      </c>
      <c r="G2151" t="s">
        <v>110</v>
      </c>
      <c r="H2151" t="s">
        <v>80</v>
      </c>
      <c r="I2151">
        <v>23443</v>
      </c>
      <c r="J2151">
        <v>19347</v>
      </c>
    </row>
    <row r="2152" spans="1:10" x14ac:dyDescent="0.3">
      <c r="A2152" t="s">
        <v>2279</v>
      </c>
      <c r="B2152" s="1">
        <v>45924</v>
      </c>
      <c r="C2152" t="s">
        <v>38</v>
      </c>
      <c r="D2152">
        <v>39</v>
      </c>
      <c r="E2152" t="s">
        <v>33</v>
      </c>
      <c r="F2152" t="s">
        <v>75</v>
      </c>
      <c r="G2152" t="s">
        <v>191</v>
      </c>
      <c r="H2152" t="s">
        <v>55</v>
      </c>
      <c r="I2152">
        <v>16626</v>
      </c>
      <c r="J2152">
        <v>17068</v>
      </c>
    </row>
    <row r="2153" spans="1:10" x14ac:dyDescent="0.3">
      <c r="A2153" t="s">
        <v>2280</v>
      </c>
      <c r="B2153" s="1">
        <v>45928</v>
      </c>
      <c r="C2153" t="s">
        <v>38</v>
      </c>
      <c r="D2153">
        <v>39</v>
      </c>
      <c r="E2153" t="s">
        <v>39</v>
      </c>
      <c r="F2153" t="s">
        <v>140</v>
      </c>
      <c r="G2153" t="s">
        <v>126</v>
      </c>
      <c r="H2153" t="s">
        <v>59</v>
      </c>
      <c r="I2153">
        <v>25848</v>
      </c>
      <c r="J2153">
        <v>24422</v>
      </c>
    </row>
    <row r="2154" spans="1:10" x14ac:dyDescent="0.3">
      <c r="A2154" t="s">
        <v>2281</v>
      </c>
      <c r="B2154" s="1">
        <v>46010</v>
      </c>
      <c r="C2154" t="s">
        <v>100</v>
      </c>
      <c r="D2154">
        <v>51</v>
      </c>
      <c r="E2154" t="s">
        <v>39</v>
      </c>
      <c r="F2154" t="s">
        <v>50</v>
      </c>
      <c r="G2154" t="s">
        <v>149</v>
      </c>
      <c r="H2154" t="s">
        <v>15</v>
      </c>
      <c r="I2154">
        <v>16032</v>
      </c>
      <c r="J2154">
        <v>11448</v>
      </c>
    </row>
    <row r="2155" spans="1:10" x14ac:dyDescent="0.3">
      <c r="A2155" t="s">
        <v>2282</v>
      </c>
      <c r="B2155" s="1">
        <v>46020</v>
      </c>
      <c r="C2155" t="s">
        <v>100</v>
      </c>
      <c r="D2155">
        <v>1</v>
      </c>
      <c r="E2155" t="s">
        <v>24</v>
      </c>
      <c r="F2155" t="s">
        <v>46</v>
      </c>
      <c r="G2155" t="s">
        <v>135</v>
      </c>
      <c r="H2155" t="s">
        <v>103</v>
      </c>
      <c r="I2155">
        <v>20922</v>
      </c>
      <c r="J2155">
        <v>16008</v>
      </c>
    </row>
    <row r="2156" spans="1:10" x14ac:dyDescent="0.3">
      <c r="A2156" t="s">
        <v>2283</v>
      </c>
      <c r="B2156" s="1">
        <v>45928</v>
      </c>
      <c r="C2156" t="s">
        <v>38</v>
      </c>
      <c r="D2156">
        <v>39</v>
      </c>
      <c r="E2156" t="s">
        <v>70</v>
      </c>
      <c r="F2156" t="s">
        <v>92</v>
      </c>
      <c r="G2156" t="s">
        <v>72</v>
      </c>
      <c r="H2156" t="s">
        <v>31</v>
      </c>
      <c r="I2156">
        <v>15153</v>
      </c>
      <c r="J2156">
        <v>18173</v>
      </c>
    </row>
    <row r="2157" spans="1:10" x14ac:dyDescent="0.3">
      <c r="A2157" t="s">
        <v>2284</v>
      </c>
      <c r="B2157" s="1">
        <v>45915</v>
      </c>
      <c r="C2157" t="s">
        <v>38</v>
      </c>
      <c r="D2157">
        <v>38</v>
      </c>
      <c r="E2157" t="s">
        <v>33</v>
      </c>
      <c r="F2157" t="s">
        <v>34</v>
      </c>
      <c r="G2157" t="s">
        <v>67</v>
      </c>
      <c r="H2157" t="s">
        <v>52</v>
      </c>
      <c r="I2157">
        <v>21952</v>
      </c>
      <c r="J2157">
        <v>15598</v>
      </c>
    </row>
    <row r="2158" spans="1:10" x14ac:dyDescent="0.3">
      <c r="A2158" t="s">
        <v>2285</v>
      </c>
      <c r="B2158" s="1">
        <v>45858</v>
      </c>
      <c r="C2158" t="s">
        <v>11</v>
      </c>
      <c r="D2158">
        <v>29</v>
      </c>
      <c r="E2158" t="s">
        <v>70</v>
      </c>
      <c r="F2158" t="s">
        <v>62</v>
      </c>
      <c r="G2158" t="s">
        <v>224</v>
      </c>
      <c r="H2158" t="s">
        <v>96</v>
      </c>
      <c r="I2158">
        <v>16877</v>
      </c>
      <c r="J2158">
        <v>20919</v>
      </c>
    </row>
    <row r="2159" spans="1:10" x14ac:dyDescent="0.3">
      <c r="A2159" t="s">
        <v>2286</v>
      </c>
      <c r="B2159" s="1">
        <v>45943</v>
      </c>
      <c r="C2159" t="s">
        <v>66</v>
      </c>
      <c r="D2159">
        <v>42</v>
      </c>
      <c r="E2159" t="s">
        <v>18</v>
      </c>
      <c r="F2159" t="s">
        <v>29</v>
      </c>
      <c r="G2159" t="s">
        <v>51</v>
      </c>
      <c r="H2159" t="s">
        <v>163</v>
      </c>
      <c r="I2159">
        <v>20289</v>
      </c>
      <c r="J2159">
        <v>16714</v>
      </c>
    </row>
    <row r="2160" spans="1:10" x14ac:dyDescent="0.3">
      <c r="A2160" t="s">
        <v>2287</v>
      </c>
      <c r="B2160" s="1">
        <v>45770</v>
      </c>
      <c r="C2160" t="s">
        <v>86</v>
      </c>
      <c r="D2160">
        <v>17</v>
      </c>
      <c r="E2160" t="s">
        <v>12</v>
      </c>
      <c r="F2160" t="s">
        <v>140</v>
      </c>
      <c r="G2160" t="s">
        <v>76</v>
      </c>
      <c r="H2160" t="s">
        <v>165</v>
      </c>
      <c r="I2160">
        <v>22005</v>
      </c>
      <c r="J2160">
        <v>23503</v>
      </c>
    </row>
    <row r="2161" spans="1:10" x14ac:dyDescent="0.3">
      <c r="A2161" t="s">
        <v>2288</v>
      </c>
      <c r="B2161" s="1">
        <v>45867</v>
      </c>
      <c r="C2161" t="s">
        <v>11</v>
      </c>
      <c r="D2161">
        <v>31</v>
      </c>
      <c r="E2161" t="s">
        <v>12</v>
      </c>
      <c r="F2161" t="s">
        <v>78</v>
      </c>
      <c r="G2161" t="s">
        <v>44</v>
      </c>
      <c r="H2161" t="s">
        <v>211</v>
      </c>
      <c r="I2161">
        <v>35461</v>
      </c>
      <c r="J2161">
        <v>33728</v>
      </c>
    </row>
    <row r="2162" spans="1:10" x14ac:dyDescent="0.3">
      <c r="A2162" t="s">
        <v>2289</v>
      </c>
      <c r="B2162" s="1">
        <v>45736</v>
      </c>
      <c r="C2162" t="s">
        <v>95</v>
      </c>
      <c r="D2162">
        <v>12</v>
      </c>
      <c r="E2162" t="s">
        <v>18</v>
      </c>
      <c r="F2162" t="s">
        <v>193</v>
      </c>
      <c r="G2162" t="s">
        <v>20</v>
      </c>
      <c r="H2162" t="s">
        <v>119</v>
      </c>
      <c r="I2162">
        <v>37646</v>
      </c>
      <c r="J2162">
        <v>38655</v>
      </c>
    </row>
    <row r="2163" spans="1:10" x14ac:dyDescent="0.3">
      <c r="A2163" t="s">
        <v>2290</v>
      </c>
      <c r="B2163" s="1">
        <v>45909</v>
      </c>
      <c r="C2163" t="s">
        <v>38</v>
      </c>
      <c r="D2163">
        <v>37</v>
      </c>
      <c r="E2163" t="s">
        <v>33</v>
      </c>
      <c r="F2163" t="s">
        <v>43</v>
      </c>
      <c r="G2163" t="s">
        <v>107</v>
      </c>
      <c r="H2163" t="s">
        <v>211</v>
      </c>
      <c r="I2163">
        <v>22602</v>
      </c>
      <c r="J2163">
        <v>24050</v>
      </c>
    </row>
    <row r="2164" spans="1:10" x14ac:dyDescent="0.3">
      <c r="A2164" t="s">
        <v>2291</v>
      </c>
      <c r="B2164" s="1">
        <v>46020</v>
      </c>
      <c r="C2164" t="s">
        <v>100</v>
      </c>
      <c r="D2164">
        <v>1</v>
      </c>
      <c r="E2164" t="s">
        <v>24</v>
      </c>
      <c r="F2164" t="s">
        <v>75</v>
      </c>
      <c r="G2164" t="s">
        <v>76</v>
      </c>
      <c r="H2164" t="s">
        <v>41</v>
      </c>
      <c r="I2164">
        <v>19619</v>
      </c>
      <c r="J2164">
        <v>22963</v>
      </c>
    </row>
    <row r="2165" spans="1:10" x14ac:dyDescent="0.3">
      <c r="A2165" t="s">
        <v>2292</v>
      </c>
      <c r="B2165" s="1">
        <v>45924</v>
      </c>
      <c r="C2165" t="s">
        <v>38</v>
      </c>
      <c r="D2165">
        <v>39</v>
      </c>
      <c r="E2165" t="s">
        <v>70</v>
      </c>
      <c r="F2165" t="s">
        <v>34</v>
      </c>
      <c r="G2165" t="s">
        <v>35</v>
      </c>
      <c r="H2165" t="s">
        <v>27</v>
      </c>
      <c r="I2165">
        <v>30057</v>
      </c>
      <c r="J2165">
        <v>25613</v>
      </c>
    </row>
    <row r="2166" spans="1:10" x14ac:dyDescent="0.3">
      <c r="A2166" t="s">
        <v>2293</v>
      </c>
      <c r="B2166" s="1">
        <v>45873</v>
      </c>
      <c r="C2166" t="s">
        <v>113</v>
      </c>
      <c r="D2166">
        <v>32</v>
      </c>
      <c r="E2166" t="s">
        <v>24</v>
      </c>
      <c r="F2166" t="s">
        <v>193</v>
      </c>
      <c r="G2166" t="s">
        <v>224</v>
      </c>
      <c r="H2166" t="s">
        <v>123</v>
      </c>
      <c r="I2166">
        <v>38694</v>
      </c>
      <c r="J2166">
        <v>37688</v>
      </c>
    </row>
    <row r="2167" spans="1:10" x14ac:dyDescent="0.3">
      <c r="A2167" t="s">
        <v>2294</v>
      </c>
      <c r="B2167" s="1">
        <v>45701</v>
      </c>
      <c r="C2167" t="s">
        <v>82</v>
      </c>
      <c r="D2167">
        <v>7</v>
      </c>
      <c r="E2167" t="s">
        <v>61</v>
      </c>
      <c r="F2167" t="s">
        <v>50</v>
      </c>
      <c r="G2167" t="s">
        <v>149</v>
      </c>
      <c r="H2167" t="s">
        <v>103</v>
      </c>
      <c r="I2167">
        <v>25138</v>
      </c>
      <c r="J2167">
        <v>27597</v>
      </c>
    </row>
    <row r="2168" spans="1:10" x14ac:dyDescent="0.3">
      <c r="A2168" t="s">
        <v>2295</v>
      </c>
      <c r="B2168" s="1">
        <v>45941</v>
      </c>
      <c r="C2168" t="s">
        <v>66</v>
      </c>
      <c r="D2168">
        <v>41</v>
      </c>
      <c r="E2168" t="s">
        <v>70</v>
      </c>
      <c r="F2168" t="s">
        <v>101</v>
      </c>
      <c r="G2168" t="s">
        <v>54</v>
      </c>
      <c r="H2168" t="s">
        <v>103</v>
      </c>
      <c r="I2168">
        <v>26231</v>
      </c>
      <c r="J2168">
        <v>22957</v>
      </c>
    </row>
    <row r="2169" spans="1:10" x14ac:dyDescent="0.3">
      <c r="A2169" t="s">
        <v>2296</v>
      </c>
      <c r="B2169" s="1">
        <v>45833</v>
      </c>
      <c r="C2169" t="s">
        <v>74</v>
      </c>
      <c r="D2169">
        <v>26</v>
      </c>
      <c r="E2169" t="s">
        <v>24</v>
      </c>
      <c r="F2169" t="s">
        <v>114</v>
      </c>
      <c r="G2169" t="s">
        <v>240</v>
      </c>
      <c r="H2169" t="s">
        <v>123</v>
      </c>
      <c r="I2169">
        <v>18073</v>
      </c>
      <c r="J2169">
        <v>21115</v>
      </c>
    </row>
    <row r="2170" spans="1:10" x14ac:dyDescent="0.3">
      <c r="A2170" t="s">
        <v>2297</v>
      </c>
      <c r="B2170" s="1">
        <v>45925</v>
      </c>
      <c r="C2170" t="s">
        <v>38</v>
      </c>
      <c r="D2170">
        <v>39</v>
      </c>
      <c r="E2170" t="s">
        <v>39</v>
      </c>
      <c r="F2170" t="s">
        <v>122</v>
      </c>
      <c r="G2170" t="s">
        <v>118</v>
      </c>
      <c r="H2170" t="s">
        <v>52</v>
      </c>
      <c r="I2170">
        <v>35854</v>
      </c>
      <c r="J2170">
        <v>29896</v>
      </c>
    </row>
    <row r="2171" spans="1:10" x14ac:dyDescent="0.3">
      <c r="A2171" t="s">
        <v>2298</v>
      </c>
      <c r="B2171" s="1">
        <v>45884</v>
      </c>
      <c r="C2171" t="s">
        <v>113</v>
      </c>
      <c r="D2171">
        <v>33</v>
      </c>
      <c r="E2171" t="s">
        <v>18</v>
      </c>
      <c r="F2171" t="s">
        <v>57</v>
      </c>
      <c r="G2171" t="s">
        <v>132</v>
      </c>
      <c r="H2171" t="s">
        <v>52</v>
      </c>
      <c r="I2171">
        <v>26861</v>
      </c>
      <c r="J2171">
        <v>26876</v>
      </c>
    </row>
    <row r="2172" spans="1:10" x14ac:dyDescent="0.3">
      <c r="A2172" t="s">
        <v>2299</v>
      </c>
      <c r="B2172" s="1">
        <v>45792</v>
      </c>
      <c r="C2172" t="s">
        <v>90</v>
      </c>
      <c r="D2172">
        <v>20</v>
      </c>
      <c r="E2172" t="s">
        <v>33</v>
      </c>
      <c r="F2172" t="s">
        <v>109</v>
      </c>
      <c r="G2172" t="s">
        <v>110</v>
      </c>
      <c r="H2172" t="s">
        <v>80</v>
      </c>
      <c r="I2172">
        <v>23795</v>
      </c>
      <c r="J2172">
        <v>24480</v>
      </c>
    </row>
    <row r="2173" spans="1:10" x14ac:dyDescent="0.3">
      <c r="A2173" t="s">
        <v>2300</v>
      </c>
      <c r="B2173" s="1">
        <v>45734</v>
      </c>
      <c r="C2173" t="s">
        <v>95</v>
      </c>
      <c r="D2173">
        <v>12</v>
      </c>
      <c r="E2173" t="s">
        <v>70</v>
      </c>
      <c r="F2173" t="s">
        <v>78</v>
      </c>
      <c r="G2173" t="s">
        <v>137</v>
      </c>
      <c r="H2173" t="s">
        <v>151</v>
      </c>
      <c r="I2173">
        <v>31179</v>
      </c>
      <c r="J2173">
        <v>37876</v>
      </c>
    </row>
    <row r="2174" spans="1:10" x14ac:dyDescent="0.3">
      <c r="A2174" t="s">
        <v>2301</v>
      </c>
      <c r="B2174" s="1">
        <v>45786</v>
      </c>
      <c r="C2174" t="s">
        <v>90</v>
      </c>
      <c r="D2174">
        <v>19</v>
      </c>
      <c r="E2174" t="s">
        <v>33</v>
      </c>
      <c r="F2174" t="s">
        <v>62</v>
      </c>
      <c r="G2174" t="s">
        <v>201</v>
      </c>
      <c r="H2174" t="s">
        <v>163</v>
      </c>
      <c r="I2174">
        <v>24470</v>
      </c>
      <c r="J2174">
        <v>17799</v>
      </c>
    </row>
    <row r="2175" spans="1:10" x14ac:dyDescent="0.3">
      <c r="A2175" t="s">
        <v>2302</v>
      </c>
      <c r="B2175" s="1">
        <v>45838</v>
      </c>
      <c r="C2175" t="s">
        <v>74</v>
      </c>
      <c r="D2175">
        <v>27</v>
      </c>
      <c r="E2175" t="s">
        <v>18</v>
      </c>
      <c r="F2175" t="s">
        <v>122</v>
      </c>
      <c r="G2175" t="s">
        <v>115</v>
      </c>
      <c r="H2175" t="s">
        <v>27</v>
      </c>
      <c r="I2175">
        <v>31849</v>
      </c>
      <c r="J2175">
        <v>38207</v>
      </c>
    </row>
    <row r="2176" spans="1:10" x14ac:dyDescent="0.3">
      <c r="A2176" t="s">
        <v>2303</v>
      </c>
      <c r="B2176" s="1">
        <v>45877</v>
      </c>
      <c r="C2176" t="s">
        <v>113</v>
      </c>
      <c r="D2176">
        <v>32</v>
      </c>
      <c r="E2176" t="s">
        <v>12</v>
      </c>
      <c r="F2176" t="s">
        <v>50</v>
      </c>
      <c r="G2176" t="s">
        <v>253</v>
      </c>
      <c r="H2176" t="s">
        <v>157</v>
      </c>
      <c r="I2176">
        <v>38699</v>
      </c>
      <c r="J2176">
        <v>40423</v>
      </c>
    </row>
    <row r="2177" spans="1:10" x14ac:dyDescent="0.3">
      <c r="A2177" t="s">
        <v>2304</v>
      </c>
      <c r="B2177" s="1">
        <v>45752</v>
      </c>
      <c r="C2177" t="s">
        <v>86</v>
      </c>
      <c r="D2177">
        <v>14</v>
      </c>
      <c r="E2177" t="s">
        <v>70</v>
      </c>
      <c r="F2177" t="s">
        <v>19</v>
      </c>
      <c r="G2177" t="s">
        <v>126</v>
      </c>
      <c r="H2177" t="s">
        <v>55</v>
      </c>
      <c r="I2177">
        <v>18309</v>
      </c>
      <c r="J2177">
        <v>20427</v>
      </c>
    </row>
    <row r="2178" spans="1:10" x14ac:dyDescent="0.3">
      <c r="A2178" t="s">
        <v>2305</v>
      </c>
      <c r="B2178" s="1">
        <v>45864</v>
      </c>
      <c r="C2178" t="s">
        <v>11</v>
      </c>
      <c r="D2178">
        <v>30</v>
      </c>
      <c r="E2178" t="s">
        <v>39</v>
      </c>
      <c r="F2178" t="s">
        <v>34</v>
      </c>
      <c r="G2178" t="s">
        <v>135</v>
      </c>
      <c r="H2178" t="s">
        <v>165</v>
      </c>
      <c r="I2178">
        <v>36958</v>
      </c>
      <c r="J2178">
        <v>37764</v>
      </c>
    </row>
    <row r="2179" spans="1:10" x14ac:dyDescent="0.3">
      <c r="A2179" t="s">
        <v>2306</v>
      </c>
      <c r="B2179" s="1">
        <v>45963</v>
      </c>
      <c r="C2179" t="s">
        <v>23</v>
      </c>
      <c r="D2179">
        <v>44</v>
      </c>
      <c r="E2179" t="s">
        <v>12</v>
      </c>
      <c r="F2179" t="s">
        <v>43</v>
      </c>
      <c r="G2179" t="s">
        <v>171</v>
      </c>
      <c r="H2179" t="s">
        <v>119</v>
      </c>
      <c r="I2179">
        <v>16989</v>
      </c>
      <c r="J2179">
        <v>15318</v>
      </c>
    </row>
    <row r="2180" spans="1:10" x14ac:dyDescent="0.3">
      <c r="A2180" t="s">
        <v>2307</v>
      </c>
      <c r="B2180" s="1">
        <v>46009</v>
      </c>
      <c r="C2180" t="s">
        <v>100</v>
      </c>
      <c r="D2180">
        <v>51</v>
      </c>
      <c r="E2180" t="s">
        <v>70</v>
      </c>
      <c r="F2180" t="s">
        <v>87</v>
      </c>
      <c r="G2180" t="s">
        <v>266</v>
      </c>
      <c r="H2180" t="s">
        <v>133</v>
      </c>
      <c r="I2180">
        <v>24377</v>
      </c>
      <c r="J2180">
        <v>18176</v>
      </c>
    </row>
    <row r="2181" spans="1:10" x14ac:dyDescent="0.3">
      <c r="A2181" t="s">
        <v>2308</v>
      </c>
      <c r="B2181" s="1">
        <v>46015</v>
      </c>
      <c r="C2181" t="s">
        <v>100</v>
      </c>
      <c r="D2181">
        <v>52</v>
      </c>
      <c r="E2181" t="s">
        <v>33</v>
      </c>
      <c r="F2181" t="s">
        <v>109</v>
      </c>
      <c r="G2181" t="s">
        <v>182</v>
      </c>
      <c r="H2181" t="s">
        <v>157</v>
      </c>
      <c r="I2181">
        <v>29637</v>
      </c>
      <c r="J2181">
        <v>36062</v>
      </c>
    </row>
    <row r="2182" spans="1:10" x14ac:dyDescent="0.3">
      <c r="A2182" t="s">
        <v>2309</v>
      </c>
      <c r="B2182" s="1">
        <v>45881</v>
      </c>
      <c r="C2182" t="s">
        <v>113</v>
      </c>
      <c r="D2182">
        <v>33</v>
      </c>
      <c r="E2182" t="s">
        <v>12</v>
      </c>
      <c r="F2182" t="s">
        <v>50</v>
      </c>
      <c r="G2182" t="s">
        <v>132</v>
      </c>
      <c r="H2182" t="s">
        <v>98</v>
      </c>
      <c r="I2182">
        <v>35850</v>
      </c>
      <c r="J2182">
        <v>36397</v>
      </c>
    </row>
    <row r="2183" spans="1:10" x14ac:dyDescent="0.3">
      <c r="A2183" t="s">
        <v>2310</v>
      </c>
      <c r="B2183" s="1">
        <v>45834</v>
      </c>
      <c r="C2183" t="s">
        <v>74</v>
      </c>
      <c r="D2183">
        <v>26</v>
      </c>
      <c r="E2183" t="s">
        <v>24</v>
      </c>
      <c r="F2183" t="s">
        <v>122</v>
      </c>
      <c r="G2183" t="s">
        <v>20</v>
      </c>
      <c r="H2183" t="s">
        <v>21</v>
      </c>
      <c r="I2183">
        <v>20765</v>
      </c>
      <c r="J2183">
        <v>19276</v>
      </c>
    </row>
    <row r="2184" spans="1:10" x14ac:dyDescent="0.3">
      <c r="A2184" t="s">
        <v>2311</v>
      </c>
      <c r="B2184" s="1">
        <v>45658</v>
      </c>
      <c r="C2184" t="s">
        <v>17</v>
      </c>
      <c r="D2184">
        <v>1</v>
      </c>
      <c r="E2184" t="s">
        <v>18</v>
      </c>
      <c r="F2184" t="s">
        <v>34</v>
      </c>
      <c r="G2184" t="s">
        <v>130</v>
      </c>
      <c r="H2184" t="s">
        <v>165</v>
      </c>
      <c r="I2184">
        <v>20553</v>
      </c>
      <c r="J2184">
        <v>26007</v>
      </c>
    </row>
    <row r="2185" spans="1:10" x14ac:dyDescent="0.3">
      <c r="A2185" t="s">
        <v>2312</v>
      </c>
      <c r="B2185" s="1">
        <v>45987</v>
      </c>
      <c r="C2185" t="s">
        <v>23</v>
      </c>
      <c r="D2185">
        <v>48</v>
      </c>
      <c r="E2185" t="s">
        <v>24</v>
      </c>
      <c r="F2185" t="s">
        <v>50</v>
      </c>
      <c r="G2185" t="s">
        <v>266</v>
      </c>
      <c r="H2185" t="s">
        <v>111</v>
      </c>
      <c r="I2185">
        <v>32644</v>
      </c>
      <c r="J2185">
        <v>39920</v>
      </c>
    </row>
    <row r="2186" spans="1:10" x14ac:dyDescent="0.3">
      <c r="A2186" t="s">
        <v>2313</v>
      </c>
      <c r="B2186" s="1">
        <v>45875</v>
      </c>
      <c r="C2186" t="s">
        <v>113</v>
      </c>
      <c r="D2186">
        <v>32</v>
      </c>
      <c r="E2186" t="s">
        <v>39</v>
      </c>
      <c r="F2186" t="s">
        <v>25</v>
      </c>
      <c r="G2186" t="s">
        <v>20</v>
      </c>
      <c r="H2186" t="s">
        <v>41</v>
      </c>
      <c r="I2186">
        <v>37972</v>
      </c>
      <c r="J2186">
        <v>41684</v>
      </c>
    </row>
    <row r="2187" spans="1:10" x14ac:dyDescent="0.3">
      <c r="A2187" t="s">
        <v>2314</v>
      </c>
      <c r="B2187" s="1">
        <v>46021</v>
      </c>
      <c r="C2187" t="s">
        <v>100</v>
      </c>
      <c r="D2187">
        <v>1</v>
      </c>
      <c r="E2187" t="s">
        <v>12</v>
      </c>
      <c r="F2187" t="s">
        <v>46</v>
      </c>
      <c r="G2187" t="s">
        <v>128</v>
      </c>
      <c r="H2187" t="s">
        <v>36</v>
      </c>
      <c r="I2187">
        <v>20455</v>
      </c>
      <c r="J2187">
        <v>21935</v>
      </c>
    </row>
    <row r="2188" spans="1:10" x14ac:dyDescent="0.3">
      <c r="A2188" t="s">
        <v>2315</v>
      </c>
      <c r="B2188" s="1">
        <v>45806</v>
      </c>
      <c r="C2188" t="s">
        <v>90</v>
      </c>
      <c r="D2188">
        <v>22</v>
      </c>
      <c r="E2188" t="s">
        <v>24</v>
      </c>
      <c r="F2188" t="s">
        <v>109</v>
      </c>
      <c r="G2188" t="s">
        <v>76</v>
      </c>
      <c r="H2188" t="s">
        <v>103</v>
      </c>
      <c r="I2188">
        <v>24423</v>
      </c>
      <c r="J2188">
        <v>31004</v>
      </c>
    </row>
    <row r="2189" spans="1:10" x14ac:dyDescent="0.3">
      <c r="A2189" t="s">
        <v>2316</v>
      </c>
      <c r="B2189" s="1">
        <v>45676</v>
      </c>
      <c r="C2189" t="s">
        <v>17</v>
      </c>
      <c r="D2189">
        <v>3</v>
      </c>
      <c r="E2189" t="s">
        <v>12</v>
      </c>
      <c r="F2189" t="s">
        <v>43</v>
      </c>
      <c r="G2189" t="s">
        <v>126</v>
      </c>
      <c r="H2189" t="s">
        <v>157</v>
      </c>
      <c r="I2189">
        <v>20769</v>
      </c>
      <c r="J2189">
        <v>26391</v>
      </c>
    </row>
    <row r="2190" spans="1:10" x14ac:dyDescent="0.3">
      <c r="A2190" t="s">
        <v>2317</v>
      </c>
      <c r="B2190" s="1">
        <v>45746</v>
      </c>
      <c r="C2190" t="s">
        <v>95</v>
      </c>
      <c r="D2190">
        <v>13</v>
      </c>
      <c r="E2190" t="s">
        <v>70</v>
      </c>
      <c r="F2190" t="s">
        <v>78</v>
      </c>
      <c r="G2190" t="s">
        <v>171</v>
      </c>
      <c r="H2190" t="s">
        <v>68</v>
      </c>
      <c r="I2190">
        <v>20065</v>
      </c>
      <c r="J2190">
        <v>18250</v>
      </c>
    </row>
    <row r="2191" spans="1:10" x14ac:dyDescent="0.3">
      <c r="A2191" t="s">
        <v>2318</v>
      </c>
      <c r="B2191" s="1">
        <v>45969</v>
      </c>
      <c r="C2191" t="s">
        <v>23</v>
      </c>
      <c r="D2191">
        <v>45</v>
      </c>
      <c r="E2191" t="s">
        <v>12</v>
      </c>
      <c r="F2191" t="s">
        <v>62</v>
      </c>
      <c r="G2191" t="s">
        <v>147</v>
      </c>
      <c r="H2191" t="s">
        <v>133</v>
      </c>
      <c r="I2191">
        <v>29072</v>
      </c>
      <c r="J2191">
        <v>34977</v>
      </c>
    </row>
    <row r="2192" spans="1:10" x14ac:dyDescent="0.3">
      <c r="A2192" t="s">
        <v>2319</v>
      </c>
      <c r="B2192" s="1">
        <v>45912</v>
      </c>
      <c r="C2192" t="s">
        <v>38</v>
      </c>
      <c r="D2192">
        <v>37</v>
      </c>
      <c r="E2192" t="s">
        <v>70</v>
      </c>
      <c r="F2192" t="s">
        <v>46</v>
      </c>
      <c r="G2192" t="s">
        <v>141</v>
      </c>
      <c r="H2192" t="s">
        <v>64</v>
      </c>
      <c r="I2192">
        <v>18715</v>
      </c>
      <c r="J2192">
        <v>19689</v>
      </c>
    </row>
    <row r="2193" spans="1:10" x14ac:dyDescent="0.3">
      <c r="A2193" t="s">
        <v>2320</v>
      </c>
      <c r="B2193" s="1">
        <v>45892</v>
      </c>
      <c r="C2193" t="s">
        <v>113</v>
      </c>
      <c r="D2193">
        <v>34</v>
      </c>
      <c r="E2193" t="s">
        <v>70</v>
      </c>
      <c r="F2193" t="s">
        <v>46</v>
      </c>
      <c r="G2193" t="s">
        <v>182</v>
      </c>
      <c r="H2193" t="s">
        <v>55</v>
      </c>
      <c r="I2193">
        <v>15257</v>
      </c>
      <c r="J2193">
        <v>10805</v>
      </c>
    </row>
    <row r="2194" spans="1:10" x14ac:dyDescent="0.3">
      <c r="A2194" t="s">
        <v>2321</v>
      </c>
      <c r="B2194" s="1">
        <v>45781</v>
      </c>
      <c r="C2194" t="s">
        <v>90</v>
      </c>
      <c r="D2194">
        <v>18</v>
      </c>
      <c r="E2194" t="s">
        <v>70</v>
      </c>
      <c r="F2194" t="s">
        <v>34</v>
      </c>
      <c r="G2194" t="s">
        <v>224</v>
      </c>
      <c r="H2194" t="s">
        <v>15</v>
      </c>
      <c r="I2194">
        <v>39270</v>
      </c>
      <c r="J2194">
        <v>43469</v>
      </c>
    </row>
    <row r="2195" spans="1:10" x14ac:dyDescent="0.3">
      <c r="A2195" t="s">
        <v>2322</v>
      </c>
      <c r="B2195" s="1">
        <v>45783</v>
      </c>
      <c r="C2195" t="s">
        <v>90</v>
      </c>
      <c r="D2195">
        <v>19</v>
      </c>
      <c r="E2195" t="s">
        <v>18</v>
      </c>
      <c r="F2195" t="s">
        <v>122</v>
      </c>
      <c r="G2195" t="s">
        <v>191</v>
      </c>
      <c r="H2195" t="s">
        <v>133</v>
      </c>
      <c r="I2195">
        <v>21974</v>
      </c>
      <c r="J2195">
        <v>22822</v>
      </c>
    </row>
    <row r="2196" spans="1:10" x14ac:dyDescent="0.3">
      <c r="A2196" t="s">
        <v>2323</v>
      </c>
      <c r="B2196" s="1">
        <v>45905</v>
      </c>
      <c r="C2196" t="s">
        <v>38</v>
      </c>
      <c r="D2196">
        <v>36</v>
      </c>
      <c r="E2196" t="s">
        <v>33</v>
      </c>
      <c r="F2196" t="s">
        <v>78</v>
      </c>
      <c r="G2196" t="s">
        <v>88</v>
      </c>
      <c r="H2196" t="s">
        <v>155</v>
      </c>
      <c r="I2196">
        <v>36320</v>
      </c>
      <c r="J2196">
        <v>32562</v>
      </c>
    </row>
    <row r="2197" spans="1:10" x14ac:dyDescent="0.3">
      <c r="A2197" t="s">
        <v>2324</v>
      </c>
      <c r="B2197" s="1">
        <v>45802</v>
      </c>
      <c r="C2197" t="s">
        <v>90</v>
      </c>
      <c r="D2197">
        <v>21</v>
      </c>
      <c r="E2197" t="s">
        <v>12</v>
      </c>
      <c r="F2197" t="s">
        <v>34</v>
      </c>
      <c r="G2197" t="s">
        <v>199</v>
      </c>
      <c r="H2197" t="s">
        <v>157</v>
      </c>
      <c r="I2197">
        <v>35312</v>
      </c>
      <c r="J2197">
        <v>40060</v>
      </c>
    </row>
    <row r="2198" spans="1:10" x14ac:dyDescent="0.3">
      <c r="A2198" t="s">
        <v>2325</v>
      </c>
      <c r="B2198" s="1">
        <v>45779</v>
      </c>
      <c r="C2198" t="s">
        <v>90</v>
      </c>
      <c r="D2198">
        <v>18</v>
      </c>
      <c r="E2198" t="s">
        <v>39</v>
      </c>
      <c r="F2198" t="s">
        <v>114</v>
      </c>
      <c r="G2198" t="s">
        <v>76</v>
      </c>
      <c r="H2198" t="s">
        <v>163</v>
      </c>
      <c r="I2198">
        <v>26250</v>
      </c>
      <c r="J2198">
        <v>30389</v>
      </c>
    </row>
    <row r="2199" spans="1:10" x14ac:dyDescent="0.3">
      <c r="A2199" t="s">
        <v>2326</v>
      </c>
      <c r="B2199" s="1">
        <v>45935</v>
      </c>
      <c r="C2199" t="s">
        <v>66</v>
      </c>
      <c r="D2199">
        <v>40</v>
      </c>
      <c r="E2199" t="s">
        <v>70</v>
      </c>
      <c r="F2199" t="s">
        <v>92</v>
      </c>
      <c r="G2199" t="s">
        <v>199</v>
      </c>
      <c r="H2199" t="s">
        <v>80</v>
      </c>
      <c r="I2199">
        <v>38841</v>
      </c>
      <c r="J2199">
        <v>33017</v>
      </c>
    </row>
    <row r="2200" spans="1:10" x14ac:dyDescent="0.3">
      <c r="A2200" t="s">
        <v>2327</v>
      </c>
      <c r="B2200" s="1">
        <v>45790</v>
      </c>
      <c r="C2200" t="s">
        <v>90</v>
      </c>
      <c r="D2200">
        <v>20</v>
      </c>
      <c r="E2200" t="s">
        <v>61</v>
      </c>
      <c r="F2200" t="s">
        <v>34</v>
      </c>
      <c r="G2200" t="s">
        <v>14</v>
      </c>
      <c r="H2200" t="s">
        <v>59</v>
      </c>
      <c r="I2200">
        <v>39889</v>
      </c>
      <c r="J2200">
        <v>50464</v>
      </c>
    </row>
    <row r="2201" spans="1:10" x14ac:dyDescent="0.3">
      <c r="A2201" t="s">
        <v>2328</v>
      </c>
      <c r="B2201" s="1">
        <v>45861</v>
      </c>
      <c r="C2201" t="s">
        <v>11</v>
      </c>
      <c r="D2201">
        <v>30</v>
      </c>
      <c r="E2201" t="s">
        <v>18</v>
      </c>
      <c r="F2201" t="s">
        <v>50</v>
      </c>
      <c r="G2201" t="s">
        <v>147</v>
      </c>
      <c r="H2201" t="s">
        <v>111</v>
      </c>
      <c r="I2201">
        <v>15955</v>
      </c>
      <c r="J2201">
        <v>11705</v>
      </c>
    </row>
    <row r="2202" spans="1:10" x14ac:dyDescent="0.3">
      <c r="A2202" t="s">
        <v>2329</v>
      </c>
      <c r="B2202" s="1">
        <v>45867</v>
      </c>
      <c r="C2202" t="s">
        <v>11</v>
      </c>
      <c r="D2202">
        <v>31</v>
      </c>
      <c r="E2202" t="s">
        <v>33</v>
      </c>
      <c r="F2202" t="s">
        <v>78</v>
      </c>
      <c r="G2202" t="s">
        <v>199</v>
      </c>
      <c r="H2202" t="s">
        <v>133</v>
      </c>
      <c r="I2202">
        <v>28189</v>
      </c>
      <c r="J2202">
        <v>20775</v>
      </c>
    </row>
    <row r="2203" spans="1:10" x14ac:dyDescent="0.3">
      <c r="A2203" t="s">
        <v>2330</v>
      </c>
      <c r="B2203" s="1">
        <v>46005</v>
      </c>
      <c r="C2203" t="s">
        <v>100</v>
      </c>
      <c r="D2203">
        <v>50</v>
      </c>
      <c r="E2203" t="s">
        <v>39</v>
      </c>
      <c r="F2203" t="s">
        <v>57</v>
      </c>
      <c r="G2203" t="s">
        <v>182</v>
      </c>
      <c r="H2203" t="s">
        <v>103</v>
      </c>
      <c r="I2203">
        <v>37661</v>
      </c>
      <c r="J2203">
        <v>48660</v>
      </c>
    </row>
    <row r="2204" spans="1:10" x14ac:dyDescent="0.3">
      <c r="A2204" t="s">
        <v>2331</v>
      </c>
      <c r="B2204" s="1">
        <v>45782</v>
      </c>
      <c r="C2204" t="s">
        <v>90</v>
      </c>
      <c r="D2204">
        <v>19</v>
      </c>
      <c r="E2204" t="s">
        <v>70</v>
      </c>
      <c r="F2204" t="s">
        <v>43</v>
      </c>
      <c r="G2204" t="s">
        <v>324</v>
      </c>
      <c r="H2204" t="s">
        <v>59</v>
      </c>
      <c r="I2204">
        <v>33666</v>
      </c>
      <c r="J2204">
        <v>31600</v>
      </c>
    </row>
    <row r="2205" spans="1:10" x14ac:dyDescent="0.3">
      <c r="A2205" t="s">
        <v>2332</v>
      </c>
      <c r="B2205" s="1">
        <v>45784</v>
      </c>
      <c r="C2205" t="s">
        <v>90</v>
      </c>
      <c r="D2205">
        <v>19</v>
      </c>
      <c r="E2205" t="s">
        <v>70</v>
      </c>
      <c r="F2205" t="s">
        <v>75</v>
      </c>
      <c r="G2205" t="s">
        <v>141</v>
      </c>
      <c r="H2205" t="s">
        <v>155</v>
      </c>
      <c r="I2205">
        <v>37670</v>
      </c>
      <c r="J2205">
        <v>30760</v>
      </c>
    </row>
    <row r="2206" spans="1:10" x14ac:dyDescent="0.3">
      <c r="A2206" t="s">
        <v>2333</v>
      </c>
      <c r="B2206" s="1">
        <v>45776</v>
      </c>
      <c r="C2206" t="s">
        <v>86</v>
      </c>
      <c r="D2206">
        <v>18</v>
      </c>
      <c r="E2206" t="s">
        <v>33</v>
      </c>
      <c r="F2206" t="s">
        <v>122</v>
      </c>
      <c r="G2206" t="s">
        <v>107</v>
      </c>
      <c r="H2206" t="s">
        <v>103</v>
      </c>
      <c r="I2206">
        <v>29175</v>
      </c>
      <c r="J2206">
        <v>29411</v>
      </c>
    </row>
    <row r="2207" spans="1:10" x14ac:dyDescent="0.3">
      <c r="A2207" t="s">
        <v>2334</v>
      </c>
      <c r="B2207" s="1">
        <v>45671</v>
      </c>
      <c r="C2207" t="s">
        <v>17</v>
      </c>
      <c r="D2207">
        <v>3</v>
      </c>
      <c r="E2207" t="s">
        <v>33</v>
      </c>
      <c r="F2207" t="s">
        <v>92</v>
      </c>
      <c r="G2207" t="s">
        <v>199</v>
      </c>
      <c r="H2207" t="s">
        <v>55</v>
      </c>
      <c r="I2207">
        <v>20746</v>
      </c>
      <c r="J2207">
        <v>25899</v>
      </c>
    </row>
    <row r="2208" spans="1:10" x14ac:dyDescent="0.3">
      <c r="A2208" t="s">
        <v>2335</v>
      </c>
      <c r="B2208" s="1">
        <v>45863</v>
      </c>
      <c r="C2208" t="s">
        <v>11</v>
      </c>
      <c r="D2208">
        <v>30</v>
      </c>
      <c r="E2208" t="s">
        <v>33</v>
      </c>
      <c r="F2208" t="s">
        <v>29</v>
      </c>
      <c r="G2208" t="s">
        <v>118</v>
      </c>
      <c r="H2208" t="s">
        <v>155</v>
      </c>
      <c r="I2208">
        <v>39039</v>
      </c>
      <c r="J2208">
        <v>31620</v>
      </c>
    </row>
    <row r="2209" spans="1:10" x14ac:dyDescent="0.3">
      <c r="A2209" t="s">
        <v>2336</v>
      </c>
      <c r="B2209" s="1">
        <v>45848</v>
      </c>
      <c r="C2209" t="s">
        <v>11</v>
      </c>
      <c r="D2209">
        <v>28</v>
      </c>
      <c r="E2209" t="s">
        <v>61</v>
      </c>
      <c r="F2209" t="s">
        <v>13</v>
      </c>
      <c r="G2209" t="s">
        <v>14</v>
      </c>
      <c r="H2209" t="s">
        <v>27</v>
      </c>
      <c r="I2209">
        <v>18299</v>
      </c>
      <c r="J2209">
        <v>23367</v>
      </c>
    </row>
    <row r="2210" spans="1:10" x14ac:dyDescent="0.3">
      <c r="A2210" t="s">
        <v>2337</v>
      </c>
      <c r="B2210" s="1">
        <v>45933</v>
      </c>
      <c r="C2210" t="s">
        <v>66</v>
      </c>
      <c r="D2210">
        <v>40</v>
      </c>
      <c r="E2210" t="s">
        <v>18</v>
      </c>
      <c r="F2210" t="s">
        <v>50</v>
      </c>
      <c r="G2210" t="s">
        <v>182</v>
      </c>
      <c r="H2210" t="s">
        <v>84</v>
      </c>
      <c r="I2210">
        <v>39240</v>
      </c>
      <c r="J2210">
        <v>41947</v>
      </c>
    </row>
    <row r="2211" spans="1:10" x14ac:dyDescent="0.3">
      <c r="A2211" t="s">
        <v>2338</v>
      </c>
      <c r="B2211" s="1">
        <v>45796</v>
      </c>
      <c r="C2211" t="s">
        <v>90</v>
      </c>
      <c r="D2211">
        <v>21</v>
      </c>
      <c r="E2211" t="s">
        <v>70</v>
      </c>
      <c r="F2211" t="s">
        <v>19</v>
      </c>
      <c r="G2211" t="s">
        <v>253</v>
      </c>
      <c r="H2211" t="s">
        <v>48</v>
      </c>
      <c r="I2211">
        <v>27320</v>
      </c>
      <c r="J2211">
        <v>33588</v>
      </c>
    </row>
    <row r="2212" spans="1:10" x14ac:dyDescent="0.3">
      <c r="A2212" t="s">
        <v>2339</v>
      </c>
      <c r="B2212" s="1">
        <v>45870</v>
      </c>
      <c r="C2212" t="s">
        <v>113</v>
      </c>
      <c r="D2212">
        <v>31</v>
      </c>
      <c r="E2212" t="s">
        <v>18</v>
      </c>
      <c r="F2212" t="s">
        <v>46</v>
      </c>
      <c r="G2212" t="s">
        <v>40</v>
      </c>
      <c r="H2212" t="s">
        <v>188</v>
      </c>
      <c r="I2212">
        <v>38782</v>
      </c>
      <c r="J2212">
        <v>33631</v>
      </c>
    </row>
    <row r="2213" spans="1:10" x14ac:dyDescent="0.3">
      <c r="A2213" t="s">
        <v>2340</v>
      </c>
      <c r="B2213" s="1">
        <v>45690</v>
      </c>
      <c r="C2213" t="s">
        <v>82</v>
      </c>
      <c r="D2213">
        <v>5</v>
      </c>
      <c r="E2213" t="s">
        <v>70</v>
      </c>
      <c r="F2213" t="s">
        <v>57</v>
      </c>
      <c r="G2213" t="s">
        <v>67</v>
      </c>
      <c r="H2213" t="s">
        <v>31</v>
      </c>
      <c r="I2213">
        <v>39474</v>
      </c>
      <c r="J2213">
        <v>36719</v>
      </c>
    </row>
    <row r="2214" spans="1:10" x14ac:dyDescent="0.3">
      <c r="A2214" t="s">
        <v>2341</v>
      </c>
      <c r="B2214" s="1">
        <v>45754</v>
      </c>
      <c r="C2214" t="s">
        <v>86</v>
      </c>
      <c r="D2214">
        <v>15</v>
      </c>
      <c r="E2214" t="s">
        <v>24</v>
      </c>
      <c r="F2214" t="s">
        <v>62</v>
      </c>
      <c r="G2214" t="s">
        <v>115</v>
      </c>
      <c r="H2214" t="s">
        <v>163</v>
      </c>
      <c r="I2214">
        <v>33150</v>
      </c>
      <c r="J2214">
        <v>25986</v>
      </c>
    </row>
    <row r="2215" spans="1:10" x14ac:dyDescent="0.3">
      <c r="A2215" t="s">
        <v>2342</v>
      </c>
      <c r="B2215" s="1">
        <v>45958</v>
      </c>
      <c r="C2215" t="s">
        <v>66</v>
      </c>
      <c r="D2215">
        <v>44</v>
      </c>
      <c r="E2215" t="s">
        <v>70</v>
      </c>
      <c r="F2215" t="s">
        <v>62</v>
      </c>
      <c r="G2215" t="s">
        <v>266</v>
      </c>
      <c r="H2215" t="s">
        <v>48</v>
      </c>
      <c r="I2215">
        <v>20725</v>
      </c>
      <c r="J2215">
        <v>26020</v>
      </c>
    </row>
    <row r="2216" spans="1:10" x14ac:dyDescent="0.3">
      <c r="A2216" t="s">
        <v>2343</v>
      </c>
      <c r="B2216" s="1">
        <v>45988</v>
      </c>
      <c r="C2216" t="s">
        <v>23</v>
      </c>
      <c r="D2216">
        <v>48</v>
      </c>
      <c r="E2216" t="s">
        <v>61</v>
      </c>
      <c r="F2216" t="s">
        <v>75</v>
      </c>
      <c r="G2216" t="s">
        <v>191</v>
      </c>
      <c r="H2216" t="s">
        <v>111</v>
      </c>
      <c r="I2216">
        <v>17792</v>
      </c>
      <c r="J2216">
        <v>22862</v>
      </c>
    </row>
    <row r="2217" spans="1:10" x14ac:dyDescent="0.3">
      <c r="A2217" t="s">
        <v>2344</v>
      </c>
      <c r="B2217" s="1">
        <v>45824</v>
      </c>
      <c r="C2217" t="s">
        <v>74</v>
      </c>
      <c r="D2217">
        <v>25</v>
      </c>
      <c r="E2217" t="s">
        <v>18</v>
      </c>
      <c r="F2217" t="s">
        <v>46</v>
      </c>
      <c r="G2217" t="s">
        <v>83</v>
      </c>
      <c r="H2217" t="s">
        <v>211</v>
      </c>
      <c r="I2217">
        <v>17037</v>
      </c>
      <c r="J2217">
        <v>11993</v>
      </c>
    </row>
    <row r="2218" spans="1:10" x14ac:dyDescent="0.3">
      <c r="A2218" t="s">
        <v>2345</v>
      </c>
      <c r="B2218" s="1">
        <v>45706</v>
      </c>
      <c r="C2218" t="s">
        <v>82</v>
      </c>
      <c r="D2218">
        <v>8</v>
      </c>
      <c r="E2218" t="s">
        <v>61</v>
      </c>
      <c r="F2218" t="s">
        <v>109</v>
      </c>
      <c r="G2218" t="s">
        <v>40</v>
      </c>
      <c r="H2218" t="s">
        <v>98</v>
      </c>
      <c r="I2218">
        <v>27646</v>
      </c>
      <c r="J2218">
        <v>35359</v>
      </c>
    </row>
    <row r="2219" spans="1:10" x14ac:dyDescent="0.3">
      <c r="A2219" t="s">
        <v>2346</v>
      </c>
      <c r="B2219" s="1">
        <v>45680</v>
      </c>
      <c r="C2219" t="s">
        <v>17</v>
      </c>
      <c r="D2219">
        <v>4</v>
      </c>
      <c r="E2219" t="s">
        <v>33</v>
      </c>
      <c r="F2219" t="s">
        <v>75</v>
      </c>
      <c r="G2219" t="s">
        <v>63</v>
      </c>
      <c r="H2219" t="s">
        <v>98</v>
      </c>
      <c r="I2219">
        <v>33569</v>
      </c>
      <c r="J2219">
        <v>31034</v>
      </c>
    </row>
    <row r="2220" spans="1:10" x14ac:dyDescent="0.3">
      <c r="A2220" t="s">
        <v>2347</v>
      </c>
      <c r="B2220" s="1">
        <v>45836</v>
      </c>
      <c r="C2220" t="s">
        <v>74</v>
      </c>
      <c r="D2220">
        <v>26</v>
      </c>
      <c r="E2220" t="s">
        <v>24</v>
      </c>
      <c r="F2220" t="s">
        <v>25</v>
      </c>
      <c r="G2220" t="s">
        <v>132</v>
      </c>
      <c r="H2220" t="s">
        <v>27</v>
      </c>
      <c r="I2220">
        <v>22411</v>
      </c>
      <c r="J2220">
        <v>16006</v>
      </c>
    </row>
    <row r="2221" spans="1:10" x14ac:dyDescent="0.3">
      <c r="A2221" t="s">
        <v>2348</v>
      </c>
      <c r="B2221" s="1">
        <v>45826</v>
      </c>
      <c r="C2221" t="s">
        <v>74</v>
      </c>
      <c r="D2221">
        <v>25</v>
      </c>
      <c r="E2221" t="s">
        <v>33</v>
      </c>
      <c r="F2221" t="s">
        <v>19</v>
      </c>
      <c r="G2221" t="s">
        <v>110</v>
      </c>
      <c r="H2221" t="s">
        <v>52</v>
      </c>
      <c r="I2221">
        <v>36537</v>
      </c>
      <c r="J2221">
        <v>40448</v>
      </c>
    </row>
    <row r="2222" spans="1:10" x14ac:dyDescent="0.3">
      <c r="A2222" t="s">
        <v>2349</v>
      </c>
      <c r="B2222" s="1">
        <v>45756</v>
      </c>
      <c r="C2222" t="s">
        <v>86</v>
      </c>
      <c r="D2222">
        <v>15</v>
      </c>
      <c r="E2222" t="s">
        <v>39</v>
      </c>
      <c r="F2222" t="s">
        <v>43</v>
      </c>
      <c r="G2222" t="s">
        <v>201</v>
      </c>
      <c r="H2222" t="s">
        <v>59</v>
      </c>
      <c r="I2222">
        <v>32579</v>
      </c>
      <c r="J2222">
        <v>33153</v>
      </c>
    </row>
    <row r="2223" spans="1:10" x14ac:dyDescent="0.3">
      <c r="A2223" t="s">
        <v>2350</v>
      </c>
      <c r="B2223" s="1">
        <v>45954</v>
      </c>
      <c r="C2223" t="s">
        <v>66</v>
      </c>
      <c r="D2223">
        <v>43</v>
      </c>
      <c r="E2223" t="s">
        <v>24</v>
      </c>
      <c r="F2223" t="s">
        <v>43</v>
      </c>
      <c r="G2223" t="s">
        <v>191</v>
      </c>
      <c r="H2223" t="s">
        <v>157</v>
      </c>
      <c r="I2223">
        <v>34001</v>
      </c>
      <c r="J2223">
        <v>37545</v>
      </c>
    </row>
    <row r="2224" spans="1:10" x14ac:dyDescent="0.3">
      <c r="A2224" t="s">
        <v>2351</v>
      </c>
      <c r="B2224" s="1">
        <v>45785</v>
      </c>
      <c r="C2224" t="s">
        <v>90</v>
      </c>
      <c r="D2224">
        <v>19</v>
      </c>
      <c r="E2224" t="s">
        <v>61</v>
      </c>
      <c r="F2224" t="s">
        <v>25</v>
      </c>
      <c r="G2224" t="s">
        <v>110</v>
      </c>
      <c r="H2224" t="s">
        <v>163</v>
      </c>
      <c r="I2224">
        <v>22825</v>
      </c>
      <c r="J2224">
        <v>20582</v>
      </c>
    </row>
    <row r="2225" spans="1:10" x14ac:dyDescent="0.3">
      <c r="A2225" t="s">
        <v>2352</v>
      </c>
      <c r="B2225" s="1">
        <v>45910</v>
      </c>
      <c r="C2225" t="s">
        <v>38</v>
      </c>
      <c r="D2225">
        <v>37</v>
      </c>
      <c r="E2225" t="s">
        <v>18</v>
      </c>
      <c r="F2225" t="s">
        <v>78</v>
      </c>
      <c r="G2225" t="s">
        <v>35</v>
      </c>
      <c r="H2225" t="s">
        <v>15</v>
      </c>
      <c r="I2225">
        <v>20732</v>
      </c>
      <c r="J2225">
        <v>24454</v>
      </c>
    </row>
    <row r="2226" spans="1:10" x14ac:dyDescent="0.3">
      <c r="A2226" t="s">
        <v>2353</v>
      </c>
      <c r="B2226" s="1">
        <v>45897</v>
      </c>
      <c r="C2226" t="s">
        <v>113</v>
      </c>
      <c r="D2226">
        <v>35</v>
      </c>
      <c r="E2226" t="s">
        <v>24</v>
      </c>
      <c r="F2226" t="s">
        <v>193</v>
      </c>
      <c r="G2226" t="s">
        <v>118</v>
      </c>
      <c r="H2226" t="s">
        <v>68</v>
      </c>
      <c r="I2226">
        <v>34830</v>
      </c>
      <c r="J2226">
        <v>37219</v>
      </c>
    </row>
    <row r="2227" spans="1:10" x14ac:dyDescent="0.3">
      <c r="A2227" t="s">
        <v>2354</v>
      </c>
      <c r="B2227" s="1">
        <v>45818</v>
      </c>
      <c r="C2227" t="s">
        <v>74</v>
      </c>
      <c r="D2227">
        <v>24</v>
      </c>
      <c r="E2227" t="s">
        <v>24</v>
      </c>
      <c r="F2227" t="s">
        <v>57</v>
      </c>
      <c r="G2227" t="s">
        <v>135</v>
      </c>
      <c r="H2227" t="s">
        <v>133</v>
      </c>
      <c r="I2227">
        <v>26423</v>
      </c>
      <c r="J2227">
        <v>25450</v>
      </c>
    </row>
    <row r="2228" spans="1:10" x14ac:dyDescent="0.3">
      <c r="A2228" t="s">
        <v>2355</v>
      </c>
      <c r="B2228" s="1">
        <v>45778</v>
      </c>
      <c r="C2228" t="s">
        <v>90</v>
      </c>
      <c r="D2228">
        <v>18</v>
      </c>
      <c r="E2228" t="s">
        <v>12</v>
      </c>
      <c r="F2228" t="s">
        <v>62</v>
      </c>
      <c r="G2228" t="s">
        <v>20</v>
      </c>
      <c r="H2228" t="s">
        <v>21</v>
      </c>
      <c r="I2228">
        <v>31201</v>
      </c>
      <c r="J2228">
        <v>36369</v>
      </c>
    </row>
    <row r="2229" spans="1:10" x14ac:dyDescent="0.3">
      <c r="A2229" t="s">
        <v>2356</v>
      </c>
      <c r="B2229" s="1">
        <v>45687</v>
      </c>
      <c r="C2229" t="s">
        <v>17</v>
      </c>
      <c r="D2229">
        <v>5</v>
      </c>
      <c r="E2229" t="s">
        <v>18</v>
      </c>
      <c r="F2229" t="s">
        <v>122</v>
      </c>
      <c r="G2229" t="s">
        <v>30</v>
      </c>
      <c r="H2229" t="s">
        <v>52</v>
      </c>
      <c r="I2229">
        <v>32934</v>
      </c>
      <c r="J2229">
        <v>41473</v>
      </c>
    </row>
    <row r="2230" spans="1:10" x14ac:dyDescent="0.3">
      <c r="A2230" t="s">
        <v>2357</v>
      </c>
      <c r="B2230" s="1">
        <v>45793</v>
      </c>
      <c r="C2230" t="s">
        <v>90</v>
      </c>
      <c r="D2230">
        <v>20</v>
      </c>
      <c r="E2230" t="s">
        <v>70</v>
      </c>
      <c r="F2230" t="s">
        <v>114</v>
      </c>
      <c r="G2230" t="s">
        <v>326</v>
      </c>
      <c r="H2230" t="s">
        <v>165</v>
      </c>
      <c r="I2230">
        <v>16035</v>
      </c>
      <c r="J2230">
        <v>11625</v>
      </c>
    </row>
    <row r="2231" spans="1:10" x14ac:dyDescent="0.3">
      <c r="A2231" t="s">
        <v>2358</v>
      </c>
      <c r="B2231" s="1">
        <v>45967</v>
      </c>
      <c r="C2231" t="s">
        <v>23</v>
      </c>
      <c r="D2231">
        <v>45</v>
      </c>
      <c r="E2231" t="s">
        <v>33</v>
      </c>
      <c r="F2231" t="s">
        <v>50</v>
      </c>
      <c r="G2231" t="s">
        <v>240</v>
      </c>
      <c r="H2231" t="s">
        <v>116</v>
      </c>
      <c r="I2231">
        <v>24539</v>
      </c>
      <c r="J2231">
        <v>22639</v>
      </c>
    </row>
    <row r="2232" spans="1:10" x14ac:dyDescent="0.3">
      <c r="A2232" t="s">
        <v>2359</v>
      </c>
      <c r="B2232" s="1">
        <v>45904</v>
      </c>
      <c r="C2232" t="s">
        <v>38</v>
      </c>
      <c r="D2232">
        <v>36</v>
      </c>
      <c r="E2232" t="s">
        <v>39</v>
      </c>
      <c r="F2232" t="s">
        <v>50</v>
      </c>
      <c r="G2232" t="s">
        <v>102</v>
      </c>
      <c r="H2232" t="s">
        <v>84</v>
      </c>
      <c r="I2232">
        <v>17691</v>
      </c>
      <c r="J2232">
        <v>19280</v>
      </c>
    </row>
    <row r="2233" spans="1:10" x14ac:dyDescent="0.3">
      <c r="A2233" t="s">
        <v>2360</v>
      </c>
      <c r="B2233" s="1">
        <v>45819</v>
      </c>
      <c r="C2233" t="s">
        <v>74</v>
      </c>
      <c r="D2233">
        <v>24</v>
      </c>
      <c r="E2233" t="s">
        <v>61</v>
      </c>
      <c r="F2233" t="s">
        <v>101</v>
      </c>
      <c r="G2233" t="s">
        <v>132</v>
      </c>
      <c r="H2233" t="s">
        <v>155</v>
      </c>
      <c r="I2233">
        <v>16600</v>
      </c>
      <c r="J2233">
        <v>19309</v>
      </c>
    </row>
    <row r="2234" spans="1:10" x14ac:dyDescent="0.3">
      <c r="A2234" t="s">
        <v>2361</v>
      </c>
      <c r="B2234" s="1">
        <v>45930</v>
      </c>
      <c r="C2234" t="s">
        <v>38</v>
      </c>
      <c r="D2234">
        <v>40</v>
      </c>
      <c r="E2234" t="s">
        <v>39</v>
      </c>
      <c r="F2234" t="s">
        <v>101</v>
      </c>
      <c r="G2234" t="s">
        <v>234</v>
      </c>
      <c r="H2234" t="s">
        <v>119</v>
      </c>
      <c r="I2234">
        <v>26059</v>
      </c>
      <c r="J2234">
        <v>32209</v>
      </c>
    </row>
    <row r="2235" spans="1:10" x14ac:dyDescent="0.3">
      <c r="A2235" t="s">
        <v>2362</v>
      </c>
      <c r="B2235" s="1">
        <v>45801</v>
      </c>
      <c r="C2235" t="s">
        <v>90</v>
      </c>
      <c r="D2235">
        <v>21</v>
      </c>
      <c r="E2235" t="s">
        <v>18</v>
      </c>
      <c r="F2235" t="s">
        <v>78</v>
      </c>
      <c r="G2235" t="s">
        <v>324</v>
      </c>
      <c r="H2235" t="s">
        <v>36</v>
      </c>
      <c r="I2235">
        <v>29227</v>
      </c>
      <c r="J2235">
        <v>30230</v>
      </c>
    </row>
    <row r="2236" spans="1:10" x14ac:dyDescent="0.3">
      <c r="A2236" t="s">
        <v>2363</v>
      </c>
      <c r="B2236" s="1">
        <v>45918</v>
      </c>
      <c r="C2236" t="s">
        <v>38</v>
      </c>
      <c r="D2236">
        <v>38</v>
      </c>
      <c r="E2236" t="s">
        <v>12</v>
      </c>
      <c r="F2236" t="s">
        <v>29</v>
      </c>
      <c r="G2236" t="s">
        <v>26</v>
      </c>
      <c r="H2236" t="s">
        <v>123</v>
      </c>
      <c r="I2236">
        <v>17545</v>
      </c>
      <c r="J2236">
        <v>18975</v>
      </c>
    </row>
    <row r="2237" spans="1:10" x14ac:dyDescent="0.3">
      <c r="A2237" t="s">
        <v>2364</v>
      </c>
      <c r="B2237" s="1">
        <v>45966</v>
      </c>
      <c r="C2237" t="s">
        <v>23</v>
      </c>
      <c r="D2237">
        <v>45</v>
      </c>
      <c r="E2237" t="s">
        <v>12</v>
      </c>
      <c r="F2237" t="s">
        <v>62</v>
      </c>
      <c r="G2237" t="s">
        <v>182</v>
      </c>
      <c r="H2237" t="s">
        <v>52</v>
      </c>
      <c r="I2237">
        <v>36651</v>
      </c>
      <c r="J2237">
        <v>30912</v>
      </c>
    </row>
    <row r="2238" spans="1:10" x14ac:dyDescent="0.3">
      <c r="A2238" t="s">
        <v>2365</v>
      </c>
      <c r="B2238" s="1">
        <v>45878</v>
      </c>
      <c r="C2238" t="s">
        <v>113</v>
      </c>
      <c r="D2238">
        <v>32</v>
      </c>
      <c r="E2238" t="s">
        <v>12</v>
      </c>
      <c r="F2238" t="s">
        <v>25</v>
      </c>
      <c r="G2238" t="s">
        <v>253</v>
      </c>
      <c r="H2238" t="s">
        <v>111</v>
      </c>
      <c r="I2238">
        <v>15974</v>
      </c>
      <c r="J2238">
        <v>11359</v>
      </c>
    </row>
    <row r="2239" spans="1:10" x14ac:dyDescent="0.3">
      <c r="A2239" t="s">
        <v>2366</v>
      </c>
      <c r="B2239" s="1">
        <v>45665</v>
      </c>
      <c r="C2239" t="s">
        <v>17</v>
      </c>
      <c r="D2239">
        <v>2</v>
      </c>
      <c r="E2239" t="s">
        <v>24</v>
      </c>
      <c r="F2239" t="s">
        <v>25</v>
      </c>
      <c r="G2239" t="s">
        <v>20</v>
      </c>
      <c r="H2239" t="s">
        <v>55</v>
      </c>
      <c r="I2239">
        <v>39040</v>
      </c>
      <c r="J2239">
        <v>35929</v>
      </c>
    </row>
    <row r="2240" spans="1:10" x14ac:dyDescent="0.3">
      <c r="A2240" t="s">
        <v>2367</v>
      </c>
      <c r="B2240" s="1">
        <v>45742</v>
      </c>
      <c r="C2240" t="s">
        <v>95</v>
      </c>
      <c r="D2240">
        <v>13</v>
      </c>
      <c r="E2240" t="s">
        <v>33</v>
      </c>
      <c r="F2240" t="s">
        <v>25</v>
      </c>
      <c r="G2240" t="s">
        <v>145</v>
      </c>
      <c r="H2240" t="s">
        <v>52</v>
      </c>
      <c r="I2240">
        <v>23813</v>
      </c>
      <c r="J2240">
        <v>26575</v>
      </c>
    </row>
    <row r="2241" spans="1:10" x14ac:dyDescent="0.3">
      <c r="A2241" t="s">
        <v>2368</v>
      </c>
      <c r="B2241" s="1">
        <v>45888</v>
      </c>
      <c r="C2241" t="s">
        <v>113</v>
      </c>
      <c r="D2241">
        <v>34</v>
      </c>
      <c r="E2241" t="s">
        <v>70</v>
      </c>
      <c r="F2241" t="s">
        <v>101</v>
      </c>
      <c r="G2241" t="s">
        <v>40</v>
      </c>
      <c r="H2241" t="s">
        <v>123</v>
      </c>
      <c r="I2241">
        <v>25849</v>
      </c>
      <c r="J2241">
        <v>31581</v>
      </c>
    </row>
    <row r="2242" spans="1:10" x14ac:dyDescent="0.3">
      <c r="A2242" t="s">
        <v>2369</v>
      </c>
      <c r="B2242" s="1">
        <v>45794</v>
      </c>
      <c r="C2242" t="s">
        <v>90</v>
      </c>
      <c r="D2242">
        <v>20</v>
      </c>
      <c r="E2242" t="s">
        <v>61</v>
      </c>
      <c r="F2242" t="s">
        <v>57</v>
      </c>
      <c r="G2242" t="s">
        <v>149</v>
      </c>
      <c r="H2242" t="s">
        <v>163</v>
      </c>
      <c r="I2242">
        <v>28428</v>
      </c>
      <c r="J2242">
        <v>35610</v>
      </c>
    </row>
    <row r="2243" spans="1:10" x14ac:dyDescent="0.3">
      <c r="A2243" t="s">
        <v>2370</v>
      </c>
      <c r="B2243" s="1">
        <v>45892</v>
      </c>
      <c r="C2243" t="s">
        <v>113</v>
      </c>
      <c r="D2243">
        <v>34</v>
      </c>
      <c r="E2243" t="s">
        <v>24</v>
      </c>
      <c r="F2243" t="s">
        <v>13</v>
      </c>
      <c r="G2243" t="s">
        <v>88</v>
      </c>
      <c r="H2243" t="s">
        <v>211</v>
      </c>
      <c r="I2243">
        <v>32617</v>
      </c>
      <c r="J2243">
        <v>39589</v>
      </c>
    </row>
    <row r="2244" spans="1:10" x14ac:dyDescent="0.3">
      <c r="A2244" t="s">
        <v>2371</v>
      </c>
      <c r="B2244" s="1">
        <v>45901</v>
      </c>
      <c r="C2244" t="s">
        <v>38</v>
      </c>
      <c r="D2244">
        <v>36</v>
      </c>
      <c r="E2244" t="s">
        <v>24</v>
      </c>
      <c r="F2244" t="s">
        <v>57</v>
      </c>
      <c r="G2244" t="s">
        <v>199</v>
      </c>
      <c r="H2244" t="s">
        <v>211</v>
      </c>
      <c r="I2244">
        <v>17647</v>
      </c>
      <c r="J2244">
        <v>22571</v>
      </c>
    </row>
    <row r="2245" spans="1:10" x14ac:dyDescent="0.3">
      <c r="A2245" t="s">
        <v>2372</v>
      </c>
      <c r="B2245" s="1">
        <v>45729</v>
      </c>
      <c r="C2245" t="s">
        <v>95</v>
      </c>
      <c r="D2245">
        <v>11</v>
      </c>
      <c r="E2245" t="s">
        <v>33</v>
      </c>
      <c r="F2245" t="s">
        <v>109</v>
      </c>
      <c r="G2245" t="s">
        <v>234</v>
      </c>
      <c r="H2245" t="s">
        <v>64</v>
      </c>
      <c r="I2245">
        <v>24912</v>
      </c>
      <c r="J2245">
        <v>21671</v>
      </c>
    </row>
    <row r="2246" spans="1:10" x14ac:dyDescent="0.3">
      <c r="A2246" t="s">
        <v>2373</v>
      </c>
      <c r="B2246" s="1">
        <v>45738</v>
      </c>
      <c r="C2246" t="s">
        <v>95</v>
      </c>
      <c r="D2246">
        <v>12</v>
      </c>
      <c r="E2246" t="s">
        <v>39</v>
      </c>
      <c r="F2246" t="s">
        <v>29</v>
      </c>
      <c r="G2246" t="s">
        <v>141</v>
      </c>
      <c r="H2246" t="s">
        <v>64</v>
      </c>
      <c r="I2246">
        <v>19249</v>
      </c>
      <c r="J2246">
        <v>14148</v>
      </c>
    </row>
    <row r="2247" spans="1:10" x14ac:dyDescent="0.3">
      <c r="A2247" t="s">
        <v>2374</v>
      </c>
      <c r="B2247" s="1">
        <v>45718</v>
      </c>
      <c r="C2247" t="s">
        <v>95</v>
      </c>
      <c r="D2247">
        <v>9</v>
      </c>
      <c r="E2247" t="s">
        <v>12</v>
      </c>
      <c r="F2247" t="s">
        <v>43</v>
      </c>
      <c r="G2247" t="s">
        <v>67</v>
      </c>
      <c r="H2247" t="s">
        <v>68</v>
      </c>
      <c r="I2247">
        <v>24933</v>
      </c>
      <c r="J2247">
        <v>23237</v>
      </c>
    </row>
    <row r="2248" spans="1:10" x14ac:dyDescent="0.3">
      <c r="A2248" t="s">
        <v>2375</v>
      </c>
      <c r="B2248" s="1">
        <v>45662</v>
      </c>
      <c r="C2248" t="s">
        <v>17</v>
      </c>
      <c r="D2248">
        <v>1</v>
      </c>
      <c r="E2248" t="s">
        <v>12</v>
      </c>
      <c r="F2248" t="s">
        <v>46</v>
      </c>
      <c r="G2248" t="s">
        <v>132</v>
      </c>
      <c r="H2248" t="s">
        <v>123</v>
      </c>
      <c r="I2248">
        <v>33341</v>
      </c>
      <c r="J2248">
        <v>29213</v>
      </c>
    </row>
    <row r="2249" spans="1:10" x14ac:dyDescent="0.3">
      <c r="A2249" t="s">
        <v>2376</v>
      </c>
      <c r="B2249" s="1">
        <v>45925</v>
      </c>
      <c r="C2249" t="s">
        <v>38</v>
      </c>
      <c r="D2249">
        <v>39</v>
      </c>
      <c r="E2249" t="s">
        <v>24</v>
      </c>
      <c r="F2249" t="s">
        <v>19</v>
      </c>
      <c r="G2249" t="s">
        <v>266</v>
      </c>
      <c r="H2249" t="s">
        <v>111</v>
      </c>
      <c r="I2249">
        <v>38050</v>
      </c>
      <c r="J2249">
        <v>40705</v>
      </c>
    </row>
    <row r="2250" spans="1:10" x14ac:dyDescent="0.3">
      <c r="A2250" t="s">
        <v>2377</v>
      </c>
      <c r="B2250" s="1">
        <v>45727</v>
      </c>
      <c r="C2250" t="s">
        <v>95</v>
      </c>
      <c r="D2250">
        <v>11</v>
      </c>
      <c r="E2250" t="s">
        <v>61</v>
      </c>
      <c r="F2250" t="s">
        <v>46</v>
      </c>
      <c r="G2250" t="s">
        <v>115</v>
      </c>
      <c r="H2250" t="s">
        <v>59</v>
      </c>
      <c r="I2250">
        <v>29215</v>
      </c>
      <c r="J2250">
        <v>28211</v>
      </c>
    </row>
    <row r="2251" spans="1:10" x14ac:dyDescent="0.3">
      <c r="A2251" t="s">
        <v>2378</v>
      </c>
      <c r="B2251" s="1">
        <v>45833</v>
      </c>
      <c r="C2251" t="s">
        <v>74</v>
      </c>
      <c r="D2251">
        <v>26</v>
      </c>
      <c r="E2251" t="s">
        <v>33</v>
      </c>
      <c r="F2251" t="s">
        <v>114</v>
      </c>
      <c r="G2251" t="s">
        <v>47</v>
      </c>
      <c r="H2251" t="s">
        <v>111</v>
      </c>
      <c r="I2251">
        <v>22633</v>
      </c>
      <c r="J2251">
        <v>21749</v>
      </c>
    </row>
    <row r="2252" spans="1:10" x14ac:dyDescent="0.3">
      <c r="A2252" t="s">
        <v>2379</v>
      </c>
      <c r="B2252" s="1">
        <v>45661</v>
      </c>
      <c r="C2252" t="s">
        <v>17</v>
      </c>
      <c r="D2252">
        <v>1</v>
      </c>
      <c r="E2252" t="s">
        <v>18</v>
      </c>
      <c r="F2252" t="s">
        <v>109</v>
      </c>
      <c r="G2252" t="s">
        <v>102</v>
      </c>
      <c r="H2252" t="s">
        <v>155</v>
      </c>
      <c r="I2252">
        <v>29195</v>
      </c>
      <c r="J2252">
        <v>32396</v>
      </c>
    </row>
    <row r="2253" spans="1:10" x14ac:dyDescent="0.3">
      <c r="A2253" t="s">
        <v>2380</v>
      </c>
      <c r="B2253" s="1">
        <v>45763</v>
      </c>
      <c r="C2253" t="s">
        <v>86</v>
      </c>
      <c r="D2253">
        <v>16</v>
      </c>
      <c r="E2253" t="s">
        <v>61</v>
      </c>
      <c r="F2253" t="s">
        <v>78</v>
      </c>
      <c r="G2253" t="s">
        <v>26</v>
      </c>
      <c r="H2253" t="s">
        <v>116</v>
      </c>
      <c r="I2253">
        <v>33410</v>
      </c>
      <c r="J2253">
        <v>34481</v>
      </c>
    </row>
    <row r="2254" spans="1:10" x14ac:dyDescent="0.3">
      <c r="A2254" t="s">
        <v>2381</v>
      </c>
      <c r="B2254" s="1">
        <v>45873</v>
      </c>
      <c r="C2254" t="s">
        <v>113</v>
      </c>
      <c r="D2254">
        <v>32</v>
      </c>
      <c r="E2254" t="s">
        <v>61</v>
      </c>
      <c r="F2254" t="s">
        <v>101</v>
      </c>
      <c r="G2254" t="s">
        <v>88</v>
      </c>
      <c r="H2254" t="s">
        <v>36</v>
      </c>
      <c r="I2254">
        <v>37197</v>
      </c>
      <c r="J2254">
        <v>42312</v>
      </c>
    </row>
    <row r="2255" spans="1:10" x14ac:dyDescent="0.3">
      <c r="A2255" t="s">
        <v>2382</v>
      </c>
      <c r="B2255" s="1">
        <v>45893</v>
      </c>
      <c r="C2255" t="s">
        <v>113</v>
      </c>
      <c r="D2255">
        <v>34</v>
      </c>
      <c r="E2255" t="s">
        <v>39</v>
      </c>
      <c r="F2255" t="s">
        <v>46</v>
      </c>
      <c r="G2255" t="s">
        <v>135</v>
      </c>
      <c r="H2255" t="s">
        <v>151</v>
      </c>
      <c r="I2255">
        <v>20211</v>
      </c>
      <c r="J2255">
        <v>21852</v>
      </c>
    </row>
    <row r="2256" spans="1:10" x14ac:dyDescent="0.3">
      <c r="A2256" t="s">
        <v>2383</v>
      </c>
      <c r="B2256" s="1">
        <v>45880</v>
      </c>
      <c r="C2256" t="s">
        <v>113</v>
      </c>
      <c r="D2256">
        <v>33</v>
      </c>
      <c r="E2256" t="s">
        <v>70</v>
      </c>
      <c r="F2256" t="s">
        <v>19</v>
      </c>
      <c r="G2256" t="s">
        <v>326</v>
      </c>
      <c r="H2256" t="s">
        <v>36</v>
      </c>
      <c r="I2256">
        <v>27085</v>
      </c>
      <c r="J2256">
        <v>29888</v>
      </c>
    </row>
    <row r="2257" spans="1:10" x14ac:dyDescent="0.3">
      <c r="A2257" t="s">
        <v>2384</v>
      </c>
      <c r="B2257" s="1">
        <v>45753</v>
      </c>
      <c r="C2257" t="s">
        <v>86</v>
      </c>
      <c r="D2257">
        <v>14</v>
      </c>
      <c r="E2257" t="s">
        <v>12</v>
      </c>
      <c r="F2257" t="s">
        <v>122</v>
      </c>
      <c r="G2257" t="s">
        <v>67</v>
      </c>
      <c r="H2257" t="s">
        <v>151</v>
      </c>
      <c r="I2257">
        <v>29499</v>
      </c>
      <c r="J2257">
        <v>23248</v>
      </c>
    </row>
    <row r="2258" spans="1:10" x14ac:dyDescent="0.3">
      <c r="A2258" t="s">
        <v>2385</v>
      </c>
      <c r="B2258" s="1">
        <v>45835</v>
      </c>
      <c r="C2258" t="s">
        <v>74</v>
      </c>
      <c r="D2258">
        <v>26</v>
      </c>
      <c r="E2258" t="s">
        <v>61</v>
      </c>
      <c r="F2258" t="s">
        <v>193</v>
      </c>
      <c r="G2258" t="s">
        <v>44</v>
      </c>
      <c r="H2258" t="s">
        <v>80</v>
      </c>
      <c r="I2258">
        <v>38887</v>
      </c>
      <c r="J2258">
        <v>31874</v>
      </c>
    </row>
    <row r="2259" spans="1:10" x14ac:dyDescent="0.3">
      <c r="A2259" t="s">
        <v>2386</v>
      </c>
      <c r="B2259" s="1">
        <v>45821</v>
      </c>
      <c r="C2259" t="s">
        <v>74</v>
      </c>
      <c r="D2259">
        <v>24</v>
      </c>
      <c r="E2259" t="s">
        <v>61</v>
      </c>
      <c r="F2259" t="s">
        <v>78</v>
      </c>
      <c r="G2259" t="s">
        <v>240</v>
      </c>
      <c r="H2259" t="s">
        <v>157</v>
      </c>
      <c r="I2259">
        <v>38601</v>
      </c>
      <c r="J2259">
        <v>45018</v>
      </c>
    </row>
    <row r="2260" spans="1:10" x14ac:dyDescent="0.3">
      <c r="A2260" t="s">
        <v>2387</v>
      </c>
      <c r="B2260" s="1">
        <v>45990</v>
      </c>
      <c r="C2260" t="s">
        <v>23</v>
      </c>
      <c r="D2260">
        <v>48</v>
      </c>
      <c r="E2260" t="s">
        <v>39</v>
      </c>
      <c r="F2260" t="s">
        <v>57</v>
      </c>
      <c r="G2260" t="s">
        <v>291</v>
      </c>
      <c r="H2260" t="s">
        <v>111</v>
      </c>
      <c r="I2260">
        <v>37584</v>
      </c>
      <c r="J2260">
        <v>44346</v>
      </c>
    </row>
    <row r="2261" spans="1:10" x14ac:dyDescent="0.3">
      <c r="A2261" t="s">
        <v>2388</v>
      </c>
      <c r="B2261" s="1">
        <v>45850</v>
      </c>
      <c r="C2261" t="s">
        <v>11</v>
      </c>
      <c r="D2261">
        <v>28</v>
      </c>
      <c r="E2261" t="s">
        <v>70</v>
      </c>
      <c r="F2261" t="s">
        <v>101</v>
      </c>
      <c r="G2261" t="s">
        <v>147</v>
      </c>
      <c r="H2261" t="s">
        <v>96</v>
      </c>
      <c r="I2261">
        <v>35239</v>
      </c>
      <c r="J2261">
        <v>37766</v>
      </c>
    </row>
    <row r="2262" spans="1:10" x14ac:dyDescent="0.3">
      <c r="A2262" t="s">
        <v>2389</v>
      </c>
      <c r="B2262" s="1">
        <v>45732</v>
      </c>
      <c r="C2262" t="s">
        <v>95</v>
      </c>
      <c r="D2262">
        <v>11</v>
      </c>
      <c r="E2262" t="s">
        <v>70</v>
      </c>
      <c r="F2262" t="s">
        <v>109</v>
      </c>
      <c r="G2262" t="s">
        <v>206</v>
      </c>
      <c r="H2262" t="s">
        <v>188</v>
      </c>
      <c r="I2262">
        <v>36353</v>
      </c>
      <c r="J2262">
        <v>39439</v>
      </c>
    </row>
    <row r="2263" spans="1:10" x14ac:dyDescent="0.3">
      <c r="A2263" t="s">
        <v>2390</v>
      </c>
      <c r="B2263" s="1">
        <v>45702</v>
      </c>
      <c r="C2263" t="s">
        <v>82</v>
      </c>
      <c r="D2263">
        <v>7</v>
      </c>
      <c r="E2263" t="s">
        <v>61</v>
      </c>
      <c r="F2263" t="s">
        <v>34</v>
      </c>
      <c r="G2263" t="s">
        <v>118</v>
      </c>
      <c r="H2263" t="s">
        <v>15</v>
      </c>
      <c r="I2263">
        <v>16799</v>
      </c>
      <c r="J2263">
        <v>15829</v>
      </c>
    </row>
    <row r="2264" spans="1:10" x14ac:dyDescent="0.3">
      <c r="A2264" t="s">
        <v>2391</v>
      </c>
      <c r="B2264" s="1">
        <v>45742</v>
      </c>
      <c r="C2264" t="s">
        <v>95</v>
      </c>
      <c r="D2264">
        <v>13</v>
      </c>
      <c r="E2264" t="s">
        <v>61</v>
      </c>
      <c r="F2264" t="s">
        <v>34</v>
      </c>
      <c r="G2264" t="s">
        <v>110</v>
      </c>
      <c r="H2264" t="s">
        <v>211</v>
      </c>
      <c r="I2264">
        <v>27915</v>
      </c>
      <c r="J2264">
        <v>31549</v>
      </c>
    </row>
    <row r="2265" spans="1:10" x14ac:dyDescent="0.3">
      <c r="A2265" t="s">
        <v>2392</v>
      </c>
      <c r="B2265" s="1">
        <v>45839</v>
      </c>
      <c r="C2265" t="s">
        <v>11</v>
      </c>
      <c r="D2265">
        <v>27</v>
      </c>
      <c r="E2265" t="s">
        <v>33</v>
      </c>
      <c r="F2265" t="s">
        <v>62</v>
      </c>
      <c r="G2265" t="s">
        <v>110</v>
      </c>
      <c r="H2265" t="s">
        <v>155</v>
      </c>
      <c r="I2265">
        <v>27471</v>
      </c>
      <c r="J2265">
        <v>20298</v>
      </c>
    </row>
    <row r="2266" spans="1:10" x14ac:dyDescent="0.3">
      <c r="A2266" t="s">
        <v>2393</v>
      </c>
      <c r="B2266" s="1">
        <v>45896</v>
      </c>
      <c r="C2266" t="s">
        <v>113</v>
      </c>
      <c r="D2266">
        <v>35</v>
      </c>
      <c r="E2266" t="s">
        <v>39</v>
      </c>
      <c r="F2266" t="s">
        <v>109</v>
      </c>
      <c r="G2266" t="s">
        <v>234</v>
      </c>
      <c r="H2266" t="s">
        <v>52</v>
      </c>
      <c r="I2266">
        <v>22565</v>
      </c>
      <c r="J2266">
        <v>20001</v>
      </c>
    </row>
    <row r="2267" spans="1:10" x14ac:dyDescent="0.3">
      <c r="A2267" t="s">
        <v>2394</v>
      </c>
      <c r="B2267" s="1">
        <v>45725</v>
      </c>
      <c r="C2267" t="s">
        <v>95</v>
      </c>
      <c r="D2267">
        <v>10</v>
      </c>
      <c r="E2267" t="s">
        <v>12</v>
      </c>
      <c r="F2267" t="s">
        <v>122</v>
      </c>
      <c r="G2267" t="s">
        <v>266</v>
      </c>
      <c r="H2267" t="s">
        <v>165</v>
      </c>
      <c r="I2267">
        <v>30748</v>
      </c>
      <c r="J2267">
        <v>21553</v>
      </c>
    </row>
    <row r="2268" spans="1:10" x14ac:dyDescent="0.3">
      <c r="A2268" t="s">
        <v>2395</v>
      </c>
      <c r="B2268" s="1">
        <v>45973</v>
      </c>
      <c r="C2268" t="s">
        <v>23</v>
      </c>
      <c r="D2268">
        <v>46</v>
      </c>
      <c r="E2268" t="s">
        <v>12</v>
      </c>
      <c r="F2268" t="s">
        <v>13</v>
      </c>
      <c r="G2268" t="s">
        <v>234</v>
      </c>
      <c r="H2268" t="s">
        <v>55</v>
      </c>
      <c r="I2268">
        <v>27009</v>
      </c>
      <c r="J2268">
        <v>22520</v>
      </c>
    </row>
    <row r="2269" spans="1:10" x14ac:dyDescent="0.3">
      <c r="A2269" t="s">
        <v>2396</v>
      </c>
      <c r="B2269" s="1">
        <v>45859</v>
      </c>
      <c r="C2269" t="s">
        <v>11</v>
      </c>
      <c r="D2269">
        <v>30</v>
      </c>
      <c r="E2269" t="s">
        <v>12</v>
      </c>
      <c r="F2269" t="s">
        <v>109</v>
      </c>
      <c r="G2269" t="s">
        <v>160</v>
      </c>
      <c r="H2269" t="s">
        <v>188</v>
      </c>
      <c r="I2269">
        <v>33869</v>
      </c>
      <c r="J2269">
        <v>42245</v>
      </c>
    </row>
    <row r="2270" spans="1:10" x14ac:dyDescent="0.3">
      <c r="A2270" t="s">
        <v>2397</v>
      </c>
      <c r="B2270" s="1">
        <v>45738</v>
      </c>
      <c r="C2270" t="s">
        <v>95</v>
      </c>
      <c r="D2270">
        <v>12</v>
      </c>
      <c r="E2270" t="s">
        <v>70</v>
      </c>
      <c r="F2270" t="s">
        <v>50</v>
      </c>
      <c r="G2270" t="s">
        <v>76</v>
      </c>
      <c r="H2270" t="s">
        <v>59</v>
      </c>
      <c r="I2270">
        <v>30725</v>
      </c>
      <c r="J2270">
        <v>24652</v>
      </c>
    </row>
    <row r="2271" spans="1:10" x14ac:dyDescent="0.3">
      <c r="A2271" t="s">
        <v>2398</v>
      </c>
      <c r="B2271" s="1">
        <v>45812</v>
      </c>
      <c r="C2271" t="s">
        <v>74</v>
      </c>
      <c r="D2271">
        <v>23</v>
      </c>
      <c r="E2271" t="s">
        <v>18</v>
      </c>
      <c r="F2271" t="s">
        <v>19</v>
      </c>
      <c r="G2271" t="s">
        <v>253</v>
      </c>
      <c r="H2271" t="s">
        <v>21</v>
      </c>
      <c r="I2271">
        <v>20174</v>
      </c>
      <c r="J2271">
        <v>20351</v>
      </c>
    </row>
    <row r="2272" spans="1:10" x14ac:dyDescent="0.3">
      <c r="A2272" t="s">
        <v>2399</v>
      </c>
      <c r="B2272" s="1">
        <v>45951</v>
      </c>
      <c r="C2272" t="s">
        <v>66</v>
      </c>
      <c r="D2272">
        <v>43</v>
      </c>
      <c r="E2272" t="s">
        <v>24</v>
      </c>
      <c r="F2272" t="s">
        <v>62</v>
      </c>
      <c r="G2272" t="s">
        <v>35</v>
      </c>
      <c r="H2272" t="s">
        <v>59</v>
      </c>
      <c r="I2272">
        <v>21614</v>
      </c>
      <c r="J2272">
        <v>21603</v>
      </c>
    </row>
    <row r="2273" spans="1:10" x14ac:dyDescent="0.3">
      <c r="A2273" t="s">
        <v>2400</v>
      </c>
      <c r="B2273" s="1">
        <v>45980</v>
      </c>
      <c r="C2273" t="s">
        <v>23</v>
      </c>
      <c r="D2273">
        <v>47</v>
      </c>
      <c r="E2273" t="s">
        <v>33</v>
      </c>
      <c r="F2273" t="s">
        <v>101</v>
      </c>
      <c r="G2273" t="s">
        <v>26</v>
      </c>
      <c r="H2273" t="s">
        <v>133</v>
      </c>
      <c r="I2273">
        <v>21490</v>
      </c>
      <c r="J2273">
        <v>17481</v>
      </c>
    </row>
    <row r="2274" spans="1:10" x14ac:dyDescent="0.3">
      <c r="A2274" t="s">
        <v>2401</v>
      </c>
      <c r="B2274" s="1">
        <v>45834</v>
      </c>
      <c r="C2274" t="s">
        <v>74</v>
      </c>
      <c r="D2274">
        <v>26</v>
      </c>
      <c r="E2274" t="s">
        <v>39</v>
      </c>
      <c r="F2274" t="s">
        <v>43</v>
      </c>
      <c r="G2274" t="s">
        <v>47</v>
      </c>
      <c r="H2274" t="s">
        <v>31</v>
      </c>
      <c r="I2274">
        <v>27206</v>
      </c>
      <c r="J2274">
        <v>19598</v>
      </c>
    </row>
    <row r="2275" spans="1:10" x14ac:dyDescent="0.3">
      <c r="A2275" t="s">
        <v>2402</v>
      </c>
      <c r="B2275" s="1">
        <v>45721</v>
      </c>
      <c r="C2275" t="s">
        <v>95</v>
      </c>
      <c r="D2275">
        <v>10</v>
      </c>
      <c r="E2275" t="s">
        <v>39</v>
      </c>
      <c r="F2275" t="s">
        <v>13</v>
      </c>
      <c r="G2275" t="s">
        <v>40</v>
      </c>
      <c r="H2275" t="s">
        <v>133</v>
      </c>
      <c r="I2275">
        <v>18669</v>
      </c>
      <c r="J2275">
        <v>24067</v>
      </c>
    </row>
    <row r="2276" spans="1:10" x14ac:dyDescent="0.3">
      <c r="A2276" t="s">
        <v>2403</v>
      </c>
      <c r="B2276" s="1">
        <v>45726</v>
      </c>
      <c r="C2276" t="s">
        <v>95</v>
      </c>
      <c r="D2276">
        <v>11</v>
      </c>
      <c r="E2276" t="s">
        <v>12</v>
      </c>
      <c r="F2276" t="s">
        <v>193</v>
      </c>
      <c r="G2276" t="s">
        <v>201</v>
      </c>
      <c r="H2276" t="s">
        <v>211</v>
      </c>
      <c r="I2276">
        <v>19820</v>
      </c>
      <c r="J2276">
        <v>23701</v>
      </c>
    </row>
    <row r="2277" spans="1:10" x14ac:dyDescent="0.3">
      <c r="A2277" t="s">
        <v>2404</v>
      </c>
      <c r="B2277" s="1">
        <v>45725</v>
      </c>
      <c r="C2277" t="s">
        <v>95</v>
      </c>
      <c r="D2277">
        <v>10</v>
      </c>
      <c r="E2277" t="s">
        <v>39</v>
      </c>
      <c r="F2277" t="s">
        <v>62</v>
      </c>
      <c r="G2277" t="s">
        <v>88</v>
      </c>
      <c r="H2277" t="s">
        <v>111</v>
      </c>
      <c r="I2277">
        <v>15449</v>
      </c>
      <c r="J2277">
        <v>12696</v>
      </c>
    </row>
    <row r="2278" spans="1:10" x14ac:dyDescent="0.3">
      <c r="A2278" t="s">
        <v>2405</v>
      </c>
      <c r="B2278" s="1">
        <v>45780</v>
      </c>
      <c r="C2278" t="s">
        <v>90</v>
      </c>
      <c r="D2278">
        <v>18</v>
      </c>
      <c r="E2278" t="s">
        <v>18</v>
      </c>
      <c r="F2278" t="s">
        <v>78</v>
      </c>
      <c r="G2278" t="s">
        <v>230</v>
      </c>
      <c r="H2278" t="s">
        <v>21</v>
      </c>
      <c r="I2278">
        <v>38767</v>
      </c>
      <c r="J2278">
        <v>46592</v>
      </c>
    </row>
    <row r="2279" spans="1:10" x14ac:dyDescent="0.3">
      <c r="A2279" t="s">
        <v>2406</v>
      </c>
      <c r="B2279" s="1">
        <v>45710</v>
      </c>
      <c r="C2279" t="s">
        <v>82</v>
      </c>
      <c r="D2279">
        <v>8</v>
      </c>
      <c r="E2279" t="s">
        <v>39</v>
      </c>
      <c r="F2279" t="s">
        <v>34</v>
      </c>
      <c r="G2279" t="s">
        <v>182</v>
      </c>
      <c r="H2279" t="s">
        <v>133</v>
      </c>
      <c r="I2279">
        <v>39926</v>
      </c>
      <c r="J2279">
        <v>31255</v>
      </c>
    </row>
    <row r="2280" spans="1:10" x14ac:dyDescent="0.3">
      <c r="A2280" t="s">
        <v>2407</v>
      </c>
      <c r="B2280" s="1">
        <v>45679</v>
      </c>
      <c r="C2280" t="s">
        <v>17</v>
      </c>
      <c r="D2280">
        <v>4</v>
      </c>
      <c r="E2280" t="s">
        <v>18</v>
      </c>
      <c r="F2280" t="s">
        <v>43</v>
      </c>
      <c r="G2280" t="s">
        <v>132</v>
      </c>
      <c r="H2280" t="s">
        <v>15</v>
      </c>
      <c r="I2280">
        <v>18336</v>
      </c>
      <c r="J2280">
        <v>22842</v>
      </c>
    </row>
    <row r="2281" spans="1:10" x14ac:dyDescent="0.3">
      <c r="A2281" t="s">
        <v>2408</v>
      </c>
      <c r="B2281" s="1">
        <v>45861</v>
      </c>
      <c r="C2281" t="s">
        <v>11</v>
      </c>
      <c r="D2281">
        <v>30</v>
      </c>
      <c r="E2281" t="s">
        <v>18</v>
      </c>
      <c r="F2281" t="s">
        <v>43</v>
      </c>
      <c r="G2281" t="s">
        <v>88</v>
      </c>
      <c r="H2281" t="s">
        <v>165</v>
      </c>
      <c r="I2281">
        <v>31651</v>
      </c>
      <c r="J2281">
        <v>29449</v>
      </c>
    </row>
    <row r="2282" spans="1:10" x14ac:dyDescent="0.3">
      <c r="A2282" t="s">
        <v>2409</v>
      </c>
      <c r="B2282" s="1">
        <v>45677</v>
      </c>
      <c r="C2282" t="s">
        <v>17</v>
      </c>
      <c r="D2282">
        <v>4</v>
      </c>
      <c r="E2282" t="s">
        <v>33</v>
      </c>
      <c r="F2282" t="s">
        <v>29</v>
      </c>
      <c r="G2282" t="s">
        <v>47</v>
      </c>
      <c r="H2282" t="s">
        <v>96</v>
      </c>
      <c r="I2282">
        <v>27519</v>
      </c>
      <c r="J2282">
        <v>31837</v>
      </c>
    </row>
    <row r="2283" spans="1:10" x14ac:dyDescent="0.3">
      <c r="A2283" t="s">
        <v>2410</v>
      </c>
      <c r="B2283" s="1">
        <v>45859</v>
      </c>
      <c r="C2283" t="s">
        <v>11</v>
      </c>
      <c r="D2283">
        <v>30</v>
      </c>
      <c r="E2283" t="s">
        <v>39</v>
      </c>
      <c r="F2283" t="s">
        <v>78</v>
      </c>
      <c r="G2283" t="s">
        <v>93</v>
      </c>
      <c r="H2283" t="s">
        <v>163</v>
      </c>
      <c r="I2283">
        <v>19474</v>
      </c>
      <c r="J2283">
        <v>16831</v>
      </c>
    </row>
    <row r="2284" spans="1:10" x14ac:dyDescent="0.3">
      <c r="A2284" t="s">
        <v>2411</v>
      </c>
      <c r="B2284" s="1">
        <v>45729</v>
      </c>
      <c r="C2284" t="s">
        <v>95</v>
      </c>
      <c r="D2284">
        <v>11</v>
      </c>
      <c r="E2284" t="s">
        <v>24</v>
      </c>
      <c r="F2284" t="s">
        <v>109</v>
      </c>
      <c r="G2284" t="s">
        <v>51</v>
      </c>
      <c r="H2284" t="s">
        <v>64</v>
      </c>
      <c r="I2284">
        <v>39372</v>
      </c>
      <c r="J2284">
        <v>47281</v>
      </c>
    </row>
    <row r="2285" spans="1:10" x14ac:dyDescent="0.3">
      <c r="A2285" t="s">
        <v>2412</v>
      </c>
      <c r="B2285" s="1">
        <v>45897</v>
      </c>
      <c r="C2285" t="s">
        <v>113</v>
      </c>
      <c r="D2285">
        <v>35</v>
      </c>
      <c r="E2285" t="s">
        <v>24</v>
      </c>
      <c r="F2285" t="s">
        <v>75</v>
      </c>
      <c r="G2285" t="s">
        <v>115</v>
      </c>
      <c r="H2285" t="s">
        <v>133</v>
      </c>
      <c r="I2285">
        <v>28272</v>
      </c>
      <c r="J2285">
        <v>31184</v>
      </c>
    </row>
    <row r="2286" spans="1:10" x14ac:dyDescent="0.3">
      <c r="A2286" t="s">
        <v>2413</v>
      </c>
      <c r="B2286" s="1">
        <v>45841</v>
      </c>
      <c r="C2286" t="s">
        <v>11</v>
      </c>
      <c r="D2286">
        <v>27</v>
      </c>
      <c r="E2286" t="s">
        <v>18</v>
      </c>
      <c r="F2286" t="s">
        <v>46</v>
      </c>
      <c r="G2286" t="s">
        <v>47</v>
      </c>
      <c r="H2286" t="s">
        <v>84</v>
      </c>
      <c r="I2286">
        <v>19105</v>
      </c>
      <c r="J2286">
        <v>18236</v>
      </c>
    </row>
    <row r="2287" spans="1:10" x14ac:dyDescent="0.3">
      <c r="A2287" t="s">
        <v>2414</v>
      </c>
      <c r="B2287" s="1">
        <v>45936</v>
      </c>
      <c r="C2287" t="s">
        <v>66</v>
      </c>
      <c r="D2287">
        <v>41</v>
      </c>
      <c r="E2287" t="s">
        <v>33</v>
      </c>
      <c r="F2287" t="s">
        <v>109</v>
      </c>
      <c r="G2287" t="s">
        <v>79</v>
      </c>
      <c r="H2287" t="s">
        <v>188</v>
      </c>
      <c r="I2287">
        <v>20478</v>
      </c>
      <c r="J2287">
        <v>18564</v>
      </c>
    </row>
    <row r="2288" spans="1:10" x14ac:dyDescent="0.3">
      <c r="A2288" t="s">
        <v>2415</v>
      </c>
      <c r="B2288" s="1">
        <v>45676</v>
      </c>
      <c r="C2288" t="s">
        <v>17</v>
      </c>
      <c r="D2288">
        <v>3</v>
      </c>
      <c r="E2288" t="s">
        <v>61</v>
      </c>
      <c r="F2288" t="s">
        <v>140</v>
      </c>
      <c r="G2288" t="s">
        <v>145</v>
      </c>
      <c r="H2288" t="s">
        <v>103</v>
      </c>
      <c r="I2288">
        <v>38529</v>
      </c>
      <c r="J2288">
        <v>32136</v>
      </c>
    </row>
    <row r="2289" spans="1:10" x14ac:dyDescent="0.3">
      <c r="A2289" t="s">
        <v>2416</v>
      </c>
      <c r="B2289" s="1">
        <v>45996</v>
      </c>
      <c r="C2289" t="s">
        <v>100</v>
      </c>
      <c r="D2289">
        <v>49</v>
      </c>
      <c r="E2289" t="s">
        <v>24</v>
      </c>
      <c r="F2289" t="s">
        <v>193</v>
      </c>
      <c r="G2289" t="s">
        <v>35</v>
      </c>
      <c r="H2289" t="s">
        <v>52</v>
      </c>
      <c r="I2289">
        <v>24062</v>
      </c>
      <c r="J2289">
        <v>28510</v>
      </c>
    </row>
    <row r="2290" spans="1:10" x14ac:dyDescent="0.3">
      <c r="A2290" t="s">
        <v>2417</v>
      </c>
      <c r="B2290" s="1">
        <v>45882</v>
      </c>
      <c r="C2290" t="s">
        <v>113</v>
      </c>
      <c r="D2290">
        <v>33</v>
      </c>
      <c r="E2290" t="s">
        <v>18</v>
      </c>
      <c r="F2290" t="s">
        <v>50</v>
      </c>
      <c r="G2290" t="s">
        <v>79</v>
      </c>
      <c r="H2290" t="s">
        <v>188</v>
      </c>
      <c r="I2290">
        <v>17819</v>
      </c>
      <c r="J2290">
        <v>15181</v>
      </c>
    </row>
    <row r="2291" spans="1:10" x14ac:dyDescent="0.3">
      <c r="A2291" t="s">
        <v>2418</v>
      </c>
      <c r="B2291" s="1">
        <v>45788</v>
      </c>
      <c r="C2291" t="s">
        <v>90</v>
      </c>
      <c r="D2291">
        <v>19</v>
      </c>
      <c r="E2291" t="s">
        <v>24</v>
      </c>
      <c r="F2291" t="s">
        <v>46</v>
      </c>
      <c r="G2291" t="s">
        <v>160</v>
      </c>
      <c r="H2291" t="s">
        <v>243</v>
      </c>
      <c r="I2291">
        <v>34158</v>
      </c>
      <c r="J2291">
        <v>41307</v>
      </c>
    </row>
    <row r="2292" spans="1:10" x14ac:dyDescent="0.3">
      <c r="A2292" t="s">
        <v>2419</v>
      </c>
      <c r="B2292" s="1">
        <v>45667</v>
      </c>
      <c r="C2292" t="s">
        <v>17</v>
      </c>
      <c r="D2292">
        <v>2</v>
      </c>
      <c r="E2292" t="s">
        <v>18</v>
      </c>
      <c r="F2292" t="s">
        <v>92</v>
      </c>
      <c r="G2292" t="s">
        <v>199</v>
      </c>
      <c r="H2292" t="s">
        <v>80</v>
      </c>
      <c r="I2292">
        <v>21560</v>
      </c>
      <c r="J2292">
        <v>27715</v>
      </c>
    </row>
    <row r="2293" spans="1:10" x14ac:dyDescent="0.3">
      <c r="A2293" t="s">
        <v>2420</v>
      </c>
      <c r="B2293" s="1">
        <v>45907</v>
      </c>
      <c r="C2293" t="s">
        <v>38</v>
      </c>
      <c r="D2293">
        <v>36</v>
      </c>
      <c r="E2293" t="s">
        <v>18</v>
      </c>
      <c r="F2293" t="s">
        <v>62</v>
      </c>
      <c r="G2293" t="s">
        <v>26</v>
      </c>
      <c r="H2293" t="s">
        <v>163</v>
      </c>
      <c r="I2293">
        <v>38217</v>
      </c>
      <c r="J2293">
        <v>35950</v>
      </c>
    </row>
    <row r="2294" spans="1:10" x14ac:dyDescent="0.3">
      <c r="A2294" t="s">
        <v>2421</v>
      </c>
      <c r="B2294" s="1">
        <v>45670</v>
      </c>
      <c r="C2294" t="s">
        <v>17</v>
      </c>
      <c r="D2294">
        <v>3</v>
      </c>
      <c r="E2294" t="s">
        <v>24</v>
      </c>
      <c r="F2294" t="s">
        <v>92</v>
      </c>
      <c r="G2294" t="s">
        <v>88</v>
      </c>
      <c r="H2294" t="s">
        <v>155</v>
      </c>
      <c r="I2294">
        <v>33048</v>
      </c>
      <c r="J2294">
        <v>35544</v>
      </c>
    </row>
    <row r="2295" spans="1:10" x14ac:dyDescent="0.3">
      <c r="A2295" t="s">
        <v>2422</v>
      </c>
      <c r="B2295" s="1">
        <v>45807</v>
      </c>
      <c r="C2295" t="s">
        <v>90</v>
      </c>
      <c r="D2295">
        <v>22</v>
      </c>
      <c r="E2295" t="s">
        <v>12</v>
      </c>
      <c r="F2295" t="s">
        <v>46</v>
      </c>
      <c r="G2295" t="s">
        <v>79</v>
      </c>
      <c r="H2295" t="s">
        <v>80</v>
      </c>
      <c r="I2295">
        <v>22480</v>
      </c>
      <c r="J2295">
        <v>20442</v>
      </c>
    </row>
    <row r="2296" spans="1:10" x14ac:dyDescent="0.3">
      <c r="A2296" t="s">
        <v>2423</v>
      </c>
      <c r="B2296" s="1">
        <v>46014</v>
      </c>
      <c r="C2296" t="s">
        <v>100</v>
      </c>
      <c r="D2296">
        <v>52</v>
      </c>
      <c r="E2296" t="s">
        <v>70</v>
      </c>
      <c r="F2296" t="s">
        <v>109</v>
      </c>
      <c r="G2296" t="s">
        <v>26</v>
      </c>
      <c r="H2296" t="s">
        <v>15</v>
      </c>
      <c r="I2296">
        <v>35454</v>
      </c>
      <c r="J2296">
        <v>41443</v>
      </c>
    </row>
    <row r="2297" spans="1:10" x14ac:dyDescent="0.3">
      <c r="A2297" t="s">
        <v>2424</v>
      </c>
      <c r="B2297" s="1">
        <v>45828</v>
      </c>
      <c r="C2297" t="s">
        <v>74</v>
      </c>
      <c r="D2297">
        <v>25</v>
      </c>
      <c r="E2297" t="s">
        <v>33</v>
      </c>
      <c r="F2297" t="s">
        <v>46</v>
      </c>
      <c r="G2297" t="s">
        <v>147</v>
      </c>
      <c r="H2297" t="s">
        <v>48</v>
      </c>
      <c r="I2297">
        <v>35460</v>
      </c>
      <c r="J2297">
        <v>43688</v>
      </c>
    </row>
    <row r="2298" spans="1:10" x14ac:dyDescent="0.3">
      <c r="A2298" t="s">
        <v>2425</v>
      </c>
      <c r="B2298" s="1">
        <v>45944</v>
      </c>
      <c r="C2298" t="s">
        <v>66</v>
      </c>
      <c r="D2298">
        <v>42</v>
      </c>
      <c r="E2298" t="s">
        <v>39</v>
      </c>
      <c r="F2298" t="s">
        <v>13</v>
      </c>
      <c r="G2298" t="s">
        <v>107</v>
      </c>
      <c r="H2298" t="s">
        <v>98</v>
      </c>
      <c r="I2298">
        <v>28369</v>
      </c>
      <c r="J2298">
        <v>33308</v>
      </c>
    </row>
    <row r="2299" spans="1:10" x14ac:dyDescent="0.3">
      <c r="A2299" t="s">
        <v>2426</v>
      </c>
      <c r="B2299" s="1">
        <v>45717</v>
      </c>
      <c r="C2299" t="s">
        <v>95</v>
      </c>
      <c r="D2299">
        <v>9</v>
      </c>
      <c r="E2299" t="s">
        <v>24</v>
      </c>
      <c r="F2299" t="s">
        <v>57</v>
      </c>
      <c r="G2299" t="s">
        <v>14</v>
      </c>
      <c r="H2299" t="s">
        <v>116</v>
      </c>
      <c r="I2299">
        <v>38864</v>
      </c>
      <c r="J2299">
        <v>45626</v>
      </c>
    </row>
    <row r="2300" spans="1:10" x14ac:dyDescent="0.3">
      <c r="A2300" t="s">
        <v>2427</v>
      </c>
      <c r="B2300" s="1">
        <v>45958</v>
      </c>
      <c r="C2300" t="s">
        <v>66</v>
      </c>
      <c r="D2300">
        <v>44</v>
      </c>
      <c r="E2300" t="s">
        <v>39</v>
      </c>
      <c r="F2300" t="s">
        <v>34</v>
      </c>
      <c r="G2300" t="s">
        <v>147</v>
      </c>
      <c r="H2300" t="s">
        <v>68</v>
      </c>
      <c r="I2300">
        <v>29104</v>
      </c>
      <c r="J2300">
        <v>32659</v>
      </c>
    </row>
    <row r="2301" spans="1:10" x14ac:dyDescent="0.3">
      <c r="A2301" t="s">
        <v>2428</v>
      </c>
      <c r="B2301" s="1">
        <v>45997</v>
      </c>
      <c r="C2301" t="s">
        <v>100</v>
      </c>
      <c r="D2301">
        <v>49</v>
      </c>
      <c r="E2301" t="s">
        <v>61</v>
      </c>
      <c r="F2301" t="s">
        <v>25</v>
      </c>
      <c r="G2301" t="s">
        <v>76</v>
      </c>
      <c r="H2301" t="s">
        <v>36</v>
      </c>
      <c r="I2301">
        <v>33860</v>
      </c>
      <c r="J2301">
        <v>29615</v>
      </c>
    </row>
    <row r="2302" spans="1:10" x14ac:dyDescent="0.3">
      <c r="A2302" t="s">
        <v>2429</v>
      </c>
      <c r="B2302" s="1">
        <v>45903</v>
      </c>
      <c r="C2302" t="s">
        <v>38</v>
      </c>
      <c r="D2302">
        <v>36</v>
      </c>
      <c r="E2302" t="s">
        <v>24</v>
      </c>
      <c r="F2302" t="s">
        <v>109</v>
      </c>
      <c r="G2302" t="s">
        <v>206</v>
      </c>
      <c r="H2302" t="s">
        <v>27</v>
      </c>
      <c r="I2302">
        <v>34309</v>
      </c>
      <c r="J2302">
        <v>26370</v>
      </c>
    </row>
    <row r="2303" spans="1:10" x14ac:dyDescent="0.3">
      <c r="A2303" t="s">
        <v>2430</v>
      </c>
      <c r="B2303" s="1">
        <v>46022</v>
      </c>
      <c r="C2303" t="s">
        <v>100</v>
      </c>
      <c r="D2303">
        <v>1</v>
      </c>
      <c r="E2303" t="s">
        <v>39</v>
      </c>
      <c r="F2303" t="s">
        <v>29</v>
      </c>
      <c r="G2303" t="s">
        <v>141</v>
      </c>
      <c r="H2303" t="s">
        <v>211</v>
      </c>
      <c r="I2303">
        <v>34958</v>
      </c>
      <c r="J2303">
        <v>25124</v>
      </c>
    </row>
    <row r="2304" spans="1:10" x14ac:dyDescent="0.3">
      <c r="A2304" t="s">
        <v>2431</v>
      </c>
      <c r="B2304" s="1">
        <v>45778</v>
      </c>
      <c r="C2304" t="s">
        <v>90</v>
      </c>
      <c r="D2304">
        <v>18</v>
      </c>
      <c r="E2304" t="s">
        <v>24</v>
      </c>
      <c r="F2304" t="s">
        <v>78</v>
      </c>
      <c r="G2304" t="s">
        <v>128</v>
      </c>
      <c r="H2304" t="s">
        <v>96</v>
      </c>
      <c r="I2304">
        <v>33787</v>
      </c>
      <c r="J2304">
        <v>40950</v>
      </c>
    </row>
    <row r="2305" spans="1:10" x14ac:dyDescent="0.3">
      <c r="A2305" t="s">
        <v>2432</v>
      </c>
      <c r="B2305" s="1">
        <v>45868</v>
      </c>
      <c r="C2305" t="s">
        <v>11</v>
      </c>
      <c r="D2305">
        <v>31</v>
      </c>
      <c r="E2305" t="s">
        <v>39</v>
      </c>
      <c r="F2305" t="s">
        <v>114</v>
      </c>
      <c r="G2305" t="s">
        <v>72</v>
      </c>
      <c r="H2305" t="s">
        <v>52</v>
      </c>
      <c r="I2305">
        <v>35138</v>
      </c>
      <c r="J2305">
        <v>36095</v>
      </c>
    </row>
    <row r="2306" spans="1:10" x14ac:dyDescent="0.3">
      <c r="A2306" t="s">
        <v>2433</v>
      </c>
      <c r="B2306" s="1">
        <v>45698</v>
      </c>
      <c r="C2306" t="s">
        <v>82</v>
      </c>
      <c r="D2306">
        <v>7</v>
      </c>
      <c r="E2306" t="s">
        <v>18</v>
      </c>
      <c r="F2306" t="s">
        <v>13</v>
      </c>
      <c r="G2306" t="s">
        <v>72</v>
      </c>
      <c r="H2306" t="s">
        <v>59</v>
      </c>
      <c r="I2306">
        <v>19717</v>
      </c>
      <c r="J2306">
        <v>16338</v>
      </c>
    </row>
    <row r="2307" spans="1:10" x14ac:dyDescent="0.3">
      <c r="A2307" t="s">
        <v>2434</v>
      </c>
      <c r="B2307" s="1">
        <v>46018</v>
      </c>
      <c r="C2307" t="s">
        <v>100</v>
      </c>
      <c r="D2307">
        <v>52</v>
      </c>
      <c r="E2307" t="s">
        <v>12</v>
      </c>
      <c r="F2307" t="s">
        <v>25</v>
      </c>
      <c r="G2307" t="s">
        <v>72</v>
      </c>
      <c r="H2307" t="s">
        <v>84</v>
      </c>
      <c r="I2307">
        <v>32053</v>
      </c>
      <c r="J2307">
        <v>23581</v>
      </c>
    </row>
    <row r="2308" spans="1:10" x14ac:dyDescent="0.3">
      <c r="A2308" t="s">
        <v>2435</v>
      </c>
      <c r="B2308" s="1">
        <v>45938</v>
      </c>
      <c r="C2308" t="s">
        <v>66</v>
      </c>
      <c r="D2308">
        <v>41</v>
      </c>
      <c r="E2308" t="s">
        <v>24</v>
      </c>
      <c r="F2308" t="s">
        <v>140</v>
      </c>
      <c r="G2308" t="s">
        <v>115</v>
      </c>
      <c r="H2308" t="s">
        <v>21</v>
      </c>
      <c r="I2308">
        <v>32649</v>
      </c>
      <c r="J2308">
        <v>29653</v>
      </c>
    </row>
    <row r="2309" spans="1:10" x14ac:dyDescent="0.3">
      <c r="A2309" t="s">
        <v>2436</v>
      </c>
      <c r="B2309" s="1">
        <v>45819</v>
      </c>
      <c r="C2309" t="s">
        <v>74</v>
      </c>
      <c r="D2309">
        <v>24</v>
      </c>
      <c r="E2309" t="s">
        <v>70</v>
      </c>
      <c r="F2309" t="s">
        <v>109</v>
      </c>
      <c r="G2309" t="s">
        <v>206</v>
      </c>
      <c r="H2309" t="s">
        <v>80</v>
      </c>
      <c r="I2309">
        <v>20887</v>
      </c>
      <c r="J2309">
        <v>16747</v>
      </c>
    </row>
    <row r="2310" spans="1:10" x14ac:dyDescent="0.3">
      <c r="A2310" t="s">
        <v>2437</v>
      </c>
      <c r="B2310" s="1">
        <v>45895</v>
      </c>
      <c r="C2310" t="s">
        <v>113</v>
      </c>
      <c r="D2310">
        <v>35</v>
      </c>
      <c r="E2310" t="s">
        <v>12</v>
      </c>
      <c r="F2310" t="s">
        <v>43</v>
      </c>
      <c r="G2310" t="s">
        <v>266</v>
      </c>
      <c r="H2310" t="s">
        <v>21</v>
      </c>
      <c r="I2310">
        <v>35843</v>
      </c>
      <c r="J2310">
        <v>41640</v>
      </c>
    </row>
    <row r="2311" spans="1:10" x14ac:dyDescent="0.3">
      <c r="A2311" t="s">
        <v>2438</v>
      </c>
      <c r="B2311" s="1">
        <v>45997</v>
      </c>
      <c r="C2311" t="s">
        <v>100</v>
      </c>
      <c r="D2311">
        <v>49</v>
      </c>
      <c r="E2311" t="s">
        <v>18</v>
      </c>
      <c r="F2311" t="s">
        <v>122</v>
      </c>
      <c r="G2311" t="s">
        <v>253</v>
      </c>
      <c r="H2311" t="s">
        <v>36</v>
      </c>
      <c r="I2311">
        <v>34850</v>
      </c>
      <c r="J2311">
        <v>32988</v>
      </c>
    </row>
    <row r="2312" spans="1:10" x14ac:dyDescent="0.3">
      <c r="A2312" t="s">
        <v>2439</v>
      </c>
      <c r="B2312" s="1">
        <v>45744</v>
      </c>
      <c r="C2312" t="s">
        <v>95</v>
      </c>
      <c r="D2312">
        <v>13</v>
      </c>
      <c r="E2312" t="s">
        <v>12</v>
      </c>
      <c r="F2312" t="s">
        <v>29</v>
      </c>
      <c r="G2312" t="s">
        <v>58</v>
      </c>
      <c r="H2312" t="s">
        <v>68</v>
      </c>
      <c r="I2312">
        <v>29046</v>
      </c>
      <c r="J2312">
        <v>25727</v>
      </c>
    </row>
    <row r="2313" spans="1:10" x14ac:dyDescent="0.3">
      <c r="A2313" t="s">
        <v>2440</v>
      </c>
      <c r="B2313" s="1">
        <v>45792</v>
      </c>
      <c r="C2313" t="s">
        <v>90</v>
      </c>
      <c r="D2313">
        <v>20</v>
      </c>
      <c r="E2313" t="s">
        <v>61</v>
      </c>
      <c r="F2313" t="s">
        <v>75</v>
      </c>
      <c r="G2313" t="s">
        <v>130</v>
      </c>
      <c r="H2313" t="s">
        <v>27</v>
      </c>
      <c r="I2313">
        <v>38659</v>
      </c>
      <c r="J2313">
        <v>40623</v>
      </c>
    </row>
    <row r="2314" spans="1:10" x14ac:dyDescent="0.3">
      <c r="A2314" t="s">
        <v>2441</v>
      </c>
      <c r="B2314" s="1">
        <v>45763</v>
      </c>
      <c r="C2314" t="s">
        <v>86</v>
      </c>
      <c r="D2314">
        <v>16</v>
      </c>
      <c r="E2314" t="s">
        <v>33</v>
      </c>
      <c r="F2314" t="s">
        <v>109</v>
      </c>
      <c r="G2314" t="s">
        <v>291</v>
      </c>
      <c r="H2314" t="s">
        <v>163</v>
      </c>
      <c r="I2314">
        <v>33329</v>
      </c>
      <c r="J2314">
        <v>38282</v>
      </c>
    </row>
    <row r="2315" spans="1:10" x14ac:dyDescent="0.3">
      <c r="A2315" t="s">
        <v>2442</v>
      </c>
      <c r="B2315" s="1">
        <v>45699</v>
      </c>
      <c r="C2315" t="s">
        <v>82</v>
      </c>
      <c r="D2315">
        <v>7</v>
      </c>
      <c r="E2315" t="s">
        <v>24</v>
      </c>
      <c r="F2315" t="s">
        <v>29</v>
      </c>
      <c r="G2315" t="s">
        <v>126</v>
      </c>
      <c r="H2315" t="s">
        <v>151</v>
      </c>
      <c r="I2315">
        <v>16240</v>
      </c>
      <c r="J2315">
        <v>15124</v>
      </c>
    </row>
    <row r="2316" spans="1:10" x14ac:dyDescent="0.3">
      <c r="A2316" t="s">
        <v>2443</v>
      </c>
      <c r="B2316" s="1">
        <v>45991</v>
      </c>
      <c r="C2316" t="s">
        <v>23</v>
      </c>
      <c r="D2316">
        <v>48</v>
      </c>
      <c r="E2316" t="s">
        <v>18</v>
      </c>
      <c r="F2316" t="s">
        <v>46</v>
      </c>
      <c r="G2316" t="s">
        <v>110</v>
      </c>
      <c r="H2316" t="s">
        <v>27</v>
      </c>
      <c r="I2316">
        <v>23517</v>
      </c>
      <c r="J2316">
        <v>28961</v>
      </c>
    </row>
    <row r="2317" spans="1:10" x14ac:dyDescent="0.3">
      <c r="A2317" t="s">
        <v>2444</v>
      </c>
      <c r="B2317" s="1">
        <v>45790</v>
      </c>
      <c r="C2317" t="s">
        <v>90</v>
      </c>
      <c r="D2317">
        <v>20</v>
      </c>
      <c r="E2317" t="s">
        <v>39</v>
      </c>
      <c r="F2317" t="s">
        <v>114</v>
      </c>
      <c r="G2317" t="s">
        <v>141</v>
      </c>
      <c r="H2317" t="s">
        <v>119</v>
      </c>
      <c r="I2317">
        <v>27706</v>
      </c>
      <c r="J2317">
        <v>21545</v>
      </c>
    </row>
    <row r="2318" spans="1:10" x14ac:dyDescent="0.3">
      <c r="A2318" t="s">
        <v>2445</v>
      </c>
      <c r="B2318" s="1">
        <v>45719</v>
      </c>
      <c r="C2318" t="s">
        <v>95</v>
      </c>
      <c r="D2318">
        <v>10</v>
      </c>
      <c r="E2318" t="s">
        <v>70</v>
      </c>
      <c r="F2318" t="s">
        <v>13</v>
      </c>
      <c r="G2318" t="s">
        <v>149</v>
      </c>
      <c r="H2318" t="s">
        <v>103</v>
      </c>
      <c r="I2318">
        <v>36252</v>
      </c>
      <c r="J2318">
        <v>31306</v>
      </c>
    </row>
    <row r="2319" spans="1:10" x14ac:dyDescent="0.3">
      <c r="A2319" t="s">
        <v>2446</v>
      </c>
      <c r="B2319" s="1">
        <v>45883</v>
      </c>
      <c r="C2319" t="s">
        <v>113</v>
      </c>
      <c r="D2319">
        <v>33</v>
      </c>
      <c r="E2319" t="s">
        <v>12</v>
      </c>
      <c r="F2319" t="s">
        <v>50</v>
      </c>
      <c r="G2319" t="s">
        <v>191</v>
      </c>
      <c r="H2319" t="s">
        <v>211</v>
      </c>
      <c r="I2319">
        <v>39794</v>
      </c>
      <c r="J2319">
        <v>43793</v>
      </c>
    </row>
    <row r="2320" spans="1:10" x14ac:dyDescent="0.3">
      <c r="A2320" t="s">
        <v>2447</v>
      </c>
      <c r="B2320" s="1">
        <v>45825</v>
      </c>
      <c r="C2320" t="s">
        <v>74</v>
      </c>
      <c r="D2320">
        <v>25</v>
      </c>
      <c r="E2320" t="s">
        <v>18</v>
      </c>
      <c r="F2320" t="s">
        <v>114</v>
      </c>
      <c r="G2320" t="s">
        <v>201</v>
      </c>
      <c r="H2320" t="s">
        <v>157</v>
      </c>
      <c r="I2320">
        <v>28318</v>
      </c>
      <c r="J2320">
        <v>26346</v>
      </c>
    </row>
    <row r="2321" spans="1:10" x14ac:dyDescent="0.3">
      <c r="A2321" t="s">
        <v>2448</v>
      </c>
      <c r="B2321" s="1">
        <v>45999</v>
      </c>
      <c r="C2321" t="s">
        <v>100</v>
      </c>
      <c r="D2321">
        <v>50</v>
      </c>
      <c r="E2321" t="s">
        <v>70</v>
      </c>
      <c r="F2321" t="s">
        <v>46</v>
      </c>
      <c r="G2321" t="s">
        <v>76</v>
      </c>
      <c r="H2321" t="s">
        <v>15</v>
      </c>
      <c r="I2321">
        <v>25810</v>
      </c>
      <c r="J2321">
        <v>32390</v>
      </c>
    </row>
    <row r="2322" spans="1:10" x14ac:dyDescent="0.3">
      <c r="A2322" t="s">
        <v>2449</v>
      </c>
      <c r="B2322" s="1">
        <v>45719</v>
      </c>
      <c r="C2322" t="s">
        <v>95</v>
      </c>
      <c r="D2322">
        <v>10</v>
      </c>
      <c r="E2322" t="s">
        <v>39</v>
      </c>
      <c r="F2322" t="s">
        <v>62</v>
      </c>
      <c r="G2322" t="s">
        <v>291</v>
      </c>
      <c r="H2322" t="s">
        <v>116</v>
      </c>
      <c r="I2322">
        <v>39947</v>
      </c>
      <c r="J2322">
        <v>32837</v>
      </c>
    </row>
    <row r="2323" spans="1:10" x14ac:dyDescent="0.3">
      <c r="A2323" t="s">
        <v>2450</v>
      </c>
      <c r="B2323" s="1">
        <v>45861</v>
      </c>
      <c r="C2323" t="s">
        <v>11</v>
      </c>
      <c r="D2323">
        <v>30</v>
      </c>
      <c r="E2323" t="s">
        <v>12</v>
      </c>
      <c r="F2323" t="s">
        <v>75</v>
      </c>
      <c r="G2323" t="s">
        <v>206</v>
      </c>
      <c r="H2323" t="s">
        <v>151</v>
      </c>
      <c r="I2323">
        <v>29387</v>
      </c>
      <c r="J2323">
        <v>26430</v>
      </c>
    </row>
    <row r="2324" spans="1:10" x14ac:dyDescent="0.3">
      <c r="A2324" t="s">
        <v>2451</v>
      </c>
      <c r="B2324" s="1">
        <v>45659</v>
      </c>
      <c r="C2324" t="s">
        <v>17</v>
      </c>
      <c r="D2324">
        <v>1</v>
      </c>
      <c r="E2324" t="s">
        <v>12</v>
      </c>
      <c r="F2324" t="s">
        <v>19</v>
      </c>
      <c r="G2324" t="s">
        <v>234</v>
      </c>
      <c r="H2324" t="s">
        <v>111</v>
      </c>
      <c r="I2324">
        <v>16641</v>
      </c>
      <c r="J2324">
        <v>19953</v>
      </c>
    </row>
    <row r="2325" spans="1:10" x14ac:dyDescent="0.3">
      <c r="A2325" t="s">
        <v>2452</v>
      </c>
      <c r="B2325" s="1">
        <v>45985</v>
      </c>
      <c r="C2325" t="s">
        <v>23</v>
      </c>
      <c r="D2325">
        <v>48</v>
      </c>
      <c r="E2325" t="s">
        <v>12</v>
      </c>
      <c r="F2325" t="s">
        <v>75</v>
      </c>
      <c r="G2325" t="s">
        <v>230</v>
      </c>
      <c r="H2325" t="s">
        <v>55</v>
      </c>
      <c r="I2325">
        <v>28631</v>
      </c>
      <c r="J2325">
        <v>31340</v>
      </c>
    </row>
    <row r="2326" spans="1:10" x14ac:dyDescent="0.3">
      <c r="A2326" t="s">
        <v>2453</v>
      </c>
      <c r="B2326" s="1">
        <v>45663</v>
      </c>
      <c r="C2326" t="s">
        <v>17</v>
      </c>
      <c r="D2326">
        <v>2</v>
      </c>
      <c r="E2326" t="s">
        <v>70</v>
      </c>
      <c r="F2326" t="s">
        <v>34</v>
      </c>
      <c r="G2326" t="s">
        <v>149</v>
      </c>
      <c r="H2326" t="s">
        <v>123</v>
      </c>
      <c r="I2326">
        <v>26600</v>
      </c>
      <c r="J2326">
        <v>31692</v>
      </c>
    </row>
    <row r="2327" spans="1:10" x14ac:dyDescent="0.3">
      <c r="A2327" t="s">
        <v>2454</v>
      </c>
      <c r="B2327" s="1">
        <v>45833</v>
      </c>
      <c r="C2327" t="s">
        <v>74</v>
      </c>
      <c r="D2327">
        <v>26</v>
      </c>
      <c r="E2327" t="s">
        <v>70</v>
      </c>
      <c r="F2327" t="s">
        <v>13</v>
      </c>
      <c r="G2327" t="s">
        <v>47</v>
      </c>
      <c r="H2327" t="s">
        <v>157</v>
      </c>
      <c r="I2327">
        <v>31743</v>
      </c>
      <c r="J2327">
        <v>35099</v>
      </c>
    </row>
    <row r="2328" spans="1:10" x14ac:dyDescent="0.3">
      <c r="A2328" t="s">
        <v>2455</v>
      </c>
      <c r="B2328" s="1">
        <v>45902</v>
      </c>
      <c r="C2328" t="s">
        <v>38</v>
      </c>
      <c r="D2328">
        <v>36</v>
      </c>
      <c r="E2328" t="s">
        <v>12</v>
      </c>
      <c r="F2328" t="s">
        <v>122</v>
      </c>
      <c r="G2328" t="s">
        <v>126</v>
      </c>
      <c r="H2328" t="s">
        <v>188</v>
      </c>
      <c r="I2328">
        <v>31945</v>
      </c>
      <c r="J2328">
        <v>30640</v>
      </c>
    </row>
    <row r="2329" spans="1:10" x14ac:dyDescent="0.3">
      <c r="A2329" t="s">
        <v>2456</v>
      </c>
      <c r="B2329" s="1">
        <v>45892</v>
      </c>
      <c r="C2329" t="s">
        <v>113</v>
      </c>
      <c r="D2329">
        <v>34</v>
      </c>
      <c r="E2329" t="s">
        <v>33</v>
      </c>
      <c r="F2329" t="s">
        <v>57</v>
      </c>
      <c r="G2329" t="s">
        <v>149</v>
      </c>
      <c r="H2329" t="s">
        <v>163</v>
      </c>
      <c r="I2329">
        <v>19922</v>
      </c>
      <c r="J2329">
        <v>17196</v>
      </c>
    </row>
    <row r="2330" spans="1:10" x14ac:dyDescent="0.3">
      <c r="A2330" t="s">
        <v>2457</v>
      </c>
      <c r="B2330" s="1">
        <v>45922</v>
      </c>
      <c r="C2330" t="s">
        <v>38</v>
      </c>
      <c r="D2330">
        <v>39</v>
      </c>
      <c r="E2330" t="s">
        <v>39</v>
      </c>
      <c r="F2330" t="s">
        <v>193</v>
      </c>
      <c r="G2330" t="s">
        <v>130</v>
      </c>
      <c r="H2330" t="s">
        <v>157</v>
      </c>
      <c r="I2330">
        <v>39185</v>
      </c>
      <c r="J2330">
        <v>32427</v>
      </c>
    </row>
    <row r="2331" spans="1:10" x14ac:dyDescent="0.3">
      <c r="A2331" t="s">
        <v>2458</v>
      </c>
      <c r="B2331" s="1">
        <v>45874</v>
      </c>
      <c r="C2331" t="s">
        <v>113</v>
      </c>
      <c r="D2331">
        <v>32</v>
      </c>
      <c r="E2331" t="s">
        <v>70</v>
      </c>
      <c r="F2331" t="s">
        <v>87</v>
      </c>
      <c r="G2331" t="s">
        <v>54</v>
      </c>
      <c r="H2331" t="s">
        <v>96</v>
      </c>
      <c r="I2331">
        <v>34432</v>
      </c>
      <c r="J2331">
        <v>39141</v>
      </c>
    </row>
    <row r="2332" spans="1:10" x14ac:dyDescent="0.3">
      <c r="A2332" t="s">
        <v>2459</v>
      </c>
      <c r="B2332" s="1">
        <v>46005</v>
      </c>
      <c r="C2332" t="s">
        <v>100</v>
      </c>
      <c r="D2332">
        <v>50</v>
      </c>
      <c r="E2332" t="s">
        <v>61</v>
      </c>
      <c r="F2332" t="s">
        <v>34</v>
      </c>
      <c r="G2332" t="s">
        <v>147</v>
      </c>
      <c r="H2332" t="s">
        <v>55</v>
      </c>
      <c r="I2332">
        <v>17940</v>
      </c>
      <c r="J2332">
        <v>21687</v>
      </c>
    </row>
    <row r="2333" spans="1:10" x14ac:dyDescent="0.3">
      <c r="A2333" t="s">
        <v>2460</v>
      </c>
      <c r="B2333" s="1">
        <v>45986</v>
      </c>
      <c r="C2333" t="s">
        <v>23</v>
      </c>
      <c r="D2333">
        <v>48</v>
      </c>
      <c r="E2333" t="s">
        <v>70</v>
      </c>
      <c r="F2333" t="s">
        <v>78</v>
      </c>
      <c r="G2333" t="s">
        <v>266</v>
      </c>
      <c r="H2333" t="s">
        <v>15</v>
      </c>
      <c r="I2333">
        <v>25388</v>
      </c>
      <c r="J2333">
        <v>25844</v>
      </c>
    </row>
    <row r="2334" spans="1:10" x14ac:dyDescent="0.3">
      <c r="A2334" t="s">
        <v>2461</v>
      </c>
      <c r="B2334" s="1">
        <v>46003</v>
      </c>
      <c r="C2334" t="s">
        <v>100</v>
      </c>
      <c r="D2334">
        <v>50</v>
      </c>
      <c r="E2334" t="s">
        <v>70</v>
      </c>
      <c r="F2334" t="s">
        <v>34</v>
      </c>
      <c r="G2334" t="s">
        <v>115</v>
      </c>
      <c r="H2334" t="s">
        <v>133</v>
      </c>
      <c r="I2334">
        <v>34405</v>
      </c>
      <c r="J2334">
        <v>39223</v>
      </c>
    </row>
    <row r="2335" spans="1:10" x14ac:dyDescent="0.3">
      <c r="A2335" t="s">
        <v>2462</v>
      </c>
      <c r="B2335" s="1">
        <v>45977</v>
      </c>
      <c r="C2335" t="s">
        <v>23</v>
      </c>
      <c r="D2335">
        <v>46</v>
      </c>
      <c r="E2335" t="s">
        <v>70</v>
      </c>
      <c r="F2335" t="s">
        <v>57</v>
      </c>
      <c r="G2335" t="s">
        <v>171</v>
      </c>
      <c r="H2335" t="s">
        <v>123</v>
      </c>
      <c r="I2335">
        <v>38117</v>
      </c>
      <c r="J2335">
        <v>27264</v>
      </c>
    </row>
    <row r="2336" spans="1:10" x14ac:dyDescent="0.3">
      <c r="A2336" t="s">
        <v>2463</v>
      </c>
      <c r="B2336" s="1">
        <v>45924</v>
      </c>
      <c r="C2336" t="s">
        <v>38</v>
      </c>
      <c r="D2336">
        <v>39</v>
      </c>
      <c r="E2336" t="s">
        <v>70</v>
      </c>
      <c r="F2336" t="s">
        <v>78</v>
      </c>
      <c r="G2336" t="s">
        <v>253</v>
      </c>
      <c r="H2336" t="s">
        <v>151</v>
      </c>
      <c r="I2336">
        <v>15209</v>
      </c>
      <c r="J2336">
        <v>10869</v>
      </c>
    </row>
    <row r="2337" spans="1:10" x14ac:dyDescent="0.3">
      <c r="A2337" t="s">
        <v>2464</v>
      </c>
      <c r="B2337" s="1">
        <v>45698</v>
      </c>
      <c r="C2337" t="s">
        <v>82</v>
      </c>
      <c r="D2337">
        <v>7</v>
      </c>
      <c r="E2337" t="s">
        <v>70</v>
      </c>
      <c r="F2337" t="s">
        <v>19</v>
      </c>
      <c r="G2337" t="s">
        <v>67</v>
      </c>
      <c r="H2337" t="s">
        <v>64</v>
      </c>
      <c r="I2337">
        <v>36041</v>
      </c>
      <c r="J2337">
        <v>38036</v>
      </c>
    </row>
    <row r="2338" spans="1:10" x14ac:dyDescent="0.3">
      <c r="A2338" t="s">
        <v>2465</v>
      </c>
      <c r="B2338" s="1">
        <v>45882</v>
      </c>
      <c r="C2338" t="s">
        <v>113</v>
      </c>
      <c r="D2338">
        <v>33</v>
      </c>
      <c r="E2338" t="s">
        <v>12</v>
      </c>
      <c r="F2338" t="s">
        <v>92</v>
      </c>
      <c r="G2338" t="s">
        <v>199</v>
      </c>
      <c r="H2338" t="s">
        <v>36</v>
      </c>
      <c r="I2338">
        <v>25954</v>
      </c>
      <c r="J2338">
        <v>24817</v>
      </c>
    </row>
    <row r="2339" spans="1:10" x14ac:dyDescent="0.3">
      <c r="A2339" t="s">
        <v>2466</v>
      </c>
      <c r="B2339" s="1">
        <v>45833</v>
      </c>
      <c r="C2339" t="s">
        <v>74</v>
      </c>
      <c r="D2339">
        <v>26</v>
      </c>
      <c r="E2339" t="s">
        <v>70</v>
      </c>
      <c r="F2339" t="s">
        <v>193</v>
      </c>
      <c r="G2339" t="s">
        <v>291</v>
      </c>
      <c r="H2339" t="s">
        <v>15</v>
      </c>
      <c r="I2339">
        <v>35416</v>
      </c>
      <c r="J2339">
        <v>28910</v>
      </c>
    </row>
    <row r="2340" spans="1:10" x14ac:dyDescent="0.3">
      <c r="A2340" t="s">
        <v>2467</v>
      </c>
      <c r="B2340" s="1">
        <v>45664</v>
      </c>
      <c r="C2340" t="s">
        <v>17</v>
      </c>
      <c r="D2340">
        <v>2</v>
      </c>
      <c r="E2340" t="s">
        <v>33</v>
      </c>
      <c r="F2340" t="s">
        <v>19</v>
      </c>
      <c r="G2340" t="s">
        <v>147</v>
      </c>
      <c r="H2340" t="s">
        <v>133</v>
      </c>
      <c r="I2340">
        <v>15908</v>
      </c>
      <c r="J2340">
        <v>13192</v>
      </c>
    </row>
    <row r="2341" spans="1:10" x14ac:dyDescent="0.3">
      <c r="A2341" t="s">
        <v>2468</v>
      </c>
      <c r="B2341" s="1">
        <v>45729</v>
      </c>
      <c r="C2341" t="s">
        <v>95</v>
      </c>
      <c r="D2341">
        <v>11</v>
      </c>
      <c r="E2341" t="s">
        <v>39</v>
      </c>
      <c r="F2341" t="s">
        <v>46</v>
      </c>
      <c r="G2341" t="s">
        <v>132</v>
      </c>
      <c r="H2341" t="s">
        <v>68</v>
      </c>
      <c r="I2341">
        <v>26332</v>
      </c>
      <c r="J2341">
        <v>22748</v>
      </c>
    </row>
    <row r="2342" spans="1:10" x14ac:dyDescent="0.3">
      <c r="A2342" t="s">
        <v>2469</v>
      </c>
      <c r="B2342" s="1">
        <v>45833</v>
      </c>
      <c r="C2342" t="s">
        <v>74</v>
      </c>
      <c r="D2342">
        <v>26</v>
      </c>
      <c r="E2342" t="s">
        <v>18</v>
      </c>
      <c r="F2342" t="s">
        <v>19</v>
      </c>
      <c r="G2342" t="s">
        <v>54</v>
      </c>
      <c r="H2342" t="s">
        <v>55</v>
      </c>
      <c r="I2342">
        <v>22354</v>
      </c>
      <c r="J2342">
        <v>27727</v>
      </c>
    </row>
    <row r="2343" spans="1:10" x14ac:dyDescent="0.3">
      <c r="A2343" t="s">
        <v>2470</v>
      </c>
      <c r="B2343" s="1">
        <v>45943</v>
      </c>
      <c r="C2343" t="s">
        <v>66</v>
      </c>
      <c r="D2343">
        <v>42</v>
      </c>
      <c r="E2343" t="s">
        <v>39</v>
      </c>
      <c r="F2343" t="s">
        <v>34</v>
      </c>
      <c r="G2343" t="s">
        <v>135</v>
      </c>
      <c r="H2343" t="s">
        <v>36</v>
      </c>
      <c r="I2343">
        <v>28716</v>
      </c>
      <c r="J2343">
        <v>34720</v>
      </c>
    </row>
    <row r="2344" spans="1:10" x14ac:dyDescent="0.3">
      <c r="A2344" t="s">
        <v>2471</v>
      </c>
      <c r="B2344" s="1">
        <v>46014</v>
      </c>
      <c r="C2344" t="s">
        <v>100</v>
      </c>
      <c r="D2344">
        <v>52</v>
      </c>
      <c r="E2344" t="s">
        <v>61</v>
      </c>
      <c r="F2344" t="s">
        <v>25</v>
      </c>
      <c r="G2344" t="s">
        <v>54</v>
      </c>
      <c r="H2344" t="s">
        <v>15</v>
      </c>
      <c r="I2344">
        <v>33057</v>
      </c>
      <c r="J2344">
        <v>36692</v>
      </c>
    </row>
    <row r="2345" spans="1:10" x14ac:dyDescent="0.3">
      <c r="A2345" t="s">
        <v>2472</v>
      </c>
      <c r="B2345" s="1">
        <v>45864</v>
      </c>
      <c r="C2345" t="s">
        <v>11</v>
      </c>
      <c r="D2345">
        <v>30</v>
      </c>
      <c r="E2345" t="s">
        <v>39</v>
      </c>
      <c r="F2345" t="s">
        <v>92</v>
      </c>
      <c r="G2345" t="s">
        <v>160</v>
      </c>
      <c r="H2345" t="s">
        <v>243</v>
      </c>
      <c r="I2345">
        <v>37713</v>
      </c>
      <c r="J2345">
        <v>28452</v>
      </c>
    </row>
    <row r="2346" spans="1:10" x14ac:dyDescent="0.3">
      <c r="A2346" t="s">
        <v>2473</v>
      </c>
      <c r="B2346" s="1">
        <v>45869</v>
      </c>
      <c r="C2346" t="s">
        <v>11</v>
      </c>
      <c r="D2346">
        <v>31</v>
      </c>
      <c r="E2346" t="s">
        <v>33</v>
      </c>
      <c r="F2346" t="s">
        <v>34</v>
      </c>
      <c r="G2346" t="s">
        <v>51</v>
      </c>
      <c r="H2346" t="s">
        <v>163</v>
      </c>
      <c r="I2346">
        <v>26005</v>
      </c>
      <c r="J2346">
        <v>20913</v>
      </c>
    </row>
    <row r="2347" spans="1:10" x14ac:dyDescent="0.3">
      <c r="A2347" t="s">
        <v>2474</v>
      </c>
      <c r="B2347" s="1">
        <v>45793</v>
      </c>
      <c r="C2347" t="s">
        <v>90</v>
      </c>
      <c r="D2347">
        <v>20</v>
      </c>
      <c r="E2347" t="s">
        <v>39</v>
      </c>
      <c r="F2347" t="s">
        <v>19</v>
      </c>
      <c r="G2347" t="s">
        <v>291</v>
      </c>
      <c r="H2347" t="s">
        <v>157</v>
      </c>
      <c r="I2347">
        <v>27250</v>
      </c>
      <c r="J2347">
        <v>19303</v>
      </c>
    </row>
    <row r="2348" spans="1:10" x14ac:dyDescent="0.3">
      <c r="A2348" t="s">
        <v>2475</v>
      </c>
      <c r="B2348" s="1">
        <v>45911</v>
      </c>
      <c r="C2348" t="s">
        <v>38</v>
      </c>
      <c r="D2348">
        <v>37</v>
      </c>
      <c r="E2348" t="s">
        <v>61</v>
      </c>
      <c r="F2348" t="s">
        <v>13</v>
      </c>
      <c r="G2348" t="s">
        <v>107</v>
      </c>
      <c r="H2348" t="s">
        <v>31</v>
      </c>
      <c r="I2348">
        <v>22034</v>
      </c>
      <c r="J2348">
        <v>25831</v>
      </c>
    </row>
    <row r="2349" spans="1:10" x14ac:dyDescent="0.3">
      <c r="A2349" t="s">
        <v>2476</v>
      </c>
      <c r="B2349" s="1">
        <v>45662</v>
      </c>
      <c r="C2349" t="s">
        <v>17</v>
      </c>
      <c r="D2349">
        <v>1</v>
      </c>
      <c r="E2349" t="s">
        <v>61</v>
      </c>
      <c r="F2349" t="s">
        <v>140</v>
      </c>
      <c r="G2349" t="s">
        <v>199</v>
      </c>
      <c r="H2349" t="s">
        <v>27</v>
      </c>
      <c r="I2349">
        <v>35006</v>
      </c>
      <c r="J2349">
        <v>32348</v>
      </c>
    </row>
    <row r="2350" spans="1:10" x14ac:dyDescent="0.3">
      <c r="A2350" t="s">
        <v>2477</v>
      </c>
      <c r="B2350" s="1">
        <v>45908</v>
      </c>
      <c r="C2350" t="s">
        <v>38</v>
      </c>
      <c r="D2350">
        <v>37</v>
      </c>
      <c r="E2350" t="s">
        <v>24</v>
      </c>
      <c r="F2350" t="s">
        <v>87</v>
      </c>
      <c r="G2350" t="s">
        <v>102</v>
      </c>
      <c r="H2350" t="s">
        <v>15</v>
      </c>
      <c r="I2350">
        <v>32013</v>
      </c>
      <c r="J2350">
        <v>32196</v>
      </c>
    </row>
    <row r="2351" spans="1:10" x14ac:dyDescent="0.3">
      <c r="A2351" t="s">
        <v>2478</v>
      </c>
      <c r="B2351" s="1">
        <v>45939</v>
      </c>
      <c r="C2351" t="s">
        <v>66</v>
      </c>
      <c r="D2351">
        <v>41</v>
      </c>
      <c r="E2351" t="s">
        <v>39</v>
      </c>
      <c r="F2351" t="s">
        <v>87</v>
      </c>
      <c r="G2351" t="s">
        <v>88</v>
      </c>
      <c r="H2351" t="s">
        <v>119</v>
      </c>
      <c r="I2351">
        <v>28017</v>
      </c>
      <c r="J2351">
        <v>28606</v>
      </c>
    </row>
    <row r="2352" spans="1:10" x14ac:dyDescent="0.3">
      <c r="A2352" t="s">
        <v>2479</v>
      </c>
      <c r="B2352" s="1">
        <v>45764</v>
      </c>
      <c r="C2352" t="s">
        <v>86</v>
      </c>
      <c r="D2352">
        <v>16</v>
      </c>
      <c r="E2352" t="s">
        <v>39</v>
      </c>
      <c r="F2352" t="s">
        <v>29</v>
      </c>
      <c r="G2352" t="s">
        <v>35</v>
      </c>
      <c r="H2352" t="s">
        <v>116</v>
      </c>
      <c r="I2352">
        <v>28932</v>
      </c>
      <c r="J2352">
        <v>31171</v>
      </c>
    </row>
    <row r="2353" spans="1:10" x14ac:dyDescent="0.3">
      <c r="A2353" t="s">
        <v>2480</v>
      </c>
      <c r="B2353" s="1">
        <v>45938</v>
      </c>
      <c r="C2353" t="s">
        <v>66</v>
      </c>
      <c r="D2353">
        <v>41</v>
      </c>
      <c r="E2353" t="s">
        <v>24</v>
      </c>
      <c r="F2353" t="s">
        <v>92</v>
      </c>
      <c r="G2353" t="s">
        <v>234</v>
      </c>
      <c r="H2353" t="s">
        <v>41</v>
      </c>
      <c r="I2353">
        <v>20417</v>
      </c>
      <c r="J2353">
        <v>21681</v>
      </c>
    </row>
    <row r="2354" spans="1:10" x14ac:dyDescent="0.3">
      <c r="A2354" t="s">
        <v>2481</v>
      </c>
      <c r="B2354" s="1">
        <v>45695</v>
      </c>
      <c r="C2354" t="s">
        <v>82</v>
      </c>
      <c r="D2354">
        <v>6</v>
      </c>
      <c r="E2354" t="s">
        <v>18</v>
      </c>
      <c r="F2354" t="s">
        <v>57</v>
      </c>
      <c r="G2354" t="s">
        <v>160</v>
      </c>
      <c r="H2354" t="s">
        <v>111</v>
      </c>
      <c r="I2354">
        <v>36673</v>
      </c>
      <c r="J2354">
        <v>27966</v>
      </c>
    </row>
    <row r="2355" spans="1:10" x14ac:dyDescent="0.3">
      <c r="A2355" t="s">
        <v>2482</v>
      </c>
      <c r="B2355" s="1">
        <v>45738</v>
      </c>
      <c r="C2355" t="s">
        <v>95</v>
      </c>
      <c r="D2355">
        <v>12</v>
      </c>
      <c r="E2355" t="s">
        <v>24</v>
      </c>
      <c r="F2355" t="s">
        <v>78</v>
      </c>
      <c r="G2355" t="s">
        <v>291</v>
      </c>
      <c r="H2355" t="s">
        <v>155</v>
      </c>
      <c r="I2355">
        <v>25985</v>
      </c>
      <c r="J2355">
        <v>27330</v>
      </c>
    </row>
    <row r="2356" spans="1:10" x14ac:dyDescent="0.3">
      <c r="A2356" t="s">
        <v>2483</v>
      </c>
      <c r="B2356" s="1">
        <v>45811</v>
      </c>
      <c r="C2356" t="s">
        <v>74</v>
      </c>
      <c r="D2356">
        <v>23</v>
      </c>
      <c r="E2356" t="s">
        <v>24</v>
      </c>
      <c r="F2356" t="s">
        <v>50</v>
      </c>
      <c r="G2356" t="s">
        <v>115</v>
      </c>
      <c r="H2356" t="s">
        <v>243</v>
      </c>
      <c r="I2356">
        <v>17640</v>
      </c>
      <c r="J2356">
        <v>17992</v>
      </c>
    </row>
    <row r="2357" spans="1:10" x14ac:dyDescent="0.3">
      <c r="A2357" t="s">
        <v>2484</v>
      </c>
      <c r="B2357" s="1">
        <v>45706</v>
      </c>
      <c r="C2357" t="s">
        <v>82</v>
      </c>
      <c r="D2357">
        <v>8</v>
      </c>
      <c r="E2357" t="s">
        <v>61</v>
      </c>
      <c r="F2357" t="s">
        <v>46</v>
      </c>
      <c r="G2357" t="s">
        <v>240</v>
      </c>
      <c r="H2357" t="s">
        <v>123</v>
      </c>
      <c r="I2357">
        <v>26374</v>
      </c>
      <c r="J2357">
        <v>29887</v>
      </c>
    </row>
    <row r="2358" spans="1:10" x14ac:dyDescent="0.3">
      <c r="A2358" t="s">
        <v>2485</v>
      </c>
      <c r="B2358" s="1">
        <v>46015</v>
      </c>
      <c r="C2358" t="s">
        <v>100</v>
      </c>
      <c r="D2358">
        <v>52</v>
      </c>
      <c r="E2358" t="s">
        <v>12</v>
      </c>
      <c r="F2358" t="s">
        <v>50</v>
      </c>
      <c r="G2358" t="s">
        <v>54</v>
      </c>
      <c r="H2358" t="s">
        <v>55</v>
      </c>
      <c r="I2358">
        <v>28766</v>
      </c>
      <c r="J2358">
        <v>36668</v>
      </c>
    </row>
    <row r="2359" spans="1:10" x14ac:dyDescent="0.3">
      <c r="A2359" t="s">
        <v>2486</v>
      </c>
      <c r="B2359" s="1">
        <v>45909</v>
      </c>
      <c r="C2359" t="s">
        <v>38</v>
      </c>
      <c r="D2359">
        <v>37</v>
      </c>
      <c r="E2359" t="s">
        <v>12</v>
      </c>
      <c r="F2359" t="s">
        <v>29</v>
      </c>
      <c r="G2359" t="s">
        <v>26</v>
      </c>
      <c r="H2359" t="s">
        <v>103</v>
      </c>
      <c r="I2359">
        <v>29119</v>
      </c>
      <c r="J2359">
        <v>37043</v>
      </c>
    </row>
    <row r="2360" spans="1:10" x14ac:dyDescent="0.3">
      <c r="A2360" t="s">
        <v>2487</v>
      </c>
      <c r="B2360" s="1">
        <v>45886</v>
      </c>
      <c r="C2360" t="s">
        <v>113</v>
      </c>
      <c r="D2360">
        <v>33</v>
      </c>
      <c r="E2360" t="s">
        <v>12</v>
      </c>
      <c r="F2360" t="s">
        <v>78</v>
      </c>
      <c r="G2360" t="s">
        <v>72</v>
      </c>
      <c r="H2360" t="s">
        <v>21</v>
      </c>
      <c r="I2360">
        <v>33688</v>
      </c>
      <c r="J2360">
        <v>30152</v>
      </c>
    </row>
    <row r="2361" spans="1:10" x14ac:dyDescent="0.3">
      <c r="A2361" t="s">
        <v>2488</v>
      </c>
      <c r="B2361" s="1">
        <v>45705</v>
      </c>
      <c r="C2361" t="s">
        <v>82</v>
      </c>
      <c r="D2361">
        <v>8</v>
      </c>
      <c r="E2361" t="s">
        <v>24</v>
      </c>
      <c r="F2361" t="s">
        <v>109</v>
      </c>
      <c r="G2361" t="s">
        <v>44</v>
      </c>
      <c r="H2361" t="s">
        <v>55</v>
      </c>
      <c r="I2361">
        <v>23150</v>
      </c>
      <c r="J2361">
        <v>24996</v>
      </c>
    </row>
    <row r="2362" spans="1:10" x14ac:dyDescent="0.3">
      <c r="A2362" t="s">
        <v>2489</v>
      </c>
      <c r="B2362" s="1">
        <v>45836</v>
      </c>
      <c r="C2362" t="s">
        <v>74</v>
      </c>
      <c r="D2362">
        <v>26</v>
      </c>
      <c r="E2362" t="s">
        <v>24</v>
      </c>
      <c r="F2362" t="s">
        <v>140</v>
      </c>
      <c r="G2362" t="s">
        <v>47</v>
      </c>
      <c r="H2362" t="s">
        <v>116</v>
      </c>
      <c r="I2362">
        <v>24334</v>
      </c>
      <c r="J2362">
        <v>23555</v>
      </c>
    </row>
    <row r="2363" spans="1:10" x14ac:dyDescent="0.3">
      <c r="A2363" t="s">
        <v>2490</v>
      </c>
      <c r="B2363" s="1">
        <v>45767</v>
      </c>
      <c r="C2363" t="s">
        <v>86</v>
      </c>
      <c r="D2363">
        <v>16</v>
      </c>
      <c r="E2363" t="s">
        <v>39</v>
      </c>
      <c r="F2363" t="s">
        <v>75</v>
      </c>
      <c r="G2363" t="s">
        <v>266</v>
      </c>
      <c r="H2363" t="s">
        <v>96</v>
      </c>
      <c r="I2363">
        <v>19865</v>
      </c>
      <c r="J2363">
        <v>20122</v>
      </c>
    </row>
    <row r="2364" spans="1:10" x14ac:dyDescent="0.3">
      <c r="A2364" t="s">
        <v>2491</v>
      </c>
      <c r="B2364" s="1">
        <v>45990</v>
      </c>
      <c r="C2364" t="s">
        <v>23</v>
      </c>
      <c r="D2364">
        <v>48</v>
      </c>
      <c r="E2364" t="s">
        <v>33</v>
      </c>
      <c r="F2364" t="s">
        <v>109</v>
      </c>
      <c r="G2364" t="s">
        <v>291</v>
      </c>
      <c r="H2364" t="s">
        <v>163</v>
      </c>
      <c r="I2364">
        <v>23859</v>
      </c>
      <c r="J2364">
        <v>17903</v>
      </c>
    </row>
    <row r="2365" spans="1:10" x14ac:dyDescent="0.3">
      <c r="A2365" t="s">
        <v>2492</v>
      </c>
      <c r="B2365" s="1">
        <v>45784</v>
      </c>
      <c r="C2365" t="s">
        <v>90</v>
      </c>
      <c r="D2365">
        <v>19</v>
      </c>
      <c r="E2365" t="s">
        <v>24</v>
      </c>
      <c r="F2365" t="s">
        <v>43</v>
      </c>
      <c r="G2365" t="s">
        <v>58</v>
      </c>
      <c r="H2365" t="s">
        <v>119</v>
      </c>
      <c r="I2365">
        <v>21372</v>
      </c>
      <c r="J2365">
        <v>24186</v>
      </c>
    </row>
    <row r="2366" spans="1:10" x14ac:dyDescent="0.3">
      <c r="A2366" t="s">
        <v>2493</v>
      </c>
      <c r="B2366" s="1">
        <v>45859</v>
      </c>
      <c r="C2366" t="s">
        <v>11</v>
      </c>
      <c r="D2366">
        <v>30</v>
      </c>
      <c r="E2366" t="s">
        <v>24</v>
      </c>
      <c r="F2366" t="s">
        <v>101</v>
      </c>
      <c r="G2366" t="s">
        <v>118</v>
      </c>
      <c r="H2366" t="s">
        <v>31</v>
      </c>
      <c r="I2366">
        <v>26452</v>
      </c>
      <c r="J2366">
        <v>29062</v>
      </c>
    </row>
    <row r="2367" spans="1:10" x14ac:dyDescent="0.3">
      <c r="A2367" t="s">
        <v>2494</v>
      </c>
      <c r="B2367" s="1">
        <v>45695</v>
      </c>
      <c r="C2367" t="s">
        <v>82</v>
      </c>
      <c r="D2367">
        <v>6</v>
      </c>
      <c r="E2367" t="s">
        <v>39</v>
      </c>
      <c r="F2367" t="s">
        <v>25</v>
      </c>
      <c r="G2367" t="s">
        <v>115</v>
      </c>
      <c r="H2367" t="s">
        <v>68</v>
      </c>
      <c r="I2367">
        <v>37573</v>
      </c>
      <c r="J2367">
        <v>27528</v>
      </c>
    </row>
    <row r="2368" spans="1:10" x14ac:dyDescent="0.3">
      <c r="A2368" t="s">
        <v>2495</v>
      </c>
      <c r="B2368" s="1">
        <v>45839</v>
      </c>
      <c r="C2368" t="s">
        <v>11</v>
      </c>
      <c r="D2368">
        <v>27</v>
      </c>
      <c r="E2368" t="s">
        <v>33</v>
      </c>
      <c r="F2368" t="s">
        <v>25</v>
      </c>
      <c r="G2368" t="s">
        <v>54</v>
      </c>
      <c r="H2368" t="s">
        <v>48</v>
      </c>
      <c r="I2368">
        <v>28234</v>
      </c>
      <c r="J2368">
        <v>32638</v>
      </c>
    </row>
    <row r="2369" spans="1:10" x14ac:dyDescent="0.3">
      <c r="A2369" t="s">
        <v>2496</v>
      </c>
      <c r="B2369" s="1">
        <v>45912</v>
      </c>
      <c r="C2369" t="s">
        <v>38</v>
      </c>
      <c r="D2369">
        <v>37</v>
      </c>
      <c r="E2369" t="s">
        <v>18</v>
      </c>
      <c r="F2369" t="s">
        <v>101</v>
      </c>
      <c r="G2369" t="s">
        <v>149</v>
      </c>
      <c r="H2369" t="s">
        <v>211</v>
      </c>
      <c r="I2369">
        <v>21674</v>
      </c>
      <c r="J2369">
        <v>19493</v>
      </c>
    </row>
    <row r="2370" spans="1:10" x14ac:dyDescent="0.3">
      <c r="A2370" t="s">
        <v>2497</v>
      </c>
      <c r="B2370" s="1">
        <v>45795</v>
      </c>
      <c r="C2370" t="s">
        <v>90</v>
      </c>
      <c r="D2370">
        <v>20</v>
      </c>
      <c r="E2370" t="s">
        <v>39</v>
      </c>
      <c r="F2370" t="s">
        <v>46</v>
      </c>
      <c r="G2370" t="s">
        <v>324</v>
      </c>
      <c r="H2370" t="s">
        <v>68</v>
      </c>
      <c r="I2370">
        <v>24291</v>
      </c>
      <c r="J2370">
        <v>22458</v>
      </c>
    </row>
    <row r="2371" spans="1:10" x14ac:dyDescent="0.3">
      <c r="A2371" t="s">
        <v>2498</v>
      </c>
      <c r="B2371" s="1">
        <v>45883</v>
      </c>
      <c r="C2371" t="s">
        <v>113</v>
      </c>
      <c r="D2371">
        <v>33</v>
      </c>
      <c r="E2371" t="s">
        <v>39</v>
      </c>
      <c r="F2371" t="s">
        <v>29</v>
      </c>
      <c r="G2371" t="s">
        <v>137</v>
      </c>
      <c r="H2371" t="s">
        <v>96</v>
      </c>
      <c r="I2371">
        <v>19270</v>
      </c>
      <c r="J2371">
        <v>20004</v>
      </c>
    </row>
    <row r="2372" spans="1:10" x14ac:dyDescent="0.3">
      <c r="A2372" t="s">
        <v>2499</v>
      </c>
      <c r="B2372" s="1">
        <v>45967</v>
      </c>
      <c r="C2372" t="s">
        <v>23</v>
      </c>
      <c r="D2372">
        <v>45</v>
      </c>
      <c r="E2372" t="s">
        <v>39</v>
      </c>
      <c r="F2372" t="s">
        <v>78</v>
      </c>
      <c r="G2372" t="s">
        <v>141</v>
      </c>
      <c r="H2372" t="s">
        <v>155</v>
      </c>
      <c r="I2372">
        <v>20070</v>
      </c>
      <c r="J2372">
        <v>17636</v>
      </c>
    </row>
    <row r="2373" spans="1:10" x14ac:dyDescent="0.3">
      <c r="A2373" t="s">
        <v>2500</v>
      </c>
      <c r="B2373" s="1">
        <v>45927</v>
      </c>
      <c r="C2373" t="s">
        <v>38</v>
      </c>
      <c r="D2373">
        <v>39</v>
      </c>
      <c r="E2373" t="s">
        <v>33</v>
      </c>
      <c r="F2373" t="s">
        <v>78</v>
      </c>
      <c r="G2373" t="s">
        <v>199</v>
      </c>
      <c r="H2373" t="s">
        <v>84</v>
      </c>
      <c r="I2373">
        <v>17387</v>
      </c>
      <c r="J2373">
        <v>19785</v>
      </c>
    </row>
    <row r="2374" spans="1:10" x14ac:dyDescent="0.3">
      <c r="A2374" t="s">
        <v>2501</v>
      </c>
      <c r="B2374" s="1">
        <v>45879</v>
      </c>
      <c r="C2374" t="s">
        <v>113</v>
      </c>
      <c r="D2374">
        <v>32</v>
      </c>
      <c r="E2374" t="s">
        <v>61</v>
      </c>
      <c r="F2374" t="s">
        <v>114</v>
      </c>
      <c r="G2374" t="s">
        <v>141</v>
      </c>
      <c r="H2374" t="s">
        <v>41</v>
      </c>
      <c r="I2374">
        <v>29766</v>
      </c>
      <c r="J2374">
        <v>26264</v>
      </c>
    </row>
    <row r="2375" spans="1:10" x14ac:dyDescent="0.3">
      <c r="A2375" t="s">
        <v>2502</v>
      </c>
      <c r="B2375" s="1">
        <v>45659</v>
      </c>
      <c r="C2375" t="s">
        <v>17</v>
      </c>
      <c r="D2375">
        <v>1</v>
      </c>
      <c r="E2375" t="s">
        <v>39</v>
      </c>
      <c r="F2375" t="s">
        <v>87</v>
      </c>
      <c r="G2375" t="s">
        <v>102</v>
      </c>
      <c r="H2375" t="s">
        <v>211</v>
      </c>
      <c r="I2375">
        <v>30214</v>
      </c>
      <c r="J2375">
        <v>32747</v>
      </c>
    </row>
    <row r="2376" spans="1:10" x14ac:dyDescent="0.3">
      <c r="A2376" t="s">
        <v>2503</v>
      </c>
      <c r="B2376" s="1">
        <v>45684</v>
      </c>
      <c r="C2376" t="s">
        <v>17</v>
      </c>
      <c r="D2376">
        <v>5</v>
      </c>
      <c r="E2376" t="s">
        <v>18</v>
      </c>
      <c r="F2376" t="s">
        <v>29</v>
      </c>
      <c r="G2376" t="s">
        <v>253</v>
      </c>
      <c r="H2376" t="s">
        <v>119</v>
      </c>
      <c r="I2376">
        <v>30619</v>
      </c>
      <c r="J2376">
        <v>22313</v>
      </c>
    </row>
    <row r="2377" spans="1:10" x14ac:dyDescent="0.3">
      <c r="A2377" t="s">
        <v>2504</v>
      </c>
      <c r="B2377" s="1">
        <v>45771</v>
      </c>
      <c r="C2377" t="s">
        <v>86</v>
      </c>
      <c r="D2377">
        <v>17</v>
      </c>
      <c r="E2377" t="s">
        <v>33</v>
      </c>
      <c r="F2377" t="s">
        <v>34</v>
      </c>
      <c r="G2377" t="s">
        <v>206</v>
      </c>
      <c r="H2377" t="s">
        <v>41</v>
      </c>
      <c r="I2377">
        <v>34823</v>
      </c>
      <c r="J2377">
        <v>38081</v>
      </c>
    </row>
    <row r="2378" spans="1:10" x14ac:dyDescent="0.3">
      <c r="A2378" t="s">
        <v>2505</v>
      </c>
      <c r="B2378" s="1">
        <v>45846</v>
      </c>
      <c r="C2378" t="s">
        <v>11</v>
      </c>
      <c r="D2378">
        <v>28</v>
      </c>
      <c r="E2378" t="s">
        <v>12</v>
      </c>
      <c r="F2378" t="s">
        <v>43</v>
      </c>
      <c r="G2378" t="s">
        <v>141</v>
      </c>
      <c r="H2378" t="s">
        <v>157</v>
      </c>
      <c r="I2378">
        <v>23543</v>
      </c>
      <c r="J2378">
        <v>24776</v>
      </c>
    </row>
    <row r="2379" spans="1:10" x14ac:dyDescent="0.3">
      <c r="A2379" t="s">
        <v>2506</v>
      </c>
      <c r="B2379" s="1">
        <v>45943</v>
      </c>
      <c r="C2379" t="s">
        <v>66</v>
      </c>
      <c r="D2379">
        <v>42</v>
      </c>
      <c r="E2379" t="s">
        <v>24</v>
      </c>
      <c r="F2379" t="s">
        <v>122</v>
      </c>
      <c r="G2379" t="s">
        <v>132</v>
      </c>
      <c r="H2379" t="s">
        <v>157</v>
      </c>
      <c r="I2379">
        <v>35341</v>
      </c>
      <c r="J2379">
        <v>37202</v>
      </c>
    </row>
    <row r="2380" spans="1:10" x14ac:dyDescent="0.3">
      <c r="A2380" t="s">
        <v>2507</v>
      </c>
      <c r="B2380" s="1">
        <v>45854</v>
      </c>
      <c r="C2380" t="s">
        <v>11</v>
      </c>
      <c r="D2380">
        <v>29</v>
      </c>
      <c r="E2380" t="s">
        <v>24</v>
      </c>
      <c r="F2380" t="s">
        <v>29</v>
      </c>
      <c r="G2380" t="s">
        <v>171</v>
      </c>
      <c r="H2380" t="s">
        <v>21</v>
      </c>
      <c r="I2380">
        <v>39527</v>
      </c>
      <c r="J2380">
        <v>29365</v>
      </c>
    </row>
    <row r="2381" spans="1:10" x14ac:dyDescent="0.3">
      <c r="A2381" t="s">
        <v>2508</v>
      </c>
      <c r="B2381" s="1">
        <v>45817</v>
      </c>
      <c r="C2381" t="s">
        <v>74</v>
      </c>
      <c r="D2381">
        <v>24</v>
      </c>
      <c r="E2381" t="s">
        <v>12</v>
      </c>
      <c r="F2381" t="s">
        <v>109</v>
      </c>
      <c r="G2381" t="s">
        <v>58</v>
      </c>
      <c r="H2381" t="s">
        <v>68</v>
      </c>
      <c r="I2381">
        <v>15382</v>
      </c>
      <c r="J2381">
        <v>19244</v>
      </c>
    </row>
    <row r="2382" spans="1:10" x14ac:dyDescent="0.3">
      <c r="A2382" t="s">
        <v>2509</v>
      </c>
      <c r="B2382" s="1">
        <v>45913</v>
      </c>
      <c r="C2382" t="s">
        <v>38</v>
      </c>
      <c r="D2382">
        <v>37</v>
      </c>
      <c r="E2382" t="s">
        <v>70</v>
      </c>
      <c r="F2382" t="s">
        <v>46</v>
      </c>
      <c r="G2382" t="s">
        <v>128</v>
      </c>
      <c r="H2382" t="s">
        <v>157</v>
      </c>
      <c r="I2382">
        <v>29571</v>
      </c>
      <c r="J2382">
        <v>28964</v>
      </c>
    </row>
    <row r="2383" spans="1:10" x14ac:dyDescent="0.3">
      <c r="A2383" t="s">
        <v>2510</v>
      </c>
      <c r="B2383" s="1">
        <v>45991</v>
      </c>
      <c r="C2383" t="s">
        <v>23</v>
      </c>
      <c r="D2383">
        <v>48</v>
      </c>
      <c r="E2383" t="s">
        <v>39</v>
      </c>
      <c r="F2383" t="s">
        <v>101</v>
      </c>
      <c r="G2383" t="s">
        <v>47</v>
      </c>
      <c r="H2383" t="s">
        <v>103</v>
      </c>
      <c r="I2383">
        <v>37543</v>
      </c>
      <c r="J2383">
        <v>43027</v>
      </c>
    </row>
    <row r="2384" spans="1:10" x14ac:dyDescent="0.3">
      <c r="A2384" t="s">
        <v>2511</v>
      </c>
      <c r="B2384" s="1">
        <v>46012</v>
      </c>
      <c r="C2384" t="s">
        <v>100</v>
      </c>
      <c r="D2384">
        <v>51</v>
      </c>
      <c r="E2384" t="s">
        <v>39</v>
      </c>
      <c r="F2384" t="s">
        <v>19</v>
      </c>
      <c r="G2384" t="s">
        <v>14</v>
      </c>
      <c r="H2384" t="s">
        <v>21</v>
      </c>
      <c r="I2384">
        <v>29725</v>
      </c>
      <c r="J2384">
        <v>26060</v>
      </c>
    </row>
    <row r="2385" spans="1:10" x14ac:dyDescent="0.3">
      <c r="A2385" t="s">
        <v>2512</v>
      </c>
      <c r="B2385" s="1">
        <v>45969</v>
      </c>
      <c r="C2385" t="s">
        <v>23</v>
      </c>
      <c r="D2385">
        <v>45</v>
      </c>
      <c r="E2385" t="s">
        <v>12</v>
      </c>
      <c r="F2385" t="s">
        <v>43</v>
      </c>
      <c r="G2385" t="s">
        <v>76</v>
      </c>
      <c r="H2385" t="s">
        <v>84</v>
      </c>
      <c r="I2385">
        <v>22623</v>
      </c>
      <c r="J2385">
        <v>22559</v>
      </c>
    </row>
    <row r="2386" spans="1:10" x14ac:dyDescent="0.3">
      <c r="A2386" t="s">
        <v>2513</v>
      </c>
      <c r="B2386" s="1">
        <v>45774</v>
      </c>
      <c r="C2386" t="s">
        <v>86</v>
      </c>
      <c r="D2386">
        <v>17</v>
      </c>
      <c r="E2386" t="s">
        <v>61</v>
      </c>
      <c r="F2386" t="s">
        <v>122</v>
      </c>
      <c r="G2386" t="s">
        <v>240</v>
      </c>
      <c r="H2386" t="s">
        <v>119</v>
      </c>
      <c r="I2386">
        <v>20784</v>
      </c>
      <c r="J2386">
        <v>18583</v>
      </c>
    </row>
    <row r="2387" spans="1:10" x14ac:dyDescent="0.3">
      <c r="A2387" t="s">
        <v>2514</v>
      </c>
      <c r="B2387" s="1">
        <v>45803</v>
      </c>
      <c r="C2387" t="s">
        <v>90</v>
      </c>
      <c r="D2387">
        <v>22</v>
      </c>
      <c r="E2387" t="s">
        <v>24</v>
      </c>
      <c r="F2387" t="s">
        <v>13</v>
      </c>
      <c r="G2387" t="s">
        <v>234</v>
      </c>
      <c r="H2387" t="s">
        <v>98</v>
      </c>
      <c r="I2387">
        <v>15519</v>
      </c>
      <c r="J2387">
        <v>15546</v>
      </c>
    </row>
    <row r="2388" spans="1:10" x14ac:dyDescent="0.3">
      <c r="A2388" t="s">
        <v>2515</v>
      </c>
      <c r="B2388" s="1">
        <v>45663</v>
      </c>
      <c r="C2388" t="s">
        <v>17</v>
      </c>
      <c r="D2388">
        <v>2</v>
      </c>
      <c r="E2388" t="s">
        <v>61</v>
      </c>
      <c r="F2388" t="s">
        <v>140</v>
      </c>
      <c r="G2388" t="s">
        <v>145</v>
      </c>
      <c r="H2388" t="s">
        <v>27</v>
      </c>
      <c r="I2388">
        <v>32367</v>
      </c>
      <c r="J2388">
        <v>40881</v>
      </c>
    </row>
    <row r="2389" spans="1:10" x14ac:dyDescent="0.3">
      <c r="A2389" t="s">
        <v>2516</v>
      </c>
      <c r="B2389" s="1">
        <v>45774</v>
      </c>
      <c r="C2389" t="s">
        <v>86</v>
      </c>
      <c r="D2389">
        <v>17</v>
      </c>
      <c r="E2389" t="s">
        <v>33</v>
      </c>
      <c r="F2389" t="s">
        <v>50</v>
      </c>
      <c r="G2389" t="s">
        <v>199</v>
      </c>
      <c r="H2389" t="s">
        <v>155</v>
      </c>
      <c r="I2389">
        <v>17002</v>
      </c>
      <c r="J2389">
        <v>17955</v>
      </c>
    </row>
    <row r="2390" spans="1:10" x14ac:dyDescent="0.3">
      <c r="A2390" t="s">
        <v>2517</v>
      </c>
      <c r="B2390" s="1">
        <v>45689</v>
      </c>
      <c r="C2390" t="s">
        <v>82</v>
      </c>
      <c r="D2390">
        <v>5</v>
      </c>
      <c r="E2390" t="s">
        <v>70</v>
      </c>
      <c r="F2390" t="s">
        <v>19</v>
      </c>
      <c r="G2390" t="s">
        <v>191</v>
      </c>
      <c r="H2390" t="s">
        <v>15</v>
      </c>
      <c r="I2390">
        <v>32882</v>
      </c>
      <c r="J2390">
        <v>24682</v>
      </c>
    </row>
    <row r="2391" spans="1:10" x14ac:dyDescent="0.3">
      <c r="A2391" t="s">
        <v>2518</v>
      </c>
      <c r="B2391" s="1">
        <v>45797</v>
      </c>
      <c r="C2391" t="s">
        <v>90</v>
      </c>
      <c r="D2391">
        <v>21</v>
      </c>
      <c r="E2391" t="s">
        <v>33</v>
      </c>
      <c r="F2391" t="s">
        <v>19</v>
      </c>
      <c r="G2391" t="s">
        <v>54</v>
      </c>
      <c r="H2391" t="s">
        <v>123</v>
      </c>
      <c r="I2391">
        <v>30762</v>
      </c>
      <c r="J2391">
        <v>34180</v>
      </c>
    </row>
    <row r="2392" spans="1:10" x14ac:dyDescent="0.3">
      <c r="A2392" t="s">
        <v>2519</v>
      </c>
      <c r="B2392" s="1">
        <v>45845</v>
      </c>
      <c r="C2392" t="s">
        <v>11</v>
      </c>
      <c r="D2392">
        <v>28</v>
      </c>
      <c r="E2392" t="s">
        <v>18</v>
      </c>
      <c r="F2392" t="s">
        <v>25</v>
      </c>
      <c r="G2392" t="s">
        <v>107</v>
      </c>
      <c r="H2392" t="s">
        <v>59</v>
      </c>
      <c r="I2392">
        <v>24540</v>
      </c>
      <c r="J2392">
        <v>25663</v>
      </c>
    </row>
    <row r="2393" spans="1:10" x14ac:dyDescent="0.3">
      <c r="A2393" t="s">
        <v>2520</v>
      </c>
      <c r="B2393" s="1">
        <v>45841</v>
      </c>
      <c r="C2393" t="s">
        <v>11</v>
      </c>
      <c r="D2393">
        <v>27</v>
      </c>
      <c r="E2393" t="s">
        <v>61</v>
      </c>
      <c r="F2393" t="s">
        <v>101</v>
      </c>
      <c r="G2393" t="s">
        <v>93</v>
      </c>
      <c r="H2393" t="s">
        <v>151</v>
      </c>
      <c r="I2393">
        <v>20716</v>
      </c>
      <c r="J2393">
        <v>26270</v>
      </c>
    </row>
    <row r="2394" spans="1:10" x14ac:dyDescent="0.3">
      <c r="A2394" t="s">
        <v>2521</v>
      </c>
      <c r="B2394" s="1">
        <v>45839</v>
      </c>
      <c r="C2394" t="s">
        <v>11</v>
      </c>
      <c r="D2394">
        <v>27</v>
      </c>
      <c r="E2394" t="s">
        <v>12</v>
      </c>
      <c r="F2394" t="s">
        <v>13</v>
      </c>
      <c r="G2394" t="s">
        <v>67</v>
      </c>
      <c r="H2394" t="s">
        <v>59</v>
      </c>
      <c r="I2394">
        <v>32910</v>
      </c>
      <c r="J2394">
        <v>40661</v>
      </c>
    </row>
    <row r="2395" spans="1:10" x14ac:dyDescent="0.3">
      <c r="A2395" t="s">
        <v>2522</v>
      </c>
      <c r="B2395" s="1">
        <v>45937</v>
      </c>
      <c r="C2395" t="s">
        <v>66</v>
      </c>
      <c r="D2395">
        <v>41</v>
      </c>
      <c r="E2395" t="s">
        <v>70</v>
      </c>
      <c r="F2395" t="s">
        <v>109</v>
      </c>
      <c r="G2395" t="s">
        <v>147</v>
      </c>
      <c r="H2395" t="s">
        <v>163</v>
      </c>
      <c r="I2395">
        <v>29855</v>
      </c>
      <c r="J2395">
        <v>21519</v>
      </c>
    </row>
    <row r="2396" spans="1:10" x14ac:dyDescent="0.3">
      <c r="A2396" t="s">
        <v>2523</v>
      </c>
      <c r="B2396" s="1">
        <v>45850</v>
      </c>
      <c r="C2396" t="s">
        <v>11</v>
      </c>
      <c r="D2396">
        <v>28</v>
      </c>
      <c r="E2396" t="s">
        <v>33</v>
      </c>
      <c r="F2396" t="s">
        <v>114</v>
      </c>
      <c r="G2396" t="s">
        <v>206</v>
      </c>
      <c r="H2396" t="s">
        <v>48</v>
      </c>
      <c r="I2396">
        <v>27138</v>
      </c>
      <c r="J2396">
        <v>22583</v>
      </c>
    </row>
    <row r="2397" spans="1:10" x14ac:dyDescent="0.3">
      <c r="A2397" t="s">
        <v>2524</v>
      </c>
      <c r="B2397" s="1">
        <v>46000</v>
      </c>
      <c r="C2397" t="s">
        <v>100</v>
      </c>
      <c r="D2397">
        <v>50</v>
      </c>
      <c r="E2397" t="s">
        <v>61</v>
      </c>
      <c r="F2397" t="s">
        <v>122</v>
      </c>
      <c r="G2397" t="s">
        <v>199</v>
      </c>
      <c r="H2397" t="s">
        <v>133</v>
      </c>
      <c r="I2397">
        <v>36783</v>
      </c>
      <c r="J2397">
        <v>27098</v>
      </c>
    </row>
    <row r="2398" spans="1:10" x14ac:dyDescent="0.3">
      <c r="A2398" t="s">
        <v>2525</v>
      </c>
      <c r="B2398" s="1">
        <v>45947</v>
      </c>
      <c r="C2398" t="s">
        <v>66</v>
      </c>
      <c r="D2398">
        <v>42</v>
      </c>
      <c r="E2398" t="s">
        <v>39</v>
      </c>
      <c r="F2398" t="s">
        <v>122</v>
      </c>
      <c r="G2398" t="s">
        <v>147</v>
      </c>
      <c r="H2398" t="s">
        <v>157</v>
      </c>
      <c r="I2398">
        <v>22956</v>
      </c>
      <c r="J2398">
        <v>23289</v>
      </c>
    </row>
    <row r="2399" spans="1:10" x14ac:dyDescent="0.3">
      <c r="A2399" t="s">
        <v>2526</v>
      </c>
      <c r="B2399" s="1">
        <v>45900</v>
      </c>
      <c r="C2399" t="s">
        <v>113</v>
      </c>
      <c r="D2399">
        <v>35</v>
      </c>
      <c r="E2399" t="s">
        <v>61</v>
      </c>
      <c r="F2399" t="s">
        <v>109</v>
      </c>
      <c r="G2399" t="s">
        <v>20</v>
      </c>
      <c r="H2399" t="s">
        <v>80</v>
      </c>
      <c r="I2399">
        <v>32203</v>
      </c>
      <c r="J2399">
        <v>39645</v>
      </c>
    </row>
    <row r="2400" spans="1:10" x14ac:dyDescent="0.3">
      <c r="A2400" t="s">
        <v>2527</v>
      </c>
      <c r="B2400" s="1">
        <v>45908</v>
      </c>
      <c r="C2400" t="s">
        <v>38</v>
      </c>
      <c r="D2400">
        <v>37</v>
      </c>
      <c r="E2400" t="s">
        <v>33</v>
      </c>
      <c r="F2400" t="s">
        <v>101</v>
      </c>
      <c r="G2400" t="s">
        <v>141</v>
      </c>
      <c r="H2400" t="s">
        <v>27</v>
      </c>
      <c r="I2400">
        <v>22772</v>
      </c>
      <c r="J2400">
        <v>26672</v>
      </c>
    </row>
    <row r="2401" spans="1:10" x14ac:dyDescent="0.3">
      <c r="A2401" t="s">
        <v>2528</v>
      </c>
      <c r="B2401" s="1">
        <v>46011</v>
      </c>
      <c r="C2401" t="s">
        <v>100</v>
      </c>
      <c r="D2401">
        <v>51</v>
      </c>
      <c r="E2401" t="s">
        <v>24</v>
      </c>
      <c r="F2401" t="s">
        <v>122</v>
      </c>
      <c r="G2401" t="s">
        <v>253</v>
      </c>
      <c r="H2401" t="s">
        <v>59</v>
      </c>
      <c r="I2401">
        <v>34794</v>
      </c>
      <c r="J2401">
        <v>36993</v>
      </c>
    </row>
    <row r="2402" spans="1:10" x14ac:dyDescent="0.3">
      <c r="A2402" t="s">
        <v>2529</v>
      </c>
      <c r="B2402" s="1">
        <v>45796</v>
      </c>
      <c r="C2402" t="s">
        <v>90</v>
      </c>
      <c r="D2402">
        <v>21</v>
      </c>
      <c r="E2402" t="s">
        <v>24</v>
      </c>
      <c r="F2402" t="s">
        <v>62</v>
      </c>
      <c r="G2402" t="s">
        <v>102</v>
      </c>
      <c r="H2402" t="s">
        <v>21</v>
      </c>
      <c r="I2402">
        <v>26641</v>
      </c>
      <c r="J2402">
        <v>19390</v>
      </c>
    </row>
    <row r="2403" spans="1:10" x14ac:dyDescent="0.3">
      <c r="A2403" t="s">
        <v>2530</v>
      </c>
      <c r="B2403" s="1">
        <v>45948</v>
      </c>
      <c r="C2403" t="s">
        <v>66</v>
      </c>
      <c r="D2403">
        <v>42</v>
      </c>
      <c r="E2403" t="s">
        <v>61</v>
      </c>
      <c r="F2403" t="s">
        <v>57</v>
      </c>
      <c r="G2403" t="s">
        <v>76</v>
      </c>
      <c r="H2403" t="s">
        <v>59</v>
      </c>
      <c r="I2403">
        <v>30998</v>
      </c>
      <c r="J2403">
        <v>32738</v>
      </c>
    </row>
    <row r="2404" spans="1:10" x14ac:dyDescent="0.3">
      <c r="A2404" t="s">
        <v>2531</v>
      </c>
      <c r="B2404" s="1">
        <v>45767</v>
      </c>
      <c r="C2404" t="s">
        <v>86</v>
      </c>
      <c r="D2404">
        <v>16</v>
      </c>
      <c r="E2404" t="s">
        <v>70</v>
      </c>
      <c r="F2404" t="s">
        <v>109</v>
      </c>
      <c r="G2404" t="s">
        <v>102</v>
      </c>
      <c r="H2404" t="s">
        <v>55</v>
      </c>
      <c r="I2404">
        <v>39193</v>
      </c>
      <c r="J2404">
        <v>44437</v>
      </c>
    </row>
    <row r="2405" spans="1:10" x14ac:dyDescent="0.3">
      <c r="A2405" t="s">
        <v>2532</v>
      </c>
      <c r="B2405" s="1">
        <v>45913</v>
      </c>
      <c r="C2405" t="s">
        <v>38</v>
      </c>
      <c r="D2405">
        <v>37</v>
      </c>
      <c r="E2405" t="s">
        <v>18</v>
      </c>
      <c r="F2405" t="s">
        <v>193</v>
      </c>
      <c r="G2405" t="s">
        <v>141</v>
      </c>
      <c r="H2405" t="s">
        <v>98</v>
      </c>
      <c r="I2405">
        <v>26337</v>
      </c>
      <c r="J2405">
        <v>20909</v>
      </c>
    </row>
    <row r="2406" spans="1:10" x14ac:dyDescent="0.3">
      <c r="A2406" t="s">
        <v>2533</v>
      </c>
      <c r="B2406" s="1">
        <v>46016</v>
      </c>
      <c r="C2406" t="s">
        <v>100</v>
      </c>
      <c r="D2406">
        <v>52</v>
      </c>
      <c r="E2406" t="s">
        <v>39</v>
      </c>
      <c r="F2406" t="s">
        <v>50</v>
      </c>
      <c r="G2406" t="s">
        <v>182</v>
      </c>
      <c r="H2406" t="s">
        <v>55</v>
      </c>
      <c r="I2406">
        <v>17571</v>
      </c>
      <c r="J2406">
        <v>14280</v>
      </c>
    </row>
    <row r="2407" spans="1:10" x14ac:dyDescent="0.3">
      <c r="A2407" t="s">
        <v>2534</v>
      </c>
      <c r="B2407" s="1">
        <v>45814</v>
      </c>
      <c r="C2407" t="s">
        <v>74</v>
      </c>
      <c r="D2407">
        <v>23</v>
      </c>
      <c r="E2407" t="s">
        <v>24</v>
      </c>
      <c r="F2407" t="s">
        <v>109</v>
      </c>
      <c r="G2407" t="s">
        <v>145</v>
      </c>
      <c r="H2407" t="s">
        <v>21</v>
      </c>
      <c r="I2407">
        <v>37832</v>
      </c>
      <c r="J2407">
        <v>30682</v>
      </c>
    </row>
    <row r="2408" spans="1:10" x14ac:dyDescent="0.3">
      <c r="A2408" t="s">
        <v>2535</v>
      </c>
      <c r="B2408" s="1">
        <v>45675</v>
      </c>
      <c r="C2408" t="s">
        <v>17</v>
      </c>
      <c r="D2408">
        <v>3</v>
      </c>
      <c r="E2408" t="s">
        <v>18</v>
      </c>
      <c r="F2408" t="s">
        <v>109</v>
      </c>
      <c r="G2408" t="s">
        <v>76</v>
      </c>
      <c r="H2408" t="s">
        <v>41</v>
      </c>
      <c r="I2408">
        <v>21581</v>
      </c>
      <c r="J2408">
        <v>16911</v>
      </c>
    </row>
    <row r="2409" spans="1:10" x14ac:dyDescent="0.3">
      <c r="A2409" t="s">
        <v>2536</v>
      </c>
      <c r="B2409" s="1">
        <v>45735</v>
      </c>
      <c r="C2409" t="s">
        <v>95</v>
      </c>
      <c r="D2409">
        <v>12</v>
      </c>
      <c r="E2409" t="s">
        <v>18</v>
      </c>
      <c r="F2409" t="s">
        <v>114</v>
      </c>
      <c r="G2409" t="s">
        <v>132</v>
      </c>
      <c r="H2409" t="s">
        <v>31</v>
      </c>
      <c r="I2409">
        <v>31367</v>
      </c>
      <c r="J2409">
        <v>26734</v>
      </c>
    </row>
    <row r="2410" spans="1:10" x14ac:dyDescent="0.3">
      <c r="A2410" t="s">
        <v>2537</v>
      </c>
      <c r="B2410" s="1">
        <v>45850</v>
      </c>
      <c r="C2410" t="s">
        <v>11</v>
      </c>
      <c r="D2410">
        <v>28</v>
      </c>
      <c r="E2410" t="s">
        <v>24</v>
      </c>
      <c r="F2410" t="s">
        <v>13</v>
      </c>
      <c r="G2410" t="s">
        <v>182</v>
      </c>
      <c r="H2410" t="s">
        <v>31</v>
      </c>
      <c r="I2410">
        <v>28257</v>
      </c>
      <c r="J2410">
        <v>26792</v>
      </c>
    </row>
    <row r="2411" spans="1:10" x14ac:dyDescent="0.3">
      <c r="A2411" t="s">
        <v>2538</v>
      </c>
      <c r="B2411" s="1">
        <v>45954</v>
      </c>
      <c r="C2411" t="s">
        <v>66</v>
      </c>
      <c r="D2411">
        <v>43</v>
      </c>
      <c r="E2411" t="s">
        <v>12</v>
      </c>
      <c r="F2411" t="s">
        <v>34</v>
      </c>
      <c r="G2411" t="s">
        <v>128</v>
      </c>
      <c r="H2411" t="s">
        <v>52</v>
      </c>
      <c r="I2411">
        <v>39246</v>
      </c>
      <c r="J2411">
        <v>31134</v>
      </c>
    </row>
    <row r="2412" spans="1:10" x14ac:dyDescent="0.3">
      <c r="A2412" t="s">
        <v>2539</v>
      </c>
      <c r="B2412" s="1">
        <v>45817</v>
      </c>
      <c r="C2412" t="s">
        <v>74</v>
      </c>
      <c r="D2412">
        <v>24</v>
      </c>
      <c r="E2412" t="s">
        <v>70</v>
      </c>
      <c r="F2412" t="s">
        <v>78</v>
      </c>
      <c r="G2412" t="s">
        <v>76</v>
      </c>
      <c r="H2412" t="s">
        <v>211</v>
      </c>
      <c r="I2412">
        <v>35828</v>
      </c>
      <c r="J2412">
        <v>33588</v>
      </c>
    </row>
    <row r="2413" spans="1:10" x14ac:dyDescent="0.3">
      <c r="A2413" t="s">
        <v>2540</v>
      </c>
      <c r="B2413" s="1">
        <v>45704</v>
      </c>
      <c r="C2413" t="s">
        <v>82</v>
      </c>
      <c r="D2413">
        <v>7</v>
      </c>
      <c r="E2413" t="s">
        <v>33</v>
      </c>
      <c r="F2413" t="s">
        <v>87</v>
      </c>
      <c r="G2413" t="s">
        <v>128</v>
      </c>
      <c r="H2413" t="s">
        <v>211</v>
      </c>
      <c r="I2413">
        <v>23720</v>
      </c>
      <c r="J2413">
        <v>23121</v>
      </c>
    </row>
    <row r="2414" spans="1:10" x14ac:dyDescent="0.3">
      <c r="A2414" t="s">
        <v>2541</v>
      </c>
      <c r="B2414" s="1">
        <v>45763</v>
      </c>
      <c r="C2414" t="s">
        <v>86</v>
      </c>
      <c r="D2414">
        <v>16</v>
      </c>
      <c r="E2414" t="s">
        <v>18</v>
      </c>
      <c r="F2414" t="s">
        <v>19</v>
      </c>
      <c r="G2414" t="s">
        <v>324</v>
      </c>
      <c r="H2414" t="s">
        <v>155</v>
      </c>
      <c r="I2414">
        <v>29500</v>
      </c>
      <c r="J2414">
        <v>34015</v>
      </c>
    </row>
    <row r="2415" spans="1:10" x14ac:dyDescent="0.3">
      <c r="A2415" t="s">
        <v>2542</v>
      </c>
      <c r="B2415" s="1">
        <v>45843</v>
      </c>
      <c r="C2415" t="s">
        <v>11</v>
      </c>
      <c r="D2415">
        <v>27</v>
      </c>
      <c r="E2415" t="s">
        <v>24</v>
      </c>
      <c r="F2415" t="s">
        <v>43</v>
      </c>
      <c r="G2415" t="s">
        <v>126</v>
      </c>
      <c r="H2415" t="s">
        <v>48</v>
      </c>
      <c r="I2415">
        <v>24535</v>
      </c>
      <c r="J2415">
        <v>21201</v>
      </c>
    </row>
    <row r="2416" spans="1:10" x14ac:dyDescent="0.3">
      <c r="A2416" t="s">
        <v>2543</v>
      </c>
      <c r="B2416" s="1">
        <v>45721</v>
      </c>
      <c r="C2416" t="s">
        <v>95</v>
      </c>
      <c r="D2416">
        <v>10</v>
      </c>
      <c r="E2416" t="s">
        <v>12</v>
      </c>
      <c r="F2416" t="s">
        <v>92</v>
      </c>
      <c r="G2416" t="s">
        <v>79</v>
      </c>
      <c r="H2416" t="s">
        <v>116</v>
      </c>
      <c r="I2416">
        <v>26099</v>
      </c>
      <c r="J2416">
        <v>20278</v>
      </c>
    </row>
    <row r="2417" spans="1:10" x14ac:dyDescent="0.3">
      <c r="A2417" t="s">
        <v>2544</v>
      </c>
      <c r="B2417" s="1">
        <v>45830</v>
      </c>
      <c r="C2417" t="s">
        <v>74</v>
      </c>
      <c r="D2417">
        <v>25</v>
      </c>
      <c r="E2417" t="s">
        <v>18</v>
      </c>
      <c r="F2417" t="s">
        <v>29</v>
      </c>
      <c r="G2417" t="s">
        <v>40</v>
      </c>
      <c r="H2417" t="s">
        <v>21</v>
      </c>
      <c r="I2417">
        <v>35654</v>
      </c>
      <c r="J2417">
        <v>28252</v>
      </c>
    </row>
    <row r="2418" spans="1:10" x14ac:dyDescent="0.3">
      <c r="A2418" t="s">
        <v>2545</v>
      </c>
      <c r="B2418" s="1">
        <v>45746</v>
      </c>
      <c r="C2418" t="s">
        <v>95</v>
      </c>
      <c r="D2418">
        <v>13</v>
      </c>
      <c r="E2418" t="s">
        <v>24</v>
      </c>
      <c r="F2418" t="s">
        <v>34</v>
      </c>
      <c r="G2418" t="s">
        <v>132</v>
      </c>
      <c r="H2418" t="s">
        <v>15</v>
      </c>
      <c r="I2418">
        <v>25933</v>
      </c>
      <c r="J2418">
        <v>18752</v>
      </c>
    </row>
    <row r="2419" spans="1:10" x14ac:dyDescent="0.3">
      <c r="A2419" t="s">
        <v>2546</v>
      </c>
      <c r="B2419" s="1">
        <v>45869</v>
      </c>
      <c r="C2419" t="s">
        <v>11</v>
      </c>
      <c r="D2419">
        <v>31</v>
      </c>
      <c r="E2419" t="s">
        <v>61</v>
      </c>
      <c r="F2419" t="s">
        <v>13</v>
      </c>
      <c r="G2419" t="s">
        <v>72</v>
      </c>
      <c r="H2419" t="s">
        <v>119</v>
      </c>
      <c r="I2419">
        <v>26641</v>
      </c>
      <c r="J2419">
        <v>30087</v>
      </c>
    </row>
    <row r="2420" spans="1:10" x14ac:dyDescent="0.3">
      <c r="A2420" t="s">
        <v>2547</v>
      </c>
      <c r="B2420" s="1">
        <v>45729</v>
      </c>
      <c r="C2420" t="s">
        <v>95</v>
      </c>
      <c r="D2420">
        <v>11</v>
      </c>
      <c r="E2420" t="s">
        <v>18</v>
      </c>
      <c r="F2420" t="s">
        <v>34</v>
      </c>
      <c r="G2420" t="s">
        <v>201</v>
      </c>
      <c r="H2420" t="s">
        <v>80</v>
      </c>
      <c r="I2420">
        <v>32317</v>
      </c>
      <c r="J2420">
        <v>22761</v>
      </c>
    </row>
    <row r="2421" spans="1:10" x14ac:dyDescent="0.3">
      <c r="A2421" t="s">
        <v>2548</v>
      </c>
      <c r="B2421" s="1">
        <v>45865</v>
      </c>
      <c r="C2421" t="s">
        <v>11</v>
      </c>
      <c r="D2421">
        <v>30</v>
      </c>
      <c r="E2421" t="s">
        <v>33</v>
      </c>
      <c r="F2421" t="s">
        <v>92</v>
      </c>
      <c r="G2421" t="s">
        <v>83</v>
      </c>
      <c r="H2421" t="s">
        <v>163</v>
      </c>
      <c r="I2421">
        <v>23832</v>
      </c>
      <c r="J2421">
        <v>30204</v>
      </c>
    </row>
    <row r="2422" spans="1:10" x14ac:dyDescent="0.3">
      <c r="A2422" t="s">
        <v>2549</v>
      </c>
      <c r="B2422" s="1">
        <v>45723</v>
      </c>
      <c r="C2422" t="s">
        <v>95</v>
      </c>
      <c r="D2422">
        <v>10</v>
      </c>
      <c r="E2422" t="s">
        <v>12</v>
      </c>
      <c r="F2422" t="s">
        <v>78</v>
      </c>
      <c r="G2422" t="s">
        <v>253</v>
      </c>
      <c r="H2422" t="s">
        <v>21</v>
      </c>
      <c r="I2422">
        <v>35117</v>
      </c>
      <c r="J2422">
        <v>26413</v>
      </c>
    </row>
    <row r="2423" spans="1:10" x14ac:dyDescent="0.3">
      <c r="A2423" t="s">
        <v>2550</v>
      </c>
      <c r="B2423" s="1">
        <v>45829</v>
      </c>
      <c r="C2423" t="s">
        <v>74</v>
      </c>
      <c r="D2423">
        <v>25</v>
      </c>
      <c r="E2423" t="s">
        <v>18</v>
      </c>
      <c r="F2423" t="s">
        <v>87</v>
      </c>
      <c r="G2423" t="s">
        <v>30</v>
      </c>
      <c r="H2423" t="s">
        <v>36</v>
      </c>
      <c r="I2423">
        <v>39451</v>
      </c>
      <c r="J2423">
        <v>40426</v>
      </c>
    </row>
    <row r="2424" spans="1:10" x14ac:dyDescent="0.3">
      <c r="A2424" t="s">
        <v>2551</v>
      </c>
      <c r="B2424" s="1">
        <v>45920</v>
      </c>
      <c r="C2424" t="s">
        <v>38</v>
      </c>
      <c r="D2424">
        <v>38</v>
      </c>
      <c r="E2424" t="s">
        <v>18</v>
      </c>
      <c r="F2424" t="s">
        <v>57</v>
      </c>
      <c r="G2424" t="s">
        <v>206</v>
      </c>
      <c r="H2424" t="s">
        <v>48</v>
      </c>
      <c r="I2424">
        <v>21526</v>
      </c>
      <c r="J2424">
        <v>27357</v>
      </c>
    </row>
    <row r="2425" spans="1:10" x14ac:dyDescent="0.3">
      <c r="A2425" t="s">
        <v>2552</v>
      </c>
      <c r="B2425" s="1">
        <v>45933</v>
      </c>
      <c r="C2425" t="s">
        <v>66</v>
      </c>
      <c r="D2425">
        <v>40</v>
      </c>
      <c r="E2425" t="s">
        <v>39</v>
      </c>
      <c r="F2425" t="s">
        <v>140</v>
      </c>
      <c r="G2425" t="s">
        <v>14</v>
      </c>
      <c r="H2425" t="s">
        <v>64</v>
      </c>
      <c r="I2425">
        <v>17120</v>
      </c>
      <c r="J2425">
        <v>22223</v>
      </c>
    </row>
    <row r="2426" spans="1:10" x14ac:dyDescent="0.3">
      <c r="A2426" t="s">
        <v>2553</v>
      </c>
      <c r="B2426" s="1">
        <v>45707</v>
      </c>
      <c r="C2426" t="s">
        <v>82</v>
      </c>
      <c r="D2426">
        <v>8</v>
      </c>
      <c r="E2426" t="s">
        <v>18</v>
      </c>
      <c r="F2426" t="s">
        <v>109</v>
      </c>
      <c r="G2426" t="s">
        <v>14</v>
      </c>
      <c r="H2426" t="s">
        <v>31</v>
      </c>
      <c r="I2426">
        <v>39781</v>
      </c>
      <c r="J2426">
        <v>46826</v>
      </c>
    </row>
    <row r="2427" spans="1:10" x14ac:dyDescent="0.3">
      <c r="A2427" t="s">
        <v>2554</v>
      </c>
      <c r="B2427" s="1">
        <v>45918</v>
      </c>
      <c r="C2427" t="s">
        <v>38</v>
      </c>
      <c r="D2427">
        <v>38</v>
      </c>
      <c r="E2427" t="s">
        <v>18</v>
      </c>
      <c r="F2427" t="s">
        <v>19</v>
      </c>
      <c r="G2427" t="s">
        <v>107</v>
      </c>
      <c r="H2427" t="s">
        <v>27</v>
      </c>
      <c r="I2427">
        <v>31850</v>
      </c>
      <c r="J2427">
        <v>37914</v>
      </c>
    </row>
    <row r="2428" spans="1:10" x14ac:dyDescent="0.3">
      <c r="A2428" t="s">
        <v>2555</v>
      </c>
      <c r="B2428" s="1">
        <v>45735</v>
      </c>
      <c r="C2428" t="s">
        <v>95</v>
      </c>
      <c r="D2428">
        <v>12</v>
      </c>
      <c r="E2428" t="s">
        <v>12</v>
      </c>
      <c r="F2428" t="s">
        <v>50</v>
      </c>
      <c r="G2428" t="s">
        <v>72</v>
      </c>
      <c r="H2428" t="s">
        <v>157</v>
      </c>
      <c r="I2428">
        <v>39381</v>
      </c>
      <c r="J2428">
        <v>39405</v>
      </c>
    </row>
    <row r="2429" spans="1:10" x14ac:dyDescent="0.3">
      <c r="A2429" t="s">
        <v>2556</v>
      </c>
      <c r="B2429" s="1">
        <v>45816</v>
      </c>
      <c r="C2429" t="s">
        <v>74</v>
      </c>
      <c r="D2429">
        <v>23</v>
      </c>
      <c r="E2429" t="s">
        <v>24</v>
      </c>
      <c r="F2429" t="s">
        <v>109</v>
      </c>
      <c r="G2429" t="s">
        <v>291</v>
      </c>
      <c r="H2429" t="s">
        <v>211</v>
      </c>
      <c r="I2429">
        <v>19040</v>
      </c>
      <c r="J2429">
        <v>14971</v>
      </c>
    </row>
    <row r="2430" spans="1:10" x14ac:dyDescent="0.3">
      <c r="A2430" t="s">
        <v>2557</v>
      </c>
      <c r="B2430" s="1">
        <v>45883</v>
      </c>
      <c r="C2430" t="s">
        <v>113</v>
      </c>
      <c r="D2430">
        <v>33</v>
      </c>
      <c r="E2430" t="s">
        <v>61</v>
      </c>
      <c r="F2430" t="s">
        <v>140</v>
      </c>
      <c r="G2430" t="s">
        <v>182</v>
      </c>
      <c r="H2430" t="s">
        <v>52</v>
      </c>
      <c r="I2430">
        <v>16739</v>
      </c>
      <c r="J2430">
        <v>16675</v>
      </c>
    </row>
    <row r="2431" spans="1:10" x14ac:dyDescent="0.3">
      <c r="A2431" t="s">
        <v>2558</v>
      </c>
      <c r="B2431" s="1">
        <v>45703</v>
      </c>
      <c r="C2431" t="s">
        <v>82</v>
      </c>
      <c r="D2431">
        <v>7</v>
      </c>
      <c r="E2431" t="s">
        <v>24</v>
      </c>
      <c r="F2431" t="s">
        <v>50</v>
      </c>
      <c r="G2431" t="s">
        <v>266</v>
      </c>
      <c r="H2431" t="s">
        <v>31</v>
      </c>
      <c r="I2431">
        <v>15692</v>
      </c>
      <c r="J2431">
        <v>14432</v>
      </c>
    </row>
    <row r="2432" spans="1:10" x14ac:dyDescent="0.3">
      <c r="A2432" t="s">
        <v>2559</v>
      </c>
      <c r="B2432" s="1">
        <v>45919</v>
      </c>
      <c r="C2432" t="s">
        <v>38</v>
      </c>
      <c r="D2432">
        <v>38</v>
      </c>
      <c r="E2432" t="s">
        <v>18</v>
      </c>
      <c r="F2432" t="s">
        <v>92</v>
      </c>
      <c r="G2432" t="s">
        <v>201</v>
      </c>
      <c r="H2432" t="s">
        <v>157</v>
      </c>
      <c r="I2432">
        <v>29435</v>
      </c>
      <c r="J2432">
        <v>24854</v>
      </c>
    </row>
    <row r="2433" spans="1:10" x14ac:dyDescent="0.3">
      <c r="A2433" t="s">
        <v>2560</v>
      </c>
      <c r="B2433" s="1">
        <v>45969</v>
      </c>
      <c r="C2433" t="s">
        <v>23</v>
      </c>
      <c r="D2433">
        <v>45</v>
      </c>
      <c r="E2433" t="s">
        <v>12</v>
      </c>
      <c r="F2433" t="s">
        <v>78</v>
      </c>
      <c r="G2433" t="s">
        <v>54</v>
      </c>
      <c r="H2433" t="s">
        <v>111</v>
      </c>
      <c r="I2433">
        <v>18567</v>
      </c>
      <c r="J2433">
        <v>15293</v>
      </c>
    </row>
    <row r="2434" spans="1:10" x14ac:dyDescent="0.3">
      <c r="A2434" t="s">
        <v>2561</v>
      </c>
      <c r="B2434" s="1">
        <v>46000</v>
      </c>
      <c r="C2434" t="s">
        <v>100</v>
      </c>
      <c r="D2434">
        <v>50</v>
      </c>
      <c r="E2434" t="s">
        <v>24</v>
      </c>
      <c r="F2434" t="s">
        <v>193</v>
      </c>
      <c r="G2434" t="s">
        <v>58</v>
      </c>
      <c r="H2434" t="s">
        <v>155</v>
      </c>
      <c r="I2434">
        <v>15464</v>
      </c>
      <c r="J2434">
        <v>14961</v>
      </c>
    </row>
    <row r="2435" spans="1:10" x14ac:dyDescent="0.3">
      <c r="A2435" t="s">
        <v>2562</v>
      </c>
      <c r="B2435" s="1">
        <v>45801</v>
      </c>
      <c r="C2435" t="s">
        <v>90</v>
      </c>
      <c r="D2435">
        <v>21</v>
      </c>
      <c r="E2435" t="s">
        <v>33</v>
      </c>
      <c r="F2435" t="s">
        <v>46</v>
      </c>
      <c r="G2435" t="s">
        <v>141</v>
      </c>
      <c r="H2435" t="s">
        <v>151</v>
      </c>
      <c r="I2435">
        <v>35164</v>
      </c>
      <c r="J2435">
        <v>41616</v>
      </c>
    </row>
    <row r="2436" spans="1:10" x14ac:dyDescent="0.3">
      <c r="A2436" t="s">
        <v>2563</v>
      </c>
      <c r="B2436" s="1">
        <v>45986</v>
      </c>
      <c r="C2436" t="s">
        <v>23</v>
      </c>
      <c r="D2436">
        <v>48</v>
      </c>
      <c r="E2436" t="s">
        <v>24</v>
      </c>
      <c r="F2436" t="s">
        <v>46</v>
      </c>
      <c r="G2436" t="s">
        <v>253</v>
      </c>
      <c r="H2436" t="s">
        <v>157</v>
      </c>
      <c r="I2436">
        <v>24617</v>
      </c>
      <c r="J2436">
        <v>24694</v>
      </c>
    </row>
    <row r="2437" spans="1:10" x14ac:dyDescent="0.3">
      <c r="A2437" t="s">
        <v>2564</v>
      </c>
      <c r="B2437" s="1">
        <v>45986</v>
      </c>
      <c r="C2437" t="s">
        <v>23</v>
      </c>
      <c r="D2437">
        <v>48</v>
      </c>
      <c r="E2437" t="s">
        <v>61</v>
      </c>
      <c r="F2437" t="s">
        <v>78</v>
      </c>
      <c r="G2437" t="s">
        <v>141</v>
      </c>
      <c r="H2437" t="s">
        <v>133</v>
      </c>
      <c r="I2437">
        <v>30388</v>
      </c>
      <c r="J2437">
        <v>38778</v>
      </c>
    </row>
    <row r="2438" spans="1:10" x14ac:dyDescent="0.3">
      <c r="A2438" t="s">
        <v>2565</v>
      </c>
      <c r="B2438" s="1">
        <v>45828</v>
      </c>
      <c r="C2438" t="s">
        <v>74</v>
      </c>
      <c r="D2438">
        <v>25</v>
      </c>
      <c r="E2438" t="s">
        <v>61</v>
      </c>
      <c r="F2438" t="s">
        <v>101</v>
      </c>
      <c r="G2438" t="s">
        <v>67</v>
      </c>
      <c r="H2438" t="s">
        <v>243</v>
      </c>
      <c r="I2438">
        <v>29673</v>
      </c>
      <c r="J2438">
        <v>36893</v>
      </c>
    </row>
    <row r="2439" spans="1:10" x14ac:dyDescent="0.3">
      <c r="A2439" t="s">
        <v>2566</v>
      </c>
      <c r="B2439" s="1">
        <v>45928</v>
      </c>
      <c r="C2439" t="s">
        <v>38</v>
      </c>
      <c r="D2439">
        <v>39</v>
      </c>
      <c r="E2439" t="s">
        <v>33</v>
      </c>
      <c r="F2439" t="s">
        <v>34</v>
      </c>
      <c r="G2439" t="s">
        <v>234</v>
      </c>
      <c r="H2439" t="s">
        <v>41</v>
      </c>
      <c r="I2439">
        <v>39732</v>
      </c>
      <c r="J2439">
        <v>33568</v>
      </c>
    </row>
    <row r="2440" spans="1:10" x14ac:dyDescent="0.3">
      <c r="A2440" t="s">
        <v>2567</v>
      </c>
      <c r="B2440" s="1">
        <v>45870</v>
      </c>
      <c r="C2440" t="s">
        <v>113</v>
      </c>
      <c r="D2440">
        <v>31</v>
      </c>
      <c r="E2440" t="s">
        <v>61</v>
      </c>
      <c r="F2440" t="s">
        <v>114</v>
      </c>
      <c r="G2440" t="s">
        <v>107</v>
      </c>
      <c r="H2440" t="s">
        <v>41</v>
      </c>
      <c r="I2440">
        <v>19046</v>
      </c>
      <c r="J2440">
        <v>22664</v>
      </c>
    </row>
    <row r="2441" spans="1:10" x14ac:dyDescent="0.3">
      <c r="A2441" t="s">
        <v>2568</v>
      </c>
      <c r="B2441" s="1">
        <v>45848</v>
      </c>
      <c r="C2441" t="s">
        <v>11</v>
      </c>
      <c r="D2441">
        <v>28</v>
      </c>
      <c r="E2441" t="s">
        <v>70</v>
      </c>
      <c r="F2441" t="s">
        <v>92</v>
      </c>
      <c r="G2441" t="s">
        <v>145</v>
      </c>
      <c r="H2441" t="s">
        <v>68</v>
      </c>
      <c r="I2441">
        <v>21115</v>
      </c>
      <c r="J2441">
        <v>25243</v>
      </c>
    </row>
    <row r="2442" spans="1:10" x14ac:dyDescent="0.3">
      <c r="A2442" t="s">
        <v>2569</v>
      </c>
      <c r="B2442" s="1">
        <v>45813</v>
      </c>
      <c r="C2442" t="s">
        <v>74</v>
      </c>
      <c r="D2442">
        <v>23</v>
      </c>
      <c r="E2442" t="s">
        <v>18</v>
      </c>
      <c r="F2442" t="s">
        <v>87</v>
      </c>
      <c r="G2442" t="s">
        <v>118</v>
      </c>
      <c r="H2442" t="s">
        <v>151</v>
      </c>
      <c r="I2442">
        <v>28137</v>
      </c>
      <c r="J2442">
        <v>25752</v>
      </c>
    </row>
    <row r="2443" spans="1:10" x14ac:dyDescent="0.3">
      <c r="A2443" t="s">
        <v>2570</v>
      </c>
      <c r="B2443" s="1">
        <v>46020</v>
      </c>
      <c r="C2443" t="s">
        <v>100</v>
      </c>
      <c r="D2443">
        <v>1</v>
      </c>
      <c r="E2443" t="s">
        <v>70</v>
      </c>
      <c r="F2443" t="s">
        <v>34</v>
      </c>
      <c r="G2443" t="s">
        <v>76</v>
      </c>
      <c r="H2443" t="s">
        <v>68</v>
      </c>
      <c r="I2443">
        <v>15242</v>
      </c>
      <c r="J2443">
        <v>13707</v>
      </c>
    </row>
    <row r="2444" spans="1:10" x14ac:dyDescent="0.3">
      <c r="A2444" t="s">
        <v>2571</v>
      </c>
      <c r="B2444" s="1">
        <v>45726</v>
      </c>
      <c r="C2444" t="s">
        <v>95</v>
      </c>
      <c r="D2444">
        <v>11</v>
      </c>
      <c r="E2444" t="s">
        <v>61</v>
      </c>
      <c r="F2444" t="s">
        <v>13</v>
      </c>
      <c r="G2444" t="s">
        <v>93</v>
      </c>
      <c r="H2444" t="s">
        <v>48</v>
      </c>
      <c r="I2444">
        <v>24443</v>
      </c>
      <c r="J2444">
        <v>30780</v>
      </c>
    </row>
    <row r="2445" spans="1:10" x14ac:dyDescent="0.3">
      <c r="A2445" t="s">
        <v>2572</v>
      </c>
      <c r="B2445" s="1">
        <v>45779</v>
      </c>
      <c r="C2445" t="s">
        <v>90</v>
      </c>
      <c r="D2445">
        <v>18</v>
      </c>
      <c r="E2445" t="s">
        <v>39</v>
      </c>
      <c r="F2445" t="s">
        <v>19</v>
      </c>
      <c r="G2445" t="s">
        <v>54</v>
      </c>
      <c r="H2445" t="s">
        <v>111</v>
      </c>
      <c r="I2445">
        <v>23490</v>
      </c>
      <c r="J2445">
        <v>17310</v>
      </c>
    </row>
    <row r="2446" spans="1:10" x14ac:dyDescent="0.3">
      <c r="A2446" t="s">
        <v>2573</v>
      </c>
      <c r="B2446" s="1">
        <v>45871</v>
      </c>
      <c r="C2446" t="s">
        <v>113</v>
      </c>
      <c r="D2446">
        <v>31</v>
      </c>
      <c r="E2446" t="s">
        <v>61</v>
      </c>
      <c r="F2446" t="s">
        <v>193</v>
      </c>
      <c r="G2446" t="s">
        <v>191</v>
      </c>
      <c r="H2446" t="s">
        <v>98</v>
      </c>
      <c r="I2446">
        <v>15545</v>
      </c>
      <c r="J2446">
        <v>19990</v>
      </c>
    </row>
    <row r="2447" spans="1:10" x14ac:dyDescent="0.3">
      <c r="A2447" t="s">
        <v>2574</v>
      </c>
      <c r="B2447" s="1">
        <v>45917</v>
      </c>
      <c r="C2447" t="s">
        <v>38</v>
      </c>
      <c r="D2447">
        <v>38</v>
      </c>
      <c r="E2447" t="s">
        <v>61</v>
      </c>
      <c r="F2447" t="s">
        <v>25</v>
      </c>
      <c r="G2447" t="s">
        <v>171</v>
      </c>
      <c r="H2447" t="s">
        <v>133</v>
      </c>
      <c r="I2447">
        <v>27872</v>
      </c>
      <c r="J2447">
        <v>34834</v>
      </c>
    </row>
    <row r="2448" spans="1:10" x14ac:dyDescent="0.3">
      <c r="A2448" t="s">
        <v>2575</v>
      </c>
      <c r="B2448" s="1">
        <v>45772</v>
      </c>
      <c r="C2448" t="s">
        <v>86</v>
      </c>
      <c r="D2448">
        <v>17</v>
      </c>
      <c r="E2448" t="s">
        <v>39</v>
      </c>
      <c r="F2448" t="s">
        <v>46</v>
      </c>
      <c r="G2448" t="s">
        <v>137</v>
      </c>
      <c r="H2448" t="s">
        <v>163</v>
      </c>
      <c r="I2448">
        <v>20655</v>
      </c>
      <c r="J2448">
        <v>17300</v>
      </c>
    </row>
    <row r="2449" spans="1:10" x14ac:dyDescent="0.3">
      <c r="A2449" t="s">
        <v>2576</v>
      </c>
      <c r="B2449" s="1">
        <v>45706</v>
      </c>
      <c r="C2449" t="s">
        <v>82</v>
      </c>
      <c r="D2449">
        <v>8</v>
      </c>
      <c r="E2449" t="s">
        <v>24</v>
      </c>
      <c r="F2449" t="s">
        <v>87</v>
      </c>
      <c r="G2449" t="s">
        <v>20</v>
      </c>
      <c r="H2449" t="s">
        <v>163</v>
      </c>
      <c r="I2449">
        <v>25727</v>
      </c>
      <c r="J2449">
        <v>26598</v>
      </c>
    </row>
    <row r="2450" spans="1:10" x14ac:dyDescent="0.3">
      <c r="A2450" t="s">
        <v>2577</v>
      </c>
      <c r="B2450" s="1">
        <v>45940</v>
      </c>
      <c r="C2450" t="s">
        <v>66</v>
      </c>
      <c r="D2450">
        <v>41</v>
      </c>
      <c r="E2450" t="s">
        <v>12</v>
      </c>
      <c r="F2450" t="s">
        <v>43</v>
      </c>
      <c r="G2450" t="s">
        <v>324</v>
      </c>
      <c r="H2450" t="s">
        <v>96</v>
      </c>
      <c r="I2450">
        <v>25267</v>
      </c>
      <c r="J2450">
        <v>20323</v>
      </c>
    </row>
    <row r="2451" spans="1:10" x14ac:dyDescent="0.3">
      <c r="A2451" t="s">
        <v>2578</v>
      </c>
      <c r="B2451" s="1">
        <v>45900</v>
      </c>
      <c r="C2451" t="s">
        <v>113</v>
      </c>
      <c r="D2451">
        <v>35</v>
      </c>
      <c r="E2451" t="s">
        <v>61</v>
      </c>
      <c r="F2451" t="s">
        <v>193</v>
      </c>
      <c r="G2451" t="s">
        <v>149</v>
      </c>
      <c r="H2451" t="s">
        <v>116</v>
      </c>
      <c r="I2451">
        <v>16930</v>
      </c>
      <c r="J2451">
        <v>12810</v>
      </c>
    </row>
    <row r="2452" spans="1:10" x14ac:dyDescent="0.3">
      <c r="A2452" t="s">
        <v>2579</v>
      </c>
      <c r="B2452" s="1">
        <v>45815</v>
      </c>
      <c r="C2452" t="s">
        <v>74</v>
      </c>
      <c r="D2452">
        <v>23</v>
      </c>
      <c r="E2452" t="s">
        <v>33</v>
      </c>
      <c r="F2452" t="s">
        <v>114</v>
      </c>
      <c r="G2452" t="s">
        <v>20</v>
      </c>
      <c r="H2452" t="s">
        <v>36</v>
      </c>
      <c r="I2452">
        <v>36544</v>
      </c>
      <c r="J2452">
        <v>26950</v>
      </c>
    </row>
    <row r="2453" spans="1:10" x14ac:dyDescent="0.3">
      <c r="A2453" t="s">
        <v>2580</v>
      </c>
      <c r="B2453" s="1">
        <v>45865</v>
      </c>
      <c r="C2453" t="s">
        <v>11</v>
      </c>
      <c r="D2453">
        <v>30</v>
      </c>
      <c r="E2453" t="s">
        <v>39</v>
      </c>
      <c r="F2453" t="s">
        <v>19</v>
      </c>
      <c r="G2453" t="s">
        <v>44</v>
      </c>
      <c r="H2453" t="s">
        <v>123</v>
      </c>
      <c r="I2453">
        <v>21306</v>
      </c>
      <c r="J2453">
        <v>25057</v>
      </c>
    </row>
    <row r="2454" spans="1:10" x14ac:dyDescent="0.3">
      <c r="A2454" t="s">
        <v>2581</v>
      </c>
      <c r="B2454" s="1">
        <v>45730</v>
      </c>
      <c r="C2454" t="s">
        <v>95</v>
      </c>
      <c r="D2454">
        <v>11</v>
      </c>
      <c r="E2454" t="s">
        <v>61</v>
      </c>
      <c r="F2454" t="s">
        <v>101</v>
      </c>
      <c r="G2454" t="s">
        <v>93</v>
      </c>
      <c r="H2454" t="s">
        <v>68</v>
      </c>
      <c r="I2454">
        <v>15462</v>
      </c>
      <c r="J2454">
        <v>11031</v>
      </c>
    </row>
    <row r="2455" spans="1:10" x14ac:dyDescent="0.3">
      <c r="A2455" t="s">
        <v>2582</v>
      </c>
      <c r="B2455" s="1">
        <v>45665</v>
      </c>
      <c r="C2455" t="s">
        <v>17</v>
      </c>
      <c r="D2455">
        <v>2</v>
      </c>
      <c r="E2455" t="s">
        <v>70</v>
      </c>
      <c r="F2455" t="s">
        <v>114</v>
      </c>
      <c r="G2455" t="s">
        <v>83</v>
      </c>
      <c r="H2455" t="s">
        <v>64</v>
      </c>
      <c r="I2455">
        <v>30981</v>
      </c>
      <c r="J2455">
        <v>34903</v>
      </c>
    </row>
    <row r="2456" spans="1:10" x14ac:dyDescent="0.3">
      <c r="A2456" t="s">
        <v>2583</v>
      </c>
      <c r="B2456" s="1">
        <v>45722</v>
      </c>
      <c r="C2456" t="s">
        <v>95</v>
      </c>
      <c r="D2456">
        <v>10</v>
      </c>
      <c r="E2456" t="s">
        <v>39</v>
      </c>
      <c r="F2456" t="s">
        <v>101</v>
      </c>
      <c r="G2456" t="s">
        <v>67</v>
      </c>
      <c r="H2456" t="s">
        <v>15</v>
      </c>
      <c r="I2456">
        <v>37860</v>
      </c>
      <c r="J2456">
        <v>41464</v>
      </c>
    </row>
    <row r="2457" spans="1:10" x14ac:dyDescent="0.3">
      <c r="A2457" t="s">
        <v>2584</v>
      </c>
      <c r="B2457" s="1">
        <v>45885</v>
      </c>
      <c r="C2457" t="s">
        <v>113</v>
      </c>
      <c r="D2457">
        <v>33</v>
      </c>
      <c r="E2457" t="s">
        <v>70</v>
      </c>
      <c r="F2457" t="s">
        <v>34</v>
      </c>
      <c r="G2457" t="s">
        <v>54</v>
      </c>
      <c r="H2457" t="s">
        <v>59</v>
      </c>
      <c r="I2457">
        <v>27707</v>
      </c>
      <c r="J2457">
        <v>22945</v>
      </c>
    </row>
    <row r="2458" spans="1:10" x14ac:dyDescent="0.3">
      <c r="A2458" t="s">
        <v>2585</v>
      </c>
      <c r="B2458" s="1">
        <v>45779</v>
      </c>
      <c r="C2458" t="s">
        <v>90</v>
      </c>
      <c r="D2458">
        <v>18</v>
      </c>
      <c r="E2458" t="s">
        <v>33</v>
      </c>
      <c r="F2458" t="s">
        <v>75</v>
      </c>
      <c r="G2458" t="s">
        <v>206</v>
      </c>
      <c r="H2458" t="s">
        <v>41</v>
      </c>
      <c r="I2458">
        <v>26803</v>
      </c>
      <c r="J2458">
        <v>25605</v>
      </c>
    </row>
    <row r="2459" spans="1:10" x14ac:dyDescent="0.3">
      <c r="A2459" t="s">
        <v>2586</v>
      </c>
      <c r="B2459" s="1">
        <v>45974</v>
      </c>
      <c r="C2459" t="s">
        <v>23</v>
      </c>
      <c r="D2459">
        <v>46</v>
      </c>
      <c r="E2459" t="s">
        <v>33</v>
      </c>
      <c r="F2459" t="s">
        <v>46</v>
      </c>
      <c r="G2459" t="s">
        <v>67</v>
      </c>
      <c r="H2459" t="s">
        <v>15</v>
      </c>
      <c r="I2459">
        <v>36329</v>
      </c>
      <c r="J2459">
        <v>40407</v>
      </c>
    </row>
    <row r="2460" spans="1:10" x14ac:dyDescent="0.3">
      <c r="A2460" t="s">
        <v>2587</v>
      </c>
      <c r="B2460" s="1">
        <v>46022</v>
      </c>
      <c r="C2460" t="s">
        <v>100</v>
      </c>
      <c r="D2460">
        <v>1</v>
      </c>
      <c r="E2460" t="s">
        <v>24</v>
      </c>
      <c r="F2460" t="s">
        <v>62</v>
      </c>
      <c r="G2460" t="s">
        <v>253</v>
      </c>
      <c r="H2460" t="s">
        <v>116</v>
      </c>
      <c r="I2460">
        <v>29846</v>
      </c>
      <c r="J2460">
        <v>26163</v>
      </c>
    </row>
    <row r="2461" spans="1:10" x14ac:dyDescent="0.3">
      <c r="A2461" t="s">
        <v>2588</v>
      </c>
      <c r="B2461" s="1">
        <v>45819</v>
      </c>
      <c r="C2461" t="s">
        <v>74</v>
      </c>
      <c r="D2461">
        <v>24</v>
      </c>
      <c r="E2461" t="s">
        <v>18</v>
      </c>
      <c r="F2461" t="s">
        <v>43</v>
      </c>
      <c r="G2461" t="s">
        <v>93</v>
      </c>
      <c r="H2461" t="s">
        <v>36</v>
      </c>
      <c r="I2461">
        <v>16382</v>
      </c>
      <c r="J2461">
        <v>16190</v>
      </c>
    </row>
    <row r="2462" spans="1:10" x14ac:dyDescent="0.3">
      <c r="A2462" t="s">
        <v>2589</v>
      </c>
      <c r="B2462" s="1">
        <v>46016</v>
      </c>
      <c r="C2462" t="s">
        <v>100</v>
      </c>
      <c r="D2462">
        <v>52</v>
      </c>
      <c r="E2462" t="s">
        <v>61</v>
      </c>
      <c r="F2462" t="s">
        <v>109</v>
      </c>
      <c r="G2462" t="s">
        <v>54</v>
      </c>
      <c r="H2462" t="s">
        <v>151</v>
      </c>
      <c r="I2462">
        <v>27346</v>
      </c>
      <c r="J2462">
        <v>29938</v>
      </c>
    </row>
    <row r="2463" spans="1:10" x14ac:dyDescent="0.3">
      <c r="A2463" t="s">
        <v>2590</v>
      </c>
      <c r="B2463" s="1">
        <v>45826</v>
      </c>
      <c r="C2463" t="s">
        <v>74</v>
      </c>
      <c r="D2463">
        <v>25</v>
      </c>
      <c r="E2463" t="s">
        <v>24</v>
      </c>
      <c r="F2463" t="s">
        <v>78</v>
      </c>
      <c r="G2463" t="s">
        <v>51</v>
      </c>
      <c r="H2463" t="s">
        <v>119</v>
      </c>
      <c r="I2463">
        <v>22066</v>
      </c>
      <c r="J2463">
        <v>19867</v>
      </c>
    </row>
    <row r="2464" spans="1:10" x14ac:dyDescent="0.3">
      <c r="A2464" t="s">
        <v>2591</v>
      </c>
      <c r="B2464" s="1">
        <v>45682</v>
      </c>
      <c r="C2464" t="s">
        <v>17</v>
      </c>
      <c r="D2464">
        <v>4</v>
      </c>
      <c r="E2464" t="s">
        <v>70</v>
      </c>
      <c r="F2464" t="s">
        <v>109</v>
      </c>
      <c r="G2464" t="s">
        <v>102</v>
      </c>
      <c r="H2464" t="s">
        <v>36</v>
      </c>
      <c r="I2464">
        <v>32454</v>
      </c>
      <c r="J2464">
        <v>33898</v>
      </c>
    </row>
    <row r="2465" spans="1:10" x14ac:dyDescent="0.3">
      <c r="A2465" t="s">
        <v>2592</v>
      </c>
      <c r="B2465" s="1">
        <v>45995</v>
      </c>
      <c r="C2465" t="s">
        <v>100</v>
      </c>
      <c r="D2465">
        <v>49</v>
      </c>
      <c r="E2465" t="s">
        <v>12</v>
      </c>
      <c r="F2465" t="s">
        <v>50</v>
      </c>
      <c r="G2465" t="s">
        <v>130</v>
      </c>
      <c r="H2465" t="s">
        <v>123</v>
      </c>
      <c r="I2465">
        <v>35275</v>
      </c>
      <c r="J2465">
        <v>39255</v>
      </c>
    </row>
    <row r="2466" spans="1:10" x14ac:dyDescent="0.3">
      <c r="A2466" t="s">
        <v>2593</v>
      </c>
      <c r="B2466" s="1">
        <v>45661</v>
      </c>
      <c r="C2466" t="s">
        <v>17</v>
      </c>
      <c r="D2466">
        <v>1</v>
      </c>
      <c r="E2466" t="s">
        <v>33</v>
      </c>
      <c r="F2466" t="s">
        <v>62</v>
      </c>
      <c r="G2466" t="s">
        <v>326</v>
      </c>
      <c r="H2466" t="s">
        <v>55</v>
      </c>
      <c r="I2466">
        <v>30744</v>
      </c>
      <c r="J2466">
        <v>36930</v>
      </c>
    </row>
    <row r="2467" spans="1:10" x14ac:dyDescent="0.3">
      <c r="A2467" t="s">
        <v>2594</v>
      </c>
      <c r="B2467" s="1">
        <v>45824</v>
      </c>
      <c r="C2467" t="s">
        <v>74</v>
      </c>
      <c r="D2467">
        <v>25</v>
      </c>
      <c r="E2467" t="s">
        <v>70</v>
      </c>
      <c r="F2467" t="s">
        <v>46</v>
      </c>
      <c r="G2467" t="s">
        <v>102</v>
      </c>
      <c r="H2467" t="s">
        <v>243</v>
      </c>
      <c r="I2467">
        <v>31385</v>
      </c>
      <c r="J2467">
        <v>26915</v>
      </c>
    </row>
    <row r="2468" spans="1:10" x14ac:dyDescent="0.3">
      <c r="A2468" t="s">
        <v>2595</v>
      </c>
      <c r="B2468" s="1">
        <v>45732</v>
      </c>
      <c r="C2468" t="s">
        <v>95</v>
      </c>
      <c r="D2468">
        <v>11</v>
      </c>
      <c r="E2468" t="s">
        <v>39</v>
      </c>
      <c r="F2468" t="s">
        <v>193</v>
      </c>
      <c r="G2468" t="s">
        <v>76</v>
      </c>
      <c r="H2468" t="s">
        <v>165</v>
      </c>
      <c r="I2468">
        <v>24155</v>
      </c>
      <c r="J2468">
        <v>22336</v>
      </c>
    </row>
    <row r="2469" spans="1:10" x14ac:dyDescent="0.3">
      <c r="A2469" t="s">
        <v>2596</v>
      </c>
      <c r="B2469" s="1">
        <v>45821</v>
      </c>
      <c r="C2469" t="s">
        <v>74</v>
      </c>
      <c r="D2469">
        <v>24</v>
      </c>
      <c r="E2469" t="s">
        <v>12</v>
      </c>
      <c r="F2469" t="s">
        <v>34</v>
      </c>
      <c r="G2469" t="s">
        <v>160</v>
      </c>
      <c r="H2469" t="s">
        <v>21</v>
      </c>
      <c r="I2469">
        <v>27193</v>
      </c>
      <c r="J2469">
        <v>22198</v>
      </c>
    </row>
    <row r="2470" spans="1:10" x14ac:dyDescent="0.3">
      <c r="A2470" t="s">
        <v>2597</v>
      </c>
      <c r="B2470" s="1">
        <v>45765</v>
      </c>
      <c r="C2470" t="s">
        <v>86</v>
      </c>
      <c r="D2470">
        <v>16</v>
      </c>
      <c r="E2470" t="s">
        <v>12</v>
      </c>
      <c r="F2470" t="s">
        <v>29</v>
      </c>
      <c r="G2470" t="s">
        <v>291</v>
      </c>
      <c r="H2470" t="s">
        <v>96</v>
      </c>
      <c r="I2470">
        <v>36340</v>
      </c>
      <c r="J2470">
        <v>27103</v>
      </c>
    </row>
    <row r="2471" spans="1:10" x14ac:dyDescent="0.3">
      <c r="A2471" t="s">
        <v>2598</v>
      </c>
      <c r="B2471" s="1">
        <v>45754</v>
      </c>
      <c r="C2471" t="s">
        <v>86</v>
      </c>
      <c r="D2471">
        <v>15</v>
      </c>
      <c r="E2471" t="s">
        <v>33</v>
      </c>
      <c r="F2471" t="s">
        <v>140</v>
      </c>
      <c r="G2471" t="s">
        <v>110</v>
      </c>
      <c r="H2471" t="s">
        <v>55</v>
      </c>
      <c r="I2471">
        <v>26715</v>
      </c>
      <c r="J2471">
        <v>25120</v>
      </c>
    </row>
    <row r="2472" spans="1:10" x14ac:dyDescent="0.3">
      <c r="A2472" t="s">
        <v>2599</v>
      </c>
      <c r="B2472" s="1">
        <v>45711</v>
      </c>
      <c r="C2472" t="s">
        <v>82</v>
      </c>
      <c r="D2472">
        <v>8</v>
      </c>
      <c r="E2472" t="s">
        <v>39</v>
      </c>
      <c r="F2472" t="s">
        <v>122</v>
      </c>
      <c r="G2472" t="s">
        <v>132</v>
      </c>
      <c r="H2472" t="s">
        <v>52</v>
      </c>
      <c r="I2472">
        <v>36548</v>
      </c>
      <c r="J2472">
        <v>31759</v>
      </c>
    </row>
    <row r="2473" spans="1:10" x14ac:dyDescent="0.3">
      <c r="A2473" t="s">
        <v>2600</v>
      </c>
      <c r="B2473" s="1">
        <v>45932</v>
      </c>
      <c r="C2473" t="s">
        <v>66</v>
      </c>
      <c r="D2473">
        <v>40</v>
      </c>
      <c r="E2473" t="s">
        <v>70</v>
      </c>
      <c r="F2473" t="s">
        <v>34</v>
      </c>
      <c r="G2473" t="s">
        <v>224</v>
      </c>
      <c r="H2473" t="s">
        <v>27</v>
      </c>
      <c r="I2473">
        <v>36980</v>
      </c>
      <c r="J2473">
        <v>31158</v>
      </c>
    </row>
    <row r="2474" spans="1:10" x14ac:dyDescent="0.3">
      <c r="A2474" t="s">
        <v>2601</v>
      </c>
      <c r="B2474" s="1">
        <v>45758</v>
      </c>
      <c r="C2474" t="s">
        <v>86</v>
      </c>
      <c r="D2474">
        <v>15</v>
      </c>
      <c r="E2474" t="s">
        <v>24</v>
      </c>
      <c r="F2474" t="s">
        <v>57</v>
      </c>
      <c r="G2474" t="s">
        <v>206</v>
      </c>
      <c r="H2474" t="s">
        <v>27</v>
      </c>
      <c r="I2474">
        <v>26595</v>
      </c>
      <c r="J2474">
        <v>21510</v>
      </c>
    </row>
    <row r="2475" spans="1:10" x14ac:dyDescent="0.3">
      <c r="A2475" t="s">
        <v>2602</v>
      </c>
      <c r="B2475" s="1">
        <v>45992</v>
      </c>
      <c r="C2475" t="s">
        <v>100</v>
      </c>
      <c r="D2475">
        <v>49</v>
      </c>
      <c r="E2475" t="s">
        <v>18</v>
      </c>
      <c r="F2475" t="s">
        <v>46</v>
      </c>
      <c r="G2475" t="s">
        <v>147</v>
      </c>
      <c r="H2475" t="s">
        <v>52</v>
      </c>
      <c r="I2475">
        <v>21839</v>
      </c>
      <c r="J2475">
        <v>18231</v>
      </c>
    </row>
    <row r="2476" spans="1:10" x14ac:dyDescent="0.3">
      <c r="A2476" t="s">
        <v>2603</v>
      </c>
      <c r="B2476" s="1">
        <v>46002</v>
      </c>
      <c r="C2476" t="s">
        <v>100</v>
      </c>
      <c r="D2476">
        <v>50</v>
      </c>
      <c r="E2476" t="s">
        <v>39</v>
      </c>
      <c r="F2476" t="s">
        <v>19</v>
      </c>
      <c r="G2476" t="s">
        <v>182</v>
      </c>
      <c r="H2476" t="s">
        <v>111</v>
      </c>
      <c r="I2476">
        <v>15839</v>
      </c>
      <c r="J2476">
        <v>16567</v>
      </c>
    </row>
    <row r="2477" spans="1:10" x14ac:dyDescent="0.3">
      <c r="A2477" t="s">
        <v>2604</v>
      </c>
      <c r="B2477" s="1">
        <v>45969</v>
      </c>
      <c r="C2477" t="s">
        <v>23</v>
      </c>
      <c r="D2477">
        <v>45</v>
      </c>
      <c r="E2477" t="s">
        <v>33</v>
      </c>
      <c r="F2477" t="s">
        <v>25</v>
      </c>
      <c r="G2477" t="s">
        <v>135</v>
      </c>
      <c r="H2477" t="s">
        <v>165</v>
      </c>
      <c r="I2477">
        <v>32008</v>
      </c>
      <c r="J2477">
        <v>39683</v>
      </c>
    </row>
    <row r="2478" spans="1:10" x14ac:dyDescent="0.3">
      <c r="A2478" t="s">
        <v>2605</v>
      </c>
      <c r="B2478" s="1">
        <v>45855</v>
      </c>
      <c r="C2478" t="s">
        <v>11</v>
      </c>
      <c r="D2478">
        <v>29</v>
      </c>
      <c r="E2478" t="s">
        <v>33</v>
      </c>
      <c r="F2478" t="s">
        <v>87</v>
      </c>
      <c r="G2478" t="s">
        <v>118</v>
      </c>
      <c r="H2478" t="s">
        <v>103</v>
      </c>
      <c r="I2478">
        <v>20803</v>
      </c>
      <c r="J2478">
        <v>23048</v>
      </c>
    </row>
    <row r="2479" spans="1:10" x14ac:dyDescent="0.3">
      <c r="A2479" t="s">
        <v>2606</v>
      </c>
      <c r="B2479" s="1">
        <v>45791</v>
      </c>
      <c r="C2479" t="s">
        <v>90</v>
      </c>
      <c r="D2479">
        <v>20</v>
      </c>
      <c r="E2479" t="s">
        <v>39</v>
      </c>
      <c r="F2479" t="s">
        <v>13</v>
      </c>
      <c r="G2479" t="s">
        <v>141</v>
      </c>
      <c r="H2479" t="s">
        <v>21</v>
      </c>
      <c r="I2479">
        <v>31190</v>
      </c>
      <c r="J2479">
        <v>35402</v>
      </c>
    </row>
    <row r="2480" spans="1:10" x14ac:dyDescent="0.3">
      <c r="A2480" t="s">
        <v>2607</v>
      </c>
      <c r="B2480" s="1">
        <v>45707</v>
      </c>
      <c r="C2480" t="s">
        <v>82</v>
      </c>
      <c r="D2480">
        <v>8</v>
      </c>
      <c r="E2480" t="s">
        <v>39</v>
      </c>
      <c r="F2480" t="s">
        <v>13</v>
      </c>
      <c r="G2480" t="s">
        <v>324</v>
      </c>
      <c r="H2480" t="s">
        <v>123</v>
      </c>
      <c r="I2480">
        <v>31562</v>
      </c>
      <c r="J2480">
        <v>39444</v>
      </c>
    </row>
    <row r="2481" spans="1:10" x14ac:dyDescent="0.3">
      <c r="A2481" t="s">
        <v>2608</v>
      </c>
      <c r="B2481" s="1">
        <v>45849</v>
      </c>
      <c r="C2481" t="s">
        <v>11</v>
      </c>
      <c r="D2481">
        <v>28</v>
      </c>
      <c r="E2481" t="s">
        <v>18</v>
      </c>
      <c r="F2481" t="s">
        <v>87</v>
      </c>
      <c r="G2481" t="s">
        <v>171</v>
      </c>
      <c r="H2481" t="s">
        <v>68</v>
      </c>
      <c r="I2481">
        <v>39775</v>
      </c>
      <c r="J2481">
        <v>28561</v>
      </c>
    </row>
    <row r="2482" spans="1:10" x14ac:dyDescent="0.3">
      <c r="A2482" t="s">
        <v>2609</v>
      </c>
      <c r="B2482" s="1">
        <v>45894</v>
      </c>
      <c r="C2482" t="s">
        <v>113</v>
      </c>
      <c r="D2482">
        <v>35</v>
      </c>
      <c r="E2482" t="s">
        <v>39</v>
      </c>
      <c r="F2482" t="s">
        <v>13</v>
      </c>
      <c r="G2482" t="s">
        <v>20</v>
      </c>
      <c r="H2482" t="s">
        <v>48</v>
      </c>
      <c r="I2482">
        <v>15760</v>
      </c>
      <c r="J2482">
        <v>14262</v>
      </c>
    </row>
    <row r="2483" spans="1:10" x14ac:dyDescent="0.3">
      <c r="A2483" t="s">
        <v>2610</v>
      </c>
      <c r="B2483" s="1">
        <v>45986</v>
      </c>
      <c r="C2483" t="s">
        <v>23</v>
      </c>
      <c r="D2483">
        <v>48</v>
      </c>
      <c r="E2483" t="s">
        <v>70</v>
      </c>
      <c r="F2483" t="s">
        <v>92</v>
      </c>
      <c r="G2483" t="s">
        <v>145</v>
      </c>
      <c r="H2483" t="s">
        <v>188</v>
      </c>
      <c r="I2483">
        <v>32543</v>
      </c>
      <c r="J2483">
        <v>25265</v>
      </c>
    </row>
    <row r="2484" spans="1:10" x14ac:dyDescent="0.3">
      <c r="A2484" t="s">
        <v>2611</v>
      </c>
      <c r="B2484" s="1">
        <v>45891</v>
      </c>
      <c r="C2484" t="s">
        <v>113</v>
      </c>
      <c r="D2484">
        <v>34</v>
      </c>
      <c r="E2484" t="s">
        <v>70</v>
      </c>
      <c r="F2484" t="s">
        <v>50</v>
      </c>
      <c r="G2484" t="s">
        <v>130</v>
      </c>
      <c r="H2484" t="s">
        <v>155</v>
      </c>
      <c r="I2484">
        <v>18269</v>
      </c>
      <c r="J2484">
        <v>17048</v>
      </c>
    </row>
    <row r="2485" spans="1:10" x14ac:dyDescent="0.3">
      <c r="A2485" t="s">
        <v>2612</v>
      </c>
      <c r="B2485" s="1">
        <v>46013</v>
      </c>
      <c r="C2485" t="s">
        <v>100</v>
      </c>
      <c r="D2485">
        <v>52</v>
      </c>
      <c r="E2485" t="s">
        <v>61</v>
      </c>
      <c r="F2485" t="s">
        <v>109</v>
      </c>
      <c r="G2485" t="s">
        <v>72</v>
      </c>
      <c r="H2485" t="s">
        <v>52</v>
      </c>
      <c r="I2485">
        <v>22908</v>
      </c>
      <c r="J2485">
        <v>26013</v>
      </c>
    </row>
    <row r="2486" spans="1:10" x14ac:dyDescent="0.3">
      <c r="A2486" t="s">
        <v>2613</v>
      </c>
      <c r="B2486" s="1">
        <v>45772</v>
      </c>
      <c r="C2486" t="s">
        <v>86</v>
      </c>
      <c r="D2486">
        <v>17</v>
      </c>
      <c r="E2486" t="s">
        <v>70</v>
      </c>
      <c r="F2486" t="s">
        <v>43</v>
      </c>
      <c r="G2486" t="s">
        <v>199</v>
      </c>
      <c r="H2486" t="s">
        <v>64</v>
      </c>
      <c r="I2486">
        <v>21346</v>
      </c>
      <c r="J2486">
        <v>21765</v>
      </c>
    </row>
    <row r="2487" spans="1:10" x14ac:dyDescent="0.3">
      <c r="A2487" t="s">
        <v>2614</v>
      </c>
      <c r="B2487" s="1">
        <v>45666</v>
      </c>
      <c r="C2487" t="s">
        <v>17</v>
      </c>
      <c r="D2487">
        <v>2</v>
      </c>
      <c r="E2487" t="s">
        <v>24</v>
      </c>
      <c r="F2487" t="s">
        <v>57</v>
      </c>
      <c r="G2487" t="s">
        <v>266</v>
      </c>
      <c r="H2487" t="s">
        <v>59</v>
      </c>
      <c r="I2487">
        <v>38083</v>
      </c>
      <c r="J2487">
        <v>32333</v>
      </c>
    </row>
    <row r="2488" spans="1:10" x14ac:dyDescent="0.3">
      <c r="A2488" t="s">
        <v>2615</v>
      </c>
      <c r="B2488" s="1">
        <v>45707</v>
      </c>
      <c r="C2488" t="s">
        <v>82</v>
      </c>
      <c r="D2488">
        <v>8</v>
      </c>
      <c r="E2488" t="s">
        <v>70</v>
      </c>
      <c r="F2488" t="s">
        <v>43</v>
      </c>
      <c r="G2488" t="s">
        <v>54</v>
      </c>
      <c r="H2488" t="s">
        <v>157</v>
      </c>
      <c r="I2488">
        <v>22311</v>
      </c>
      <c r="J2488">
        <v>18945</v>
      </c>
    </row>
    <row r="2489" spans="1:10" x14ac:dyDescent="0.3">
      <c r="A2489" t="s">
        <v>2616</v>
      </c>
      <c r="B2489" s="1">
        <v>45885</v>
      </c>
      <c r="C2489" t="s">
        <v>113</v>
      </c>
      <c r="D2489">
        <v>33</v>
      </c>
      <c r="E2489" t="s">
        <v>33</v>
      </c>
      <c r="F2489" t="s">
        <v>78</v>
      </c>
      <c r="G2489" t="s">
        <v>88</v>
      </c>
      <c r="H2489" t="s">
        <v>64</v>
      </c>
      <c r="I2489">
        <v>16912</v>
      </c>
      <c r="J2489">
        <v>13132</v>
      </c>
    </row>
    <row r="2490" spans="1:10" x14ac:dyDescent="0.3">
      <c r="A2490" t="s">
        <v>2617</v>
      </c>
      <c r="B2490" s="1">
        <v>45707</v>
      </c>
      <c r="C2490" t="s">
        <v>82</v>
      </c>
      <c r="D2490">
        <v>8</v>
      </c>
      <c r="E2490" t="s">
        <v>39</v>
      </c>
      <c r="F2490" t="s">
        <v>43</v>
      </c>
      <c r="G2490" t="s">
        <v>171</v>
      </c>
      <c r="H2490" t="s">
        <v>188</v>
      </c>
      <c r="I2490">
        <v>19830</v>
      </c>
      <c r="J2490">
        <v>24888</v>
      </c>
    </row>
    <row r="2491" spans="1:10" x14ac:dyDescent="0.3">
      <c r="A2491" t="s">
        <v>2618</v>
      </c>
      <c r="B2491" s="1">
        <v>45915</v>
      </c>
      <c r="C2491" t="s">
        <v>38</v>
      </c>
      <c r="D2491">
        <v>38</v>
      </c>
      <c r="E2491" t="s">
        <v>33</v>
      </c>
      <c r="F2491" t="s">
        <v>50</v>
      </c>
      <c r="G2491" t="s">
        <v>58</v>
      </c>
      <c r="H2491" t="s">
        <v>163</v>
      </c>
      <c r="I2491">
        <v>21656</v>
      </c>
      <c r="J2491">
        <v>23620</v>
      </c>
    </row>
    <row r="2492" spans="1:10" x14ac:dyDescent="0.3">
      <c r="A2492" t="s">
        <v>2619</v>
      </c>
      <c r="B2492" s="1">
        <v>45875</v>
      </c>
      <c r="C2492" t="s">
        <v>113</v>
      </c>
      <c r="D2492">
        <v>32</v>
      </c>
      <c r="E2492" t="s">
        <v>18</v>
      </c>
      <c r="F2492" t="s">
        <v>43</v>
      </c>
      <c r="G2492" t="s">
        <v>128</v>
      </c>
      <c r="H2492" t="s">
        <v>155</v>
      </c>
      <c r="I2492">
        <v>31837</v>
      </c>
      <c r="J2492">
        <v>27623</v>
      </c>
    </row>
    <row r="2493" spans="1:10" x14ac:dyDescent="0.3">
      <c r="A2493" t="s">
        <v>2620</v>
      </c>
      <c r="B2493" s="1">
        <v>45791</v>
      </c>
      <c r="C2493" t="s">
        <v>90</v>
      </c>
      <c r="D2493">
        <v>20</v>
      </c>
      <c r="E2493" t="s">
        <v>33</v>
      </c>
      <c r="F2493" t="s">
        <v>114</v>
      </c>
      <c r="G2493" t="s">
        <v>30</v>
      </c>
      <c r="H2493" t="s">
        <v>98</v>
      </c>
      <c r="I2493">
        <v>25141</v>
      </c>
      <c r="J2493">
        <v>32541</v>
      </c>
    </row>
    <row r="2494" spans="1:10" x14ac:dyDescent="0.3">
      <c r="A2494" t="s">
        <v>2621</v>
      </c>
      <c r="B2494" s="1">
        <v>45672</v>
      </c>
      <c r="C2494" t="s">
        <v>17</v>
      </c>
      <c r="D2494">
        <v>3</v>
      </c>
      <c r="E2494" t="s">
        <v>12</v>
      </c>
      <c r="F2494" t="s">
        <v>78</v>
      </c>
      <c r="G2494" t="s">
        <v>145</v>
      </c>
      <c r="H2494" t="s">
        <v>64</v>
      </c>
      <c r="I2494">
        <v>26733</v>
      </c>
      <c r="J2494">
        <v>20094</v>
      </c>
    </row>
    <row r="2495" spans="1:10" x14ac:dyDescent="0.3">
      <c r="A2495" t="s">
        <v>2622</v>
      </c>
      <c r="B2495" s="1">
        <v>45785</v>
      </c>
      <c r="C2495" t="s">
        <v>90</v>
      </c>
      <c r="D2495">
        <v>19</v>
      </c>
      <c r="E2495" t="s">
        <v>70</v>
      </c>
      <c r="F2495" t="s">
        <v>25</v>
      </c>
      <c r="G2495" t="s">
        <v>137</v>
      </c>
      <c r="H2495" t="s">
        <v>15</v>
      </c>
      <c r="I2495">
        <v>20208</v>
      </c>
      <c r="J2495">
        <v>23299</v>
      </c>
    </row>
    <row r="2496" spans="1:10" x14ac:dyDescent="0.3">
      <c r="A2496" t="s">
        <v>2623</v>
      </c>
      <c r="B2496" s="1">
        <v>46014</v>
      </c>
      <c r="C2496" t="s">
        <v>100</v>
      </c>
      <c r="D2496">
        <v>52</v>
      </c>
      <c r="E2496" t="s">
        <v>61</v>
      </c>
      <c r="F2496" t="s">
        <v>43</v>
      </c>
      <c r="G2496" t="s">
        <v>102</v>
      </c>
      <c r="H2496" t="s">
        <v>52</v>
      </c>
      <c r="I2496">
        <v>22892</v>
      </c>
      <c r="J2496">
        <v>27959</v>
      </c>
    </row>
    <row r="2497" spans="1:10" x14ac:dyDescent="0.3">
      <c r="A2497" t="s">
        <v>2624</v>
      </c>
      <c r="B2497" s="1">
        <v>45737</v>
      </c>
      <c r="C2497" t="s">
        <v>95</v>
      </c>
      <c r="D2497">
        <v>12</v>
      </c>
      <c r="E2497" t="s">
        <v>61</v>
      </c>
      <c r="F2497" t="s">
        <v>29</v>
      </c>
      <c r="G2497" t="s">
        <v>128</v>
      </c>
      <c r="H2497" t="s">
        <v>21</v>
      </c>
      <c r="I2497">
        <v>25497</v>
      </c>
      <c r="J2497">
        <v>31026</v>
      </c>
    </row>
    <row r="2498" spans="1:10" x14ac:dyDescent="0.3">
      <c r="A2498" t="s">
        <v>2625</v>
      </c>
      <c r="B2498" s="1">
        <v>45872</v>
      </c>
      <c r="C2498" t="s">
        <v>113</v>
      </c>
      <c r="D2498">
        <v>31</v>
      </c>
      <c r="E2498" t="s">
        <v>39</v>
      </c>
      <c r="F2498" t="s">
        <v>87</v>
      </c>
      <c r="G2498" t="s">
        <v>291</v>
      </c>
      <c r="H2498" t="s">
        <v>59</v>
      </c>
      <c r="I2498">
        <v>30310</v>
      </c>
      <c r="J2498">
        <v>27941</v>
      </c>
    </row>
    <row r="2499" spans="1:10" x14ac:dyDescent="0.3">
      <c r="A2499" t="s">
        <v>2626</v>
      </c>
      <c r="B2499" s="1">
        <v>45985</v>
      </c>
      <c r="C2499" t="s">
        <v>23</v>
      </c>
      <c r="D2499">
        <v>48</v>
      </c>
      <c r="E2499" t="s">
        <v>33</v>
      </c>
      <c r="F2499" t="s">
        <v>140</v>
      </c>
      <c r="G2499" t="s">
        <v>40</v>
      </c>
      <c r="H2499" t="s">
        <v>55</v>
      </c>
      <c r="I2499">
        <v>30707</v>
      </c>
      <c r="J2499">
        <v>26163</v>
      </c>
    </row>
    <row r="2500" spans="1:10" x14ac:dyDescent="0.3">
      <c r="A2500" t="s">
        <v>2627</v>
      </c>
      <c r="B2500" s="1">
        <v>45761</v>
      </c>
      <c r="C2500" t="s">
        <v>86</v>
      </c>
      <c r="D2500">
        <v>16</v>
      </c>
      <c r="E2500" t="s">
        <v>39</v>
      </c>
      <c r="F2500" t="s">
        <v>92</v>
      </c>
      <c r="G2500" t="s">
        <v>93</v>
      </c>
      <c r="H2500" t="s">
        <v>84</v>
      </c>
      <c r="I2500">
        <v>19063</v>
      </c>
      <c r="J2500">
        <v>16229</v>
      </c>
    </row>
    <row r="2501" spans="1:10" x14ac:dyDescent="0.3">
      <c r="A2501" t="s">
        <v>2628</v>
      </c>
      <c r="B2501" s="1">
        <v>45972</v>
      </c>
      <c r="C2501" t="s">
        <v>23</v>
      </c>
      <c r="D2501">
        <v>46</v>
      </c>
      <c r="E2501" t="s">
        <v>18</v>
      </c>
      <c r="F2501" t="s">
        <v>193</v>
      </c>
      <c r="G2501" t="s">
        <v>132</v>
      </c>
      <c r="H2501" t="s">
        <v>188</v>
      </c>
      <c r="I2501">
        <v>34988</v>
      </c>
      <c r="J2501">
        <v>33447</v>
      </c>
    </row>
    <row r="2502" spans="1:10" x14ac:dyDescent="0.3">
      <c r="A2502" t="s">
        <v>2629</v>
      </c>
      <c r="B2502" s="1">
        <v>45937</v>
      </c>
      <c r="C2502" t="s">
        <v>66</v>
      </c>
      <c r="D2502">
        <v>41</v>
      </c>
      <c r="E2502" t="s">
        <v>39</v>
      </c>
      <c r="F2502" t="s">
        <v>13</v>
      </c>
      <c r="G2502" t="s">
        <v>107</v>
      </c>
      <c r="H2502" t="s">
        <v>96</v>
      </c>
      <c r="I2502">
        <v>17978</v>
      </c>
      <c r="J2502">
        <v>15769</v>
      </c>
    </row>
    <row r="2503" spans="1:10" x14ac:dyDescent="0.3">
      <c r="A2503" t="s">
        <v>2630</v>
      </c>
      <c r="B2503" s="1">
        <v>45869</v>
      </c>
      <c r="C2503" t="s">
        <v>11</v>
      </c>
      <c r="D2503">
        <v>31</v>
      </c>
      <c r="E2503" t="s">
        <v>39</v>
      </c>
      <c r="F2503" t="s">
        <v>13</v>
      </c>
      <c r="G2503" t="s">
        <v>253</v>
      </c>
      <c r="H2503" t="s">
        <v>211</v>
      </c>
      <c r="I2503">
        <v>21577</v>
      </c>
      <c r="J2503">
        <v>21854</v>
      </c>
    </row>
    <row r="2504" spans="1:10" x14ac:dyDescent="0.3">
      <c r="A2504" t="s">
        <v>2631</v>
      </c>
      <c r="B2504" s="1">
        <v>45861</v>
      </c>
      <c r="C2504" t="s">
        <v>11</v>
      </c>
      <c r="D2504">
        <v>30</v>
      </c>
      <c r="E2504" t="s">
        <v>24</v>
      </c>
      <c r="F2504" t="s">
        <v>50</v>
      </c>
      <c r="G2504" t="s">
        <v>182</v>
      </c>
      <c r="H2504" t="s">
        <v>111</v>
      </c>
      <c r="I2504">
        <v>39621</v>
      </c>
      <c r="J2504">
        <v>36825</v>
      </c>
    </row>
    <row r="2505" spans="1:10" x14ac:dyDescent="0.3">
      <c r="A2505" t="s">
        <v>2632</v>
      </c>
      <c r="B2505" s="1">
        <v>45961</v>
      </c>
      <c r="C2505" t="s">
        <v>66</v>
      </c>
      <c r="D2505">
        <v>44</v>
      </c>
      <c r="E2505" t="s">
        <v>39</v>
      </c>
      <c r="F2505" t="s">
        <v>25</v>
      </c>
      <c r="G2505" t="s">
        <v>67</v>
      </c>
      <c r="H2505" t="s">
        <v>151</v>
      </c>
      <c r="I2505">
        <v>30167</v>
      </c>
      <c r="J2505">
        <v>34003</v>
      </c>
    </row>
    <row r="2506" spans="1:10" x14ac:dyDescent="0.3">
      <c r="A2506" t="s">
        <v>2633</v>
      </c>
      <c r="B2506" s="1">
        <v>45867</v>
      </c>
      <c r="C2506" t="s">
        <v>11</v>
      </c>
      <c r="D2506">
        <v>31</v>
      </c>
      <c r="E2506" t="s">
        <v>39</v>
      </c>
      <c r="F2506" t="s">
        <v>78</v>
      </c>
      <c r="G2506" t="s">
        <v>102</v>
      </c>
      <c r="H2506" t="s">
        <v>116</v>
      </c>
      <c r="I2506">
        <v>39130</v>
      </c>
      <c r="J2506">
        <v>48310</v>
      </c>
    </row>
    <row r="2507" spans="1:10" x14ac:dyDescent="0.3">
      <c r="A2507" t="s">
        <v>2634</v>
      </c>
      <c r="B2507" s="1">
        <v>45928</v>
      </c>
      <c r="C2507" t="s">
        <v>38</v>
      </c>
      <c r="D2507">
        <v>39</v>
      </c>
      <c r="E2507" t="s">
        <v>24</v>
      </c>
      <c r="F2507" t="s">
        <v>29</v>
      </c>
      <c r="G2507" t="s">
        <v>44</v>
      </c>
      <c r="H2507" t="s">
        <v>163</v>
      </c>
      <c r="I2507">
        <v>29504</v>
      </c>
      <c r="J2507">
        <v>23997</v>
      </c>
    </row>
    <row r="2508" spans="1:10" x14ac:dyDescent="0.3">
      <c r="A2508" t="s">
        <v>2635</v>
      </c>
      <c r="B2508" s="1">
        <v>45927</v>
      </c>
      <c r="C2508" t="s">
        <v>38</v>
      </c>
      <c r="D2508">
        <v>39</v>
      </c>
      <c r="E2508" t="s">
        <v>24</v>
      </c>
      <c r="F2508" t="s">
        <v>75</v>
      </c>
      <c r="G2508" t="s">
        <v>224</v>
      </c>
      <c r="H2508" t="s">
        <v>116</v>
      </c>
      <c r="I2508">
        <v>28049</v>
      </c>
      <c r="J2508">
        <v>32286</v>
      </c>
    </row>
    <row r="2509" spans="1:10" x14ac:dyDescent="0.3">
      <c r="A2509" t="s">
        <v>2636</v>
      </c>
      <c r="B2509" s="1">
        <v>45919</v>
      </c>
      <c r="C2509" t="s">
        <v>38</v>
      </c>
      <c r="D2509">
        <v>38</v>
      </c>
      <c r="E2509" t="s">
        <v>39</v>
      </c>
      <c r="F2509" t="s">
        <v>50</v>
      </c>
      <c r="G2509" t="s">
        <v>79</v>
      </c>
      <c r="H2509" t="s">
        <v>84</v>
      </c>
      <c r="I2509">
        <v>35754</v>
      </c>
      <c r="J2509">
        <v>38198</v>
      </c>
    </row>
    <row r="2510" spans="1:10" x14ac:dyDescent="0.3">
      <c r="A2510" t="s">
        <v>2637</v>
      </c>
      <c r="B2510" s="1">
        <v>45921</v>
      </c>
      <c r="C2510" t="s">
        <v>38</v>
      </c>
      <c r="D2510">
        <v>38</v>
      </c>
      <c r="E2510" t="s">
        <v>24</v>
      </c>
      <c r="F2510" t="s">
        <v>43</v>
      </c>
      <c r="G2510" t="s">
        <v>253</v>
      </c>
      <c r="H2510" t="s">
        <v>163</v>
      </c>
      <c r="I2510">
        <v>28133</v>
      </c>
      <c r="J2510">
        <v>34537</v>
      </c>
    </row>
    <row r="2511" spans="1:10" x14ac:dyDescent="0.3">
      <c r="A2511" t="s">
        <v>2638</v>
      </c>
      <c r="B2511" s="1">
        <v>45851</v>
      </c>
      <c r="C2511" t="s">
        <v>11</v>
      </c>
      <c r="D2511">
        <v>28</v>
      </c>
      <c r="E2511" t="s">
        <v>18</v>
      </c>
      <c r="F2511" t="s">
        <v>25</v>
      </c>
      <c r="G2511" t="s">
        <v>171</v>
      </c>
      <c r="H2511" t="s">
        <v>151</v>
      </c>
      <c r="I2511">
        <v>35991</v>
      </c>
      <c r="J2511">
        <v>37176</v>
      </c>
    </row>
    <row r="2512" spans="1:10" x14ac:dyDescent="0.3">
      <c r="A2512" t="s">
        <v>2639</v>
      </c>
      <c r="B2512" s="1">
        <v>45947</v>
      </c>
      <c r="C2512" t="s">
        <v>66</v>
      </c>
      <c r="D2512">
        <v>42</v>
      </c>
      <c r="E2512" t="s">
        <v>39</v>
      </c>
      <c r="F2512" t="s">
        <v>114</v>
      </c>
      <c r="G2512" t="s">
        <v>102</v>
      </c>
      <c r="H2512" t="s">
        <v>151</v>
      </c>
      <c r="I2512">
        <v>39714</v>
      </c>
      <c r="J2512">
        <v>46742</v>
      </c>
    </row>
    <row r="2513" spans="1:10" x14ac:dyDescent="0.3">
      <c r="A2513" t="s">
        <v>2640</v>
      </c>
      <c r="B2513" s="1">
        <v>45843</v>
      </c>
      <c r="C2513" t="s">
        <v>11</v>
      </c>
      <c r="D2513">
        <v>27</v>
      </c>
      <c r="E2513" t="s">
        <v>61</v>
      </c>
      <c r="F2513" t="s">
        <v>122</v>
      </c>
      <c r="G2513" t="s">
        <v>72</v>
      </c>
      <c r="H2513" t="s">
        <v>123</v>
      </c>
      <c r="I2513">
        <v>33523</v>
      </c>
      <c r="J2513">
        <v>41369</v>
      </c>
    </row>
    <row r="2514" spans="1:10" x14ac:dyDescent="0.3">
      <c r="A2514" t="s">
        <v>2641</v>
      </c>
      <c r="B2514" s="1">
        <v>45710</v>
      </c>
      <c r="C2514" t="s">
        <v>82</v>
      </c>
      <c r="D2514">
        <v>8</v>
      </c>
      <c r="E2514" t="s">
        <v>18</v>
      </c>
      <c r="F2514" t="s">
        <v>122</v>
      </c>
      <c r="G2514" t="s">
        <v>182</v>
      </c>
      <c r="H2514" t="s">
        <v>96</v>
      </c>
      <c r="I2514">
        <v>22357</v>
      </c>
      <c r="J2514">
        <v>23291</v>
      </c>
    </row>
    <row r="2515" spans="1:10" x14ac:dyDescent="0.3">
      <c r="A2515" t="s">
        <v>2642</v>
      </c>
      <c r="B2515" s="1">
        <v>46021</v>
      </c>
      <c r="C2515" t="s">
        <v>100</v>
      </c>
      <c r="D2515">
        <v>1</v>
      </c>
      <c r="E2515" t="s">
        <v>70</v>
      </c>
      <c r="F2515" t="s">
        <v>122</v>
      </c>
      <c r="G2515" t="s">
        <v>47</v>
      </c>
      <c r="H2515" t="s">
        <v>84</v>
      </c>
      <c r="I2515">
        <v>36987</v>
      </c>
      <c r="J2515">
        <v>38668</v>
      </c>
    </row>
    <row r="2516" spans="1:10" x14ac:dyDescent="0.3">
      <c r="A2516" t="s">
        <v>2643</v>
      </c>
      <c r="B2516" s="1">
        <v>45858</v>
      </c>
      <c r="C2516" t="s">
        <v>11</v>
      </c>
      <c r="D2516">
        <v>29</v>
      </c>
      <c r="E2516" t="s">
        <v>61</v>
      </c>
      <c r="F2516" t="s">
        <v>19</v>
      </c>
      <c r="G2516" t="s">
        <v>40</v>
      </c>
      <c r="H2516" t="s">
        <v>55</v>
      </c>
      <c r="I2516">
        <v>33560</v>
      </c>
      <c r="J2516">
        <v>27852</v>
      </c>
    </row>
    <row r="2517" spans="1:10" x14ac:dyDescent="0.3">
      <c r="A2517" t="s">
        <v>2644</v>
      </c>
      <c r="B2517" s="1">
        <v>45942</v>
      </c>
      <c r="C2517" t="s">
        <v>66</v>
      </c>
      <c r="D2517">
        <v>41</v>
      </c>
      <c r="E2517" t="s">
        <v>24</v>
      </c>
      <c r="F2517" t="s">
        <v>101</v>
      </c>
      <c r="G2517" t="s">
        <v>324</v>
      </c>
      <c r="H2517" t="s">
        <v>103</v>
      </c>
      <c r="I2517">
        <v>29147</v>
      </c>
      <c r="J2517">
        <v>31516</v>
      </c>
    </row>
    <row r="2518" spans="1:10" x14ac:dyDescent="0.3">
      <c r="A2518" t="s">
        <v>2645</v>
      </c>
      <c r="B2518" s="1">
        <v>45930</v>
      </c>
      <c r="C2518" t="s">
        <v>38</v>
      </c>
      <c r="D2518">
        <v>40</v>
      </c>
      <c r="E2518" t="s">
        <v>33</v>
      </c>
      <c r="F2518" t="s">
        <v>34</v>
      </c>
      <c r="G2518" t="s">
        <v>324</v>
      </c>
      <c r="H2518" t="s">
        <v>119</v>
      </c>
      <c r="I2518">
        <v>37888</v>
      </c>
      <c r="J2518">
        <v>28052</v>
      </c>
    </row>
    <row r="2519" spans="1:10" x14ac:dyDescent="0.3">
      <c r="A2519" t="s">
        <v>2646</v>
      </c>
      <c r="B2519" s="1">
        <v>45663</v>
      </c>
      <c r="C2519" t="s">
        <v>17</v>
      </c>
      <c r="D2519">
        <v>2</v>
      </c>
      <c r="E2519" t="s">
        <v>61</v>
      </c>
      <c r="F2519" t="s">
        <v>109</v>
      </c>
      <c r="G2519" t="s">
        <v>147</v>
      </c>
      <c r="H2519" t="s">
        <v>111</v>
      </c>
      <c r="I2519">
        <v>37740</v>
      </c>
      <c r="J2519">
        <v>45260</v>
      </c>
    </row>
    <row r="2520" spans="1:10" x14ac:dyDescent="0.3">
      <c r="A2520" t="s">
        <v>2647</v>
      </c>
      <c r="B2520" s="1">
        <v>45942</v>
      </c>
      <c r="C2520" t="s">
        <v>66</v>
      </c>
      <c r="D2520">
        <v>41</v>
      </c>
      <c r="E2520" t="s">
        <v>24</v>
      </c>
      <c r="F2520" t="s">
        <v>92</v>
      </c>
      <c r="G2520" t="s">
        <v>145</v>
      </c>
      <c r="H2520" t="s">
        <v>48</v>
      </c>
      <c r="I2520">
        <v>15293</v>
      </c>
      <c r="J2520">
        <v>18627</v>
      </c>
    </row>
    <row r="2521" spans="1:10" x14ac:dyDescent="0.3">
      <c r="A2521" t="s">
        <v>2648</v>
      </c>
      <c r="B2521" s="1">
        <v>46002</v>
      </c>
      <c r="C2521" t="s">
        <v>100</v>
      </c>
      <c r="D2521">
        <v>50</v>
      </c>
      <c r="E2521" t="s">
        <v>18</v>
      </c>
      <c r="F2521" t="s">
        <v>109</v>
      </c>
      <c r="G2521" t="s">
        <v>199</v>
      </c>
      <c r="H2521" t="s">
        <v>80</v>
      </c>
      <c r="I2521">
        <v>22915</v>
      </c>
      <c r="J2521">
        <v>21561</v>
      </c>
    </row>
    <row r="2522" spans="1:10" x14ac:dyDescent="0.3">
      <c r="A2522" t="s">
        <v>2649</v>
      </c>
      <c r="B2522" s="1">
        <v>45686</v>
      </c>
      <c r="C2522" t="s">
        <v>17</v>
      </c>
      <c r="D2522">
        <v>5</v>
      </c>
      <c r="E2522" t="s">
        <v>39</v>
      </c>
      <c r="F2522" t="s">
        <v>114</v>
      </c>
      <c r="G2522" t="s">
        <v>126</v>
      </c>
      <c r="H2522" t="s">
        <v>15</v>
      </c>
      <c r="I2522">
        <v>25496</v>
      </c>
      <c r="J2522">
        <v>31021</v>
      </c>
    </row>
    <row r="2523" spans="1:10" x14ac:dyDescent="0.3">
      <c r="A2523" t="s">
        <v>2650</v>
      </c>
      <c r="B2523" s="1">
        <v>45996</v>
      </c>
      <c r="C2523" t="s">
        <v>100</v>
      </c>
      <c r="D2523">
        <v>49</v>
      </c>
      <c r="E2523" t="s">
        <v>33</v>
      </c>
      <c r="F2523" t="s">
        <v>29</v>
      </c>
      <c r="G2523" t="s">
        <v>83</v>
      </c>
      <c r="H2523" t="s">
        <v>55</v>
      </c>
      <c r="I2523">
        <v>39727</v>
      </c>
      <c r="J2523">
        <v>37182</v>
      </c>
    </row>
    <row r="2524" spans="1:10" x14ac:dyDescent="0.3">
      <c r="A2524" t="s">
        <v>2651</v>
      </c>
      <c r="B2524" s="1">
        <v>45963</v>
      </c>
      <c r="C2524" t="s">
        <v>23</v>
      </c>
      <c r="D2524">
        <v>44</v>
      </c>
      <c r="E2524" t="s">
        <v>39</v>
      </c>
      <c r="F2524" t="s">
        <v>101</v>
      </c>
      <c r="G2524" t="s">
        <v>234</v>
      </c>
      <c r="H2524" t="s">
        <v>157</v>
      </c>
      <c r="I2524">
        <v>34923</v>
      </c>
      <c r="J2524">
        <v>38839</v>
      </c>
    </row>
    <row r="2525" spans="1:10" x14ac:dyDescent="0.3">
      <c r="A2525" t="s">
        <v>2652</v>
      </c>
      <c r="B2525" s="1">
        <v>45756</v>
      </c>
      <c r="C2525" t="s">
        <v>86</v>
      </c>
      <c r="D2525">
        <v>15</v>
      </c>
      <c r="E2525" t="s">
        <v>24</v>
      </c>
      <c r="F2525" t="s">
        <v>87</v>
      </c>
      <c r="G2525" t="s">
        <v>76</v>
      </c>
      <c r="H2525" t="s">
        <v>163</v>
      </c>
      <c r="I2525">
        <v>30041</v>
      </c>
      <c r="J2525">
        <v>36513</v>
      </c>
    </row>
    <row r="2526" spans="1:10" x14ac:dyDescent="0.3">
      <c r="A2526" t="s">
        <v>2653</v>
      </c>
      <c r="B2526" s="1">
        <v>45892</v>
      </c>
      <c r="C2526" t="s">
        <v>113</v>
      </c>
      <c r="D2526">
        <v>34</v>
      </c>
      <c r="E2526" t="s">
        <v>61</v>
      </c>
      <c r="F2526" t="s">
        <v>62</v>
      </c>
      <c r="G2526" t="s">
        <v>199</v>
      </c>
      <c r="H2526" t="s">
        <v>157</v>
      </c>
      <c r="I2526">
        <v>32824</v>
      </c>
      <c r="J2526">
        <v>28843</v>
      </c>
    </row>
    <row r="2527" spans="1:10" x14ac:dyDescent="0.3">
      <c r="A2527" t="s">
        <v>2654</v>
      </c>
      <c r="B2527" s="1">
        <v>45826</v>
      </c>
      <c r="C2527" t="s">
        <v>74</v>
      </c>
      <c r="D2527">
        <v>25</v>
      </c>
      <c r="E2527" t="s">
        <v>24</v>
      </c>
      <c r="F2527" t="s">
        <v>46</v>
      </c>
      <c r="G2527" t="s">
        <v>326</v>
      </c>
      <c r="H2527" t="s">
        <v>48</v>
      </c>
      <c r="I2527">
        <v>17634</v>
      </c>
      <c r="J2527">
        <v>20327</v>
      </c>
    </row>
    <row r="2528" spans="1:10" x14ac:dyDescent="0.3">
      <c r="A2528" t="s">
        <v>2655</v>
      </c>
      <c r="B2528" s="1">
        <v>46015</v>
      </c>
      <c r="C2528" t="s">
        <v>100</v>
      </c>
      <c r="D2528">
        <v>52</v>
      </c>
      <c r="E2528" t="s">
        <v>70</v>
      </c>
      <c r="F2528" t="s">
        <v>19</v>
      </c>
      <c r="G2528" t="s">
        <v>40</v>
      </c>
      <c r="H2528" t="s">
        <v>119</v>
      </c>
      <c r="I2528">
        <v>23325</v>
      </c>
      <c r="J2528">
        <v>29815</v>
      </c>
    </row>
    <row r="2529" spans="1:10" x14ac:dyDescent="0.3">
      <c r="A2529" t="s">
        <v>2656</v>
      </c>
      <c r="B2529" s="1">
        <v>45884</v>
      </c>
      <c r="C2529" t="s">
        <v>113</v>
      </c>
      <c r="D2529">
        <v>33</v>
      </c>
      <c r="E2529" t="s">
        <v>12</v>
      </c>
      <c r="F2529" t="s">
        <v>57</v>
      </c>
      <c r="G2529" t="s">
        <v>191</v>
      </c>
      <c r="H2529" t="s">
        <v>157</v>
      </c>
      <c r="I2529">
        <v>23996</v>
      </c>
      <c r="J2529">
        <v>21357</v>
      </c>
    </row>
    <row r="2530" spans="1:10" x14ac:dyDescent="0.3">
      <c r="A2530" t="s">
        <v>2657</v>
      </c>
      <c r="B2530" s="1">
        <v>45858</v>
      </c>
      <c r="C2530" t="s">
        <v>11</v>
      </c>
      <c r="D2530">
        <v>29</v>
      </c>
      <c r="E2530" t="s">
        <v>39</v>
      </c>
      <c r="F2530" t="s">
        <v>101</v>
      </c>
      <c r="G2530" t="s">
        <v>107</v>
      </c>
      <c r="H2530" t="s">
        <v>116</v>
      </c>
      <c r="I2530">
        <v>23553</v>
      </c>
      <c r="J2530">
        <v>27270</v>
      </c>
    </row>
    <row r="2531" spans="1:10" x14ac:dyDescent="0.3">
      <c r="A2531" t="s">
        <v>2658</v>
      </c>
      <c r="B2531" s="1">
        <v>45916</v>
      </c>
      <c r="C2531" t="s">
        <v>38</v>
      </c>
      <c r="D2531">
        <v>38</v>
      </c>
      <c r="E2531" t="s">
        <v>24</v>
      </c>
      <c r="F2531" t="s">
        <v>57</v>
      </c>
      <c r="G2531" t="s">
        <v>79</v>
      </c>
      <c r="H2531" t="s">
        <v>55</v>
      </c>
      <c r="I2531">
        <v>24796</v>
      </c>
      <c r="J2531">
        <v>24174</v>
      </c>
    </row>
    <row r="2532" spans="1:10" x14ac:dyDescent="0.3">
      <c r="A2532" t="s">
        <v>2659</v>
      </c>
      <c r="B2532" s="1">
        <v>45830</v>
      </c>
      <c r="C2532" t="s">
        <v>74</v>
      </c>
      <c r="D2532">
        <v>25</v>
      </c>
      <c r="E2532" t="s">
        <v>24</v>
      </c>
      <c r="F2532" t="s">
        <v>19</v>
      </c>
      <c r="G2532" t="s">
        <v>128</v>
      </c>
      <c r="H2532" t="s">
        <v>96</v>
      </c>
      <c r="I2532">
        <v>35715</v>
      </c>
      <c r="J2532">
        <v>34413</v>
      </c>
    </row>
    <row r="2533" spans="1:10" x14ac:dyDescent="0.3">
      <c r="A2533" t="s">
        <v>2660</v>
      </c>
      <c r="B2533" s="1">
        <v>45797</v>
      </c>
      <c r="C2533" t="s">
        <v>90</v>
      </c>
      <c r="D2533">
        <v>21</v>
      </c>
      <c r="E2533" t="s">
        <v>24</v>
      </c>
      <c r="F2533" t="s">
        <v>29</v>
      </c>
      <c r="G2533" t="s">
        <v>147</v>
      </c>
      <c r="H2533" t="s">
        <v>188</v>
      </c>
      <c r="I2533">
        <v>18899</v>
      </c>
      <c r="J2533">
        <v>14975</v>
      </c>
    </row>
    <row r="2534" spans="1:10" x14ac:dyDescent="0.3">
      <c r="A2534" t="s">
        <v>2661</v>
      </c>
      <c r="B2534" s="1">
        <v>45689</v>
      </c>
      <c r="C2534" t="s">
        <v>82</v>
      </c>
      <c r="D2534">
        <v>5</v>
      </c>
      <c r="E2534" t="s">
        <v>61</v>
      </c>
      <c r="F2534" t="s">
        <v>29</v>
      </c>
      <c r="G2534" t="s">
        <v>182</v>
      </c>
      <c r="H2534" t="s">
        <v>243</v>
      </c>
      <c r="I2534">
        <v>21558</v>
      </c>
      <c r="J2534">
        <v>27193</v>
      </c>
    </row>
    <row r="2535" spans="1:10" x14ac:dyDescent="0.3">
      <c r="A2535" t="s">
        <v>2662</v>
      </c>
      <c r="B2535" s="1">
        <v>45880</v>
      </c>
      <c r="C2535" t="s">
        <v>113</v>
      </c>
      <c r="D2535">
        <v>33</v>
      </c>
      <c r="E2535" t="s">
        <v>39</v>
      </c>
      <c r="F2535" t="s">
        <v>193</v>
      </c>
      <c r="G2535" t="s">
        <v>72</v>
      </c>
      <c r="H2535" t="s">
        <v>155</v>
      </c>
      <c r="I2535">
        <v>30037</v>
      </c>
      <c r="J2535">
        <v>22136</v>
      </c>
    </row>
    <row r="2536" spans="1:10" x14ac:dyDescent="0.3">
      <c r="A2536" t="s">
        <v>2663</v>
      </c>
      <c r="B2536" s="1">
        <v>46010</v>
      </c>
      <c r="C2536" t="s">
        <v>100</v>
      </c>
      <c r="D2536">
        <v>51</v>
      </c>
      <c r="E2536" t="s">
        <v>70</v>
      </c>
      <c r="F2536" t="s">
        <v>140</v>
      </c>
      <c r="G2536" t="s">
        <v>30</v>
      </c>
      <c r="H2536" t="s">
        <v>119</v>
      </c>
      <c r="I2536">
        <v>27288</v>
      </c>
      <c r="J2536">
        <v>31035</v>
      </c>
    </row>
    <row r="2537" spans="1:10" x14ac:dyDescent="0.3">
      <c r="A2537" t="s">
        <v>2664</v>
      </c>
      <c r="B2537" s="1">
        <v>45791</v>
      </c>
      <c r="C2537" t="s">
        <v>90</v>
      </c>
      <c r="D2537">
        <v>20</v>
      </c>
      <c r="E2537" t="s">
        <v>18</v>
      </c>
      <c r="F2537" t="s">
        <v>13</v>
      </c>
      <c r="G2537" t="s">
        <v>54</v>
      </c>
      <c r="H2537" t="s">
        <v>21</v>
      </c>
      <c r="I2537">
        <v>38145</v>
      </c>
      <c r="J2537">
        <v>41322</v>
      </c>
    </row>
    <row r="2538" spans="1:10" x14ac:dyDescent="0.3">
      <c r="A2538" t="s">
        <v>2665</v>
      </c>
      <c r="B2538" s="1">
        <v>45807</v>
      </c>
      <c r="C2538" t="s">
        <v>90</v>
      </c>
      <c r="D2538">
        <v>22</v>
      </c>
      <c r="E2538" t="s">
        <v>70</v>
      </c>
      <c r="F2538" t="s">
        <v>92</v>
      </c>
      <c r="G2538" t="s">
        <v>51</v>
      </c>
      <c r="H2538" t="s">
        <v>98</v>
      </c>
      <c r="I2538">
        <v>16437</v>
      </c>
      <c r="J2538">
        <v>18971</v>
      </c>
    </row>
    <row r="2539" spans="1:10" x14ac:dyDescent="0.3">
      <c r="A2539" t="s">
        <v>2666</v>
      </c>
      <c r="B2539" s="1">
        <v>45881</v>
      </c>
      <c r="C2539" t="s">
        <v>113</v>
      </c>
      <c r="D2539">
        <v>33</v>
      </c>
      <c r="E2539" t="s">
        <v>70</v>
      </c>
      <c r="F2539" t="s">
        <v>25</v>
      </c>
      <c r="G2539" t="s">
        <v>14</v>
      </c>
      <c r="H2539" t="s">
        <v>80</v>
      </c>
      <c r="I2539">
        <v>19577</v>
      </c>
      <c r="J2539">
        <v>19735</v>
      </c>
    </row>
    <row r="2540" spans="1:10" x14ac:dyDescent="0.3">
      <c r="A2540" t="s">
        <v>2667</v>
      </c>
      <c r="B2540" s="1">
        <v>45855</v>
      </c>
      <c r="C2540" t="s">
        <v>11</v>
      </c>
      <c r="D2540">
        <v>29</v>
      </c>
      <c r="E2540" t="s">
        <v>33</v>
      </c>
      <c r="F2540" t="s">
        <v>50</v>
      </c>
      <c r="G2540" t="s">
        <v>26</v>
      </c>
      <c r="H2540" t="s">
        <v>64</v>
      </c>
      <c r="I2540">
        <v>38905</v>
      </c>
      <c r="J2540">
        <v>49445</v>
      </c>
    </row>
    <row r="2541" spans="1:10" x14ac:dyDescent="0.3">
      <c r="A2541" t="s">
        <v>2668</v>
      </c>
      <c r="B2541" s="1">
        <v>45957</v>
      </c>
      <c r="C2541" t="s">
        <v>66</v>
      </c>
      <c r="D2541">
        <v>44</v>
      </c>
      <c r="E2541" t="s">
        <v>24</v>
      </c>
      <c r="F2541" t="s">
        <v>57</v>
      </c>
      <c r="G2541" t="s">
        <v>145</v>
      </c>
      <c r="H2541" t="s">
        <v>31</v>
      </c>
      <c r="I2541">
        <v>21705</v>
      </c>
      <c r="J2541">
        <v>23361</v>
      </c>
    </row>
    <row r="2542" spans="1:10" x14ac:dyDescent="0.3">
      <c r="A2542" t="s">
        <v>2669</v>
      </c>
      <c r="B2542" s="1">
        <v>45852</v>
      </c>
      <c r="C2542" t="s">
        <v>11</v>
      </c>
      <c r="D2542">
        <v>29</v>
      </c>
      <c r="E2542" t="s">
        <v>33</v>
      </c>
      <c r="F2542" t="s">
        <v>109</v>
      </c>
      <c r="G2542" t="s">
        <v>20</v>
      </c>
      <c r="H2542" t="s">
        <v>188</v>
      </c>
      <c r="I2542">
        <v>32527</v>
      </c>
      <c r="J2542">
        <v>24522</v>
      </c>
    </row>
    <row r="2543" spans="1:10" x14ac:dyDescent="0.3">
      <c r="A2543" t="s">
        <v>2670</v>
      </c>
      <c r="B2543" s="1">
        <v>45965</v>
      </c>
      <c r="C2543" t="s">
        <v>23</v>
      </c>
      <c r="D2543">
        <v>45</v>
      </c>
      <c r="E2543" t="s">
        <v>24</v>
      </c>
      <c r="F2543" t="s">
        <v>78</v>
      </c>
      <c r="G2543" t="s">
        <v>44</v>
      </c>
      <c r="H2543" t="s">
        <v>165</v>
      </c>
      <c r="I2543">
        <v>36417</v>
      </c>
      <c r="J2543">
        <v>30851</v>
      </c>
    </row>
    <row r="2544" spans="1:10" x14ac:dyDescent="0.3">
      <c r="A2544" t="s">
        <v>2671</v>
      </c>
      <c r="B2544" s="1">
        <v>45995</v>
      </c>
      <c r="C2544" t="s">
        <v>100</v>
      </c>
      <c r="D2544">
        <v>49</v>
      </c>
      <c r="E2544" t="s">
        <v>12</v>
      </c>
      <c r="F2544" t="s">
        <v>75</v>
      </c>
      <c r="G2544" t="s">
        <v>135</v>
      </c>
      <c r="H2544" t="s">
        <v>80</v>
      </c>
      <c r="I2544">
        <v>30771</v>
      </c>
      <c r="J2544">
        <v>36411</v>
      </c>
    </row>
    <row r="2545" spans="1:10" x14ac:dyDescent="0.3">
      <c r="A2545" t="s">
        <v>2672</v>
      </c>
      <c r="B2545" s="1">
        <v>45787</v>
      </c>
      <c r="C2545" t="s">
        <v>90</v>
      </c>
      <c r="D2545">
        <v>19</v>
      </c>
      <c r="E2545" t="s">
        <v>61</v>
      </c>
      <c r="F2545" t="s">
        <v>43</v>
      </c>
      <c r="G2545" t="s">
        <v>118</v>
      </c>
      <c r="H2545" t="s">
        <v>103</v>
      </c>
      <c r="I2545">
        <v>25985</v>
      </c>
      <c r="J2545">
        <v>29615</v>
      </c>
    </row>
    <row r="2546" spans="1:10" x14ac:dyDescent="0.3">
      <c r="A2546" t="s">
        <v>2673</v>
      </c>
      <c r="B2546" s="1">
        <v>45893</v>
      </c>
      <c r="C2546" t="s">
        <v>113</v>
      </c>
      <c r="D2546">
        <v>34</v>
      </c>
      <c r="E2546" t="s">
        <v>39</v>
      </c>
      <c r="F2546" t="s">
        <v>75</v>
      </c>
      <c r="G2546" t="s">
        <v>160</v>
      </c>
      <c r="H2546" t="s">
        <v>123</v>
      </c>
      <c r="I2546">
        <v>39437</v>
      </c>
      <c r="J2546">
        <v>33081</v>
      </c>
    </row>
    <row r="2547" spans="1:10" x14ac:dyDescent="0.3">
      <c r="A2547" t="s">
        <v>2674</v>
      </c>
      <c r="B2547" s="1">
        <v>45871</v>
      </c>
      <c r="C2547" t="s">
        <v>113</v>
      </c>
      <c r="D2547">
        <v>31</v>
      </c>
      <c r="E2547" t="s">
        <v>18</v>
      </c>
      <c r="F2547" t="s">
        <v>140</v>
      </c>
      <c r="G2547" t="s">
        <v>132</v>
      </c>
      <c r="H2547" t="s">
        <v>111</v>
      </c>
      <c r="I2547">
        <v>28019</v>
      </c>
      <c r="J2547">
        <v>31008</v>
      </c>
    </row>
    <row r="2548" spans="1:10" x14ac:dyDescent="0.3">
      <c r="A2548" t="s">
        <v>2675</v>
      </c>
      <c r="B2548" s="1">
        <v>45968</v>
      </c>
      <c r="C2548" t="s">
        <v>23</v>
      </c>
      <c r="D2548">
        <v>45</v>
      </c>
      <c r="E2548" t="s">
        <v>70</v>
      </c>
      <c r="F2548" t="s">
        <v>75</v>
      </c>
      <c r="G2548" t="s">
        <v>126</v>
      </c>
      <c r="H2548" t="s">
        <v>111</v>
      </c>
      <c r="I2548">
        <v>18071</v>
      </c>
      <c r="J2548">
        <v>21144</v>
      </c>
    </row>
    <row r="2549" spans="1:10" x14ac:dyDescent="0.3">
      <c r="A2549" t="s">
        <v>2676</v>
      </c>
      <c r="B2549" s="1">
        <v>45977</v>
      </c>
      <c r="C2549" t="s">
        <v>23</v>
      </c>
      <c r="D2549">
        <v>46</v>
      </c>
      <c r="E2549" t="s">
        <v>18</v>
      </c>
      <c r="F2549" t="s">
        <v>43</v>
      </c>
      <c r="G2549" t="s">
        <v>72</v>
      </c>
      <c r="H2549" t="s">
        <v>119</v>
      </c>
      <c r="I2549">
        <v>26033</v>
      </c>
      <c r="J2549">
        <v>33621</v>
      </c>
    </row>
    <row r="2550" spans="1:10" x14ac:dyDescent="0.3">
      <c r="A2550" t="s">
        <v>2677</v>
      </c>
      <c r="B2550" s="1">
        <v>45767</v>
      </c>
      <c r="C2550" t="s">
        <v>86</v>
      </c>
      <c r="D2550">
        <v>16</v>
      </c>
      <c r="E2550" t="s">
        <v>39</v>
      </c>
      <c r="F2550" t="s">
        <v>29</v>
      </c>
      <c r="G2550" t="s">
        <v>93</v>
      </c>
      <c r="H2550" t="s">
        <v>55</v>
      </c>
      <c r="I2550">
        <v>36509</v>
      </c>
      <c r="J2550">
        <v>46985</v>
      </c>
    </row>
    <row r="2551" spans="1:10" x14ac:dyDescent="0.3">
      <c r="A2551" t="s">
        <v>2678</v>
      </c>
      <c r="B2551" s="1">
        <v>45866</v>
      </c>
      <c r="C2551" t="s">
        <v>11</v>
      </c>
      <c r="D2551">
        <v>31</v>
      </c>
      <c r="E2551" t="s">
        <v>18</v>
      </c>
      <c r="F2551" t="s">
        <v>62</v>
      </c>
      <c r="G2551" t="s">
        <v>118</v>
      </c>
      <c r="H2551" t="s">
        <v>21</v>
      </c>
      <c r="I2551">
        <v>30386</v>
      </c>
      <c r="J2551">
        <v>38978</v>
      </c>
    </row>
    <row r="2552" spans="1:10" x14ac:dyDescent="0.3">
      <c r="A2552" t="s">
        <v>2679</v>
      </c>
      <c r="B2552" s="1">
        <v>45758</v>
      </c>
      <c r="C2552" t="s">
        <v>86</v>
      </c>
      <c r="D2552">
        <v>15</v>
      </c>
      <c r="E2552" t="s">
        <v>61</v>
      </c>
      <c r="F2552" t="s">
        <v>34</v>
      </c>
      <c r="G2552" t="s">
        <v>224</v>
      </c>
      <c r="H2552" t="s">
        <v>98</v>
      </c>
      <c r="I2552">
        <v>23005</v>
      </c>
      <c r="J2552">
        <v>17871</v>
      </c>
    </row>
    <row r="2553" spans="1:10" x14ac:dyDescent="0.3">
      <c r="A2553" t="s">
        <v>2680</v>
      </c>
      <c r="B2553" s="1">
        <v>45991</v>
      </c>
      <c r="C2553" t="s">
        <v>23</v>
      </c>
      <c r="D2553">
        <v>48</v>
      </c>
      <c r="E2553" t="s">
        <v>39</v>
      </c>
      <c r="F2553" t="s">
        <v>34</v>
      </c>
      <c r="G2553" t="s">
        <v>240</v>
      </c>
      <c r="H2553" t="s">
        <v>48</v>
      </c>
      <c r="I2553">
        <v>39123</v>
      </c>
      <c r="J2553">
        <v>34815</v>
      </c>
    </row>
    <row r="2554" spans="1:10" x14ac:dyDescent="0.3">
      <c r="A2554" t="s">
        <v>2681</v>
      </c>
      <c r="B2554" s="1">
        <v>45669</v>
      </c>
      <c r="C2554" t="s">
        <v>17</v>
      </c>
      <c r="D2554">
        <v>2</v>
      </c>
      <c r="E2554" t="s">
        <v>39</v>
      </c>
      <c r="F2554" t="s">
        <v>34</v>
      </c>
      <c r="G2554" t="s">
        <v>79</v>
      </c>
      <c r="H2554" t="s">
        <v>155</v>
      </c>
      <c r="I2554">
        <v>15658</v>
      </c>
      <c r="J2554">
        <v>15603</v>
      </c>
    </row>
    <row r="2555" spans="1:10" x14ac:dyDescent="0.3">
      <c r="A2555" t="s">
        <v>2682</v>
      </c>
      <c r="B2555" s="1">
        <v>45674</v>
      </c>
      <c r="C2555" t="s">
        <v>17</v>
      </c>
      <c r="D2555">
        <v>3</v>
      </c>
      <c r="E2555" t="s">
        <v>39</v>
      </c>
      <c r="F2555" t="s">
        <v>75</v>
      </c>
      <c r="G2555" t="s">
        <v>79</v>
      </c>
      <c r="H2555" t="s">
        <v>98</v>
      </c>
      <c r="I2555">
        <v>31061</v>
      </c>
      <c r="J2555">
        <v>24316</v>
      </c>
    </row>
    <row r="2556" spans="1:10" x14ac:dyDescent="0.3">
      <c r="A2556" t="s">
        <v>2683</v>
      </c>
      <c r="B2556" s="1">
        <v>45672</v>
      </c>
      <c r="C2556" t="s">
        <v>17</v>
      </c>
      <c r="D2556">
        <v>3</v>
      </c>
      <c r="E2556" t="s">
        <v>33</v>
      </c>
      <c r="F2556" t="s">
        <v>101</v>
      </c>
      <c r="G2556" t="s">
        <v>206</v>
      </c>
      <c r="H2556" t="s">
        <v>157</v>
      </c>
      <c r="I2556">
        <v>36261</v>
      </c>
      <c r="J2556">
        <v>26650</v>
      </c>
    </row>
    <row r="2557" spans="1:10" x14ac:dyDescent="0.3">
      <c r="A2557" t="s">
        <v>2684</v>
      </c>
      <c r="B2557" s="1">
        <v>45676</v>
      </c>
      <c r="C2557" t="s">
        <v>17</v>
      </c>
      <c r="D2557">
        <v>3</v>
      </c>
      <c r="E2557" t="s">
        <v>24</v>
      </c>
      <c r="F2557" t="s">
        <v>43</v>
      </c>
      <c r="G2557" t="s">
        <v>206</v>
      </c>
      <c r="H2557" t="s">
        <v>27</v>
      </c>
      <c r="I2557">
        <v>36749</v>
      </c>
      <c r="J2557">
        <v>42761</v>
      </c>
    </row>
    <row r="2558" spans="1:10" x14ac:dyDescent="0.3">
      <c r="A2558" t="s">
        <v>2685</v>
      </c>
      <c r="B2558" s="1">
        <v>45936</v>
      </c>
      <c r="C2558" t="s">
        <v>66</v>
      </c>
      <c r="D2558">
        <v>41</v>
      </c>
      <c r="E2558" t="s">
        <v>33</v>
      </c>
      <c r="F2558" t="s">
        <v>122</v>
      </c>
      <c r="G2558" t="s">
        <v>67</v>
      </c>
      <c r="H2558" t="s">
        <v>165</v>
      </c>
      <c r="I2558">
        <v>34568</v>
      </c>
      <c r="J2558">
        <v>42044</v>
      </c>
    </row>
    <row r="2559" spans="1:10" x14ac:dyDescent="0.3">
      <c r="A2559" t="s">
        <v>2686</v>
      </c>
      <c r="B2559" s="1">
        <v>45812</v>
      </c>
      <c r="C2559" t="s">
        <v>74</v>
      </c>
      <c r="D2559">
        <v>23</v>
      </c>
      <c r="E2559" t="s">
        <v>18</v>
      </c>
      <c r="F2559" t="s">
        <v>50</v>
      </c>
      <c r="G2559" t="s">
        <v>191</v>
      </c>
      <c r="H2559" t="s">
        <v>64</v>
      </c>
      <c r="I2559">
        <v>20260</v>
      </c>
      <c r="J2559">
        <v>23383</v>
      </c>
    </row>
    <row r="2560" spans="1:10" x14ac:dyDescent="0.3">
      <c r="A2560" t="s">
        <v>2687</v>
      </c>
      <c r="B2560" s="1">
        <v>45851</v>
      </c>
      <c r="C2560" t="s">
        <v>11</v>
      </c>
      <c r="D2560">
        <v>28</v>
      </c>
      <c r="E2560" t="s">
        <v>39</v>
      </c>
      <c r="F2560" t="s">
        <v>75</v>
      </c>
      <c r="G2560" t="s">
        <v>135</v>
      </c>
      <c r="H2560" t="s">
        <v>36</v>
      </c>
      <c r="I2560">
        <v>29147</v>
      </c>
      <c r="J2560">
        <v>31650</v>
      </c>
    </row>
    <row r="2561" spans="1:10" x14ac:dyDescent="0.3">
      <c r="A2561" t="s">
        <v>2688</v>
      </c>
      <c r="B2561" s="1">
        <v>45809</v>
      </c>
      <c r="C2561" t="s">
        <v>74</v>
      </c>
      <c r="D2561">
        <v>22</v>
      </c>
      <c r="E2561" t="s">
        <v>12</v>
      </c>
      <c r="F2561" t="s">
        <v>114</v>
      </c>
      <c r="G2561" t="s">
        <v>58</v>
      </c>
      <c r="H2561" t="s">
        <v>31</v>
      </c>
      <c r="I2561">
        <v>23006</v>
      </c>
      <c r="J2561">
        <v>23980</v>
      </c>
    </row>
    <row r="2562" spans="1:10" x14ac:dyDescent="0.3">
      <c r="A2562" t="s">
        <v>2689</v>
      </c>
      <c r="B2562" s="1">
        <v>45712</v>
      </c>
      <c r="C2562" t="s">
        <v>82</v>
      </c>
      <c r="D2562">
        <v>9</v>
      </c>
      <c r="E2562" t="s">
        <v>39</v>
      </c>
      <c r="F2562" t="s">
        <v>101</v>
      </c>
      <c r="G2562" t="s">
        <v>201</v>
      </c>
      <c r="H2562" t="s">
        <v>96</v>
      </c>
      <c r="I2562">
        <v>21401</v>
      </c>
      <c r="J2562">
        <v>21028</v>
      </c>
    </row>
    <row r="2563" spans="1:10" x14ac:dyDescent="0.3">
      <c r="A2563" t="s">
        <v>2690</v>
      </c>
      <c r="B2563" s="1">
        <v>45703</v>
      </c>
      <c r="C2563" t="s">
        <v>82</v>
      </c>
      <c r="D2563">
        <v>7</v>
      </c>
      <c r="E2563" t="s">
        <v>33</v>
      </c>
      <c r="F2563" t="s">
        <v>62</v>
      </c>
      <c r="G2563" t="s">
        <v>206</v>
      </c>
      <c r="H2563" t="s">
        <v>165</v>
      </c>
      <c r="I2563">
        <v>38304</v>
      </c>
      <c r="J2563">
        <v>29639</v>
      </c>
    </row>
    <row r="2564" spans="1:10" x14ac:dyDescent="0.3">
      <c r="A2564" t="s">
        <v>2691</v>
      </c>
      <c r="B2564" s="1">
        <v>45856</v>
      </c>
      <c r="C2564" t="s">
        <v>11</v>
      </c>
      <c r="D2564">
        <v>29</v>
      </c>
      <c r="E2564" t="s">
        <v>24</v>
      </c>
      <c r="F2564" t="s">
        <v>114</v>
      </c>
      <c r="G2564" t="s">
        <v>76</v>
      </c>
      <c r="H2564" t="s">
        <v>55</v>
      </c>
      <c r="I2564">
        <v>24921</v>
      </c>
      <c r="J2564">
        <v>28903</v>
      </c>
    </row>
    <row r="2565" spans="1:10" x14ac:dyDescent="0.3">
      <c r="A2565" t="s">
        <v>2692</v>
      </c>
      <c r="B2565" s="1">
        <v>45759</v>
      </c>
      <c r="C2565" t="s">
        <v>86</v>
      </c>
      <c r="D2565">
        <v>15</v>
      </c>
      <c r="E2565" t="s">
        <v>18</v>
      </c>
      <c r="F2565" t="s">
        <v>87</v>
      </c>
      <c r="G2565" t="s">
        <v>67</v>
      </c>
      <c r="H2565" t="s">
        <v>116</v>
      </c>
      <c r="I2565">
        <v>18108</v>
      </c>
      <c r="J2565">
        <v>21413</v>
      </c>
    </row>
    <row r="2566" spans="1:10" x14ac:dyDescent="0.3">
      <c r="A2566" t="s">
        <v>2693</v>
      </c>
      <c r="B2566" s="1">
        <v>46000</v>
      </c>
      <c r="C2566" t="s">
        <v>100</v>
      </c>
      <c r="D2566">
        <v>50</v>
      </c>
      <c r="E2566" t="s">
        <v>39</v>
      </c>
      <c r="F2566" t="s">
        <v>75</v>
      </c>
      <c r="G2566" t="s">
        <v>26</v>
      </c>
      <c r="H2566" t="s">
        <v>151</v>
      </c>
      <c r="I2566">
        <v>39127</v>
      </c>
      <c r="J2566">
        <v>44210</v>
      </c>
    </row>
    <row r="2567" spans="1:10" x14ac:dyDescent="0.3">
      <c r="A2567" t="s">
        <v>2694</v>
      </c>
      <c r="B2567" s="1">
        <v>45693</v>
      </c>
      <c r="C2567" t="s">
        <v>82</v>
      </c>
      <c r="D2567">
        <v>6</v>
      </c>
      <c r="E2567" t="s">
        <v>33</v>
      </c>
      <c r="F2567" t="s">
        <v>13</v>
      </c>
      <c r="G2567" t="s">
        <v>35</v>
      </c>
      <c r="H2567" t="s">
        <v>15</v>
      </c>
      <c r="I2567">
        <v>22488</v>
      </c>
      <c r="J2567">
        <v>21839</v>
      </c>
    </row>
    <row r="2568" spans="1:10" x14ac:dyDescent="0.3">
      <c r="A2568" t="s">
        <v>2695</v>
      </c>
      <c r="B2568" s="1">
        <v>45939</v>
      </c>
      <c r="C2568" t="s">
        <v>66</v>
      </c>
      <c r="D2568">
        <v>41</v>
      </c>
      <c r="E2568" t="s">
        <v>70</v>
      </c>
      <c r="F2568" t="s">
        <v>92</v>
      </c>
      <c r="G2568" t="s">
        <v>149</v>
      </c>
      <c r="H2568" t="s">
        <v>80</v>
      </c>
      <c r="I2568">
        <v>20409</v>
      </c>
      <c r="J2568">
        <v>16674</v>
      </c>
    </row>
    <row r="2569" spans="1:10" x14ac:dyDescent="0.3">
      <c r="A2569" t="s">
        <v>2696</v>
      </c>
      <c r="B2569" s="1">
        <v>45783</v>
      </c>
      <c r="C2569" t="s">
        <v>90</v>
      </c>
      <c r="D2569">
        <v>19</v>
      </c>
      <c r="E2569" t="s">
        <v>61</v>
      </c>
      <c r="F2569" t="s">
        <v>87</v>
      </c>
      <c r="G2569" t="s">
        <v>266</v>
      </c>
      <c r="H2569" t="s">
        <v>133</v>
      </c>
      <c r="I2569">
        <v>20833</v>
      </c>
      <c r="J2569">
        <v>27004</v>
      </c>
    </row>
    <row r="2570" spans="1:10" x14ac:dyDescent="0.3">
      <c r="A2570" t="s">
        <v>2697</v>
      </c>
      <c r="B2570" s="1">
        <v>45695</v>
      </c>
      <c r="C2570" t="s">
        <v>82</v>
      </c>
      <c r="D2570">
        <v>6</v>
      </c>
      <c r="E2570" t="s">
        <v>61</v>
      </c>
      <c r="F2570" t="s">
        <v>43</v>
      </c>
      <c r="G2570" t="s">
        <v>128</v>
      </c>
      <c r="H2570" t="s">
        <v>151</v>
      </c>
      <c r="I2570">
        <v>34575</v>
      </c>
      <c r="J2570">
        <v>42379</v>
      </c>
    </row>
    <row r="2571" spans="1:10" x14ac:dyDescent="0.3">
      <c r="A2571" t="s">
        <v>2698</v>
      </c>
      <c r="B2571" s="1">
        <v>45846</v>
      </c>
      <c r="C2571" t="s">
        <v>11</v>
      </c>
      <c r="D2571">
        <v>28</v>
      </c>
      <c r="E2571" t="s">
        <v>39</v>
      </c>
      <c r="F2571" t="s">
        <v>50</v>
      </c>
      <c r="G2571" t="s">
        <v>132</v>
      </c>
      <c r="H2571" t="s">
        <v>36</v>
      </c>
      <c r="I2571">
        <v>26937</v>
      </c>
      <c r="J2571">
        <v>27968</v>
      </c>
    </row>
    <row r="2572" spans="1:10" x14ac:dyDescent="0.3">
      <c r="A2572" t="s">
        <v>2699</v>
      </c>
      <c r="B2572" s="1">
        <v>45716</v>
      </c>
      <c r="C2572" t="s">
        <v>82</v>
      </c>
      <c r="D2572">
        <v>9</v>
      </c>
      <c r="E2572" t="s">
        <v>18</v>
      </c>
      <c r="F2572" t="s">
        <v>46</v>
      </c>
      <c r="G2572" t="s">
        <v>51</v>
      </c>
      <c r="H2572" t="s">
        <v>133</v>
      </c>
      <c r="I2572">
        <v>19748</v>
      </c>
      <c r="J2572">
        <v>18767</v>
      </c>
    </row>
    <row r="2573" spans="1:10" x14ac:dyDescent="0.3">
      <c r="A2573" t="s">
        <v>2700</v>
      </c>
      <c r="B2573" s="1">
        <v>45712</v>
      </c>
      <c r="C2573" t="s">
        <v>82</v>
      </c>
      <c r="D2573">
        <v>9</v>
      </c>
      <c r="E2573" t="s">
        <v>12</v>
      </c>
      <c r="F2573" t="s">
        <v>62</v>
      </c>
      <c r="G2573" t="s">
        <v>35</v>
      </c>
      <c r="H2573" t="s">
        <v>48</v>
      </c>
      <c r="I2573">
        <v>24056</v>
      </c>
      <c r="J2573">
        <v>17860</v>
      </c>
    </row>
    <row r="2574" spans="1:10" x14ac:dyDescent="0.3">
      <c r="A2574" t="s">
        <v>2701</v>
      </c>
      <c r="B2574" s="1">
        <v>45748</v>
      </c>
      <c r="C2574" t="s">
        <v>86</v>
      </c>
      <c r="D2574">
        <v>14</v>
      </c>
      <c r="E2574" t="s">
        <v>39</v>
      </c>
      <c r="F2574" t="s">
        <v>78</v>
      </c>
      <c r="G2574" t="s">
        <v>88</v>
      </c>
      <c r="H2574" t="s">
        <v>15</v>
      </c>
      <c r="I2574">
        <v>31836</v>
      </c>
      <c r="J2574">
        <v>22329</v>
      </c>
    </row>
    <row r="2575" spans="1:10" x14ac:dyDescent="0.3">
      <c r="A2575" t="s">
        <v>2702</v>
      </c>
      <c r="B2575" s="1">
        <v>45729</v>
      </c>
      <c r="C2575" t="s">
        <v>95</v>
      </c>
      <c r="D2575">
        <v>11</v>
      </c>
      <c r="E2575" t="s">
        <v>12</v>
      </c>
      <c r="F2575" t="s">
        <v>87</v>
      </c>
      <c r="G2575" t="s">
        <v>51</v>
      </c>
      <c r="H2575" t="s">
        <v>84</v>
      </c>
      <c r="I2575">
        <v>20279</v>
      </c>
      <c r="J2575">
        <v>19537</v>
      </c>
    </row>
    <row r="2576" spans="1:10" x14ac:dyDescent="0.3">
      <c r="A2576" t="s">
        <v>2703</v>
      </c>
      <c r="B2576" s="1">
        <v>45863</v>
      </c>
      <c r="C2576" t="s">
        <v>11</v>
      </c>
      <c r="D2576">
        <v>30</v>
      </c>
      <c r="E2576" t="s">
        <v>39</v>
      </c>
      <c r="F2576" t="s">
        <v>114</v>
      </c>
      <c r="G2576" t="s">
        <v>20</v>
      </c>
      <c r="H2576" t="s">
        <v>52</v>
      </c>
      <c r="I2576">
        <v>16107</v>
      </c>
      <c r="J2576">
        <v>17003</v>
      </c>
    </row>
    <row r="2577" spans="1:10" x14ac:dyDescent="0.3">
      <c r="A2577" t="s">
        <v>2704</v>
      </c>
      <c r="B2577" s="1">
        <v>45746</v>
      </c>
      <c r="C2577" t="s">
        <v>95</v>
      </c>
      <c r="D2577">
        <v>13</v>
      </c>
      <c r="E2577" t="s">
        <v>33</v>
      </c>
      <c r="F2577" t="s">
        <v>109</v>
      </c>
      <c r="G2577" t="s">
        <v>137</v>
      </c>
      <c r="H2577" t="s">
        <v>64</v>
      </c>
      <c r="I2577">
        <v>22132</v>
      </c>
      <c r="J2577">
        <v>17038</v>
      </c>
    </row>
    <row r="2578" spans="1:10" x14ac:dyDescent="0.3">
      <c r="A2578" t="s">
        <v>2705</v>
      </c>
      <c r="B2578" s="1">
        <v>45852</v>
      </c>
      <c r="C2578" t="s">
        <v>11</v>
      </c>
      <c r="D2578">
        <v>29</v>
      </c>
      <c r="E2578" t="s">
        <v>33</v>
      </c>
      <c r="F2578" t="s">
        <v>34</v>
      </c>
      <c r="G2578" t="s">
        <v>135</v>
      </c>
      <c r="H2578" t="s">
        <v>36</v>
      </c>
      <c r="I2578">
        <v>23068</v>
      </c>
      <c r="J2578">
        <v>22148</v>
      </c>
    </row>
    <row r="2579" spans="1:10" x14ac:dyDescent="0.3">
      <c r="A2579" t="s">
        <v>2706</v>
      </c>
      <c r="B2579" s="1">
        <v>45759</v>
      </c>
      <c r="C2579" t="s">
        <v>86</v>
      </c>
      <c r="D2579">
        <v>15</v>
      </c>
      <c r="E2579" t="s">
        <v>12</v>
      </c>
      <c r="F2579" t="s">
        <v>140</v>
      </c>
      <c r="G2579" t="s">
        <v>240</v>
      </c>
      <c r="H2579" t="s">
        <v>15</v>
      </c>
      <c r="I2579">
        <v>34454</v>
      </c>
      <c r="J2579">
        <v>28021</v>
      </c>
    </row>
    <row r="2580" spans="1:10" x14ac:dyDescent="0.3">
      <c r="A2580" t="s">
        <v>2707</v>
      </c>
      <c r="B2580" s="1">
        <v>45659</v>
      </c>
      <c r="C2580" t="s">
        <v>17</v>
      </c>
      <c r="D2580">
        <v>1</v>
      </c>
      <c r="E2580" t="s">
        <v>18</v>
      </c>
      <c r="F2580" t="s">
        <v>109</v>
      </c>
      <c r="G2580" t="s">
        <v>266</v>
      </c>
      <c r="H2580" t="s">
        <v>52</v>
      </c>
      <c r="I2580">
        <v>24149</v>
      </c>
      <c r="J2580">
        <v>27331</v>
      </c>
    </row>
    <row r="2581" spans="1:10" x14ac:dyDescent="0.3">
      <c r="A2581" t="s">
        <v>2708</v>
      </c>
      <c r="B2581" s="1">
        <v>45782</v>
      </c>
      <c r="C2581" t="s">
        <v>90</v>
      </c>
      <c r="D2581">
        <v>19</v>
      </c>
      <c r="E2581" t="s">
        <v>18</v>
      </c>
      <c r="F2581" t="s">
        <v>87</v>
      </c>
      <c r="G2581" t="s">
        <v>93</v>
      </c>
      <c r="H2581" t="s">
        <v>165</v>
      </c>
      <c r="I2581">
        <v>27662</v>
      </c>
      <c r="J2581">
        <v>23910</v>
      </c>
    </row>
    <row r="2582" spans="1:10" x14ac:dyDescent="0.3">
      <c r="A2582" t="s">
        <v>2709</v>
      </c>
      <c r="B2582" s="1">
        <v>46012</v>
      </c>
      <c r="C2582" t="s">
        <v>100</v>
      </c>
      <c r="D2582">
        <v>51</v>
      </c>
      <c r="E2582" t="s">
        <v>12</v>
      </c>
      <c r="F2582" t="s">
        <v>50</v>
      </c>
      <c r="G2582" t="s">
        <v>110</v>
      </c>
      <c r="H2582" t="s">
        <v>31</v>
      </c>
      <c r="I2582">
        <v>38760</v>
      </c>
      <c r="J2582">
        <v>28468</v>
      </c>
    </row>
    <row r="2583" spans="1:10" x14ac:dyDescent="0.3">
      <c r="A2583" t="s">
        <v>2710</v>
      </c>
      <c r="B2583" s="1">
        <v>45788</v>
      </c>
      <c r="C2583" t="s">
        <v>90</v>
      </c>
      <c r="D2583">
        <v>19</v>
      </c>
      <c r="E2583" t="s">
        <v>70</v>
      </c>
      <c r="F2583" t="s">
        <v>109</v>
      </c>
      <c r="G2583" t="s">
        <v>230</v>
      </c>
      <c r="H2583" t="s">
        <v>211</v>
      </c>
      <c r="I2583">
        <v>29761</v>
      </c>
      <c r="J2583">
        <v>22576</v>
      </c>
    </row>
    <row r="2584" spans="1:10" x14ac:dyDescent="0.3">
      <c r="A2584" t="s">
        <v>2711</v>
      </c>
      <c r="B2584" s="1">
        <v>45856</v>
      </c>
      <c r="C2584" t="s">
        <v>11</v>
      </c>
      <c r="D2584">
        <v>29</v>
      </c>
      <c r="E2584" t="s">
        <v>70</v>
      </c>
      <c r="F2584" t="s">
        <v>92</v>
      </c>
      <c r="G2584" t="s">
        <v>141</v>
      </c>
      <c r="H2584" t="s">
        <v>68</v>
      </c>
      <c r="I2584">
        <v>19639</v>
      </c>
      <c r="J2584">
        <v>20968</v>
      </c>
    </row>
    <row r="2585" spans="1:10" x14ac:dyDescent="0.3">
      <c r="A2585" t="s">
        <v>2712</v>
      </c>
      <c r="B2585" s="1">
        <v>45789</v>
      </c>
      <c r="C2585" t="s">
        <v>90</v>
      </c>
      <c r="D2585">
        <v>20</v>
      </c>
      <c r="E2585" t="s">
        <v>18</v>
      </c>
      <c r="F2585" t="s">
        <v>62</v>
      </c>
      <c r="G2585" t="s">
        <v>26</v>
      </c>
      <c r="H2585" t="s">
        <v>119</v>
      </c>
      <c r="I2585">
        <v>17208</v>
      </c>
      <c r="J2585">
        <v>22008</v>
      </c>
    </row>
    <row r="2586" spans="1:10" x14ac:dyDescent="0.3">
      <c r="A2586" t="s">
        <v>2713</v>
      </c>
      <c r="B2586" s="1">
        <v>45864</v>
      </c>
      <c r="C2586" t="s">
        <v>11</v>
      </c>
      <c r="D2586">
        <v>30</v>
      </c>
      <c r="E2586" t="s">
        <v>61</v>
      </c>
      <c r="F2586" t="s">
        <v>114</v>
      </c>
      <c r="G2586" t="s">
        <v>234</v>
      </c>
      <c r="H2586" t="s">
        <v>80</v>
      </c>
      <c r="I2586">
        <v>16899</v>
      </c>
      <c r="J2586">
        <v>21308</v>
      </c>
    </row>
    <row r="2587" spans="1:10" x14ac:dyDescent="0.3">
      <c r="A2587" t="s">
        <v>2714</v>
      </c>
      <c r="B2587" s="1">
        <v>45717</v>
      </c>
      <c r="C2587" t="s">
        <v>95</v>
      </c>
      <c r="D2587">
        <v>9</v>
      </c>
      <c r="E2587" t="s">
        <v>33</v>
      </c>
      <c r="F2587" t="s">
        <v>13</v>
      </c>
      <c r="G2587" t="s">
        <v>44</v>
      </c>
      <c r="H2587" t="s">
        <v>188</v>
      </c>
      <c r="I2587">
        <v>37145</v>
      </c>
      <c r="J2587">
        <v>29534</v>
      </c>
    </row>
    <row r="2588" spans="1:10" x14ac:dyDescent="0.3">
      <c r="A2588" t="s">
        <v>2715</v>
      </c>
      <c r="B2588" s="1">
        <v>45929</v>
      </c>
      <c r="C2588" t="s">
        <v>38</v>
      </c>
      <c r="D2588">
        <v>40</v>
      </c>
      <c r="E2588" t="s">
        <v>12</v>
      </c>
      <c r="F2588" t="s">
        <v>140</v>
      </c>
      <c r="G2588" t="s">
        <v>51</v>
      </c>
      <c r="H2588" t="s">
        <v>96</v>
      </c>
      <c r="I2588">
        <v>18750</v>
      </c>
      <c r="J2588">
        <v>20003</v>
      </c>
    </row>
    <row r="2589" spans="1:10" x14ac:dyDescent="0.3">
      <c r="A2589" t="s">
        <v>2716</v>
      </c>
      <c r="B2589" s="1">
        <v>45945</v>
      </c>
      <c r="C2589" t="s">
        <v>66</v>
      </c>
      <c r="D2589">
        <v>42</v>
      </c>
      <c r="E2589" t="s">
        <v>12</v>
      </c>
      <c r="F2589" t="s">
        <v>92</v>
      </c>
      <c r="G2589" t="s">
        <v>137</v>
      </c>
      <c r="H2589" t="s">
        <v>21</v>
      </c>
      <c r="I2589">
        <v>25894</v>
      </c>
      <c r="J2589">
        <v>23183</v>
      </c>
    </row>
    <row r="2590" spans="1:10" x14ac:dyDescent="0.3">
      <c r="A2590" t="s">
        <v>2717</v>
      </c>
      <c r="B2590" s="1">
        <v>45890</v>
      </c>
      <c r="C2590" t="s">
        <v>113</v>
      </c>
      <c r="D2590">
        <v>34</v>
      </c>
      <c r="E2590" t="s">
        <v>33</v>
      </c>
      <c r="F2590" t="s">
        <v>13</v>
      </c>
      <c r="G2590" t="s">
        <v>326</v>
      </c>
      <c r="H2590" t="s">
        <v>165</v>
      </c>
      <c r="I2590">
        <v>37809</v>
      </c>
      <c r="J2590">
        <v>45931</v>
      </c>
    </row>
    <row r="2591" spans="1:10" x14ac:dyDescent="0.3">
      <c r="A2591" t="s">
        <v>2718</v>
      </c>
      <c r="B2591" s="1">
        <v>46002</v>
      </c>
      <c r="C2591" t="s">
        <v>100</v>
      </c>
      <c r="D2591">
        <v>50</v>
      </c>
      <c r="E2591" t="s">
        <v>33</v>
      </c>
      <c r="F2591" t="s">
        <v>46</v>
      </c>
      <c r="G2591" t="s">
        <v>79</v>
      </c>
      <c r="H2591" t="s">
        <v>68</v>
      </c>
      <c r="I2591">
        <v>27641</v>
      </c>
      <c r="J2591">
        <v>29678</v>
      </c>
    </row>
    <row r="2592" spans="1:10" x14ac:dyDescent="0.3">
      <c r="A2592" t="s">
        <v>2719</v>
      </c>
      <c r="B2592" s="1">
        <v>46018</v>
      </c>
      <c r="C2592" t="s">
        <v>100</v>
      </c>
      <c r="D2592">
        <v>52</v>
      </c>
      <c r="E2592" t="s">
        <v>39</v>
      </c>
      <c r="F2592" t="s">
        <v>62</v>
      </c>
      <c r="G2592" t="s">
        <v>93</v>
      </c>
      <c r="H2592" t="s">
        <v>133</v>
      </c>
      <c r="I2592">
        <v>26177</v>
      </c>
      <c r="J2592">
        <v>18980</v>
      </c>
    </row>
    <row r="2593" spans="1:10" x14ac:dyDescent="0.3">
      <c r="A2593" t="s">
        <v>2720</v>
      </c>
      <c r="B2593" s="1">
        <v>45752</v>
      </c>
      <c r="C2593" t="s">
        <v>86</v>
      </c>
      <c r="D2593">
        <v>14</v>
      </c>
      <c r="E2593" t="s">
        <v>61</v>
      </c>
      <c r="F2593" t="s">
        <v>109</v>
      </c>
      <c r="G2593" t="s">
        <v>79</v>
      </c>
      <c r="H2593" t="s">
        <v>68</v>
      </c>
      <c r="I2593">
        <v>20561</v>
      </c>
      <c r="J2593">
        <v>23506</v>
      </c>
    </row>
    <row r="2594" spans="1:10" x14ac:dyDescent="0.3">
      <c r="A2594" t="s">
        <v>2721</v>
      </c>
      <c r="B2594" s="1">
        <v>45685</v>
      </c>
      <c r="C2594" t="s">
        <v>17</v>
      </c>
      <c r="D2594">
        <v>5</v>
      </c>
      <c r="E2594" t="s">
        <v>24</v>
      </c>
      <c r="F2594" t="s">
        <v>92</v>
      </c>
      <c r="G2594" t="s">
        <v>58</v>
      </c>
      <c r="H2594" t="s">
        <v>98</v>
      </c>
      <c r="I2594">
        <v>32362</v>
      </c>
      <c r="J2594">
        <v>27319</v>
      </c>
    </row>
    <row r="2595" spans="1:10" x14ac:dyDescent="0.3">
      <c r="A2595" t="s">
        <v>2722</v>
      </c>
      <c r="B2595" s="1">
        <v>45778</v>
      </c>
      <c r="C2595" t="s">
        <v>90</v>
      </c>
      <c r="D2595">
        <v>18</v>
      </c>
      <c r="E2595" t="s">
        <v>33</v>
      </c>
      <c r="F2595" t="s">
        <v>101</v>
      </c>
      <c r="G2595" t="s">
        <v>182</v>
      </c>
      <c r="H2595" t="s">
        <v>31</v>
      </c>
      <c r="I2595">
        <v>31747</v>
      </c>
      <c r="J2595">
        <v>38501</v>
      </c>
    </row>
    <row r="2596" spans="1:10" x14ac:dyDescent="0.3">
      <c r="A2596" t="s">
        <v>2723</v>
      </c>
      <c r="B2596" s="1">
        <v>45679</v>
      </c>
      <c r="C2596" t="s">
        <v>17</v>
      </c>
      <c r="D2596">
        <v>4</v>
      </c>
      <c r="E2596" t="s">
        <v>70</v>
      </c>
      <c r="F2596" t="s">
        <v>29</v>
      </c>
      <c r="G2596" t="s">
        <v>201</v>
      </c>
      <c r="H2596" t="s">
        <v>41</v>
      </c>
      <c r="I2596">
        <v>16799</v>
      </c>
      <c r="J2596">
        <v>16699</v>
      </c>
    </row>
    <row r="2597" spans="1:10" x14ac:dyDescent="0.3">
      <c r="A2597" t="s">
        <v>2724</v>
      </c>
      <c r="B2597" s="1">
        <v>45952</v>
      </c>
      <c r="C2597" t="s">
        <v>66</v>
      </c>
      <c r="D2597">
        <v>43</v>
      </c>
      <c r="E2597" t="s">
        <v>33</v>
      </c>
      <c r="F2597" t="s">
        <v>46</v>
      </c>
      <c r="G2597" t="s">
        <v>324</v>
      </c>
      <c r="H2597" t="s">
        <v>243</v>
      </c>
      <c r="I2597">
        <v>32510</v>
      </c>
      <c r="J2597">
        <v>32096</v>
      </c>
    </row>
    <row r="2598" spans="1:10" x14ac:dyDescent="0.3">
      <c r="A2598" t="s">
        <v>2725</v>
      </c>
      <c r="B2598" s="1">
        <v>45993</v>
      </c>
      <c r="C2598" t="s">
        <v>100</v>
      </c>
      <c r="D2598">
        <v>49</v>
      </c>
      <c r="E2598" t="s">
        <v>12</v>
      </c>
      <c r="F2598" t="s">
        <v>87</v>
      </c>
      <c r="G2598" t="s">
        <v>126</v>
      </c>
      <c r="H2598" t="s">
        <v>157</v>
      </c>
      <c r="I2598">
        <v>22310</v>
      </c>
      <c r="J2598">
        <v>19123</v>
      </c>
    </row>
    <row r="2599" spans="1:10" x14ac:dyDescent="0.3">
      <c r="A2599" t="s">
        <v>2726</v>
      </c>
      <c r="B2599" s="1">
        <v>45838</v>
      </c>
      <c r="C2599" t="s">
        <v>74</v>
      </c>
      <c r="D2599">
        <v>27</v>
      </c>
      <c r="E2599" t="s">
        <v>70</v>
      </c>
      <c r="F2599" t="s">
        <v>92</v>
      </c>
      <c r="G2599" t="s">
        <v>206</v>
      </c>
      <c r="H2599" t="s">
        <v>103</v>
      </c>
      <c r="I2599">
        <v>28923</v>
      </c>
      <c r="J2599">
        <v>25454</v>
      </c>
    </row>
    <row r="2600" spans="1:10" x14ac:dyDescent="0.3">
      <c r="A2600" t="s">
        <v>2727</v>
      </c>
      <c r="B2600" s="1">
        <v>45812</v>
      </c>
      <c r="C2600" t="s">
        <v>74</v>
      </c>
      <c r="D2600">
        <v>23</v>
      </c>
      <c r="E2600" t="s">
        <v>61</v>
      </c>
      <c r="F2600" t="s">
        <v>29</v>
      </c>
      <c r="G2600" t="s">
        <v>291</v>
      </c>
      <c r="H2600" t="s">
        <v>98</v>
      </c>
      <c r="I2600">
        <v>33428</v>
      </c>
      <c r="J2600">
        <v>24401</v>
      </c>
    </row>
    <row r="2601" spans="1:10" x14ac:dyDescent="0.3">
      <c r="A2601" t="s">
        <v>2728</v>
      </c>
      <c r="B2601" s="1">
        <v>45877</v>
      </c>
      <c r="C2601" t="s">
        <v>113</v>
      </c>
      <c r="D2601">
        <v>32</v>
      </c>
      <c r="E2601" t="s">
        <v>61</v>
      </c>
      <c r="F2601" t="s">
        <v>193</v>
      </c>
      <c r="G2601" t="s">
        <v>135</v>
      </c>
      <c r="H2601" t="s">
        <v>21</v>
      </c>
      <c r="I2601">
        <v>22193</v>
      </c>
      <c r="J2601">
        <v>17133</v>
      </c>
    </row>
    <row r="2602" spans="1:10" x14ac:dyDescent="0.3">
      <c r="A2602" t="s">
        <v>2729</v>
      </c>
      <c r="B2602" s="1">
        <v>45962</v>
      </c>
      <c r="C2602" t="s">
        <v>23</v>
      </c>
      <c r="D2602">
        <v>44</v>
      </c>
      <c r="E2602" t="s">
        <v>18</v>
      </c>
      <c r="F2602" t="s">
        <v>193</v>
      </c>
      <c r="G2602" t="s">
        <v>110</v>
      </c>
      <c r="H2602" t="s">
        <v>151</v>
      </c>
      <c r="I2602">
        <v>32821</v>
      </c>
      <c r="J2602">
        <v>30227</v>
      </c>
    </row>
    <row r="2603" spans="1:10" x14ac:dyDescent="0.3">
      <c r="A2603" t="s">
        <v>2730</v>
      </c>
      <c r="B2603" s="1">
        <v>45762</v>
      </c>
      <c r="C2603" t="s">
        <v>86</v>
      </c>
      <c r="D2603">
        <v>16</v>
      </c>
      <c r="E2603" t="s">
        <v>39</v>
      </c>
      <c r="F2603" t="s">
        <v>140</v>
      </c>
      <c r="G2603" t="s">
        <v>63</v>
      </c>
      <c r="H2603" t="s">
        <v>84</v>
      </c>
      <c r="I2603">
        <v>22677</v>
      </c>
      <c r="J2603">
        <v>26741</v>
      </c>
    </row>
    <row r="2604" spans="1:10" x14ac:dyDescent="0.3">
      <c r="A2604" t="s">
        <v>2731</v>
      </c>
      <c r="B2604" s="1">
        <v>45829</v>
      </c>
      <c r="C2604" t="s">
        <v>74</v>
      </c>
      <c r="D2604">
        <v>25</v>
      </c>
      <c r="E2604" t="s">
        <v>12</v>
      </c>
      <c r="F2604" t="s">
        <v>78</v>
      </c>
      <c r="G2604" t="s">
        <v>253</v>
      </c>
      <c r="H2604" t="s">
        <v>96</v>
      </c>
      <c r="I2604">
        <v>18850</v>
      </c>
      <c r="J2604">
        <v>16236</v>
      </c>
    </row>
    <row r="2605" spans="1:10" x14ac:dyDescent="0.3">
      <c r="A2605" t="s">
        <v>2732</v>
      </c>
      <c r="B2605" s="1">
        <v>46015</v>
      </c>
      <c r="C2605" t="s">
        <v>100</v>
      </c>
      <c r="D2605">
        <v>52</v>
      </c>
      <c r="E2605" t="s">
        <v>24</v>
      </c>
      <c r="F2605" t="s">
        <v>25</v>
      </c>
      <c r="G2605" t="s">
        <v>79</v>
      </c>
      <c r="H2605" t="s">
        <v>96</v>
      </c>
      <c r="I2605">
        <v>20569</v>
      </c>
      <c r="J2605">
        <v>25187</v>
      </c>
    </row>
    <row r="2606" spans="1:10" x14ac:dyDescent="0.3">
      <c r="A2606" t="s">
        <v>2733</v>
      </c>
      <c r="B2606" s="1">
        <v>45978</v>
      </c>
      <c r="C2606" t="s">
        <v>23</v>
      </c>
      <c r="D2606">
        <v>47</v>
      </c>
      <c r="E2606" t="s">
        <v>39</v>
      </c>
      <c r="F2606" t="s">
        <v>140</v>
      </c>
      <c r="G2606" t="s">
        <v>137</v>
      </c>
      <c r="H2606" t="s">
        <v>52</v>
      </c>
      <c r="I2606">
        <v>36804</v>
      </c>
      <c r="J2606">
        <v>40321</v>
      </c>
    </row>
    <row r="2607" spans="1:10" x14ac:dyDescent="0.3">
      <c r="A2607" t="s">
        <v>2734</v>
      </c>
      <c r="B2607" s="1">
        <v>45940</v>
      </c>
      <c r="C2607" t="s">
        <v>66</v>
      </c>
      <c r="D2607">
        <v>41</v>
      </c>
      <c r="E2607" t="s">
        <v>33</v>
      </c>
      <c r="F2607" t="s">
        <v>193</v>
      </c>
      <c r="G2607" t="s">
        <v>130</v>
      </c>
      <c r="H2607" t="s">
        <v>165</v>
      </c>
      <c r="I2607">
        <v>15414</v>
      </c>
      <c r="J2607">
        <v>19478</v>
      </c>
    </row>
    <row r="2608" spans="1:10" x14ac:dyDescent="0.3">
      <c r="A2608" t="s">
        <v>2735</v>
      </c>
      <c r="B2608" s="1">
        <v>45759</v>
      </c>
      <c r="C2608" t="s">
        <v>86</v>
      </c>
      <c r="D2608">
        <v>15</v>
      </c>
      <c r="E2608" t="s">
        <v>70</v>
      </c>
      <c r="F2608" t="s">
        <v>29</v>
      </c>
      <c r="G2608" t="s">
        <v>54</v>
      </c>
      <c r="H2608" t="s">
        <v>188</v>
      </c>
      <c r="I2608">
        <v>18690</v>
      </c>
      <c r="J2608">
        <v>20173</v>
      </c>
    </row>
    <row r="2609" spans="1:10" x14ac:dyDescent="0.3">
      <c r="A2609" t="s">
        <v>2736</v>
      </c>
      <c r="B2609" s="1">
        <v>45997</v>
      </c>
      <c r="C2609" t="s">
        <v>100</v>
      </c>
      <c r="D2609">
        <v>49</v>
      </c>
      <c r="E2609" t="s">
        <v>33</v>
      </c>
      <c r="F2609" t="s">
        <v>75</v>
      </c>
      <c r="G2609" t="s">
        <v>47</v>
      </c>
      <c r="H2609" t="s">
        <v>211</v>
      </c>
      <c r="I2609">
        <v>19833</v>
      </c>
      <c r="J2609">
        <v>23922</v>
      </c>
    </row>
    <row r="2610" spans="1:10" x14ac:dyDescent="0.3">
      <c r="A2610" t="s">
        <v>2737</v>
      </c>
      <c r="B2610" s="1">
        <v>45784</v>
      </c>
      <c r="C2610" t="s">
        <v>90</v>
      </c>
      <c r="D2610">
        <v>19</v>
      </c>
      <c r="E2610" t="s">
        <v>39</v>
      </c>
      <c r="F2610" t="s">
        <v>57</v>
      </c>
      <c r="G2610" t="s">
        <v>206</v>
      </c>
      <c r="H2610" t="s">
        <v>98</v>
      </c>
      <c r="I2610">
        <v>35716</v>
      </c>
      <c r="J2610">
        <v>45663</v>
      </c>
    </row>
    <row r="2611" spans="1:10" x14ac:dyDescent="0.3">
      <c r="A2611" t="s">
        <v>2738</v>
      </c>
      <c r="B2611" s="1">
        <v>45698</v>
      </c>
      <c r="C2611" t="s">
        <v>82</v>
      </c>
      <c r="D2611">
        <v>7</v>
      </c>
      <c r="E2611" t="s">
        <v>61</v>
      </c>
      <c r="F2611" t="s">
        <v>101</v>
      </c>
      <c r="G2611" t="s">
        <v>324</v>
      </c>
      <c r="H2611" t="s">
        <v>41</v>
      </c>
      <c r="I2611">
        <v>38051</v>
      </c>
      <c r="J2611">
        <v>31064</v>
      </c>
    </row>
    <row r="2612" spans="1:10" x14ac:dyDescent="0.3">
      <c r="A2612" t="s">
        <v>2739</v>
      </c>
      <c r="B2612" s="1">
        <v>45947</v>
      </c>
      <c r="C2612" t="s">
        <v>66</v>
      </c>
      <c r="D2612">
        <v>42</v>
      </c>
      <c r="E2612" t="s">
        <v>24</v>
      </c>
      <c r="F2612" t="s">
        <v>13</v>
      </c>
      <c r="G2612" t="s">
        <v>240</v>
      </c>
      <c r="H2612" t="s">
        <v>36</v>
      </c>
      <c r="I2612">
        <v>18021</v>
      </c>
      <c r="J2612">
        <v>14541</v>
      </c>
    </row>
    <row r="2613" spans="1:10" x14ac:dyDescent="0.3">
      <c r="A2613" t="s">
        <v>2740</v>
      </c>
      <c r="B2613" s="1">
        <v>45869</v>
      </c>
      <c r="C2613" t="s">
        <v>11</v>
      </c>
      <c r="D2613">
        <v>31</v>
      </c>
      <c r="E2613" t="s">
        <v>12</v>
      </c>
      <c r="F2613" t="s">
        <v>34</v>
      </c>
      <c r="G2613" t="s">
        <v>234</v>
      </c>
      <c r="H2613" t="s">
        <v>119</v>
      </c>
      <c r="I2613">
        <v>19428</v>
      </c>
      <c r="J2613">
        <v>15379</v>
      </c>
    </row>
    <row r="2614" spans="1:10" x14ac:dyDescent="0.3">
      <c r="A2614" t="s">
        <v>2741</v>
      </c>
      <c r="B2614" s="1">
        <v>46004</v>
      </c>
      <c r="C2614" t="s">
        <v>100</v>
      </c>
      <c r="D2614">
        <v>50</v>
      </c>
      <c r="E2614" t="s">
        <v>61</v>
      </c>
      <c r="F2614" t="s">
        <v>87</v>
      </c>
      <c r="G2614" t="s">
        <v>102</v>
      </c>
      <c r="H2614" t="s">
        <v>36</v>
      </c>
      <c r="I2614">
        <v>24643</v>
      </c>
      <c r="J2614">
        <v>31087</v>
      </c>
    </row>
    <row r="2615" spans="1:10" x14ac:dyDescent="0.3">
      <c r="A2615" t="s">
        <v>2742</v>
      </c>
      <c r="B2615" s="1">
        <v>45946</v>
      </c>
      <c r="C2615" t="s">
        <v>66</v>
      </c>
      <c r="D2615">
        <v>42</v>
      </c>
      <c r="E2615" t="s">
        <v>39</v>
      </c>
      <c r="F2615" t="s">
        <v>43</v>
      </c>
      <c r="G2615" t="s">
        <v>26</v>
      </c>
      <c r="H2615" t="s">
        <v>48</v>
      </c>
      <c r="I2615">
        <v>28770</v>
      </c>
      <c r="J2615">
        <v>29068</v>
      </c>
    </row>
    <row r="2616" spans="1:10" x14ac:dyDescent="0.3">
      <c r="A2616" t="s">
        <v>2743</v>
      </c>
      <c r="B2616" s="1">
        <v>45908</v>
      </c>
      <c r="C2616" t="s">
        <v>38</v>
      </c>
      <c r="D2616">
        <v>37</v>
      </c>
      <c r="E2616" t="s">
        <v>12</v>
      </c>
      <c r="F2616" t="s">
        <v>114</v>
      </c>
      <c r="G2616" t="s">
        <v>35</v>
      </c>
      <c r="H2616" t="s">
        <v>155</v>
      </c>
      <c r="I2616">
        <v>18299</v>
      </c>
      <c r="J2616">
        <v>17964</v>
      </c>
    </row>
    <row r="2617" spans="1:10" x14ac:dyDescent="0.3">
      <c r="A2617" t="s">
        <v>2744</v>
      </c>
      <c r="B2617" s="1">
        <v>45839</v>
      </c>
      <c r="C2617" t="s">
        <v>11</v>
      </c>
      <c r="D2617">
        <v>27</v>
      </c>
      <c r="E2617" t="s">
        <v>39</v>
      </c>
      <c r="F2617" t="s">
        <v>122</v>
      </c>
      <c r="G2617" t="s">
        <v>26</v>
      </c>
      <c r="H2617" t="s">
        <v>103</v>
      </c>
      <c r="I2617">
        <v>22144</v>
      </c>
      <c r="J2617">
        <v>15626</v>
      </c>
    </row>
    <row r="2618" spans="1:10" x14ac:dyDescent="0.3">
      <c r="A2618" t="s">
        <v>2745</v>
      </c>
      <c r="B2618" s="1">
        <v>45667</v>
      </c>
      <c r="C2618" t="s">
        <v>17</v>
      </c>
      <c r="D2618">
        <v>2</v>
      </c>
      <c r="E2618" t="s">
        <v>18</v>
      </c>
      <c r="F2618" t="s">
        <v>34</v>
      </c>
      <c r="G2618" t="s">
        <v>102</v>
      </c>
      <c r="H2618" t="s">
        <v>155</v>
      </c>
      <c r="I2618">
        <v>34841</v>
      </c>
      <c r="J2618">
        <v>31847</v>
      </c>
    </row>
    <row r="2619" spans="1:10" x14ac:dyDescent="0.3">
      <c r="A2619" t="s">
        <v>2746</v>
      </c>
      <c r="B2619" s="1">
        <v>45846</v>
      </c>
      <c r="C2619" t="s">
        <v>11</v>
      </c>
      <c r="D2619">
        <v>28</v>
      </c>
      <c r="E2619" t="s">
        <v>70</v>
      </c>
      <c r="F2619" t="s">
        <v>140</v>
      </c>
      <c r="G2619" t="s">
        <v>199</v>
      </c>
      <c r="H2619" t="s">
        <v>119</v>
      </c>
      <c r="I2619">
        <v>32892</v>
      </c>
      <c r="J2619">
        <v>41339</v>
      </c>
    </row>
    <row r="2620" spans="1:10" x14ac:dyDescent="0.3">
      <c r="A2620" t="s">
        <v>2747</v>
      </c>
      <c r="B2620" s="1">
        <v>45940</v>
      </c>
      <c r="C2620" t="s">
        <v>66</v>
      </c>
      <c r="D2620">
        <v>41</v>
      </c>
      <c r="E2620" t="s">
        <v>33</v>
      </c>
      <c r="F2620" t="s">
        <v>34</v>
      </c>
      <c r="G2620" t="s">
        <v>160</v>
      </c>
      <c r="H2620" t="s">
        <v>98</v>
      </c>
      <c r="I2620">
        <v>22011</v>
      </c>
      <c r="J2620">
        <v>24132</v>
      </c>
    </row>
    <row r="2621" spans="1:10" x14ac:dyDescent="0.3">
      <c r="A2621" t="s">
        <v>2748</v>
      </c>
      <c r="B2621" s="1">
        <v>45931</v>
      </c>
      <c r="C2621" t="s">
        <v>66</v>
      </c>
      <c r="D2621">
        <v>40</v>
      </c>
      <c r="E2621" t="s">
        <v>70</v>
      </c>
      <c r="F2621" t="s">
        <v>78</v>
      </c>
      <c r="G2621" t="s">
        <v>201</v>
      </c>
      <c r="H2621" t="s">
        <v>80</v>
      </c>
      <c r="I2621">
        <v>38562</v>
      </c>
      <c r="J2621">
        <v>29244</v>
      </c>
    </row>
    <row r="2622" spans="1:10" x14ac:dyDescent="0.3">
      <c r="A2622" t="s">
        <v>2749</v>
      </c>
      <c r="B2622" s="1">
        <v>45937</v>
      </c>
      <c r="C2622" t="s">
        <v>66</v>
      </c>
      <c r="D2622">
        <v>41</v>
      </c>
      <c r="E2622" t="s">
        <v>33</v>
      </c>
      <c r="F2622" t="s">
        <v>13</v>
      </c>
      <c r="G2622" t="s">
        <v>147</v>
      </c>
      <c r="H2622" t="s">
        <v>36</v>
      </c>
      <c r="I2622">
        <v>19412</v>
      </c>
      <c r="J2622">
        <v>17133</v>
      </c>
    </row>
    <row r="2623" spans="1:10" x14ac:dyDescent="0.3">
      <c r="A2623" t="s">
        <v>2750</v>
      </c>
      <c r="B2623" s="1">
        <v>45851</v>
      </c>
      <c r="C2623" t="s">
        <v>11</v>
      </c>
      <c r="D2623">
        <v>28</v>
      </c>
      <c r="E2623" t="s">
        <v>18</v>
      </c>
      <c r="F2623" t="s">
        <v>78</v>
      </c>
      <c r="G2623" t="s">
        <v>40</v>
      </c>
      <c r="H2623" t="s">
        <v>41</v>
      </c>
      <c r="I2623">
        <v>35983</v>
      </c>
      <c r="J2623">
        <v>44391</v>
      </c>
    </row>
    <row r="2624" spans="1:10" x14ac:dyDescent="0.3">
      <c r="A2624" t="s">
        <v>2751</v>
      </c>
      <c r="B2624" s="1">
        <v>45820</v>
      </c>
      <c r="C2624" t="s">
        <v>74</v>
      </c>
      <c r="D2624">
        <v>24</v>
      </c>
      <c r="E2624" t="s">
        <v>24</v>
      </c>
      <c r="F2624" t="s">
        <v>57</v>
      </c>
      <c r="G2624" t="s">
        <v>63</v>
      </c>
      <c r="H2624" t="s">
        <v>119</v>
      </c>
      <c r="I2624">
        <v>27393</v>
      </c>
      <c r="J2624">
        <v>20878</v>
      </c>
    </row>
    <row r="2625" spans="1:10" x14ac:dyDescent="0.3">
      <c r="A2625" t="s">
        <v>2752</v>
      </c>
      <c r="B2625" s="1">
        <v>45853</v>
      </c>
      <c r="C2625" t="s">
        <v>11</v>
      </c>
      <c r="D2625">
        <v>29</v>
      </c>
      <c r="E2625" t="s">
        <v>24</v>
      </c>
      <c r="F2625" t="s">
        <v>101</v>
      </c>
      <c r="G2625" t="s">
        <v>118</v>
      </c>
      <c r="H2625" t="s">
        <v>188</v>
      </c>
      <c r="I2625">
        <v>34629</v>
      </c>
      <c r="J2625">
        <v>32513</v>
      </c>
    </row>
    <row r="2626" spans="1:10" x14ac:dyDescent="0.3">
      <c r="A2626" t="s">
        <v>2753</v>
      </c>
      <c r="B2626" s="1">
        <v>45990</v>
      </c>
      <c r="C2626" t="s">
        <v>23</v>
      </c>
      <c r="D2626">
        <v>48</v>
      </c>
      <c r="E2626" t="s">
        <v>33</v>
      </c>
      <c r="F2626" t="s">
        <v>50</v>
      </c>
      <c r="G2626" t="s">
        <v>291</v>
      </c>
      <c r="H2626" t="s">
        <v>103</v>
      </c>
      <c r="I2626">
        <v>17639</v>
      </c>
      <c r="J2626">
        <v>21875</v>
      </c>
    </row>
    <row r="2627" spans="1:10" x14ac:dyDescent="0.3">
      <c r="A2627" t="s">
        <v>2754</v>
      </c>
      <c r="B2627" s="1">
        <v>45829</v>
      </c>
      <c r="C2627" t="s">
        <v>74</v>
      </c>
      <c r="D2627">
        <v>25</v>
      </c>
      <c r="E2627" t="s">
        <v>39</v>
      </c>
      <c r="F2627" t="s">
        <v>78</v>
      </c>
      <c r="G2627" t="s">
        <v>30</v>
      </c>
      <c r="H2627" t="s">
        <v>123</v>
      </c>
      <c r="I2627">
        <v>31997</v>
      </c>
      <c r="J2627">
        <v>41138</v>
      </c>
    </row>
    <row r="2628" spans="1:10" x14ac:dyDescent="0.3">
      <c r="A2628" t="s">
        <v>2755</v>
      </c>
      <c r="B2628" s="1">
        <v>45720</v>
      </c>
      <c r="C2628" t="s">
        <v>95</v>
      </c>
      <c r="D2628">
        <v>10</v>
      </c>
      <c r="E2628" t="s">
        <v>24</v>
      </c>
      <c r="F2628" t="s">
        <v>13</v>
      </c>
      <c r="G2628" t="s">
        <v>44</v>
      </c>
      <c r="H2628" t="s">
        <v>111</v>
      </c>
      <c r="I2628">
        <v>30345</v>
      </c>
      <c r="J2628">
        <v>36191</v>
      </c>
    </row>
    <row r="2629" spans="1:10" x14ac:dyDescent="0.3">
      <c r="A2629" t="s">
        <v>2756</v>
      </c>
      <c r="B2629" s="1">
        <v>45989</v>
      </c>
      <c r="C2629" t="s">
        <v>23</v>
      </c>
      <c r="D2629">
        <v>48</v>
      </c>
      <c r="E2629" t="s">
        <v>70</v>
      </c>
      <c r="F2629" t="s">
        <v>19</v>
      </c>
      <c r="G2629" t="s">
        <v>132</v>
      </c>
      <c r="H2629" t="s">
        <v>52</v>
      </c>
      <c r="I2629">
        <v>34968</v>
      </c>
      <c r="J2629">
        <v>45038</v>
      </c>
    </row>
    <row r="2630" spans="1:10" x14ac:dyDescent="0.3">
      <c r="A2630" t="s">
        <v>2757</v>
      </c>
      <c r="B2630" s="1">
        <v>45824</v>
      </c>
      <c r="C2630" t="s">
        <v>74</v>
      </c>
      <c r="D2630">
        <v>25</v>
      </c>
      <c r="E2630" t="s">
        <v>18</v>
      </c>
      <c r="F2630" t="s">
        <v>122</v>
      </c>
      <c r="G2630" t="s">
        <v>115</v>
      </c>
      <c r="H2630" t="s">
        <v>52</v>
      </c>
      <c r="I2630">
        <v>17250</v>
      </c>
      <c r="J2630">
        <v>14024</v>
      </c>
    </row>
    <row r="2631" spans="1:10" x14ac:dyDescent="0.3">
      <c r="A2631" t="s">
        <v>2758</v>
      </c>
      <c r="B2631" s="1">
        <v>45866</v>
      </c>
      <c r="C2631" t="s">
        <v>11</v>
      </c>
      <c r="D2631">
        <v>31</v>
      </c>
      <c r="E2631" t="s">
        <v>24</v>
      </c>
      <c r="F2631" t="s">
        <v>109</v>
      </c>
      <c r="G2631" t="s">
        <v>240</v>
      </c>
      <c r="H2631" t="s">
        <v>151</v>
      </c>
      <c r="I2631">
        <v>19400</v>
      </c>
      <c r="J2631">
        <v>19954</v>
      </c>
    </row>
    <row r="2632" spans="1:10" x14ac:dyDescent="0.3">
      <c r="A2632" t="s">
        <v>2759</v>
      </c>
      <c r="B2632" s="1">
        <v>45969</v>
      </c>
      <c r="C2632" t="s">
        <v>23</v>
      </c>
      <c r="D2632">
        <v>45</v>
      </c>
      <c r="E2632" t="s">
        <v>61</v>
      </c>
      <c r="F2632" t="s">
        <v>25</v>
      </c>
      <c r="G2632" t="s">
        <v>110</v>
      </c>
      <c r="H2632" t="s">
        <v>155</v>
      </c>
      <c r="I2632">
        <v>33899</v>
      </c>
      <c r="J2632">
        <v>24971</v>
      </c>
    </row>
    <row r="2633" spans="1:10" x14ac:dyDescent="0.3">
      <c r="A2633" t="s">
        <v>2760</v>
      </c>
      <c r="B2633" s="1">
        <v>45816</v>
      </c>
      <c r="C2633" t="s">
        <v>74</v>
      </c>
      <c r="D2633">
        <v>23</v>
      </c>
      <c r="E2633" t="s">
        <v>24</v>
      </c>
      <c r="F2633" t="s">
        <v>62</v>
      </c>
      <c r="G2633" t="s">
        <v>30</v>
      </c>
      <c r="H2633" t="s">
        <v>243</v>
      </c>
      <c r="I2633">
        <v>38790</v>
      </c>
      <c r="J2633">
        <v>30524</v>
      </c>
    </row>
    <row r="2634" spans="1:10" x14ac:dyDescent="0.3">
      <c r="A2634" t="s">
        <v>2761</v>
      </c>
      <c r="B2634" s="1">
        <v>46002</v>
      </c>
      <c r="C2634" t="s">
        <v>100</v>
      </c>
      <c r="D2634">
        <v>50</v>
      </c>
      <c r="E2634" t="s">
        <v>70</v>
      </c>
      <c r="F2634" t="s">
        <v>92</v>
      </c>
      <c r="G2634" t="s">
        <v>182</v>
      </c>
      <c r="H2634" t="s">
        <v>188</v>
      </c>
      <c r="I2634">
        <v>38349</v>
      </c>
      <c r="J2634">
        <v>34265</v>
      </c>
    </row>
    <row r="2635" spans="1:10" x14ac:dyDescent="0.3">
      <c r="A2635" t="s">
        <v>2762</v>
      </c>
      <c r="B2635" s="1">
        <v>45745</v>
      </c>
      <c r="C2635" t="s">
        <v>95</v>
      </c>
      <c r="D2635">
        <v>13</v>
      </c>
      <c r="E2635" t="s">
        <v>33</v>
      </c>
      <c r="F2635" t="s">
        <v>25</v>
      </c>
      <c r="G2635" t="s">
        <v>35</v>
      </c>
      <c r="H2635" t="s">
        <v>21</v>
      </c>
      <c r="I2635">
        <v>21501</v>
      </c>
      <c r="J2635">
        <v>24370</v>
      </c>
    </row>
    <row r="2636" spans="1:10" x14ac:dyDescent="0.3">
      <c r="A2636" t="s">
        <v>2763</v>
      </c>
      <c r="B2636" s="1">
        <v>45689</v>
      </c>
      <c r="C2636" t="s">
        <v>82</v>
      </c>
      <c r="D2636">
        <v>5</v>
      </c>
      <c r="E2636" t="s">
        <v>12</v>
      </c>
      <c r="F2636" t="s">
        <v>57</v>
      </c>
      <c r="G2636" t="s">
        <v>67</v>
      </c>
      <c r="H2636" t="s">
        <v>15</v>
      </c>
      <c r="I2636">
        <v>34826</v>
      </c>
      <c r="J2636">
        <v>37194</v>
      </c>
    </row>
    <row r="2637" spans="1:10" x14ac:dyDescent="0.3">
      <c r="A2637" t="s">
        <v>2764</v>
      </c>
      <c r="B2637" s="1">
        <v>45887</v>
      </c>
      <c r="C2637" t="s">
        <v>113</v>
      </c>
      <c r="D2637">
        <v>34</v>
      </c>
      <c r="E2637" t="s">
        <v>18</v>
      </c>
      <c r="F2637" t="s">
        <v>43</v>
      </c>
      <c r="G2637" t="s">
        <v>253</v>
      </c>
      <c r="H2637" t="s">
        <v>123</v>
      </c>
      <c r="I2637">
        <v>18180</v>
      </c>
      <c r="J2637">
        <v>23605</v>
      </c>
    </row>
    <row r="2638" spans="1:10" x14ac:dyDescent="0.3">
      <c r="A2638" t="s">
        <v>2765</v>
      </c>
      <c r="B2638" s="1">
        <v>45884</v>
      </c>
      <c r="C2638" t="s">
        <v>113</v>
      </c>
      <c r="D2638">
        <v>33</v>
      </c>
      <c r="E2638" t="s">
        <v>12</v>
      </c>
      <c r="F2638" t="s">
        <v>87</v>
      </c>
      <c r="G2638" t="s">
        <v>54</v>
      </c>
      <c r="H2638" t="s">
        <v>36</v>
      </c>
      <c r="I2638">
        <v>30686</v>
      </c>
      <c r="J2638">
        <v>39320</v>
      </c>
    </row>
    <row r="2639" spans="1:10" x14ac:dyDescent="0.3">
      <c r="A2639" t="s">
        <v>2766</v>
      </c>
      <c r="B2639" s="1">
        <v>45824</v>
      </c>
      <c r="C2639" t="s">
        <v>74</v>
      </c>
      <c r="D2639">
        <v>25</v>
      </c>
      <c r="E2639" t="s">
        <v>18</v>
      </c>
      <c r="F2639" t="s">
        <v>109</v>
      </c>
      <c r="G2639" t="s">
        <v>141</v>
      </c>
      <c r="H2639" t="s">
        <v>133</v>
      </c>
      <c r="I2639">
        <v>21059</v>
      </c>
      <c r="J2639">
        <v>22300</v>
      </c>
    </row>
    <row r="2640" spans="1:10" x14ac:dyDescent="0.3">
      <c r="A2640" t="s">
        <v>2767</v>
      </c>
      <c r="B2640" s="1">
        <v>45951</v>
      </c>
      <c r="C2640" t="s">
        <v>66</v>
      </c>
      <c r="D2640">
        <v>43</v>
      </c>
      <c r="E2640" t="s">
        <v>12</v>
      </c>
      <c r="F2640" t="s">
        <v>78</v>
      </c>
      <c r="G2640" t="s">
        <v>58</v>
      </c>
      <c r="H2640" t="s">
        <v>103</v>
      </c>
      <c r="I2640">
        <v>23222</v>
      </c>
      <c r="J2640">
        <v>17844</v>
      </c>
    </row>
    <row r="2641" spans="1:10" x14ac:dyDescent="0.3">
      <c r="A2641" t="s">
        <v>2768</v>
      </c>
      <c r="B2641" s="1">
        <v>45678</v>
      </c>
      <c r="C2641" t="s">
        <v>17</v>
      </c>
      <c r="D2641">
        <v>4</v>
      </c>
      <c r="E2641" t="s">
        <v>61</v>
      </c>
      <c r="F2641" t="s">
        <v>50</v>
      </c>
      <c r="G2641" t="s">
        <v>40</v>
      </c>
      <c r="H2641" t="s">
        <v>21</v>
      </c>
      <c r="I2641">
        <v>16070</v>
      </c>
      <c r="J2641">
        <v>15072</v>
      </c>
    </row>
    <row r="2642" spans="1:10" x14ac:dyDescent="0.3">
      <c r="A2642" t="s">
        <v>2769</v>
      </c>
      <c r="B2642" s="1">
        <v>45815</v>
      </c>
      <c r="C2642" t="s">
        <v>74</v>
      </c>
      <c r="D2642">
        <v>23</v>
      </c>
      <c r="E2642" t="s">
        <v>70</v>
      </c>
      <c r="F2642" t="s">
        <v>75</v>
      </c>
      <c r="G2642" t="s">
        <v>54</v>
      </c>
      <c r="H2642" t="s">
        <v>151</v>
      </c>
      <c r="I2642">
        <v>17086</v>
      </c>
      <c r="J2642">
        <v>14282</v>
      </c>
    </row>
    <row r="2643" spans="1:10" x14ac:dyDescent="0.3">
      <c r="A2643" t="s">
        <v>2770</v>
      </c>
      <c r="B2643" s="1">
        <v>45917</v>
      </c>
      <c r="C2643" t="s">
        <v>38</v>
      </c>
      <c r="D2643">
        <v>38</v>
      </c>
      <c r="E2643" t="s">
        <v>12</v>
      </c>
      <c r="F2643" t="s">
        <v>43</v>
      </c>
      <c r="G2643" t="s">
        <v>63</v>
      </c>
      <c r="H2643" t="s">
        <v>15</v>
      </c>
      <c r="I2643">
        <v>17685</v>
      </c>
      <c r="J2643">
        <v>16107</v>
      </c>
    </row>
    <row r="2644" spans="1:10" x14ac:dyDescent="0.3">
      <c r="A2644" t="s">
        <v>2771</v>
      </c>
      <c r="B2644" s="1">
        <v>45660</v>
      </c>
      <c r="C2644" t="s">
        <v>17</v>
      </c>
      <c r="D2644">
        <v>1</v>
      </c>
      <c r="E2644" t="s">
        <v>24</v>
      </c>
      <c r="F2644" t="s">
        <v>29</v>
      </c>
      <c r="G2644" t="s">
        <v>35</v>
      </c>
      <c r="H2644" t="s">
        <v>119</v>
      </c>
      <c r="I2644">
        <v>19557</v>
      </c>
      <c r="J2644">
        <v>15588</v>
      </c>
    </row>
    <row r="2645" spans="1:10" x14ac:dyDescent="0.3">
      <c r="A2645" t="s">
        <v>2772</v>
      </c>
      <c r="B2645" s="1">
        <v>45762</v>
      </c>
      <c r="C2645" t="s">
        <v>86</v>
      </c>
      <c r="D2645">
        <v>16</v>
      </c>
      <c r="E2645" t="s">
        <v>61</v>
      </c>
      <c r="F2645" t="s">
        <v>92</v>
      </c>
      <c r="G2645" t="s">
        <v>51</v>
      </c>
      <c r="H2645" t="s">
        <v>98</v>
      </c>
      <c r="I2645">
        <v>31289</v>
      </c>
      <c r="J2645">
        <v>22993</v>
      </c>
    </row>
    <row r="2646" spans="1:10" x14ac:dyDescent="0.3">
      <c r="A2646" t="s">
        <v>2773</v>
      </c>
      <c r="B2646" s="1">
        <v>45902</v>
      </c>
      <c r="C2646" t="s">
        <v>38</v>
      </c>
      <c r="D2646">
        <v>36</v>
      </c>
      <c r="E2646" t="s">
        <v>61</v>
      </c>
      <c r="F2646" t="s">
        <v>46</v>
      </c>
      <c r="G2646" t="s">
        <v>30</v>
      </c>
      <c r="H2646" t="s">
        <v>80</v>
      </c>
      <c r="I2646">
        <v>21578</v>
      </c>
      <c r="J2646">
        <v>27712</v>
      </c>
    </row>
    <row r="2647" spans="1:10" x14ac:dyDescent="0.3">
      <c r="A2647" t="s">
        <v>2774</v>
      </c>
      <c r="B2647" s="1">
        <v>45804</v>
      </c>
      <c r="C2647" t="s">
        <v>90</v>
      </c>
      <c r="D2647">
        <v>22</v>
      </c>
      <c r="E2647" t="s">
        <v>12</v>
      </c>
      <c r="F2647" t="s">
        <v>29</v>
      </c>
      <c r="G2647" t="s">
        <v>93</v>
      </c>
      <c r="H2647" t="s">
        <v>211</v>
      </c>
      <c r="I2647">
        <v>16162</v>
      </c>
      <c r="J2647">
        <v>20570</v>
      </c>
    </row>
    <row r="2648" spans="1:10" x14ac:dyDescent="0.3">
      <c r="A2648" t="s">
        <v>2775</v>
      </c>
      <c r="B2648" s="1">
        <v>45715</v>
      </c>
      <c r="C2648" t="s">
        <v>82</v>
      </c>
      <c r="D2648">
        <v>9</v>
      </c>
      <c r="E2648" t="s">
        <v>18</v>
      </c>
      <c r="F2648" t="s">
        <v>193</v>
      </c>
      <c r="G2648" t="s">
        <v>145</v>
      </c>
      <c r="H2648" t="s">
        <v>15</v>
      </c>
      <c r="I2648">
        <v>22994</v>
      </c>
      <c r="J2648">
        <v>25359</v>
      </c>
    </row>
    <row r="2649" spans="1:10" x14ac:dyDescent="0.3">
      <c r="A2649" t="s">
        <v>2776</v>
      </c>
      <c r="B2649" s="1">
        <v>46010</v>
      </c>
      <c r="C2649" t="s">
        <v>100</v>
      </c>
      <c r="D2649">
        <v>51</v>
      </c>
      <c r="E2649" t="s">
        <v>33</v>
      </c>
      <c r="F2649" t="s">
        <v>34</v>
      </c>
      <c r="G2649" t="s">
        <v>160</v>
      </c>
      <c r="H2649" t="s">
        <v>116</v>
      </c>
      <c r="I2649">
        <v>28160</v>
      </c>
      <c r="J2649">
        <v>31432</v>
      </c>
    </row>
    <row r="2650" spans="1:10" x14ac:dyDescent="0.3">
      <c r="A2650" t="s">
        <v>2777</v>
      </c>
      <c r="B2650" s="1">
        <v>45920</v>
      </c>
      <c r="C2650" t="s">
        <v>38</v>
      </c>
      <c r="D2650">
        <v>38</v>
      </c>
      <c r="E2650" t="s">
        <v>18</v>
      </c>
      <c r="F2650" t="s">
        <v>34</v>
      </c>
      <c r="G2650" t="s">
        <v>234</v>
      </c>
      <c r="H2650" t="s">
        <v>157</v>
      </c>
      <c r="I2650">
        <v>38298</v>
      </c>
      <c r="J2650">
        <v>47776</v>
      </c>
    </row>
    <row r="2651" spans="1:10" x14ac:dyDescent="0.3">
      <c r="A2651" t="s">
        <v>2778</v>
      </c>
      <c r="B2651" s="1">
        <v>45807</v>
      </c>
      <c r="C2651" t="s">
        <v>90</v>
      </c>
      <c r="D2651">
        <v>22</v>
      </c>
      <c r="E2651" t="s">
        <v>61</v>
      </c>
      <c r="F2651" t="s">
        <v>114</v>
      </c>
      <c r="G2651" t="s">
        <v>110</v>
      </c>
      <c r="H2651" t="s">
        <v>64</v>
      </c>
      <c r="I2651">
        <v>15164</v>
      </c>
      <c r="J2651">
        <v>14805</v>
      </c>
    </row>
    <row r="2652" spans="1:10" x14ac:dyDescent="0.3">
      <c r="A2652" t="s">
        <v>2779</v>
      </c>
      <c r="B2652" s="1">
        <v>45679</v>
      </c>
      <c r="C2652" t="s">
        <v>17</v>
      </c>
      <c r="D2652">
        <v>4</v>
      </c>
      <c r="E2652" t="s">
        <v>39</v>
      </c>
      <c r="F2652" t="s">
        <v>29</v>
      </c>
      <c r="G2652" t="s">
        <v>266</v>
      </c>
      <c r="H2652" t="s">
        <v>52</v>
      </c>
      <c r="I2652">
        <v>34914</v>
      </c>
      <c r="J2652">
        <v>36457</v>
      </c>
    </row>
    <row r="2653" spans="1:10" x14ac:dyDescent="0.3">
      <c r="A2653" t="s">
        <v>2780</v>
      </c>
      <c r="B2653" s="1">
        <v>45665</v>
      </c>
      <c r="C2653" t="s">
        <v>17</v>
      </c>
      <c r="D2653">
        <v>2</v>
      </c>
      <c r="E2653" t="s">
        <v>33</v>
      </c>
      <c r="F2653" t="s">
        <v>19</v>
      </c>
      <c r="G2653" t="s">
        <v>88</v>
      </c>
      <c r="H2653" t="s">
        <v>80</v>
      </c>
      <c r="I2653">
        <v>16639</v>
      </c>
      <c r="J2653">
        <v>14464</v>
      </c>
    </row>
    <row r="2654" spans="1:10" x14ac:dyDescent="0.3">
      <c r="A2654" t="s">
        <v>2781</v>
      </c>
      <c r="B2654" s="1">
        <v>45784</v>
      </c>
      <c r="C2654" t="s">
        <v>90</v>
      </c>
      <c r="D2654">
        <v>19</v>
      </c>
      <c r="E2654" t="s">
        <v>61</v>
      </c>
      <c r="F2654" t="s">
        <v>62</v>
      </c>
      <c r="G2654" t="s">
        <v>26</v>
      </c>
      <c r="H2654" t="s">
        <v>27</v>
      </c>
      <c r="I2654">
        <v>18163</v>
      </c>
      <c r="J2654">
        <v>16692</v>
      </c>
    </row>
    <row r="2655" spans="1:10" x14ac:dyDescent="0.3">
      <c r="A2655" t="s">
        <v>2782</v>
      </c>
      <c r="B2655" s="1">
        <v>45886</v>
      </c>
      <c r="C2655" t="s">
        <v>113</v>
      </c>
      <c r="D2655">
        <v>33</v>
      </c>
      <c r="E2655" t="s">
        <v>39</v>
      </c>
      <c r="F2655" t="s">
        <v>57</v>
      </c>
      <c r="G2655" t="s">
        <v>266</v>
      </c>
      <c r="H2655" t="s">
        <v>163</v>
      </c>
      <c r="I2655">
        <v>26555</v>
      </c>
      <c r="J2655">
        <v>24579</v>
      </c>
    </row>
    <row r="2656" spans="1:10" x14ac:dyDescent="0.3">
      <c r="A2656" t="s">
        <v>2783</v>
      </c>
      <c r="B2656" s="1">
        <v>45808</v>
      </c>
      <c r="C2656" t="s">
        <v>90</v>
      </c>
      <c r="D2656">
        <v>22</v>
      </c>
      <c r="E2656" t="s">
        <v>39</v>
      </c>
      <c r="F2656" t="s">
        <v>46</v>
      </c>
      <c r="G2656" t="s">
        <v>54</v>
      </c>
      <c r="H2656" t="s">
        <v>36</v>
      </c>
      <c r="I2656">
        <v>25144</v>
      </c>
      <c r="J2656">
        <v>22172</v>
      </c>
    </row>
    <row r="2657" spans="1:10" x14ac:dyDescent="0.3">
      <c r="A2657" t="s">
        <v>2784</v>
      </c>
      <c r="B2657" s="1">
        <v>45927</v>
      </c>
      <c r="C2657" t="s">
        <v>38</v>
      </c>
      <c r="D2657">
        <v>39</v>
      </c>
      <c r="E2657" t="s">
        <v>70</v>
      </c>
      <c r="F2657" t="s">
        <v>101</v>
      </c>
      <c r="G2657" t="s">
        <v>266</v>
      </c>
      <c r="H2657" t="s">
        <v>15</v>
      </c>
      <c r="I2657">
        <v>38417</v>
      </c>
      <c r="J2657">
        <v>36728</v>
      </c>
    </row>
    <row r="2658" spans="1:10" x14ac:dyDescent="0.3">
      <c r="A2658" t="s">
        <v>2785</v>
      </c>
      <c r="B2658" s="1">
        <v>45761</v>
      </c>
      <c r="C2658" t="s">
        <v>86</v>
      </c>
      <c r="D2658">
        <v>16</v>
      </c>
      <c r="E2658" t="s">
        <v>33</v>
      </c>
      <c r="F2658" t="s">
        <v>62</v>
      </c>
      <c r="G2658" t="s">
        <v>145</v>
      </c>
      <c r="H2658" t="s">
        <v>36</v>
      </c>
      <c r="I2658">
        <v>18729</v>
      </c>
      <c r="J2658">
        <v>16127</v>
      </c>
    </row>
    <row r="2659" spans="1:10" x14ac:dyDescent="0.3">
      <c r="A2659" t="s">
        <v>2786</v>
      </c>
      <c r="B2659" s="1">
        <v>45740</v>
      </c>
      <c r="C2659" t="s">
        <v>95</v>
      </c>
      <c r="D2659">
        <v>13</v>
      </c>
      <c r="E2659" t="s">
        <v>61</v>
      </c>
      <c r="F2659" t="s">
        <v>62</v>
      </c>
      <c r="G2659" t="s">
        <v>130</v>
      </c>
      <c r="H2659" t="s">
        <v>21</v>
      </c>
      <c r="I2659">
        <v>34245</v>
      </c>
      <c r="J2659">
        <v>28469</v>
      </c>
    </row>
    <row r="2660" spans="1:10" x14ac:dyDescent="0.3">
      <c r="A2660" t="s">
        <v>2787</v>
      </c>
      <c r="B2660" s="1">
        <v>45979</v>
      </c>
      <c r="C2660" t="s">
        <v>23</v>
      </c>
      <c r="D2660">
        <v>47</v>
      </c>
      <c r="E2660" t="s">
        <v>12</v>
      </c>
      <c r="F2660" t="s">
        <v>13</v>
      </c>
      <c r="G2660" t="s">
        <v>126</v>
      </c>
      <c r="H2660" t="s">
        <v>163</v>
      </c>
      <c r="I2660">
        <v>18149</v>
      </c>
      <c r="J2660">
        <v>18873</v>
      </c>
    </row>
    <row r="2661" spans="1:10" x14ac:dyDescent="0.3">
      <c r="A2661" t="s">
        <v>2788</v>
      </c>
      <c r="B2661" s="1">
        <v>45994</v>
      </c>
      <c r="C2661" t="s">
        <v>100</v>
      </c>
      <c r="D2661">
        <v>49</v>
      </c>
      <c r="E2661" t="s">
        <v>39</v>
      </c>
      <c r="F2661" t="s">
        <v>43</v>
      </c>
      <c r="G2661" t="s">
        <v>291</v>
      </c>
      <c r="H2661" t="s">
        <v>165</v>
      </c>
      <c r="I2661">
        <v>29151</v>
      </c>
      <c r="J2661">
        <v>23191</v>
      </c>
    </row>
    <row r="2662" spans="1:10" x14ac:dyDescent="0.3">
      <c r="A2662" t="s">
        <v>2789</v>
      </c>
      <c r="B2662" s="1">
        <v>45953</v>
      </c>
      <c r="C2662" t="s">
        <v>66</v>
      </c>
      <c r="D2662">
        <v>43</v>
      </c>
      <c r="E2662" t="s">
        <v>24</v>
      </c>
      <c r="F2662" t="s">
        <v>34</v>
      </c>
      <c r="G2662" t="s">
        <v>102</v>
      </c>
      <c r="H2662" t="s">
        <v>163</v>
      </c>
      <c r="I2662">
        <v>39360</v>
      </c>
      <c r="J2662">
        <v>36009</v>
      </c>
    </row>
    <row r="2663" spans="1:10" x14ac:dyDescent="0.3">
      <c r="A2663" t="s">
        <v>2790</v>
      </c>
      <c r="B2663" s="1">
        <v>45917</v>
      </c>
      <c r="C2663" t="s">
        <v>38</v>
      </c>
      <c r="D2663">
        <v>38</v>
      </c>
      <c r="E2663" t="s">
        <v>39</v>
      </c>
      <c r="F2663" t="s">
        <v>13</v>
      </c>
      <c r="G2663" t="s">
        <v>72</v>
      </c>
      <c r="H2663" t="s">
        <v>84</v>
      </c>
      <c r="I2663">
        <v>29368</v>
      </c>
      <c r="J2663">
        <v>30632</v>
      </c>
    </row>
    <row r="2664" spans="1:10" x14ac:dyDescent="0.3">
      <c r="A2664" t="s">
        <v>2791</v>
      </c>
      <c r="B2664" s="1">
        <v>45886</v>
      </c>
      <c r="C2664" t="s">
        <v>113</v>
      </c>
      <c r="D2664">
        <v>33</v>
      </c>
      <c r="E2664" t="s">
        <v>24</v>
      </c>
      <c r="F2664" t="s">
        <v>92</v>
      </c>
      <c r="G2664" t="s">
        <v>130</v>
      </c>
      <c r="H2664" t="s">
        <v>188</v>
      </c>
      <c r="I2664">
        <v>20545</v>
      </c>
      <c r="J2664">
        <v>22389</v>
      </c>
    </row>
    <row r="2665" spans="1:10" x14ac:dyDescent="0.3">
      <c r="A2665" t="s">
        <v>2792</v>
      </c>
      <c r="B2665" s="1">
        <v>45743</v>
      </c>
      <c r="C2665" t="s">
        <v>95</v>
      </c>
      <c r="D2665">
        <v>13</v>
      </c>
      <c r="E2665" t="s">
        <v>61</v>
      </c>
      <c r="F2665" t="s">
        <v>101</v>
      </c>
      <c r="G2665" t="s">
        <v>54</v>
      </c>
      <c r="H2665" t="s">
        <v>188</v>
      </c>
      <c r="I2665">
        <v>26962</v>
      </c>
      <c r="J2665">
        <v>35013</v>
      </c>
    </row>
    <row r="2666" spans="1:10" x14ac:dyDescent="0.3">
      <c r="A2666" t="s">
        <v>2793</v>
      </c>
      <c r="B2666" s="1">
        <v>45714</v>
      </c>
      <c r="C2666" t="s">
        <v>82</v>
      </c>
      <c r="D2666">
        <v>9</v>
      </c>
      <c r="E2666" t="s">
        <v>61</v>
      </c>
      <c r="F2666" t="s">
        <v>43</v>
      </c>
      <c r="G2666" t="s">
        <v>141</v>
      </c>
      <c r="H2666" t="s">
        <v>165</v>
      </c>
      <c r="I2666">
        <v>25393</v>
      </c>
      <c r="J2666">
        <v>22924</v>
      </c>
    </row>
    <row r="2667" spans="1:10" x14ac:dyDescent="0.3">
      <c r="A2667" t="s">
        <v>2794</v>
      </c>
      <c r="B2667" s="1">
        <v>45825</v>
      </c>
      <c r="C2667" t="s">
        <v>74</v>
      </c>
      <c r="D2667">
        <v>25</v>
      </c>
      <c r="E2667" t="s">
        <v>61</v>
      </c>
      <c r="F2667" t="s">
        <v>13</v>
      </c>
      <c r="G2667" t="s">
        <v>107</v>
      </c>
      <c r="H2667" t="s">
        <v>48</v>
      </c>
      <c r="I2667">
        <v>38682</v>
      </c>
      <c r="J2667">
        <v>34722</v>
      </c>
    </row>
    <row r="2668" spans="1:10" x14ac:dyDescent="0.3">
      <c r="A2668" t="s">
        <v>2795</v>
      </c>
      <c r="B2668" s="1">
        <v>45889</v>
      </c>
      <c r="C2668" t="s">
        <v>113</v>
      </c>
      <c r="D2668">
        <v>34</v>
      </c>
      <c r="E2668" t="s">
        <v>18</v>
      </c>
      <c r="F2668" t="s">
        <v>25</v>
      </c>
      <c r="G2668" t="s">
        <v>266</v>
      </c>
      <c r="H2668" t="s">
        <v>41</v>
      </c>
      <c r="I2668">
        <v>32950</v>
      </c>
      <c r="J2668">
        <v>26758</v>
      </c>
    </row>
    <row r="2669" spans="1:10" x14ac:dyDescent="0.3">
      <c r="A2669" t="s">
        <v>2796</v>
      </c>
      <c r="B2669" s="1">
        <v>45900</v>
      </c>
      <c r="C2669" t="s">
        <v>113</v>
      </c>
      <c r="D2669">
        <v>35</v>
      </c>
      <c r="E2669" t="s">
        <v>61</v>
      </c>
      <c r="F2669" t="s">
        <v>140</v>
      </c>
      <c r="G2669" t="s">
        <v>47</v>
      </c>
      <c r="H2669" t="s">
        <v>151</v>
      </c>
      <c r="I2669">
        <v>37929</v>
      </c>
      <c r="J2669">
        <v>43026</v>
      </c>
    </row>
    <row r="2670" spans="1:10" x14ac:dyDescent="0.3">
      <c r="A2670" t="s">
        <v>2797</v>
      </c>
      <c r="B2670" s="1">
        <v>45787</v>
      </c>
      <c r="C2670" t="s">
        <v>90</v>
      </c>
      <c r="D2670">
        <v>19</v>
      </c>
      <c r="E2670" t="s">
        <v>12</v>
      </c>
      <c r="F2670" t="s">
        <v>109</v>
      </c>
      <c r="G2670" t="s">
        <v>234</v>
      </c>
      <c r="H2670" t="s">
        <v>123</v>
      </c>
      <c r="I2670">
        <v>17299</v>
      </c>
      <c r="J2670">
        <v>12300</v>
      </c>
    </row>
    <row r="2671" spans="1:10" x14ac:dyDescent="0.3">
      <c r="A2671" t="s">
        <v>2798</v>
      </c>
      <c r="B2671" s="1">
        <v>45763</v>
      </c>
      <c r="C2671" t="s">
        <v>86</v>
      </c>
      <c r="D2671">
        <v>16</v>
      </c>
      <c r="E2671" t="s">
        <v>33</v>
      </c>
      <c r="F2671" t="s">
        <v>109</v>
      </c>
      <c r="G2671" t="s">
        <v>224</v>
      </c>
      <c r="H2671" t="s">
        <v>123</v>
      </c>
      <c r="I2671">
        <v>18667</v>
      </c>
      <c r="J2671">
        <v>17659</v>
      </c>
    </row>
    <row r="2672" spans="1:10" x14ac:dyDescent="0.3">
      <c r="A2672" t="s">
        <v>2799</v>
      </c>
      <c r="B2672" s="1">
        <v>46012</v>
      </c>
      <c r="C2672" t="s">
        <v>100</v>
      </c>
      <c r="D2672">
        <v>51</v>
      </c>
      <c r="E2672" t="s">
        <v>24</v>
      </c>
      <c r="F2672" t="s">
        <v>87</v>
      </c>
      <c r="G2672" t="s">
        <v>240</v>
      </c>
      <c r="H2672" t="s">
        <v>84</v>
      </c>
      <c r="I2672">
        <v>15695</v>
      </c>
      <c r="J2672">
        <v>11068</v>
      </c>
    </row>
    <row r="2673" spans="1:10" x14ac:dyDescent="0.3">
      <c r="A2673" t="s">
        <v>2800</v>
      </c>
      <c r="B2673" s="1">
        <v>46012</v>
      </c>
      <c r="C2673" t="s">
        <v>100</v>
      </c>
      <c r="D2673">
        <v>51</v>
      </c>
      <c r="E2673" t="s">
        <v>61</v>
      </c>
      <c r="F2673" t="s">
        <v>193</v>
      </c>
      <c r="G2673" t="s">
        <v>291</v>
      </c>
      <c r="H2673" t="s">
        <v>119</v>
      </c>
      <c r="I2673">
        <v>36174</v>
      </c>
      <c r="J2673">
        <v>39241</v>
      </c>
    </row>
    <row r="2674" spans="1:10" x14ac:dyDescent="0.3">
      <c r="A2674" t="s">
        <v>2801</v>
      </c>
      <c r="B2674" s="1">
        <v>45978</v>
      </c>
      <c r="C2674" t="s">
        <v>23</v>
      </c>
      <c r="D2674">
        <v>47</v>
      </c>
      <c r="E2674" t="s">
        <v>61</v>
      </c>
      <c r="F2674" t="s">
        <v>46</v>
      </c>
      <c r="G2674" t="s">
        <v>199</v>
      </c>
      <c r="H2674" t="s">
        <v>116</v>
      </c>
      <c r="I2674">
        <v>35240</v>
      </c>
      <c r="J2674">
        <v>37981</v>
      </c>
    </row>
    <row r="2675" spans="1:10" x14ac:dyDescent="0.3">
      <c r="A2675" t="s">
        <v>2802</v>
      </c>
      <c r="B2675" s="1">
        <v>46000</v>
      </c>
      <c r="C2675" t="s">
        <v>100</v>
      </c>
      <c r="D2675">
        <v>50</v>
      </c>
      <c r="E2675" t="s">
        <v>39</v>
      </c>
      <c r="F2675" t="s">
        <v>50</v>
      </c>
      <c r="G2675" t="s">
        <v>67</v>
      </c>
      <c r="H2675" t="s">
        <v>96</v>
      </c>
      <c r="I2675">
        <v>26137</v>
      </c>
      <c r="J2675">
        <v>27605</v>
      </c>
    </row>
    <row r="2676" spans="1:10" x14ac:dyDescent="0.3">
      <c r="A2676" t="s">
        <v>2803</v>
      </c>
      <c r="B2676" s="1">
        <v>45873</v>
      </c>
      <c r="C2676" t="s">
        <v>113</v>
      </c>
      <c r="D2676">
        <v>32</v>
      </c>
      <c r="E2676" t="s">
        <v>24</v>
      </c>
      <c r="F2676" t="s">
        <v>193</v>
      </c>
      <c r="G2676" t="s">
        <v>35</v>
      </c>
      <c r="H2676" t="s">
        <v>111</v>
      </c>
      <c r="I2676">
        <v>28645</v>
      </c>
      <c r="J2676">
        <v>23288</v>
      </c>
    </row>
    <row r="2677" spans="1:10" x14ac:dyDescent="0.3">
      <c r="A2677" t="s">
        <v>2804</v>
      </c>
      <c r="B2677" s="1">
        <v>45730</v>
      </c>
      <c r="C2677" t="s">
        <v>95</v>
      </c>
      <c r="D2677">
        <v>11</v>
      </c>
      <c r="E2677" t="s">
        <v>39</v>
      </c>
      <c r="F2677" t="s">
        <v>13</v>
      </c>
      <c r="G2677" t="s">
        <v>149</v>
      </c>
      <c r="H2677" t="s">
        <v>163</v>
      </c>
      <c r="I2677">
        <v>27092</v>
      </c>
      <c r="J2677">
        <v>27660</v>
      </c>
    </row>
    <row r="2678" spans="1:10" x14ac:dyDescent="0.3">
      <c r="A2678" t="s">
        <v>2805</v>
      </c>
      <c r="B2678" s="1">
        <v>45903</v>
      </c>
      <c r="C2678" t="s">
        <v>38</v>
      </c>
      <c r="D2678">
        <v>36</v>
      </c>
      <c r="E2678" t="s">
        <v>33</v>
      </c>
      <c r="F2678" t="s">
        <v>43</v>
      </c>
      <c r="G2678" t="s">
        <v>88</v>
      </c>
      <c r="H2678" t="s">
        <v>151</v>
      </c>
      <c r="I2678">
        <v>20417</v>
      </c>
      <c r="J2678">
        <v>14305</v>
      </c>
    </row>
    <row r="2679" spans="1:10" x14ac:dyDescent="0.3">
      <c r="A2679" t="s">
        <v>2806</v>
      </c>
      <c r="B2679" s="1">
        <v>45890</v>
      </c>
      <c r="C2679" t="s">
        <v>113</v>
      </c>
      <c r="D2679">
        <v>34</v>
      </c>
      <c r="E2679" t="s">
        <v>39</v>
      </c>
      <c r="F2679" t="s">
        <v>78</v>
      </c>
      <c r="G2679" t="s">
        <v>58</v>
      </c>
      <c r="H2679" t="s">
        <v>64</v>
      </c>
      <c r="I2679">
        <v>25705</v>
      </c>
      <c r="J2679">
        <v>20920</v>
      </c>
    </row>
    <row r="2680" spans="1:10" x14ac:dyDescent="0.3">
      <c r="A2680" t="s">
        <v>2807</v>
      </c>
      <c r="B2680" s="1">
        <v>45868</v>
      </c>
      <c r="C2680" t="s">
        <v>11</v>
      </c>
      <c r="D2680">
        <v>31</v>
      </c>
      <c r="E2680" t="s">
        <v>18</v>
      </c>
      <c r="F2680" t="s">
        <v>101</v>
      </c>
      <c r="G2680" t="s">
        <v>199</v>
      </c>
      <c r="H2680" t="s">
        <v>59</v>
      </c>
      <c r="I2680">
        <v>33597</v>
      </c>
      <c r="J2680">
        <v>31989</v>
      </c>
    </row>
    <row r="2681" spans="1:10" x14ac:dyDescent="0.3">
      <c r="A2681" t="s">
        <v>2808</v>
      </c>
      <c r="B2681" s="1">
        <v>45851</v>
      </c>
      <c r="C2681" t="s">
        <v>11</v>
      </c>
      <c r="D2681">
        <v>28</v>
      </c>
      <c r="E2681" t="s">
        <v>24</v>
      </c>
      <c r="F2681" t="s">
        <v>78</v>
      </c>
      <c r="G2681" t="s">
        <v>26</v>
      </c>
      <c r="H2681" t="s">
        <v>31</v>
      </c>
      <c r="I2681">
        <v>27085</v>
      </c>
      <c r="J2681">
        <v>22310</v>
      </c>
    </row>
    <row r="2682" spans="1:10" x14ac:dyDescent="0.3">
      <c r="A2682" t="s">
        <v>2809</v>
      </c>
      <c r="B2682" s="1">
        <v>45835</v>
      </c>
      <c r="C2682" t="s">
        <v>74</v>
      </c>
      <c r="D2682">
        <v>26</v>
      </c>
      <c r="E2682" t="s">
        <v>18</v>
      </c>
      <c r="F2682" t="s">
        <v>122</v>
      </c>
      <c r="G2682" t="s">
        <v>47</v>
      </c>
      <c r="H2682" t="s">
        <v>31</v>
      </c>
      <c r="I2682">
        <v>36004</v>
      </c>
      <c r="J2682">
        <v>30860</v>
      </c>
    </row>
    <row r="2683" spans="1:10" x14ac:dyDescent="0.3">
      <c r="A2683" t="s">
        <v>2810</v>
      </c>
      <c r="B2683" s="1">
        <v>45727</v>
      </c>
      <c r="C2683" t="s">
        <v>95</v>
      </c>
      <c r="D2683">
        <v>11</v>
      </c>
      <c r="E2683" t="s">
        <v>33</v>
      </c>
      <c r="F2683" t="s">
        <v>78</v>
      </c>
      <c r="G2683" t="s">
        <v>206</v>
      </c>
      <c r="H2683" t="s">
        <v>31</v>
      </c>
      <c r="I2683">
        <v>33339</v>
      </c>
      <c r="J2683">
        <v>23940</v>
      </c>
    </row>
    <row r="2684" spans="1:10" x14ac:dyDescent="0.3">
      <c r="A2684" t="s">
        <v>2811</v>
      </c>
      <c r="B2684" s="1">
        <v>45867</v>
      </c>
      <c r="C2684" t="s">
        <v>11</v>
      </c>
      <c r="D2684">
        <v>31</v>
      </c>
      <c r="E2684" t="s">
        <v>18</v>
      </c>
      <c r="F2684" t="s">
        <v>109</v>
      </c>
      <c r="G2684" t="s">
        <v>132</v>
      </c>
      <c r="H2684" t="s">
        <v>41</v>
      </c>
      <c r="I2684">
        <v>30221</v>
      </c>
      <c r="J2684">
        <v>30544</v>
      </c>
    </row>
    <row r="2685" spans="1:10" x14ac:dyDescent="0.3">
      <c r="A2685" t="s">
        <v>2812</v>
      </c>
      <c r="B2685" s="1">
        <v>45796</v>
      </c>
      <c r="C2685" t="s">
        <v>90</v>
      </c>
      <c r="D2685">
        <v>21</v>
      </c>
      <c r="E2685" t="s">
        <v>33</v>
      </c>
      <c r="F2685" t="s">
        <v>13</v>
      </c>
      <c r="G2685" t="s">
        <v>224</v>
      </c>
      <c r="H2685" t="s">
        <v>84</v>
      </c>
      <c r="I2685">
        <v>19010</v>
      </c>
      <c r="J2685">
        <v>23385</v>
      </c>
    </row>
    <row r="2686" spans="1:10" x14ac:dyDescent="0.3">
      <c r="A2686" t="s">
        <v>2813</v>
      </c>
      <c r="B2686" s="1">
        <v>45964</v>
      </c>
      <c r="C2686" t="s">
        <v>23</v>
      </c>
      <c r="D2686">
        <v>45</v>
      </c>
      <c r="E2686" t="s">
        <v>24</v>
      </c>
      <c r="F2686" t="s">
        <v>46</v>
      </c>
      <c r="G2686" t="s">
        <v>128</v>
      </c>
      <c r="H2686" t="s">
        <v>80</v>
      </c>
      <c r="I2686">
        <v>26101</v>
      </c>
      <c r="J2686">
        <v>22758</v>
      </c>
    </row>
    <row r="2687" spans="1:10" x14ac:dyDescent="0.3">
      <c r="A2687" t="s">
        <v>2814</v>
      </c>
      <c r="B2687" s="1">
        <v>45918</v>
      </c>
      <c r="C2687" t="s">
        <v>38</v>
      </c>
      <c r="D2687">
        <v>38</v>
      </c>
      <c r="E2687" t="s">
        <v>12</v>
      </c>
      <c r="F2687" t="s">
        <v>62</v>
      </c>
      <c r="G2687" t="s">
        <v>30</v>
      </c>
      <c r="H2687" t="s">
        <v>155</v>
      </c>
      <c r="I2687">
        <v>35676</v>
      </c>
      <c r="J2687">
        <v>30157</v>
      </c>
    </row>
    <row r="2688" spans="1:10" x14ac:dyDescent="0.3">
      <c r="A2688" t="s">
        <v>2815</v>
      </c>
      <c r="B2688" s="1">
        <v>45871</v>
      </c>
      <c r="C2688" t="s">
        <v>113</v>
      </c>
      <c r="D2688">
        <v>31</v>
      </c>
      <c r="E2688" t="s">
        <v>12</v>
      </c>
      <c r="F2688" t="s">
        <v>57</v>
      </c>
      <c r="G2688" t="s">
        <v>224</v>
      </c>
      <c r="H2688" t="s">
        <v>157</v>
      </c>
      <c r="I2688">
        <v>24394</v>
      </c>
      <c r="J2688">
        <v>24827</v>
      </c>
    </row>
    <row r="2689" spans="1:10" x14ac:dyDescent="0.3">
      <c r="A2689" t="s">
        <v>2816</v>
      </c>
      <c r="B2689" s="1">
        <v>45873</v>
      </c>
      <c r="C2689" t="s">
        <v>113</v>
      </c>
      <c r="D2689">
        <v>32</v>
      </c>
      <c r="E2689" t="s">
        <v>33</v>
      </c>
      <c r="F2689" t="s">
        <v>19</v>
      </c>
      <c r="G2689" t="s">
        <v>326</v>
      </c>
      <c r="H2689" t="s">
        <v>211</v>
      </c>
      <c r="I2689">
        <v>36707</v>
      </c>
      <c r="J2689">
        <v>43444</v>
      </c>
    </row>
    <row r="2690" spans="1:10" x14ac:dyDescent="0.3">
      <c r="A2690" t="s">
        <v>2817</v>
      </c>
      <c r="B2690" s="1">
        <v>45812</v>
      </c>
      <c r="C2690" t="s">
        <v>74</v>
      </c>
      <c r="D2690">
        <v>23</v>
      </c>
      <c r="E2690" t="s">
        <v>61</v>
      </c>
      <c r="F2690" t="s">
        <v>19</v>
      </c>
      <c r="G2690" t="s">
        <v>132</v>
      </c>
      <c r="H2690" t="s">
        <v>123</v>
      </c>
      <c r="I2690">
        <v>17314</v>
      </c>
      <c r="J2690">
        <v>21943</v>
      </c>
    </row>
    <row r="2691" spans="1:10" x14ac:dyDescent="0.3">
      <c r="A2691" t="s">
        <v>2818</v>
      </c>
      <c r="B2691" s="1">
        <v>45679</v>
      </c>
      <c r="C2691" t="s">
        <v>17</v>
      </c>
      <c r="D2691">
        <v>4</v>
      </c>
      <c r="E2691" t="s">
        <v>18</v>
      </c>
      <c r="F2691" t="s">
        <v>87</v>
      </c>
      <c r="G2691" t="s">
        <v>118</v>
      </c>
      <c r="H2691" t="s">
        <v>151</v>
      </c>
      <c r="I2691">
        <v>36379</v>
      </c>
      <c r="J2691">
        <v>33986</v>
      </c>
    </row>
    <row r="2692" spans="1:10" x14ac:dyDescent="0.3">
      <c r="A2692" t="s">
        <v>2819</v>
      </c>
      <c r="B2692" s="1">
        <v>45659</v>
      </c>
      <c r="C2692" t="s">
        <v>17</v>
      </c>
      <c r="D2692">
        <v>1</v>
      </c>
      <c r="E2692" t="s">
        <v>24</v>
      </c>
      <c r="F2692" t="s">
        <v>109</v>
      </c>
      <c r="G2692" t="s">
        <v>147</v>
      </c>
      <c r="H2692" t="s">
        <v>27</v>
      </c>
      <c r="I2692">
        <v>38430</v>
      </c>
      <c r="J2692">
        <v>48464</v>
      </c>
    </row>
    <row r="2693" spans="1:10" x14ac:dyDescent="0.3">
      <c r="A2693" t="s">
        <v>2820</v>
      </c>
      <c r="B2693" s="1">
        <v>45889</v>
      </c>
      <c r="C2693" t="s">
        <v>113</v>
      </c>
      <c r="D2693">
        <v>34</v>
      </c>
      <c r="E2693" t="s">
        <v>12</v>
      </c>
      <c r="F2693" t="s">
        <v>87</v>
      </c>
      <c r="G2693" t="s">
        <v>230</v>
      </c>
      <c r="H2693" t="s">
        <v>188</v>
      </c>
      <c r="I2693">
        <v>22259</v>
      </c>
      <c r="J2693">
        <v>19239</v>
      </c>
    </row>
    <row r="2694" spans="1:10" x14ac:dyDescent="0.3">
      <c r="A2694" t="s">
        <v>2821</v>
      </c>
      <c r="B2694" s="1">
        <v>45985</v>
      </c>
      <c r="C2694" t="s">
        <v>23</v>
      </c>
      <c r="D2694">
        <v>48</v>
      </c>
      <c r="E2694" t="s">
        <v>24</v>
      </c>
      <c r="F2694" t="s">
        <v>29</v>
      </c>
      <c r="G2694" t="s">
        <v>44</v>
      </c>
      <c r="H2694" t="s">
        <v>80</v>
      </c>
      <c r="I2694">
        <v>17132</v>
      </c>
      <c r="J2694">
        <v>17268</v>
      </c>
    </row>
    <row r="2695" spans="1:10" x14ac:dyDescent="0.3">
      <c r="A2695" t="s">
        <v>2822</v>
      </c>
      <c r="B2695" s="1">
        <v>45944</v>
      </c>
      <c r="C2695" t="s">
        <v>66</v>
      </c>
      <c r="D2695">
        <v>42</v>
      </c>
      <c r="E2695" t="s">
        <v>39</v>
      </c>
      <c r="F2695" t="s">
        <v>25</v>
      </c>
      <c r="G2695" t="s">
        <v>20</v>
      </c>
      <c r="H2695" t="s">
        <v>111</v>
      </c>
      <c r="I2695">
        <v>17876</v>
      </c>
      <c r="J2695">
        <v>14728</v>
      </c>
    </row>
    <row r="2696" spans="1:10" x14ac:dyDescent="0.3">
      <c r="A2696" t="s">
        <v>2823</v>
      </c>
      <c r="B2696" s="1">
        <v>45708</v>
      </c>
      <c r="C2696" t="s">
        <v>82</v>
      </c>
      <c r="D2696">
        <v>8</v>
      </c>
      <c r="E2696" t="s">
        <v>39</v>
      </c>
      <c r="F2696" t="s">
        <v>62</v>
      </c>
      <c r="G2696" t="s">
        <v>291</v>
      </c>
      <c r="H2696" t="s">
        <v>151</v>
      </c>
      <c r="I2696">
        <v>26702</v>
      </c>
      <c r="J2696">
        <v>22882</v>
      </c>
    </row>
    <row r="2697" spans="1:10" x14ac:dyDescent="0.3">
      <c r="A2697" t="s">
        <v>2824</v>
      </c>
      <c r="B2697" s="1">
        <v>45659</v>
      </c>
      <c r="C2697" t="s">
        <v>17</v>
      </c>
      <c r="D2697">
        <v>1</v>
      </c>
      <c r="E2697" t="s">
        <v>39</v>
      </c>
      <c r="F2697" t="s">
        <v>13</v>
      </c>
      <c r="G2697" t="s">
        <v>30</v>
      </c>
      <c r="H2697" t="s">
        <v>103</v>
      </c>
      <c r="I2697">
        <v>19702</v>
      </c>
      <c r="J2697">
        <v>17150</v>
      </c>
    </row>
    <row r="2698" spans="1:10" x14ac:dyDescent="0.3">
      <c r="A2698" t="s">
        <v>2825</v>
      </c>
      <c r="B2698" s="1">
        <v>45737</v>
      </c>
      <c r="C2698" t="s">
        <v>95</v>
      </c>
      <c r="D2698">
        <v>12</v>
      </c>
      <c r="E2698" t="s">
        <v>24</v>
      </c>
      <c r="F2698" t="s">
        <v>57</v>
      </c>
      <c r="G2698" t="s">
        <v>126</v>
      </c>
      <c r="H2698" t="s">
        <v>119</v>
      </c>
      <c r="I2698">
        <v>35088</v>
      </c>
      <c r="J2698">
        <v>37388</v>
      </c>
    </row>
    <row r="2699" spans="1:10" x14ac:dyDescent="0.3">
      <c r="A2699" t="s">
        <v>2826</v>
      </c>
      <c r="B2699" s="1">
        <v>45878</v>
      </c>
      <c r="C2699" t="s">
        <v>113</v>
      </c>
      <c r="D2699">
        <v>32</v>
      </c>
      <c r="E2699" t="s">
        <v>33</v>
      </c>
      <c r="F2699" t="s">
        <v>43</v>
      </c>
      <c r="G2699" t="s">
        <v>253</v>
      </c>
      <c r="H2699" t="s">
        <v>68</v>
      </c>
      <c r="I2699">
        <v>15545</v>
      </c>
      <c r="J2699">
        <v>19882</v>
      </c>
    </row>
    <row r="2700" spans="1:10" x14ac:dyDescent="0.3">
      <c r="A2700" t="s">
        <v>2827</v>
      </c>
      <c r="B2700" s="1">
        <v>45890</v>
      </c>
      <c r="C2700" t="s">
        <v>113</v>
      </c>
      <c r="D2700">
        <v>34</v>
      </c>
      <c r="E2700" t="s">
        <v>18</v>
      </c>
      <c r="F2700" t="s">
        <v>50</v>
      </c>
      <c r="G2700" t="s">
        <v>20</v>
      </c>
      <c r="H2700" t="s">
        <v>55</v>
      </c>
      <c r="I2700">
        <v>23839</v>
      </c>
      <c r="J2700">
        <v>20271</v>
      </c>
    </row>
    <row r="2701" spans="1:10" x14ac:dyDescent="0.3">
      <c r="A2701" t="s">
        <v>2828</v>
      </c>
      <c r="B2701" s="1">
        <v>45754</v>
      </c>
      <c r="C2701" t="s">
        <v>86</v>
      </c>
      <c r="D2701">
        <v>15</v>
      </c>
      <c r="E2701" t="s">
        <v>18</v>
      </c>
      <c r="F2701" t="s">
        <v>75</v>
      </c>
      <c r="G2701" t="s">
        <v>160</v>
      </c>
      <c r="H2701" t="s">
        <v>27</v>
      </c>
      <c r="I2701">
        <v>19977</v>
      </c>
      <c r="J2701">
        <v>15713</v>
      </c>
    </row>
    <row r="2702" spans="1:10" x14ac:dyDescent="0.3">
      <c r="A2702" t="s">
        <v>2829</v>
      </c>
      <c r="B2702" s="1">
        <v>45882</v>
      </c>
      <c r="C2702" t="s">
        <v>113</v>
      </c>
      <c r="D2702">
        <v>33</v>
      </c>
      <c r="E2702" t="s">
        <v>61</v>
      </c>
      <c r="F2702" t="s">
        <v>34</v>
      </c>
      <c r="G2702" t="s">
        <v>20</v>
      </c>
      <c r="H2702" t="s">
        <v>96</v>
      </c>
      <c r="I2702">
        <v>29984</v>
      </c>
      <c r="J2702">
        <v>36041</v>
      </c>
    </row>
    <row r="2703" spans="1:10" x14ac:dyDescent="0.3">
      <c r="A2703" t="s">
        <v>2830</v>
      </c>
      <c r="B2703" s="1">
        <v>45922</v>
      </c>
      <c r="C2703" t="s">
        <v>38</v>
      </c>
      <c r="D2703">
        <v>39</v>
      </c>
      <c r="E2703" t="s">
        <v>18</v>
      </c>
      <c r="F2703" t="s">
        <v>114</v>
      </c>
      <c r="G2703" t="s">
        <v>191</v>
      </c>
      <c r="H2703" t="s">
        <v>163</v>
      </c>
      <c r="I2703">
        <v>39985</v>
      </c>
      <c r="J2703">
        <v>34102</v>
      </c>
    </row>
    <row r="2704" spans="1:10" x14ac:dyDescent="0.3">
      <c r="A2704" t="s">
        <v>2831</v>
      </c>
      <c r="B2704" s="1">
        <v>46019</v>
      </c>
      <c r="C2704" t="s">
        <v>100</v>
      </c>
      <c r="D2704">
        <v>52</v>
      </c>
      <c r="E2704" t="s">
        <v>18</v>
      </c>
      <c r="F2704" t="s">
        <v>122</v>
      </c>
      <c r="G2704" t="s">
        <v>14</v>
      </c>
      <c r="H2704" t="s">
        <v>15</v>
      </c>
      <c r="I2704">
        <v>16663</v>
      </c>
      <c r="J2704">
        <v>14900</v>
      </c>
    </row>
    <row r="2705" spans="1:10" x14ac:dyDescent="0.3">
      <c r="A2705" t="s">
        <v>2832</v>
      </c>
      <c r="B2705" s="1">
        <v>45687</v>
      </c>
      <c r="C2705" t="s">
        <v>17</v>
      </c>
      <c r="D2705">
        <v>5</v>
      </c>
      <c r="E2705" t="s">
        <v>70</v>
      </c>
      <c r="F2705" t="s">
        <v>13</v>
      </c>
      <c r="G2705" t="s">
        <v>51</v>
      </c>
      <c r="H2705" t="s">
        <v>68</v>
      </c>
      <c r="I2705">
        <v>15161</v>
      </c>
      <c r="J2705">
        <v>19545</v>
      </c>
    </row>
    <row r="2706" spans="1:10" x14ac:dyDescent="0.3">
      <c r="A2706" t="s">
        <v>2833</v>
      </c>
      <c r="B2706" s="1">
        <v>45991</v>
      </c>
      <c r="C2706" t="s">
        <v>23</v>
      </c>
      <c r="D2706">
        <v>48</v>
      </c>
      <c r="E2706" t="s">
        <v>39</v>
      </c>
      <c r="F2706" t="s">
        <v>87</v>
      </c>
      <c r="G2706" t="s">
        <v>107</v>
      </c>
      <c r="H2706" t="s">
        <v>243</v>
      </c>
      <c r="I2706">
        <v>21250</v>
      </c>
      <c r="J2706">
        <v>20839</v>
      </c>
    </row>
    <row r="2707" spans="1:10" x14ac:dyDescent="0.3">
      <c r="A2707" t="s">
        <v>2834</v>
      </c>
      <c r="B2707" s="1">
        <v>45799</v>
      </c>
      <c r="C2707" t="s">
        <v>90</v>
      </c>
      <c r="D2707">
        <v>21</v>
      </c>
      <c r="E2707" t="s">
        <v>70</v>
      </c>
      <c r="F2707" t="s">
        <v>34</v>
      </c>
      <c r="G2707" t="s">
        <v>266</v>
      </c>
      <c r="H2707" t="s">
        <v>48</v>
      </c>
      <c r="I2707">
        <v>23684</v>
      </c>
      <c r="J2707">
        <v>18932</v>
      </c>
    </row>
    <row r="2708" spans="1:10" x14ac:dyDescent="0.3">
      <c r="A2708" t="s">
        <v>2835</v>
      </c>
      <c r="B2708" s="1">
        <v>45874</v>
      </c>
      <c r="C2708" t="s">
        <v>113</v>
      </c>
      <c r="D2708">
        <v>32</v>
      </c>
      <c r="E2708" t="s">
        <v>70</v>
      </c>
      <c r="F2708" t="s">
        <v>34</v>
      </c>
      <c r="G2708" t="s">
        <v>110</v>
      </c>
      <c r="H2708" t="s">
        <v>27</v>
      </c>
      <c r="I2708">
        <v>37474</v>
      </c>
      <c r="J2708">
        <v>33090</v>
      </c>
    </row>
    <row r="2709" spans="1:10" x14ac:dyDescent="0.3">
      <c r="A2709" t="s">
        <v>2836</v>
      </c>
      <c r="B2709" s="1">
        <v>45848</v>
      </c>
      <c r="C2709" t="s">
        <v>11</v>
      </c>
      <c r="D2709">
        <v>28</v>
      </c>
      <c r="E2709" t="s">
        <v>39</v>
      </c>
      <c r="F2709" t="s">
        <v>78</v>
      </c>
      <c r="G2709" t="s">
        <v>26</v>
      </c>
      <c r="H2709" t="s">
        <v>243</v>
      </c>
      <c r="I2709">
        <v>38351</v>
      </c>
      <c r="J2709">
        <v>31826</v>
      </c>
    </row>
    <row r="2710" spans="1:10" x14ac:dyDescent="0.3">
      <c r="A2710" t="s">
        <v>2837</v>
      </c>
      <c r="B2710" s="1">
        <v>45997</v>
      </c>
      <c r="C2710" t="s">
        <v>100</v>
      </c>
      <c r="D2710">
        <v>49</v>
      </c>
      <c r="E2710" t="s">
        <v>61</v>
      </c>
      <c r="F2710" t="s">
        <v>109</v>
      </c>
      <c r="G2710" t="s">
        <v>76</v>
      </c>
      <c r="H2710" t="s">
        <v>119</v>
      </c>
      <c r="I2710">
        <v>32777</v>
      </c>
      <c r="J2710">
        <v>39115</v>
      </c>
    </row>
    <row r="2711" spans="1:10" x14ac:dyDescent="0.3">
      <c r="A2711" t="s">
        <v>2838</v>
      </c>
      <c r="B2711" s="1">
        <v>45835</v>
      </c>
      <c r="C2711" t="s">
        <v>74</v>
      </c>
      <c r="D2711">
        <v>26</v>
      </c>
      <c r="E2711" t="s">
        <v>33</v>
      </c>
      <c r="F2711" t="s">
        <v>29</v>
      </c>
      <c r="G2711" t="s">
        <v>20</v>
      </c>
      <c r="H2711" t="s">
        <v>123</v>
      </c>
      <c r="I2711">
        <v>15326</v>
      </c>
      <c r="J2711">
        <v>12403</v>
      </c>
    </row>
    <row r="2712" spans="1:10" x14ac:dyDescent="0.3">
      <c r="A2712" t="s">
        <v>2839</v>
      </c>
      <c r="B2712" s="1">
        <v>45918</v>
      </c>
      <c r="C2712" t="s">
        <v>38</v>
      </c>
      <c r="D2712">
        <v>38</v>
      </c>
      <c r="E2712" t="s">
        <v>24</v>
      </c>
      <c r="F2712" t="s">
        <v>13</v>
      </c>
      <c r="G2712" t="s">
        <v>35</v>
      </c>
      <c r="H2712" t="s">
        <v>103</v>
      </c>
      <c r="I2712">
        <v>38305</v>
      </c>
      <c r="J2712">
        <v>46185</v>
      </c>
    </row>
    <row r="2713" spans="1:10" x14ac:dyDescent="0.3">
      <c r="A2713" t="s">
        <v>2840</v>
      </c>
      <c r="B2713" s="1">
        <v>45810</v>
      </c>
      <c r="C2713" t="s">
        <v>74</v>
      </c>
      <c r="D2713">
        <v>23</v>
      </c>
      <c r="E2713" t="s">
        <v>39</v>
      </c>
      <c r="F2713" t="s">
        <v>109</v>
      </c>
      <c r="G2713" t="s">
        <v>324</v>
      </c>
      <c r="H2713" t="s">
        <v>151</v>
      </c>
      <c r="I2713">
        <v>39814</v>
      </c>
      <c r="J2713">
        <v>40914</v>
      </c>
    </row>
    <row r="2714" spans="1:10" x14ac:dyDescent="0.3">
      <c r="A2714" t="s">
        <v>2841</v>
      </c>
      <c r="B2714" s="1">
        <v>45800</v>
      </c>
      <c r="C2714" t="s">
        <v>90</v>
      </c>
      <c r="D2714">
        <v>21</v>
      </c>
      <c r="E2714" t="s">
        <v>61</v>
      </c>
      <c r="F2714" t="s">
        <v>57</v>
      </c>
      <c r="G2714" t="s">
        <v>132</v>
      </c>
      <c r="H2714" t="s">
        <v>155</v>
      </c>
      <c r="I2714">
        <v>17242</v>
      </c>
      <c r="J2714">
        <v>14763</v>
      </c>
    </row>
    <row r="2715" spans="1:10" x14ac:dyDescent="0.3">
      <c r="A2715" t="s">
        <v>2842</v>
      </c>
      <c r="B2715" s="1">
        <v>45711</v>
      </c>
      <c r="C2715" t="s">
        <v>82</v>
      </c>
      <c r="D2715">
        <v>8</v>
      </c>
      <c r="E2715" t="s">
        <v>12</v>
      </c>
      <c r="F2715" t="s">
        <v>140</v>
      </c>
      <c r="G2715" t="s">
        <v>93</v>
      </c>
      <c r="H2715" t="s">
        <v>133</v>
      </c>
      <c r="I2715">
        <v>37708</v>
      </c>
      <c r="J2715">
        <v>48222</v>
      </c>
    </row>
    <row r="2716" spans="1:10" x14ac:dyDescent="0.3">
      <c r="A2716" t="s">
        <v>2843</v>
      </c>
      <c r="B2716" s="1">
        <v>45741</v>
      </c>
      <c r="C2716" t="s">
        <v>95</v>
      </c>
      <c r="D2716">
        <v>13</v>
      </c>
      <c r="E2716" t="s">
        <v>12</v>
      </c>
      <c r="F2716" t="s">
        <v>50</v>
      </c>
      <c r="G2716" t="s">
        <v>30</v>
      </c>
      <c r="H2716" t="s">
        <v>48</v>
      </c>
      <c r="I2716">
        <v>26302</v>
      </c>
      <c r="J2716">
        <v>26920</v>
      </c>
    </row>
    <row r="2717" spans="1:10" x14ac:dyDescent="0.3">
      <c r="A2717" t="s">
        <v>2844</v>
      </c>
      <c r="B2717" s="1">
        <v>45908</v>
      </c>
      <c r="C2717" t="s">
        <v>38</v>
      </c>
      <c r="D2717">
        <v>37</v>
      </c>
      <c r="E2717" t="s">
        <v>70</v>
      </c>
      <c r="F2717" t="s">
        <v>13</v>
      </c>
      <c r="G2717" t="s">
        <v>54</v>
      </c>
      <c r="H2717" t="s">
        <v>111</v>
      </c>
      <c r="I2717">
        <v>33746</v>
      </c>
      <c r="J2717">
        <v>41876</v>
      </c>
    </row>
    <row r="2718" spans="1:10" x14ac:dyDescent="0.3">
      <c r="A2718" t="s">
        <v>2845</v>
      </c>
      <c r="B2718" s="1">
        <v>45937</v>
      </c>
      <c r="C2718" t="s">
        <v>66</v>
      </c>
      <c r="D2718">
        <v>41</v>
      </c>
      <c r="E2718" t="s">
        <v>70</v>
      </c>
      <c r="F2718" t="s">
        <v>34</v>
      </c>
      <c r="G2718" t="s">
        <v>141</v>
      </c>
      <c r="H2718" t="s">
        <v>15</v>
      </c>
      <c r="I2718">
        <v>39943</v>
      </c>
      <c r="J2718">
        <v>44484</v>
      </c>
    </row>
    <row r="2719" spans="1:10" x14ac:dyDescent="0.3">
      <c r="A2719" t="s">
        <v>2846</v>
      </c>
      <c r="B2719" s="1">
        <v>45867</v>
      </c>
      <c r="C2719" t="s">
        <v>11</v>
      </c>
      <c r="D2719">
        <v>31</v>
      </c>
      <c r="E2719" t="s">
        <v>61</v>
      </c>
      <c r="F2719" t="s">
        <v>78</v>
      </c>
      <c r="G2719" t="s">
        <v>230</v>
      </c>
      <c r="H2719" t="s">
        <v>163</v>
      </c>
      <c r="I2719">
        <v>29634</v>
      </c>
      <c r="J2719">
        <v>22608</v>
      </c>
    </row>
    <row r="2720" spans="1:10" x14ac:dyDescent="0.3">
      <c r="A2720" t="s">
        <v>2847</v>
      </c>
      <c r="B2720" s="1">
        <v>45985</v>
      </c>
      <c r="C2720" t="s">
        <v>23</v>
      </c>
      <c r="D2720">
        <v>48</v>
      </c>
      <c r="E2720" t="s">
        <v>24</v>
      </c>
      <c r="F2720" t="s">
        <v>57</v>
      </c>
      <c r="G2720" t="s">
        <v>291</v>
      </c>
      <c r="H2720" t="s">
        <v>155</v>
      </c>
      <c r="I2720">
        <v>32341</v>
      </c>
      <c r="J2720">
        <v>41230</v>
      </c>
    </row>
    <row r="2721" spans="1:10" x14ac:dyDescent="0.3">
      <c r="A2721" t="s">
        <v>2848</v>
      </c>
      <c r="B2721" s="1">
        <v>45999</v>
      </c>
      <c r="C2721" t="s">
        <v>100</v>
      </c>
      <c r="D2721">
        <v>50</v>
      </c>
      <c r="E2721" t="s">
        <v>61</v>
      </c>
      <c r="F2721" t="s">
        <v>87</v>
      </c>
      <c r="G2721" t="s">
        <v>224</v>
      </c>
      <c r="H2721" t="s">
        <v>133</v>
      </c>
      <c r="I2721">
        <v>16554</v>
      </c>
      <c r="J2721">
        <v>18754</v>
      </c>
    </row>
    <row r="2722" spans="1:10" x14ac:dyDescent="0.3">
      <c r="A2722" t="s">
        <v>2849</v>
      </c>
      <c r="B2722" s="1">
        <v>45887</v>
      </c>
      <c r="C2722" t="s">
        <v>113</v>
      </c>
      <c r="D2722">
        <v>34</v>
      </c>
      <c r="E2722" t="s">
        <v>33</v>
      </c>
      <c r="F2722" t="s">
        <v>122</v>
      </c>
      <c r="G2722" t="s">
        <v>110</v>
      </c>
      <c r="H2722" t="s">
        <v>119</v>
      </c>
      <c r="I2722">
        <v>17058</v>
      </c>
      <c r="J2722">
        <v>19424</v>
      </c>
    </row>
    <row r="2723" spans="1:10" x14ac:dyDescent="0.3">
      <c r="A2723" t="s">
        <v>2850</v>
      </c>
      <c r="B2723" s="1">
        <v>45858</v>
      </c>
      <c r="C2723" t="s">
        <v>11</v>
      </c>
      <c r="D2723">
        <v>29</v>
      </c>
      <c r="E2723" t="s">
        <v>24</v>
      </c>
      <c r="F2723" t="s">
        <v>57</v>
      </c>
      <c r="G2723" t="s">
        <v>76</v>
      </c>
      <c r="H2723" t="s">
        <v>155</v>
      </c>
      <c r="I2723">
        <v>19916</v>
      </c>
      <c r="J2723">
        <v>18129</v>
      </c>
    </row>
    <row r="2724" spans="1:10" x14ac:dyDescent="0.3">
      <c r="A2724" t="s">
        <v>2851</v>
      </c>
      <c r="B2724" s="1">
        <v>45745</v>
      </c>
      <c r="C2724" t="s">
        <v>95</v>
      </c>
      <c r="D2724">
        <v>13</v>
      </c>
      <c r="E2724" t="s">
        <v>18</v>
      </c>
      <c r="F2724" t="s">
        <v>19</v>
      </c>
      <c r="G2724" t="s">
        <v>291</v>
      </c>
      <c r="H2724" t="s">
        <v>64</v>
      </c>
      <c r="I2724">
        <v>27137</v>
      </c>
      <c r="J2724">
        <v>24796</v>
      </c>
    </row>
    <row r="2725" spans="1:10" x14ac:dyDescent="0.3">
      <c r="A2725" t="s">
        <v>2852</v>
      </c>
      <c r="B2725" s="1">
        <v>45801</v>
      </c>
      <c r="C2725" t="s">
        <v>90</v>
      </c>
      <c r="D2725">
        <v>21</v>
      </c>
      <c r="E2725" t="s">
        <v>12</v>
      </c>
      <c r="F2725" t="s">
        <v>122</v>
      </c>
      <c r="G2725" t="s">
        <v>88</v>
      </c>
      <c r="H2725" t="s">
        <v>48</v>
      </c>
      <c r="I2725">
        <v>19616</v>
      </c>
      <c r="J2725">
        <v>22225</v>
      </c>
    </row>
    <row r="2726" spans="1:10" x14ac:dyDescent="0.3">
      <c r="A2726" t="s">
        <v>2853</v>
      </c>
      <c r="B2726" s="1">
        <v>45691</v>
      </c>
      <c r="C2726" t="s">
        <v>82</v>
      </c>
      <c r="D2726">
        <v>6</v>
      </c>
      <c r="E2726" t="s">
        <v>39</v>
      </c>
      <c r="F2726" t="s">
        <v>114</v>
      </c>
      <c r="G2726" t="s">
        <v>240</v>
      </c>
      <c r="H2726" t="s">
        <v>103</v>
      </c>
      <c r="I2726">
        <v>18099</v>
      </c>
      <c r="J2726">
        <v>15439</v>
      </c>
    </row>
    <row r="2727" spans="1:10" x14ac:dyDescent="0.3">
      <c r="A2727" t="s">
        <v>2854</v>
      </c>
      <c r="B2727" s="1">
        <v>45859</v>
      </c>
      <c r="C2727" t="s">
        <v>11</v>
      </c>
      <c r="D2727">
        <v>30</v>
      </c>
      <c r="E2727" t="s">
        <v>33</v>
      </c>
      <c r="F2727" t="s">
        <v>13</v>
      </c>
      <c r="G2727" t="s">
        <v>147</v>
      </c>
      <c r="H2727" t="s">
        <v>84</v>
      </c>
      <c r="I2727">
        <v>31992</v>
      </c>
      <c r="J2727">
        <v>37086</v>
      </c>
    </row>
    <row r="2728" spans="1:10" x14ac:dyDescent="0.3">
      <c r="A2728" t="s">
        <v>2855</v>
      </c>
      <c r="B2728" s="1">
        <v>45806</v>
      </c>
      <c r="C2728" t="s">
        <v>90</v>
      </c>
      <c r="D2728">
        <v>22</v>
      </c>
      <c r="E2728" t="s">
        <v>24</v>
      </c>
      <c r="F2728" t="s">
        <v>140</v>
      </c>
      <c r="G2728" t="s">
        <v>93</v>
      </c>
      <c r="H2728" t="s">
        <v>64</v>
      </c>
      <c r="I2728">
        <v>22604</v>
      </c>
      <c r="J2728">
        <v>16053</v>
      </c>
    </row>
    <row r="2729" spans="1:10" x14ac:dyDescent="0.3">
      <c r="A2729" t="s">
        <v>2856</v>
      </c>
      <c r="B2729" s="1">
        <v>45686</v>
      </c>
      <c r="C2729" t="s">
        <v>17</v>
      </c>
      <c r="D2729">
        <v>5</v>
      </c>
      <c r="E2729" t="s">
        <v>39</v>
      </c>
      <c r="F2729" t="s">
        <v>101</v>
      </c>
      <c r="G2729" t="s">
        <v>128</v>
      </c>
      <c r="H2729" t="s">
        <v>111</v>
      </c>
      <c r="I2729">
        <v>39806</v>
      </c>
      <c r="J2729">
        <v>45204</v>
      </c>
    </row>
    <row r="2730" spans="1:10" x14ac:dyDescent="0.3">
      <c r="A2730" t="s">
        <v>2857</v>
      </c>
      <c r="B2730" s="1">
        <v>45707</v>
      </c>
      <c r="C2730" t="s">
        <v>82</v>
      </c>
      <c r="D2730">
        <v>8</v>
      </c>
      <c r="E2730" t="s">
        <v>18</v>
      </c>
      <c r="F2730" t="s">
        <v>114</v>
      </c>
      <c r="G2730" t="s">
        <v>40</v>
      </c>
      <c r="H2730" t="s">
        <v>52</v>
      </c>
      <c r="I2730">
        <v>31772</v>
      </c>
      <c r="J2730">
        <v>38184</v>
      </c>
    </row>
    <row r="2731" spans="1:10" x14ac:dyDescent="0.3">
      <c r="A2731" t="s">
        <v>2858</v>
      </c>
      <c r="B2731" s="1">
        <v>45679</v>
      </c>
      <c r="C2731" t="s">
        <v>17</v>
      </c>
      <c r="D2731">
        <v>4</v>
      </c>
      <c r="E2731" t="s">
        <v>33</v>
      </c>
      <c r="F2731" t="s">
        <v>50</v>
      </c>
      <c r="G2731" t="s">
        <v>191</v>
      </c>
      <c r="H2731" t="s">
        <v>80</v>
      </c>
      <c r="I2731">
        <v>25190</v>
      </c>
      <c r="J2731">
        <v>21343</v>
      </c>
    </row>
    <row r="2732" spans="1:10" x14ac:dyDescent="0.3">
      <c r="A2732" t="s">
        <v>2859</v>
      </c>
      <c r="B2732" s="1">
        <v>45691</v>
      </c>
      <c r="C2732" t="s">
        <v>82</v>
      </c>
      <c r="D2732">
        <v>6</v>
      </c>
      <c r="E2732" t="s">
        <v>18</v>
      </c>
      <c r="F2732" t="s">
        <v>50</v>
      </c>
      <c r="G2732" t="s">
        <v>324</v>
      </c>
      <c r="H2732" t="s">
        <v>41</v>
      </c>
      <c r="I2732">
        <v>36985</v>
      </c>
      <c r="J2732">
        <v>40746</v>
      </c>
    </row>
    <row r="2733" spans="1:10" x14ac:dyDescent="0.3">
      <c r="A2733" t="s">
        <v>2860</v>
      </c>
      <c r="B2733" s="1">
        <v>45886</v>
      </c>
      <c r="C2733" t="s">
        <v>113</v>
      </c>
      <c r="D2733">
        <v>33</v>
      </c>
      <c r="E2733" t="s">
        <v>70</v>
      </c>
      <c r="F2733" t="s">
        <v>43</v>
      </c>
      <c r="G2733" t="s">
        <v>26</v>
      </c>
      <c r="H2733" t="s">
        <v>36</v>
      </c>
      <c r="I2733">
        <v>15370</v>
      </c>
      <c r="J2733">
        <v>18487</v>
      </c>
    </row>
    <row r="2734" spans="1:10" x14ac:dyDescent="0.3">
      <c r="A2734" t="s">
        <v>2861</v>
      </c>
      <c r="B2734" s="1">
        <v>45819</v>
      </c>
      <c r="C2734" t="s">
        <v>74</v>
      </c>
      <c r="D2734">
        <v>24</v>
      </c>
      <c r="E2734" t="s">
        <v>39</v>
      </c>
      <c r="F2734" t="s">
        <v>140</v>
      </c>
      <c r="G2734" t="s">
        <v>63</v>
      </c>
      <c r="H2734" t="s">
        <v>103</v>
      </c>
      <c r="I2734">
        <v>27002</v>
      </c>
      <c r="J2734">
        <v>25723</v>
      </c>
    </row>
    <row r="2735" spans="1:10" x14ac:dyDescent="0.3">
      <c r="A2735" t="s">
        <v>2862</v>
      </c>
      <c r="B2735" s="1">
        <v>45920</v>
      </c>
      <c r="C2735" t="s">
        <v>38</v>
      </c>
      <c r="D2735">
        <v>38</v>
      </c>
      <c r="E2735" t="s">
        <v>18</v>
      </c>
      <c r="F2735" t="s">
        <v>62</v>
      </c>
      <c r="G2735" t="s">
        <v>324</v>
      </c>
      <c r="H2735" t="s">
        <v>155</v>
      </c>
      <c r="I2735">
        <v>29218</v>
      </c>
      <c r="J2735">
        <v>35787</v>
      </c>
    </row>
    <row r="2736" spans="1:10" x14ac:dyDescent="0.3">
      <c r="A2736" t="s">
        <v>2863</v>
      </c>
      <c r="B2736" s="1">
        <v>45660</v>
      </c>
      <c r="C2736" t="s">
        <v>17</v>
      </c>
      <c r="D2736">
        <v>1</v>
      </c>
      <c r="E2736" t="s">
        <v>12</v>
      </c>
      <c r="F2736" t="s">
        <v>57</v>
      </c>
      <c r="G2736" t="s">
        <v>58</v>
      </c>
      <c r="H2736" t="s">
        <v>163</v>
      </c>
      <c r="I2736">
        <v>32069</v>
      </c>
      <c r="J2736">
        <v>23074</v>
      </c>
    </row>
    <row r="2737" spans="1:10" x14ac:dyDescent="0.3">
      <c r="A2737" t="s">
        <v>2864</v>
      </c>
      <c r="B2737" s="1">
        <v>45665</v>
      </c>
      <c r="C2737" t="s">
        <v>17</v>
      </c>
      <c r="D2737">
        <v>2</v>
      </c>
      <c r="E2737" t="s">
        <v>18</v>
      </c>
      <c r="F2737" t="s">
        <v>50</v>
      </c>
      <c r="G2737" t="s">
        <v>135</v>
      </c>
      <c r="H2737" t="s">
        <v>188</v>
      </c>
      <c r="I2737">
        <v>23026</v>
      </c>
      <c r="J2737">
        <v>17810</v>
      </c>
    </row>
    <row r="2738" spans="1:10" x14ac:dyDescent="0.3">
      <c r="A2738" t="s">
        <v>2865</v>
      </c>
      <c r="B2738" s="1">
        <v>45705</v>
      </c>
      <c r="C2738" t="s">
        <v>82</v>
      </c>
      <c r="D2738">
        <v>8</v>
      </c>
      <c r="E2738" t="s">
        <v>61</v>
      </c>
      <c r="F2738" t="s">
        <v>122</v>
      </c>
      <c r="G2738" t="s">
        <v>58</v>
      </c>
      <c r="H2738" t="s">
        <v>123</v>
      </c>
      <c r="I2738">
        <v>26217</v>
      </c>
      <c r="J2738">
        <v>33501</v>
      </c>
    </row>
    <row r="2739" spans="1:10" x14ac:dyDescent="0.3">
      <c r="A2739" t="s">
        <v>2866</v>
      </c>
      <c r="B2739" s="1">
        <v>45995</v>
      </c>
      <c r="C2739" t="s">
        <v>100</v>
      </c>
      <c r="D2739">
        <v>49</v>
      </c>
      <c r="E2739" t="s">
        <v>12</v>
      </c>
      <c r="F2739" t="s">
        <v>50</v>
      </c>
      <c r="G2739" t="s">
        <v>130</v>
      </c>
      <c r="H2739" t="s">
        <v>84</v>
      </c>
      <c r="I2739">
        <v>23104</v>
      </c>
      <c r="J2739">
        <v>16969</v>
      </c>
    </row>
    <row r="2740" spans="1:10" x14ac:dyDescent="0.3">
      <c r="A2740" t="s">
        <v>2867</v>
      </c>
      <c r="B2740" s="1">
        <v>45915</v>
      </c>
      <c r="C2740" t="s">
        <v>38</v>
      </c>
      <c r="D2740">
        <v>38</v>
      </c>
      <c r="E2740" t="s">
        <v>18</v>
      </c>
      <c r="F2740" t="s">
        <v>75</v>
      </c>
      <c r="G2740" t="s">
        <v>145</v>
      </c>
      <c r="H2740" t="s">
        <v>64</v>
      </c>
      <c r="I2740">
        <v>27281</v>
      </c>
      <c r="J2740">
        <v>27132</v>
      </c>
    </row>
    <row r="2741" spans="1:10" x14ac:dyDescent="0.3">
      <c r="A2741" t="s">
        <v>2868</v>
      </c>
      <c r="B2741" s="1">
        <v>45993</v>
      </c>
      <c r="C2741" t="s">
        <v>100</v>
      </c>
      <c r="D2741">
        <v>49</v>
      </c>
      <c r="E2741" t="s">
        <v>12</v>
      </c>
      <c r="F2741" t="s">
        <v>50</v>
      </c>
      <c r="G2741" t="s">
        <v>253</v>
      </c>
      <c r="H2741" t="s">
        <v>27</v>
      </c>
      <c r="I2741">
        <v>37626</v>
      </c>
      <c r="J2741">
        <v>35499</v>
      </c>
    </row>
    <row r="2742" spans="1:10" x14ac:dyDescent="0.3">
      <c r="A2742" t="s">
        <v>2869</v>
      </c>
      <c r="B2742" s="1">
        <v>45864</v>
      </c>
      <c r="C2742" t="s">
        <v>11</v>
      </c>
      <c r="D2742">
        <v>30</v>
      </c>
      <c r="E2742" t="s">
        <v>61</v>
      </c>
      <c r="F2742" t="s">
        <v>25</v>
      </c>
      <c r="G2742" t="s">
        <v>230</v>
      </c>
      <c r="H2742" t="s">
        <v>188</v>
      </c>
      <c r="I2742">
        <v>36386</v>
      </c>
      <c r="J2742">
        <v>39964</v>
      </c>
    </row>
    <row r="2743" spans="1:10" x14ac:dyDescent="0.3">
      <c r="A2743" t="s">
        <v>2870</v>
      </c>
      <c r="B2743" s="1">
        <v>45993</v>
      </c>
      <c r="C2743" t="s">
        <v>100</v>
      </c>
      <c r="D2743">
        <v>49</v>
      </c>
      <c r="E2743" t="s">
        <v>39</v>
      </c>
      <c r="F2743" t="s">
        <v>19</v>
      </c>
      <c r="G2743" t="s">
        <v>44</v>
      </c>
      <c r="H2743" t="s">
        <v>80</v>
      </c>
      <c r="I2743">
        <v>30113</v>
      </c>
      <c r="J2743">
        <v>36336</v>
      </c>
    </row>
    <row r="2744" spans="1:10" x14ac:dyDescent="0.3">
      <c r="A2744" t="s">
        <v>2871</v>
      </c>
      <c r="B2744" s="1">
        <v>45888</v>
      </c>
      <c r="C2744" t="s">
        <v>113</v>
      </c>
      <c r="D2744">
        <v>34</v>
      </c>
      <c r="E2744" t="s">
        <v>39</v>
      </c>
      <c r="F2744" t="s">
        <v>57</v>
      </c>
      <c r="G2744" t="s">
        <v>67</v>
      </c>
      <c r="H2744" t="s">
        <v>98</v>
      </c>
      <c r="I2744">
        <v>28288</v>
      </c>
      <c r="J2744">
        <v>20247</v>
      </c>
    </row>
    <row r="2745" spans="1:10" x14ac:dyDescent="0.3">
      <c r="A2745" t="s">
        <v>2872</v>
      </c>
      <c r="B2745" s="1">
        <v>45977</v>
      </c>
      <c r="C2745" t="s">
        <v>23</v>
      </c>
      <c r="D2745">
        <v>46</v>
      </c>
      <c r="E2745" t="s">
        <v>33</v>
      </c>
      <c r="F2745" t="s">
        <v>62</v>
      </c>
      <c r="G2745" t="s">
        <v>26</v>
      </c>
      <c r="H2745" t="s">
        <v>103</v>
      </c>
      <c r="I2745">
        <v>36197</v>
      </c>
      <c r="J2745">
        <v>29861</v>
      </c>
    </row>
    <row r="2746" spans="1:10" x14ac:dyDescent="0.3">
      <c r="A2746" t="s">
        <v>2873</v>
      </c>
      <c r="B2746" s="1">
        <v>45960</v>
      </c>
      <c r="C2746" t="s">
        <v>66</v>
      </c>
      <c r="D2746">
        <v>44</v>
      </c>
      <c r="E2746" t="s">
        <v>70</v>
      </c>
      <c r="F2746" t="s">
        <v>87</v>
      </c>
      <c r="G2746" t="s">
        <v>88</v>
      </c>
      <c r="H2746" t="s">
        <v>211</v>
      </c>
      <c r="I2746">
        <v>18428</v>
      </c>
      <c r="J2746">
        <v>20586</v>
      </c>
    </row>
    <row r="2747" spans="1:10" x14ac:dyDescent="0.3">
      <c r="A2747" t="s">
        <v>2874</v>
      </c>
      <c r="B2747" s="1">
        <v>45671</v>
      </c>
      <c r="C2747" t="s">
        <v>17</v>
      </c>
      <c r="D2747">
        <v>3</v>
      </c>
      <c r="E2747" t="s">
        <v>12</v>
      </c>
      <c r="F2747" t="s">
        <v>140</v>
      </c>
      <c r="G2747" t="s">
        <v>171</v>
      </c>
      <c r="H2747" t="s">
        <v>116</v>
      </c>
      <c r="I2747">
        <v>19942</v>
      </c>
      <c r="J2747">
        <v>20923</v>
      </c>
    </row>
    <row r="2748" spans="1:10" x14ac:dyDescent="0.3">
      <c r="A2748" t="s">
        <v>2875</v>
      </c>
      <c r="B2748" s="1">
        <v>45745</v>
      </c>
      <c r="C2748" t="s">
        <v>95</v>
      </c>
      <c r="D2748">
        <v>13</v>
      </c>
      <c r="E2748" t="s">
        <v>12</v>
      </c>
      <c r="F2748" t="s">
        <v>57</v>
      </c>
      <c r="G2748" t="s">
        <v>230</v>
      </c>
      <c r="H2748" t="s">
        <v>165</v>
      </c>
      <c r="I2748">
        <v>36834</v>
      </c>
      <c r="J2748">
        <v>40480</v>
      </c>
    </row>
    <row r="2749" spans="1:10" x14ac:dyDescent="0.3">
      <c r="A2749" t="s">
        <v>2876</v>
      </c>
      <c r="B2749" s="1">
        <v>45815</v>
      </c>
      <c r="C2749" t="s">
        <v>74</v>
      </c>
      <c r="D2749">
        <v>23</v>
      </c>
      <c r="E2749" t="s">
        <v>70</v>
      </c>
      <c r="F2749" t="s">
        <v>78</v>
      </c>
      <c r="G2749" t="s">
        <v>132</v>
      </c>
      <c r="H2749" t="s">
        <v>64</v>
      </c>
      <c r="I2749">
        <v>32245</v>
      </c>
      <c r="J2749">
        <v>36212</v>
      </c>
    </row>
    <row r="2750" spans="1:10" x14ac:dyDescent="0.3">
      <c r="A2750" t="s">
        <v>2877</v>
      </c>
      <c r="B2750" s="1">
        <v>45781</v>
      </c>
      <c r="C2750" t="s">
        <v>90</v>
      </c>
      <c r="D2750">
        <v>18</v>
      </c>
      <c r="E2750" t="s">
        <v>39</v>
      </c>
      <c r="F2750" t="s">
        <v>193</v>
      </c>
      <c r="G2750" t="s">
        <v>88</v>
      </c>
      <c r="H2750" t="s">
        <v>188</v>
      </c>
      <c r="I2750">
        <v>25668</v>
      </c>
      <c r="J2750">
        <v>30181</v>
      </c>
    </row>
    <row r="2751" spans="1:10" x14ac:dyDescent="0.3">
      <c r="A2751" t="s">
        <v>2878</v>
      </c>
      <c r="B2751" s="1">
        <v>45723</v>
      </c>
      <c r="C2751" t="s">
        <v>95</v>
      </c>
      <c r="D2751">
        <v>10</v>
      </c>
      <c r="E2751" t="s">
        <v>12</v>
      </c>
      <c r="F2751" t="s">
        <v>101</v>
      </c>
      <c r="G2751" t="s">
        <v>132</v>
      </c>
      <c r="H2751" t="s">
        <v>111</v>
      </c>
      <c r="I2751">
        <v>33758</v>
      </c>
      <c r="J2751">
        <v>43208</v>
      </c>
    </row>
    <row r="2752" spans="1:10" x14ac:dyDescent="0.3">
      <c r="A2752" t="s">
        <v>2879</v>
      </c>
      <c r="B2752" s="1">
        <v>45976</v>
      </c>
      <c r="C2752" t="s">
        <v>23</v>
      </c>
      <c r="D2752">
        <v>46</v>
      </c>
      <c r="E2752" t="s">
        <v>61</v>
      </c>
      <c r="F2752" t="s">
        <v>92</v>
      </c>
      <c r="G2752" t="s">
        <v>110</v>
      </c>
      <c r="H2752" t="s">
        <v>163</v>
      </c>
      <c r="I2752">
        <v>36876</v>
      </c>
      <c r="J2752">
        <v>43056</v>
      </c>
    </row>
    <row r="2753" spans="1:10" x14ac:dyDescent="0.3">
      <c r="A2753" t="s">
        <v>2880</v>
      </c>
      <c r="B2753" s="1">
        <v>45841</v>
      </c>
      <c r="C2753" t="s">
        <v>11</v>
      </c>
      <c r="D2753">
        <v>27</v>
      </c>
      <c r="E2753" t="s">
        <v>61</v>
      </c>
      <c r="F2753" t="s">
        <v>50</v>
      </c>
      <c r="G2753" t="s">
        <v>234</v>
      </c>
      <c r="H2753" t="s">
        <v>157</v>
      </c>
      <c r="I2753">
        <v>37106</v>
      </c>
      <c r="J2753">
        <v>31981</v>
      </c>
    </row>
    <row r="2754" spans="1:10" x14ac:dyDescent="0.3">
      <c r="A2754" t="s">
        <v>2881</v>
      </c>
      <c r="B2754" s="1">
        <v>45732</v>
      </c>
      <c r="C2754" t="s">
        <v>95</v>
      </c>
      <c r="D2754">
        <v>11</v>
      </c>
      <c r="E2754" t="s">
        <v>33</v>
      </c>
      <c r="F2754" t="s">
        <v>34</v>
      </c>
      <c r="G2754" t="s">
        <v>14</v>
      </c>
      <c r="H2754" t="s">
        <v>80</v>
      </c>
      <c r="I2754">
        <v>34217</v>
      </c>
      <c r="J2754">
        <v>39098</v>
      </c>
    </row>
    <row r="2755" spans="1:10" x14ac:dyDescent="0.3">
      <c r="A2755" t="s">
        <v>2882</v>
      </c>
      <c r="B2755" s="1">
        <v>45999</v>
      </c>
      <c r="C2755" t="s">
        <v>100</v>
      </c>
      <c r="D2755">
        <v>50</v>
      </c>
      <c r="E2755" t="s">
        <v>39</v>
      </c>
      <c r="F2755" t="s">
        <v>78</v>
      </c>
      <c r="G2755" t="s">
        <v>107</v>
      </c>
      <c r="H2755" t="s">
        <v>98</v>
      </c>
      <c r="I2755">
        <v>22298</v>
      </c>
      <c r="J2755">
        <v>23042</v>
      </c>
    </row>
    <row r="2756" spans="1:10" x14ac:dyDescent="0.3">
      <c r="A2756" t="s">
        <v>2883</v>
      </c>
      <c r="B2756" s="1">
        <v>45869</v>
      </c>
      <c r="C2756" t="s">
        <v>11</v>
      </c>
      <c r="D2756">
        <v>31</v>
      </c>
      <c r="E2756" t="s">
        <v>70</v>
      </c>
      <c r="F2756" t="s">
        <v>193</v>
      </c>
      <c r="G2756" t="s">
        <v>51</v>
      </c>
      <c r="H2756" t="s">
        <v>31</v>
      </c>
      <c r="I2756">
        <v>18058</v>
      </c>
      <c r="J2756">
        <v>14968</v>
      </c>
    </row>
    <row r="2757" spans="1:10" x14ac:dyDescent="0.3">
      <c r="A2757" t="s">
        <v>2884</v>
      </c>
      <c r="B2757" s="1">
        <v>45927</v>
      </c>
      <c r="C2757" t="s">
        <v>38</v>
      </c>
      <c r="D2757">
        <v>39</v>
      </c>
      <c r="E2757" t="s">
        <v>70</v>
      </c>
      <c r="F2757" t="s">
        <v>62</v>
      </c>
      <c r="G2757" t="s">
        <v>115</v>
      </c>
      <c r="H2757" t="s">
        <v>52</v>
      </c>
      <c r="I2757">
        <v>31633</v>
      </c>
      <c r="J2757">
        <v>36582</v>
      </c>
    </row>
    <row r="2758" spans="1:10" x14ac:dyDescent="0.3">
      <c r="A2758" t="s">
        <v>2885</v>
      </c>
      <c r="B2758" s="1">
        <v>45739</v>
      </c>
      <c r="C2758" t="s">
        <v>95</v>
      </c>
      <c r="D2758">
        <v>12</v>
      </c>
      <c r="E2758" t="s">
        <v>39</v>
      </c>
      <c r="F2758" t="s">
        <v>57</v>
      </c>
      <c r="G2758" t="s">
        <v>141</v>
      </c>
      <c r="H2758" t="s">
        <v>68</v>
      </c>
      <c r="I2758">
        <v>31378</v>
      </c>
      <c r="J2758">
        <v>37910</v>
      </c>
    </row>
    <row r="2759" spans="1:10" x14ac:dyDescent="0.3">
      <c r="A2759" t="s">
        <v>2886</v>
      </c>
      <c r="B2759" s="1">
        <v>45743</v>
      </c>
      <c r="C2759" t="s">
        <v>95</v>
      </c>
      <c r="D2759">
        <v>13</v>
      </c>
      <c r="E2759" t="s">
        <v>12</v>
      </c>
      <c r="F2759" t="s">
        <v>13</v>
      </c>
      <c r="G2759" t="s">
        <v>201</v>
      </c>
      <c r="H2759" t="s">
        <v>41</v>
      </c>
      <c r="I2759">
        <v>18968</v>
      </c>
      <c r="J2759">
        <v>14862</v>
      </c>
    </row>
    <row r="2760" spans="1:10" x14ac:dyDescent="0.3">
      <c r="A2760" t="s">
        <v>2887</v>
      </c>
      <c r="B2760" s="1">
        <v>45784</v>
      </c>
      <c r="C2760" t="s">
        <v>90</v>
      </c>
      <c r="D2760">
        <v>19</v>
      </c>
      <c r="E2760" t="s">
        <v>18</v>
      </c>
      <c r="F2760" t="s">
        <v>62</v>
      </c>
      <c r="G2760" t="s">
        <v>253</v>
      </c>
      <c r="H2760" t="s">
        <v>64</v>
      </c>
      <c r="I2760">
        <v>31248</v>
      </c>
      <c r="J2760">
        <v>22117</v>
      </c>
    </row>
    <row r="2761" spans="1:10" x14ac:dyDescent="0.3">
      <c r="A2761" t="s">
        <v>2888</v>
      </c>
      <c r="B2761" s="1">
        <v>45989</v>
      </c>
      <c r="C2761" t="s">
        <v>23</v>
      </c>
      <c r="D2761">
        <v>48</v>
      </c>
      <c r="E2761" t="s">
        <v>39</v>
      </c>
      <c r="F2761" t="s">
        <v>78</v>
      </c>
      <c r="G2761" t="s">
        <v>230</v>
      </c>
      <c r="H2761" t="s">
        <v>80</v>
      </c>
      <c r="I2761">
        <v>24453</v>
      </c>
      <c r="J2761">
        <v>18121</v>
      </c>
    </row>
    <row r="2762" spans="1:10" x14ac:dyDescent="0.3">
      <c r="A2762" t="s">
        <v>2889</v>
      </c>
      <c r="B2762" s="1">
        <v>45686</v>
      </c>
      <c r="C2762" t="s">
        <v>17</v>
      </c>
      <c r="D2762">
        <v>5</v>
      </c>
      <c r="E2762" t="s">
        <v>24</v>
      </c>
      <c r="F2762" t="s">
        <v>114</v>
      </c>
      <c r="G2762" t="s">
        <v>26</v>
      </c>
      <c r="H2762" t="s">
        <v>15</v>
      </c>
      <c r="I2762">
        <v>19657</v>
      </c>
      <c r="J2762">
        <v>14235</v>
      </c>
    </row>
    <row r="2763" spans="1:10" x14ac:dyDescent="0.3">
      <c r="A2763" t="s">
        <v>2890</v>
      </c>
      <c r="B2763" s="1">
        <v>46017</v>
      </c>
      <c r="C2763" t="s">
        <v>100</v>
      </c>
      <c r="D2763">
        <v>52</v>
      </c>
      <c r="E2763" t="s">
        <v>33</v>
      </c>
      <c r="F2763" t="s">
        <v>19</v>
      </c>
      <c r="G2763" t="s">
        <v>160</v>
      </c>
      <c r="H2763" t="s">
        <v>52</v>
      </c>
      <c r="I2763">
        <v>24381</v>
      </c>
      <c r="J2763">
        <v>22394</v>
      </c>
    </row>
    <row r="2764" spans="1:10" x14ac:dyDescent="0.3">
      <c r="A2764" t="s">
        <v>2891</v>
      </c>
      <c r="B2764" s="1">
        <v>45914</v>
      </c>
      <c r="C2764" t="s">
        <v>38</v>
      </c>
      <c r="D2764">
        <v>37</v>
      </c>
      <c r="E2764" t="s">
        <v>33</v>
      </c>
      <c r="F2764" t="s">
        <v>43</v>
      </c>
      <c r="G2764" t="s">
        <v>253</v>
      </c>
      <c r="H2764" t="s">
        <v>52</v>
      </c>
      <c r="I2764">
        <v>22268</v>
      </c>
      <c r="J2764">
        <v>18191</v>
      </c>
    </row>
    <row r="2765" spans="1:10" x14ac:dyDescent="0.3">
      <c r="A2765" t="s">
        <v>2892</v>
      </c>
      <c r="B2765" s="1">
        <v>45826</v>
      </c>
      <c r="C2765" t="s">
        <v>74</v>
      </c>
      <c r="D2765">
        <v>25</v>
      </c>
      <c r="E2765" t="s">
        <v>70</v>
      </c>
      <c r="F2765" t="s">
        <v>101</v>
      </c>
      <c r="G2765" t="s">
        <v>201</v>
      </c>
      <c r="H2765" t="s">
        <v>27</v>
      </c>
      <c r="I2765">
        <v>36076</v>
      </c>
      <c r="J2765">
        <v>26962</v>
      </c>
    </row>
    <row r="2766" spans="1:10" x14ac:dyDescent="0.3">
      <c r="A2766" t="s">
        <v>2893</v>
      </c>
      <c r="B2766" s="1">
        <v>45690</v>
      </c>
      <c r="C2766" t="s">
        <v>82</v>
      </c>
      <c r="D2766">
        <v>5</v>
      </c>
      <c r="E2766" t="s">
        <v>24</v>
      </c>
      <c r="F2766" t="s">
        <v>46</v>
      </c>
      <c r="G2766" t="s">
        <v>88</v>
      </c>
      <c r="H2766" t="s">
        <v>52</v>
      </c>
      <c r="I2766">
        <v>22153</v>
      </c>
      <c r="J2766">
        <v>27905</v>
      </c>
    </row>
    <row r="2767" spans="1:10" x14ac:dyDescent="0.3">
      <c r="A2767" t="s">
        <v>2894</v>
      </c>
      <c r="B2767" s="1">
        <v>45727</v>
      </c>
      <c r="C2767" t="s">
        <v>95</v>
      </c>
      <c r="D2767">
        <v>11</v>
      </c>
      <c r="E2767" t="s">
        <v>39</v>
      </c>
      <c r="F2767" t="s">
        <v>109</v>
      </c>
      <c r="G2767" t="s">
        <v>102</v>
      </c>
      <c r="H2767" t="s">
        <v>151</v>
      </c>
      <c r="I2767">
        <v>39068</v>
      </c>
      <c r="J2767">
        <v>46027</v>
      </c>
    </row>
    <row r="2768" spans="1:10" x14ac:dyDescent="0.3">
      <c r="A2768" t="s">
        <v>2895</v>
      </c>
      <c r="B2768" s="1">
        <v>45684</v>
      </c>
      <c r="C2768" t="s">
        <v>17</v>
      </c>
      <c r="D2768">
        <v>5</v>
      </c>
      <c r="E2768" t="s">
        <v>24</v>
      </c>
      <c r="F2768" t="s">
        <v>13</v>
      </c>
      <c r="G2768" t="s">
        <v>72</v>
      </c>
      <c r="H2768" t="s">
        <v>96</v>
      </c>
      <c r="I2768">
        <v>28166</v>
      </c>
      <c r="J2768">
        <v>23784</v>
      </c>
    </row>
    <row r="2769" spans="1:10" x14ac:dyDescent="0.3">
      <c r="A2769" t="s">
        <v>2896</v>
      </c>
      <c r="B2769" s="1">
        <v>45786</v>
      </c>
      <c r="C2769" t="s">
        <v>90</v>
      </c>
      <c r="D2769">
        <v>19</v>
      </c>
      <c r="E2769" t="s">
        <v>24</v>
      </c>
      <c r="F2769" t="s">
        <v>13</v>
      </c>
      <c r="G2769" t="s">
        <v>58</v>
      </c>
      <c r="H2769" t="s">
        <v>133</v>
      </c>
      <c r="I2769">
        <v>26957</v>
      </c>
      <c r="J2769">
        <v>25483</v>
      </c>
    </row>
    <row r="2770" spans="1:10" x14ac:dyDescent="0.3">
      <c r="A2770" t="s">
        <v>2897</v>
      </c>
      <c r="B2770" s="1">
        <v>45771</v>
      </c>
      <c r="C2770" t="s">
        <v>86</v>
      </c>
      <c r="D2770">
        <v>17</v>
      </c>
      <c r="E2770" t="s">
        <v>12</v>
      </c>
      <c r="F2770" t="s">
        <v>29</v>
      </c>
      <c r="G2770" t="s">
        <v>44</v>
      </c>
      <c r="H2770" t="s">
        <v>98</v>
      </c>
      <c r="I2770">
        <v>36822</v>
      </c>
      <c r="J2770">
        <v>44799</v>
      </c>
    </row>
    <row r="2771" spans="1:10" x14ac:dyDescent="0.3">
      <c r="A2771" t="s">
        <v>2898</v>
      </c>
      <c r="B2771" s="1">
        <v>45678</v>
      </c>
      <c r="C2771" t="s">
        <v>17</v>
      </c>
      <c r="D2771">
        <v>4</v>
      </c>
      <c r="E2771" t="s">
        <v>12</v>
      </c>
      <c r="F2771" t="s">
        <v>62</v>
      </c>
      <c r="G2771" t="s">
        <v>137</v>
      </c>
      <c r="H2771" t="s">
        <v>103</v>
      </c>
      <c r="I2771">
        <v>27023</v>
      </c>
      <c r="J2771">
        <v>19155</v>
      </c>
    </row>
    <row r="2772" spans="1:10" x14ac:dyDescent="0.3">
      <c r="A2772" t="s">
        <v>2899</v>
      </c>
      <c r="B2772" s="1">
        <v>45900</v>
      </c>
      <c r="C2772" t="s">
        <v>113</v>
      </c>
      <c r="D2772">
        <v>35</v>
      </c>
      <c r="E2772" t="s">
        <v>24</v>
      </c>
      <c r="F2772" t="s">
        <v>25</v>
      </c>
      <c r="G2772" t="s">
        <v>137</v>
      </c>
      <c r="H2772" t="s">
        <v>64</v>
      </c>
      <c r="I2772">
        <v>38629</v>
      </c>
      <c r="J2772">
        <v>47434</v>
      </c>
    </row>
    <row r="2773" spans="1:10" x14ac:dyDescent="0.3">
      <c r="A2773" t="s">
        <v>2900</v>
      </c>
      <c r="B2773" s="1">
        <v>45835</v>
      </c>
      <c r="C2773" t="s">
        <v>74</v>
      </c>
      <c r="D2773">
        <v>26</v>
      </c>
      <c r="E2773" t="s">
        <v>12</v>
      </c>
      <c r="F2773" t="s">
        <v>75</v>
      </c>
      <c r="G2773" t="s">
        <v>149</v>
      </c>
      <c r="H2773" t="s">
        <v>80</v>
      </c>
      <c r="I2773">
        <v>28600</v>
      </c>
      <c r="J2773">
        <v>25396</v>
      </c>
    </row>
    <row r="2774" spans="1:10" x14ac:dyDescent="0.3">
      <c r="A2774" t="s">
        <v>2901</v>
      </c>
      <c r="B2774" s="1">
        <v>45795</v>
      </c>
      <c r="C2774" t="s">
        <v>90</v>
      </c>
      <c r="D2774">
        <v>20</v>
      </c>
      <c r="E2774" t="s">
        <v>33</v>
      </c>
      <c r="F2774" t="s">
        <v>43</v>
      </c>
      <c r="G2774" t="s">
        <v>135</v>
      </c>
      <c r="H2774" t="s">
        <v>55</v>
      </c>
      <c r="I2774">
        <v>21558</v>
      </c>
      <c r="J2774">
        <v>18652</v>
      </c>
    </row>
    <row r="2775" spans="1:10" x14ac:dyDescent="0.3">
      <c r="A2775" t="s">
        <v>2902</v>
      </c>
      <c r="B2775" s="1">
        <v>46013</v>
      </c>
      <c r="C2775" t="s">
        <v>100</v>
      </c>
      <c r="D2775">
        <v>52</v>
      </c>
      <c r="E2775" t="s">
        <v>24</v>
      </c>
      <c r="F2775" t="s">
        <v>193</v>
      </c>
      <c r="G2775" t="s">
        <v>93</v>
      </c>
      <c r="H2775" t="s">
        <v>96</v>
      </c>
      <c r="I2775">
        <v>28240</v>
      </c>
      <c r="J2775">
        <v>30825</v>
      </c>
    </row>
    <row r="2776" spans="1:10" x14ac:dyDescent="0.3">
      <c r="A2776" t="s">
        <v>2903</v>
      </c>
      <c r="B2776" s="1">
        <v>45839</v>
      </c>
      <c r="C2776" t="s">
        <v>11</v>
      </c>
      <c r="D2776">
        <v>27</v>
      </c>
      <c r="E2776" t="s">
        <v>24</v>
      </c>
      <c r="F2776" t="s">
        <v>92</v>
      </c>
      <c r="G2776" t="s">
        <v>324</v>
      </c>
      <c r="H2776" t="s">
        <v>119</v>
      </c>
      <c r="I2776">
        <v>30805</v>
      </c>
      <c r="J2776">
        <v>30853</v>
      </c>
    </row>
    <row r="2777" spans="1:10" x14ac:dyDescent="0.3">
      <c r="A2777" t="s">
        <v>2904</v>
      </c>
      <c r="B2777" s="1">
        <v>45886</v>
      </c>
      <c r="C2777" t="s">
        <v>113</v>
      </c>
      <c r="D2777">
        <v>33</v>
      </c>
      <c r="E2777" t="s">
        <v>24</v>
      </c>
      <c r="F2777" t="s">
        <v>19</v>
      </c>
      <c r="G2777" t="s">
        <v>44</v>
      </c>
      <c r="H2777" t="s">
        <v>163</v>
      </c>
      <c r="I2777">
        <v>32979</v>
      </c>
      <c r="J2777">
        <v>27171</v>
      </c>
    </row>
    <row r="2778" spans="1:10" x14ac:dyDescent="0.3">
      <c r="A2778" t="s">
        <v>2905</v>
      </c>
      <c r="B2778" s="1">
        <v>45701</v>
      </c>
      <c r="C2778" t="s">
        <v>82</v>
      </c>
      <c r="D2778">
        <v>7</v>
      </c>
      <c r="E2778" t="s">
        <v>61</v>
      </c>
      <c r="F2778" t="s">
        <v>13</v>
      </c>
      <c r="G2778" t="s">
        <v>54</v>
      </c>
      <c r="H2778" t="s">
        <v>243</v>
      </c>
      <c r="I2778">
        <v>36680</v>
      </c>
      <c r="J2778">
        <v>42214</v>
      </c>
    </row>
    <row r="2779" spans="1:10" x14ac:dyDescent="0.3">
      <c r="A2779" t="s">
        <v>2906</v>
      </c>
      <c r="B2779" s="1">
        <v>45668</v>
      </c>
      <c r="C2779" t="s">
        <v>17</v>
      </c>
      <c r="D2779">
        <v>2</v>
      </c>
      <c r="E2779" t="s">
        <v>18</v>
      </c>
      <c r="F2779" t="s">
        <v>19</v>
      </c>
      <c r="G2779" t="s">
        <v>47</v>
      </c>
      <c r="H2779" t="s">
        <v>103</v>
      </c>
      <c r="I2779">
        <v>28862</v>
      </c>
      <c r="J2779">
        <v>22679</v>
      </c>
    </row>
    <row r="2780" spans="1:10" x14ac:dyDescent="0.3">
      <c r="A2780" t="s">
        <v>2907</v>
      </c>
      <c r="B2780" s="1">
        <v>45828</v>
      </c>
      <c r="C2780" t="s">
        <v>74</v>
      </c>
      <c r="D2780">
        <v>25</v>
      </c>
      <c r="E2780" t="s">
        <v>12</v>
      </c>
      <c r="F2780" t="s">
        <v>87</v>
      </c>
      <c r="G2780" t="s">
        <v>63</v>
      </c>
      <c r="H2780" t="s">
        <v>165</v>
      </c>
      <c r="I2780">
        <v>39021</v>
      </c>
      <c r="J2780">
        <v>43037</v>
      </c>
    </row>
    <row r="2781" spans="1:10" x14ac:dyDescent="0.3">
      <c r="A2781" t="s">
        <v>2908</v>
      </c>
      <c r="B2781" s="1">
        <v>45836</v>
      </c>
      <c r="C2781" t="s">
        <v>74</v>
      </c>
      <c r="D2781">
        <v>26</v>
      </c>
      <c r="E2781" t="s">
        <v>39</v>
      </c>
      <c r="F2781" t="s">
        <v>46</v>
      </c>
      <c r="G2781" t="s">
        <v>171</v>
      </c>
      <c r="H2781" t="s">
        <v>41</v>
      </c>
      <c r="I2781">
        <v>17338</v>
      </c>
      <c r="J2781">
        <v>15659</v>
      </c>
    </row>
    <row r="2782" spans="1:10" x14ac:dyDescent="0.3">
      <c r="A2782" t="s">
        <v>2909</v>
      </c>
      <c r="B2782" s="1">
        <v>45691</v>
      </c>
      <c r="C2782" t="s">
        <v>82</v>
      </c>
      <c r="D2782">
        <v>6</v>
      </c>
      <c r="E2782" t="s">
        <v>12</v>
      </c>
      <c r="F2782" t="s">
        <v>87</v>
      </c>
      <c r="G2782" t="s">
        <v>145</v>
      </c>
      <c r="H2782" t="s">
        <v>96</v>
      </c>
      <c r="I2782">
        <v>16541</v>
      </c>
      <c r="J2782">
        <v>19328</v>
      </c>
    </row>
    <row r="2783" spans="1:10" x14ac:dyDescent="0.3">
      <c r="A2783" t="s">
        <v>2910</v>
      </c>
      <c r="B2783" s="1">
        <v>45814</v>
      </c>
      <c r="C2783" t="s">
        <v>74</v>
      </c>
      <c r="D2783">
        <v>23</v>
      </c>
      <c r="E2783" t="s">
        <v>18</v>
      </c>
      <c r="F2783" t="s">
        <v>114</v>
      </c>
      <c r="G2783" t="s">
        <v>83</v>
      </c>
      <c r="H2783" t="s">
        <v>157</v>
      </c>
      <c r="I2783">
        <v>24318</v>
      </c>
      <c r="J2783">
        <v>27299</v>
      </c>
    </row>
    <row r="2784" spans="1:10" x14ac:dyDescent="0.3">
      <c r="A2784" t="s">
        <v>2911</v>
      </c>
      <c r="B2784" s="1">
        <v>45829</v>
      </c>
      <c r="C2784" t="s">
        <v>74</v>
      </c>
      <c r="D2784">
        <v>25</v>
      </c>
      <c r="E2784" t="s">
        <v>39</v>
      </c>
      <c r="F2784" t="s">
        <v>114</v>
      </c>
      <c r="G2784" t="s">
        <v>145</v>
      </c>
      <c r="H2784" t="s">
        <v>119</v>
      </c>
      <c r="I2784">
        <v>21590</v>
      </c>
      <c r="J2784">
        <v>17232</v>
      </c>
    </row>
    <row r="2785" spans="1:10" x14ac:dyDescent="0.3">
      <c r="A2785" t="s">
        <v>2912</v>
      </c>
      <c r="B2785" s="1">
        <v>45665</v>
      </c>
      <c r="C2785" t="s">
        <v>17</v>
      </c>
      <c r="D2785">
        <v>2</v>
      </c>
      <c r="E2785" t="s">
        <v>12</v>
      </c>
      <c r="F2785" t="s">
        <v>50</v>
      </c>
      <c r="G2785" t="s">
        <v>147</v>
      </c>
      <c r="H2785" t="s">
        <v>21</v>
      </c>
      <c r="I2785">
        <v>32708</v>
      </c>
      <c r="J2785">
        <v>32887</v>
      </c>
    </row>
    <row r="2786" spans="1:10" x14ac:dyDescent="0.3">
      <c r="A2786" t="s">
        <v>2913</v>
      </c>
      <c r="B2786" s="1">
        <v>45658</v>
      </c>
      <c r="C2786" t="s">
        <v>17</v>
      </c>
      <c r="D2786">
        <v>1</v>
      </c>
      <c r="E2786" t="s">
        <v>39</v>
      </c>
      <c r="F2786" t="s">
        <v>87</v>
      </c>
      <c r="G2786" t="s">
        <v>79</v>
      </c>
      <c r="H2786" t="s">
        <v>165</v>
      </c>
      <c r="I2786">
        <v>37658</v>
      </c>
      <c r="J2786">
        <v>35045</v>
      </c>
    </row>
    <row r="2787" spans="1:10" x14ac:dyDescent="0.3">
      <c r="A2787" t="s">
        <v>2914</v>
      </c>
      <c r="B2787" s="1">
        <v>45924</v>
      </c>
      <c r="C2787" t="s">
        <v>38</v>
      </c>
      <c r="D2787">
        <v>39</v>
      </c>
      <c r="E2787" t="s">
        <v>70</v>
      </c>
      <c r="F2787" t="s">
        <v>87</v>
      </c>
      <c r="G2787" t="s">
        <v>63</v>
      </c>
      <c r="H2787" t="s">
        <v>15</v>
      </c>
      <c r="I2787">
        <v>35177</v>
      </c>
      <c r="J2787">
        <v>42523</v>
      </c>
    </row>
    <row r="2788" spans="1:10" x14ac:dyDescent="0.3">
      <c r="A2788" t="s">
        <v>2915</v>
      </c>
      <c r="B2788" s="1">
        <v>45938</v>
      </c>
      <c r="C2788" t="s">
        <v>66</v>
      </c>
      <c r="D2788">
        <v>41</v>
      </c>
      <c r="E2788" t="s">
        <v>33</v>
      </c>
      <c r="F2788" t="s">
        <v>19</v>
      </c>
      <c r="G2788" t="s">
        <v>58</v>
      </c>
      <c r="H2788" t="s">
        <v>21</v>
      </c>
      <c r="I2788">
        <v>31469</v>
      </c>
      <c r="J2788">
        <v>22697</v>
      </c>
    </row>
    <row r="2789" spans="1:10" x14ac:dyDescent="0.3">
      <c r="A2789" t="s">
        <v>2916</v>
      </c>
      <c r="B2789" s="1">
        <v>45879</v>
      </c>
      <c r="C2789" t="s">
        <v>113</v>
      </c>
      <c r="D2789">
        <v>32</v>
      </c>
      <c r="E2789" t="s">
        <v>61</v>
      </c>
      <c r="F2789" t="s">
        <v>50</v>
      </c>
      <c r="G2789" t="s">
        <v>79</v>
      </c>
      <c r="H2789" t="s">
        <v>36</v>
      </c>
      <c r="I2789">
        <v>32408</v>
      </c>
      <c r="J2789">
        <v>37121</v>
      </c>
    </row>
    <row r="2790" spans="1:10" x14ac:dyDescent="0.3">
      <c r="A2790" t="s">
        <v>2917</v>
      </c>
      <c r="B2790" s="1">
        <v>45771</v>
      </c>
      <c r="C2790" t="s">
        <v>86</v>
      </c>
      <c r="D2790">
        <v>17</v>
      </c>
      <c r="E2790" t="s">
        <v>18</v>
      </c>
      <c r="F2790" t="s">
        <v>75</v>
      </c>
      <c r="G2790" t="s">
        <v>93</v>
      </c>
      <c r="H2790" t="s">
        <v>151</v>
      </c>
      <c r="I2790">
        <v>32101</v>
      </c>
      <c r="J2790">
        <v>26367</v>
      </c>
    </row>
    <row r="2791" spans="1:10" x14ac:dyDescent="0.3">
      <c r="A2791" t="s">
        <v>2918</v>
      </c>
      <c r="B2791" s="1">
        <v>45988</v>
      </c>
      <c r="C2791" t="s">
        <v>23</v>
      </c>
      <c r="D2791">
        <v>48</v>
      </c>
      <c r="E2791" t="s">
        <v>61</v>
      </c>
      <c r="F2791" t="s">
        <v>25</v>
      </c>
      <c r="G2791" t="s">
        <v>126</v>
      </c>
      <c r="H2791" t="s">
        <v>133</v>
      </c>
      <c r="I2791">
        <v>23427</v>
      </c>
      <c r="J2791">
        <v>27635</v>
      </c>
    </row>
    <row r="2792" spans="1:10" x14ac:dyDescent="0.3">
      <c r="A2792" t="s">
        <v>2919</v>
      </c>
      <c r="B2792" s="1">
        <v>45920</v>
      </c>
      <c r="C2792" t="s">
        <v>38</v>
      </c>
      <c r="D2792">
        <v>38</v>
      </c>
      <c r="E2792" t="s">
        <v>39</v>
      </c>
      <c r="F2792" t="s">
        <v>62</v>
      </c>
      <c r="G2792" t="s">
        <v>83</v>
      </c>
      <c r="H2792" t="s">
        <v>84</v>
      </c>
      <c r="I2792">
        <v>36261</v>
      </c>
      <c r="J2792">
        <v>33106</v>
      </c>
    </row>
    <row r="2793" spans="1:10" x14ac:dyDescent="0.3">
      <c r="A2793" t="s">
        <v>2920</v>
      </c>
      <c r="B2793" s="1">
        <v>45836</v>
      </c>
      <c r="C2793" t="s">
        <v>74</v>
      </c>
      <c r="D2793">
        <v>26</v>
      </c>
      <c r="E2793" t="s">
        <v>70</v>
      </c>
      <c r="F2793" t="s">
        <v>92</v>
      </c>
      <c r="G2793" t="s">
        <v>145</v>
      </c>
      <c r="H2793" t="s">
        <v>96</v>
      </c>
      <c r="I2793">
        <v>38989</v>
      </c>
      <c r="J2793">
        <v>29269</v>
      </c>
    </row>
    <row r="2794" spans="1:10" x14ac:dyDescent="0.3">
      <c r="A2794" t="s">
        <v>2921</v>
      </c>
      <c r="B2794" s="1">
        <v>45949</v>
      </c>
      <c r="C2794" t="s">
        <v>66</v>
      </c>
      <c r="D2794">
        <v>42</v>
      </c>
      <c r="E2794" t="s">
        <v>39</v>
      </c>
      <c r="F2794" t="s">
        <v>13</v>
      </c>
      <c r="G2794" t="s">
        <v>182</v>
      </c>
      <c r="H2794" t="s">
        <v>80</v>
      </c>
      <c r="I2794">
        <v>33915</v>
      </c>
      <c r="J2794">
        <v>31613</v>
      </c>
    </row>
    <row r="2795" spans="1:10" x14ac:dyDescent="0.3">
      <c r="A2795" t="s">
        <v>2922</v>
      </c>
      <c r="B2795" s="1">
        <v>45992</v>
      </c>
      <c r="C2795" t="s">
        <v>100</v>
      </c>
      <c r="D2795">
        <v>49</v>
      </c>
      <c r="E2795" t="s">
        <v>70</v>
      </c>
      <c r="F2795" t="s">
        <v>140</v>
      </c>
      <c r="G2795" t="s">
        <v>266</v>
      </c>
      <c r="H2795" t="s">
        <v>243</v>
      </c>
      <c r="I2795">
        <v>33367</v>
      </c>
      <c r="J2795">
        <v>35831</v>
      </c>
    </row>
    <row r="2796" spans="1:10" x14ac:dyDescent="0.3">
      <c r="A2796" t="s">
        <v>2923</v>
      </c>
      <c r="B2796" s="1">
        <v>45847</v>
      </c>
      <c r="C2796" t="s">
        <v>11</v>
      </c>
      <c r="D2796">
        <v>28</v>
      </c>
      <c r="E2796" t="s">
        <v>70</v>
      </c>
      <c r="F2796" t="s">
        <v>13</v>
      </c>
      <c r="G2796" t="s">
        <v>102</v>
      </c>
      <c r="H2796" t="s">
        <v>48</v>
      </c>
      <c r="I2796">
        <v>27999</v>
      </c>
      <c r="J2796">
        <v>34373</v>
      </c>
    </row>
    <row r="2797" spans="1:10" x14ac:dyDescent="0.3">
      <c r="A2797" t="s">
        <v>2924</v>
      </c>
      <c r="B2797" s="1">
        <v>45719</v>
      </c>
      <c r="C2797" t="s">
        <v>95</v>
      </c>
      <c r="D2797">
        <v>10</v>
      </c>
      <c r="E2797" t="s">
        <v>61</v>
      </c>
      <c r="F2797" t="s">
        <v>46</v>
      </c>
      <c r="G2797" t="s">
        <v>149</v>
      </c>
      <c r="H2797" t="s">
        <v>21</v>
      </c>
      <c r="I2797">
        <v>26316</v>
      </c>
      <c r="J2797">
        <v>24429</v>
      </c>
    </row>
    <row r="2798" spans="1:10" x14ac:dyDescent="0.3">
      <c r="A2798" t="s">
        <v>2925</v>
      </c>
      <c r="B2798" s="1">
        <v>45711</v>
      </c>
      <c r="C2798" t="s">
        <v>82</v>
      </c>
      <c r="D2798">
        <v>8</v>
      </c>
      <c r="E2798" t="s">
        <v>12</v>
      </c>
      <c r="F2798" t="s">
        <v>13</v>
      </c>
      <c r="G2798" t="s">
        <v>171</v>
      </c>
      <c r="H2798" t="s">
        <v>111</v>
      </c>
      <c r="I2798">
        <v>37109</v>
      </c>
      <c r="J2798">
        <v>31447</v>
      </c>
    </row>
    <row r="2799" spans="1:10" x14ac:dyDescent="0.3">
      <c r="A2799" t="s">
        <v>2926</v>
      </c>
      <c r="B2799" s="1">
        <v>45824</v>
      </c>
      <c r="C2799" t="s">
        <v>74</v>
      </c>
      <c r="D2799">
        <v>25</v>
      </c>
      <c r="E2799" t="s">
        <v>12</v>
      </c>
      <c r="F2799" t="s">
        <v>122</v>
      </c>
      <c r="G2799" t="s">
        <v>234</v>
      </c>
      <c r="H2799" t="s">
        <v>188</v>
      </c>
      <c r="I2799">
        <v>26115</v>
      </c>
      <c r="J2799">
        <v>24943</v>
      </c>
    </row>
    <row r="2800" spans="1:10" x14ac:dyDescent="0.3">
      <c r="A2800" t="s">
        <v>2927</v>
      </c>
      <c r="B2800" s="1">
        <v>45873</v>
      </c>
      <c r="C2800" t="s">
        <v>113</v>
      </c>
      <c r="D2800">
        <v>32</v>
      </c>
      <c r="E2800" t="s">
        <v>39</v>
      </c>
      <c r="F2800" t="s">
        <v>19</v>
      </c>
      <c r="G2800" t="s">
        <v>201</v>
      </c>
      <c r="H2800" t="s">
        <v>31</v>
      </c>
      <c r="I2800">
        <v>21727</v>
      </c>
      <c r="J2800">
        <v>18575</v>
      </c>
    </row>
    <row r="2801" spans="1:10" x14ac:dyDescent="0.3">
      <c r="A2801" t="s">
        <v>2928</v>
      </c>
      <c r="B2801" s="1">
        <v>45862</v>
      </c>
      <c r="C2801" t="s">
        <v>11</v>
      </c>
      <c r="D2801">
        <v>30</v>
      </c>
      <c r="E2801" t="s">
        <v>24</v>
      </c>
      <c r="F2801" t="s">
        <v>87</v>
      </c>
      <c r="G2801" t="s">
        <v>206</v>
      </c>
      <c r="H2801" t="s">
        <v>80</v>
      </c>
      <c r="I2801">
        <v>36756</v>
      </c>
      <c r="J2801">
        <v>37388</v>
      </c>
    </row>
    <row r="2802" spans="1:10" x14ac:dyDescent="0.3">
      <c r="A2802" t="s">
        <v>2929</v>
      </c>
      <c r="B2802" s="1">
        <v>45762</v>
      </c>
      <c r="C2802" t="s">
        <v>86</v>
      </c>
      <c r="D2802">
        <v>16</v>
      </c>
      <c r="E2802" t="s">
        <v>61</v>
      </c>
      <c r="F2802" t="s">
        <v>87</v>
      </c>
      <c r="G2802" t="s">
        <v>102</v>
      </c>
      <c r="H2802" t="s">
        <v>116</v>
      </c>
      <c r="I2802">
        <v>38497</v>
      </c>
      <c r="J2802">
        <v>46312</v>
      </c>
    </row>
    <row r="2803" spans="1:10" x14ac:dyDescent="0.3">
      <c r="A2803" t="s">
        <v>2930</v>
      </c>
      <c r="B2803" s="1">
        <v>45826</v>
      </c>
      <c r="C2803" t="s">
        <v>74</v>
      </c>
      <c r="D2803">
        <v>25</v>
      </c>
      <c r="E2803" t="s">
        <v>61</v>
      </c>
      <c r="F2803" t="s">
        <v>62</v>
      </c>
      <c r="G2803" t="s">
        <v>191</v>
      </c>
      <c r="H2803" t="s">
        <v>163</v>
      </c>
      <c r="I2803">
        <v>34384</v>
      </c>
      <c r="J2803">
        <v>27397</v>
      </c>
    </row>
    <row r="2804" spans="1:10" x14ac:dyDescent="0.3">
      <c r="A2804" t="s">
        <v>2931</v>
      </c>
      <c r="B2804" s="1">
        <v>45947</v>
      </c>
      <c r="C2804" t="s">
        <v>66</v>
      </c>
      <c r="D2804">
        <v>42</v>
      </c>
      <c r="E2804" t="s">
        <v>61</v>
      </c>
      <c r="F2804" t="s">
        <v>43</v>
      </c>
      <c r="G2804" t="s">
        <v>291</v>
      </c>
      <c r="H2804" t="s">
        <v>155</v>
      </c>
      <c r="I2804">
        <v>30547</v>
      </c>
      <c r="J2804">
        <v>33490</v>
      </c>
    </row>
    <row r="2805" spans="1:10" x14ac:dyDescent="0.3">
      <c r="A2805" t="s">
        <v>2932</v>
      </c>
      <c r="B2805" s="1">
        <v>45904</v>
      </c>
      <c r="C2805" t="s">
        <v>38</v>
      </c>
      <c r="D2805">
        <v>36</v>
      </c>
      <c r="E2805" t="s">
        <v>33</v>
      </c>
      <c r="F2805" t="s">
        <v>101</v>
      </c>
      <c r="G2805" t="s">
        <v>147</v>
      </c>
      <c r="H2805" t="s">
        <v>48</v>
      </c>
      <c r="I2805">
        <v>23551</v>
      </c>
      <c r="J2805">
        <v>19257</v>
      </c>
    </row>
    <row r="2806" spans="1:10" x14ac:dyDescent="0.3">
      <c r="A2806" t="s">
        <v>2933</v>
      </c>
      <c r="B2806" s="1">
        <v>45923</v>
      </c>
      <c r="C2806" t="s">
        <v>38</v>
      </c>
      <c r="D2806">
        <v>39</v>
      </c>
      <c r="E2806" t="s">
        <v>39</v>
      </c>
      <c r="F2806" t="s">
        <v>25</v>
      </c>
      <c r="G2806" t="s">
        <v>35</v>
      </c>
      <c r="H2806" t="s">
        <v>163</v>
      </c>
      <c r="I2806">
        <v>30046</v>
      </c>
      <c r="J2806">
        <v>22143</v>
      </c>
    </row>
    <row r="2807" spans="1:10" x14ac:dyDescent="0.3">
      <c r="A2807" t="s">
        <v>2934</v>
      </c>
      <c r="B2807" s="1">
        <v>45895</v>
      </c>
      <c r="C2807" t="s">
        <v>113</v>
      </c>
      <c r="D2807">
        <v>35</v>
      </c>
      <c r="E2807" t="s">
        <v>61</v>
      </c>
      <c r="F2807" t="s">
        <v>193</v>
      </c>
      <c r="G2807" t="s">
        <v>35</v>
      </c>
      <c r="H2807" t="s">
        <v>59</v>
      </c>
      <c r="I2807">
        <v>23999</v>
      </c>
      <c r="J2807">
        <v>20661</v>
      </c>
    </row>
    <row r="2808" spans="1:10" x14ac:dyDescent="0.3">
      <c r="A2808" t="s">
        <v>2935</v>
      </c>
      <c r="B2808" s="1">
        <v>45828</v>
      </c>
      <c r="C2808" t="s">
        <v>74</v>
      </c>
      <c r="D2808">
        <v>25</v>
      </c>
      <c r="E2808" t="s">
        <v>18</v>
      </c>
      <c r="F2808" t="s">
        <v>62</v>
      </c>
      <c r="G2808" t="s">
        <v>67</v>
      </c>
      <c r="H2808" t="s">
        <v>15</v>
      </c>
      <c r="I2808">
        <v>24784</v>
      </c>
      <c r="J2808">
        <v>23146</v>
      </c>
    </row>
    <row r="2809" spans="1:10" x14ac:dyDescent="0.3">
      <c r="A2809" t="s">
        <v>2936</v>
      </c>
      <c r="B2809" s="1">
        <v>45727</v>
      </c>
      <c r="C2809" t="s">
        <v>95</v>
      </c>
      <c r="D2809">
        <v>11</v>
      </c>
      <c r="E2809" t="s">
        <v>33</v>
      </c>
      <c r="F2809" t="s">
        <v>87</v>
      </c>
      <c r="G2809" t="s">
        <v>67</v>
      </c>
      <c r="H2809" t="s">
        <v>80</v>
      </c>
      <c r="I2809">
        <v>28204</v>
      </c>
      <c r="J2809">
        <v>23641</v>
      </c>
    </row>
    <row r="2810" spans="1:10" x14ac:dyDescent="0.3">
      <c r="A2810" t="s">
        <v>2937</v>
      </c>
      <c r="B2810" s="1">
        <v>45702</v>
      </c>
      <c r="C2810" t="s">
        <v>82</v>
      </c>
      <c r="D2810">
        <v>7</v>
      </c>
      <c r="E2810" t="s">
        <v>61</v>
      </c>
      <c r="F2810" t="s">
        <v>78</v>
      </c>
      <c r="G2810" t="s">
        <v>14</v>
      </c>
      <c r="H2810" t="s">
        <v>111</v>
      </c>
      <c r="I2810">
        <v>19742</v>
      </c>
      <c r="J2810">
        <v>18693</v>
      </c>
    </row>
    <row r="2811" spans="1:10" x14ac:dyDescent="0.3">
      <c r="A2811" t="s">
        <v>2938</v>
      </c>
      <c r="B2811" s="1">
        <v>45867</v>
      </c>
      <c r="C2811" t="s">
        <v>11</v>
      </c>
      <c r="D2811">
        <v>31</v>
      </c>
      <c r="E2811" t="s">
        <v>12</v>
      </c>
      <c r="F2811" t="s">
        <v>87</v>
      </c>
      <c r="G2811" t="s">
        <v>126</v>
      </c>
      <c r="H2811" t="s">
        <v>27</v>
      </c>
      <c r="I2811">
        <v>29881</v>
      </c>
      <c r="J2811">
        <v>28794</v>
      </c>
    </row>
    <row r="2812" spans="1:10" x14ac:dyDescent="0.3">
      <c r="A2812" t="s">
        <v>2939</v>
      </c>
      <c r="B2812" s="1">
        <v>45911</v>
      </c>
      <c r="C2812" t="s">
        <v>38</v>
      </c>
      <c r="D2812">
        <v>37</v>
      </c>
      <c r="E2812" t="s">
        <v>61</v>
      </c>
      <c r="F2812" t="s">
        <v>101</v>
      </c>
      <c r="G2812" t="s">
        <v>160</v>
      </c>
      <c r="H2812" t="s">
        <v>41</v>
      </c>
      <c r="I2812">
        <v>26271</v>
      </c>
      <c r="J2812">
        <v>26114</v>
      </c>
    </row>
    <row r="2813" spans="1:10" x14ac:dyDescent="0.3">
      <c r="A2813" t="s">
        <v>2940</v>
      </c>
      <c r="B2813" s="1">
        <v>45868</v>
      </c>
      <c r="C2813" t="s">
        <v>11</v>
      </c>
      <c r="D2813">
        <v>31</v>
      </c>
      <c r="E2813" t="s">
        <v>18</v>
      </c>
      <c r="F2813" t="s">
        <v>25</v>
      </c>
      <c r="G2813" t="s">
        <v>130</v>
      </c>
      <c r="H2813" t="s">
        <v>31</v>
      </c>
      <c r="I2813">
        <v>34134</v>
      </c>
      <c r="J2813">
        <v>27742</v>
      </c>
    </row>
    <row r="2814" spans="1:10" x14ac:dyDescent="0.3">
      <c r="A2814" t="s">
        <v>2941</v>
      </c>
      <c r="B2814" s="1">
        <v>45956</v>
      </c>
      <c r="C2814" t="s">
        <v>66</v>
      </c>
      <c r="D2814">
        <v>43</v>
      </c>
      <c r="E2814" t="s">
        <v>33</v>
      </c>
      <c r="F2814" t="s">
        <v>19</v>
      </c>
      <c r="G2814" t="s">
        <v>118</v>
      </c>
      <c r="H2814" t="s">
        <v>59</v>
      </c>
      <c r="I2814">
        <v>31118</v>
      </c>
      <c r="J2814">
        <v>40057</v>
      </c>
    </row>
    <row r="2815" spans="1:10" x14ac:dyDescent="0.3">
      <c r="A2815" t="s">
        <v>2942</v>
      </c>
      <c r="B2815" s="1">
        <v>45897</v>
      </c>
      <c r="C2815" t="s">
        <v>113</v>
      </c>
      <c r="D2815">
        <v>35</v>
      </c>
      <c r="E2815" t="s">
        <v>24</v>
      </c>
      <c r="F2815" t="s">
        <v>34</v>
      </c>
      <c r="G2815" t="s">
        <v>149</v>
      </c>
      <c r="H2815" t="s">
        <v>84</v>
      </c>
      <c r="I2815">
        <v>20569</v>
      </c>
      <c r="J2815">
        <v>17397</v>
      </c>
    </row>
    <row r="2816" spans="1:10" x14ac:dyDescent="0.3">
      <c r="A2816" t="s">
        <v>2943</v>
      </c>
      <c r="B2816" s="1">
        <v>45859</v>
      </c>
      <c r="C2816" t="s">
        <v>11</v>
      </c>
      <c r="D2816">
        <v>30</v>
      </c>
      <c r="E2816" t="s">
        <v>24</v>
      </c>
      <c r="F2816" t="s">
        <v>34</v>
      </c>
      <c r="G2816" t="s">
        <v>171</v>
      </c>
      <c r="H2816" t="s">
        <v>31</v>
      </c>
      <c r="I2816">
        <v>19946</v>
      </c>
      <c r="J2816">
        <v>25744</v>
      </c>
    </row>
    <row r="2817" spans="1:10" x14ac:dyDescent="0.3">
      <c r="A2817" t="s">
        <v>2944</v>
      </c>
      <c r="B2817" s="1">
        <v>45949</v>
      </c>
      <c r="C2817" t="s">
        <v>66</v>
      </c>
      <c r="D2817">
        <v>42</v>
      </c>
      <c r="E2817" t="s">
        <v>33</v>
      </c>
      <c r="F2817" t="s">
        <v>109</v>
      </c>
      <c r="G2817" t="s">
        <v>147</v>
      </c>
      <c r="H2817" t="s">
        <v>151</v>
      </c>
      <c r="I2817">
        <v>22217</v>
      </c>
      <c r="J2817">
        <v>22916</v>
      </c>
    </row>
    <row r="2818" spans="1:10" x14ac:dyDescent="0.3">
      <c r="A2818" t="s">
        <v>2945</v>
      </c>
      <c r="B2818" s="1">
        <v>45942</v>
      </c>
      <c r="C2818" t="s">
        <v>66</v>
      </c>
      <c r="D2818">
        <v>41</v>
      </c>
      <c r="E2818" t="s">
        <v>33</v>
      </c>
      <c r="F2818" t="s">
        <v>46</v>
      </c>
      <c r="G2818" t="s">
        <v>130</v>
      </c>
      <c r="H2818" t="s">
        <v>31</v>
      </c>
      <c r="I2818">
        <v>16566</v>
      </c>
      <c r="J2818">
        <v>13064</v>
      </c>
    </row>
    <row r="2819" spans="1:10" x14ac:dyDescent="0.3">
      <c r="A2819" t="s">
        <v>2946</v>
      </c>
      <c r="B2819" s="1">
        <v>45845</v>
      </c>
      <c r="C2819" t="s">
        <v>11</v>
      </c>
      <c r="D2819">
        <v>28</v>
      </c>
      <c r="E2819" t="s">
        <v>39</v>
      </c>
      <c r="F2819" t="s">
        <v>46</v>
      </c>
      <c r="G2819" t="s">
        <v>67</v>
      </c>
      <c r="H2819" t="s">
        <v>36</v>
      </c>
      <c r="I2819">
        <v>24374</v>
      </c>
      <c r="J2819">
        <v>26130</v>
      </c>
    </row>
    <row r="2820" spans="1:10" x14ac:dyDescent="0.3">
      <c r="A2820" t="s">
        <v>2947</v>
      </c>
      <c r="B2820" s="1">
        <v>45813</v>
      </c>
      <c r="C2820" t="s">
        <v>74</v>
      </c>
      <c r="D2820">
        <v>23</v>
      </c>
      <c r="E2820" t="s">
        <v>24</v>
      </c>
      <c r="F2820" t="s">
        <v>62</v>
      </c>
      <c r="G2820" t="s">
        <v>79</v>
      </c>
      <c r="H2820" t="s">
        <v>243</v>
      </c>
      <c r="I2820">
        <v>33545</v>
      </c>
      <c r="J2820">
        <v>24438</v>
      </c>
    </row>
    <row r="2821" spans="1:10" x14ac:dyDescent="0.3">
      <c r="A2821" t="s">
        <v>2948</v>
      </c>
      <c r="B2821" s="1">
        <v>45990</v>
      </c>
      <c r="C2821" t="s">
        <v>23</v>
      </c>
      <c r="D2821">
        <v>48</v>
      </c>
      <c r="E2821" t="s">
        <v>18</v>
      </c>
      <c r="F2821" t="s">
        <v>122</v>
      </c>
      <c r="G2821" t="s">
        <v>83</v>
      </c>
      <c r="H2821" t="s">
        <v>157</v>
      </c>
      <c r="I2821">
        <v>30887</v>
      </c>
      <c r="J2821">
        <v>30632</v>
      </c>
    </row>
    <row r="2822" spans="1:10" x14ac:dyDescent="0.3">
      <c r="A2822" t="s">
        <v>2949</v>
      </c>
      <c r="B2822" s="1">
        <v>45993</v>
      </c>
      <c r="C2822" t="s">
        <v>100</v>
      </c>
      <c r="D2822">
        <v>49</v>
      </c>
      <c r="E2822" t="s">
        <v>39</v>
      </c>
      <c r="F2822" t="s">
        <v>101</v>
      </c>
      <c r="G2822" t="s">
        <v>76</v>
      </c>
      <c r="H2822" t="s">
        <v>64</v>
      </c>
      <c r="I2822">
        <v>19358</v>
      </c>
      <c r="J2822">
        <v>18130</v>
      </c>
    </row>
    <row r="2823" spans="1:10" x14ac:dyDescent="0.3">
      <c r="A2823" t="s">
        <v>2950</v>
      </c>
      <c r="B2823" s="1">
        <v>45953</v>
      </c>
      <c r="C2823" t="s">
        <v>66</v>
      </c>
      <c r="D2823">
        <v>43</v>
      </c>
      <c r="E2823" t="s">
        <v>24</v>
      </c>
      <c r="F2823" t="s">
        <v>57</v>
      </c>
      <c r="G2823" t="s">
        <v>171</v>
      </c>
      <c r="H2823" t="s">
        <v>103</v>
      </c>
      <c r="I2823">
        <v>32352</v>
      </c>
      <c r="J2823">
        <v>30412</v>
      </c>
    </row>
    <row r="2824" spans="1:10" x14ac:dyDescent="0.3">
      <c r="A2824" t="s">
        <v>2951</v>
      </c>
      <c r="B2824" s="1">
        <v>45902</v>
      </c>
      <c r="C2824" t="s">
        <v>38</v>
      </c>
      <c r="D2824">
        <v>36</v>
      </c>
      <c r="E2824" t="s">
        <v>12</v>
      </c>
      <c r="F2824" t="s">
        <v>193</v>
      </c>
      <c r="G2824" t="s">
        <v>30</v>
      </c>
      <c r="H2824" t="s">
        <v>151</v>
      </c>
      <c r="I2824">
        <v>17880</v>
      </c>
      <c r="J2824">
        <v>15180</v>
      </c>
    </row>
    <row r="2825" spans="1:10" x14ac:dyDescent="0.3">
      <c r="A2825" t="s">
        <v>2952</v>
      </c>
      <c r="B2825" s="1">
        <v>45718</v>
      </c>
      <c r="C2825" t="s">
        <v>95</v>
      </c>
      <c r="D2825">
        <v>9</v>
      </c>
      <c r="E2825" t="s">
        <v>39</v>
      </c>
      <c r="F2825" t="s">
        <v>122</v>
      </c>
      <c r="G2825" t="s">
        <v>324</v>
      </c>
      <c r="H2825" t="s">
        <v>68</v>
      </c>
      <c r="I2825">
        <v>27247</v>
      </c>
      <c r="J2825">
        <v>24590</v>
      </c>
    </row>
    <row r="2826" spans="1:10" x14ac:dyDescent="0.3">
      <c r="A2826" t="s">
        <v>2953</v>
      </c>
      <c r="B2826" s="1">
        <v>45730</v>
      </c>
      <c r="C2826" t="s">
        <v>95</v>
      </c>
      <c r="D2826">
        <v>11</v>
      </c>
      <c r="E2826" t="s">
        <v>33</v>
      </c>
      <c r="F2826" t="s">
        <v>122</v>
      </c>
      <c r="G2826" t="s">
        <v>107</v>
      </c>
      <c r="H2826" t="s">
        <v>163</v>
      </c>
      <c r="I2826">
        <v>25917</v>
      </c>
      <c r="J2826">
        <v>24403</v>
      </c>
    </row>
    <row r="2827" spans="1:10" x14ac:dyDescent="0.3">
      <c r="A2827" t="s">
        <v>2954</v>
      </c>
      <c r="B2827" s="1">
        <v>45923</v>
      </c>
      <c r="C2827" t="s">
        <v>38</v>
      </c>
      <c r="D2827">
        <v>39</v>
      </c>
      <c r="E2827" t="s">
        <v>12</v>
      </c>
      <c r="F2827" t="s">
        <v>75</v>
      </c>
      <c r="G2827" t="s">
        <v>291</v>
      </c>
      <c r="H2827" t="s">
        <v>243</v>
      </c>
      <c r="I2827">
        <v>23550</v>
      </c>
      <c r="J2827">
        <v>27800</v>
      </c>
    </row>
    <row r="2828" spans="1:10" x14ac:dyDescent="0.3">
      <c r="A2828" t="s">
        <v>2955</v>
      </c>
      <c r="B2828" s="1">
        <v>46001</v>
      </c>
      <c r="C2828" t="s">
        <v>100</v>
      </c>
      <c r="D2828">
        <v>50</v>
      </c>
      <c r="E2828" t="s">
        <v>70</v>
      </c>
      <c r="F2828" t="s">
        <v>50</v>
      </c>
      <c r="G2828" t="s">
        <v>40</v>
      </c>
      <c r="H2828" t="s">
        <v>80</v>
      </c>
      <c r="I2828">
        <v>17937</v>
      </c>
      <c r="J2828">
        <v>16662</v>
      </c>
    </row>
    <row r="2829" spans="1:10" x14ac:dyDescent="0.3">
      <c r="A2829" t="s">
        <v>2956</v>
      </c>
      <c r="B2829" s="1">
        <v>45745</v>
      </c>
      <c r="C2829" t="s">
        <v>95</v>
      </c>
      <c r="D2829">
        <v>13</v>
      </c>
      <c r="E2829" t="s">
        <v>18</v>
      </c>
      <c r="F2829" t="s">
        <v>78</v>
      </c>
      <c r="G2829" t="s">
        <v>47</v>
      </c>
      <c r="H2829" t="s">
        <v>98</v>
      </c>
      <c r="I2829">
        <v>28470</v>
      </c>
      <c r="J2829">
        <v>24345</v>
      </c>
    </row>
    <row r="2830" spans="1:10" x14ac:dyDescent="0.3">
      <c r="A2830" t="s">
        <v>2957</v>
      </c>
      <c r="B2830" s="1">
        <v>45719</v>
      </c>
      <c r="C2830" t="s">
        <v>95</v>
      </c>
      <c r="D2830">
        <v>10</v>
      </c>
      <c r="E2830" t="s">
        <v>24</v>
      </c>
      <c r="F2830" t="s">
        <v>13</v>
      </c>
      <c r="G2830" t="s">
        <v>93</v>
      </c>
      <c r="H2830" t="s">
        <v>123</v>
      </c>
      <c r="I2830">
        <v>21679</v>
      </c>
      <c r="J2830">
        <v>23259</v>
      </c>
    </row>
    <row r="2831" spans="1:10" x14ac:dyDescent="0.3">
      <c r="A2831" t="s">
        <v>2958</v>
      </c>
      <c r="B2831" s="1">
        <v>45987</v>
      </c>
      <c r="C2831" t="s">
        <v>23</v>
      </c>
      <c r="D2831">
        <v>48</v>
      </c>
      <c r="E2831" t="s">
        <v>39</v>
      </c>
      <c r="F2831" t="s">
        <v>92</v>
      </c>
      <c r="G2831" t="s">
        <v>30</v>
      </c>
      <c r="H2831" t="s">
        <v>165</v>
      </c>
      <c r="I2831">
        <v>35215</v>
      </c>
      <c r="J2831">
        <v>38524</v>
      </c>
    </row>
    <row r="2832" spans="1:10" x14ac:dyDescent="0.3">
      <c r="A2832" t="s">
        <v>2959</v>
      </c>
      <c r="B2832" s="1">
        <v>45748</v>
      </c>
      <c r="C2832" t="s">
        <v>86</v>
      </c>
      <c r="D2832">
        <v>14</v>
      </c>
      <c r="E2832" t="s">
        <v>61</v>
      </c>
      <c r="F2832" t="s">
        <v>43</v>
      </c>
      <c r="G2832" t="s">
        <v>110</v>
      </c>
      <c r="H2832" t="s">
        <v>119</v>
      </c>
      <c r="I2832">
        <v>16936</v>
      </c>
      <c r="J2832">
        <v>16098</v>
      </c>
    </row>
    <row r="2833" spans="1:10" x14ac:dyDescent="0.3">
      <c r="A2833" t="s">
        <v>2960</v>
      </c>
      <c r="B2833" s="1">
        <v>45904</v>
      </c>
      <c r="C2833" t="s">
        <v>38</v>
      </c>
      <c r="D2833">
        <v>36</v>
      </c>
      <c r="E2833" t="s">
        <v>39</v>
      </c>
      <c r="F2833" t="s">
        <v>13</v>
      </c>
      <c r="G2833" t="s">
        <v>26</v>
      </c>
      <c r="H2833" t="s">
        <v>55</v>
      </c>
      <c r="I2833">
        <v>29745</v>
      </c>
      <c r="J2833">
        <v>33602</v>
      </c>
    </row>
    <row r="2834" spans="1:10" x14ac:dyDescent="0.3">
      <c r="A2834" t="s">
        <v>2961</v>
      </c>
      <c r="B2834" s="1">
        <v>45927</v>
      </c>
      <c r="C2834" t="s">
        <v>38</v>
      </c>
      <c r="D2834">
        <v>39</v>
      </c>
      <c r="E2834" t="s">
        <v>70</v>
      </c>
      <c r="F2834" t="s">
        <v>50</v>
      </c>
      <c r="G2834" t="s">
        <v>83</v>
      </c>
      <c r="H2834" t="s">
        <v>52</v>
      </c>
      <c r="I2834">
        <v>39098</v>
      </c>
      <c r="J2834">
        <v>33593</v>
      </c>
    </row>
    <row r="2835" spans="1:10" x14ac:dyDescent="0.3">
      <c r="A2835" t="s">
        <v>2962</v>
      </c>
      <c r="B2835" s="1">
        <v>45968</v>
      </c>
      <c r="C2835" t="s">
        <v>23</v>
      </c>
      <c r="D2835">
        <v>45</v>
      </c>
      <c r="E2835" t="s">
        <v>12</v>
      </c>
      <c r="F2835" t="s">
        <v>13</v>
      </c>
      <c r="G2835" t="s">
        <v>102</v>
      </c>
      <c r="H2835" t="s">
        <v>27</v>
      </c>
      <c r="I2835">
        <v>30292</v>
      </c>
      <c r="J2835">
        <v>25385</v>
      </c>
    </row>
    <row r="2836" spans="1:10" x14ac:dyDescent="0.3">
      <c r="A2836" t="s">
        <v>2963</v>
      </c>
      <c r="B2836" s="1">
        <v>45747</v>
      </c>
      <c r="C2836" t="s">
        <v>95</v>
      </c>
      <c r="D2836">
        <v>14</v>
      </c>
      <c r="E2836" t="s">
        <v>12</v>
      </c>
      <c r="F2836" t="s">
        <v>78</v>
      </c>
      <c r="G2836" t="s">
        <v>224</v>
      </c>
      <c r="H2836" t="s">
        <v>116</v>
      </c>
      <c r="I2836">
        <v>32958</v>
      </c>
      <c r="J2836">
        <v>27602</v>
      </c>
    </row>
    <row r="2837" spans="1:10" x14ac:dyDescent="0.3">
      <c r="A2837" t="s">
        <v>2964</v>
      </c>
      <c r="B2837" s="1">
        <v>45822</v>
      </c>
      <c r="C2837" t="s">
        <v>74</v>
      </c>
      <c r="D2837">
        <v>24</v>
      </c>
      <c r="E2837" t="s">
        <v>12</v>
      </c>
      <c r="F2837" t="s">
        <v>92</v>
      </c>
      <c r="G2837" t="s">
        <v>83</v>
      </c>
      <c r="H2837" t="s">
        <v>41</v>
      </c>
      <c r="I2837">
        <v>28753</v>
      </c>
      <c r="J2837">
        <v>23152</v>
      </c>
    </row>
    <row r="2838" spans="1:10" x14ac:dyDescent="0.3">
      <c r="A2838" t="s">
        <v>2965</v>
      </c>
      <c r="B2838" s="1">
        <v>45940</v>
      </c>
      <c r="C2838" t="s">
        <v>66</v>
      </c>
      <c r="D2838">
        <v>41</v>
      </c>
      <c r="E2838" t="s">
        <v>18</v>
      </c>
      <c r="F2838" t="s">
        <v>25</v>
      </c>
      <c r="G2838" t="s">
        <v>182</v>
      </c>
      <c r="H2838" t="s">
        <v>31</v>
      </c>
      <c r="I2838">
        <v>30141</v>
      </c>
      <c r="J2838">
        <v>24299</v>
      </c>
    </row>
    <row r="2839" spans="1:10" x14ac:dyDescent="0.3">
      <c r="A2839" t="s">
        <v>2966</v>
      </c>
      <c r="B2839" s="1">
        <v>45782</v>
      </c>
      <c r="C2839" t="s">
        <v>90</v>
      </c>
      <c r="D2839">
        <v>19</v>
      </c>
      <c r="E2839" t="s">
        <v>70</v>
      </c>
      <c r="F2839" t="s">
        <v>62</v>
      </c>
      <c r="G2839" t="s">
        <v>266</v>
      </c>
      <c r="H2839" t="s">
        <v>243</v>
      </c>
      <c r="I2839">
        <v>26126</v>
      </c>
      <c r="J2839">
        <v>23309</v>
      </c>
    </row>
    <row r="2840" spans="1:10" x14ac:dyDescent="0.3">
      <c r="A2840" t="s">
        <v>2967</v>
      </c>
      <c r="B2840" s="1">
        <v>45955</v>
      </c>
      <c r="C2840" t="s">
        <v>66</v>
      </c>
      <c r="D2840">
        <v>43</v>
      </c>
      <c r="E2840" t="s">
        <v>61</v>
      </c>
      <c r="F2840" t="s">
        <v>62</v>
      </c>
      <c r="G2840" t="s">
        <v>240</v>
      </c>
      <c r="H2840" t="s">
        <v>123</v>
      </c>
      <c r="I2840">
        <v>36118</v>
      </c>
      <c r="J2840">
        <v>46776</v>
      </c>
    </row>
    <row r="2841" spans="1:10" x14ac:dyDescent="0.3">
      <c r="A2841" t="s">
        <v>2968</v>
      </c>
      <c r="B2841" s="1">
        <v>45759</v>
      </c>
      <c r="C2841" t="s">
        <v>86</v>
      </c>
      <c r="D2841">
        <v>15</v>
      </c>
      <c r="E2841" t="s">
        <v>24</v>
      </c>
      <c r="F2841" t="s">
        <v>92</v>
      </c>
      <c r="G2841" t="s">
        <v>51</v>
      </c>
      <c r="H2841" t="s">
        <v>59</v>
      </c>
      <c r="I2841">
        <v>20158</v>
      </c>
      <c r="J2841">
        <v>17727</v>
      </c>
    </row>
    <row r="2842" spans="1:10" x14ac:dyDescent="0.3">
      <c r="A2842" t="s">
        <v>2969</v>
      </c>
      <c r="B2842" s="1">
        <v>45767</v>
      </c>
      <c r="C2842" t="s">
        <v>86</v>
      </c>
      <c r="D2842">
        <v>16</v>
      </c>
      <c r="E2842" t="s">
        <v>70</v>
      </c>
      <c r="F2842" t="s">
        <v>19</v>
      </c>
      <c r="G2842" t="s">
        <v>182</v>
      </c>
      <c r="H2842" t="s">
        <v>68</v>
      </c>
      <c r="I2842">
        <v>31239</v>
      </c>
      <c r="J2842">
        <v>26573</v>
      </c>
    </row>
    <row r="2843" spans="1:10" x14ac:dyDescent="0.3">
      <c r="A2843" t="s">
        <v>2970</v>
      </c>
      <c r="B2843" s="1">
        <v>45951</v>
      </c>
      <c r="C2843" t="s">
        <v>66</v>
      </c>
      <c r="D2843">
        <v>43</v>
      </c>
      <c r="E2843" t="s">
        <v>39</v>
      </c>
      <c r="F2843" t="s">
        <v>25</v>
      </c>
      <c r="G2843" t="s">
        <v>20</v>
      </c>
      <c r="H2843" t="s">
        <v>64</v>
      </c>
      <c r="I2843">
        <v>27044</v>
      </c>
      <c r="J2843">
        <v>30933</v>
      </c>
    </row>
    <row r="2844" spans="1:10" x14ac:dyDescent="0.3">
      <c r="A2844" t="s">
        <v>2971</v>
      </c>
      <c r="B2844" s="1">
        <v>45678</v>
      </c>
      <c r="C2844" t="s">
        <v>17</v>
      </c>
      <c r="D2844">
        <v>4</v>
      </c>
      <c r="E2844" t="s">
        <v>24</v>
      </c>
      <c r="F2844" t="s">
        <v>109</v>
      </c>
      <c r="G2844" t="s">
        <v>76</v>
      </c>
      <c r="H2844" t="s">
        <v>80</v>
      </c>
      <c r="I2844">
        <v>20897</v>
      </c>
      <c r="J2844">
        <v>22786</v>
      </c>
    </row>
    <row r="2845" spans="1:10" x14ac:dyDescent="0.3">
      <c r="A2845" t="s">
        <v>2972</v>
      </c>
      <c r="B2845" s="1">
        <v>45988</v>
      </c>
      <c r="C2845" t="s">
        <v>23</v>
      </c>
      <c r="D2845">
        <v>48</v>
      </c>
      <c r="E2845" t="s">
        <v>61</v>
      </c>
      <c r="F2845" t="s">
        <v>114</v>
      </c>
      <c r="G2845" t="s">
        <v>47</v>
      </c>
      <c r="H2845" t="s">
        <v>52</v>
      </c>
      <c r="I2845">
        <v>22871</v>
      </c>
      <c r="J2845">
        <v>22492</v>
      </c>
    </row>
    <row r="2846" spans="1:10" x14ac:dyDescent="0.3">
      <c r="A2846" t="s">
        <v>2973</v>
      </c>
      <c r="B2846" s="1">
        <v>45858</v>
      </c>
      <c r="C2846" t="s">
        <v>11</v>
      </c>
      <c r="D2846">
        <v>29</v>
      </c>
      <c r="E2846" t="s">
        <v>70</v>
      </c>
      <c r="F2846" t="s">
        <v>43</v>
      </c>
      <c r="G2846" t="s">
        <v>51</v>
      </c>
      <c r="H2846" t="s">
        <v>80</v>
      </c>
      <c r="I2846">
        <v>22678</v>
      </c>
      <c r="J2846">
        <v>21526</v>
      </c>
    </row>
    <row r="2847" spans="1:10" x14ac:dyDescent="0.3">
      <c r="A2847" t="s">
        <v>2974</v>
      </c>
      <c r="B2847" s="1">
        <v>45721</v>
      </c>
      <c r="C2847" t="s">
        <v>95</v>
      </c>
      <c r="D2847">
        <v>10</v>
      </c>
      <c r="E2847" t="s">
        <v>33</v>
      </c>
      <c r="F2847" t="s">
        <v>25</v>
      </c>
      <c r="G2847" t="s">
        <v>126</v>
      </c>
      <c r="H2847" t="s">
        <v>52</v>
      </c>
      <c r="I2847">
        <v>36876</v>
      </c>
      <c r="J2847">
        <v>42219</v>
      </c>
    </row>
    <row r="2848" spans="1:10" x14ac:dyDescent="0.3">
      <c r="A2848" t="s">
        <v>2975</v>
      </c>
      <c r="B2848" s="1">
        <v>45758</v>
      </c>
      <c r="C2848" t="s">
        <v>86</v>
      </c>
      <c r="D2848">
        <v>15</v>
      </c>
      <c r="E2848" t="s">
        <v>18</v>
      </c>
      <c r="F2848" t="s">
        <v>50</v>
      </c>
      <c r="G2848" t="s">
        <v>182</v>
      </c>
      <c r="H2848" t="s">
        <v>211</v>
      </c>
      <c r="I2848">
        <v>22953</v>
      </c>
      <c r="J2848">
        <v>28600</v>
      </c>
    </row>
    <row r="2849" spans="1:10" x14ac:dyDescent="0.3">
      <c r="A2849" t="s">
        <v>2976</v>
      </c>
      <c r="B2849" s="1">
        <v>45939</v>
      </c>
      <c r="C2849" t="s">
        <v>66</v>
      </c>
      <c r="D2849">
        <v>41</v>
      </c>
      <c r="E2849" t="s">
        <v>33</v>
      </c>
      <c r="F2849" t="s">
        <v>140</v>
      </c>
      <c r="G2849" t="s">
        <v>135</v>
      </c>
      <c r="H2849" t="s">
        <v>84</v>
      </c>
      <c r="I2849">
        <v>32970</v>
      </c>
      <c r="J2849">
        <v>34662</v>
      </c>
    </row>
    <row r="2850" spans="1:10" x14ac:dyDescent="0.3">
      <c r="A2850" t="s">
        <v>2977</v>
      </c>
      <c r="B2850" s="1">
        <v>45759</v>
      </c>
      <c r="C2850" t="s">
        <v>86</v>
      </c>
      <c r="D2850">
        <v>15</v>
      </c>
      <c r="E2850" t="s">
        <v>18</v>
      </c>
      <c r="F2850" t="s">
        <v>13</v>
      </c>
      <c r="G2850" t="s">
        <v>14</v>
      </c>
      <c r="H2850" t="s">
        <v>165</v>
      </c>
      <c r="I2850">
        <v>21544</v>
      </c>
      <c r="J2850">
        <v>23467</v>
      </c>
    </row>
    <row r="2851" spans="1:10" x14ac:dyDescent="0.3">
      <c r="A2851" t="s">
        <v>2978</v>
      </c>
      <c r="B2851" s="1">
        <v>45926</v>
      </c>
      <c r="C2851" t="s">
        <v>38</v>
      </c>
      <c r="D2851">
        <v>39</v>
      </c>
      <c r="E2851" t="s">
        <v>12</v>
      </c>
      <c r="F2851" t="s">
        <v>109</v>
      </c>
      <c r="G2851" t="s">
        <v>20</v>
      </c>
      <c r="H2851" t="s">
        <v>111</v>
      </c>
      <c r="I2851">
        <v>32660</v>
      </c>
      <c r="J2851">
        <v>38037</v>
      </c>
    </row>
    <row r="2852" spans="1:10" x14ac:dyDescent="0.3">
      <c r="A2852" t="s">
        <v>2979</v>
      </c>
      <c r="B2852" s="1">
        <v>45896</v>
      </c>
      <c r="C2852" t="s">
        <v>113</v>
      </c>
      <c r="D2852">
        <v>35</v>
      </c>
      <c r="E2852" t="s">
        <v>18</v>
      </c>
      <c r="F2852" t="s">
        <v>114</v>
      </c>
      <c r="G2852" t="s">
        <v>47</v>
      </c>
      <c r="H2852" t="s">
        <v>48</v>
      </c>
      <c r="I2852">
        <v>16149</v>
      </c>
      <c r="J2852">
        <v>18884</v>
      </c>
    </row>
    <row r="2853" spans="1:10" x14ac:dyDescent="0.3">
      <c r="A2853" t="s">
        <v>2980</v>
      </c>
      <c r="B2853" s="1">
        <v>45812</v>
      </c>
      <c r="C2853" t="s">
        <v>74</v>
      </c>
      <c r="D2853">
        <v>23</v>
      </c>
      <c r="E2853" t="s">
        <v>61</v>
      </c>
      <c r="F2853" t="s">
        <v>25</v>
      </c>
      <c r="G2853" t="s">
        <v>135</v>
      </c>
      <c r="H2853" t="s">
        <v>151</v>
      </c>
      <c r="I2853">
        <v>15140</v>
      </c>
      <c r="J2853">
        <v>13616</v>
      </c>
    </row>
    <row r="2854" spans="1:10" x14ac:dyDescent="0.3">
      <c r="A2854" t="s">
        <v>2981</v>
      </c>
      <c r="B2854" s="1">
        <v>45811</v>
      </c>
      <c r="C2854" t="s">
        <v>74</v>
      </c>
      <c r="D2854">
        <v>23</v>
      </c>
      <c r="E2854" t="s">
        <v>24</v>
      </c>
      <c r="F2854" t="s">
        <v>78</v>
      </c>
      <c r="G2854" t="s">
        <v>324</v>
      </c>
      <c r="H2854" t="s">
        <v>48</v>
      </c>
      <c r="I2854">
        <v>18484</v>
      </c>
      <c r="J2854">
        <v>15667</v>
      </c>
    </row>
    <row r="2855" spans="1:10" x14ac:dyDescent="0.3">
      <c r="A2855" t="s">
        <v>2982</v>
      </c>
      <c r="B2855" s="1">
        <v>45752</v>
      </c>
      <c r="C2855" t="s">
        <v>86</v>
      </c>
      <c r="D2855">
        <v>14</v>
      </c>
      <c r="E2855" t="s">
        <v>39</v>
      </c>
      <c r="F2855" t="s">
        <v>13</v>
      </c>
      <c r="G2855" t="s">
        <v>51</v>
      </c>
      <c r="H2855" t="s">
        <v>96</v>
      </c>
      <c r="I2855">
        <v>26872</v>
      </c>
      <c r="J2855">
        <v>18915</v>
      </c>
    </row>
    <row r="2856" spans="1:10" x14ac:dyDescent="0.3">
      <c r="A2856" t="s">
        <v>2983</v>
      </c>
      <c r="B2856" s="1">
        <v>45915</v>
      </c>
      <c r="C2856" t="s">
        <v>38</v>
      </c>
      <c r="D2856">
        <v>38</v>
      </c>
      <c r="E2856" t="s">
        <v>12</v>
      </c>
      <c r="F2856" t="s">
        <v>62</v>
      </c>
      <c r="G2856" t="s">
        <v>102</v>
      </c>
      <c r="H2856" t="s">
        <v>119</v>
      </c>
      <c r="I2856">
        <v>19292</v>
      </c>
      <c r="J2856">
        <v>24518</v>
      </c>
    </row>
    <row r="2857" spans="1:10" x14ac:dyDescent="0.3">
      <c r="A2857" t="s">
        <v>2984</v>
      </c>
      <c r="B2857" s="1">
        <v>45944</v>
      </c>
      <c r="C2857" t="s">
        <v>66</v>
      </c>
      <c r="D2857">
        <v>42</v>
      </c>
      <c r="E2857" t="s">
        <v>70</v>
      </c>
      <c r="F2857" t="s">
        <v>122</v>
      </c>
      <c r="G2857" t="s">
        <v>51</v>
      </c>
      <c r="H2857" t="s">
        <v>59</v>
      </c>
      <c r="I2857">
        <v>17257</v>
      </c>
      <c r="J2857">
        <v>12350</v>
      </c>
    </row>
    <row r="2858" spans="1:10" x14ac:dyDescent="0.3">
      <c r="A2858" t="s">
        <v>2985</v>
      </c>
      <c r="B2858" s="1">
        <v>45733</v>
      </c>
      <c r="C2858" t="s">
        <v>95</v>
      </c>
      <c r="D2858">
        <v>12</v>
      </c>
      <c r="E2858" t="s">
        <v>39</v>
      </c>
      <c r="F2858" t="s">
        <v>75</v>
      </c>
      <c r="G2858" t="s">
        <v>115</v>
      </c>
      <c r="H2858" t="s">
        <v>151</v>
      </c>
      <c r="I2858">
        <v>26235</v>
      </c>
      <c r="J2858">
        <v>28162</v>
      </c>
    </row>
    <row r="2859" spans="1:10" x14ac:dyDescent="0.3">
      <c r="A2859" t="s">
        <v>2986</v>
      </c>
      <c r="B2859" s="1">
        <v>45662</v>
      </c>
      <c r="C2859" t="s">
        <v>17</v>
      </c>
      <c r="D2859">
        <v>1</v>
      </c>
      <c r="E2859" t="s">
        <v>18</v>
      </c>
      <c r="F2859" t="s">
        <v>193</v>
      </c>
      <c r="G2859" t="s">
        <v>234</v>
      </c>
      <c r="H2859" t="s">
        <v>52</v>
      </c>
      <c r="I2859">
        <v>21737</v>
      </c>
      <c r="J2859">
        <v>16541</v>
      </c>
    </row>
    <row r="2860" spans="1:10" x14ac:dyDescent="0.3">
      <c r="A2860" t="s">
        <v>2987</v>
      </c>
      <c r="B2860" s="1">
        <v>45969</v>
      </c>
      <c r="C2860" t="s">
        <v>23</v>
      </c>
      <c r="D2860">
        <v>45</v>
      </c>
      <c r="E2860" t="s">
        <v>70</v>
      </c>
      <c r="F2860" t="s">
        <v>109</v>
      </c>
      <c r="G2860" t="s">
        <v>40</v>
      </c>
      <c r="H2860" t="s">
        <v>243</v>
      </c>
      <c r="I2860">
        <v>20784</v>
      </c>
      <c r="J2860">
        <v>17725</v>
      </c>
    </row>
    <row r="2861" spans="1:10" x14ac:dyDescent="0.3">
      <c r="A2861" t="s">
        <v>2988</v>
      </c>
      <c r="B2861" s="1">
        <v>45918</v>
      </c>
      <c r="C2861" t="s">
        <v>38</v>
      </c>
      <c r="D2861">
        <v>38</v>
      </c>
      <c r="E2861" t="s">
        <v>39</v>
      </c>
      <c r="F2861" t="s">
        <v>114</v>
      </c>
      <c r="G2861" t="s">
        <v>182</v>
      </c>
      <c r="H2861" t="s">
        <v>55</v>
      </c>
      <c r="I2861">
        <v>39421</v>
      </c>
      <c r="J2861">
        <v>49120</v>
      </c>
    </row>
    <row r="2862" spans="1:10" x14ac:dyDescent="0.3">
      <c r="A2862" t="s">
        <v>2989</v>
      </c>
      <c r="B2862" s="1">
        <v>45971</v>
      </c>
      <c r="C2862" t="s">
        <v>23</v>
      </c>
      <c r="D2862">
        <v>46</v>
      </c>
      <c r="E2862" t="s">
        <v>24</v>
      </c>
      <c r="F2862" t="s">
        <v>101</v>
      </c>
      <c r="G2862" t="s">
        <v>160</v>
      </c>
      <c r="H2862" t="s">
        <v>133</v>
      </c>
      <c r="I2862">
        <v>30210</v>
      </c>
      <c r="J2862">
        <v>21228</v>
      </c>
    </row>
    <row r="2863" spans="1:10" x14ac:dyDescent="0.3">
      <c r="A2863" t="s">
        <v>2990</v>
      </c>
      <c r="B2863" s="1">
        <v>45775</v>
      </c>
      <c r="C2863" t="s">
        <v>86</v>
      </c>
      <c r="D2863">
        <v>18</v>
      </c>
      <c r="E2863" t="s">
        <v>24</v>
      </c>
      <c r="F2863" t="s">
        <v>75</v>
      </c>
      <c r="G2863" t="s">
        <v>67</v>
      </c>
      <c r="H2863" t="s">
        <v>80</v>
      </c>
      <c r="I2863">
        <v>26478</v>
      </c>
      <c r="J2863">
        <v>30471</v>
      </c>
    </row>
    <row r="2864" spans="1:10" x14ac:dyDescent="0.3">
      <c r="A2864" t="s">
        <v>2991</v>
      </c>
      <c r="B2864" s="1">
        <v>45909</v>
      </c>
      <c r="C2864" t="s">
        <v>38</v>
      </c>
      <c r="D2864">
        <v>37</v>
      </c>
      <c r="E2864" t="s">
        <v>24</v>
      </c>
      <c r="F2864" t="s">
        <v>193</v>
      </c>
      <c r="G2864" t="s">
        <v>58</v>
      </c>
      <c r="H2864" t="s">
        <v>15</v>
      </c>
      <c r="I2864">
        <v>36234</v>
      </c>
      <c r="J2864">
        <v>45444</v>
      </c>
    </row>
    <row r="2865" spans="1:10" x14ac:dyDescent="0.3">
      <c r="A2865" t="s">
        <v>2992</v>
      </c>
      <c r="B2865" s="1">
        <v>45683</v>
      </c>
      <c r="C2865" t="s">
        <v>17</v>
      </c>
      <c r="D2865">
        <v>4</v>
      </c>
      <c r="E2865" t="s">
        <v>12</v>
      </c>
      <c r="F2865" t="s">
        <v>46</v>
      </c>
      <c r="G2865" t="s">
        <v>20</v>
      </c>
      <c r="H2865" t="s">
        <v>119</v>
      </c>
      <c r="I2865">
        <v>16976</v>
      </c>
      <c r="J2865">
        <v>15720</v>
      </c>
    </row>
    <row r="2866" spans="1:10" x14ac:dyDescent="0.3">
      <c r="A2866" t="s">
        <v>2993</v>
      </c>
      <c r="B2866" s="1">
        <v>45694</v>
      </c>
      <c r="C2866" t="s">
        <v>82</v>
      </c>
      <c r="D2866">
        <v>6</v>
      </c>
      <c r="E2866" t="s">
        <v>18</v>
      </c>
      <c r="F2866" t="s">
        <v>101</v>
      </c>
      <c r="G2866" t="s">
        <v>102</v>
      </c>
      <c r="H2866" t="s">
        <v>116</v>
      </c>
      <c r="I2866">
        <v>29893</v>
      </c>
      <c r="J2866">
        <v>28278</v>
      </c>
    </row>
    <row r="2867" spans="1:10" x14ac:dyDescent="0.3">
      <c r="A2867" t="s">
        <v>2994</v>
      </c>
      <c r="B2867" s="1">
        <v>45781</v>
      </c>
      <c r="C2867" t="s">
        <v>90</v>
      </c>
      <c r="D2867">
        <v>18</v>
      </c>
      <c r="E2867" t="s">
        <v>33</v>
      </c>
      <c r="F2867" t="s">
        <v>101</v>
      </c>
      <c r="G2867" t="s">
        <v>182</v>
      </c>
      <c r="H2867" t="s">
        <v>48</v>
      </c>
      <c r="I2867">
        <v>27731</v>
      </c>
      <c r="J2867">
        <v>25937</v>
      </c>
    </row>
    <row r="2868" spans="1:10" x14ac:dyDescent="0.3">
      <c r="A2868" t="s">
        <v>2995</v>
      </c>
      <c r="B2868" s="1">
        <v>45721</v>
      </c>
      <c r="C2868" t="s">
        <v>95</v>
      </c>
      <c r="D2868">
        <v>10</v>
      </c>
      <c r="E2868" t="s">
        <v>70</v>
      </c>
      <c r="F2868" t="s">
        <v>13</v>
      </c>
      <c r="G2868" t="s">
        <v>291</v>
      </c>
      <c r="H2868" t="s">
        <v>111</v>
      </c>
      <c r="I2868">
        <v>38286</v>
      </c>
      <c r="J2868">
        <v>32346</v>
      </c>
    </row>
    <row r="2869" spans="1:10" x14ac:dyDescent="0.3">
      <c r="A2869" t="s">
        <v>2996</v>
      </c>
      <c r="B2869" s="1">
        <v>45791</v>
      </c>
      <c r="C2869" t="s">
        <v>90</v>
      </c>
      <c r="D2869">
        <v>20</v>
      </c>
      <c r="E2869" t="s">
        <v>12</v>
      </c>
      <c r="F2869" t="s">
        <v>140</v>
      </c>
      <c r="G2869" t="s">
        <v>88</v>
      </c>
      <c r="H2869" t="s">
        <v>123</v>
      </c>
      <c r="I2869">
        <v>16234</v>
      </c>
      <c r="J2869">
        <v>11840</v>
      </c>
    </row>
    <row r="2870" spans="1:10" x14ac:dyDescent="0.3">
      <c r="A2870" t="s">
        <v>2997</v>
      </c>
      <c r="B2870" s="1">
        <v>45915</v>
      </c>
      <c r="C2870" t="s">
        <v>38</v>
      </c>
      <c r="D2870">
        <v>38</v>
      </c>
      <c r="E2870" t="s">
        <v>61</v>
      </c>
      <c r="F2870" t="s">
        <v>193</v>
      </c>
      <c r="G2870" t="s">
        <v>266</v>
      </c>
      <c r="H2870" t="s">
        <v>48</v>
      </c>
      <c r="I2870">
        <v>36294</v>
      </c>
      <c r="J2870">
        <v>32094</v>
      </c>
    </row>
    <row r="2871" spans="1:10" x14ac:dyDescent="0.3">
      <c r="A2871" t="s">
        <v>2998</v>
      </c>
      <c r="B2871" s="1">
        <v>45826</v>
      </c>
      <c r="C2871" t="s">
        <v>74</v>
      </c>
      <c r="D2871">
        <v>25</v>
      </c>
      <c r="E2871" t="s">
        <v>39</v>
      </c>
      <c r="F2871" t="s">
        <v>50</v>
      </c>
      <c r="G2871" t="s">
        <v>83</v>
      </c>
      <c r="H2871" t="s">
        <v>111</v>
      </c>
      <c r="I2871">
        <v>36683</v>
      </c>
      <c r="J2871">
        <v>39228</v>
      </c>
    </row>
    <row r="2872" spans="1:10" x14ac:dyDescent="0.3">
      <c r="A2872" t="s">
        <v>2999</v>
      </c>
      <c r="B2872" s="1">
        <v>45946</v>
      </c>
      <c r="C2872" t="s">
        <v>66</v>
      </c>
      <c r="D2872">
        <v>42</v>
      </c>
      <c r="E2872" t="s">
        <v>39</v>
      </c>
      <c r="F2872" t="s">
        <v>140</v>
      </c>
      <c r="G2872" t="s">
        <v>76</v>
      </c>
      <c r="H2872" t="s">
        <v>21</v>
      </c>
      <c r="I2872">
        <v>22234</v>
      </c>
      <c r="J2872">
        <v>18848</v>
      </c>
    </row>
    <row r="2873" spans="1:10" x14ac:dyDescent="0.3">
      <c r="A2873" t="s">
        <v>3000</v>
      </c>
      <c r="B2873" s="1">
        <v>45711</v>
      </c>
      <c r="C2873" t="s">
        <v>82</v>
      </c>
      <c r="D2873">
        <v>8</v>
      </c>
      <c r="E2873" t="s">
        <v>24</v>
      </c>
      <c r="F2873" t="s">
        <v>122</v>
      </c>
      <c r="G2873" t="s">
        <v>240</v>
      </c>
      <c r="H2873" t="s">
        <v>119</v>
      </c>
      <c r="I2873">
        <v>29852</v>
      </c>
      <c r="J2873">
        <v>37982</v>
      </c>
    </row>
    <row r="2874" spans="1:10" x14ac:dyDescent="0.3">
      <c r="A2874" t="s">
        <v>3001</v>
      </c>
      <c r="B2874" s="1">
        <v>46011</v>
      </c>
      <c r="C2874" t="s">
        <v>100</v>
      </c>
      <c r="D2874">
        <v>51</v>
      </c>
      <c r="E2874" t="s">
        <v>24</v>
      </c>
      <c r="F2874" t="s">
        <v>101</v>
      </c>
      <c r="G2874" t="s">
        <v>83</v>
      </c>
      <c r="H2874" t="s">
        <v>48</v>
      </c>
      <c r="I2874">
        <v>39499</v>
      </c>
      <c r="J2874">
        <v>40074</v>
      </c>
    </row>
    <row r="2875" spans="1:10" x14ac:dyDescent="0.3">
      <c r="A2875" t="s">
        <v>3002</v>
      </c>
      <c r="B2875" s="1">
        <v>45668</v>
      </c>
      <c r="C2875" t="s">
        <v>17</v>
      </c>
      <c r="D2875">
        <v>2</v>
      </c>
      <c r="E2875" t="s">
        <v>24</v>
      </c>
      <c r="F2875" t="s">
        <v>13</v>
      </c>
      <c r="G2875" t="s">
        <v>326</v>
      </c>
      <c r="H2875" t="s">
        <v>55</v>
      </c>
      <c r="I2875">
        <v>27688</v>
      </c>
      <c r="J2875">
        <v>29551</v>
      </c>
    </row>
    <row r="2876" spans="1:10" x14ac:dyDescent="0.3">
      <c r="A2876" t="s">
        <v>3003</v>
      </c>
      <c r="B2876" s="1">
        <v>45811</v>
      </c>
      <c r="C2876" t="s">
        <v>74</v>
      </c>
      <c r="D2876">
        <v>23</v>
      </c>
      <c r="E2876" t="s">
        <v>39</v>
      </c>
      <c r="F2876" t="s">
        <v>87</v>
      </c>
      <c r="G2876" t="s">
        <v>51</v>
      </c>
      <c r="H2876" t="s">
        <v>123</v>
      </c>
      <c r="I2876">
        <v>39144</v>
      </c>
      <c r="J2876">
        <v>46664</v>
      </c>
    </row>
    <row r="2877" spans="1:10" x14ac:dyDescent="0.3">
      <c r="A2877" t="s">
        <v>3004</v>
      </c>
      <c r="B2877" s="1">
        <v>45940</v>
      </c>
      <c r="C2877" t="s">
        <v>66</v>
      </c>
      <c r="D2877">
        <v>41</v>
      </c>
      <c r="E2877" t="s">
        <v>70</v>
      </c>
      <c r="F2877" t="s">
        <v>62</v>
      </c>
      <c r="G2877" t="s">
        <v>132</v>
      </c>
      <c r="H2877" t="s">
        <v>27</v>
      </c>
      <c r="I2877">
        <v>26959</v>
      </c>
      <c r="J2877">
        <v>21628</v>
      </c>
    </row>
    <row r="2878" spans="1:10" x14ac:dyDescent="0.3">
      <c r="A2878" t="s">
        <v>3005</v>
      </c>
      <c r="B2878" s="1">
        <v>45771</v>
      </c>
      <c r="C2878" t="s">
        <v>86</v>
      </c>
      <c r="D2878">
        <v>17</v>
      </c>
      <c r="E2878" t="s">
        <v>39</v>
      </c>
      <c r="F2878" t="s">
        <v>193</v>
      </c>
      <c r="G2878" t="s">
        <v>54</v>
      </c>
      <c r="H2878" t="s">
        <v>111</v>
      </c>
      <c r="I2878">
        <v>30891</v>
      </c>
      <c r="J2878">
        <v>29198</v>
      </c>
    </row>
    <row r="2879" spans="1:10" x14ac:dyDescent="0.3">
      <c r="A2879" t="s">
        <v>3006</v>
      </c>
      <c r="B2879" s="1">
        <v>45743</v>
      </c>
      <c r="C2879" t="s">
        <v>95</v>
      </c>
      <c r="D2879">
        <v>13</v>
      </c>
      <c r="E2879" t="s">
        <v>70</v>
      </c>
      <c r="F2879" t="s">
        <v>13</v>
      </c>
      <c r="G2879" t="s">
        <v>110</v>
      </c>
      <c r="H2879" t="s">
        <v>52</v>
      </c>
      <c r="I2879">
        <v>17329</v>
      </c>
      <c r="J2879">
        <v>17321</v>
      </c>
    </row>
    <row r="2880" spans="1:10" x14ac:dyDescent="0.3">
      <c r="A2880" t="s">
        <v>3007</v>
      </c>
      <c r="B2880" s="1">
        <v>45778</v>
      </c>
      <c r="C2880" t="s">
        <v>90</v>
      </c>
      <c r="D2880">
        <v>18</v>
      </c>
      <c r="E2880" t="s">
        <v>33</v>
      </c>
      <c r="F2880" t="s">
        <v>114</v>
      </c>
      <c r="G2880" t="s">
        <v>107</v>
      </c>
      <c r="H2880" t="s">
        <v>103</v>
      </c>
      <c r="I2880">
        <v>24541</v>
      </c>
      <c r="J2880">
        <v>24462</v>
      </c>
    </row>
    <row r="2881" spans="1:10" x14ac:dyDescent="0.3">
      <c r="A2881" t="s">
        <v>3008</v>
      </c>
      <c r="B2881" s="1">
        <v>46000</v>
      </c>
      <c r="C2881" t="s">
        <v>100</v>
      </c>
      <c r="D2881">
        <v>50</v>
      </c>
      <c r="E2881" t="s">
        <v>61</v>
      </c>
      <c r="F2881" t="s">
        <v>25</v>
      </c>
      <c r="G2881" t="s">
        <v>206</v>
      </c>
      <c r="H2881" t="s">
        <v>96</v>
      </c>
      <c r="I2881">
        <v>33151</v>
      </c>
      <c r="J2881">
        <v>39505</v>
      </c>
    </row>
    <row r="2882" spans="1:10" x14ac:dyDescent="0.3">
      <c r="A2882" t="s">
        <v>3009</v>
      </c>
      <c r="B2882" s="1">
        <v>46007</v>
      </c>
      <c r="C2882" t="s">
        <v>100</v>
      </c>
      <c r="D2882">
        <v>51</v>
      </c>
      <c r="E2882" t="s">
        <v>33</v>
      </c>
      <c r="F2882" t="s">
        <v>50</v>
      </c>
      <c r="G2882" t="s">
        <v>79</v>
      </c>
      <c r="H2882" t="s">
        <v>157</v>
      </c>
      <c r="I2882">
        <v>34018</v>
      </c>
      <c r="J2882">
        <v>38613</v>
      </c>
    </row>
    <row r="2883" spans="1:10" x14ac:dyDescent="0.3">
      <c r="A2883" t="s">
        <v>3010</v>
      </c>
      <c r="B2883" s="1">
        <v>46019</v>
      </c>
      <c r="C2883" t="s">
        <v>100</v>
      </c>
      <c r="D2883">
        <v>52</v>
      </c>
      <c r="E2883" t="s">
        <v>18</v>
      </c>
      <c r="F2883" t="s">
        <v>29</v>
      </c>
      <c r="G2883" t="s">
        <v>83</v>
      </c>
      <c r="H2883" t="s">
        <v>165</v>
      </c>
      <c r="I2883">
        <v>35602</v>
      </c>
      <c r="J2883">
        <v>34144</v>
      </c>
    </row>
    <row r="2884" spans="1:10" x14ac:dyDescent="0.3">
      <c r="A2884" t="s">
        <v>3011</v>
      </c>
      <c r="B2884" s="1">
        <v>45717</v>
      </c>
      <c r="C2884" t="s">
        <v>95</v>
      </c>
      <c r="D2884">
        <v>9</v>
      </c>
      <c r="E2884" t="s">
        <v>39</v>
      </c>
      <c r="F2884" t="s">
        <v>13</v>
      </c>
      <c r="G2884" t="s">
        <v>115</v>
      </c>
      <c r="H2884" t="s">
        <v>157</v>
      </c>
      <c r="I2884">
        <v>39027</v>
      </c>
      <c r="J2884">
        <v>39036</v>
      </c>
    </row>
    <row r="2885" spans="1:10" x14ac:dyDescent="0.3">
      <c r="A2885" t="s">
        <v>3012</v>
      </c>
      <c r="B2885" s="1">
        <v>45978</v>
      </c>
      <c r="C2885" t="s">
        <v>23</v>
      </c>
      <c r="D2885">
        <v>47</v>
      </c>
      <c r="E2885" t="s">
        <v>70</v>
      </c>
      <c r="F2885" t="s">
        <v>43</v>
      </c>
      <c r="G2885" t="s">
        <v>44</v>
      </c>
      <c r="H2885" t="s">
        <v>52</v>
      </c>
      <c r="I2885">
        <v>19997</v>
      </c>
      <c r="J2885">
        <v>18567</v>
      </c>
    </row>
    <row r="2886" spans="1:10" x14ac:dyDescent="0.3">
      <c r="A2886" t="s">
        <v>3013</v>
      </c>
      <c r="B2886" s="1">
        <v>45939</v>
      </c>
      <c r="C2886" t="s">
        <v>66</v>
      </c>
      <c r="D2886">
        <v>41</v>
      </c>
      <c r="E2886" t="s">
        <v>61</v>
      </c>
      <c r="F2886" t="s">
        <v>109</v>
      </c>
      <c r="G2886" t="s">
        <v>291</v>
      </c>
      <c r="H2886" t="s">
        <v>157</v>
      </c>
      <c r="I2886">
        <v>32224</v>
      </c>
      <c r="J2886">
        <v>30706</v>
      </c>
    </row>
    <row r="2887" spans="1:10" x14ac:dyDescent="0.3">
      <c r="A2887" t="s">
        <v>3014</v>
      </c>
      <c r="B2887" s="1">
        <v>45732</v>
      </c>
      <c r="C2887" t="s">
        <v>95</v>
      </c>
      <c r="D2887">
        <v>11</v>
      </c>
      <c r="E2887" t="s">
        <v>12</v>
      </c>
      <c r="F2887" t="s">
        <v>87</v>
      </c>
      <c r="G2887" t="s">
        <v>54</v>
      </c>
      <c r="H2887" t="s">
        <v>52</v>
      </c>
      <c r="I2887">
        <v>35096</v>
      </c>
      <c r="J2887">
        <v>25333</v>
      </c>
    </row>
    <row r="2888" spans="1:10" x14ac:dyDescent="0.3">
      <c r="A2888" t="s">
        <v>3015</v>
      </c>
      <c r="B2888" s="1">
        <v>46002</v>
      </c>
      <c r="C2888" t="s">
        <v>100</v>
      </c>
      <c r="D2888">
        <v>50</v>
      </c>
      <c r="E2888" t="s">
        <v>18</v>
      </c>
      <c r="F2888" t="s">
        <v>140</v>
      </c>
      <c r="G2888" t="s">
        <v>30</v>
      </c>
      <c r="H2888" t="s">
        <v>157</v>
      </c>
      <c r="I2888">
        <v>32976</v>
      </c>
      <c r="J2888">
        <v>31408</v>
      </c>
    </row>
    <row r="2889" spans="1:10" x14ac:dyDescent="0.3">
      <c r="A2889" t="s">
        <v>3016</v>
      </c>
      <c r="B2889" s="1">
        <v>45964</v>
      </c>
      <c r="C2889" t="s">
        <v>23</v>
      </c>
      <c r="D2889">
        <v>45</v>
      </c>
      <c r="E2889" t="s">
        <v>39</v>
      </c>
      <c r="F2889" t="s">
        <v>122</v>
      </c>
      <c r="G2889" t="s">
        <v>128</v>
      </c>
      <c r="H2889" t="s">
        <v>243</v>
      </c>
      <c r="I2889">
        <v>15067</v>
      </c>
      <c r="J2889">
        <v>14899</v>
      </c>
    </row>
    <row r="2890" spans="1:10" x14ac:dyDescent="0.3">
      <c r="A2890" t="s">
        <v>3017</v>
      </c>
      <c r="B2890" s="1">
        <v>45917</v>
      </c>
      <c r="C2890" t="s">
        <v>38</v>
      </c>
      <c r="D2890">
        <v>38</v>
      </c>
      <c r="E2890" t="s">
        <v>12</v>
      </c>
      <c r="F2890" t="s">
        <v>43</v>
      </c>
      <c r="G2890" t="s">
        <v>253</v>
      </c>
      <c r="H2890" t="s">
        <v>64</v>
      </c>
      <c r="I2890">
        <v>19640</v>
      </c>
      <c r="J2890">
        <v>17937</v>
      </c>
    </row>
    <row r="2891" spans="1:10" x14ac:dyDescent="0.3">
      <c r="A2891" t="s">
        <v>3018</v>
      </c>
      <c r="B2891" s="1">
        <v>45840</v>
      </c>
      <c r="C2891" t="s">
        <v>11</v>
      </c>
      <c r="D2891">
        <v>27</v>
      </c>
      <c r="E2891" t="s">
        <v>70</v>
      </c>
      <c r="F2891" t="s">
        <v>19</v>
      </c>
      <c r="G2891" t="s">
        <v>14</v>
      </c>
      <c r="H2891" t="s">
        <v>119</v>
      </c>
      <c r="I2891">
        <v>37665</v>
      </c>
      <c r="J2891">
        <v>32885</v>
      </c>
    </row>
    <row r="2892" spans="1:10" x14ac:dyDescent="0.3">
      <c r="A2892" t="s">
        <v>3019</v>
      </c>
      <c r="B2892" s="1">
        <v>45741</v>
      </c>
      <c r="C2892" t="s">
        <v>95</v>
      </c>
      <c r="D2892">
        <v>13</v>
      </c>
      <c r="E2892" t="s">
        <v>61</v>
      </c>
      <c r="F2892" t="s">
        <v>122</v>
      </c>
      <c r="G2892" t="s">
        <v>115</v>
      </c>
      <c r="H2892" t="s">
        <v>96</v>
      </c>
      <c r="I2892">
        <v>16249</v>
      </c>
      <c r="J2892">
        <v>17069</v>
      </c>
    </row>
    <row r="2893" spans="1:10" x14ac:dyDescent="0.3">
      <c r="A2893" t="s">
        <v>3020</v>
      </c>
      <c r="B2893" s="1">
        <v>46001</v>
      </c>
      <c r="C2893" t="s">
        <v>100</v>
      </c>
      <c r="D2893">
        <v>50</v>
      </c>
      <c r="E2893" t="s">
        <v>33</v>
      </c>
      <c r="F2893" t="s">
        <v>43</v>
      </c>
      <c r="G2893" t="s">
        <v>107</v>
      </c>
      <c r="H2893" t="s">
        <v>52</v>
      </c>
      <c r="I2893">
        <v>18731</v>
      </c>
      <c r="J2893">
        <v>18950</v>
      </c>
    </row>
    <row r="2894" spans="1:10" x14ac:dyDescent="0.3">
      <c r="A2894" t="s">
        <v>3021</v>
      </c>
      <c r="B2894" s="1">
        <v>45950</v>
      </c>
      <c r="C2894" t="s">
        <v>66</v>
      </c>
      <c r="D2894">
        <v>43</v>
      </c>
      <c r="E2894" t="s">
        <v>61</v>
      </c>
      <c r="F2894" t="s">
        <v>57</v>
      </c>
      <c r="G2894" t="s">
        <v>79</v>
      </c>
      <c r="H2894" t="s">
        <v>188</v>
      </c>
      <c r="I2894">
        <v>24047</v>
      </c>
      <c r="J2894">
        <v>22555</v>
      </c>
    </row>
    <row r="2895" spans="1:10" x14ac:dyDescent="0.3">
      <c r="A2895" t="s">
        <v>3022</v>
      </c>
      <c r="B2895" s="1">
        <v>46011</v>
      </c>
      <c r="C2895" t="s">
        <v>100</v>
      </c>
      <c r="D2895">
        <v>51</v>
      </c>
      <c r="E2895" t="s">
        <v>70</v>
      </c>
      <c r="F2895" t="s">
        <v>19</v>
      </c>
      <c r="G2895" t="s">
        <v>230</v>
      </c>
      <c r="H2895" t="s">
        <v>27</v>
      </c>
      <c r="I2895">
        <v>30719</v>
      </c>
      <c r="J2895">
        <v>38458</v>
      </c>
    </row>
    <row r="2896" spans="1:10" x14ac:dyDescent="0.3">
      <c r="A2896" t="s">
        <v>3023</v>
      </c>
      <c r="B2896" s="1">
        <v>45804</v>
      </c>
      <c r="C2896" t="s">
        <v>90</v>
      </c>
      <c r="D2896">
        <v>22</v>
      </c>
      <c r="E2896" t="s">
        <v>61</v>
      </c>
      <c r="F2896" t="s">
        <v>25</v>
      </c>
      <c r="G2896" t="s">
        <v>230</v>
      </c>
      <c r="H2896" t="s">
        <v>165</v>
      </c>
      <c r="I2896">
        <v>31359</v>
      </c>
      <c r="J2896">
        <v>23367</v>
      </c>
    </row>
    <row r="2897" spans="1:10" x14ac:dyDescent="0.3">
      <c r="A2897" t="s">
        <v>3024</v>
      </c>
      <c r="B2897" s="1">
        <v>45922</v>
      </c>
      <c r="C2897" t="s">
        <v>38</v>
      </c>
      <c r="D2897">
        <v>39</v>
      </c>
      <c r="E2897" t="s">
        <v>24</v>
      </c>
      <c r="F2897" t="s">
        <v>87</v>
      </c>
      <c r="G2897" t="s">
        <v>137</v>
      </c>
      <c r="H2897" t="s">
        <v>59</v>
      </c>
      <c r="I2897">
        <v>28685</v>
      </c>
      <c r="J2897">
        <v>26971</v>
      </c>
    </row>
    <row r="2898" spans="1:10" x14ac:dyDescent="0.3">
      <c r="A2898" t="s">
        <v>3025</v>
      </c>
      <c r="B2898" s="1">
        <v>45659</v>
      </c>
      <c r="C2898" t="s">
        <v>17</v>
      </c>
      <c r="D2898">
        <v>1</v>
      </c>
      <c r="E2898" t="s">
        <v>39</v>
      </c>
      <c r="F2898" t="s">
        <v>50</v>
      </c>
      <c r="G2898" t="s">
        <v>206</v>
      </c>
      <c r="H2898" t="s">
        <v>155</v>
      </c>
      <c r="I2898">
        <v>39757</v>
      </c>
      <c r="J2898">
        <v>29038</v>
      </c>
    </row>
    <row r="2899" spans="1:10" x14ac:dyDescent="0.3">
      <c r="A2899" t="s">
        <v>3026</v>
      </c>
      <c r="B2899" s="1">
        <v>45758</v>
      </c>
      <c r="C2899" t="s">
        <v>86</v>
      </c>
      <c r="D2899">
        <v>15</v>
      </c>
      <c r="E2899" t="s">
        <v>18</v>
      </c>
      <c r="F2899" t="s">
        <v>34</v>
      </c>
      <c r="G2899" t="s">
        <v>191</v>
      </c>
      <c r="H2899" t="s">
        <v>243</v>
      </c>
      <c r="I2899">
        <v>20843</v>
      </c>
      <c r="J2899">
        <v>22912</v>
      </c>
    </row>
    <row r="2900" spans="1:10" x14ac:dyDescent="0.3">
      <c r="A2900" t="s">
        <v>3027</v>
      </c>
      <c r="B2900" s="1">
        <v>45683</v>
      </c>
      <c r="C2900" t="s">
        <v>17</v>
      </c>
      <c r="D2900">
        <v>4</v>
      </c>
      <c r="E2900" t="s">
        <v>18</v>
      </c>
      <c r="F2900" t="s">
        <v>34</v>
      </c>
      <c r="G2900" t="s">
        <v>47</v>
      </c>
      <c r="H2900" t="s">
        <v>165</v>
      </c>
      <c r="I2900">
        <v>33807</v>
      </c>
      <c r="J2900">
        <v>39002</v>
      </c>
    </row>
    <row r="2901" spans="1:10" x14ac:dyDescent="0.3">
      <c r="A2901" t="s">
        <v>3028</v>
      </c>
      <c r="B2901" s="1">
        <v>45991</v>
      </c>
      <c r="C2901" t="s">
        <v>23</v>
      </c>
      <c r="D2901">
        <v>48</v>
      </c>
      <c r="E2901" t="s">
        <v>24</v>
      </c>
      <c r="F2901" t="s">
        <v>109</v>
      </c>
      <c r="G2901" t="s">
        <v>63</v>
      </c>
      <c r="H2901" t="s">
        <v>123</v>
      </c>
      <c r="I2901">
        <v>39536</v>
      </c>
      <c r="J2901">
        <v>32247</v>
      </c>
    </row>
    <row r="2902" spans="1:10" x14ac:dyDescent="0.3">
      <c r="A2902" t="s">
        <v>3029</v>
      </c>
      <c r="B2902" s="1">
        <v>45814</v>
      </c>
      <c r="C2902" t="s">
        <v>74</v>
      </c>
      <c r="D2902">
        <v>23</v>
      </c>
      <c r="E2902" t="s">
        <v>12</v>
      </c>
      <c r="F2902" t="s">
        <v>19</v>
      </c>
      <c r="G2902" t="s">
        <v>83</v>
      </c>
      <c r="H2902" t="s">
        <v>116</v>
      </c>
      <c r="I2902">
        <v>20514</v>
      </c>
      <c r="J2902">
        <v>14651</v>
      </c>
    </row>
    <row r="2903" spans="1:10" x14ac:dyDescent="0.3">
      <c r="A2903" t="s">
        <v>3030</v>
      </c>
      <c r="B2903" s="1">
        <v>45717</v>
      </c>
      <c r="C2903" t="s">
        <v>95</v>
      </c>
      <c r="D2903">
        <v>9</v>
      </c>
      <c r="E2903" t="s">
        <v>18</v>
      </c>
      <c r="F2903" t="s">
        <v>13</v>
      </c>
      <c r="G2903" t="s">
        <v>76</v>
      </c>
      <c r="H2903" t="s">
        <v>98</v>
      </c>
      <c r="I2903">
        <v>38313</v>
      </c>
      <c r="J2903">
        <v>46798</v>
      </c>
    </row>
    <row r="2904" spans="1:10" x14ac:dyDescent="0.3">
      <c r="A2904" t="s">
        <v>3031</v>
      </c>
      <c r="B2904" s="1">
        <v>45702</v>
      </c>
      <c r="C2904" t="s">
        <v>82</v>
      </c>
      <c r="D2904">
        <v>7</v>
      </c>
      <c r="E2904" t="s">
        <v>33</v>
      </c>
      <c r="F2904" t="s">
        <v>29</v>
      </c>
      <c r="G2904" t="s">
        <v>234</v>
      </c>
      <c r="H2904" t="s">
        <v>123</v>
      </c>
      <c r="I2904">
        <v>25605</v>
      </c>
      <c r="J2904">
        <v>26537</v>
      </c>
    </row>
    <row r="2905" spans="1:10" x14ac:dyDescent="0.3">
      <c r="A2905" t="s">
        <v>3032</v>
      </c>
      <c r="B2905" s="1">
        <v>45740</v>
      </c>
      <c r="C2905" t="s">
        <v>95</v>
      </c>
      <c r="D2905">
        <v>13</v>
      </c>
      <c r="E2905" t="s">
        <v>24</v>
      </c>
      <c r="F2905" t="s">
        <v>92</v>
      </c>
      <c r="G2905" t="s">
        <v>324</v>
      </c>
      <c r="H2905" t="s">
        <v>211</v>
      </c>
      <c r="I2905">
        <v>20995</v>
      </c>
      <c r="J2905">
        <v>15542</v>
      </c>
    </row>
    <row r="2906" spans="1:10" x14ac:dyDescent="0.3">
      <c r="A2906" t="s">
        <v>3033</v>
      </c>
      <c r="B2906" s="1">
        <v>45698</v>
      </c>
      <c r="C2906" t="s">
        <v>82</v>
      </c>
      <c r="D2906">
        <v>7</v>
      </c>
      <c r="E2906" t="s">
        <v>61</v>
      </c>
      <c r="F2906" t="s">
        <v>43</v>
      </c>
      <c r="G2906" t="s">
        <v>128</v>
      </c>
      <c r="H2906" t="s">
        <v>27</v>
      </c>
      <c r="I2906">
        <v>21603</v>
      </c>
      <c r="J2906">
        <v>26339</v>
      </c>
    </row>
    <row r="2907" spans="1:10" x14ac:dyDescent="0.3">
      <c r="A2907" t="s">
        <v>3034</v>
      </c>
      <c r="B2907" s="1">
        <v>45719</v>
      </c>
      <c r="C2907" t="s">
        <v>95</v>
      </c>
      <c r="D2907">
        <v>10</v>
      </c>
      <c r="E2907" t="s">
        <v>12</v>
      </c>
      <c r="F2907" t="s">
        <v>193</v>
      </c>
      <c r="G2907" t="s">
        <v>324</v>
      </c>
      <c r="H2907" t="s">
        <v>80</v>
      </c>
      <c r="I2907">
        <v>26581</v>
      </c>
      <c r="J2907">
        <v>25443</v>
      </c>
    </row>
    <row r="2908" spans="1:10" x14ac:dyDescent="0.3">
      <c r="A2908" t="s">
        <v>3035</v>
      </c>
      <c r="B2908" s="1">
        <v>45816</v>
      </c>
      <c r="C2908" t="s">
        <v>74</v>
      </c>
      <c r="D2908">
        <v>23</v>
      </c>
      <c r="E2908" t="s">
        <v>24</v>
      </c>
      <c r="F2908" t="s">
        <v>13</v>
      </c>
      <c r="G2908" t="s">
        <v>253</v>
      </c>
      <c r="H2908" t="s">
        <v>157</v>
      </c>
      <c r="I2908">
        <v>37169</v>
      </c>
      <c r="J2908">
        <v>36954</v>
      </c>
    </row>
    <row r="2909" spans="1:10" x14ac:dyDescent="0.3">
      <c r="A2909" t="s">
        <v>3036</v>
      </c>
      <c r="B2909" s="1">
        <v>45670</v>
      </c>
      <c r="C2909" t="s">
        <v>17</v>
      </c>
      <c r="D2909">
        <v>3</v>
      </c>
      <c r="E2909" t="s">
        <v>24</v>
      </c>
      <c r="F2909" t="s">
        <v>62</v>
      </c>
      <c r="G2909" t="s">
        <v>130</v>
      </c>
      <c r="H2909" t="s">
        <v>96</v>
      </c>
      <c r="I2909">
        <v>21584</v>
      </c>
      <c r="J2909">
        <v>21567</v>
      </c>
    </row>
    <row r="2910" spans="1:10" x14ac:dyDescent="0.3">
      <c r="A2910" t="s">
        <v>3037</v>
      </c>
      <c r="B2910" s="1">
        <v>45677</v>
      </c>
      <c r="C2910" t="s">
        <v>17</v>
      </c>
      <c r="D2910">
        <v>4</v>
      </c>
      <c r="E2910" t="s">
        <v>24</v>
      </c>
      <c r="F2910" t="s">
        <v>92</v>
      </c>
      <c r="G2910" t="s">
        <v>72</v>
      </c>
      <c r="H2910" t="s">
        <v>21</v>
      </c>
      <c r="I2910">
        <v>30008</v>
      </c>
      <c r="J2910">
        <v>36032</v>
      </c>
    </row>
    <row r="2911" spans="1:10" x14ac:dyDescent="0.3">
      <c r="A2911" t="s">
        <v>3038</v>
      </c>
      <c r="B2911" s="1">
        <v>45747</v>
      </c>
      <c r="C2911" t="s">
        <v>95</v>
      </c>
      <c r="D2911">
        <v>14</v>
      </c>
      <c r="E2911" t="s">
        <v>39</v>
      </c>
      <c r="F2911" t="s">
        <v>92</v>
      </c>
      <c r="G2911" t="s">
        <v>30</v>
      </c>
      <c r="H2911" t="s">
        <v>31</v>
      </c>
      <c r="I2911">
        <v>37966</v>
      </c>
      <c r="J2911">
        <v>48332</v>
      </c>
    </row>
    <row r="2912" spans="1:10" x14ac:dyDescent="0.3">
      <c r="A2912" t="s">
        <v>3039</v>
      </c>
      <c r="B2912" s="1">
        <v>45828</v>
      </c>
      <c r="C2912" t="s">
        <v>74</v>
      </c>
      <c r="D2912">
        <v>25</v>
      </c>
      <c r="E2912" t="s">
        <v>70</v>
      </c>
      <c r="F2912" t="s">
        <v>114</v>
      </c>
      <c r="G2912" t="s">
        <v>118</v>
      </c>
      <c r="H2912" t="s">
        <v>103</v>
      </c>
      <c r="I2912">
        <v>26273</v>
      </c>
      <c r="J2912">
        <v>29684</v>
      </c>
    </row>
    <row r="2913" spans="1:10" x14ac:dyDescent="0.3">
      <c r="A2913" t="s">
        <v>3040</v>
      </c>
      <c r="B2913" s="1">
        <v>45925</v>
      </c>
      <c r="C2913" t="s">
        <v>38</v>
      </c>
      <c r="D2913">
        <v>39</v>
      </c>
      <c r="E2913" t="s">
        <v>18</v>
      </c>
      <c r="F2913" t="s">
        <v>13</v>
      </c>
      <c r="G2913" t="s">
        <v>206</v>
      </c>
      <c r="H2913" t="s">
        <v>41</v>
      </c>
      <c r="I2913">
        <v>22132</v>
      </c>
      <c r="J2913">
        <v>24102</v>
      </c>
    </row>
    <row r="2914" spans="1:10" x14ac:dyDescent="0.3">
      <c r="A2914" t="s">
        <v>3041</v>
      </c>
      <c r="B2914" s="1">
        <v>45764</v>
      </c>
      <c r="C2914" t="s">
        <v>86</v>
      </c>
      <c r="D2914">
        <v>16</v>
      </c>
      <c r="E2914" t="s">
        <v>61</v>
      </c>
      <c r="F2914" t="s">
        <v>50</v>
      </c>
      <c r="G2914" t="s">
        <v>30</v>
      </c>
      <c r="H2914" t="s">
        <v>111</v>
      </c>
      <c r="I2914">
        <v>22973</v>
      </c>
      <c r="J2914">
        <v>22213</v>
      </c>
    </row>
    <row r="2915" spans="1:10" x14ac:dyDescent="0.3">
      <c r="A2915" t="s">
        <v>3042</v>
      </c>
      <c r="B2915" s="1">
        <v>45864</v>
      </c>
      <c r="C2915" t="s">
        <v>11</v>
      </c>
      <c r="D2915">
        <v>30</v>
      </c>
      <c r="E2915" t="s">
        <v>70</v>
      </c>
      <c r="F2915" t="s">
        <v>50</v>
      </c>
      <c r="G2915" t="s">
        <v>115</v>
      </c>
      <c r="H2915" t="s">
        <v>123</v>
      </c>
      <c r="I2915">
        <v>36896</v>
      </c>
      <c r="J2915">
        <v>34807</v>
      </c>
    </row>
    <row r="2916" spans="1:10" x14ac:dyDescent="0.3">
      <c r="A2916" t="s">
        <v>3043</v>
      </c>
      <c r="B2916" s="1">
        <v>45839</v>
      </c>
      <c r="C2916" t="s">
        <v>11</v>
      </c>
      <c r="D2916">
        <v>27</v>
      </c>
      <c r="E2916" t="s">
        <v>39</v>
      </c>
      <c r="F2916" t="s">
        <v>109</v>
      </c>
      <c r="G2916" t="s">
        <v>326</v>
      </c>
      <c r="H2916" t="s">
        <v>80</v>
      </c>
      <c r="I2916">
        <v>30315</v>
      </c>
      <c r="J2916">
        <v>34422</v>
      </c>
    </row>
    <row r="2917" spans="1:10" x14ac:dyDescent="0.3">
      <c r="A2917" t="s">
        <v>3044</v>
      </c>
      <c r="B2917" s="1">
        <v>45973</v>
      </c>
      <c r="C2917" t="s">
        <v>23</v>
      </c>
      <c r="D2917">
        <v>46</v>
      </c>
      <c r="E2917" t="s">
        <v>39</v>
      </c>
      <c r="F2917" t="s">
        <v>46</v>
      </c>
      <c r="G2917" t="s">
        <v>160</v>
      </c>
      <c r="H2917" t="s">
        <v>111</v>
      </c>
      <c r="I2917">
        <v>25410</v>
      </c>
      <c r="J2917">
        <v>25751</v>
      </c>
    </row>
    <row r="2918" spans="1:10" x14ac:dyDescent="0.3">
      <c r="A2918" t="s">
        <v>3045</v>
      </c>
      <c r="B2918" s="1">
        <v>46011</v>
      </c>
      <c r="C2918" t="s">
        <v>100</v>
      </c>
      <c r="D2918">
        <v>51</v>
      </c>
      <c r="E2918" t="s">
        <v>24</v>
      </c>
      <c r="F2918" t="s">
        <v>193</v>
      </c>
      <c r="G2918" t="s">
        <v>118</v>
      </c>
      <c r="H2918" t="s">
        <v>59</v>
      </c>
      <c r="I2918">
        <v>29786</v>
      </c>
      <c r="J2918">
        <v>33078</v>
      </c>
    </row>
    <row r="2919" spans="1:10" x14ac:dyDescent="0.3">
      <c r="A2919" t="s">
        <v>3046</v>
      </c>
      <c r="B2919" s="1">
        <v>45675</v>
      </c>
      <c r="C2919" t="s">
        <v>17</v>
      </c>
      <c r="D2919">
        <v>3</v>
      </c>
      <c r="E2919" t="s">
        <v>33</v>
      </c>
      <c r="F2919" t="s">
        <v>140</v>
      </c>
      <c r="G2919" t="s">
        <v>118</v>
      </c>
      <c r="H2919" t="s">
        <v>133</v>
      </c>
      <c r="I2919">
        <v>21106</v>
      </c>
      <c r="J2919">
        <v>24950</v>
      </c>
    </row>
    <row r="2920" spans="1:10" x14ac:dyDescent="0.3">
      <c r="A2920" t="s">
        <v>3047</v>
      </c>
      <c r="B2920" s="1">
        <v>45838</v>
      </c>
      <c r="C2920" t="s">
        <v>74</v>
      </c>
      <c r="D2920">
        <v>27</v>
      </c>
      <c r="E2920" t="s">
        <v>39</v>
      </c>
      <c r="F2920" t="s">
        <v>29</v>
      </c>
      <c r="G2920" t="s">
        <v>191</v>
      </c>
      <c r="H2920" t="s">
        <v>119</v>
      </c>
      <c r="I2920">
        <v>31657</v>
      </c>
      <c r="J2920">
        <v>36641</v>
      </c>
    </row>
    <row r="2921" spans="1:10" x14ac:dyDescent="0.3">
      <c r="A2921" t="s">
        <v>3048</v>
      </c>
      <c r="B2921" s="1">
        <v>45667</v>
      </c>
      <c r="C2921" t="s">
        <v>17</v>
      </c>
      <c r="D2921">
        <v>2</v>
      </c>
      <c r="E2921" t="s">
        <v>33</v>
      </c>
      <c r="F2921" t="s">
        <v>75</v>
      </c>
      <c r="G2921" t="s">
        <v>182</v>
      </c>
      <c r="H2921" t="s">
        <v>55</v>
      </c>
      <c r="I2921">
        <v>35481</v>
      </c>
      <c r="J2921">
        <v>43590</v>
      </c>
    </row>
    <row r="2922" spans="1:10" x14ac:dyDescent="0.3">
      <c r="A2922" t="s">
        <v>3049</v>
      </c>
      <c r="B2922" s="1">
        <v>45968</v>
      </c>
      <c r="C2922" t="s">
        <v>23</v>
      </c>
      <c r="D2922">
        <v>45</v>
      </c>
      <c r="E2922" t="s">
        <v>12</v>
      </c>
      <c r="F2922" t="s">
        <v>34</v>
      </c>
      <c r="G2922" t="s">
        <v>93</v>
      </c>
      <c r="H2922" t="s">
        <v>188</v>
      </c>
      <c r="I2922">
        <v>19498</v>
      </c>
      <c r="J2922">
        <v>23650</v>
      </c>
    </row>
    <row r="2923" spans="1:10" x14ac:dyDescent="0.3">
      <c r="A2923" t="s">
        <v>3050</v>
      </c>
      <c r="B2923" s="1">
        <v>45707</v>
      </c>
      <c r="C2923" t="s">
        <v>82</v>
      </c>
      <c r="D2923">
        <v>8</v>
      </c>
      <c r="E2923" t="s">
        <v>61</v>
      </c>
      <c r="F2923" t="s">
        <v>34</v>
      </c>
      <c r="G2923" t="s">
        <v>149</v>
      </c>
      <c r="H2923" t="s">
        <v>96</v>
      </c>
      <c r="I2923">
        <v>30824</v>
      </c>
      <c r="J2923">
        <v>34746</v>
      </c>
    </row>
    <row r="2924" spans="1:10" x14ac:dyDescent="0.3">
      <c r="A2924" t="s">
        <v>3051</v>
      </c>
      <c r="B2924" s="1">
        <v>45804</v>
      </c>
      <c r="C2924" t="s">
        <v>90</v>
      </c>
      <c r="D2924">
        <v>22</v>
      </c>
      <c r="E2924" t="s">
        <v>12</v>
      </c>
      <c r="F2924" t="s">
        <v>62</v>
      </c>
      <c r="G2924" t="s">
        <v>266</v>
      </c>
      <c r="H2924" t="s">
        <v>15</v>
      </c>
      <c r="I2924">
        <v>30788</v>
      </c>
      <c r="J2924">
        <v>37535</v>
      </c>
    </row>
    <row r="2925" spans="1:10" x14ac:dyDescent="0.3">
      <c r="A2925" t="s">
        <v>3052</v>
      </c>
      <c r="B2925" s="1">
        <v>45969</v>
      </c>
      <c r="C2925" t="s">
        <v>23</v>
      </c>
      <c r="D2925">
        <v>45</v>
      </c>
      <c r="E2925" t="s">
        <v>12</v>
      </c>
      <c r="F2925" t="s">
        <v>29</v>
      </c>
      <c r="G2925" t="s">
        <v>234</v>
      </c>
      <c r="H2925" t="s">
        <v>68</v>
      </c>
      <c r="I2925">
        <v>20080</v>
      </c>
      <c r="J2925">
        <v>24478</v>
      </c>
    </row>
    <row r="2926" spans="1:10" x14ac:dyDescent="0.3">
      <c r="A2926" t="s">
        <v>3053</v>
      </c>
      <c r="B2926" s="1">
        <v>45804</v>
      </c>
      <c r="C2926" t="s">
        <v>90</v>
      </c>
      <c r="D2926">
        <v>22</v>
      </c>
      <c r="E2926" t="s">
        <v>61</v>
      </c>
      <c r="F2926" t="s">
        <v>140</v>
      </c>
      <c r="G2926" t="s">
        <v>88</v>
      </c>
      <c r="H2926" t="s">
        <v>163</v>
      </c>
      <c r="I2926">
        <v>31660</v>
      </c>
      <c r="J2926">
        <v>39141</v>
      </c>
    </row>
    <row r="2927" spans="1:10" x14ac:dyDescent="0.3">
      <c r="A2927" t="s">
        <v>3054</v>
      </c>
      <c r="B2927" s="1">
        <v>45986</v>
      </c>
      <c r="C2927" t="s">
        <v>23</v>
      </c>
      <c r="D2927">
        <v>48</v>
      </c>
      <c r="E2927" t="s">
        <v>70</v>
      </c>
      <c r="F2927" t="s">
        <v>13</v>
      </c>
      <c r="G2927" t="s">
        <v>224</v>
      </c>
      <c r="H2927" t="s">
        <v>84</v>
      </c>
      <c r="I2927">
        <v>31373</v>
      </c>
      <c r="J2927">
        <v>24105</v>
      </c>
    </row>
    <row r="2928" spans="1:10" x14ac:dyDescent="0.3">
      <c r="A2928" t="s">
        <v>3055</v>
      </c>
      <c r="B2928" s="1">
        <v>45842</v>
      </c>
      <c r="C2928" t="s">
        <v>11</v>
      </c>
      <c r="D2928">
        <v>27</v>
      </c>
      <c r="E2928" t="s">
        <v>24</v>
      </c>
      <c r="F2928" t="s">
        <v>34</v>
      </c>
      <c r="G2928" t="s">
        <v>79</v>
      </c>
      <c r="H2928" t="s">
        <v>21</v>
      </c>
      <c r="I2928">
        <v>39334</v>
      </c>
      <c r="J2928">
        <v>49849</v>
      </c>
    </row>
    <row r="2929" spans="1:10" x14ac:dyDescent="0.3">
      <c r="A2929" t="s">
        <v>3056</v>
      </c>
      <c r="B2929" s="1">
        <v>45847</v>
      </c>
      <c r="C2929" t="s">
        <v>11</v>
      </c>
      <c r="D2929">
        <v>28</v>
      </c>
      <c r="E2929" t="s">
        <v>61</v>
      </c>
      <c r="F2929" t="s">
        <v>193</v>
      </c>
      <c r="G2929" t="s">
        <v>63</v>
      </c>
      <c r="H2929" t="s">
        <v>59</v>
      </c>
      <c r="I2929">
        <v>33719</v>
      </c>
      <c r="J2929">
        <v>24760</v>
      </c>
    </row>
    <row r="2930" spans="1:10" x14ac:dyDescent="0.3">
      <c r="A2930" t="s">
        <v>3057</v>
      </c>
      <c r="B2930" s="1">
        <v>45667</v>
      </c>
      <c r="C2930" t="s">
        <v>17</v>
      </c>
      <c r="D2930">
        <v>2</v>
      </c>
      <c r="E2930" t="s">
        <v>39</v>
      </c>
      <c r="F2930" t="s">
        <v>122</v>
      </c>
      <c r="G2930" t="s">
        <v>128</v>
      </c>
      <c r="H2930" t="s">
        <v>116</v>
      </c>
      <c r="I2930">
        <v>31446</v>
      </c>
      <c r="J2930">
        <v>23197</v>
      </c>
    </row>
    <row r="2931" spans="1:10" x14ac:dyDescent="0.3">
      <c r="A2931" t="s">
        <v>3058</v>
      </c>
      <c r="B2931" s="1">
        <v>45789</v>
      </c>
      <c r="C2931" t="s">
        <v>90</v>
      </c>
      <c r="D2931">
        <v>20</v>
      </c>
      <c r="E2931" t="s">
        <v>18</v>
      </c>
      <c r="F2931" t="s">
        <v>109</v>
      </c>
      <c r="G2931" t="s">
        <v>110</v>
      </c>
      <c r="H2931" t="s">
        <v>211</v>
      </c>
      <c r="I2931">
        <v>24304</v>
      </c>
      <c r="J2931">
        <v>29421</v>
      </c>
    </row>
    <row r="2932" spans="1:10" x14ac:dyDescent="0.3">
      <c r="A2932" t="s">
        <v>3059</v>
      </c>
      <c r="B2932" s="1">
        <v>45779</v>
      </c>
      <c r="C2932" t="s">
        <v>90</v>
      </c>
      <c r="D2932">
        <v>18</v>
      </c>
      <c r="E2932" t="s">
        <v>24</v>
      </c>
      <c r="F2932" t="s">
        <v>29</v>
      </c>
      <c r="G2932" t="s">
        <v>135</v>
      </c>
      <c r="H2932" t="s">
        <v>41</v>
      </c>
      <c r="I2932">
        <v>30842</v>
      </c>
      <c r="J2932">
        <v>36983</v>
      </c>
    </row>
    <row r="2933" spans="1:10" x14ac:dyDescent="0.3">
      <c r="A2933" t="s">
        <v>3060</v>
      </c>
      <c r="B2933" s="1">
        <v>45717</v>
      </c>
      <c r="C2933" t="s">
        <v>95</v>
      </c>
      <c r="D2933">
        <v>9</v>
      </c>
      <c r="E2933" t="s">
        <v>33</v>
      </c>
      <c r="F2933" t="s">
        <v>25</v>
      </c>
      <c r="G2933" t="s">
        <v>132</v>
      </c>
      <c r="H2933" t="s">
        <v>119</v>
      </c>
      <c r="I2933">
        <v>38700</v>
      </c>
      <c r="J2933">
        <v>31047</v>
      </c>
    </row>
    <row r="2934" spans="1:10" x14ac:dyDescent="0.3">
      <c r="A2934" t="s">
        <v>3061</v>
      </c>
      <c r="B2934" s="1">
        <v>45901</v>
      </c>
      <c r="C2934" t="s">
        <v>38</v>
      </c>
      <c r="D2934">
        <v>36</v>
      </c>
      <c r="E2934" t="s">
        <v>39</v>
      </c>
      <c r="F2934" t="s">
        <v>109</v>
      </c>
      <c r="G2934" t="s">
        <v>160</v>
      </c>
      <c r="H2934" t="s">
        <v>133</v>
      </c>
      <c r="I2934">
        <v>15344</v>
      </c>
      <c r="J2934">
        <v>19245</v>
      </c>
    </row>
    <row r="2935" spans="1:10" x14ac:dyDescent="0.3">
      <c r="A2935" t="s">
        <v>3062</v>
      </c>
      <c r="B2935" s="1">
        <v>45876</v>
      </c>
      <c r="C2935" t="s">
        <v>113</v>
      </c>
      <c r="D2935">
        <v>32</v>
      </c>
      <c r="E2935" t="s">
        <v>39</v>
      </c>
      <c r="F2935" t="s">
        <v>19</v>
      </c>
      <c r="G2935" t="s">
        <v>201</v>
      </c>
      <c r="H2935" t="s">
        <v>55</v>
      </c>
      <c r="I2935">
        <v>31332</v>
      </c>
      <c r="J2935">
        <v>23282</v>
      </c>
    </row>
    <row r="2936" spans="1:10" x14ac:dyDescent="0.3">
      <c r="A2936" t="s">
        <v>3063</v>
      </c>
      <c r="B2936" s="1">
        <v>45719</v>
      </c>
      <c r="C2936" t="s">
        <v>95</v>
      </c>
      <c r="D2936">
        <v>10</v>
      </c>
      <c r="E2936" t="s">
        <v>61</v>
      </c>
      <c r="F2936" t="s">
        <v>62</v>
      </c>
      <c r="G2936" t="s">
        <v>160</v>
      </c>
      <c r="H2936" t="s">
        <v>211</v>
      </c>
      <c r="I2936">
        <v>36649</v>
      </c>
      <c r="J2936">
        <v>37965</v>
      </c>
    </row>
    <row r="2937" spans="1:10" x14ac:dyDescent="0.3">
      <c r="A2937" t="s">
        <v>3064</v>
      </c>
      <c r="B2937" s="1">
        <v>45790</v>
      </c>
      <c r="C2937" t="s">
        <v>90</v>
      </c>
      <c r="D2937">
        <v>20</v>
      </c>
      <c r="E2937" t="s">
        <v>24</v>
      </c>
      <c r="F2937" t="s">
        <v>109</v>
      </c>
      <c r="G2937" t="s">
        <v>118</v>
      </c>
      <c r="H2937" t="s">
        <v>133</v>
      </c>
      <c r="I2937">
        <v>16604</v>
      </c>
      <c r="J2937">
        <v>17314</v>
      </c>
    </row>
    <row r="2938" spans="1:10" x14ac:dyDescent="0.3">
      <c r="A2938" t="s">
        <v>3065</v>
      </c>
      <c r="B2938" s="1">
        <v>45888</v>
      </c>
      <c r="C2938" t="s">
        <v>113</v>
      </c>
      <c r="D2938">
        <v>34</v>
      </c>
      <c r="E2938" t="s">
        <v>70</v>
      </c>
      <c r="F2938" t="s">
        <v>50</v>
      </c>
      <c r="G2938" t="s">
        <v>20</v>
      </c>
      <c r="H2938" t="s">
        <v>41</v>
      </c>
      <c r="I2938">
        <v>16898</v>
      </c>
      <c r="J2938">
        <v>16229</v>
      </c>
    </row>
    <row r="2939" spans="1:10" x14ac:dyDescent="0.3">
      <c r="A2939" t="s">
        <v>3066</v>
      </c>
      <c r="B2939" s="1">
        <v>45896</v>
      </c>
      <c r="C2939" t="s">
        <v>113</v>
      </c>
      <c r="D2939">
        <v>35</v>
      </c>
      <c r="E2939" t="s">
        <v>24</v>
      </c>
      <c r="F2939" t="s">
        <v>19</v>
      </c>
      <c r="G2939" t="s">
        <v>145</v>
      </c>
      <c r="H2939" t="s">
        <v>133</v>
      </c>
      <c r="I2939">
        <v>16119</v>
      </c>
      <c r="J2939">
        <v>17291</v>
      </c>
    </row>
    <row r="2940" spans="1:10" x14ac:dyDescent="0.3">
      <c r="A2940" t="s">
        <v>3067</v>
      </c>
      <c r="B2940" s="1">
        <v>45820</v>
      </c>
      <c r="C2940" t="s">
        <v>74</v>
      </c>
      <c r="D2940">
        <v>24</v>
      </c>
      <c r="E2940" t="s">
        <v>24</v>
      </c>
      <c r="F2940" t="s">
        <v>75</v>
      </c>
      <c r="G2940" t="s">
        <v>171</v>
      </c>
      <c r="H2940" t="s">
        <v>123</v>
      </c>
      <c r="I2940">
        <v>16505</v>
      </c>
      <c r="J2940">
        <v>20282</v>
      </c>
    </row>
    <row r="2941" spans="1:10" x14ac:dyDescent="0.3">
      <c r="A2941" t="s">
        <v>3068</v>
      </c>
      <c r="B2941" s="1">
        <v>45986</v>
      </c>
      <c r="C2941" t="s">
        <v>23</v>
      </c>
      <c r="D2941">
        <v>48</v>
      </c>
      <c r="E2941" t="s">
        <v>61</v>
      </c>
      <c r="F2941" t="s">
        <v>78</v>
      </c>
      <c r="G2941" t="s">
        <v>324</v>
      </c>
      <c r="H2941" t="s">
        <v>133</v>
      </c>
      <c r="I2941">
        <v>36600</v>
      </c>
      <c r="J2941">
        <v>28054</v>
      </c>
    </row>
    <row r="2942" spans="1:10" x14ac:dyDescent="0.3">
      <c r="A2942" t="s">
        <v>3069</v>
      </c>
      <c r="B2942" s="1">
        <v>45930</v>
      </c>
      <c r="C2942" t="s">
        <v>38</v>
      </c>
      <c r="D2942">
        <v>40</v>
      </c>
      <c r="E2942" t="s">
        <v>12</v>
      </c>
      <c r="F2942" t="s">
        <v>43</v>
      </c>
      <c r="G2942" t="s">
        <v>126</v>
      </c>
      <c r="H2942" t="s">
        <v>21</v>
      </c>
      <c r="I2942">
        <v>26266</v>
      </c>
      <c r="J2942">
        <v>27974</v>
      </c>
    </row>
    <row r="2943" spans="1:10" x14ac:dyDescent="0.3">
      <c r="A2943" t="s">
        <v>3070</v>
      </c>
      <c r="B2943" s="1">
        <v>45952</v>
      </c>
      <c r="C2943" t="s">
        <v>66</v>
      </c>
      <c r="D2943">
        <v>43</v>
      </c>
      <c r="E2943" t="s">
        <v>24</v>
      </c>
      <c r="F2943" t="s">
        <v>75</v>
      </c>
      <c r="G2943" t="s">
        <v>149</v>
      </c>
      <c r="H2943" t="s">
        <v>98</v>
      </c>
      <c r="I2943">
        <v>32342</v>
      </c>
      <c r="J2943">
        <v>37293</v>
      </c>
    </row>
    <row r="2944" spans="1:10" x14ac:dyDescent="0.3">
      <c r="A2944" t="s">
        <v>3071</v>
      </c>
      <c r="B2944" s="1">
        <v>45965</v>
      </c>
      <c r="C2944" t="s">
        <v>23</v>
      </c>
      <c r="D2944">
        <v>45</v>
      </c>
      <c r="E2944" t="s">
        <v>33</v>
      </c>
      <c r="F2944" t="s">
        <v>57</v>
      </c>
      <c r="G2944" t="s">
        <v>58</v>
      </c>
      <c r="H2944" t="s">
        <v>64</v>
      </c>
      <c r="I2944">
        <v>30011</v>
      </c>
      <c r="J2944">
        <v>23171</v>
      </c>
    </row>
    <row r="2945" spans="1:10" x14ac:dyDescent="0.3">
      <c r="A2945" t="s">
        <v>3072</v>
      </c>
      <c r="B2945" s="1">
        <v>45998</v>
      </c>
      <c r="C2945" t="s">
        <v>100</v>
      </c>
      <c r="D2945">
        <v>49</v>
      </c>
      <c r="E2945" t="s">
        <v>61</v>
      </c>
      <c r="F2945" t="s">
        <v>43</v>
      </c>
      <c r="G2945" t="s">
        <v>145</v>
      </c>
      <c r="H2945" t="s">
        <v>157</v>
      </c>
      <c r="I2945">
        <v>25941</v>
      </c>
      <c r="J2945">
        <v>29034</v>
      </c>
    </row>
    <row r="2946" spans="1:10" x14ac:dyDescent="0.3">
      <c r="A2946" t="s">
        <v>3073</v>
      </c>
      <c r="B2946" s="1">
        <v>45724</v>
      </c>
      <c r="C2946" t="s">
        <v>95</v>
      </c>
      <c r="D2946">
        <v>10</v>
      </c>
      <c r="E2946" t="s">
        <v>18</v>
      </c>
      <c r="F2946" t="s">
        <v>78</v>
      </c>
      <c r="G2946" t="s">
        <v>110</v>
      </c>
      <c r="H2946" t="s">
        <v>96</v>
      </c>
      <c r="I2946">
        <v>30553</v>
      </c>
      <c r="J2946">
        <v>25129</v>
      </c>
    </row>
    <row r="2947" spans="1:10" x14ac:dyDescent="0.3">
      <c r="A2947" t="s">
        <v>3074</v>
      </c>
      <c r="B2947" s="1">
        <v>45970</v>
      </c>
      <c r="C2947" t="s">
        <v>23</v>
      </c>
      <c r="D2947">
        <v>45</v>
      </c>
      <c r="E2947" t="s">
        <v>33</v>
      </c>
      <c r="F2947" t="s">
        <v>122</v>
      </c>
      <c r="G2947" t="s">
        <v>240</v>
      </c>
      <c r="H2947" t="s">
        <v>163</v>
      </c>
      <c r="I2947">
        <v>28199</v>
      </c>
      <c r="J2947">
        <v>19809</v>
      </c>
    </row>
    <row r="2948" spans="1:10" x14ac:dyDescent="0.3">
      <c r="A2948" t="s">
        <v>3075</v>
      </c>
      <c r="B2948" s="1">
        <v>45965</v>
      </c>
      <c r="C2948" t="s">
        <v>23</v>
      </c>
      <c r="D2948">
        <v>45</v>
      </c>
      <c r="E2948" t="s">
        <v>39</v>
      </c>
      <c r="F2948" t="s">
        <v>193</v>
      </c>
      <c r="G2948" t="s">
        <v>201</v>
      </c>
      <c r="H2948" t="s">
        <v>96</v>
      </c>
      <c r="I2948">
        <v>15933</v>
      </c>
      <c r="J2948">
        <v>11691</v>
      </c>
    </row>
    <row r="2949" spans="1:10" x14ac:dyDescent="0.3">
      <c r="A2949" t="s">
        <v>3076</v>
      </c>
      <c r="B2949" s="1">
        <v>45711</v>
      </c>
      <c r="C2949" t="s">
        <v>82</v>
      </c>
      <c r="D2949">
        <v>8</v>
      </c>
      <c r="E2949" t="s">
        <v>18</v>
      </c>
      <c r="F2949" t="s">
        <v>25</v>
      </c>
      <c r="G2949" t="s">
        <v>230</v>
      </c>
      <c r="H2949" t="s">
        <v>80</v>
      </c>
      <c r="I2949">
        <v>38988</v>
      </c>
      <c r="J2949">
        <v>42461</v>
      </c>
    </row>
    <row r="2950" spans="1:10" x14ac:dyDescent="0.3">
      <c r="A2950" t="s">
        <v>3077</v>
      </c>
      <c r="B2950" s="1">
        <v>45985</v>
      </c>
      <c r="C2950" t="s">
        <v>23</v>
      </c>
      <c r="D2950">
        <v>48</v>
      </c>
      <c r="E2950" t="s">
        <v>39</v>
      </c>
      <c r="F2950" t="s">
        <v>34</v>
      </c>
      <c r="G2950" t="s">
        <v>40</v>
      </c>
      <c r="H2950" t="s">
        <v>48</v>
      </c>
      <c r="I2950">
        <v>16437</v>
      </c>
      <c r="J2950">
        <v>19587</v>
      </c>
    </row>
    <row r="2951" spans="1:10" x14ac:dyDescent="0.3">
      <c r="A2951" t="s">
        <v>3078</v>
      </c>
      <c r="B2951" s="1">
        <v>45835</v>
      </c>
      <c r="C2951" t="s">
        <v>74</v>
      </c>
      <c r="D2951">
        <v>26</v>
      </c>
      <c r="E2951" t="s">
        <v>12</v>
      </c>
      <c r="F2951" t="s">
        <v>43</v>
      </c>
      <c r="G2951" t="s">
        <v>230</v>
      </c>
      <c r="H2951" t="s">
        <v>103</v>
      </c>
      <c r="I2951">
        <v>29840</v>
      </c>
      <c r="J2951">
        <v>24469</v>
      </c>
    </row>
    <row r="2952" spans="1:10" x14ac:dyDescent="0.3">
      <c r="A2952" t="s">
        <v>3079</v>
      </c>
      <c r="B2952" s="1">
        <v>45988</v>
      </c>
      <c r="C2952" t="s">
        <v>23</v>
      </c>
      <c r="D2952">
        <v>48</v>
      </c>
      <c r="E2952" t="s">
        <v>33</v>
      </c>
      <c r="F2952" t="s">
        <v>25</v>
      </c>
      <c r="G2952" t="s">
        <v>160</v>
      </c>
      <c r="H2952" t="s">
        <v>165</v>
      </c>
      <c r="I2952">
        <v>28623</v>
      </c>
      <c r="J2952">
        <v>21543</v>
      </c>
    </row>
    <row r="2953" spans="1:10" x14ac:dyDescent="0.3">
      <c r="A2953" t="s">
        <v>3080</v>
      </c>
      <c r="B2953" s="1">
        <v>45939</v>
      </c>
      <c r="C2953" t="s">
        <v>66</v>
      </c>
      <c r="D2953">
        <v>41</v>
      </c>
      <c r="E2953" t="s">
        <v>39</v>
      </c>
      <c r="F2953" t="s">
        <v>87</v>
      </c>
      <c r="G2953" t="s">
        <v>44</v>
      </c>
      <c r="H2953" t="s">
        <v>59</v>
      </c>
      <c r="I2953">
        <v>35891</v>
      </c>
      <c r="J2953">
        <v>37806</v>
      </c>
    </row>
    <row r="2954" spans="1:10" x14ac:dyDescent="0.3">
      <c r="A2954" t="s">
        <v>3081</v>
      </c>
      <c r="B2954" s="1">
        <v>45735</v>
      </c>
      <c r="C2954" t="s">
        <v>95</v>
      </c>
      <c r="D2954">
        <v>12</v>
      </c>
      <c r="E2954" t="s">
        <v>12</v>
      </c>
      <c r="F2954" t="s">
        <v>114</v>
      </c>
      <c r="G2954" t="s">
        <v>199</v>
      </c>
      <c r="H2954" t="s">
        <v>116</v>
      </c>
      <c r="I2954">
        <v>38804</v>
      </c>
      <c r="J2954">
        <v>35466</v>
      </c>
    </row>
    <row r="2955" spans="1:10" x14ac:dyDescent="0.3">
      <c r="A2955" t="s">
        <v>3082</v>
      </c>
      <c r="B2955" s="1">
        <v>45822</v>
      </c>
      <c r="C2955" t="s">
        <v>74</v>
      </c>
      <c r="D2955">
        <v>24</v>
      </c>
      <c r="E2955" t="s">
        <v>61</v>
      </c>
      <c r="F2955" t="s">
        <v>29</v>
      </c>
      <c r="G2955" t="s">
        <v>224</v>
      </c>
      <c r="H2955" t="s">
        <v>98</v>
      </c>
      <c r="I2955">
        <v>32262</v>
      </c>
      <c r="J2955">
        <v>40115</v>
      </c>
    </row>
    <row r="2956" spans="1:10" x14ac:dyDescent="0.3">
      <c r="A2956" t="s">
        <v>3083</v>
      </c>
      <c r="B2956" s="1">
        <v>45977</v>
      </c>
      <c r="C2956" t="s">
        <v>23</v>
      </c>
      <c r="D2956">
        <v>46</v>
      </c>
      <c r="E2956" t="s">
        <v>39</v>
      </c>
      <c r="F2956" t="s">
        <v>78</v>
      </c>
      <c r="G2956" t="s">
        <v>102</v>
      </c>
      <c r="H2956" t="s">
        <v>165</v>
      </c>
      <c r="I2956">
        <v>38395</v>
      </c>
      <c r="J2956">
        <v>35175</v>
      </c>
    </row>
    <row r="2957" spans="1:10" x14ac:dyDescent="0.3">
      <c r="A2957" t="s">
        <v>3084</v>
      </c>
      <c r="B2957" s="1">
        <v>45792</v>
      </c>
      <c r="C2957" t="s">
        <v>90</v>
      </c>
      <c r="D2957">
        <v>20</v>
      </c>
      <c r="E2957" t="s">
        <v>12</v>
      </c>
      <c r="F2957" t="s">
        <v>101</v>
      </c>
      <c r="G2957" t="s">
        <v>145</v>
      </c>
      <c r="H2957" t="s">
        <v>27</v>
      </c>
      <c r="I2957">
        <v>28070</v>
      </c>
      <c r="J2957">
        <v>23835</v>
      </c>
    </row>
    <row r="2958" spans="1:10" x14ac:dyDescent="0.3">
      <c r="A2958" t="s">
        <v>3085</v>
      </c>
      <c r="B2958" s="1">
        <v>45977</v>
      </c>
      <c r="C2958" t="s">
        <v>23</v>
      </c>
      <c r="D2958">
        <v>46</v>
      </c>
      <c r="E2958" t="s">
        <v>18</v>
      </c>
      <c r="F2958" t="s">
        <v>19</v>
      </c>
      <c r="G2958" t="s">
        <v>253</v>
      </c>
      <c r="H2958" t="s">
        <v>163</v>
      </c>
      <c r="I2958">
        <v>29353</v>
      </c>
      <c r="J2958">
        <v>27590</v>
      </c>
    </row>
    <row r="2959" spans="1:10" x14ac:dyDescent="0.3">
      <c r="A2959" t="s">
        <v>3086</v>
      </c>
      <c r="B2959" s="1">
        <v>45789</v>
      </c>
      <c r="C2959" t="s">
        <v>90</v>
      </c>
      <c r="D2959">
        <v>20</v>
      </c>
      <c r="E2959" t="s">
        <v>70</v>
      </c>
      <c r="F2959" t="s">
        <v>87</v>
      </c>
      <c r="G2959" t="s">
        <v>40</v>
      </c>
      <c r="H2959" t="s">
        <v>119</v>
      </c>
      <c r="I2959">
        <v>37700</v>
      </c>
      <c r="J2959">
        <v>47687</v>
      </c>
    </row>
    <row r="2960" spans="1:10" x14ac:dyDescent="0.3">
      <c r="A2960" t="s">
        <v>3087</v>
      </c>
      <c r="B2960" s="1">
        <v>45855</v>
      </c>
      <c r="C2960" t="s">
        <v>11</v>
      </c>
      <c r="D2960">
        <v>29</v>
      </c>
      <c r="E2960" t="s">
        <v>39</v>
      </c>
      <c r="F2960" t="s">
        <v>50</v>
      </c>
      <c r="G2960" t="s">
        <v>88</v>
      </c>
      <c r="H2960" t="s">
        <v>119</v>
      </c>
      <c r="I2960">
        <v>31411</v>
      </c>
      <c r="J2960">
        <v>34252</v>
      </c>
    </row>
    <row r="2961" spans="1:10" x14ac:dyDescent="0.3">
      <c r="A2961" t="s">
        <v>3088</v>
      </c>
      <c r="B2961" s="1">
        <v>46006</v>
      </c>
      <c r="C2961" t="s">
        <v>100</v>
      </c>
      <c r="D2961">
        <v>51</v>
      </c>
      <c r="E2961" t="s">
        <v>12</v>
      </c>
      <c r="F2961" t="s">
        <v>92</v>
      </c>
      <c r="G2961" t="s">
        <v>326</v>
      </c>
      <c r="H2961" t="s">
        <v>84</v>
      </c>
      <c r="I2961">
        <v>38878</v>
      </c>
      <c r="J2961">
        <v>48108</v>
      </c>
    </row>
    <row r="2962" spans="1:10" x14ac:dyDescent="0.3">
      <c r="A2962" t="s">
        <v>3089</v>
      </c>
      <c r="B2962" s="1">
        <v>45976</v>
      </c>
      <c r="C2962" t="s">
        <v>23</v>
      </c>
      <c r="D2962">
        <v>46</v>
      </c>
      <c r="E2962" t="s">
        <v>18</v>
      </c>
      <c r="F2962" t="s">
        <v>87</v>
      </c>
      <c r="G2962" t="s">
        <v>291</v>
      </c>
      <c r="H2962" t="s">
        <v>48</v>
      </c>
      <c r="I2962">
        <v>28023</v>
      </c>
      <c r="J2962">
        <v>26225</v>
      </c>
    </row>
    <row r="2963" spans="1:10" x14ac:dyDescent="0.3">
      <c r="A2963" t="s">
        <v>3090</v>
      </c>
      <c r="B2963" s="1">
        <v>46009</v>
      </c>
      <c r="C2963" t="s">
        <v>100</v>
      </c>
      <c r="D2963">
        <v>51</v>
      </c>
      <c r="E2963" t="s">
        <v>18</v>
      </c>
      <c r="F2963" t="s">
        <v>122</v>
      </c>
      <c r="G2963" t="s">
        <v>160</v>
      </c>
      <c r="H2963" t="s">
        <v>52</v>
      </c>
      <c r="I2963">
        <v>27457</v>
      </c>
      <c r="J2963">
        <v>24065</v>
      </c>
    </row>
    <row r="2964" spans="1:10" x14ac:dyDescent="0.3">
      <c r="A2964" t="s">
        <v>3091</v>
      </c>
      <c r="B2964" s="1">
        <v>45908</v>
      </c>
      <c r="C2964" t="s">
        <v>38</v>
      </c>
      <c r="D2964">
        <v>37</v>
      </c>
      <c r="E2964" t="s">
        <v>18</v>
      </c>
      <c r="F2964" t="s">
        <v>43</v>
      </c>
      <c r="G2964" t="s">
        <v>201</v>
      </c>
      <c r="H2964" t="s">
        <v>163</v>
      </c>
      <c r="I2964">
        <v>39707</v>
      </c>
      <c r="J2964">
        <v>39249</v>
      </c>
    </row>
    <row r="2965" spans="1:10" x14ac:dyDescent="0.3">
      <c r="A2965" t="s">
        <v>3092</v>
      </c>
      <c r="B2965" s="1">
        <v>45731</v>
      </c>
      <c r="C2965" t="s">
        <v>95</v>
      </c>
      <c r="D2965">
        <v>11</v>
      </c>
      <c r="E2965" t="s">
        <v>33</v>
      </c>
      <c r="F2965" t="s">
        <v>109</v>
      </c>
      <c r="G2965" t="s">
        <v>126</v>
      </c>
      <c r="H2965" t="s">
        <v>21</v>
      </c>
      <c r="I2965">
        <v>31150</v>
      </c>
      <c r="J2965">
        <v>35651</v>
      </c>
    </row>
    <row r="2966" spans="1:10" x14ac:dyDescent="0.3">
      <c r="A2966" t="s">
        <v>3093</v>
      </c>
      <c r="B2966" s="1">
        <v>45970</v>
      </c>
      <c r="C2966" t="s">
        <v>23</v>
      </c>
      <c r="D2966">
        <v>45</v>
      </c>
      <c r="E2966" t="s">
        <v>18</v>
      </c>
      <c r="F2966" t="s">
        <v>46</v>
      </c>
      <c r="G2966" t="s">
        <v>201</v>
      </c>
      <c r="H2966" t="s">
        <v>151</v>
      </c>
      <c r="I2966">
        <v>30814</v>
      </c>
      <c r="J2966">
        <v>27420</v>
      </c>
    </row>
    <row r="2967" spans="1:10" x14ac:dyDescent="0.3">
      <c r="A2967" t="s">
        <v>3094</v>
      </c>
      <c r="B2967" s="1">
        <v>45971</v>
      </c>
      <c r="C2967" t="s">
        <v>23</v>
      </c>
      <c r="D2967">
        <v>46</v>
      </c>
      <c r="E2967" t="s">
        <v>12</v>
      </c>
      <c r="F2967" t="s">
        <v>101</v>
      </c>
      <c r="G2967" t="s">
        <v>206</v>
      </c>
      <c r="H2967" t="s">
        <v>211</v>
      </c>
      <c r="I2967">
        <v>28526</v>
      </c>
      <c r="J2967">
        <v>22480</v>
      </c>
    </row>
    <row r="2968" spans="1:10" x14ac:dyDescent="0.3">
      <c r="A2968" t="s">
        <v>3095</v>
      </c>
      <c r="B2968" s="1">
        <v>45713</v>
      </c>
      <c r="C2968" t="s">
        <v>82</v>
      </c>
      <c r="D2968">
        <v>9</v>
      </c>
      <c r="E2968" t="s">
        <v>24</v>
      </c>
      <c r="F2968" t="s">
        <v>122</v>
      </c>
      <c r="G2968" t="s">
        <v>291</v>
      </c>
      <c r="H2968" t="s">
        <v>55</v>
      </c>
      <c r="I2968">
        <v>33642</v>
      </c>
      <c r="J2968">
        <v>24050</v>
      </c>
    </row>
    <row r="2969" spans="1:10" x14ac:dyDescent="0.3">
      <c r="A2969" t="s">
        <v>3096</v>
      </c>
      <c r="B2969" s="1">
        <v>45973</v>
      </c>
      <c r="C2969" t="s">
        <v>23</v>
      </c>
      <c r="D2969">
        <v>46</v>
      </c>
      <c r="E2969" t="s">
        <v>33</v>
      </c>
      <c r="F2969" t="s">
        <v>109</v>
      </c>
      <c r="G2969" t="s">
        <v>171</v>
      </c>
      <c r="H2969" t="s">
        <v>133</v>
      </c>
      <c r="I2969">
        <v>30010</v>
      </c>
      <c r="J2969">
        <v>37928</v>
      </c>
    </row>
    <row r="2970" spans="1:10" x14ac:dyDescent="0.3">
      <c r="A2970" t="s">
        <v>3097</v>
      </c>
      <c r="B2970" s="1">
        <v>45844</v>
      </c>
      <c r="C2970" t="s">
        <v>11</v>
      </c>
      <c r="D2970">
        <v>27</v>
      </c>
      <c r="E2970" t="s">
        <v>39</v>
      </c>
      <c r="F2970" t="s">
        <v>140</v>
      </c>
      <c r="G2970" t="s">
        <v>160</v>
      </c>
      <c r="H2970" t="s">
        <v>21</v>
      </c>
      <c r="I2970">
        <v>38902</v>
      </c>
      <c r="J2970">
        <v>42729</v>
      </c>
    </row>
    <row r="2971" spans="1:10" x14ac:dyDescent="0.3">
      <c r="A2971" t="s">
        <v>3098</v>
      </c>
      <c r="B2971" s="1">
        <v>45674</v>
      </c>
      <c r="C2971" t="s">
        <v>17</v>
      </c>
      <c r="D2971">
        <v>3</v>
      </c>
      <c r="E2971" t="s">
        <v>33</v>
      </c>
      <c r="F2971" t="s">
        <v>87</v>
      </c>
      <c r="G2971" t="s">
        <v>147</v>
      </c>
      <c r="H2971" t="s">
        <v>103</v>
      </c>
      <c r="I2971">
        <v>37965</v>
      </c>
      <c r="J2971">
        <v>47220</v>
      </c>
    </row>
    <row r="2972" spans="1:10" x14ac:dyDescent="0.3">
      <c r="A2972" t="s">
        <v>3099</v>
      </c>
      <c r="B2972" s="1">
        <v>45753</v>
      </c>
      <c r="C2972" t="s">
        <v>86</v>
      </c>
      <c r="D2972">
        <v>14</v>
      </c>
      <c r="E2972" t="s">
        <v>12</v>
      </c>
      <c r="F2972" t="s">
        <v>34</v>
      </c>
      <c r="G2972" t="s">
        <v>102</v>
      </c>
      <c r="H2972" t="s">
        <v>80</v>
      </c>
      <c r="I2972">
        <v>32578</v>
      </c>
      <c r="J2972">
        <v>34216</v>
      </c>
    </row>
    <row r="2973" spans="1:10" x14ac:dyDescent="0.3">
      <c r="A2973" t="s">
        <v>3100</v>
      </c>
      <c r="B2973" s="1">
        <v>45861</v>
      </c>
      <c r="C2973" t="s">
        <v>11</v>
      </c>
      <c r="D2973">
        <v>30</v>
      </c>
      <c r="E2973" t="s">
        <v>70</v>
      </c>
      <c r="F2973" t="s">
        <v>29</v>
      </c>
      <c r="G2973" t="s">
        <v>93</v>
      </c>
      <c r="H2973" t="s">
        <v>96</v>
      </c>
      <c r="I2973">
        <v>34599</v>
      </c>
      <c r="J2973">
        <v>37738</v>
      </c>
    </row>
    <row r="2974" spans="1:10" x14ac:dyDescent="0.3">
      <c r="A2974" t="s">
        <v>3101</v>
      </c>
      <c r="B2974" s="1">
        <v>45788</v>
      </c>
      <c r="C2974" t="s">
        <v>90</v>
      </c>
      <c r="D2974">
        <v>19</v>
      </c>
      <c r="E2974" t="s">
        <v>39</v>
      </c>
      <c r="F2974" t="s">
        <v>122</v>
      </c>
      <c r="G2974" t="s">
        <v>132</v>
      </c>
      <c r="H2974" t="s">
        <v>119</v>
      </c>
      <c r="I2974">
        <v>30705</v>
      </c>
      <c r="J2974">
        <v>25067</v>
      </c>
    </row>
    <row r="2975" spans="1:10" x14ac:dyDescent="0.3">
      <c r="A2975" t="s">
        <v>3102</v>
      </c>
      <c r="B2975" s="1">
        <v>45904</v>
      </c>
      <c r="C2975" t="s">
        <v>38</v>
      </c>
      <c r="D2975">
        <v>36</v>
      </c>
      <c r="E2975" t="s">
        <v>61</v>
      </c>
      <c r="F2975" t="s">
        <v>75</v>
      </c>
      <c r="G2975" t="s">
        <v>199</v>
      </c>
      <c r="H2975" t="s">
        <v>31</v>
      </c>
      <c r="I2975">
        <v>37522</v>
      </c>
      <c r="J2975">
        <v>28157</v>
      </c>
    </row>
    <row r="2976" spans="1:10" x14ac:dyDescent="0.3">
      <c r="A2976" t="s">
        <v>3103</v>
      </c>
      <c r="B2976" s="1">
        <v>45908</v>
      </c>
      <c r="C2976" t="s">
        <v>38</v>
      </c>
      <c r="D2976">
        <v>37</v>
      </c>
      <c r="E2976" t="s">
        <v>18</v>
      </c>
      <c r="F2976" t="s">
        <v>29</v>
      </c>
      <c r="G2976" t="s">
        <v>54</v>
      </c>
      <c r="H2976" t="s">
        <v>103</v>
      </c>
      <c r="I2976">
        <v>29612</v>
      </c>
      <c r="J2976">
        <v>26932</v>
      </c>
    </row>
    <row r="2977" spans="1:10" x14ac:dyDescent="0.3">
      <c r="A2977" t="s">
        <v>3104</v>
      </c>
      <c r="B2977" s="1">
        <v>45693</v>
      </c>
      <c r="C2977" t="s">
        <v>82</v>
      </c>
      <c r="D2977">
        <v>6</v>
      </c>
      <c r="E2977" t="s">
        <v>39</v>
      </c>
      <c r="F2977" t="s">
        <v>50</v>
      </c>
      <c r="G2977" t="s">
        <v>206</v>
      </c>
      <c r="H2977" t="s">
        <v>80</v>
      </c>
      <c r="I2977">
        <v>24915</v>
      </c>
      <c r="J2977">
        <v>31032</v>
      </c>
    </row>
    <row r="2978" spans="1:10" x14ac:dyDescent="0.3">
      <c r="A2978" t="s">
        <v>3105</v>
      </c>
      <c r="B2978" s="1">
        <v>45759</v>
      </c>
      <c r="C2978" t="s">
        <v>86</v>
      </c>
      <c r="D2978">
        <v>15</v>
      </c>
      <c r="E2978" t="s">
        <v>18</v>
      </c>
      <c r="F2978" t="s">
        <v>25</v>
      </c>
      <c r="G2978" t="s">
        <v>47</v>
      </c>
      <c r="H2978" t="s">
        <v>21</v>
      </c>
      <c r="I2978">
        <v>25609</v>
      </c>
      <c r="J2978">
        <v>23800</v>
      </c>
    </row>
    <row r="2979" spans="1:10" x14ac:dyDescent="0.3">
      <c r="A2979" t="s">
        <v>3106</v>
      </c>
      <c r="B2979" s="1">
        <v>46011</v>
      </c>
      <c r="C2979" t="s">
        <v>100</v>
      </c>
      <c r="D2979">
        <v>51</v>
      </c>
      <c r="E2979" t="s">
        <v>12</v>
      </c>
      <c r="F2979" t="s">
        <v>62</v>
      </c>
      <c r="G2979" t="s">
        <v>126</v>
      </c>
      <c r="H2979" t="s">
        <v>98</v>
      </c>
      <c r="I2979">
        <v>33290</v>
      </c>
      <c r="J2979">
        <v>26591</v>
      </c>
    </row>
    <row r="2980" spans="1:10" x14ac:dyDescent="0.3">
      <c r="A2980" t="s">
        <v>3107</v>
      </c>
      <c r="B2980" s="1">
        <v>45717</v>
      </c>
      <c r="C2980" t="s">
        <v>95</v>
      </c>
      <c r="D2980">
        <v>9</v>
      </c>
      <c r="E2980" t="s">
        <v>70</v>
      </c>
      <c r="F2980" t="s">
        <v>78</v>
      </c>
      <c r="G2980" t="s">
        <v>76</v>
      </c>
      <c r="H2980" t="s">
        <v>41</v>
      </c>
      <c r="I2980">
        <v>26653</v>
      </c>
      <c r="J2980">
        <v>26094</v>
      </c>
    </row>
    <row r="2981" spans="1:10" x14ac:dyDescent="0.3">
      <c r="A2981" t="s">
        <v>3108</v>
      </c>
      <c r="B2981" s="1">
        <v>45738</v>
      </c>
      <c r="C2981" t="s">
        <v>95</v>
      </c>
      <c r="D2981">
        <v>12</v>
      </c>
      <c r="E2981" t="s">
        <v>24</v>
      </c>
      <c r="F2981" t="s">
        <v>101</v>
      </c>
      <c r="G2981" t="s">
        <v>14</v>
      </c>
      <c r="H2981" t="s">
        <v>80</v>
      </c>
      <c r="I2981">
        <v>30407</v>
      </c>
      <c r="J2981">
        <v>24346</v>
      </c>
    </row>
    <row r="2982" spans="1:10" x14ac:dyDescent="0.3">
      <c r="A2982" t="s">
        <v>3109</v>
      </c>
      <c r="B2982" s="1">
        <v>45896</v>
      </c>
      <c r="C2982" t="s">
        <v>113</v>
      </c>
      <c r="D2982">
        <v>35</v>
      </c>
      <c r="E2982" t="s">
        <v>18</v>
      </c>
      <c r="F2982" t="s">
        <v>122</v>
      </c>
      <c r="G2982" t="s">
        <v>67</v>
      </c>
      <c r="H2982" t="s">
        <v>188</v>
      </c>
      <c r="I2982">
        <v>33947</v>
      </c>
      <c r="J2982">
        <v>27813</v>
      </c>
    </row>
    <row r="2983" spans="1:10" x14ac:dyDescent="0.3">
      <c r="A2983" t="s">
        <v>3110</v>
      </c>
      <c r="B2983" s="1">
        <v>45684</v>
      </c>
      <c r="C2983" t="s">
        <v>17</v>
      </c>
      <c r="D2983">
        <v>5</v>
      </c>
      <c r="E2983" t="s">
        <v>70</v>
      </c>
      <c r="F2983" t="s">
        <v>114</v>
      </c>
      <c r="G2983" t="s">
        <v>147</v>
      </c>
      <c r="H2983" t="s">
        <v>68</v>
      </c>
      <c r="I2983">
        <v>28016</v>
      </c>
      <c r="J2983">
        <v>19623</v>
      </c>
    </row>
    <row r="2984" spans="1:10" x14ac:dyDescent="0.3">
      <c r="A2984" t="s">
        <v>3111</v>
      </c>
      <c r="B2984" s="1">
        <v>45876</v>
      </c>
      <c r="C2984" t="s">
        <v>113</v>
      </c>
      <c r="D2984">
        <v>32</v>
      </c>
      <c r="E2984" t="s">
        <v>33</v>
      </c>
      <c r="F2984" t="s">
        <v>75</v>
      </c>
      <c r="G2984" t="s">
        <v>149</v>
      </c>
      <c r="H2984" t="s">
        <v>111</v>
      </c>
      <c r="I2984">
        <v>35053</v>
      </c>
      <c r="J2984">
        <v>33072</v>
      </c>
    </row>
    <row r="2985" spans="1:10" x14ac:dyDescent="0.3">
      <c r="A2985" t="s">
        <v>3112</v>
      </c>
      <c r="B2985" s="1">
        <v>45938</v>
      </c>
      <c r="C2985" t="s">
        <v>66</v>
      </c>
      <c r="D2985">
        <v>41</v>
      </c>
      <c r="E2985" t="s">
        <v>39</v>
      </c>
      <c r="F2985" t="s">
        <v>101</v>
      </c>
      <c r="G2985" t="s">
        <v>51</v>
      </c>
      <c r="H2985" t="s">
        <v>155</v>
      </c>
      <c r="I2985">
        <v>19504</v>
      </c>
      <c r="J2985">
        <v>16348</v>
      </c>
    </row>
    <row r="2986" spans="1:10" x14ac:dyDescent="0.3">
      <c r="A2986" t="s">
        <v>3113</v>
      </c>
      <c r="B2986" s="1">
        <v>46011</v>
      </c>
      <c r="C2986" t="s">
        <v>100</v>
      </c>
      <c r="D2986">
        <v>51</v>
      </c>
      <c r="E2986" t="s">
        <v>70</v>
      </c>
      <c r="F2986" t="s">
        <v>46</v>
      </c>
      <c r="G2986" t="s">
        <v>145</v>
      </c>
      <c r="H2986" t="s">
        <v>96</v>
      </c>
      <c r="I2986">
        <v>15194</v>
      </c>
      <c r="J2986">
        <v>19130</v>
      </c>
    </row>
    <row r="2987" spans="1:10" x14ac:dyDescent="0.3">
      <c r="A2987" t="s">
        <v>3114</v>
      </c>
      <c r="B2987" s="1">
        <v>45754</v>
      </c>
      <c r="C2987" t="s">
        <v>86</v>
      </c>
      <c r="D2987">
        <v>15</v>
      </c>
      <c r="E2987" t="s">
        <v>70</v>
      </c>
      <c r="F2987" t="s">
        <v>109</v>
      </c>
      <c r="G2987" t="s">
        <v>76</v>
      </c>
      <c r="H2987" t="s">
        <v>80</v>
      </c>
      <c r="I2987">
        <v>20199</v>
      </c>
      <c r="J2987">
        <v>23026</v>
      </c>
    </row>
    <row r="2988" spans="1:10" x14ac:dyDescent="0.3">
      <c r="A2988" t="s">
        <v>3115</v>
      </c>
      <c r="B2988" s="1">
        <v>45963</v>
      </c>
      <c r="C2988" t="s">
        <v>23</v>
      </c>
      <c r="D2988">
        <v>44</v>
      </c>
      <c r="E2988" t="s">
        <v>33</v>
      </c>
      <c r="F2988" t="s">
        <v>62</v>
      </c>
      <c r="G2988" t="s">
        <v>224</v>
      </c>
      <c r="H2988" t="s">
        <v>211</v>
      </c>
      <c r="I2988">
        <v>25027</v>
      </c>
      <c r="J2988">
        <v>19510</v>
      </c>
    </row>
    <row r="2989" spans="1:10" x14ac:dyDescent="0.3">
      <c r="A2989" t="s">
        <v>3116</v>
      </c>
      <c r="B2989" s="1">
        <v>45708</v>
      </c>
      <c r="C2989" t="s">
        <v>82</v>
      </c>
      <c r="D2989">
        <v>8</v>
      </c>
      <c r="E2989" t="s">
        <v>24</v>
      </c>
      <c r="F2989" t="s">
        <v>50</v>
      </c>
      <c r="G2989" t="s">
        <v>67</v>
      </c>
      <c r="H2989" t="s">
        <v>188</v>
      </c>
      <c r="I2989">
        <v>33703</v>
      </c>
      <c r="J2989">
        <v>30722</v>
      </c>
    </row>
    <row r="2990" spans="1:10" x14ac:dyDescent="0.3">
      <c r="A2990" t="s">
        <v>3117</v>
      </c>
      <c r="B2990" s="1">
        <v>45953</v>
      </c>
      <c r="C2990" t="s">
        <v>66</v>
      </c>
      <c r="D2990">
        <v>43</v>
      </c>
      <c r="E2990" t="s">
        <v>12</v>
      </c>
      <c r="F2990" t="s">
        <v>57</v>
      </c>
      <c r="G2990" t="s">
        <v>115</v>
      </c>
      <c r="H2990" t="s">
        <v>41</v>
      </c>
      <c r="I2990">
        <v>19375</v>
      </c>
      <c r="J2990">
        <v>15546</v>
      </c>
    </row>
    <row r="2991" spans="1:10" x14ac:dyDescent="0.3">
      <c r="A2991" t="s">
        <v>3118</v>
      </c>
      <c r="B2991" s="1">
        <v>46020</v>
      </c>
      <c r="C2991" t="s">
        <v>100</v>
      </c>
      <c r="D2991">
        <v>1</v>
      </c>
      <c r="E2991" t="s">
        <v>18</v>
      </c>
      <c r="F2991" t="s">
        <v>46</v>
      </c>
      <c r="G2991" t="s">
        <v>102</v>
      </c>
      <c r="H2991" t="s">
        <v>15</v>
      </c>
      <c r="I2991">
        <v>26014</v>
      </c>
      <c r="J2991">
        <v>30912</v>
      </c>
    </row>
    <row r="2992" spans="1:10" x14ac:dyDescent="0.3">
      <c r="A2992" t="s">
        <v>3119</v>
      </c>
      <c r="B2992" s="1">
        <v>46020</v>
      </c>
      <c r="C2992" t="s">
        <v>100</v>
      </c>
      <c r="D2992">
        <v>1</v>
      </c>
      <c r="E2992" t="s">
        <v>61</v>
      </c>
      <c r="F2992" t="s">
        <v>29</v>
      </c>
      <c r="G2992" t="s">
        <v>240</v>
      </c>
      <c r="H2992" t="s">
        <v>243</v>
      </c>
      <c r="I2992">
        <v>39185</v>
      </c>
      <c r="J2992">
        <v>49147</v>
      </c>
    </row>
    <row r="2993" spans="1:10" x14ac:dyDescent="0.3">
      <c r="A2993" t="s">
        <v>3120</v>
      </c>
      <c r="B2993" s="1">
        <v>45916</v>
      </c>
      <c r="C2993" t="s">
        <v>38</v>
      </c>
      <c r="D2993">
        <v>38</v>
      </c>
      <c r="E2993" t="s">
        <v>39</v>
      </c>
      <c r="F2993" t="s">
        <v>78</v>
      </c>
      <c r="G2993" t="s">
        <v>115</v>
      </c>
      <c r="H2993" t="s">
        <v>27</v>
      </c>
      <c r="I2993">
        <v>16095</v>
      </c>
      <c r="J2993">
        <v>19736</v>
      </c>
    </row>
    <row r="2994" spans="1:10" x14ac:dyDescent="0.3">
      <c r="A2994" t="s">
        <v>3121</v>
      </c>
      <c r="B2994" s="1">
        <v>45994</v>
      </c>
      <c r="C2994" t="s">
        <v>100</v>
      </c>
      <c r="D2994">
        <v>49</v>
      </c>
      <c r="E2994" t="s">
        <v>61</v>
      </c>
      <c r="F2994" t="s">
        <v>87</v>
      </c>
      <c r="G2994" t="s">
        <v>93</v>
      </c>
      <c r="H2994" t="s">
        <v>64</v>
      </c>
      <c r="I2994">
        <v>24535</v>
      </c>
      <c r="J2994">
        <v>28406</v>
      </c>
    </row>
    <row r="2995" spans="1:10" x14ac:dyDescent="0.3">
      <c r="A2995" t="s">
        <v>3122</v>
      </c>
      <c r="B2995" s="1">
        <v>45859</v>
      </c>
      <c r="C2995" t="s">
        <v>11</v>
      </c>
      <c r="D2995">
        <v>30</v>
      </c>
      <c r="E2995" t="s">
        <v>61</v>
      </c>
      <c r="F2995" t="s">
        <v>46</v>
      </c>
      <c r="G2995" t="s">
        <v>240</v>
      </c>
      <c r="H2995" t="s">
        <v>52</v>
      </c>
      <c r="I2995">
        <v>33157</v>
      </c>
      <c r="J2995">
        <v>42591</v>
      </c>
    </row>
    <row r="2996" spans="1:10" x14ac:dyDescent="0.3">
      <c r="A2996" t="s">
        <v>3123</v>
      </c>
      <c r="B2996" s="1">
        <v>45933</v>
      </c>
      <c r="C2996" t="s">
        <v>66</v>
      </c>
      <c r="D2996">
        <v>40</v>
      </c>
      <c r="E2996" t="s">
        <v>18</v>
      </c>
      <c r="F2996" t="s">
        <v>25</v>
      </c>
      <c r="G2996" t="s">
        <v>14</v>
      </c>
      <c r="H2996" t="s">
        <v>41</v>
      </c>
      <c r="I2996">
        <v>30300</v>
      </c>
      <c r="J2996">
        <v>31101</v>
      </c>
    </row>
    <row r="2997" spans="1:10" x14ac:dyDescent="0.3">
      <c r="A2997" t="s">
        <v>3124</v>
      </c>
      <c r="B2997" s="1">
        <v>45860</v>
      </c>
      <c r="C2997" t="s">
        <v>11</v>
      </c>
      <c r="D2997">
        <v>30</v>
      </c>
      <c r="E2997" t="s">
        <v>12</v>
      </c>
      <c r="F2997" t="s">
        <v>75</v>
      </c>
      <c r="G2997" t="s">
        <v>149</v>
      </c>
      <c r="H2997" t="s">
        <v>211</v>
      </c>
      <c r="I2997">
        <v>16122</v>
      </c>
      <c r="J2997">
        <v>12674</v>
      </c>
    </row>
    <row r="2998" spans="1:10" x14ac:dyDescent="0.3">
      <c r="A2998" t="s">
        <v>3125</v>
      </c>
      <c r="B2998" s="1">
        <v>45770</v>
      </c>
      <c r="C2998" t="s">
        <v>86</v>
      </c>
      <c r="D2998">
        <v>17</v>
      </c>
      <c r="E2998" t="s">
        <v>12</v>
      </c>
      <c r="F2998" t="s">
        <v>122</v>
      </c>
      <c r="G2998" t="s">
        <v>253</v>
      </c>
      <c r="H2998" t="s">
        <v>64</v>
      </c>
      <c r="I2998">
        <v>22616</v>
      </c>
      <c r="J2998">
        <v>27740</v>
      </c>
    </row>
    <row r="2999" spans="1:10" x14ac:dyDescent="0.3">
      <c r="A2999" t="s">
        <v>3126</v>
      </c>
      <c r="B2999" s="1">
        <v>46010</v>
      </c>
      <c r="C2999" t="s">
        <v>100</v>
      </c>
      <c r="D2999">
        <v>51</v>
      </c>
      <c r="E2999" t="s">
        <v>70</v>
      </c>
      <c r="F2999" t="s">
        <v>43</v>
      </c>
      <c r="G2999" t="s">
        <v>230</v>
      </c>
      <c r="H2999" t="s">
        <v>111</v>
      </c>
      <c r="I2999">
        <v>18138</v>
      </c>
      <c r="J2999">
        <v>12701</v>
      </c>
    </row>
    <row r="3000" spans="1:10" x14ac:dyDescent="0.3">
      <c r="A3000" t="s">
        <v>3127</v>
      </c>
      <c r="B3000" s="1">
        <v>45779</v>
      </c>
      <c r="C3000" t="s">
        <v>90</v>
      </c>
      <c r="D3000">
        <v>18</v>
      </c>
      <c r="E3000" t="s">
        <v>70</v>
      </c>
      <c r="F3000" t="s">
        <v>92</v>
      </c>
      <c r="G3000" t="s">
        <v>132</v>
      </c>
      <c r="H3000" t="s">
        <v>64</v>
      </c>
      <c r="I3000">
        <v>36940</v>
      </c>
      <c r="J3000">
        <v>25953</v>
      </c>
    </row>
    <row r="3001" spans="1:10" x14ac:dyDescent="0.3">
      <c r="A3001" t="s">
        <v>3128</v>
      </c>
      <c r="B3001" s="1">
        <v>45838</v>
      </c>
      <c r="C3001" t="s">
        <v>74</v>
      </c>
      <c r="D3001">
        <v>27</v>
      </c>
      <c r="E3001" t="s">
        <v>39</v>
      </c>
      <c r="F3001" t="s">
        <v>87</v>
      </c>
      <c r="G3001" t="s">
        <v>137</v>
      </c>
      <c r="H3001" t="s">
        <v>123</v>
      </c>
      <c r="I3001">
        <v>37995</v>
      </c>
      <c r="J3001">
        <v>32688</v>
      </c>
    </row>
    <row r="3002" spans="1:10" x14ac:dyDescent="0.3">
      <c r="A3002" t="s">
        <v>3129</v>
      </c>
      <c r="B3002" s="1">
        <v>45934</v>
      </c>
      <c r="C3002" t="s">
        <v>66</v>
      </c>
      <c r="D3002">
        <v>40</v>
      </c>
      <c r="E3002" t="s">
        <v>24</v>
      </c>
      <c r="F3002" t="s">
        <v>75</v>
      </c>
      <c r="G3002" t="s">
        <v>201</v>
      </c>
      <c r="H3002" t="s">
        <v>98</v>
      </c>
      <c r="I3002">
        <v>37317</v>
      </c>
      <c r="J3002">
        <v>45730</v>
      </c>
    </row>
    <row r="3003" spans="1:10" x14ac:dyDescent="0.3">
      <c r="A3003" t="s">
        <v>3130</v>
      </c>
      <c r="B3003" s="1">
        <v>45964</v>
      </c>
      <c r="C3003" t="s">
        <v>23</v>
      </c>
      <c r="D3003">
        <v>45</v>
      </c>
      <c r="E3003" t="s">
        <v>18</v>
      </c>
      <c r="F3003" t="s">
        <v>13</v>
      </c>
      <c r="G3003" t="s">
        <v>201</v>
      </c>
      <c r="H3003" t="s">
        <v>80</v>
      </c>
      <c r="I3003">
        <v>16637</v>
      </c>
      <c r="J3003">
        <v>11934</v>
      </c>
    </row>
    <row r="3004" spans="1:10" x14ac:dyDescent="0.3">
      <c r="A3004" t="s">
        <v>3131</v>
      </c>
      <c r="B3004" s="1">
        <v>45966</v>
      </c>
      <c r="C3004" t="s">
        <v>23</v>
      </c>
      <c r="D3004">
        <v>45</v>
      </c>
      <c r="E3004" t="s">
        <v>24</v>
      </c>
      <c r="F3004" t="s">
        <v>43</v>
      </c>
      <c r="G3004" t="s">
        <v>137</v>
      </c>
      <c r="H3004" t="s">
        <v>123</v>
      </c>
      <c r="I3004">
        <v>24988</v>
      </c>
      <c r="J3004">
        <v>24429</v>
      </c>
    </row>
    <row r="3005" spans="1:10" x14ac:dyDescent="0.3">
      <c r="A3005" t="s">
        <v>3132</v>
      </c>
      <c r="B3005" s="1">
        <v>45888</v>
      </c>
      <c r="C3005" t="s">
        <v>113</v>
      </c>
      <c r="D3005">
        <v>34</v>
      </c>
      <c r="E3005" t="s">
        <v>18</v>
      </c>
      <c r="F3005" t="s">
        <v>78</v>
      </c>
      <c r="G3005" t="s">
        <v>291</v>
      </c>
      <c r="H3005" t="s">
        <v>36</v>
      </c>
      <c r="I3005">
        <v>21885</v>
      </c>
      <c r="J3005">
        <v>24173</v>
      </c>
    </row>
    <row r="3006" spans="1:10" x14ac:dyDescent="0.3">
      <c r="A3006" t="s">
        <v>3133</v>
      </c>
      <c r="B3006" s="1">
        <v>45783</v>
      </c>
      <c r="C3006" t="s">
        <v>90</v>
      </c>
      <c r="D3006">
        <v>19</v>
      </c>
      <c r="E3006" t="s">
        <v>33</v>
      </c>
      <c r="F3006" t="s">
        <v>50</v>
      </c>
      <c r="G3006" t="s">
        <v>30</v>
      </c>
      <c r="H3006" t="s">
        <v>243</v>
      </c>
      <c r="I3006">
        <v>32821</v>
      </c>
      <c r="J3006">
        <v>34906</v>
      </c>
    </row>
    <row r="3007" spans="1:10" x14ac:dyDescent="0.3">
      <c r="A3007" t="s">
        <v>3134</v>
      </c>
      <c r="B3007" s="1">
        <v>45693</v>
      </c>
      <c r="C3007" t="s">
        <v>82</v>
      </c>
      <c r="D3007">
        <v>6</v>
      </c>
      <c r="E3007" t="s">
        <v>12</v>
      </c>
      <c r="F3007" t="s">
        <v>43</v>
      </c>
      <c r="G3007" t="s">
        <v>230</v>
      </c>
      <c r="H3007" t="s">
        <v>111</v>
      </c>
      <c r="I3007">
        <v>36603</v>
      </c>
      <c r="J3007">
        <v>41564</v>
      </c>
    </row>
    <row r="3008" spans="1:10" x14ac:dyDescent="0.3">
      <c r="A3008" t="s">
        <v>3135</v>
      </c>
      <c r="B3008" s="1">
        <v>45911</v>
      </c>
      <c r="C3008" t="s">
        <v>38</v>
      </c>
      <c r="D3008">
        <v>37</v>
      </c>
      <c r="E3008" t="s">
        <v>24</v>
      </c>
      <c r="F3008" t="s">
        <v>78</v>
      </c>
      <c r="G3008" t="s">
        <v>30</v>
      </c>
      <c r="H3008" t="s">
        <v>165</v>
      </c>
      <c r="I3008">
        <v>17987</v>
      </c>
      <c r="J3008">
        <v>20733</v>
      </c>
    </row>
    <row r="3009" spans="1:10" x14ac:dyDescent="0.3">
      <c r="A3009" t="s">
        <v>3136</v>
      </c>
      <c r="B3009" s="1">
        <v>45825</v>
      </c>
      <c r="C3009" t="s">
        <v>74</v>
      </c>
      <c r="D3009">
        <v>25</v>
      </c>
      <c r="E3009" t="s">
        <v>12</v>
      </c>
      <c r="F3009" t="s">
        <v>101</v>
      </c>
      <c r="G3009" t="s">
        <v>20</v>
      </c>
      <c r="H3009" t="s">
        <v>64</v>
      </c>
      <c r="I3009">
        <v>15090</v>
      </c>
      <c r="J3009">
        <v>19378</v>
      </c>
    </row>
    <row r="3010" spans="1:10" x14ac:dyDescent="0.3">
      <c r="A3010" t="s">
        <v>3137</v>
      </c>
      <c r="B3010" s="1">
        <v>45793</v>
      </c>
      <c r="C3010" t="s">
        <v>90</v>
      </c>
      <c r="D3010">
        <v>20</v>
      </c>
      <c r="E3010" t="s">
        <v>18</v>
      </c>
      <c r="F3010" t="s">
        <v>34</v>
      </c>
      <c r="G3010" t="s">
        <v>118</v>
      </c>
      <c r="H3010" t="s">
        <v>163</v>
      </c>
      <c r="I3010">
        <v>35485</v>
      </c>
      <c r="J3010">
        <v>34502</v>
      </c>
    </row>
    <row r="3011" spans="1:10" x14ac:dyDescent="0.3">
      <c r="A3011" t="s">
        <v>3138</v>
      </c>
      <c r="B3011" s="1">
        <v>45902</v>
      </c>
      <c r="C3011" t="s">
        <v>38</v>
      </c>
      <c r="D3011">
        <v>36</v>
      </c>
      <c r="E3011" t="s">
        <v>70</v>
      </c>
      <c r="F3011" t="s">
        <v>62</v>
      </c>
      <c r="G3011" t="s">
        <v>324</v>
      </c>
      <c r="H3011" t="s">
        <v>133</v>
      </c>
      <c r="I3011">
        <v>28806</v>
      </c>
      <c r="J3011">
        <v>22711</v>
      </c>
    </row>
    <row r="3012" spans="1:10" x14ac:dyDescent="0.3">
      <c r="A3012" t="s">
        <v>3139</v>
      </c>
      <c r="B3012" s="1">
        <v>45686</v>
      </c>
      <c r="C3012" t="s">
        <v>17</v>
      </c>
      <c r="D3012">
        <v>5</v>
      </c>
      <c r="E3012" t="s">
        <v>33</v>
      </c>
      <c r="F3012" t="s">
        <v>50</v>
      </c>
      <c r="G3012" t="s">
        <v>145</v>
      </c>
      <c r="H3012" t="s">
        <v>36</v>
      </c>
      <c r="I3012">
        <v>36334</v>
      </c>
      <c r="J3012">
        <v>47111</v>
      </c>
    </row>
    <row r="3013" spans="1:10" x14ac:dyDescent="0.3">
      <c r="A3013" t="s">
        <v>3140</v>
      </c>
      <c r="B3013" s="1">
        <v>45832</v>
      </c>
      <c r="C3013" t="s">
        <v>74</v>
      </c>
      <c r="D3013">
        <v>26</v>
      </c>
      <c r="E3013" t="s">
        <v>61</v>
      </c>
      <c r="F3013" t="s">
        <v>122</v>
      </c>
      <c r="G3013" t="s">
        <v>26</v>
      </c>
      <c r="H3013" t="s">
        <v>211</v>
      </c>
      <c r="I3013">
        <v>18649</v>
      </c>
      <c r="J3013">
        <v>20020</v>
      </c>
    </row>
    <row r="3014" spans="1:10" x14ac:dyDescent="0.3">
      <c r="A3014" t="s">
        <v>3141</v>
      </c>
      <c r="B3014" s="1">
        <v>45711</v>
      </c>
      <c r="C3014" t="s">
        <v>82</v>
      </c>
      <c r="D3014">
        <v>8</v>
      </c>
      <c r="E3014" t="s">
        <v>18</v>
      </c>
      <c r="F3014" t="s">
        <v>50</v>
      </c>
      <c r="G3014" t="s">
        <v>182</v>
      </c>
      <c r="H3014" t="s">
        <v>52</v>
      </c>
      <c r="I3014">
        <v>32854</v>
      </c>
      <c r="J3014">
        <v>36798</v>
      </c>
    </row>
    <row r="3015" spans="1:10" x14ac:dyDescent="0.3">
      <c r="A3015" t="s">
        <v>3142</v>
      </c>
      <c r="B3015" s="1">
        <v>45852</v>
      </c>
      <c r="C3015" t="s">
        <v>11</v>
      </c>
      <c r="D3015">
        <v>29</v>
      </c>
      <c r="E3015" t="s">
        <v>39</v>
      </c>
      <c r="F3015" t="s">
        <v>140</v>
      </c>
      <c r="G3015" t="s">
        <v>160</v>
      </c>
      <c r="H3015" t="s">
        <v>59</v>
      </c>
      <c r="I3015">
        <v>39754</v>
      </c>
      <c r="J3015">
        <v>46337</v>
      </c>
    </row>
    <row r="3016" spans="1:10" x14ac:dyDescent="0.3">
      <c r="A3016" t="s">
        <v>3143</v>
      </c>
      <c r="B3016" s="1">
        <v>45706</v>
      </c>
      <c r="C3016" t="s">
        <v>82</v>
      </c>
      <c r="D3016">
        <v>8</v>
      </c>
      <c r="E3016" t="s">
        <v>33</v>
      </c>
      <c r="F3016" t="s">
        <v>101</v>
      </c>
      <c r="G3016" t="s">
        <v>234</v>
      </c>
      <c r="H3016" t="s">
        <v>52</v>
      </c>
      <c r="I3016">
        <v>28966</v>
      </c>
      <c r="J3016">
        <v>22004</v>
      </c>
    </row>
    <row r="3017" spans="1:10" x14ac:dyDescent="0.3">
      <c r="A3017" t="s">
        <v>3144</v>
      </c>
      <c r="B3017" s="1">
        <v>45889</v>
      </c>
      <c r="C3017" t="s">
        <v>113</v>
      </c>
      <c r="D3017">
        <v>34</v>
      </c>
      <c r="E3017" t="s">
        <v>24</v>
      </c>
      <c r="F3017" t="s">
        <v>19</v>
      </c>
      <c r="G3017" t="s">
        <v>35</v>
      </c>
      <c r="H3017" t="s">
        <v>48</v>
      </c>
      <c r="I3017">
        <v>31090</v>
      </c>
      <c r="J3017">
        <v>28194</v>
      </c>
    </row>
    <row r="3018" spans="1:10" x14ac:dyDescent="0.3">
      <c r="A3018" t="s">
        <v>3145</v>
      </c>
      <c r="B3018" s="1">
        <v>45908</v>
      </c>
      <c r="C3018" t="s">
        <v>38</v>
      </c>
      <c r="D3018">
        <v>37</v>
      </c>
      <c r="E3018" t="s">
        <v>12</v>
      </c>
      <c r="F3018" t="s">
        <v>29</v>
      </c>
      <c r="G3018" t="s">
        <v>30</v>
      </c>
      <c r="H3018" t="s">
        <v>68</v>
      </c>
      <c r="I3018">
        <v>30114</v>
      </c>
      <c r="J3018">
        <v>22785</v>
      </c>
    </row>
    <row r="3019" spans="1:10" x14ac:dyDescent="0.3">
      <c r="A3019" t="s">
        <v>3146</v>
      </c>
      <c r="B3019" s="1">
        <v>45714</v>
      </c>
      <c r="C3019" t="s">
        <v>82</v>
      </c>
      <c r="D3019">
        <v>9</v>
      </c>
      <c r="E3019" t="s">
        <v>39</v>
      </c>
      <c r="F3019" t="s">
        <v>75</v>
      </c>
      <c r="G3019" t="s">
        <v>102</v>
      </c>
      <c r="H3019" t="s">
        <v>103</v>
      </c>
      <c r="I3019">
        <v>15167</v>
      </c>
      <c r="J3019">
        <v>18398</v>
      </c>
    </row>
    <row r="3020" spans="1:10" x14ac:dyDescent="0.3">
      <c r="A3020" t="s">
        <v>3147</v>
      </c>
      <c r="B3020" s="1">
        <v>46006</v>
      </c>
      <c r="C3020" t="s">
        <v>100</v>
      </c>
      <c r="D3020">
        <v>51</v>
      </c>
      <c r="E3020" t="s">
        <v>39</v>
      </c>
      <c r="F3020" t="s">
        <v>13</v>
      </c>
      <c r="G3020" t="s">
        <v>20</v>
      </c>
      <c r="H3020" t="s">
        <v>211</v>
      </c>
      <c r="I3020">
        <v>20533</v>
      </c>
      <c r="J3020">
        <v>16154</v>
      </c>
    </row>
    <row r="3021" spans="1:10" x14ac:dyDescent="0.3">
      <c r="A3021" t="s">
        <v>3148</v>
      </c>
      <c r="B3021" s="1">
        <v>45756</v>
      </c>
      <c r="C3021" t="s">
        <v>86</v>
      </c>
      <c r="D3021">
        <v>15</v>
      </c>
      <c r="E3021" t="s">
        <v>39</v>
      </c>
      <c r="F3021" t="s">
        <v>57</v>
      </c>
      <c r="G3021" t="s">
        <v>128</v>
      </c>
      <c r="H3021" t="s">
        <v>68</v>
      </c>
      <c r="I3021">
        <v>30710</v>
      </c>
      <c r="J3021">
        <v>24408</v>
      </c>
    </row>
    <row r="3022" spans="1:10" x14ac:dyDescent="0.3">
      <c r="A3022" t="s">
        <v>3149</v>
      </c>
      <c r="B3022" s="1">
        <v>45760</v>
      </c>
      <c r="C3022" t="s">
        <v>86</v>
      </c>
      <c r="D3022">
        <v>15</v>
      </c>
      <c r="E3022" t="s">
        <v>61</v>
      </c>
      <c r="F3022" t="s">
        <v>114</v>
      </c>
      <c r="G3022" t="s">
        <v>126</v>
      </c>
      <c r="H3022" t="s">
        <v>165</v>
      </c>
      <c r="I3022">
        <v>24081</v>
      </c>
      <c r="J3022">
        <v>19980</v>
      </c>
    </row>
    <row r="3023" spans="1:10" x14ac:dyDescent="0.3">
      <c r="A3023" t="s">
        <v>3150</v>
      </c>
      <c r="B3023" s="1">
        <v>45840</v>
      </c>
      <c r="C3023" t="s">
        <v>11</v>
      </c>
      <c r="D3023">
        <v>27</v>
      </c>
      <c r="E3023" t="s">
        <v>39</v>
      </c>
      <c r="F3023" t="s">
        <v>50</v>
      </c>
      <c r="G3023" t="s">
        <v>266</v>
      </c>
      <c r="H3023" t="s">
        <v>48</v>
      </c>
      <c r="I3023">
        <v>27619</v>
      </c>
      <c r="J3023">
        <v>21083</v>
      </c>
    </row>
    <row r="3024" spans="1:10" x14ac:dyDescent="0.3">
      <c r="A3024" t="s">
        <v>3151</v>
      </c>
      <c r="B3024" s="1">
        <v>45910</v>
      </c>
      <c r="C3024" t="s">
        <v>38</v>
      </c>
      <c r="D3024">
        <v>37</v>
      </c>
      <c r="E3024" t="s">
        <v>70</v>
      </c>
      <c r="F3024" t="s">
        <v>34</v>
      </c>
      <c r="G3024" t="s">
        <v>130</v>
      </c>
      <c r="H3024" t="s">
        <v>96</v>
      </c>
      <c r="I3024">
        <v>33380</v>
      </c>
      <c r="J3024">
        <v>26112</v>
      </c>
    </row>
    <row r="3025" spans="1:10" x14ac:dyDescent="0.3">
      <c r="A3025" t="s">
        <v>3152</v>
      </c>
      <c r="B3025" s="1">
        <v>45797</v>
      </c>
      <c r="C3025" t="s">
        <v>90</v>
      </c>
      <c r="D3025">
        <v>21</v>
      </c>
      <c r="E3025" t="s">
        <v>39</v>
      </c>
      <c r="F3025" t="s">
        <v>193</v>
      </c>
      <c r="G3025" t="s">
        <v>206</v>
      </c>
      <c r="H3025" t="s">
        <v>151</v>
      </c>
      <c r="I3025">
        <v>21084</v>
      </c>
      <c r="J3025">
        <v>22267</v>
      </c>
    </row>
    <row r="3026" spans="1:10" x14ac:dyDescent="0.3">
      <c r="A3026" t="s">
        <v>3153</v>
      </c>
      <c r="B3026" s="1">
        <v>45684</v>
      </c>
      <c r="C3026" t="s">
        <v>17</v>
      </c>
      <c r="D3026">
        <v>5</v>
      </c>
      <c r="E3026" t="s">
        <v>39</v>
      </c>
      <c r="F3026" t="s">
        <v>43</v>
      </c>
      <c r="G3026" t="s">
        <v>130</v>
      </c>
      <c r="H3026" t="s">
        <v>80</v>
      </c>
      <c r="I3026">
        <v>27424</v>
      </c>
      <c r="J3026">
        <v>25225</v>
      </c>
    </row>
    <row r="3027" spans="1:10" x14ac:dyDescent="0.3">
      <c r="A3027" t="s">
        <v>3154</v>
      </c>
      <c r="B3027" s="1">
        <v>45712</v>
      </c>
      <c r="C3027" t="s">
        <v>82</v>
      </c>
      <c r="D3027">
        <v>9</v>
      </c>
      <c r="E3027" t="s">
        <v>24</v>
      </c>
      <c r="F3027" t="s">
        <v>140</v>
      </c>
      <c r="G3027" t="s">
        <v>126</v>
      </c>
      <c r="H3027" t="s">
        <v>84</v>
      </c>
      <c r="I3027">
        <v>21514</v>
      </c>
      <c r="J3027">
        <v>17660</v>
      </c>
    </row>
    <row r="3028" spans="1:10" x14ac:dyDescent="0.3">
      <c r="A3028" t="s">
        <v>3155</v>
      </c>
      <c r="B3028" s="1">
        <v>45755</v>
      </c>
      <c r="C3028" t="s">
        <v>86</v>
      </c>
      <c r="D3028">
        <v>15</v>
      </c>
      <c r="E3028" t="s">
        <v>18</v>
      </c>
      <c r="F3028" t="s">
        <v>25</v>
      </c>
      <c r="G3028" t="s">
        <v>130</v>
      </c>
      <c r="H3028" t="s">
        <v>155</v>
      </c>
      <c r="I3028">
        <v>31591</v>
      </c>
      <c r="J3028">
        <v>29192</v>
      </c>
    </row>
    <row r="3029" spans="1:10" x14ac:dyDescent="0.3">
      <c r="A3029" t="s">
        <v>3156</v>
      </c>
      <c r="B3029" s="1">
        <v>45767</v>
      </c>
      <c r="C3029" t="s">
        <v>86</v>
      </c>
      <c r="D3029">
        <v>16</v>
      </c>
      <c r="E3029" t="s">
        <v>33</v>
      </c>
      <c r="F3029" t="s">
        <v>34</v>
      </c>
      <c r="G3029" t="s">
        <v>79</v>
      </c>
      <c r="H3029" t="s">
        <v>55</v>
      </c>
      <c r="I3029">
        <v>17400</v>
      </c>
      <c r="J3029">
        <v>20960</v>
      </c>
    </row>
    <row r="3030" spans="1:10" x14ac:dyDescent="0.3">
      <c r="A3030" t="s">
        <v>3157</v>
      </c>
      <c r="B3030" s="1">
        <v>45710</v>
      </c>
      <c r="C3030" t="s">
        <v>82</v>
      </c>
      <c r="D3030">
        <v>8</v>
      </c>
      <c r="E3030" t="s">
        <v>24</v>
      </c>
      <c r="F3030" t="s">
        <v>57</v>
      </c>
      <c r="G3030" t="s">
        <v>182</v>
      </c>
      <c r="H3030" t="s">
        <v>163</v>
      </c>
      <c r="I3030">
        <v>17377</v>
      </c>
      <c r="J3030">
        <v>14653</v>
      </c>
    </row>
    <row r="3031" spans="1:10" x14ac:dyDescent="0.3">
      <c r="A3031" t="s">
        <v>3158</v>
      </c>
      <c r="B3031" s="1">
        <v>45767</v>
      </c>
      <c r="C3031" t="s">
        <v>86</v>
      </c>
      <c r="D3031">
        <v>16</v>
      </c>
      <c r="E3031" t="s">
        <v>70</v>
      </c>
      <c r="F3031" t="s">
        <v>140</v>
      </c>
      <c r="G3031" t="s">
        <v>240</v>
      </c>
      <c r="H3031" t="s">
        <v>116</v>
      </c>
      <c r="I3031">
        <v>29303</v>
      </c>
      <c r="J3031">
        <v>36182</v>
      </c>
    </row>
    <row r="3032" spans="1:10" x14ac:dyDescent="0.3">
      <c r="A3032" t="s">
        <v>3159</v>
      </c>
      <c r="B3032" s="1">
        <v>45949</v>
      </c>
      <c r="C3032" t="s">
        <v>66</v>
      </c>
      <c r="D3032">
        <v>42</v>
      </c>
      <c r="E3032" t="s">
        <v>61</v>
      </c>
      <c r="F3032" t="s">
        <v>25</v>
      </c>
      <c r="G3032" t="s">
        <v>26</v>
      </c>
      <c r="H3032" t="s">
        <v>157</v>
      </c>
      <c r="I3032">
        <v>16739</v>
      </c>
      <c r="J3032">
        <v>16210</v>
      </c>
    </row>
    <row r="3033" spans="1:10" x14ac:dyDescent="0.3">
      <c r="A3033" t="s">
        <v>3160</v>
      </c>
      <c r="B3033" s="1">
        <v>45812</v>
      </c>
      <c r="C3033" t="s">
        <v>74</v>
      </c>
      <c r="D3033">
        <v>23</v>
      </c>
      <c r="E3033" t="s">
        <v>39</v>
      </c>
      <c r="F3033" t="s">
        <v>62</v>
      </c>
      <c r="G3033" t="s">
        <v>44</v>
      </c>
      <c r="H3033" t="s">
        <v>41</v>
      </c>
      <c r="I3033">
        <v>28351</v>
      </c>
      <c r="J3033">
        <v>23414</v>
      </c>
    </row>
    <row r="3034" spans="1:10" x14ac:dyDescent="0.3">
      <c r="A3034" t="s">
        <v>3161</v>
      </c>
      <c r="B3034" s="1">
        <v>45736</v>
      </c>
      <c r="C3034" t="s">
        <v>95</v>
      </c>
      <c r="D3034">
        <v>12</v>
      </c>
      <c r="E3034" t="s">
        <v>12</v>
      </c>
      <c r="F3034" t="s">
        <v>193</v>
      </c>
      <c r="G3034" t="s">
        <v>240</v>
      </c>
      <c r="H3034" t="s">
        <v>133</v>
      </c>
      <c r="I3034">
        <v>22992</v>
      </c>
      <c r="J3034">
        <v>23920</v>
      </c>
    </row>
    <row r="3035" spans="1:10" x14ac:dyDescent="0.3">
      <c r="A3035" t="s">
        <v>3162</v>
      </c>
      <c r="B3035" s="1">
        <v>46013</v>
      </c>
      <c r="C3035" t="s">
        <v>100</v>
      </c>
      <c r="D3035">
        <v>52</v>
      </c>
      <c r="E3035" t="s">
        <v>24</v>
      </c>
      <c r="F3035" t="s">
        <v>57</v>
      </c>
      <c r="G3035" t="s">
        <v>160</v>
      </c>
      <c r="H3035" t="s">
        <v>21</v>
      </c>
      <c r="I3035">
        <v>22534</v>
      </c>
      <c r="J3035">
        <v>28926</v>
      </c>
    </row>
    <row r="3036" spans="1:10" x14ac:dyDescent="0.3">
      <c r="A3036" t="s">
        <v>3163</v>
      </c>
      <c r="B3036" s="1">
        <v>46021</v>
      </c>
      <c r="C3036" t="s">
        <v>100</v>
      </c>
      <c r="D3036">
        <v>1</v>
      </c>
      <c r="E3036" t="s">
        <v>12</v>
      </c>
      <c r="F3036" t="s">
        <v>122</v>
      </c>
      <c r="G3036" t="s">
        <v>191</v>
      </c>
      <c r="H3036" t="s">
        <v>155</v>
      </c>
      <c r="I3036">
        <v>37457</v>
      </c>
      <c r="J3036">
        <v>41432</v>
      </c>
    </row>
    <row r="3037" spans="1:10" x14ac:dyDescent="0.3">
      <c r="A3037" t="s">
        <v>3164</v>
      </c>
      <c r="B3037" s="1">
        <v>45780</v>
      </c>
      <c r="C3037" t="s">
        <v>90</v>
      </c>
      <c r="D3037">
        <v>18</v>
      </c>
      <c r="E3037" t="s">
        <v>33</v>
      </c>
      <c r="F3037" t="s">
        <v>29</v>
      </c>
      <c r="G3037" t="s">
        <v>240</v>
      </c>
      <c r="H3037" t="s">
        <v>243</v>
      </c>
      <c r="I3037">
        <v>21842</v>
      </c>
      <c r="J3037">
        <v>18553</v>
      </c>
    </row>
    <row r="3038" spans="1:10" x14ac:dyDescent="0.3">
      <c r="A3038" t="s">
        <v>3165</v>
      </c>
      <c r="B3038" s="1">
        <v>45709</v>
      </c>
      <c r="C3038" t="s">
        <v>82</v>
      </c>
      <c r="D3038">
        <v>8</v>
      </c>
      <c r="E3038" t="s">
        <v>18</v>
      </c>
      <c r="F3038" t="s">
        <v>34</v>
      </c>
      <c r="G3038" t="s">
        <v>199</v>
      </c>
      <c r="H3038" t="s">
        <v>116</v>
      </c>
      <c r="I3038">
        <v>15084</v>
      </c>
      <c r="J3038">
        <v>15762</v>
      </c>
    </row>
    <row r="3039" spans="1:10" x14ac:dyDescent="0.3">
      <c r="A3039" t="s">
        <v>3166</v>
      </c>
      <c r="B3039" s="1">
        <v>45785</v>
      </c>
      <c r="C3039" t="s">
        <v>90</v>
      </c>
      <c r="D3039">
        <v>19</v>
      </c>
      <c r="E3039" t="s">
        <v>24</v>
      </c>
      <c r="F3039" t="s">
        <v>114</v>
      </c>
      <c r="G3039" t="s">
        <v>137</v>
      </c>
      <c r="H3039" t="s">
        <v>163</v>
      </c>
      <c r="I3039">
        <v>20210</v>
      </c>
      <c r="J3039">
        <v>22026</v>
      </c>
    </row>
    <row r="3040" spans="1:10" x14ac:dyDescent="0.3">
      <c r="A3040" t="s">
        <v>3167</v>
      </c>
      <c r="B3040" s="1">
        <v>45966</v>
      </c>
      <c r="C3040" t="s">
        <v>23</v>
      </c>
      <c r="D3040">
        <v>45</v>
      </c>
      <c r="E3040" t="s">
        <v>61</v>
      </c>
      <c r="F3040" t="s">
        <v>109</v>
      </c>
      <c r="G3040" t="s">
        <v>240</v>
      </c>
      <c r="H3040" t="s">
        <v>36</v>
      </c>
      <c r="I3040">
        <v>22678</v>
      </c>
      <c r="J3040">
        <v>16051</v>
      </c>
    </row>
    <row r="3041" spans="1:10" x14ac:dyDescent="0.3">
      <c r="A3041" t="s">
        <v>3168</v>
      </c>
      <c r="B3041" s="1">
        <v>45664</v>
      </c>
      <c r="C3041" t="s">
        <v>17</v>
      </c>
      <c r="D3041">
        <v>2</v>
      </c>
      <c r="E3041" t="s">
        <v>39</v>
      </c>
      <c r="F3041" t="s">
        <v>34</v>
      </c>
      <c r="G3041" t="s">
        <v>93</v>
      </c>
      <c r="H3041" t="s">
        <v>27</v>
      </c>
      <c r="I3041">
        <v>27161</v>
      </c>
      <c r="J3041">
        <v>26235</v>
      </c>
    </row>
    <row r="3042" spans="1:10" x14ac:dyDescent="0.3">
      <c r="A3042" t="s">
        <v>3169</v>
      </c>
      <c r="B3042" s="1">
        <v>45659</v>
      </c>
      <c r="C3042" t="s">
        <v>17</v>
      </c>
      <c r="D3042">
        <v>1</v>
      </c>
      <c r="E3042" t="s">
        <v>61</v>
      </c>
      <c r="F3042" t="s">
        <v>122</v>
      </c>
      <c r="G3042" t="s">
        <v>79</v>
      </c>
      <c r="H3042" t="s">
        <v>80</v>
      </c>
      <c r="I3042">
        <v>17430</v>
      </c>
      <c r="J3042">
        <v>21979</v>
      </c>
    </row>
    <row r="3043" spans="1:10" x14ac:dyDescent="0.3">
      <c r="A3043" t="s">
        <v>3170</v>
      </c>
      <c r="B3043" s="1">
        <v>45775</v>
      </c>
      <c r="C3043" t="s">
        <v>86</v>
      </c>
      <c r="D3043">
        <v>18</v>
      </c>
      <c r="E3043" t="s">
        <v>39</v>
      </c>
      <c r="F3043" t="s">
        <v>62</v>
      </c>
      <c r="G3043" t="s">
        <v>26</v>
      </c>
      <c r="H3043" t="s">
        <v>27</v>
      </c>
      <c r="I3043">
        <v>23345</v>
      </c>
      <c r="J3043">
        <v>28588</v>
      </c>
    </row>
    <row r="3044" spans="1:10" x14ac:dyDescent="0.3">
      <c r="A3044" t="s">
        <v>3171</v>
      </c>
      <c r="B3044" s="1">
        <v>46001</v>
      </c>
      <c r="C3044" t="s">
        <v>100</v>
      </c>
      <c r="D3044">
        <v>50</v>
      </c>
      <c r="E3044" t="s">
        <v>33</v>
      </c>
      <c r="F3044" t="s">
        <v>34</v>
      </c>
      <c r="G3044" t="s">
        <v>266</v>
      </c>
      <c r="H3044" t="s">
        <v>243</v>
      </c>
      <c r="I3044">
        <v>35602</v>
      </c>
      <c r="J3044">
        <v>35030</v>
      </c>
    </row>
    <row r="3045" spans="1:10" x14ac:dyDescent="0.3">
      <c r="A3045" t="s">
        <v>3172</v>
      </c>
      <c r="B3045" s="1">
        <v>45873</v>
      </c>
      <c r="C3045" t="s">
        <v>113</v>
      </c>
      <c r="D3045">
        <v>32</v>
      </c>
      <c r="E3045" t="s">
        <v>18</v>
      </c>
      <c r="F3045" t="s">
        <v>75</v>
      </c>
      <c r="G3045" t="s">
        <v>102</v>
      </c>
      <c r="H3045" t="s">
        <v>15</v>
      </c>
      <c r="I3045">
        <v>31349</v>
      </c>
      <c r="J3045">
        <v>39760</v>
      </c>
    </row>
    <row r="3046" spans="1:10" x14ac:dyDescent="0.3">
      <c r="A3046" t="s">
        <v>3173</v>
      </c>
      <c r="B3046" s="1">
        <v>46007</v>
      </c>
      <c r="C3046" t="s">
        <v>100</v>
      </c>
      <c r="D3046">
        <v>51</v>
      </c>
      <c r="E3046" t="s">
        <v>12</v>
      </c>
      <c r="F3046" t="s">
        <v>19</v>
      </c>
      <c r="G3046" t="s">
        <v>326</v>
      </c>
      <c r="H3046" t="s">
        <v>41</v>
      </c>
      <c r="I3046">
        <v>18270</v>
      </c>
      <c r="J3046">
        <v>20148</v>
      </c>
    </row>
    <row r="3047" spans="1:10" x14ac:dyDescent="0.3">
      <c r="A3047" t="s">
        <v>3174</v>
      </c>
      <c r="B3047" s="1">
        <v>45804</v>
      </c>
      <c r="C3047" t="s">
        <v>90</v>
      </c>
      <c r="D3047">
        <v>22</v>
      </c>
      <c r="E3047" t="s">
        <v>12</v>
      </c>
      <c r="F3047" t="s">
        <v>29</v>
      </c>
      <c r="G3047" t="s">
        <v>118</v>
      </c>
      <c r="H3047" t="s">
        <v>163</v>
      </c>
      <c r="I3047">
        <v>16439</v>
      </c>
      <c r="J3047">
        <v>13068</v>
      </c>
    </row>
    <row r="3048" spans="1:10" x14ac:dyDescent="0.3">
      <c r="A3048" t="s">
        <v>3175</v>
      </c>
      <c r="B3048" s="1">
        <v>45936</v>
      </c>
      <c r="C3048" t="s">
        <v>66</v>
      </c>
      <c r="D3048">
        <v>41</v>
      </c>
      <c r="E3048" t="s">
        <v>61</v>
      </c>
      <c r="F3048" t="s">
        <v>62</v>
      </c>
      <c r="G3048" t="s">
        <v>291</v>
      </c>
      <c r="H3048" t="s">
        <v>27</v>
      </c>
      <c r="I3048">
        <v>15648</v>
      </c>
      <c r="J3048">
        <v>16814</v>
      </c>
    </row>
    <row r="3049" spans="1:10" x14ac:dyDescent="0.3">
      <c r="A3049" t="s">
        <v>3176</v>
      </c>
      <c r="B3049" s="1">
        <v>45888</v>
      </c>
      <c r="C3049" t="s">
        <v>113</v>
      </c>
      <c r="D3049">
        <v>34</v>
      </c>
      <c r="E3049" t="s">
        <v>61</v>
      </c>
      <c r="F3049" t="s">
        <v>114</v>
      </c>
      <c r="G3049" t="s">
        <v>160</v>
      </c>
      <c r="H3049" t="s">
        <v>84</v>
      </c>
      <c r="I3049">
        <v>26981</v>
      </c>
      <c r="J3049">
        <v>24899</v>
      </c>
    </row>
    <row r="3050" spans="1:10" x14ac:dyDescent="0.3">
      <c r="A3050" t="s">
        <v>3177</v>
      </c>
      <c r="B3050" s="1">
        <v>46017</v>
      </c>
      <c r="C3050" t="s">
        <v>100</v>
      </c>
      <c r="D3050">
        <v>52</v>
      </c>
      <c r="E3050" t="s">
        <v>24</v>
      </c>
      <c r="F3050" t="s">
        <v>29</v>
      </c>
      <c r="G3050" t="s">
        <v>40</v>
      </c>
      <c r="H3050" t="s">
        <v>103</v>
      </c>
      <c r="I3050">
        <v>34357</v>
      </c>
      <c r="J3050">
        <v>27184</v>
      </c>
    </row>
    <row r="3051" spans="1:10" x14ac:dyDescent="0.3">
      <c r="A3051" t="s">
        <v>3178</v>
      </c>
      <c r="B3051" s="1">
        <v>45717</v>
      </c>
      <c r="C3051" t="s">
        <v>95</v>
      </c>
      <c r="D3051">
        <v>9</v>
      </c>
      <c r="E3051" t="s">
        <v>24</v>
      </c>
      <c r="F3051" t="s">
        <v>34</v>
      </c>
      <c r="G3051" t="s">
        <v>266</v>
      </c>
      <c r="H3051" t="s">
        <v>21</v>
      </c>
      <c r="I3051">
        <v>33235</v>
      </c>
      <c r="J3051">
        <v>41752</v>
      </c>
    </row>
    <row r="3052" spans="1:10" x14ac:dyDescent="0.3">
      <c r="A3052" t="s">
        <v>3179</v>
      </c>
      <c r="B3052" s="1">
        <v>45733</v>
      </c>
      <c r="C3052" t="s">
        <v>95</v>
      </c>
      <c r="D3052">
        <v>12</v>
      </c>
      <c r="E3052" t="s">
        <v>39</v>
      </c>
      <c r="F3052" t="s">
        <v>109</v>
      </c>
      <c r="G3052" t="s">
        <v>54</v>
      </c>
      <c r="H3052" t="s">
        <v>27</v>
      </c>
      <c r="I3052">
        <v>37561</v>
      </c>
      <c r="J3052">
        <v>42858</v>
      </c>
    </row>
    <row r="3053" spans="1:10" x14ac:dyDescent="0.3">
      <c r="A3053" t="s">
        <v>3180</v>
      </c>
      <c r="B3053" s="1">
        <v>45969</v>
      </c>
      <c r="C3053" t="s">
        <v>23</v>
      </c>
      <c r="D3053">
        <v>45</v>
      </c>
      <c r="E3053" t="s">
        <v>39</v>
      </c>
      <c r="F3053" t="s">
        <v>193</v>
      </c>
      <c r="G3053" t="s">
        <v>20</v>
      </c>
      <c r="H3053" t="s">
        <v>59</v>
      </c>
      <c r="I3053">
        <v>28442</v>
      </c>
      <c r="J3053">
        <v>35687</v>
      </c>
    </row>
    <row r="3054" spans="1:10" x14ac:dyDescent="0.3">
      <c r="A3054" t="s">
        <v>3181</v>
      </c>
      <c r="B3054" s="1">
        <v>45714</v>
      </c>
      <c r="C3054" t="s">
        <v>82</v>
      </c>
      <c r="D3054">
        <v>9</v>
      </c>
      <c r="E3054" t="s">
        <v>24</v>
      </c>
      <c r="F3054" t="s">
        <v>92</v>
      </c>
      <c r="G3054" t="s">
        <v>145</v>
      </c>
      <c r="H3054" t="s">
        <v>80</v>
      </c>
      <c r="I3054">
        <v>19395</v>
      </c>
      <c r="J3054">
        <v>16423</v>
      </c>
    </row>
    <row r="3055" spans="1:10" x14ac:dyDescent="0.3">
      <c r="A3055" t="s">
        <v>3182</v>
      </c>
      <c r="B3055" s="1">
        <v>45957</v>
      </c>
      <c r="C3055" t="s">
        <v>66</v>
      </c>
      <c r="D3055">
        <v>44</v>
      </c>
      <c r="E3055" t="s">
        <v>39</v>
      </c>
      <c r="F3055" t="s">
        <v>25</v>
      </c>
      <c r="G3055" t="s">
        <v>54</v>
      </c>
      <c r="H3055" t="s">
        <v>165</v>
      </c>
      <c r="I3055">
        <v>25257</v>
      </c>
      <c r="J3055">
        <v>31837</v>
      </c>
    </row>
    <row r="3056" spans="1:10" x14ac:dyDescent="0.3">
      <c r="A3056" t="s">
        <v>3183</v>
      </c>
      <c r="B3056" s="1">
        <v>45758</v>
      </c>
      <c r="C3056" t="s">
        <v>86</v>
      </c>
      <c r="D3056">
        <v>15</v>
      </c>
      <c r="E3056" t="s">
        <v>12</v>
      </c>
      <c r="F3056" t="s">
        <v>193</v>
      </c>
      <c r="G3056" t="s">
        <v>182</v>
      </c>
      <c r="H3056" t="s">
        <v>59</v>
      </c>
      <c r="I3056">
        <v>31240</v>
      </c>
      <c r="J3056">
        <v>39337</v>
      </c>
    </row>
    <row r="3057" spans="1:10" x14ac:dyDescent="0.3">
      <c r="A3057" t="s">
        <v>3184</v>
      </c>
      <c r="B3057" s="1">
        <v>46018</v>
      </c>
      <c r="C3057" t="s">
        <v>100</v>
      </c>
      <c r="D3057">
        <v>52</v>
      </c>
      <c r="E3057" t="s">
        <v>61</v>
      </c>
      <c r="F3057" t="s">
        <v>109</v>
      </c>
      <c r="G3057" t="s">
        <v>145</v>
      </c>
      <c r="H3057" t="s">
        <v>133</v>
      </c>
      <c r="I3057">
        <v>33373</v>
      </c>
      <c r="J3057">
        <v>30076</v>
      </c>
    </row>
    <row r="3058" spans="1:10" x14ac:dyDescent="0.3">
      <c r="A3058" t="s">
        <v>3185</v>
      </c>
      <c r="B3058" s="1">
        <v>45947</v>
      </c>
      <c r="C3058" t="s">
        <v>66</v>
      </c>
      <c r="D3058">
        <v>42</v>
      </c>
      <c r="E3058" t="s">
        <v>61</v>
      </c>
      <c r="F3058" t="s">
        <v>92</v>
      </c>
      <c r="G3058" t="s">
        <v>44</v>
      </c>
      <c r="H3058" t="s">
        <v>96</v>
      </c>
      <c r="I3058">
        <v>23588</v>
      </c>
      <c r="J3058">
        <v>26571</v>
      </c>
    </row>
    <row r="3059" spans="1:10" x14ac:dyDescent="0.3">
      <c r="A3059" t="s">
        <v>3186</v>
      </c>
      <c r="B3059" s="1">
        <v>45688</v>
      </c>
      <c r="C3059" t="s">
        <v>17</v>
      </c>
      <c r="D3059">
        <v>5</v>
      </c>
      <c r="E3059" t="s">
        <v>12</v>
      </c>
      <c r="F3059" t="s">
        <v>75</v>
      </c>
      <c r="G3059" t="s">
        <v>93</v>
      </c>
      <c r="H3059" t="s">
        <v>98</v>
      </c>
      <c r="I3059">
        <v>16753</v>
      </c>
      <c r="J3059">
        <v>19524</v>
      </c>
    </row>
    <row r="3060" spans="1:10" x14ac:dyDescent="0.3">
      <c r="A3060" t="s">
        <v>3187</v>
      </c>
      <c r="B3060" s="1">
        <v>45774</v>
      </c>
      <c r="C3060" t="s">
        <v>86</v>
      </c>
      <c r="D3060">
        <v>17</v>
      </c>
      <c r="E3060" t="s">
        <v>12</v>
      </c>
      <c r="F3060" t="s">
        <v>34</v>
      </c>
      <c r="G3060" t="s">
        <v>47</v>
      </c>
      <c r="H3060" t="s">
        <v>211</v>
      </c>
      <c r="I3060">
        <v>27656</v>
      </c>
      <c r="J3060">
        <v>24833</v>
      </c>
    </row>
    <row r="3061" spans="1:10" x14ac:dyDescent="0.3">
      <c r="A3061" t="s">
        <v>3188</v>
      </c>
      <c r="B3061" s="1">
        <v>45663</v>
      </c>
      <c r="C3061" t="s">
        <v>17</v>
      </c>
      <c r="D3061">
        <v>2</v>
      </c>
      <c r="E3061" t="s">
        <v>18</v>
      </c>
      <c r="F3061" t="s">
        <v>29</v>
      </c>
      <c r="G3061" t="s">
        <v>147</v>
      </c>
      <c r="H3061" t="s">
        <v>41</v>
      </c>
      <c r="I3061">
        <v>35543</v>
      </c>
      <c r="J3061">
        <v>39517</v>
      </c>
    </row>
    <row r="3062" spans="1:10" x14ac:dyDescent="0.3">
      <c r="A3062" t="s">
        <v>3189</v>
      </c>
      <c r="B3062" s="1">
        <v>45716</v>
      </c>
      <c r="C3062" t="s">
        <v>82</v>
      </c>
      <c r="D3062">
        <v>9</v>
      </c>
      <c r="E3062" t="s">
        <v>61</v>
      </c>
      <c r="F3062" t="s">
        <v>122</v>
      </c>
      <c r="G3062" t="s">
        <v>234</v>
      </c>
      <c r="H3062" t="s">
        <v>84</v>
      </c>
      <c r="I3062">
        <v>16004</v>
      </c>
      <c r="J3062">
        <v>16713</v>
      </c>
    </row>
    <row r="3063" spans="1:10" x14ac:dyDescent="0.3">
      <c r="A3063" t="s">
        <v>3190</v>
      </c>
      <c r="B3063" s="1">
        <v>45838</v>
      </c>
      <c r="C3063" t="s">
        <v>74</v>
      </c>
      <c r="D3063">
        <v>27</v>
      </c>
      <c r="E3063" t="s">
        <v>70</v>
      </c>
      <c r="F3063" t="s">
        <v>109</v>
      </c>
      <c r="G3063" t="s">
        <v>128</v>
      </c>
      <c r="H3063" t="s">
        <v>41</v>
      </c>
      <c r="I3063">
        <v>15676</v>
      </c>
      <c r="J3063">
        <v>19443</v>
      </c>
    </row>
    <row r="3064" spans="1:10" x14ac:dyDescent="0.3">
      <c r="A3064" t="s">
        <v>3191</v>
      </c>
      <c r="B3064" s="1">
        <v>45669</v>
      </c>
      <c r="C3064" t="s">
        <v>17</v>
      </c>
      <c r="D3064">
        <v>2</v>
      </c>
      <c r="E3064" t="s">
        <v>61</v>
      </c>
      <c r="F3064" t="s">
        <v>78</v>
      </c>
      <c r="G3064" t="s">
        <v>234</v>
      </c>
      <c r="H3064" t="s">
        <v>165</v>
      </c>
      <c r="I3064">
        <v>29448</v>
      </c>
      <c r="J3064">
        <v>29531</v>
      </c>
    </row>
    <row r="3065" spans="1:10" x14ac:dyDescent="0.3">
      <c r="A3065" t="s">
        <v>3192</v>
      </c>
      <c r="B3065" s="1">
        <v>45897</v>
      </c>
      <c r="C3065" t="s">
        <v>113</v>
      </c>
      <c r="D3065">
        <v>35</v>
      </c>
      <c r="E3065" t="s">
        <v>39</v>
      </c>
      <c r="F3065" t="s">
        <v>57</v>
      </c>
      <c r="G3065" t="s">
        <v>54</v>
      </c>
      <c r="H3065" t="s">
        <v>211</v>
      </c>
      <c r="I3065">
        <v>19568</v>
      </c>
      <c r="J3065">
        <v>19521</v>
      </c>
    </row>
    <row r="3066" spans="1:10" x14ac:dyDescent="0.3">
      <c r="A3066" t="s">
        <v>3193</v>
      </c>
      <c r="B3066" s="1">
        <v>45905</v>
      </c>
      <c r="C3066" t="s">
        <v>38</v>
      </c>
      <c r="D3066">
        <v>36</v>
      </c>
      <c r="E3066" t="s">
        <v>24</v>
      </c>
      <c r="F3066" t="s">
        <v>140</v>
      </c>
      <c r="G3066" t="s">
        <v>79</v>
      </c>
      <c r="H3066" t="s">
        <v>155</v>
      </c>
      <c r="I3066">
        <v>37671</v>
      </c>
      <c r="J3066">
        <v>48133</v>
      </c>
    </row>
    <row r="3067" spans="1:10" x14ac:dyDescent="0.3">
      <c r="A3067" t="s">
        <v>3194</v>
      </c>
      <c r="B3067" s="1">
        <v>45823</v>
      </c>
      <c r="C3067" t="s">
        <v>74</v>
      </c>
      <c r="D3067">
        <v>24</v>
      </c>
      <c r="E3067" t="s">
        <v>70</v>
      </c>
      <c r="F3067" t="s">
        <v>101</v>
      </c>
      <c r="G3067" t="s">
        <v>253</v>
      </c>
      <c r="H3067" t="s">
        <v>151</v>
      </c>
      <c r="I3067">
        <v>37000</v>
      </c>
      <c r="J3067">
        <v>26308</v>
      </c>
    </row>
    <row r="3068" spans="1:10" x14ac:dyDescent="0.3">
      <c r="A3068" t="s">
        <v>3195</v>
      </c>
      <c r="B3068" s="1">
        <v>45877</v>
      </c>
      <c r="C3068" t="s">
        <v>113</v>
      </c>
      <c r="D3068">
        <v>32</v>
      </c>
      <c r="E3068" t="s">
        <v>24</v>
      </c>
      <c r="F3068" t="s">
        <v>75</v>
      </c>
      <c r="G3068" t="s">
        <v>201</v>
      </c>
      <c r="H3068" t="s">
        <v>116</v>
      </c>
      <c r="I3068">
        <v>30430</v>
      </c>
      <c r="J3068">
        <v>36449</v>
      </c>
    </row>
    <row r="3069" spans="1:10" x14ac:dyDescent="0.3">
      <c r="A3069" t="s">
        <v>3196</v>
      </c>
      <c r="B3069" s="1">
        <v>45818</v>
      </c>
      <c r="C3069" t="s">
        <v>74</v>
      </c>
      <c r="D3069">
        <v>24</v>
      </c>
      <c r="E3069" t="s">
        <v>70</v>
      </c>
      <c r="F3069" t="s">
        <v>101</v>
      </c>
      <c r="G3069" t="s">
        <v>35</v>
      </c>
      <c r="H3069" t="s">
        <v>163</v>
      </c>
      <c r="I3069">
        <v>35628</v>
      </c>
      <c r="J3069">
        <v>27538</v>
      </c>
    </row>
    <row r="3070" spans="1:10" x14ac:dyDescent="0.3">
      <c r="A3070" t="s">
        <v>3197</v>
      </c>
      <c r="B3070" s="1">
        <v>45891</v>
      </c>
      <c r="C3070" t="s">
        <v>113</v>
      </c>
      <c r="D3070">
        <v>34</v>
      </c>
      <c r="E3070" t="s">
        <v>61</v>
      </c>
      <c r="F3070" t="s">
        <v>193</v>
      </c>
      <c r="G3070" t="s">
        <v>118</v>
      </c>
      <c r="H3070" t="s">
        <v>243</v>
      </c>
      <c r="I3070">
        <v>37388</v>
      </c>
      <c r="J3070">
        <v>34611</v>
      </c>
    </row>
    <row r="3071" spans="1:10" x14ac:dyDescent="0.3">
      <c r="A3071" t="s">
        <v>3198</v>
      </c>
      <c r="B3071" s="1">
        <v>45955</v>
      </c>
      <c r="C3071" t="s">
        <v>66</v>
      </c>
      <c r="D3071">
        <v>43</v>
      </c>
      <c r="E3071" t="s">
        <v>12</v>
      </c>
      <c r="F3071" t="s">
        <v>114</v>
      </c>
      <c r="G3071" t="s">
        <v>83</v>
      </c>
      <c r="H3071" t="s">
        <v>15</v>
      </c>
      <c r="I3071">
        <v>39322</v>
      </c>
      <c r="J3071">
        <v>50164</v>
      </c>
    </row>
    <row r="3072" spans="1:10" x14ac:dyDescent="0.3">
      <c r="A3072" t="s">
        <v>3199</v>
      </c>
      <c r="B3072" s="1">
        <v>45780</v>
      </c>
      <c r="C3072" t="s">
        <v>90</v>
      </c>
      <c r="D3072">
        <v>18</v>
      </c>
      <c r="E3072" t="s">
        <v>33</v>
      </c>
      <c r="F3072" t="s">
        <v>62</v>
      </c>
      <c r="G3072" t="s">
        <v>130</v>
      </c>
      <c r="H3072" t="s">
        <v>21</v>
      </c>
      <c r="I3072">
        <v>18317</v>
      </c>
      <c r="J3072">
        <v>14869</v>
      </c>
    </row>
    <row r="3073" spans="1:10" x14ac:dyDescent="0.3">
      <c r="A3073" t="s">
        <v>3200</v>
      </c>
      <c r="B3073" s="1">
        <v>45779</v>
      </c>
      <c r="C3073" t="s">
        <v>90</v>
      </c>
      <c r="D3073">
        <v>18</v>
      </c>
      <c r="E3073" t="s">
        <v>61</v>
      </c>
      <c r="F3073" t="s">
        <v>13</v>
      </c>
      <c r="G3073" t="s">
        <v>63</v>
      </c>
      <c r="H3073" t="s">
        <v>36</v>
      </c>
      <c r="I3073">
        <v>32381</v>
      </c>
      <c r="J3073">
        <v>31017</v>
      </c>
    </row>
    <row r="3074" spans="1:10" x14ac:dyDescent="0.3">
      <c r="A3074" t="s">
        <v>3201</v>
      </c>
      <c r="B3074" s="1">
        <v>45800</v>
      </c>
      <c r="C3074" t="s">
        <v>90</v>
      </c>
      <c r="D3074">
        <v>21</v>
      </c>
      <c r="E3074" t="s">
        <v>12</v>
      </c>
      <c r="F3074" t="s">
        <v>50</v>
      </c>
      <c r="G3074" t="s">
        <v>137</v>
      </c>
      <c r="H3074" t="s">
        <v>111</v>
      </c>
      <c r="I3074">
        <v>36730</v>
      </c>
      <c r="J3074">
        <v>44196</v>
      </c>
    </row>
    <row r="3075" spans="1:10" x14ac:dyDescent="0.3">
      <c r="A3075" t="s">
        <v>3202</v>
      </c>
      <c r="B3075" s="1">
        <v>45992</v>
      </c>
      <c r="C3075" t="s">
        <v>100</v>
      </c>
      <c r="D3075">
        <v>49</v>
      </c>
      <c r="E3075" t="s">
        <v>33</v>
      </c>
      <c r="F3075" t="s">
        <v>46</v>
      </c>
      <c r="G3075" t="s">
        <v>324</v>
      </c>
      <c r="H3075" t="s">
        <v>98</v>
      </c>
      <c r="I3075">
        <v>15417</v>
      </c>
      <c r="J3075">
        <v>14869</v>
      </c>
    </row>
    <row r="3076" spans="1:10" x14ac:dyDescent="0.3">
      <c r="A3076" t="s">
        <v>3203</v>
      </c>
      <c r="B3076" s="1">
        <v>45780</v>
      </c>
      <c r="C3076" t="s">
        <v>90</v>
      </c>
      <c r="D3076">
        <v>18</v>
      </c>
      <c r="E3076" t="s">
        <v>39</v>
      </c>
      <c r="F3076" t="s">
        <v>109</v>
      </c>
      <c r="G3076" t="s">
        <v>44</v>
      </c>
      <c r="H3076" t="s">
        <v>151</v>
      </c>
      <c r="I3076">
        <v>31391</v>
      </c>
      <c r="J3076">
        <v>22361</v>
      </c>
    </row>
    <row r="3077" spans="1:10" x14ac:dyDescent="0.3">
      <c r="A3077" t="s">
        <v>3204</v>
      </c>
      <c r="B3077" s="1">
        <v>45890</v>
      </c>
      <c r="C3077" t="s">
        <v>113</v>
      </c>
      <c r="D3077">
        <v>34</v>
      </c>
      <c r="E3077" t="s">
        <v>61</v>
      </c>
      <c r="F3077" t="s">
        <v>140</v>
      </c>
      <c r="G3077" t="s">
        <v>83</v>
      </c>
      <c r="H3077" t="s">
        <v>243</v>
      </c>
      <c r="I3077">
        <v>34456</v>
      </c>
      <c r="J3077">
        <v>31725</v>
      </c>
    </row>
    <row r="3078" spans="1:10" x14ac:dyDescent="0.3">
      <c r="A3078" t="s">
        <v>3205</v>
      </c>
      <c r="B3078" s="1">
        <v>45735</v>
      </c>
      <c r="C3078" t="s">
        <v>95</v>
      </c>
      <c r="D3078">
        <v>12</v>
      </c>
      <c r="E3078" t="s">
        <v>12</v>
      </c>
      <c r="F3078" t="s">
        <v>25</v>
      </c>
      <c r="G3078" t="s">
        <v>63</v>
      </c>
      <c r="H3078" t="s">
        <v>96</v>
      </c>
      <c r="I3078">
        <v>26609</v>
      </c>
      <c r="J3078">
        <v>33290</v>
      </c>
    </row>
    <row r="3079" spans="1:10" x14ac:dyDescent="0.3">
      <c r="A3079" t="s">
        <v>3206</v>
      </c>
      <c r="B3079" s="1">
        <v>45899</v>
      </c>
      <c r="C3079" t="s">
        <v>113</v>
      </c>
      <c r="D3079">
        <v>35</v>
      </c>
      <c r="E3079" t="s">
        <v>33</v>
      </c>
      <c r="F3079" t="s">
        <v>92</v>
      </c>
      <c r="G3079" t="s">
        <v>130</v>
      </c>
      <c r="H3079" t="s">
        <v>103</v>
      </c>
      <c r="I3079">
        <v>35731</v>
      </c>
      <c r="J3079">
        <v>33800</v>
      </c>
    </row>
    <row r="3080" spans="1:10" x14ac:dyDescent="0.3">
      <c r="A3080" t="s">
        <v>3207</v>
      </c>
      <c r="B3080" s="1">
        <v>45927</v>
      </c>
      <c r="C3080" t="s">
        <v>38</v>
      </c>
      <c r="D3080">
        <v>39</v>
      </c>
      <c r="E3080" t="s">
        <v>24</v>
      </c>
      <c r="F3080" t="s">
        <v>13</v>
      </c>
      <c r="G3080" t="s">
        <v>58</v>
      </c>
      <c r="H3080" t="s">
        <v>59</v>
      </c>
      <c r="I3080">
        <v>25701</v>
      </c>
      <c r="J3080">
        <v>30552</v>
      </c>
    </row>
    <row r="3081" spans="1:10" x14ac:dyDescent="0.3">
      <c r="A3081" t="s">
        <v>3208</v>
      </c>
      <c r="B3081" s="1">
        <v>45820</v>
      </c>
      <c r="C3081" t="s">
        <v>74</v>
      </c>
      <c r="D3081">
        <v>24</v>
      </c>
      <c r="E3081" t="s">
        <v>12</v>
      </c>
      <c r="F3081" t="s">
        <v>43</v>
      </c>
      <c r="G3081" t="s">
        <v>266</v>
      </c>
      <c r="H3081" t="s">
        <v>52</v>
      </c>
      <c r="I3081">
        <v>16381</v>
      </c>
      <c r="J3081">
        <v>17813</v>
      </c>
    </row>
    <row r="3082" spans="1:10" x14ac:dyDescent="0.3">
      <c r="A3082" t="s">
        <v>3209</v>
      </c>
      <c r="B3082" s="1">
        <v>45691</v>
      </c>
      <c r="C3082" t="s">
        <v>82</v>
      </c>
      <c r="D3082">
        <v>6</v>
      </c>
      <c r="E3082" t="s">
        <v>12</v>
      </c>
      <c r="F3082" t="s">
        <v>78</v>
      </c>
      <c r="G3082" t="s">
        <v>93</v>
      </c>
      <c r="H3082" t="s">
        <v>96</v>
      </c>
      <c r="I3082">
        <v>19461</v>
      </c>
      <c r="J3082">
        <v>18474</v>
      </c>
    </row>
    <row r="3083" spans="1:10" x14ac:dyDescent="0.3">
      <c r="A3083" t="s">
        <v>3210</v>
      </c>
      <c r="B3083" s="1">
        <v>45672</v>
      </c>
      <c r="C3083" t="s">
        <v>17</v>
      </c>
      <c r="D3083">
        <v>3</v>
      </c>
      <c r="E3083" t="s">
        <v>18</v>
      </c>
      <c r="F3083" t="s">
        <v>29</v>
      </c>
      <c r="G3083" t="s">
        <v>147</v>
      </c>
      <c r="H3083" t="s">
        <v>243</v>
      </c>
      <c r="I3083">
        <v>32707</v>
      </c>
      <c r="J3083">
        <v>32477</v>
      </c>
    </row>
    <row r="3084" spans="1:10" x14ac:dyDescent="0.3">
      <c r="A3084" t="s">
        <v>3211</v>
      </c>
      <c r="B3084" s="1">
        <v>45976</v>
      </c>
      <c r="C3084" t="s">
        <v>23</v>
      </c>
      <c r="D3084">
        <v>46</v>
      </c>
      <c r="E3084" t="s">
        <v>12</v>
      </c>
      <c r="F3084" t="s">
        <v>114</v>
      </c>
      <c r="G3084" t="s">
        <v>132</v>
      </c>
      <c r="H3084" t="s">
        <v>98</v>
      </c>
      <c r="I3084">
        <v>35346</v>
      </c>
      <c r="J3084">
        <v>34166</v>
      </c>
    </row>
    <row r="3085" spans="1:10" x14ac:dyDescent="0.3">
      <c r="A3085" t="s">
        <v>3212</v>
      </c>
      <c r="B3085" s="1">
        <v>46003</v>
      </c>
      <c r="C3085" t="s">
        <v>100</v>
      </c>
      <c r="D3085">
        <v>50</v>
      </c>
      <c r="E3085" t="s">
        <v>33</v>
      </c>
      <c r="F3085" t="s">
        <v>25</v>
      </c>
      <c r="G3085" t="s">
        <v>199</v>
      </c>
      <c r="H3085" t="s">
        <v>27</v>
      </c>
      <c r="I3085">
        <v>29668</v>
      </c>
      <c r="J3085">
        <v>38038</v>
      </c>
    </row>
    <row r="3086" spans="1:10" x14ac:dyDescent="0.3">
      <c r="A3086" t="s">
        <v>3213</v>
      </c>
      <c r="B3086" s="1">
        <v>45751</v>
      </c>
      <c r="C3086" t="s">
        <v>86</v>
      </c>
      <c r="D3086">
        <v>14</v>
      </c>
      <c r="E3086" t="s">
        <v>39</v>
      </c>
      <c r="F3086" t="s">
        <v>75</v>
      </c>
      <c r="G3086" t="s">
        <v>51</v>
      </c>
      <c r="H3086" t="s">
        <v>64</v>
      </c>
      <c r="I3086">
        <v>28873</v>
      </c>
      <c r="J3086">
        <v>34305</v>
      </c>
    </row>
    <row r="3087" spans="1:10" x14ac:dyDescent="0.3">
      <c r="A3087" t="s">
        <v>3214</v>
      </c>
      <c r="B3087" s="1">
        <v>45877</v>
      </c>
      <c r="C3087" t="s">
        <v>113</v>
      </c>
      <c r="D3087">
        <v>32</v>
      </c>
      <c r="E3087" t="s">
        <v>39</v>
      </c>
      <c r="F3087" t="s">
        <v>101</v>
      </c>
      <c r="G3087" t="s">
        <v>76</v>
      </c>
      <c r="H3087" t="s">
        <v>55</v>
      </c>
      <c r="I3087">
        <v>27128</v>
      </c>
      <c r="J3087">
        <v>21794</v>
      </c>
    </row>
    <row r="3088" spans="1:10" x14ac:dyDescent="0.3">
      <c r="A3088" t="s">
        <v>3215</v>
      </c>
      <c r="B3088" s="1">
        <v>45987</v>
      </c>
      <c r="C3088" t="s">
        <v>23</v>
      </c>
      <c r="D3088">
        <v>48</v>
      </c>
      <c r="E3088" t="s">
        <v>12</v>
      </c>
      <c r="F3088" t="s">
        <v>101</v>
      </c>
      <c r="G3088" t="s">
        <v>132</v>
      </c>
      <c r="H3088" t="s">
        <v>84</v>
      </c>
      <c r="I3088">
        <v>29390</v>
      </c>
      <c r="J3088">
        <v>28354</v>
      </c>
    </row>
    <row r="3089" spans="1:10" x14ac:dyDescent="0.3">
      <c r="A3089" t="s">
        <v>3216</v>
      </c>
      <c r="B3089" s="1">
        <v>45750</v>
      </c>
      <c r="C3089" t="s">
        <v>86</v>
      </c>
      <c r="D3089">
        <v>14</v>
      </c>
      <c r="E3089" t="s">
        <v>39</v>
      </c>
      <c r="F3089" t="s">
        <v>92</v>
      </c>
      <c r="G3089" t="s">
        <v>110</v>
      </c>
      <c r="H3089" t="s">
        <v>123</v>
      </c>
      <c r="I3089">
        <v>29611</v>
      </c>
      <c r="J3089">
        <v>27132</v>
      </c>
    </row>
    <row r="3090" spans="1:10" x14ac:dyDescent="0.3">
      <c r="A3090" t="s">
        <v>3217</v>
      </c>
      <c r="B3090" s="1">
        <v>45835</v>
      </c>
      <c r="C3090" t="s">
        <v>74</v>
      </c>
      <c r="D3090">
        <v>26</v>
      </c>
      <c r="E3090" t="s">
        <v>61</v>
      </c>
      <c r="F3090" t="s">
        <v>29</v>
      </c>
      <c r="G3090" t="s">
        <v>130</v>
      </c>
      <c r="H3090" t="s">
        <v>21</v>
      </c>
      <c r="I3090">
        <v>18118</v>
      </c>
      <c r="J3090">
        <v>13866</v>
      </c>
    </row>
    <row r="3091" spans="1:10" x14ac:dyDescent="0.3">
      <c r="A3091" t="s">
        <v>3218</v>
      </c>
      <c r="B3091" s="1">
        <v>45958</v>
      </c>
      <c r="C3091" t="s">
        <v>66</v>
      </c>
      <c r="D3091">
        <v>44</v>
      </c>
      <c r="E3091" t="s">
        <v>24</v>
      </c>
      <c r="F3091" t="s">
        <v>43</v>
      </c>
      <c r="G3091" t="s">
        <v>171</v>
      </c>
      <c r="H3091" t="s">
        <v>116</v>
      </c>
      <c r="I3091">
        <v>20841</v>
      </c>
      <c r="J3091">
        <v>24556</v>
      </c>
    </row>
    <row r="3092" spans="1:10" x14ac:dyDescent="0.3">
      <c r="A3092" t="s">
        <v>3219</v>
      </c>
      <c r="B3092" s="1">
        <v>45999</v>
      </c>
      <c r="C3092" t="s">
        <v>100</v>
      </c>
      <c r="D3092">
        <v>50</v>
      </c>
      <c r="E3092" t="s">
        <v>12</v>
      </c>
      <c r="F3092" t="s">
        <v>122</v>
      </c>
      <c r="G3092" t="s">
        <v>199</v>
      </c>
      <c r="H3092" t="s">
        <v>116</v>
      </c>
      <c r="I3092">
        <v>39551</v>
      </c>
      <c r="J3092">
        <v>31847</v>
      </c>
    </row>
    <row r="3093" spans="1:10" x14ac:dyDescent="0.3">
      <c r="A3093" t="s">
        <v>3220</v>
      </c>
      <c r="B3093" s="1">
        <v>45816</v>
      </c>
      <c r="C3093" t="s">
        <v>74</v>
      </c>
      <c r="D3093">
        <v>23</v>
      </c>
      <c r="E3093" t="s">
        <v>39</v>
      </c>
      <c r="F3093" t="s">
        <v>25</v>
      </c>
      <c r="G3093" t="s">
        <v>51</v>
      </c>
      <c r="H3093" t="s">
        <v>31</v>
      </c>
      <c r="I3093">
        <v>31220</v>
      </c>
      <c r="J3093">
        <v>23689</v>
      </c>
    </row>
    <row r="3094" spans="1:10" x14ac:dyDescent="0.3">
      <c r="A3094" t="s">
        <v>3221</v>
      </c>
      <c r="B3094" s="1">
        <v>45756</v>
      </c>
      <c r="C3094" t="s">
        <v>86</v>
      </c>
      <c r="D3094">
        <v>15</v>
      </c>
      <c r="E3094" t="s">
        <v>61</v>
      </c>
      <c r="F3094" t="s">
        <v>25</v>
      </c>
      <c r="G3094" t="s">
        <v>44</v>
      </c>
      <c r="H3094" t="s">
        <v>27</v>
      </c>
      <c r="I3094">
        <v>39590</v>
      </c>
      <c r="J3094">
        <v>46523</v>
      </c>
    </row>
    <row r="3095" spans="1:10" x14ac:dyDescent="0.3">
      <c r="A3095" t="s">
        <v>3222</v>
      </c>
      <c r="B3095" s="1">
        <v>46017</v>
      </c>
      <c r="C3095" t="s">
        <v>100</v>
      </c>
      <c r="D3095">
        <v>52</v>
      </c>
      <c r="E3095" t="s">
        <v>39</v>
      </c>
      <c r="F3095" t="s">
        <v>50</v>
      </c>
      <c r="G3095" t="s">
        <v>79</v>
      </c>
      <c r="H3095" t="s">
        <v>98</v>
      </c>
      <c r="I3095">
        <v>38518</v>
      </c>
      <c r="J3095">
        <v>42524</v>
      </c>
    </row>
    <row r="3096" spans="1:10" x14ac:dyDescent="0.3">
      <c r="A3096" t="s">
        <v>3223</v>
      </c>
      <c r="B3096" s="1">
        <v>45954</v>
      </c>
      <c r="C3096" t="s">
        <v>66</v>
      </c>
      <c r="D3096">
        <v>43</v>
      </c>
      <c r="E3096" t="s">
        <v>61</v>
      </c>
      <c r="F3096" t="s">
        <v>101</v>
      </c>
      <c r="G3096" t="s">
        <v>14</v>
      </c>
      <c r="H3096" t="s">
        <v>80</v>
      </c>
      <c r="I3096">
        <v>19163</v>
      </c>
      <c r="J3096">
        <v>15281</v>
      </c>
    </row>
    <row r="3097" spans="1:10" x14ac:dyDescent="0.3">
      <c r="A3097" t="s">
        <v>3224</v>
      </c>
      <c r="B3097" s="1">
        <v>45666</v>
      </c>
      <c r="C3097" t="s">
        <v>17</v>
      </c>
      <c r="D3097">
        <v>2</v>
      </c>
      <c r="E3097" t="s">
        <v>12</v>
      </c>
      <c r="F3097" t="s">
        <v>43</v>
      </c>
      <c r="G3097" t="s">
        <v>30</v>
      </c>
      <c r="H3097" t="s">
        <v>80</v>
      </c>
      <c r="I3097">
        <v>23992</v>
      </c>
      <c r="J3097">
        <v>20472</v>
      </c>
    </row>
    <row r="3098" spans="1:10" x14ac:dyDescent="0.3">
      <c r="A3098" t="s">
        <v>3225</v>
      </c>
      <c r="B3098" s="1">
        <v>45818</v>
      </c>
      <c r="C3098" t="s">
        <v>74</v>
      </c>
      <c r="D3098">
        <v>24</v>
      </c>
      <c r="E3098" t="s">
        <v>18</v>
      </c>
      <c r="F3098" t="s">
        <v>57</v>
      </c>
      <c r="G3098" t="s">
        <v>191</v>
      </c>
      <c r="H3098" t="s">
        <v>27</v>
      </c>
      <c r="I3098">
        <v>21288</v>
      </c>
      <c r="J3098">
        <v>23494</v>
      </c>
    </row>
    <row r="3099" spans="1:10" x14ac:dyDescent="0.3">
      <c r="A3099" t="s">
        <v>3226</v>
      </c>
      <c r="B3099" s="1">
        <v>45695</v>
      </c>
      <c r="C3099" t="s">
        <v>82</v>
      </c>
      <c r="D3099">
        <v>6</v>
      </c>
      <c r="E3099" t="s">
        <v>33</v>
      </c>
      <c r="F3099" t="s">
        <v>122</v>
      </c>
      <c r="G3099" t="s">
        <v>240</v>
      </c>
      <c r="H3099" t="s">
        <v>84</v>
      </c>
      <c r="I3099">
        <v>25974</v>
      </c>
      <c r="J3099">
        <v>33282</v>
      </c>
    </row>
    <row r="3100" spans="1:10" x14ac:dyDescent="0.3">
      <c r="A3100" t="s">
        <v>3227</v>
      </c>
      <c r="B3100" s="1">
        <v>45718</v>
      </c>
      <c r="C3100" t="s">
        <v>95</v>
      </c>
      <c r="D3100">
        <v>9</v>
      </c>
      <c r="E3100" t="s">
        <v>12</v>
      </c>
      <c r="F3100" t="s">
        <v>87</v>
      </c>
      <c r="G3100" t="s">
        <v>128</v>
      </c>
      <c r="H3100" t="s">
        <v>211</v>
      </c>
      <c r="I3100">
        <v>17909</v>
      </c>
      <c r="J3100">
        <v>22869</v>
      </c>
    </row>
    <row r="3101" spans="1:10" x14ac:dyDescent="0.3">
      <c r="A3101" t="s">
        <v>3228</v>
      </c>
      <c r="B3101" s="1">
        <v>45772</v>
      </c>
      <c r="C3101" t="s">
        <v>86</v>
      </c>
      <c r="D3101">
        <v>17</v>
      </c>
      <c r="E3101" t="s">
        <v>24</v>
      </c>
      <c r="F3101" t="s">
        <v>193</v>
      </c>
      <c r="G3101" t="s">
        <v>88</v>
      </c>
      <c r="H3101" t="s">
        <v>133</v>
      </c>
      <c r="I3101">
        <v>28998</v>
      </c>
      <c r="J3101">
        <v>30280</v>
      </c>
    </row>
    <row r="3102" spans="1:10" x14ac:dyDescent="0.3">
      <c r="A3102" t="s">
        <v>3229</v>
      </c>
      <c r="B3102" s="1">
        <v>45950</v>
      </c>
      <c r="C3102" t="s">
        <v>66</v>
      </c>
      <c r="D3102">
        <v>43</v>
      </c>
      <c r="E3102" t="s">
        <v>12</v>
      </c>
      <c r="F3102" t="s">
        <v>43</v>
      </c>
      <c r="G3102" t="s">
        <v>234</v>
      </c>
      <c r="H3102" t="s">
        <v>157</v>
      </c>
      <c r="I3102">
        <v>24663</v>
      </c>
      <c r="J3102">
        <v>27526</v>
      </c>
    </row>
    <row r="3103" spans="1:10" x14ac:dyDescent="0.3">
      <c r="A3103" t="s">
        <v>3230</v>
      </c>
      <c r="B3103" s="1">
        <v>45734</v>
      </c>
      <c r="C3103" t="s">
        <v>95</v>
      </c>
      <c r="D3103">
        <v>12</v>
      </c>
      <c r="E3103" t="s">
        <v>61</v>
      </c>
      <c r="F3103" t="s">
        <v>122</v>
      </c>
      <c r="G3103" t="s">
        <v>137</v>
      </c>
      <c r="H3103" t="s">
        <v>64</v>
      </c>
      <c r="I3103">
        <v>21664</v>
      </c>
      <c r="J3103">
        <v>25193</v>
      </c>
    </row>
    <row r="3104" spans="1:10" x14ac:dyDescent="0.3">
      <c r="A3104" t="s">
        <v>3231</v>
      </c>
      <c r="B3104" s="1">
        <v>45813</v>
      </c>
      <c r="C3104" t="s">
        <v>74</v>
      </c>
      <c r="D3104">
        <v>23</v>
      </c>
      <c r="E3104" t="s">
        <v>24</v>
      </c>
      <c r="F3104" t="s">
        <v>92</v>
      </c>
      <c r="G3104" t="s">
        <v>58</v>
      </c>
      <c r="H3104" t="s">
        <v>151</v>
      </c>
      <c r="I3104">
        <v>31891</v>
      </c>
      <c r="J3104">
        <v>40250</v>
      </c>
    </row>
    <row r="3105" spans="1:10" x14ac:dyDescent="0.3">
      <c r="A3105" t="s">
        <v>3232</v>
      </c>
      <c r="B3105" s="1">
        <v>45698</v>
      </c>
      <c r="C3105" t="s">
        <v>82</v>
      </c>
      <c r="D3105">
        <v>7</v>
      </c>
      <c r="E3105" t="s">
        <v>70</v>
      </c>
      <c r="F3105" t="s">
        <v>78</v>
      </c>
      <c r="G3105" t="s">
        <v>107</v>
      </c>
      <c r="H3105" t="s">
        <v>68</v>
      </c>
      <c r="I3105">
        <v>20452</v>
      </c>
      <c r="J3105">
        <v>25417</v>
      </c>
    </row>
    <row r="3106" spans="1:10" x14ac:dyDescent="0.3">
      <c r="A3106" t="s">
        <v>3233</v>
      </c>
      <c r="B3106" s="1">
        <v>45691</v>
      </c>
      <c r="C3106" t="s">
        <v>82</v>
      </c>
      <c r="D3106">
        <v>6</v>
      </c>
      <c r="E3106" t="s">
        <v>33</v>
      </c>
      <c r="F3106" t="s">
        <v>34</v>
      </c>
      <c r="G3106" t="s">
        <v>110</v>
      </c>
      <c r="H3106" t="s">
        <v>116</v>
      </c>
      <c r="I3106">
        <v>29908</v>
      </c>
      <c r="J3106">
        <v>25315</v>
      </c>
    </row>
    <row r="3107" spans="1:10" x14ac:dyDescent="0.3">
      <c r="A3107" t="s">
        <v>3234</v>
      </c>
      <c r="B3107" s="1">
        <v>45961</v>
      </c>
      <c r="C3107" t="s">
        <v>66</v>
      </c>
      <c r="D3107">
        <v>44</v>
      </c>
      <c r="E3107" t="s">
        <v>39</v>
      </c>
      <c r="F3107" t="s">
        <v>109</v>
      </c>
      <c r="G3107" t="s">
        <v>324</v>
      </c>
      <c r="H3107" t="s">
        <v>155</v>
      </c>
      <c r="I3107">
        <v>30621</v>
      </c>
      <c r="J3107">
        <v>32680</v>
      </c>
    </row>
    <row r="3108" spans="1:10" x14ac:dyDescent="0.3">
      <c r="A3108" t="s">
        <v>3235</v>
      </c>
      <c r="B3108" s="1">
        <v>45707</v>
      </c>
      <c r="C3108" t="s">
        <v>82</v>
      </c>
      <c r="D3108">
        <v>8</v>
      </c>
      <c r="E3108" t="s">
        <v>39</v>
      </c>
      <c r="F3108" t="s">
        <v>92</v>
      </c>
      <c r="G3108" t="s">
        <v>291</v>
      </c>
      <c r="H3108" t="s">
        <v>64</v>
      </c>
      <c r="I3108">
        <v>31823</v>
      </c>
      <c r="J3108">
        <v>30282</v>
      </c>
    </row>
    <row r="3109" spans="1:10" x14ac:dyDescent="0.3">
      <c r="A3109" t="s">
        <v>3236</v>
      </c>
      <c r="B3109" s="1">
        <v>45934</v>
      </c>
      <c r="C3109" t="s">
        <v>66</v>
      </c>
      <c r="D3109">
        <v>40</v>
      </c>
      <c r="E3109" t="s">
        <v>61</v>
      </c>
      <c r="F3109" t="s">
        <v>92</v>
      </c>
      <c r="G3109" t="s">
        <v>83</v>
      </c>
      <c r="H3109" t="s">
        <v>133</v>
      </c>
      <c r="I3109">
        <v>28002</v>
      </c>
      <c r="J3109">
        <v>23381</v>
      </c>
    </row>
    <row r="3110" spans="1:10" x14ac:dyDescent="0.3">
      <c r="A3110" t="s">
        <v>3237</v>
      </c>
      <c r="B3110" s="1">
        <v>45815</v>
      </c>
      <c r="C3110" t="s">
        <v>74</v>
      </c>
      <c r="D3110">
        <v>23</v>
      </c>
      <c r="E3110" t="s">
        <v>24</v>
      </c>
      <c r="F3110" t="s">
        <v>75</v>
      </c>
      <c r="G3110" t="s">
        <v>199</v>
      </c>
      <c r="H3110" t="s">
        <v>96</v>
      </c>
      <c r="I3110">
        <v>35911</v>
      </c>
      <c r="J3110">
        <v>42264</v>
      </c>
    </row>
    <row r="3111" spans="1:10" x14ac:dyDescent="0.3">
      <c r="A3111" t="s">
        <v>3238</v>
      </c>
      <c r="B3111" s="1">
        <v>45867</v>
      </c>
      <c r="C3111" t="s">
        <v>11</v>
      </c>
      <c r="D3111">
        <v>31</v>
      </c>
      <c r="E3111" t="s">
        <v>24</v>
      </c>
      <c r="F3111" t="s">
        <v>109</v>
      </c>
      <c r="G3111" t="s">
        <v>326</v>
      </c>
      <c r="H3111" t="s">
        <v>111</v>
      </c>
      <c r="I3111">
        <v>30345</v>
      </c>
      <c r="J3111">
        <v>24595</v>
      </c>
    </row>
    <row r="3112" spans="1:10" x14ac:dyDescent="0.3">
      <c r="A3112" t="s">
        <v>3239</v>
      </c>
      <c r="B3112" s="1">
        <v>45737</v>
      </c>
      <c r="C3112" t="s">
        <v>95</v>
      </c>
      <c r="D3112">
        <v>12</v>
      </c>
      <c r="E3112" t="s">
        <v>70</v>
      </c>
      <c r="F3112" t="s">
        <v>140</v>
      </c>
      <c r="G3112" t="s">
        <v>132</v>
      </c>
      <c r="H3112" t="s">
        <v>165</v>
      </c>
      <c r="I3112">
        <v>27496</v>
      </c>
      <c r="J3112">
        <v>31267</v>
      </c>
    </row>
    <row r="3113" spans="1:10" x14ac:dyDescent="0.3">
      <c r="A3113" t="s">
        <v>3240</v>
      </c>
      <c r="B3113" s="1">
        <v>45999</v>
      </c>
      <c r="C3113" t="s">
        <v>100</v>
      </c>
      <c r="D3113">
        <v>50</v>
      </c>
      <c r="E3113" t="s">
        <v>61</v>
      </c>
      <c r="F3113" t="s">
        <v>193</v>
      </c>
      <c r="G3113" t="s">
        <v>51</v>
      </c>
      <c r="H3113" t="s">
        <v>155</v>
      </c>
      <c r="I3113">
        <v>21630</v>
      </c>
      <c r="J3113">
        <v>23497</v>
      </c>
    </row>
    <row r="3114" spans="1:10" x14ac:dyDescent="0.3">
      <c r="A3114" t="s">
        <v>3241</v>
      </c>
      <c r="B3114" s="1">
        <v>45948</v>
      </c>
      <c r="C3114" t="s">
        <v>66</v>
      </c>
      <c r="D3114">
        <v>42</v>
      </c>
      <c r="E3114" t="s">
        <v>12</v>
      </c>
      <c r="F3114" t="s">
        <v>29</v>
      </c>
      <c r="G3114" t="s">
        <v>83</v>
      </c>
      <c r="H3114" t="s">
        <v>133</v>
      </c>
      <c r="I3114">
        <v>17014</v>
      </c>
      <c r="J3114">
        <v>21193</v>
      </c>
    </row>
    <row r="3115" spans="1:10" x14ac:dyDescent="0.3">
      <c r="A3115" t="s">
        <v>3242</v>
      </c>
      <c r="B3115" s="1">
        <v>45755</v>
      </c>
      <c r="C3115" t="s">
        <v>86</v>
      </c>
      <c r="D3115">
        <v>15</v>
      </c>
      <c r="E3115" t="s">
        <v>18</v>
      </c>
      <c r="F3115" t="s">
        <v>43</v>
      </c>
      <c r="G3115" t="s">
        <v>206</v>
      </c>
      <c r="H3115" t="s">
        <v>119</v>
      </c>
      <c r="I3115">
        <v>39523</v>
      </c>
      <c r="J3115">
        <v>48696</v>
      </c>
    </row>
    <row r="3116" spans="1:10" x14ac:dyDescent="0.3">
      <c r="A3116" t="s">
        <v>3243</v>
      </c>
      <c r="B3116" s="1">
        <v>45801</v>
      </c>
      <c r="C3116" t="s">
        <v>90</v>
      </c>
      <c r="D3116">
        <v>21</v>
      </c>
      <c r="E3116" t="s">
        <v>12</v>
      </c>
      <c r="F3116" t="s">
        <v>19</v>
      </c>
      <c r="G3116" t="s">
        <v>145</v>
      </c>
      <c r="H3116" t="s">
        <v>155</v>
      </c>
      <c r="I3116">
        <v>19317</v>
      </c>
      <c r="J3116">
        <v>16336</v>
      </c>
    </row>
    <row r="3117" spans="1:10" x14ac:dyDescent="0.3">
      <c r="A3117" t="s">
        <v>3244</v>
      </c>
      <c r="B3117" s="1">
        <v>45948</v>
      </c>
      <c r="C3117" t="s">
        <v>66</v>
      </c>
      <c r="D3117">
        <v>42</v>
      </c>
      <c r="E3117" t="s">
        <v>18</v>
      </c>
      <c r="F3117" t="s">
        <v>87</v>
      </c>
      <c r="G3117" t="s">
        <v>201</v>
      </c>
      <c r="H3117" t="s">
        <v>103</v>
      </c>
      <c r="I3117">
        <v>16571</v>
      </c>
      <c r="J3117">
        <v>15936</v>
      </c>
    </row>
    <row r="3118" spans="1:10" x14ac:dyDescent="0.3">
      <c r="A3118" t="s">
        <v>3245</v>
      </c>
      <c r="B3118" s="1">
        <v>45965</v>
      </c>
      <c r="C3118" t="s">
        <v>23</v>
      </c>
      <c r="D3118">
        <v>45</v>
      </c>
      <c r="E3118" t="s">
        <v>24</v>
      </c>
      <c r="F3118" t="s">
        <v>29</v>
      </c>
      <c r="G3118" t="s">
        <v>171</v>
      </c>
      <c r="H3118" t="s">
        <v>21</v>
      </c>
      <c r="I3118">
        <v>23099</v>
      </c>
      <c r="J3118">
        <v>18574</v>
      </c>
    </row>
    <row r="3119" spans="1:10" x14ac:dyDescent="0.3">
      <c r="A3119" t="s">
        <v>3246</v>
      </c>
      <c r="B3119" s="1">
        <v>45726</v>
      </c>
      <c r="C3119" t="s">
        <v>95</v>
      </c>
      <c r="D3119">
        <v>11</v>
      </c>
      <c r="E3119" t="s">
        <v>33</v>
      </c>
      <c r="F3119" t="s">
        <v>109</v>
      </c>
      <c r="G3119" t="s">
        <v>137</v>
      </c>
      <c r="H3119" t="s">
        <v>68</v>
      </c>
      <c r="I3119">
        <v>39990</v>
      </c>
      <c r="J3119">
        <v>35425</v>
      </c>
    </row>
    <row r="3120" spans="1:10" x14ac:dyDescent="0.3">
      <c r="A3120" t="s">
        <v>3247</v>
      </c>
      <c r="B3120" s="1">
        <v>45975</v>
      </c>
      <c r="C3120" t="s">
        <v>23</v>
      </c>
      <c r="D3120">
        <v>46</v>
      </c>
      <c r="E3120" t="s">
        <v>18</v>
      </c>
      <c r="F3120" t="s">
        <v>50</v>
      </c>
      <c r="G3120" t="s">
        <v>149</v>
      </c>
      <c r="H3120" t="s">
        <v>80</v>
      </c>
      <c r="I3120">
        <v>29827</v>
      </c>
      <c r="J3120">
        <v>24468</v>
      </c>
    </row>
    <row r="3121" spans="1:10" x14ac:dyDescent="0.3">
      <c r="A3121" t="s">
        <v>3248</v>
      </c>
      <c r="B3121" s="1">
        <v>45796</v>
      </c>
      <c r="C3121" t="s">
        <v>90</v>
      </c>
      <c r="D3121">
        <v>21</v>
      </c>
      <c r="E3121" t="s">
        <v>24</v>
      </c>
      <c r="F3121" t="s">
        <v>114</v>
      </c>
      <c r="G3121" t="s">
        <v>145</v>
      </c>
      <c r="H3121" t="s">
        <v>55</v>
      </c>
      <c r="I3121">
        <v>37173</v>
      </c>
      <c r="J3121">
        <v>47921</v>
      </c>
    </row>
    <row r="3122" spans="1:10" x14ac:dyDescent="0.3">
      <c r="A3122" t="s">
        <v>3249</v>
      </c>
      <c r="B3122" s="1">
        <v>46017</v>
      </c>
      <c r="C3122" t="s">
        <v>100</v>
      </c>
      <c r="D3122">
        <v>52</v>
      </c>
      <c r="E3122" t="s">
        <v>33</v>
      </c>
      <c r="F3122" t="s">
        <v>13</v>
      </c>
      <c r="G3122" t="s">
        <v>44</v>
      </c>
      <c r="H3122" t="s">
        <v>119</v>
      </c>
      <c r="I3122">
        <v>32021</v>
      </c>
      <c r="J3122">
        <v>25885</v>
      </c>
    </row>
    <row r="3123" spans="1:10" x14ac:dyDescent="0.3">
      <c r="A3123" t="s">
        <v>3250</v>
      </c>
      <c r="B3123" s="1">
        <v>45839</v>
      </c>
      <c r="C3123" t="s">
        <v>11</v>
      </c>
      <c r="D3123">
        <v>27</v>
      </c>
      <c r="E3123" t="s">
        <v>33</v>
      </c>
      <c r="F3123" t="s">
        <v>62</v>
      </c>
      <c r="G3123" t="s">
        <v>72</v>
      </c>
      <c r="H3123" t="s">
        <v>59</v>
      </c>
      <c r="I3123">
        <v>32755</v>
      </c>
      <c r="J3123">
        <v>32172</v>
      </c>
    </row>
    <row r="3124" spans="1:10" x14ac:dyDescent="0.3">
      <c r="A3124" t="s">
        <v>3251</v>
      </c>
      <c r="B3124" s="1">
        <v>45879</v>
      </c>
      <c r="C3124" t="s">
        <v>113</v>
      </c>
      <c r="D3124">
        <v>32</v>
      </c>
      <c r="E3124" t="s">
        <v>39</v>
      </c>
      <c r="F3124" t="s">
        <v>50</v>
      </c>
      <c r="G3124" t="s">
        <v>141</v>
      </c>
      <c r="H3124" t="s">
        <v>48</v>
      </c>
      <c r="I3124">
        <v>23026</v>
      </c>
      <c r="J3124">
        <v>28735</v>
      </c>
    </row>
    <row r="3125" spans="1:10" x14ac:dyDescent="0.3">
      <c r="A3125" t="s">
        <v>3252</v>
      </c>
      <c r="B3125" s="1">
        <v>45927</v>
      </c>
      <c r="C3125" t="s">
        <v>38</v>
      </c>
      <c r="D3125">
        <v>39</v>
      </c>
      <c r="E3125" t="s">
        <v>33</v>
      </c>
      <c r="F3125" t="s">
        <v>29</v>
      </c>
      <c r="G3125" t="s">
        <v>224</v>
      </c>
      <c r="H3125" t="s">
        <v>52</v>
      </c>
      <c r="I3125">
        <v>18356</v>
      </c>
      <c r="J3125">
        <v>14307</v>
      </c>
    </row>
    <row r="3126" spans="1:10" x14ac:dyDescent="0.3">
      <c r="A3126" t="s">
        <v>3253</v>
      </c>
      <c r="B3126" s="1">
        <v>45895</v>
      </c>
      <c r="C3126" t="s">
        <v>113</v>
      </c>
      <c r="D3126">
        <v>35</v>
      </c>
      <c r="E3126" t="s">
        <v>39</v>
      </c>
      <c r="F3126" t="s">
        <v>19</v>
      </c>
      <c r="G3126" t="s">
        <v>20</v>
      </c>
      <c r="H3126" t="s">
        <v>165</v>
      </c>
      <c r="I3126">
        <v>17325</v>
      </c>
      <c r="J3126">
        <v>19562</v>
      </c>
    </row>
    <row r="3127" spans="1:10" x14ac:dyDescent="0.3">
      <c r="A3127" t="s">
        <v>3254</v>
      </c>
      <c r="B3127" s="1">
        <v>45779</v>
      </c>
      <c r="C3127" t="s">
        <v>90</v>
      </c>
      <c r="D3127">
        <v>18</v>
      </c>
      <c r="E3127" t="s">
        <v>12</v>
      </c>
      <c r="F3127" t="s">
        <v>57</v>
      </c>
      <c r="G3127" t="s">
        <v>26</v>
      </c>
      <c r="H3127" t="s">
        <v>165</v>
      </c>
      <c r="I3127">
        <v>34481</v>
      </c>
      <c r="J3127">
        <v>32795</v>
      </c>
    </row>
    <row r="3128" spans="1:10" x14ac:dyDescent="0.3">
      <c r="A3128" t="s">
        <v>3255</v>
      </c>
      <c r="B3128" s="1">
        <v>45787</v>
      </c>
      <c r="C3128" t="s">
        <v>90</v>
      </c>
      <c r="D3128">
        <v>19</v>
      </c>
      <c r="E3128" t="s">
        <v>18</v>
      </c>
      <c r="F3128" t="s">
        <v>43</v>
      </c>
      <c r="G3128" t="s">
        <v>93</v>
      </c>
      <c r="H3128" t="s">
        <v>188</v>
      </c>
      <c r="I3128">
        <v>32116</v>
      </c>
      <c r="J3128">
        <v>39543</v>
      </c>
    </row>
    <row r="3129" spans="1:10" x14ac:dyDescent="0.3">
      <c r="A3129" t="s">
        <v>3256</v>
      </c>
      <c r="B3129" s="1">
        <v>45839</v>
      </c>
      <c r="C3129" t="s">
        <v>11</v>
      </c>
      <c r="D3129">
        <v>27</v>
      </c>
      <c r="E3129" t="s">
        <v>33</v>
      </c>
      <c r="F3129" t="s">
        <v>43</v>
      </c>
      <c r="G3129" t="s">
        <v>44</v>
      </c>
      <c r="H3129" t="s">
        <v>243</v>
      </c>
      <c r="I3129">
        <v>29879</v>
      </c>
      <c r="J3129">
        <v>22831</v>
      </c>
    </row>
    <row r="3130" spans="1:10" x14ac:dyDescent="0.3">
      <c r="A3130" t="s">
        <v>3257</v>
      </c>
      <c r="B3130" s="1">
        <v>45754</v>
      </c>
      <c r="C3130" t="s">
        <v>86</v>
      </c>
      <c r="D3130">
        <v>15</v>
      </c>
      <c r="E3130" t="s">
        <v>12</v>
      </c>
      <c r="F3130" t="s">
        <v>87</v>
      </c>
      <c r="G3130" t="s">
        <v>30</v>
      </c>
      <c r="H3130" t="s">
        <v>243</v>
      </c>
      <c r="I3130">
        <v>35669</v>
      </c>
      <c r="J3130">
        <v>41021</v>
      </c>
    </row>
    <row r="3131" spans="1:10" x14ac:dyDescent="0.3">
      <c r="A3131" t="s">
        <v>3258</v>
      </c>
      <c r="B3131" s="1">
        <v>45754</v>
      </c>
      <c r="C3131" t="s">
        <v>86</v>
      </c>
      <c r="D3131">
        <v>15</v>
      </c>
      <c r="E3131" t="s">
        <v>70</v>
      </c>
      <c r="F3131" t="s">
        <v>19</v>
      </c>
      <c r="G3131" t="s">
        <v>40</v>
      </c>
      <c r="H3131" t="s">
        <v>80</v>
      </c>
      <c r="I3131">
        <v>15841</v>
      </c>
      <c r="J3131">
        <v>16939</v>
      </c>
    </row>
    <row r="3132" spans="1:10" x14ac:dyDescent="0.3">
      <c r="A3132" t="s">
        <v>3259</v>
      </c>
      <c r="B3132" s="1">
        <v>45872</v>
      </c>
      <c r="C3132" t="s">
        <v>113</v>
      </c>
      <c r="D3132">
        <v>31</v>
      </c>
      <c r="E3132" t="s">
        <v>33</v>
      </c>
      <c r="F3132" t="s">
        <v>75</v>
      </c>
      <c r="G3132" t="s">
        <v>102</v>
      </c>
      <c r="H3132" t="s">
        <v>68</v>
      </c>
      <c r="I3132">
        <v>29333</v>
      </c>
      <c r="J3132">
        <v>36377</v>
      </c>
    </row>
    <row r="3133" spans="1:10" x14ac:dyDescent="0.3">
      <c r="A3133" t="s">
        <v>3260</v>
      </c>
      <c r="B3133" s="1">
        <v>45781</v>
      </c>
      <c r="C3133" t="s">
        <v>90</v>
      </c>
      <c r="D3133">
        <v>18</v>
      </c>
      <c r="E3133" t="s">
        <v>33</v>
      </c>
      <c r="F3133" t="s">
        <v>46</v>
      </c>
      <c r="G3133" t="s">
        <v>130</v>
      </c>
      <c r="H3133" t="s">
        <v>31</v>
      </c>
      <c r="I3133">
        <v>26513</v>
      </c>
      <c r="J3133">
        <v>22682</v>
      </c>
    </row>
    <row r="3134" spans="1:10" x14ac:dyDescent="0.3">
      <c r="A3134" t="s">
        <v>3261</v>
      </c>
      <c r="B3134" s="1">
        <v>45878</v>
      </c>
      <c r="C3134" t="s">
        <v>113</v>
      </c>
      <c r="D3134">
        <v>32</v>
      </c>
      <c r="E3134" t="s">
        <v>33</v>
      </c>
      <c r="F3134" t="s">
        <v>50</v>
      </c>
      <c r="G3134" t="s">
        <v>230</v>
      </c>
      <c r="H3134" t="s">
        <v>155</v>
      </c>
      <c r="I3134">
        <v>32845</v>
      </c>
      <c r="J3134">
        <v>28036</v>
      </c>
    </row>
    <row r="3135" spans="1:10" x14ac:dyDescent="0.3">
      <c r="A3135" t="s">
        <v>3262</v>
      </c>
      <c r="B3135" s="1">
        <v>45763</v>
      </c>
      <c r="C3135" t="s">
        <v>86</v>
      </c>
      <c r="D3135">
        <v>16</v>
      </c>
      <c r="E3135" t="s">
        <v>61</v>
      </c>
      <c r="F3135" t="s">
        <v>75</v>
      </c>
      <c r="G3135" t="s">
        <v>253</v>
      </c>
      <c r="H3135" t="s">
        <v>98</v>
      </c>
      <c r="I3135">
        <v>32707</v>
      </c>
      <c r="J3135">
        <v>35808</v>
      </c>
    </row>
    <row r="3136" spans="1:10" x14ac:dyDescent="0.3">
      <c r="A3136" t="s">
        <v>3263</v>
      </c>
      <c r="B3136" s="1">
        <v>45725</v>
      </c>
      <c r="C3136" t="s">
        <v>95</v>
      </c>
      <c r="D3136">
        <v>10</v>
      </c>
      <c r="E3136" t="s">
        <v>12</v>
      </c>
      <c r="F3136" t="s">
        <v>19</v>
      </c>
      <c r="G3136" t="s">
        <v>147</v>
      </c>
      <c r="H3136" t="s">
        <v>165</v>
      </c>
      <c r="I3136">
        <v>34881</v>
      </c>
      <c r="J3136">
        <v>38375</v>
      </c>
    </row>
    <row r="3137" spans="1:10" x14ac:dyDescent="0.3">
      <c r="A3137" t="s">
        <v>3264</v>
      </c>
      <c r="B3137" s="1">
        <v>46012</v>
      </c>
      <c r="C3137" t="s">
        <v>100</v>
      </c>
      <c r="D3137">
        <v>51</v>
      </c>
      <c r="E3137" t="s">
        <v>24</v>
      </c>
      <c r="F3137" t="s">
        <v>87</v>
      </c>
      <c r="G3137" t="s">
        <v>115</v>
      </c>
      <c r="H3137" t="s">
        <v>80</v>
      </c>
      <c r="I3137">
        <v>28155</v>
      </c>
      <c r="J3137">
        <v>25695</v>
      </c>
    </row>
    <row r="3138" spans="1:10" x14ac:dyDescent="0.3">
      <c r="A3138" t="s">
        <v>3265</v>
      </c>
      <c r="B3138" s="1">
        <v>45995</v>
      </c>
      <c r="C3138" t="s">
        <v>100</v>
      </c>
      <c r="D3138">
        <v>49</v>
      </c>
      <c r="E3138" t="s">
        <v>18</v>
      </c>
      <c r="F3138" t="s">
        <v>62</v>
      </c>
      <c r="G3138" t="s">
        <v>47</v>
      </c>
      <c r="H3138" t="s">
        <v>103</v>
      </c>
      <c r="I3138">
        <v>30741</v>
      </c>
      <c r="J3138">
        <v>34387</v>
      </c>
    </row>
    <row r="3139" spans="1:10" x14ac:dyDescent="0.3">
      <c r="A3139" t="s">
        <v>3266</v>
      </c>
      <c r="B3139" s="1">
        <v>45819</v>
      </c>
      <c r="C3139" t="s">
        <v>74</v>
      </c>
      <c r="D3139">
        <v>24</v>
      </c>
      <c r="E3139" t="s">
        <v>39</v>
      </c>
      <c r="F3139" t="s">
        <v>62</v>
      </c>
      <c r="G3139" t="s">
        <v>126</v>
      </c>
      <c r="H3139" t="s">
        <v>155</v>
      </c>
      <c r="I3139">
        <v>37461</v>
      </c>
      <c r="J3139">
        <v>32809</v>
      </c>
    </row>
    <row r="3140" spans="1:10" x14ac:dyDescent="0.3">
      <c r="A3140" t="s">
        <v>3267</v>
      </c>
      <c r="B3140" s="1">
        <v>45751</v>
      </c>
      <c r="C3140" t="s">
        <v>86</v>
      </c>
      <c r="D3140">
        <v>14</v>
      </c>
      <c r="E3140" t="s">
        <v>70</v>
      </c>
      <c r="F3140" t="s">
        <v>50</v>
      </c>
      <c r="G3140" t="s">
        <v>199</v>
      </c>
      <c r="H3140" t="s">
        <v>119</v>
      </c>
      <c r="I3140">
        <v>22542</v>
      </c>
      <c r="J3140">
        <v>26833</v>
      </c>
    </row>
    <row r="3141" spans="1:10" x14ac:dyDescent="0.3">
      <c r="A3141" t="s">
        <v>3268</v>
      </c>
      <c r="B3141" s="1">
        <v>45734</v>
      </c>
      <c r="C3141" t="s">
        <v>95</v>
      </c>
      <c r="D3141">
        <v>12</v>
      </c>
      <c r="E3141" t="s">
        <v>33</v>
      </c>
      <c r="F3141" t="s">
        <v>25</v>
      </c>
      <c r="G3141" t="s">
        <v>63</v>
      </c>
      <c r="H3141" t="s">
        <v>243</v>
      </c>
      <c r="I3141">
        <v>24793</v>
      </c>
      <c r="J3141">
        <v>27824</v>
      </c>
    </row>
    <row r="3142" spans="1:10" x14ac:dyDescent="0.3">
      <c r="A3142" t="s">
        <v>3269</v>
      </c>
      <c r="B3142" s="1">
        <v>45889</v>
      </c>
      <c r="C3142" t="s">
        <v>113</v>
      </c>
      <c r="D3142">
        <v>34</v>
      </c>
      <c r="E3142" t="s">
        <v>18</v>
      </c>
      <c r="F3142" t="s">
        <v>43</v>
      </c>
      <c r="G3142" t="s">
        <v>51</v>
      </c>
      <c r="H3142" t="s">
        <v>155</v>
      </c>
      <c r="I3142">
        <v>37752</v>
      </c>
      <c r="J3142">
        <v>46555</v>
      </c>
    </row>
    <row r="3143" spans="1:10" x14ac:dyDescent="0.3">
      <c r="A3143" t="s">
        <v>3270</v>
      </c>
      <c r="B3143" s="1">
        <v>45936</v>
      </c>
      <c r="C3143" t="s">
        <v>66</v>
      </c>
      <c r="D3143">
        <v>41</v>
      </c>
      <c r="E3143" t="s">
        <v>24</v>
      </c>
      <c r="F3143" t="s">
        <v>122</v>
      </c>
      <c r="G3143" t="s">
        <v>47</v>
      </c>
      <c r="H3143" t="s">
        <v>68</v>
      </c>
      <c r="I3143">
        <v>17318</v>
      </c>
      <c r="J3143">
        <v>20402</v>
      </c>
    </row>
    <row r="3144" spans="1:10" x14ac:dyDescent="0.3">
      <c r="A3144" t="s">
        <v>3271</v>
      </c>
      <c r="B3144" s="1">
        <v>45835</v>
      </c>
      <c r="C3144" t="s">
        <v>74</v>
      </c>
      <c r="D3144">
        <v>26</v>
      </c>
      <c r="E3144" t="s">
        <v>39</v>
      </c>
      <c r="F3144" t="s">
        <v>62</v>
      </c>
      <c r="G3144" t="s">
        <v>160</v>
      </c>
      <c r="H3144" t="s">
        <v>111</v>
      </c>
      <c r="I3144">
        <v>26451</v>
      </c>
      <c r="J3144">
        <v>18897</v>
      </c>
    </row>
    <row r="3145" spans="1:10" x14ac:dyDescent="0.3">
      <c r="A3145" t="s">
        <v>3272</v>
      </c>
      <c r="B3145" s="1">
        <v>45858</v>
      </c>
      <c r="C3145" t="s">
        <v>11</v>
      </c>
      <c r="D3145">
        <v>29</v>
      </c>
      <c r="E3145" t="s">
        <v>39</v>
      </c>
      <c r="F3145" t="s">
        <v>109</v>
      </c>
      <c r="G3145" t="s">
        <v>224</v>
      </c>
      <c r="H3145" t="s">
        <v>165</v>
      </c>
      <c r="I3145">
        <v>30569</v>
      </c>
      <c r="J3145">
        <v>36850</v>
      </c>
    </row>
    <row r="3146" spans="1:10" x14ac:dyDescent="0.3">
      <c r="A3146" t="s">
        <v>3273</v>
      </c>
      <c r="B3146" s="1">
        <v>45816</v>
      </c>
      <c r="C3146" t="s">
        <v>74</v>
      </c>
      <c r="D3146">
        <v>23</v>
      </c>
      <c r="E3146" t="s">
        <v>12</v>
      </c>
      <c r="F3146" t="s">
        <v>109</v>
      </c>
      <c r="G3146" t="s">
        <v>130</v>
      </c>
      <c r="H3146" t="s">
        <v>59</v>
      </c>
      <c r="I3146">
        <v>22475</v>
      </c>
      <c r="J3146">
        <v>20472</v>
      </c>
    </row>
    <row r="3147" spans="1:10" x14ac:dyDescent="0.3">
      <c r="A3147" t="s">
        <v>3274</v>
      </c>
      <c r="B3147" s="1">
        <v>45837</v>
      </c>
      <c r="C3147" t="s">
        <v>74</v>
      </c>
      <c r="D3147">
        <v>26</v>
      </c>
      <c r="E3147" t="s">
        <v>70</v>
      </c>
      <c r="F3147" t="s">
        <v>122</v>
      </c>
      <c r="G3147" t="s">
        <v>182</v>
      </c>
      <c r="H3147" t="s">
        <v>80</v>
      </c>
      <c r="I3147">
        <v>33841</v>
      </c>
      <c r="J3147">
        <v>27292</v>
      </c>
    </row>
    <row r="3148" spans="1:10" x14ac:dyDescent="0.3">
      <c r="A3148" t="s">
        <v>3275</v>
      </c>
      <c r="B3148" s="1">
        <v>45847</v>
      </c>
      <c r="C3148" t="s">
        <v>11</v>
      </c>
      <c r="D3148">
        <v>28</v>
      </c>
      <c r="E3148" t="s">
        <v>39</v>
      </c>
      <c r="F3148" t="s">
        <v>78</v>
      </c>
      <c r="G3148" t="s">
        <v>201</v>
      </c>
      <c r="H3148" t="s">
        <v>119</v>
      </c>
      <c r="I3148">
        <v>21319</v>
      </c>
      <c r="J3148">
        <v>19563</v>
      </c>
    </row>
    <row r="3149" spans="1:10" x14ac:dyDescent="0.3">
      <c r="A3149" t="s">
        <v>3276</v>
      </c>
      <c r="B3149" s="1">
        <v>45774</v>
      </c>
      <c r="C3149" t="s">
        <v>86</v>
      </c>
      <c r="D3149">
        <v>17</v>
      </c>
      <c r="E3149" t="s">
        <v>18</v>
      </c>
      <c r="F3149" t="s">
        <v>193</v>
      </c>
      <c r="G3149" t="s">
        <v>126</v>
      </c>
      <c r="H3149" t="s">
        <v>41</v>
      </c>
      <c r="I3149">
        <v>20429</v>
      </c>
      <c r="J3149">
        <v>24064</v>
      </c>
    </row>
    <row r="3150" spans="1:10" x14ac:dyDescent="0.3">
      <c r="A3150" t="s">
        <v>3277</v>
      </c>
      <c r="B3150" s="1">
        <v>45864</v>
      </c>
      <c r="C3150" t="s">
        <v>11</v>
      </c>
      <c r="D3150">
        <v>30</v>
      </c>
      <c r="E3150" t="s">
        <v>61</v>
      </c>
      <c r="F3150" t="s">
        <v>140</v>
      </c>
      <c r="G3150" t="s">
        <v>201</v>
      </c>
      <c r="H3150" t="s">
        <v>119</v>
      </c>
      <c r="I3150">
        <v>23274</v>
      </c>
      <c r="J3150">
        <v>26736</v>
      </c>
    </row>
    <row r="3151" spans="1:10" x14ac:dyDescent="0.3">
      <c r="A3151" t="s">
        <v>3278</v>
      </c>
      <c r="B3151" s="1">
        <v>46008</v>
      </c>
      <c r="C3151" t="s">
        <v>100</v>
      </c>
      <c r="D3151">
        <v>51</v>
      </c>
      <c r="E3151" t="s">
        <v>61</v>
      </c>
      <c r="F3151" t="s">
        <v>13</v>
      </c>
      <c r="G3151" t="s">
        <v>107</v>
      </c>
      <c r="H3151" t="s">
        <v>188</v>
      </c>
      <c r="I3151">
        <v>21540</v>
      </c>
      <c r="J3151">
        <v>26001</v>
      </c>
    </row>
    <row r="3152" spans="1:10" x14ac:dyDescent="0.3">
      <c r="A3152" t="s">
        <v>3279</v>
      </c>
      <c r="B3152" s="1">
        <v>45918</v>
      </c>
      <c r="C3152" t="s">
        <v>38</v>
      </c>
      <c r="D3152">
        <v>38</v>
      </c>
      <c r="E3152" t="s">
        <v>70</v>
      </c>
      <c r="F3152" t="s">
        <v>19</v>
      </c>
      <c r="G3152" t="s">
        <v>26</v>
      </c>
      <c r="H3152" t="s">
        <v>157</v>
      </c>
      <c r="I3152">
        <v>36374</v>
      </c>
      <c r="J3152">
        <v>38731</v>
      </c>
    </row>
    <row r="3153" spans="1:10" x14ac:dyDescent="0.3">
      <c r="A3153" t="s">
        <v>3280</v>
      </c>
      <c r="B3153" s="1">
        <v>45911</v>
      </c>
      <c r="C3153" t="s">
        <v>38</v>
      </c>
      <c r="D3153">
        <v>37</v>
      </c>
      <c r="E3153" t="s">
        <v>18</v>
      </c>
      <c r="F3153" t="s">
        <v>29</v>
      </c>
      <c r="G3153" t="s">
        <v>326</v>
      </c>
      <c r="H3153" t="s">
        <v>15</v>
      </c>
      <c r="I3153">
        <v>39723</v>
      </c>
      <c r="J3153">
        <v>46829</v>
      </c>
    </row>
    <row r="3154" spans="1:10" x14ac:dyDescent="0.3">
      <c r="A3154" t="s">
        <v>3281</v>
      </c>
      <c r="B3154" s="1">
        <v>45965</v>
      </c>
      <c r="C3154" t="s">
        <v>23</v>
      </c>
      <c r="D3154">
        <v>45</v>
      </c>
      <c r="E3154" t="s">
        <v>24</v>
      </c>
      <c r="F3154" t="s">
        <v>43</v>
      </c>
      <c r="G3154" t="s">
        <v>30</v>
      </c>
      <c r="H3154" t="s">
        <v>41</v>
      </c>
      <c r="I3154">
        <v>31632</v>
      </c>
      <c r="J3154">
        <v>31271</v>
      </c>
    </row>
    <row r="3155" spans="1:10" x14ac:dyDescent="0.3">
      <c r="A3155" t="s">
        <v>3282</v>
      </c>
      <c r="B3155" s="1">
        <v>46022</v>
      </c>
      <c r="C3155" t="s">
        <v>100</v>
      </c>
      <c r="D3155">
        <v>1</v>
      </c>
      <c r="E3155" t="s">
        <v>61</v>
      </c>
      <c r="F3155" t="s">
        <v>92</v>
      </c>
      <c r="G3155" t="s">
        <v>35</v>
      </c>
      <c r="H3155" t="s">
        <v>84</v>
      </c>
      <c r="I3155">
        <v>32618</v>
      </c>
      <c r="J3155">
        <v>26094</v>
      </c>
    </row>
    <row r="3156" spans="1:10" x14ac:dyDescent="0.3">
      <c r="A3156" t="s">
        <v>3283</v>
      </c>
      <c r="B3156" s="1">
        <v>45953</v>
      </c>
      <c r="C3156" t="s">
        <v>66</v>
      </c>
      <c r="D3156">
        <v>43</v>
      </c>
      <c r="E3156" t="s">
        <v>39</v>
      </c>
      <c r="F3156" t="s">
        <v>92</v>
      </c>
      <c r="G3156" t="s">
        <v>115</v>
      </c>
      <c r="H3156" t="s">
        <v>116</v>
      </c>
      <c r="I3156">
        <v>34085</v>
      </c>
      <c r="J3156">
        <v>26598</v>
      </c>
    </row>
    <row r="3157" spans="1:10" x14ac:dyDescent="0.3">
      <c r="A3157" t="s">
        <v>3284</v>
      </c>
      <c r="B3157" s="1">
        <v>45793</v>
      </c>
      <c r="C3157" t="s">
        <v>90</v>
      </c>
      <c r="D3157">
        <v>20</v>
      </c>
      <c r="E3157" t="s">
        <v>61</v>
      </c>
      <c r="F3157" t="s">
        <v>101</v>
      </c>
      <c r="G3157" t="s">
        <v>291</v>
      </c>
      <c r="H3157" t="s">
        <v>48</v>
      </c>
      <c r="I3157">
        <v>19346</v>
      </c>
      <c r="J3157">
        <v>15151</v>
      </c>
    </row>
    <row r="3158" spans="1:10" x14ac:dyDescent="0.3">
      <c r="A3158" t="s">
        <v>3285</v>
      </c>
      <c r="B3158" s="1">
        <v>45857</v>
      </c>
      <c r="C3158" t="s">
        <v>11</v>
      </c>
      <c r="D3158">
        <v>29</v>
      </c>
      <c r="E3158" t="s">
        <v>24</v>
      </c>
      <c r="F3158" t="s">
        <v>122</v>
      </c>
      <c r="G3158" t="s">
        <v>40</v>
      </c>
      <c r="H3158" t="s">
        <v>27</v>
      </c>
      <c r="I3158">
        <v>21200</v>
      </c>
      <c r="J3158">
        <v>24027</v>
      </c>
    </row>
    <row r="3159" spans="1:10" x14ac:dyDescent="0.3">
      <c r="A3159" t="s">
        <v>3286</v>
      </c>
      <c r="B3159" s="1">
        <v>45795</v>
      </c>
      <c r="C3159" t="s">
        <v>90</v>
      </c>
      <c r="D3159">
        <v>20</v>
      </c>
      <c r="E3159" t="s">
        <v>18</v>
      </c>
      <c r="F3159" t="s">
        <v>78</v>
      </c>
      <c r="G3159" t="s">
        <v>67</v>
      </c>
      <c r="H3159" t="s">
        <v>163</v>
      </c>
      <c r="I3159">
        <v>35610</v>
      </c>
      <c r="J3159">
        <v>42395</v>
      </c>
    </row>
    <row r="3160" spans="1:10" x14ac:dyDescent="0.3">
      <c r="A3160" t="s">
        <v>3287</v>
      </c>
      <c r="B3160" s="1">
        <v>45864</v>
      </c>
      <c r="C3160" t="s">
        <v>11</v>
      </c>
      <c r="D3160">
        <v>30</v>
      </c>
      <c r="E3160" t="s">
        <v>24</v>
      </c>
      <c r="F3160" t="s">
        <v>46</v>
      </c>
      <c r="G3160" t="s">
        <v>160</v>
      </c>
      <c r="H3160" t="s">
        <v>133</v>
      </c>
      <c r="I3160">
        <v>28328</v>
      </c>
      <c r="J3160">
        <v>29715</v>
      </c>
    </row>
    <row r="3161" spans="1:10" x14ac:dyDescent="0.3">
      <c r="A3161" t="s">
        <v>3288</v>
      </c>
      <c r="B3161" s="1">
        <v>45784</v>
      </c>
      <c r="C3161" t="s">
        <v>90</v>
      </c>
      <c r="D3161">
        <v>19</v>
      </c>
      <c r="E3161" t="s">
        <v>18</v>
      </c>
      <c r="F3161" t="s">
        <v>75</v>
      </c>
      <c r="G3161" t="s">
        <v>326</v>
      </c>
      <c r="H3161" t="s">
        <v>55</v>
      </c>
      <c r="I3161">
        <v>17862</v>
      </c>
      <c r="J3161">
        <v>20342</v>
      </c>
    </row>
    <row r="3162" spans="1:10" x14ac:dyDescent="0.3">
      <c r="A3162" t="s">
        <v>3289</v>
      </c>
      <c r="B3162" s="1">
        <v>45833</v>
      </c>
      <c r="C3162" t="s">
        <v>74</v>
      </c>
      <c r="D3162">
        <v>26</v>
      </c>
      <c r="E3162" t="s">
        <v>61</v>
      </c>
      <c r="F3162" t="s">
        <v>101</v>
      </c>
      <c r="G3162" t="s">
        <v>171</v>
      </c>
      <c r="H3162" t="s">
        <v>21</v>
      </c>
      <c r="I3162">
        <v>37612</v>
      </c>
      <c r="J3162">
        <v>46997</v>
      </c>
    </row>
    <row r="3163" spans="1:10" x14ac:dyDescent="0.3">
      <c r="A3163" t="s">
        <v>3290</v>
      </c>
      <c r="B3163" s="1">
        <v>45765</v>
      </c>
      <c r="C3163" t="s">
        <v>86</v>
      </c>
      <c r="D3163">
        <v>16</v>
      </c>
      <c r="E3163" t="s">
        <v>70</v>
      </c>
      <c r="F3163" t="s">
        <v>25</v>
      </c>
      <c r="G3163" t="s">
        <v>182</v>
      </c>
      <c r="H3163" t="s">
        <v>133</v>
      </c>
      <c r="I3163">
        <v>25128</v>
      </c>
      <c r="J3163">
        <v>17890</v>
      </c>
    </row>
    <row r="3164" spans="1:10" x14ac:dyDescent="0.3">
      <c r="A3164" t="s">
        <v>3291</v>
      </c>
      <c r="B3164" s="1">
        <v>46022</v>
      </c>
      <c r="C3164" t="s">
        <v>100</v>
      </c>
      <c r="D3164">
        <v>1</v>
      </c>
      <c r="E3164" t="s">
        <v>18</v>
      </c>
      <c r="F3164" t="s">
        <v>87</v>
      </c>
      <c r="G3164" t="s">
        <v>63</v>
      </c>
      <c r="H3164" t="s">
        <v>155</v>
      </c>
      <c r="I3164">
        <v>20081</v>
      </c>
      <c r="J3164">
        <v>22562</v>
      </c>
    </row>
    <row r="3165" spans="1:10" x14ac:dyDescent="0.3">
      <c r="A3165" t="s">
        <v>3292</v>
      </c>
      <c r="B3165" s="1">
        <v>45668</v>
      </c>
      <c r="C3165" t="s">
        <v>17</v>
      </c>
      <c r="D3165">
        <v>2</v>
      </c>
      <c r="E3165" t="s">
        <v>61</v>
      </c>
      <c r="F3165" t="s">
        <v>57</v>
      </c>
      <c r="G3165" t="s">
        <v>93</v>
      </c>
      <c r="H3165" t="s">
        <v>243</v>
      </c>
      <c r="I3165">
        <v>36454</v>
      </c>
      <c r="J3165">
        <v>46331</v>
      </c>
    </row>
    <row r="3166" spans="1:10" x14ac:dyDescent="0.3">
      <c r="A3166" t="s">
        <v>3293</v>
      </c>
      <c r="B3166" s="1">
        <v>45682</v>
      </c>
      <c r="C3166" t="s">
        <v>17</v>
      </c>
      <c r="D3166">
        <v>4</v>
      </c>
      <c r="E3166" t="s">
        <v>33</v>
      </c>
      <c r="F3166" t="s">
        <v>193</v>
      </c>
      <c r="G3166" t="s">
        <v>130</v>
      </c>
      <c r="H3166" t="s">
        <v>157</v>
      </c>
      <c r="I3166">
        <v>39130</v>
      </c>
      <c r="J3166">
        <v>43834</v>
      </c>
    </row>
    <row r="3167" spans="1:10" x14ac:dyDescent="0.3">
      <c r="A3167" t="s">
        <v>3294</v>
      </c>
      <c r="B3167" s="1">
        <v>45735</v>
      </c>
      <c r="C3167" t="s">
        <v>95</v>
      </c>
      <c r="D3167">
        <v>12</v>
      </c>
      <c r="E3167" t="s">
        <v>18</v>
      </c>
      <c r="F3167" t="s">
        <v>87</v>
      </c>
      <c r="G3167" t="s">
        <v>79</v>
      </c>
      <c r="H3167" t="s">
        <v>80</v>
      </c>
      <c r="I3167">
        <v>17774</v>
      </c>
      <c r="J3167">
        <v>19715</v>
      </c>
    </row>
    <row r="3168" spans="1:10" x14ac:dyDescent="0.3">
      <c r="A3168" t="s">
        <v>3295</v>
      </c>
      <c r="B3168" s="1">
        <v>45710</v>
      </c>
      <c r="C3168" t="s">
        <v>82</v>
      </c>
      <c r="D3168">
        <v>8</v>
      </c>
      <c r="E3168" t="s">
        <v>24</v>
      </c>
      <c r="F3168" t="s">
        <v>29</v>
      </c>
      <c r="G3168" t="s">
        <v>44</v>
      </c>
      <c r="H3168" t="s">
        <v>119</v>
      </c>
      <c r="I3168">
        <v>19446</v>
      </c>
      <c r="J3168">
        <v>15824</v>
      </c>
    </row>
    <row r="3169" spans="1:10" x14ac:dyDescent="0.3">
      <c r="A3169" t="s">
        <v>3296</v>
      </c>
      <c r="B3169" s="1">
        <v>46007</v>
      </c>
      <c r="C3169" t="s">
        <v>100</v>
      </c>
      <c r="D3169">
        <v>51</v>
      </c>
      <c r="E3169" t="s">
        <v>12</v>
      </c>
      <c r="F3169" t="s">
        <v>34</v>
      </c>
      <c r="G3169" t="s">
        <v>240</v>
      </c>
      <c r="H3169" t="s">
        <v>111</v>
      </c>
      <c r="I3169">
        <v>25259</v>
      </c>
      <c r="J3169">
        <v>32829</v>
      </c>
    </row>
    <row r="3170" spans="1:10" x14ac:dyDescent="0.3">
      <c r="A3170" t="s">
        <v>3297</v>
      </c>
      <c r="B3170" s="1">
        <v>45858</v>
      </c>
      <c r="C3170" t="s">
        <v>11</v>
      </c>
      <c r="D3170">
        <v>29</v>
      </c>
      <c r="E3170" t="s">
        <v>18</v>
      </c>
      <c r="F3170" t="s">
        <v>92</v>
      </c>
      <c r="G3170" t="s">
        <v>171</v>
      </c>
      <c r="H3170" t="s">
        <v>31</v>
      </c>
      <c r="I3170">
        <v>26386</v>
      </c>
      <c r="J3170">
        <v>27760</v>
      </c>
    </row>
    <row r="3171" spans="1:10" x14ac:dyDescent="0.3">
      <c r="A3171" t="s">
        <v>3298</v>
      </c>
      <c r="B3171" s="1">
        <v>45715</v>
      </c>
      <c r="C3171" t="s">
        <v>82</v>
      </c>
      <c r="D3171">
        <v>9</v>
      </c>
      <c r="E3171" t="s">
        <v>70</v>
      </c>
      <c r="F3171" t="s">
        <v>193</v>
      </c>
      <c r="G3171" t="s">
        <v>76</v>
      </c>
      <c r="H3171" t="s">
        <v>151</v>
      </c>
      <c r="I3171">
        <v>32906</v>
      </c>
      <c r="J3171">
        <v>38055</v>
      </c>
    </row>
    <row r="3172" spans="1:10" x14ac:dyDescent="0.3">
      <c r="A3172" t="s">
        <v>3299</v>
      </c>
      <c r="B3172" s="1">
        <v>45973</v>
      </c>
      <c r="C3172" t="s">
        <v>23</v>
      </c>
      <c r="D3172">
        <v>46</v>
      </c>
      <c r="E3172" t="s">
        <v>12</v>
      </c>
      <c r="F3172" t="s">
        <v>114</v>
      </c>
      <c r="G3172" t="s">
        <v>63</v>
      </c>
      <c r="H3172" t="s">
        <v>103</v>
      </c>
      <c r="I3172">
        <v>23115</v>
      </c>
      <c r="J3172">
        <v>16819</v>
      </c>
    </row>
    <row r="3173" spans="1:10" x14ac:dyDescent="0.3">
      <c r="A3173" t="s">
        <v>3300</v>
      </c>
      <c r="B3173" s="1">
        <v>45802</v>
      </c>
      <c r="C3173" t="s">
        <v>90</v>
      </c>
      <c r="D3173">
        <v>21</v>
      </c>
      <c r="E3173" t="s">
        <v>12</v>
      </c>
      <c r="F3173" t="s">
        <v>140</v>
      </c>
      <c r="G3173" t="s">
        <v>72</v>
      </c>
      <c r="H3173" t="s">
        <v>133</v>
      </c>
      <c r="I3173">
        <v>33966</v>
      </c>
      <c r="J3173">
        <v>39558</v>
      </c>
    </row>
    <row r="3174" spans="1:10" x14ac:dyDescent="0.3">
      <c r="A3174" t="s">
        <v>3301</v>
      </c>
      <c r="B3174" s="1">
        <v>45720</v>
      </c>
      <c r="C3174" t="s">
        <v>95</v>
      </c>
      <c r="D3174">
        <v>10</v>
      </c>
      <c r="E3174" t="s">
        <v>61</v>
      </c>
      <c r="F3174" t="s">
        <v>57</v>
      </c>
      <c r="G3174" t="s">
        <v>115</v>
      </c>
      <c r="H3174" t="s">
        <v>116</v>
      </c>
      <c r="I3174">
        <v>18305</v>
      </c>
      <c r="J3174">
        <v>21013</v>
      </c>
    </row>
    <row r="3175" spans="1:10" x14ac:dyDescent="0.3">
      <c r="A3175" t="s">
        <v>3302</v>
      </c>
      <c r="B3175" s="1">
        <v>45794</v>
      </c>
      <c r="C3175" t="s">
        <v>90</v>
      </c>
      <c r="D3175">
        <v>20</v>
      </c>
      <c r="E3175" t="s">
        <v>70</v>
      </c>
      <c r="F3175" t="s">
        <v>140</v>
      </c>
      <c r="G3175" t="s">
        <v>63</v>
      </c>
      <c r="H3175" t="s">
        <v>27</v>
      </c>
      <c r="I3175">
        <v>15974</v>
      </c>
      <c r="J3175">
        <v>11494</v>
      </c>
    </row>
    <row r="3176" spans="1:10" x14ac:dyDescent="0.3">
      <c r="A3176" t="s">
        <v>3303</v>
      </c>
      <c r="B3176" s="1">
        <v>45874</v>
      </c>
      <c r="C3176" t="s">
        <v>113</v>
      </c>
      <c r="D3176">
        <v>32</v>
      </c>
      <c r="E3176" t="s">
        <v>24</v>
      </c>
      <c r="F3176" t="s">
        <v>122</v>
      </c>
      <c r="G3176" t="s">
        <v>126</v>
      </c>
      <c r="H3176" t="s">
        <v>15</v>
      </c>
      <c r="I3176">
        <v>35965</v>
      </c>
      <c r="J3176">
        <v>32590</v>
      </c>
    </row>
    <row r="3177" spans="1:10" x14ac:dyDescent="0.3">
      <c r="A3177" t="s">
        <v>3304</v>
      </c>
      <c r="B3177" s="1">
        <v>45892</v>
      </c>
      <c r="C3177" t="s">
        <v>113</v>
      </c>
      <c r="D3177">
        <v>34</v>
      </c>
      <c r="E3177" t="s">
        <v>18</v>
      </c>
      <c r="F3177" t="s">
        <v>25</v>
      </c>
      <c r="G3177" t="s">
        <v>147</v>
      </c>
      <c r="H3177" t="s">
        <v>243</v>
      </c>
      <c r="I3177">
        <v>21372</v>
      </c>
      <c r="J3177">
        <v>22338</v>
      </c>
    </row>
    <row r="3178" spans="1:10" x14ac:dyDescent="0.3">
      <c r="A3178" t="s">
        <v>3305</v>
      </c>
      <c r="B3178" s="1">
        <v>45974</v>
      </c>
      <c r="C3178" t="s">
        <v>23</v>
      </c>
      <c r="D3178">
        <v>46</v>
      </c>
      <c r="E3178" t="s">
        <v>33</v>
      </c>
      <c r="F3178" t="s">
        <v>46</v>
      </c>
      <c r="G3178" t="s">
        <v>67</v>
      </c>
      <c r="H3178" t="s">
        <v>31</v>
      </c>
      <c r="I3178">
        <v>31278</v>
      </c>
      <c r="J3178">
        <v>27958</v>
      </c>
    </row>
    <row r="3179" spans="1:10" x14ac:dyDescent="0.3">
      <c r="A3179" t="s">
        <v>3306</v>
      </c>
      <c r="B3179" s="1">
        <v>45793</v>
      </c>
      <c r="C3179" t="s">
        <v>90</v>
      </c>
      <c r="D3179">
        <v>20</v>
      </c>
      <c r="E3179" t="s">
        <v>33</v>
      </c>
      <c r="F3179" t="s">
        <v>92</v>
      </c>
      <c r="G3179" t="s">
        <v>44</v>
      </c>
      <c r="H3179" t="s">
        <v>163</v>
      </c>
      <c r="I3179">
        <v>33161</v>
      </c>
      <c r="J3179">
        <v>25204</v>
      </c>
    </row>
    <row r="3180" spans="1:10" x14ac:dyDescent="0.3">
      <c r="A3180" t="s">
        <v>3307</v>
      </c>
      <c r="B3180" s="1">
        <v>45853</v>
      </c>
      <c r="C3180" t="s">
        <v>11</v>
      </c>
      <c r="D3180">
        <v>29</v>
      </c>
      <c r="E3180" t="s">
        <v>18</v>
      </c>
      <c r="F3180" t="s">
        <v>140</v>
      </c>
      <c r="G3180" t="s">
        <v>291</v>
      </c>
      <c r="H3180" t="s">
        <v>188</v>
      </c>
      <c r="I3180">
        <v>19755</v>
      </c>
      <c r="J3180">
        <v>20530</v>
      </c>
    </row>
    <row r="3181" spans="1:10" x14ac:dyDescent="0.3">
      <c r="A3181" t="s">
        <v>3308</v>
      </c>
      <c r="B3181" s="1">
        <v>45661</v>
      </c>
      <c r="C3181" t="s">
        <v>17</v>
      </c>
      <c r="D3181">
        <v>1</v>
      </c>
      <c r="E3181" t="s">
        <v>39</v>
      </c>
      <c r="F3181" t="s">
        <v>62</v>
      </c>
      <c r="G3181" t="s">
        <v>135</v>
      </c>
      <c r="H3181" t="s">
        <v>48</v>
      </c>
      <c r="I3181">
        <v>24522</v>
      </c>
      <c r="J3181">
        <v>17260</v>
      </c>
    </row>
    <row r="3182" spans="1:10" x14ac:dyDescent="0.3">
      <c r="A3182" t="s">
        <v>3309</v>
      </c>
      <c r="B3182" s="1">
        <v>45844</v>
      </c>
      <c r="C3182" t="s">
        <v>11</v>
      </c>
      <c r="D3182">
        <v>27</v>
      </c>
      <c r="E3182" t="s">
        <v>39</v>
      </c>
      <c r="F3182" t="s">
        <v>46</v>
      </c>
      <c r="G3182" t="s">
        <v>30</v>
      </c>
      <c r="H3182" t="s">
        <v>84</v>
      </c>
      <c r="I3182">
        <v>26690</v>
      </c>
      <c r="J3182">
        <v>19349</v>
      </c>
    </row>
    <row r="3183" spans="1:10" x14ac:dyDescent="0.3">
      <c r="A3183" t="s">
        <v>3310</v>
      </c>
      <c r="B3183" s="1">
        <v>45945</v>
      </c>
      <c r="C3183" t="s">
        <v>66</v>
      </c>
      <c r="D3183">
        <v>42</v>
      </c>
      <c r="E3183" t="s">
        <v>33</v>
      </c>
      <c r="F3183" t="s">
        <v>62</v>
      </c>
      <c r="G3183" t="s">
        <v>266</v>
      </c>
      <c r="H3183" t="s">
        <v>133</v>
      </c>
      <c r="I3183">
        <v>38948</v>
      </c>
      <c r="J3183">
        <v>49001</v>
      </c>
    </row>
    <row r="3184" spans="1:10" x14ac:dyDescent="0.3">
      <c r="A3184" t="s">
        <v>3311</v>
      </c>
      <c r="B3184" s="1">
        <v>45994</v>
      </c>
      <c r="C3184" t="s">
        <v>100</v>
      </c>
      <c r="D3184">
        <v>49</v>
      </c>
      <c r="E3184" t="s">
        <v>24</v>
      </c>
      <c r="F3184" t="s">
        <v>92</v>
      </c>
      <c r="G3184" t="s">
        <v>93</v>
      </c>
      <c r="H3184" t="s">
        <v>151</v>
      </c>
      <c r="I3184">
        <v>17297</v>
      </c>
      <c r="J3184">
        <v>20897</v>
      </c>
    </row>
    <row r="3185" spans="1:10" x14ac:dyDescent="0.3">
      <c r="A3185" t="s">
        <v>3312</v>
      </c>
      <c r="B3185" s="1">
        <v>45917</v>
      </c>
      <c r="C3185" t="s">
        <v>38</v>
      </c>
      <c r="D3185">
        <v>38</v>
      </c>
      <c r="E3185" t="s">
        <v>39</v>
      </c>
      <c r="F3185" t="s">
        <v>29</v>
      </c>
      <c r="G3185" t="s">
        <v>130</v>
      </c>
      <c r="H3185" t="s">
        <v>59</v>
      </c>
      <c r="I3185">
        <v>28748</v>
      </c>
      <c r="J3185">
        <v>32614</v>
      </c>
    </row>
    <row r="3186" spans="1:10" x14ac:dyDescent="0.3">
      <c r="A3186" t="s">
        <v>3313</v>
      </c>
      <c r="B3186" s="1">
        <v>45841</v>
      </c>
      <c r="C3186" t="s">
        <v>11</v>
      </c>
      <c r="D3186">
        <v>27</v>
      </c>
      <c r="E3186" t="s">
        <v>18</v>
      </c>
      <c r="F3186" t="s">
        <v>140</v>
      </c>
      <c r="G3186" t="s">
        <v>67</v>
      </c>
      <c r="H3186" t="s">
        <v>243</v>
      </c>
      <c r="I3186">
        <v>38874</v>
      </c>
      <c r="J3186">
        <v>47642</v>
      </c>
    </row>
    <row r="3187" spans="1:10" x14ac:dyDescent="0.3">
      <c r="A3187" t="s">
        <v>3314</v>
      </c>
      <c r="B3187" s="1">
        <v>45822</v>
      </c>
      <c r="C3187" t="s">
        <v>74</v>
      </c>
      <c r="D3187">
        <v>24</v>
      </c>
      <c r="E3187" t="s">
        <v>70</v>
      </c>
      <c r="F3187" t="s">
        <v>122</v>
      </c>
      <c r="G3187" t="s">
        <v>132</v>
      </c>
      <c r="H3187" t="s">
        <v>59</v>
      </c>
      <c r="I3187">
        <v>18409</v>
      </c>
      <c r="J3187">
        <v>13877</v>
      </c>
    </row>
    <row r="3188" spans="1:10" x14ac:dyDescent="0.3">
      <c r="A3188" t="s">
        <v>3315</v>
      </c>
      <c r="B3188" s="1">
        <v>45759</v>
      </c>
      <c r="C3188" t="s">
        <v>86</v>
      </c>
      <c r="D3188">
        <v>15</v>
      </c>
      <c r="E3188" t="s">
        <v>12</v>
      </c>
      <c r="F3188" t="s">
        <v>34</v>
      </c>
      <c r="G3188" t="s">
        <v>291</v>
      </c>
      <c r="H3188" t="s">
        <v>31</v>
      </c>
      <c r="I3188">
        <v>23660</v>
      </c>
      <c r="J3188">
        <v>28853</v>
      </c>
    </row>
    <row r="3189" spans="1:10" x14ac:dyDescent="0.3">
      <c r="A3189" t="s">
        <v>3316</v>
      </c>
      <c r="B3189" s="1">
        <v>45894</v>
      </c>
      <c r="C3189" t="s">
        <v>113</v>
      </c>
      <c r="D3189">
        <v>35</v>
      </c>
      <c r="E3189" t="s">
        <v>61</v>
      </c>
      <c r="F3189" t="s">
        <v>29</v>
      </c>
      <c r="G3189" t="s">
        <v>182</v>
      </c>
      <c r="H3189" t="s">
        <v>55</v>
      </c>
      <c r="I3189">
        <v>15366</v>
      </c>
      <c r="J3189">
        <v>18910</v>
      </c>
    </row>
    <row r="3190" spans="1:10" x14ac:dyDescent="0.3">
      <c r="A3190" t="s">
        <v>3317</v>
      </c>
      <c r="B3190" s="1">
        <v>45968</v>
      </c>
      <c r="C3190" t="s">
        <v>23</v>
      </c>
      <c r="D3190">
        <v>45</v>
      </c>
      <c r="E3190" t="s">
        <v>33</v>
      </c>
      <c r="F3190" t="s">
        <v>50</v>
      </c>
      <c r="G3190" t="s">
        <v>230</v>
      </c>
      <c r="H3190" t="s">
        <v>111</v>
      </c>
      <c r="I3190">
        <v>21416</v>
      </c>
      <c r="J3190">
        <v>27269</v>
      </c>
    </row>
    <row r="3191" spans="1:10" x14ac:dyDescent="0.3">
      <c r="A3191" t="s">
        <v>3318</v>
      </c>
      <c r="B3191" s="1">
        <v>46003</v>
      </c>
      <c r="C3191" t="s">
        <v>100</v>
      </c>
      <c r="D3191">
        <v>50</v>
      </c>
      <c r="E3191" t="s">
        <v>18</v>
      </c>
      <c r="F3191" t="s">
        <v>29</v>
      </c>
      <c r="G3191" t="s">
        <v>93</v>
      </c>
      <c r="H3191" t="s">
        <v>163</v>
      </c>
      <c r="I3191">
        <v>31286</v>
      </c>
      <c r="J3191">
        <v>25540</v>
      </c>
    </row>
    <row r="3192" spans="1:10" x14ac:dyDescent="0.3">
      <c r="A3192" t="s">
        <v>3319</v>
      </c>
      <c r="B3192" s="1">
        <v>45733</v>
      </c>
      <c r="C3192" t="s">
        <v>95</v>
      </c>
      <c r="D3192">
        <v>12</v>
      </c>
      <c r="E3192" t="s">
        <v>70</v>
      </c>
      <c r="F3192" t="s">
        <v>50</v>
      </c>
      <c r="G3192" t="s">
        <v>44</v>
      </c>
      <c r="H3192" t="s">
        <v>15</v>
      </c>
      <c r="I3192">
        <v>22755</v>
      </c>
      <c r="J3192">
        <v>19899</v>
      </c>
    </row>
    <row r="3193" spans="1:10" x14ac:dyDescent="0.3">
      <c r="A3193" t="s">
        <v>3320</v>
      </c>
      <c r="B3193" s="1">
        <v>45822</v>
      </c>
      <c r="C3193" t="s">
        <v>74</v>
      </c>
      <c r="D3193">
        <v>24</v>
      </c>
      <c r="E3193" t="s">
        <v>33</v>
      </c>
      <c r="F3193" t="s">
        <v>78</v>
      </c>
      <c r="G3193" t="s">
        <v>30</v>
      </c>
      <c r="H3193" t="s">
        <v>243</v>
      </c>
      <c r="I3193">
        <v>18666</v>
      </c>
      <c r="J3193">
        <v>19682</v>
      </c>
    </row>
    <row r="3194" spans="1:10" x14ac:dyDescent="0.3">
      <c r="A3194" t="s">
        <v>3321</v>
      </c>
      <c r="B3194" s="1">
        <v>45995</v>
      </c>
      <c r="C3194" t="s">
        <v>100</v>
      </c>
      <c r="D3194">
        <v>49</v>
      </c>
      <c r="E3194" t="s">
        <v>18</v>
      </c>
      <c r="F3194" t="s">
        <v>87</v>
      </c>
      <c r="G3194" t="s">
        <v>234</v>
      </c>
      <c r="H3194" t="s">
        <v>243</v>
      </c>
      <c r="I3194">
        <v>31810</v>
      </c>
      <c r="J3194">
        <v>25730</v>
      </c>
    </row>
    <row r="3195" spans="1:10" x14ac:dyDescent="0.3">
      <c r="A3195" t="s">
        <v>3322</v>
      </c>
      <c r="B3195" s="1">
        <v>45944</v>
      </c>
      <c r="C3195" t="s">
        <v>66</v>
      </c>
      <c r="D3195">
        <v>42</v>
      </c>
      <c r="E3195" t="s">
        <v>61</v>
      </c>
      <c r="F3195" t="s">
        <v>193</v>
      </c>
      <c r="G3195" t="s">
        <v>160</v>
      </c>
      <c r="H3195" t="s">
        <v>48</v>
      </c>
      <c r="I3195">
        <v>33800</v>
      </c>
      <c r="J3195">
        <v>30766</v>
      </c>
    </row>
    <row r="3196" spans="1:10" x14ac:dyDescent="0.3">
      <c r="A3196" t="s">
        <v>3323</v>
      </c>
      <c r="B3196" s="1">
        <v>45949</v>
      </c>
      <c r="C3196" t="s">
        <v>66</v>
      </c>
      <c r="D3196">
        <v>42</v>
      </c>
      <c r="E3196" t="s">
        <v>33</v>
      </c>
      <c r="F3196" t="s">
        <v>46</v>
      </c>
      <c r="G3196" t="s">
        <v>171</v>
      </c>
      <c r="H3196" t="s">
        <v>163</v>
      </c>
      <c r="I3196">
        <v>38525</v>
      </c>
      <c r="J3196">
        <v>42655</v>
      </c>
    </row>
    <row r="3197" spans="1:10" x14ac:dyDescent="0.3">
      <c r="A3197" t="s">
        <v>3324</v>
      </c>
      <c r="B3197" s="1">
        <v>45957</v>
      </c>
      <c r="C3197" t="s">
        <v>66</v>
      </c>
      <c r="D3197">
        <v>44</v>
      </c>
      <c r="E3197" t="s">
        <v>70</v>
      </c>
      <c r="F3197" t="s">
        <v>62</v>
      </c>
      <c r="G3197" t="s">
        <v>40</v>
      </c>
      <c r="H3197" t="s">
        <v>165</v>
      </c>
      <c r="I3197">
        <v>26120</v>
      </c>
      <c r="J3197">
        <v>30802</v>
      </c>
    </row>
    <row r="3198" spans="1:10" x14ac:dyDescent="0.3">
      <c r="A3198" t="s">
        <v>3325</v>
      </c>
      <c r="B3198" s="1">
        <v>45815</v>
      </c>
      <c r="C3198" t="s">
        <v>74</v>
      </c>
      <c r="D3198">
        <v>23</v>
      </c>
      <c r="E3198" t="s">
        <v>12</v>
      </c>
      <c r="F3198" t="s">
        <v>57</v>
      </c>
      <c r="G3198" t="s">
        <v>182</v>
      </c>
      <c r="H3198" t="s">
        <v>111</v>
      </c>
      <c r="I3198">
        <v>23193</v>
      </c>
      <c r="J3198">
        <v>23416</v>
      </c>
    </row>
    <row r="3199" spans="1:10" x14ac:dyDescent="0.3">
      <c r="A3199" t="s">
        <v>3326</v>
      </c>
      <c r="B3199" s="1">
        <v>45775</v>
      </c>
      <c r="C3199" t="s">
        <v>86</v>
      </c>
      <c r="D3199">
        <v>18</v>
      </c>
      <c r="E3199" t="s">
        <v>12</v>
      </c>
      <c r="F3199" t="s">
        <v>29</v>
      </c>
      <c r="G3199" t="s">
        <v>47</v>
      </c>
      <c r="H3199" t="s">
        <v>116</v>
      </c>
      <c r="I3199">
        <v>38616</v>
      </c>
      <c r="J3199">
        <v>34437</v>
      </c>
    </row>
    <row r="3200" spans="1:10" x14ac:dyDescent="0.3">
      <c r="A3200" t="s">
        <v>3327</v>
      </c>
      <c r="B3200" s="1">
        <v>45722</v>
      </c>
      <c r="C3200" t="s">
        <v>95</v>
      </c>
      <c r="D3200">
        <v>10</v>
      </c>
      <c r="E3200" t="s">
        <v>39</v>
      </c>
      <c r="F3200" t="s">
        <v>57</v>
      </c>
      <c r="G3200" t="s">
        <v>126</v>
      </c>
      <c r="H3200" t="s">
        <v>103</v>
      </c>
      <c r="I3200">
        <v>21847</v>
      </c>
      <c r="J3200">
        <v>17528</v>
      </c>
    </row>
    <row r="3201" spans="1:10" x14ac:dyDescent="0.3">
      <c r="A3201" t="s">
        <v>3328</v>
      </c>
      <c r="B3201" s="1">
        <v>45986</v>
      </c>
      <c r="C3201" t="s">
        <v>23</v>
      </c>
      <c r="D3201">
        <v>48</v>
      </c>
      <c r="E3201" t="s">
        <v>18</v>
      </c>
      <c r="F3201" t="s">
        <v>57</v>
      </c>
      <c r="G3201" t="s">
        <v>51</v>
      </c>
      <c r="H3201" t="s">
        <v>123</v>
      </c>
      <c r="I3201">
        <v>36407</v>
      </c>
      <c r="J3201">
        <v>28559</v>
      </c>
    </row>
    <row r="3202" spans="1:10" x14ac:dyDescent="0.3">
      <c r="A3202" t="s">
        <v>3329</v>
      </c>
      <c r="B3202" s="1">
        <v>45956</v>
      </c>
      <c r="C3202" t="s">
        <v>66</v>
      </c>
      <c r="D3202">
        <v>43</v>
      </c>
      <c r="E3202" t="s">
        <v>70</v>
      </c>
      <c r="F3202" t="s">
        <v>13</v>
      </c>
      <c r="G3202" t="s">
        <v>20</v>
      </c>
      <c r="H3202" t="s">
        <v>27</v>
      </c>
      <c r="I3202">
        <v>15898</v>
      </c>
      <c r="J3202">
        <v>16641</v>
      </c>
    </row>
    <row r="3203" spans="1:10" x14ac:dyDescent="0.3">
      <c r="A3203" t="s">
        <v>3330</v>
      </c>
      <c r="B3203" s="1">
        <v>45795</v>
      </c>
      <c r="C3203" t="s">
        <v>90</v>
      </c>
      <c r="D3203">
        <v>20</v>
      </c>
      <c r="E3203" t="s">
        <v>70</v>
      </c>
      <c r="F3203" t="s">
        <v>122</v>
      </c>
      <c r="G3203" t="s">
        <v>30</v>
      </c>
      <c r="H3203" t="s">
        <v>163</v>
      </c>
      <c r="I3203">
        <v>15834</v>
      </c>
      <c r="J3203">
        <v>12329</v>
      </c>
    </row>
    <row r="3204" spans="1:10" x14ac:dyDescent="0.3">
      <c r="A3204" t="s">
        <v>3331</v>
      </c>
      <c r="B3204" s="1">
        <v>46020</v>
      </c>
      <c r="C3204" t="s">
        <v>100</v>
      </c>
      <c r="D3204">
        <v>1</v>
      </c>
      <c r="E3204" t="s">
        <v>61</v>
      </c>
      <c r="F3204" t="s">
        <v>114</v>
      </c>
      <c r="G3204" t="s">
        <v>141</v>
      </c>
      <c r="H3204" t="s">
        <v>96</v>
      </c>
      <c r="I3204">
        <v>16391</v>
      </c>
      <c r="J3204">
        <v>19733</v>
      </c>
    </row>
    <row r="3205" spans="1:10" x14ac:dyDescent="0.3">
      <c r="A3205" t="s">
        <v>3332</v>
      </c>
      <c r="B3205" s="1">
        <v>45961</v>
      </c>
      <c r="C3205" t="s">
        <v>66</v>
      </c>
      <c r="D3205">
        <v>44</v>
      </c>
      <c r="E3205" t="s">
        <v>12</v>
      </c>
      <c r="F3205" t="s">
        <v>43</v>
      </c>
      <c r="G3205" t="s">
        <v>79</v>
      </c>
      <c r="H3205" t="s">
        <v>27</v>
      </c>
      <c r="I3205">
        <v>26914</v>
      </c>
      <c r="J3205">
        <v>28266</v>
      </c>
    </row>
    <row r="3206" spans="1:10" x14ac:dyDescent="0.3">
      <c r="A3206" t="s">
        <v>3333</v>
      </c>
      <c r="B3206" s="1">
        <v>45861</v>
      </c>
      <c r="C3206" t="s">
        <v>11</v>
      </c>
      <c r="D3206">
        <v>30</v>
      </c>
      <c r="E3206" t="s">
        <v>24</v>
      </c>
      <c r="F3206" t="s">
        <v>19</v>
      </c>
      <c r="G3206" t="s">
        <v>76</v>
      </c>
      <c r="H3206" t="s">
        <v>36</v>
      </c>
      <c r="I3206">
        <v>28861</v>
      </c>
      <c r="J3206">
        <v>24257</v>
      </c>
    </row>
    <row r="3207" spans="1:10" x14ac:dyDescent="0.3">
      <c r="A3207" t="s">
        <v>3334</v>
      </c>
      <c r="B3207" s="1">
        <v>45705</v>
      </c>
      <c r="C3207" t="s">
        <v>82</v>
      </c>
      <c r="D3207">
        <v>8</v>
      </c>
      <c r="E3207" t="s">
        <v>12</v>
      </c>
      <c r="F3207" t="s">
        <v>50</v>
      </c>
      <c r="G3207" t="s">
        <v>79</v>
      </c>
      <c r="H3207" t="s">
        <v>36</v>
      </c>
      <c r="I3207">
        <v>19895</v>
      </c>
      <c r="J3207">
        <v>20349</v>
      </c>
    </row>
    <row r="3208" spans="1:10" x14ac:dyDescent="0.3">
      <c r="A3208" t="s">
        <v>3335</v>
      </c>
      <c r="B3208" s="1">
        <v>45788</v>
      </c>
      <c r="C3208" t="s">
        <v>90</v>
      </c>
      <c r="D3208">
        <v>19</v>
      </c>
      <c r="E3208" t="s">
        <v>70</v>
      </c>
      <c r="F3208" t="s">
        <v>57</v>
      </c>
      <c r="G3208" t="s">
        <v>126</v>
      </c>
      <c r="H3208" t="s">
        <v>188</v>
      </c>
      <c r="I3208">
        <v>35463</v>
      </c>
      <c r="J3208">
        <v>39753</v>
      </c>
    </row>
    <row r="3209" spans="1:10" x14ac:dyDescent="0.3">
      <c r="A3209" t="s">
        <v>3336</v>
      </c>
      <c r="B3209" s="1">
        <v>45863</v>
      </c>
      <c r="C3209" t="s">
        <v>11</v>
      </c>
      <c r="D3209">
        <v>30</v>
      </c>
      <c r="E3209" t="s">
        <v>61</v>
      </c>
      <c r="F3209" t="s">
        <v>140</v>
      </c>
      <c r="G3209" t="s">
        <v>266</v>
      </c>
      <c r="H3209" t="s">
        <v>163</v>
      </c>
      <c r="I3209">
        <v>28431</v>
      </c>
      <c r="J3209">
        <v>27791</v>
      </c>
    </row>
    <row r="3210" spans="1:10" x14ac:dyDescent="0.3">
      <c r="A3210" t="s">
        <v>3337</v>
      </c>
      <c r="B3210" s="1">
        <v>45807</v>
      </c>
      <c r="C3210" t="s">
        <v>90</v>
      </c>
      <c r="D3210">
        <v>22</v>
      </c>
      <c r="E3210" t="s">
        <v>12</v>
      </c>
      <c r="F3210" t="s">
        <v>43</v>
      </c>
      <c r="G3210" t="s">
        <v>102</v>
      </c>
      <c r="H3210" t="s">
        <v>103</v>
      </c>
      <c r="I3210">
        <v>28818</v>
      </c>
      <c r="J3210">
        <v>28340</v>
      </c>
    </row>
    <row r="3211" spans="1:10" x14ac:dyDescent="0.3">
      <c r="A3211" t="s">
        <v>3338</v>
      </c>
      <c r="B3211" s="1">
        <v>45659</v>
      </c>
      <c r="C3211" t="s">
        <v>17</v>
      </c>
      <c r="D3211">
        <v>1</v>
      </c>
      <c r="E3211" t="s">
        <v>18</v>
      </c>
      <c r="F3211" t="s">
        <v>78</v>
      </c>
      <c r="G3211" t="s">
        <v>93</v>
      </c>
      <c r="H3211" t="s">
        <v>188</v>
      </c>
      <c r="I3211">
        <v>23787</v>
      </c>
      <c r="J3211">
        <v>27246</v>
      </c>
    </row>
    <row r="3212" spans="1:10" x14ac:dyDescent="0.3">
      <c r="A3212" t="s">
        <v>3339</v>
      </c>
      <c r="B3212" s="1">
        <v>45873</v>
      </c>
      <c r="C3212" t="s">
        <v>113</v>
      </c>
      <c r="D3212">
        <v>32</v>
      </c>
      <c r="E3212" t="s">
        <v>18</v>
      </c>
      <c r="F3212" t="s">
        <v>43</v>
      </c>
      <c r="G3212" t="s">
        <v>51</v>
      </c>
      <c r="H3212" t="s">
        <v>98</v>
      </c>
      <c r="I3212">
        <v>25538</v>
      </c>
      <c r="J3212">
        <v>23187</v>
      </c>
    </row>
    <row r="3213" spans="1:10" x14ac:dyDescent="0.3">
      <c r="A3213" t="s">
        <v>3340</v>
      </c>
      <c r="B3213" s="1">
        <v>45723</v>
      </c>
      <c r="C3213" t="s">
        <v>95</v>
      </c>
      <c r="D3213">
        <v>10</v>
      </c>
      <c r="E3213" t="s">
        <v>18</v>
      </c>
      <c r="F3213" t="s">
        <v>34</v>
      </c>
      <c r="G3213" t="s">
        <v>115</v>
      </c>
      <c r="H3213" t="s">
        <v>188</v>
      </c>
      <c r="I3213">
        <v>30283</v>
      </c>
      <c r="J3213">
        <v>32620</v>
      </c>
    </row>
    <row r="3214" spans="1:10" x14ac:dyDescent="0.3">
      <c r="A3214" t="s">
        <v>3341</v>
      </c>
      <c r="B3214" s="1">
        <v>45671</v>
      </c>
      <c r="C3214" t="s">
        <v>17</v>
      </c>
      <c r="D3214">
        <v>3</v>
      </c>
      <c r="E3214" t="s">
        <v>39</v>
      </c>
      <c r="F3214" t="s">
        <v>75</v>
      </c>
      <c r="G3214" t="s">
        <v>324</v>
      </c>
      <c r="H3214" t="s">
        <v>96</v>
      </c>
      <c r="I3214">
        <v>37545</v>
      </c>
      <c r="J3214">
        <v>29776</v>
      </c>
    </row>
    <row r="3215" spans="1:10" x14ac:dyDescent="0.3">
      <c r="A3215" t="s">
        <v>3342</v>
      </c>
      <c r="B3215" s="1">
        <v>46009</v>
      </c>
      <c r="C3215" t="s">
        <v>100</v>
      </c>
      <c r="D3215">
        <v>51</v>
      </c>
      <c r="E3215" t="s">
        <v>70</v>
      </c>
      <c r="F3215" t="s">
        <v>29</v>
      </c>
      <c r="G3215" t="s">
        <v>182</v>
      </c>
      <c r="H3215" t="s">
        <v>211</v>
      </c>
      <c r="I3215">
        <v>30182</v>
      </c>
      <c r="J3215">
        <v>30237</v>
      </c>
    </row>
    <row r="3216" spans="1:10" x14ac:dyDescent="0.3">
      <c r="A3216" t="s">
        <v>3343</v>
      </c>
      <c r="B3216" s="1">
        <v>45828</v>
      </c>
      <c r="C3216" t="s">
        <v>74</v>
      </c>
      <c r="D3216">
        <v>25</v>
      </c>
      <c r="E3216" t="s">
        <v>18</v>
      </c>
      <c r="F3216" t="s">
        <v>101</v>
      </c>
      <c r="G3216" t="s">
        <v>147</v>
      </c>
      <c r="H3216" t="s">
        <v>21</v>
      </c>
      <c r="I3216">
        <v>26939</v>
      </c>
      <c r="J3216">
        <v>29276</v>
      </c>
    </row>
    <row r="3217" spans="1:10" x14ac:dyDescent="0.3">
      <c r="A3217" t="s">
        <v>3344</v>
      </c>
      <c r="B3217" s="1">
        <v>45694</v>
      </c>
      <c r="C3217" t="s">
        <v>82</v>
      </c>
      <c r="D3217">
        <v>6</v>
      </c>
      <c r="E3217" t="s">
        <v>70</v>
      </c>
      <c r="F3217" t="s">
        <v>122</v>
      </c>
      <c r="G3217" t="s">
        <v>199</v>
      </c>
      <c r="H3217" t="s">
        <v>41</v>
      </c>
      <c r="I3217">
        <v>30502</v>
      </c>
      <c r="J3217">
        <v>28430</v>
      </c>
    </row>
    <row r="3218" spans="1:10" x14ac:dyDescent="0.3">
      <c r="A3218" t="s">
        <v>3345</v>
      </c>
      <c r="B3218" s="1">
        <v>45926</v>
      </c>
      <c r="C3218" t="s">
        <v>38</v>
      </c>
      <c r="D3218">
        <v>39</v>
      </c>
      <c r="E3218" t="s">
        <v>24</v>
      </c>
      <c r="F3218" t="s">
        <v>13</v>
      </c>
      <c r="G3218" t="s">
        <v>230</v>
      </c>
      <c r="H3218" t="s">
        <v>98</v>
      </c>
      <c r="I3218">
        <v>16404</v>
      </c>
      <c r="J3218">
        <v>14194</v>
      </c>
    </row>
    <row r="3219" spans="1:10" x14ac:dyDescent="0.3">
      <c r="A3219" t="s">
        <v>3346</v>
      </c>
      <c r="B3219" s="1">
        <v>45938</v>
      </c>
      <c r="C3219" t="s">
        <v>66</v>
      </c>
      <c r="D3219">
        <v>41</v>
      </c>
      <c r="E3219" t="s">
        <v>70</v>
      </c>
      <c r="F3219" t="s">
        <v>87</v>
      </c>
      <c r="G3219" t="s">
        <v>26</v>
      </c>
      <c r="H3219" t="s">
        <v>52</v>
      </c>
      <c r="I3219">
        <v>30670</v>
      </c>
      <c r="J3219">
        <v>31160</v>
      </c>
    </row>
    <row r="3220" spans="1:10" x14ac:dyDescent="0.3">
      <c r="A3220" t="s">
        <v>3347</v>
      </c>
      <c r="B3220" s="1">
        <v>45921</v>
      </c>
      <c r="C3220" t="s">
        <v>38</v>
      </c>
      <c r="D3220">
        <v>38</v>
      </c>
      <c r="E3220" t="s">
        <v>61</v>
      </c>
      <c r="F3220" t="s">
        <v>78</v>
      </c>
      <c r="G3220" t="s">
        <v>182</v>
      </c>
      <c r="H3220" t="s">
        <v>68</v>
      </c>
      <c r="I3220">
        <v>37160</v>
      </c>
      <c r="J3220">
        <v>35643</v>
      </c>
    </row>
    <row r="3221" spans="1:10" x14ac:dyDescent="0.3">
      <c r="A3221" t="s">
        <v>3348</v>
      </c>
      <c r="B3221" s="1">
        <v>45819</v>
      </c>
      <c r="C3221" t="s">
        <v>74</v>
      </c>
      <c r="D3221">
        <v>24</v>
      </c>
      <c r="E3221" t="s">
        <v>61</v>
      </c>
      <c r="F3221" t="s">
        <v>114</v>
      </c>
      <c r="G3221" t="s">
        <v>58</v>
      </c>
      <c r="H3221" t="s">
        <v>123</v>
      </c>
      <c r="I3221">
        <v>24803</v>
      </c>
      <c r="J3221">
        <v>28952</v>
      </c>
    </row>
    <row r="3222" spans="1:10" x14ac:dyDescent="0.3">
      <c r="A3222" t="s">
        <v>3349</v>
      </c>
      <c r="B3222" s="1">
        <v>45749</v>
      </c>
      <c r="C3222" t="s">
        <v>86</v>
      </c>
      <c r="D3222">
        <v>14</v>
      </c>
      <c r="E3222" t="s">
        <v>18</v>
      </c>
      <c r="F3222" t="s">
        <v>87</v>
      </c>
      <c r="G3222" t="s">
        <v>135</v>
      </c>
      <c r="H3222" t="s">
        <v>80</v>
      </c>
      <c r="I3222">
        <v>38933</v>
      </c>
      <c r="J3222">
        <v>41223</v>
      </c>
    </row>
    <row r="3223" spans="1:10" x14ac:dyDescent="0.3">
      <c r="A3223" t="s">
        <v>3350</v>
      </c>
      <c r="B3223" s="1">
        <v>45964</v>
      </c>
      <c r="C3223" t="s">
        <v>23</v>
      </c>
      <c r="D3223">
        <v>45</v>
      </c>
      <c r="E3223" t="s">
        <v>39</v>
      </c>
      <c r="F3223" t="s">
        <v>92</v>
      </c>
      <c r="G3223" t="s">
        <v>135</v>
      </c>
      <c r="H3223" t="s">
        <v>64</v>
      </c>
      <c r="I3223">
        <v>18693</v>
      </c>
      <c r="J3223">
        <v>19467</v>
      </c>
    </row>
    <row r="3224" spans="1:10" x14ac:dyDescent="0.3">
      <c r="A3224" t="s">
        <v>3351</v>
      </c>
      <c r="B3224" s="1">
        <v>45992</v>
      </c>
      <c r="C3224" t="s">
        <v>100</v>
      </c>
      <c r="D3224">
        <v>49</v>
      </c>
      <c r="E3224" t="s">
        <v>18</v>
      </c>
      <c r="F3224" t="s">
        <v>114</v>
      </c>
      <c r="G3224" t="s">
        <v>30</v>
      </c>
      <c r="H3224" t="s">
        <v>157</v>
      </c>
      <c r="I3224">
        <v>16906</v>
      </c>
      <c r="J3224">
        <v>19203</v>
      </c>
    </row>
    <row r="3225" spans="1:10" x14ac:dyDescent="0.3">
      <c r="A3225" t="s">
        <v>3352</v>
      </c>
      <c r="B3225" s="1">
        <v>45814</v>
      </c>
      <c r="C3225" t="s">
        <v>74</v>
      </c>
      <c r="D3225">
        <v>23</v>
      </c>
      <c r="E3225" t="s">
        <v>24</v>
      </c>
      <c r="F3225" t="s">
        <v>109</v>
      </c>
      <c r="G3225" t="s">
        <v>137</v>
      </c>
      <c r="H3225" t="s">
        <v>163</v>
      </c>
      <c r="I3225">
        <v>21796</v>
      </c>
      <c r="J3225">
        <v>19670</v>
      </c>
    </row>
    <row r="3226" spans="1:10" x14ac:dyDescent="0.3">
      <c r="A3226" t="s">
        <v>3353</v>
      </c>
      <c r="B3226" s="1">
        <v>45743</v>
      </c>
      <c r="C3226" t="s">
        <v>95</v>
      </c>
      <c r="D3226">
        <v>13</v>
      </c>
      <c r="E3226" t="s">
        <v>61</v>
      </c>
      <c r="F3226" t="s">
        <v>57</v>
      </c>
      <c r="G3226" t="s">
        <v>115</v>
      </c>
      <c r="H3226" t="s">
        <v>243</v>
      </c>
      <c r="I3226">
        <v>36485</v>
      </c>
      <c r="J3226">
        <v>25985</v>
      </c>
    </row>
    <row r="3227" spans="1:10" x14ac:dyDescent="0.3">
      <c r="A3227" t="s">
        <v>3354</v>
      </c>
      <c r="B3227" s="1">
        <v>45921</v>
      </c>
      <c r="C3227" t="s">
        <v>38</v>
      </c>
      <c r="D3227">
        <v>38</v>
      </c>
      <c r="E3227" t="s">
        <v>33</v>
      </c>
      <c r="F3227" t="s">
        <v>87</v>
      </c>
      <c r="G3227" t="s">
        <v>83</v>
      </c>
      <c r="H3227" t="s">
        <v>68</v>
      </c>
      <c r="I3227">
        <v>27724</v>
      </c>
      <c r="J3227">
        <v>24461</v>
      </c>
    </row>
    <row r="3228" spans="1:10" x14ac:dyDescent="0.3">
      <c r="A3228" t="s">
        <v>3355</v>
      </c>
      <c r="B3228" s="1">
        <v>45780</v>
      </c>
      <c r="C3228" t="s">
        <v>90</v>
      </c>
      <c r="D3228">
        <v>18</v>
      </c>
      <c r="E3228" t="s">
        <v>61</v>
      </c>
      <c r="F3228" t="s">
        <v>87</v>
      </c>
      <c r="G3228" t="s">
        <v>149</v>
      </c>
      <c r="H3228" t="s">
        <v>59</v>
      </c>
      <c r="I3228">
        <v>17218</v>
      </c>
      <c r="J3228">
        <v>18534</v>
      </c>
    </row>
    <row r="3229" spans="1:10" x14ac:dyDescent="0.3">
      <c r="A3229" t="s">
        <v>3356</v>
      </c>
      <c r="B3229" s="1">
        <v>45756</v>
      </c>
      <c r="C3229" t="s">
        <v>86</v>
      </c>
      <c r="D3229">
        <v>15</v>
      </c>
      <c r="E3229" t="s">
        <v>33</v>
      </c>
      <c r="F3229" t="s">
        <v>19</v>
      </c>
      <c r="G3229" t="s">
        <v>76</v>
      </c>
      <c r="H3229" t="s">
        <v>155</v>
      </c>
      <c r="I3229">
        <v>16583</v>
      </c>
      <c r="J3229">
        <v>18057</v>
      </c>
    </row>
    <row r="3230" spans="1:10" x14ac:dyDescent="0.3">
      <c r="A3230" t="s">
        <v>3357</v>
      </c>
      <c r="B3230" s="1">
        <v>45955</v>
      </c>
      <c r="C3230" t="s">
        <v>66</v>
      </c>
      <c r="D3230">
        <v>43</v>
      </c>
      <c r="E3230" t="s">
        <v>24</v>
      </c>
      <c r="F3230" t="s">
        <v>43</v>
      </c>
      <c r="G3230" t="s">
        <v>26</v>
      </c>
      <c r="H3230" t="s">
        <v>243</v>
      </c>
      <c r="I3230">
        <v>39809</v>
      </c>
      <c r="J3230">
        <v>35090</v>
      </c>
    </row>
    <row r="3231" spans="1:10" x14ac:dyDescent="0.3">
      <c r="A3231" t="s">
        <v>3358</v>
      </c>
      <c r="B3231" s="1">
        <v>45817</v>
      </c>
      <c r="C3231" t="s">
        <v>74</v>
      </c>
      <c r="D3231">
        <v>24</v>
      </c>
      <c r="E3231" t="s">
        <v>18</v>
      </c>
      <c r="F3231" t="s">
        <v>29</v>
      </c>
      <c r="G3231" t="s">
        <v>230</v>
      </c>
      <c r="H3231" t="s">
        <v>188</v>
      </c>
      <c r="I3231">
        <v>16868</v>
      </c>
      <c r="J3231">
        <v>12849</v>
      </c>
    </row>
    <row r="3232" spans="1:10" x14ac:dyDescent="0.3">
      <c r="A3232" t="s">
        <v>3359</v>
      </c>
      <c r="B3232" s="1">
        <v>45922</v>
      </c>
      <c r="C3232" t="s">
        <v>38</v>
      </c>
      <c r="D3232">
        <v>39</v>
      </c>
      <c r="E3232" t="s">
        <v>12</v>
      </c>
      <c r="F3232" t="s">
        <v>114</v>
      </c>
      <c r="G3232" t="s">
        <v>88</v>
      </c>
      <c r="H3232" t="s">
        <v>96</v>
      </c>
      <c r="I3232">
        <v>20847</v>
      </c>
      <c r="J3232">
        <v>25738</v>
      </c>
    </row>
    <row r="3233" spans="1:10" x14ac:dyDescent="0.3">
      <c r="A3233" t="s">
        <v>3360</v>
      </c>
      <c r="B3233" s="1">
        <v>45748</v>
      </c>
      <c r="C3233" t="s">
        <v>86</v>
      </c>
      <c r="D3233">
        <v>14</v>
      </c>
      <c r="E3233" t="s">
        <v>12</v>
      </c>
      <c r="F3233" t="s">
        <v>109</v>
      </c>
      <c r="G3233" t="s">
        <v>206</v>
      </c>
      <c r="H3233" t="s">
        <v>188</v>
      </c>
      <c r="I3233">
        <v>38040</v>
      </c>
      <c r="J3233">
        <v>28729</v>
      </c>
    </row>
    <row r="3234" spans="1:10" x14ac:dyDescent="0.3">
      <c r="A3234" t="s">
        <v>3361</v>
      </c>
      <c r="B3234" s="1">
        <v>45842</v>
      </c>
      <c r="C3234" t="s">
        <v>11</v>
      </c>
      <c r="D3234">
        <v>27</v>
      </c>
      <c r="E3234" t="s">
        <v>70</v>
      </c>
      <c r="F3234" t="s">
        <v>50</v>
      </c>
      <c r="G3234" t="s">
        <v>83</v>
      </c>
      <c r="H3234" t="s">
        <v>133</v>
      </c>
      <c r="I3234">
        <v>28237</v>
      </c>
      <c r="J3234">
        <v>29201</v>
      </c>
    </row>
    <row r="3235" spans="1:10" x14ac:dyDescent="0.3">
      <c r="A3235" t="s">
        <v>3362</v>
      </c>
      <c r="B3235" s="1">
        <v>45986</v>
      </c>
      <c r="C3235" t="s">
        <v>23</v>
      </c>
      <c r="D3235">
        <v>48</v>
      </c>
      <c r="E3235" t="s">
        <v>61</v>
      </c>
      <c r="F3235" t="s">
        <v>57</v>
      </c>
      <c r="G3235" t="s">
        <v>132</v>
      </c>
      <c r="H3235" t="s">
        <v>80</v>
      </c>
      <c r="I3235">
        <v>27213</v>
      </c>
      <c r="J3235">
        <v>30856</v>
      </c>
    </row>
    <row r="3236" spans="1:10" x14ac:dyDescent="0.3">
      <c r="A3236" t="s">
        <v>3363</v>
      </c>
      <c r="B3236" s="1">
        <v>45789</v>
      </c>
      <c r="C3236" t="s">
        <v>90</v>
      </c>
      <c r="D3236">
        <v>20</v>
      </c>
      <c r="E3236" t="s">
        <v>24</v>
      </c>
      <c r="F3236" t="s">
        <v>25</v>
      </c>
      <c r="G3236" t="s">
        <v>224</v>
      </c>
      <c r="H3236" t="s">
        <v>165</v>
      </c>
      <c r="I3236">
        <v>31006</v>
      </c>
      <c r="J3236">
        <v>29596</v>
      </c>
    </row>
    <row r="3237" spans="1:10" x14ac:dyDescent="0.3">
      <c r="A3237" t="s">
        <v>3364</v>
      </c>
      <c r="B3237" s="1">
        <v>45903</v>
      </c>
      <c r="C3237" t="s">
        <v>38</v>
      </c>
      <c r="D3237">
        <v>36</v>
      </c>
      <c r="E3237" t="s">
        <v>61</v>
      </c>
      <c r="F3237" t="s">
        <v>101</v>
      </c>
      <c r="G3237" t="s">
        <v>149</v>
      </c>
      <c r="H3237" t="s">
        <v>52</v>
      </c>
      <c r="I3237">
        <v>21310</v>
      </c>
      <c r="J3237">
        <v>19787</v>
      </c>
    </row>
    <row r="3238" spans="1:10" x14ac:dyDescent="0.3">
      <c r="A3238" t="s">
        <v>3365</v>
      </c>
      <c r="B3238" s="1">
        <v>45917</v>
      </c>
      <c r="C3238" t="s">
        <v>38</v>
      </c>
      <c r="D3238">
        <v>38</v>
      </c>
      <c r="E3238" t="s">
        <v>33</v>
      </c>
      <c r="F3238" t="s">
        <v>75</v>
      </c>
      <c r="G3238" t="s">
        <v>20</v>
      </c>
      <c r="H3238" t="s">
        <v>119</v>
      </c>
      <c r="I3238">
        <v>28668</v>
      </c>
      <c r="J3238">
        <v>35381</v>
      </c>
    </row>
    <row r="3239" spans="1:10" x14ac:dyDescent="0.3">
      <c r="A3239" t="s">
        <v>3366</v>
      </c>
      <c r="B3239" s="1">
        <v>45979</v>
      </c>
      <c r="C3239" t="s">
        <v>23</v>
      </c>
      <c r="D3239">
        <v>47</v>
      </c>
      <c r="E3239" t="s">
        <v>18</v>
      </c>
      <c r="F3239" t="s">
        <v>25</v>
      </c>
      <c r="G3239" t="s">
        <v>326</v>
      </c>
      <c r="H3239" t="s">
        <v>15</v>
      </c>
      <c r="I3239">
        <v>33983</v>
      </c>
      <c r="J3239">
        <v>28441</v>
      </c>
    </row>
    <row r="3240" spans="1:10" x14ac:dyDescent="0.3">
      <c r="A3240" t="s">
        <v>3367</v>
      </c>
      <c r="B3240" s="1">
        <v>45844</v>
      </c>
      <c r="C3240" t="s">
        <v>11</v>
      </c>
      <c r="D3240">
        <v>27</v>
      </c>
      <c r="E3240" t="s">
        <v>24</v>
      </c>
      <c r="F3240" t="s">
        <v>122</v>
      </c>
      <c r="G3240" t="s">
        <v>20</v>
      </c>
      <c r="H3240" t="s">
        <v>59</v>
      </c>
      <c r="I3240">
        <v>23160</v>
      </c>
      <c r="J3240">
        <v>24499</v>
      </c>
    </row>
    <row r="3241" spans="1:10" x14ac:dyDescent="0.3">
      <c r="A3241" t="s">
        <v>3368</v>
      </c>
      <c r="B3241" s="1">
        <v>45672</v>
      </c>
      <c r="C3241" t="s">
        <v>17</v>
      </c>
      <c r="D3241">
        <v>3</v>
      </c>
      <c r="E3241" t="s">
        <v>70</v>
      </c>
      <c r="F3241" t="s">
        <v>87</v>
      </c>
      <c r="G3241" t="s">
        <v>191</v>
      </c>
      <c r="H3241" t="s">
        <v>15</v>
      </c>
      <c r="I3241">
        <v>37820</v>
      </c>
      <c r="J3241">
        <v>44021</v>
      </c>
    </row>
    <row r="3242" spans="1:10" x14ac:dyDescent="0.3">
      <c r="A3242" t="s">
        <v>3369</v>
      </c>
      <c r="B3242" s="1">
        <v>45698</v>
      </c>
      <c r="C3242" t="s">
        <v>82</v>
      </c>
      <c r="D3242">
        <v>7</v>
      </c>
      <c r="E3242" t="s">
        <v>33</v>
      </c>
      <c r="F3242" t="s">
        <v>19</v>
      </c>
      <c r="G3242" t="s">
        <v>118</v>
      </c>
      <c r="H3242" t="s">
        <v>163</v>
      </c>
      <c r="I3242">
        <v>20394</v>
      </c>
      <c r="J3242">
        <v>20659</v>
      </c>
    </row>
    <row r="3243" spans="1:10" x14ac:dyDescent="0.3">
      <c r="A3243" t="s">
        <v>3370</v>
      </c>
      <c r="B3243" s="1">
        <v>45775</v>
      </c>
      <c r="C3243" t="s">
        <v>86</v>
      </c>
      <c r="D3243">
        <v>18</v>
      </c>
      <c r="E3243" t="s">
        <v>18</v>
      </c>
      <c r="F3243" t="s">
        <v>34</v>
      </c>
      <c r="G3243" t="s">
        <v>58</v>
      </c>
      <c r="H3243" t="s">
        <v>155</v>
      </c>
      <c r="I3243">
        <v>34136</v>
      </c>
      <c r="J3243">
        <v>40933</v>
      </c>
    </row>
    <row r="3244" spans="1:10" x14ac:dyDescent="0.3">
      <c r="A3244" t="s">
        <v>3371</v>
      </c>
      <c r="B3244" s="1">
        <v>45753</v>
      </c>
      <c r="C3244" t="s">
        <v>86</v>
      </c>
      <c r="D3244">
        <v>14</v>
      </c>
      <c r="E3244" t="s">
        <v>24</v>
      </c>
      <c r="F3244" t="s">
        <v>43</v>
      </c>
      <c r="G3244" t="s">
        <v>326</v>
      </c>
      <c r="H3244" t="s">
        <v>21</v>
      </c>
      <c r="I3244">
        <v>31584</v>
      </c>
      <c r="J3244">
        <v>33242</v>
      </c>
    </row>
    <row r="3245" spans="1:10" x14ac:dyDescent="0.3">
      <c r="A3245" t="s">
        <v>3372</v>
      </c>
      <c r="B3245" s="1">
        <v>45868</v>
      </c>
      <c r="C3245" t="s">
        <v>11</v>
      </c>
      <c r="D3245">
        <v>31</v>
      </c>
      <c r="E3245" t="s">
        <v>39</v>
      </c>
      <c r="F3245" t="s">
        <v>62</v>
      </c>
      <c r="G3245" t="s">
        <v>224</v>
      </c>
      <c r="H3245" t="s">
        <v>155</v>
      </c>
      <c r="I3245">
        <v>27756</v>
      </c>
      <c r="J3245">
        <v>20108</v>
      </c>
    </row>
    <row r="3246" spans="1:10" x14ac:dyDescent="0.3">
      <c r="A3246" t="s">
        <v>3373</v>
      </c>
      <c r="B3246" s="1">
        <v>45968</v>
      </c>
      <c r="C3246" t="s">
        <v>23</v>
      </c>
      <c r="D3246">
        <v>45</v>
      </c>
      <c r="E3246" t="s">
        <v>12</v>
      </c>
      <c r="F3246" t="s">
        <v>62</v>
      </c>
      <c r="G3246" t="s">
        <v>35</v>
      </c>
      <c r="H3246" t="s">
        <v>41</v>
      </c>
      <c r="I3246">
        <v>28819</v>
      </c>
      <c r="J3246">
        <v>27592</v>
      </c>
    </row>
    <row r="3247" spans="1:10" x14ac:dyDescent="0.3">
      <c r="A3247" t="s">
        <v>3374</v>
      </c>
      <c r="B3247" s="1">
        <v>46016</v>
      </c>
      <c r="C3247" t="s">
        <v>100</v>
      </c>
      <c r="D3247">
        <v>52</v>
      </c>
      <c r="E3247" t="s">
        <v>70</v>
      </c>
      <c r="F3247" t="s">
        <v>46</v>
      </c>
      <c r="G3247" t="s">
        <v>63</v>
      </c>
      <c r="H3247" t="s">
        <v>48</v>
      </c>
      <c r="I3247">
        <v>25519</v>
      </c>
      <c r="J3247">
        <v>22747</v>
      </c>
    </row>
    <row r="3248" spans="1:10" x14ac:dyDescent="0.3">
      <c r="A3248" t="s">
        <v>3375</v>
      </c>
      <c r="B3248" s="1">
        <v>46004</v>
      </c>
      <c r="C3248" t="s">
        <v>100</v>
      </c>
      <c r="D3248">
        <v>50</v>
      </c>
      <c r="E3248" t="s">
        <v>24</v>
      </c>
      <c r="F3248" t="s">
        <v>25</v>
      </c>
      <c r="G3248" t="s">
        <v>63</v>
      </c>
      <c r="H3248" t="s">
        <v>116</v>
      </c>
      <c r="I3248">
        <v>34506</v>
      </c>
      <c r="J3248">
        <v>44238</v>
      </c>
    </row>
    <row r="3249" spans="1:10" x14ac:dyDescent="0.3">
      <c r="A3249" t="s">
        <v>3376</v>
      </c>
      <c r="B3249" s="1">
        <v>45764</v>
      </c>
      <c r="C3249" t="s">
        <v>86</v>
      </c>
      <c r="D3249">
        <v>16</v>
      </c>
      <c r="E3249" t="s">
        <v>61</v>
      </c>
      <c r="F3249" t="s">
        <v>122</v>
      </c>
      <c r="G3249" t="s">
        <v>130</v>
      </c>
      <c r="H3249" t="s">
        <v>59</v>
      </c>
      <c r="I3249">
        <v>36110</v>
      </c>
      <c r="J3249">
        <v>28209</v>
      </c>
    </row>
    <row r="3250" spans="1:10" x14ac:dyDescent="0.3">
      <c r="A3250" t="s">
        <v>3377</v>
      </c>
      <c r="B3250" s="1">
        <v>45888</v>
      </c>
      <c r="C3250" t="s">
        <v>113</v>
      </c>
      <c r="D3250">
        <v>34</v>
      </c>
      <c r="E3250" t="s">
        <v>12</v>
      </c>
      <c r="F3250" t="s">
        <v>101</v>
      </c>
      <c r="G3250" t="s">
        <v>240</v>
      </c>
      <c r="H3250" t="s">
        <v>48</v>
      </c>
      <c r="I3250">
        <v>18971</v>
      </c>
      <c r="J3250">
        <v>16837</v>
      </c>
    </row>
    <row r="3251" spans="1:10" x14ac:dyDescent="0.3">
      <c r="A3251" t="s">
        <v>3378</v>
      </c>
      <c r="B3251" s="1">
        <v>45665</v>
      </c>
      <c r="C3251" t="s">
        <v>17</v>
      </c>
      <c r="D3251">
        <v>2</v>
      </c>
      <c r="E3251" t="s">
        <v>12</v>
      </c>
      <c r="F3251" t="s">
        <v>46</v>
      </c>
      <c r="G3251" t="s">
        <v>199</v>
      </c>
      <c r="H3251" t="s">
        <v>59</v>
      </c>
      <c r="I3251">
        <v>17150</v>
      </c>
      <c r="J3251">
        <v>13516</v>
      </c>
    </row>
    <row r="3252" spans="1:10" x14ac:dyDescent="0.3">
      <c r="A3252" t="s">
        <v>3379</v>
      </c>
      <c r="B3252" s="1">
        <v>46012</v>
      </c>
      <c r="C3252" t="s">
        <v>100</v>
      </c>
      <c r="D3252">
        <v>51</v>
      </c>
      <c r="E3252" t="s">
        <v>39</v>
      </c>
      <c r="F3252" t="s">
        <v>62</v>
      </c>
      <c r="G3252" t="s">
        <v>79</v>
      </c>
      <c r="H3252" t="s">
        <v>55</v>
      </c>
      <c r="I3252">
        <v>25369</v>
      </c>
      <c r="J3252">
        <v>28348</v>
      </c>
    </row>
    <row r="3253" spans="1:10" x14ac:dyDescent="0.3">
      <c r="A3253" t="s">
        <v>3380</v>
      </c>
      <c r="B3253" s="1">
        <v>45994</v>
      </c>
      <c r="C3253" t="s">
        <v>100</v>
      </c>
      <c r="D3253">
        <v>49</v>
      </c>
      <c r="E3253" t="s">
        <v>33</v>
      </c>
      <c r="F3253" t="s">
        <v>109</v>
      </c>
      <c r="G3253" t="s">
        <v>135</v>
      </c>
      <c r="H3253" t="s">
        <v>123</v>
      </c>
      <c r="I3253">
        <v>39301</v>
      </c>
      <c r="J3253">
        <v>32749</v>
      </c>
    </row>
    <row r="3254" spans="1:10" x14ac:dyDescent="0.3">
      <c r="A3254" t="s">
        <v>3381</v>
      </c>
      <c r="B3254" s="1">
        <v>45789</v>
      </c>
      <c r="C3254" t="s">
        <v>90</v>
      </c>
      <c r="D3254">
        <v>20</v>
      </c>
      <c r="E3254" t="s">
        <v>33</v>
      </c>
      <c r="F3254" t="s">
        <v>75</v>
      </c>
      <c r="G3254" t="s">
        <v>234</v>
      </c>
      <c r="H3254" t="s">
        <v>59</v>
      </c>
      <c r="I3254">
        <v>24264</v>
      </c>
      <c r="J3254">
        <v>24370</v>
      </c>
    </row>
    <row r="3255" spans="1:10" x14ac:dyDescent="0.3">
      <c r="A3255" t="s">
        <v>3382</v>
      </c>
      <c r="B3255" s="1">
        <v>45899</v>
      </c>
      <c r="C3255" t="s">
        <v>113</v>
      </c>
      <c r="D3255">
        <v>35</v>
      </c>
      <c r="E3255" t="s">
        <v>61</v>
      </c>
      <c r="F3255" t="s">
        <v>101</v>
      </c>
      <c r="G3255" t="s">
        <v>126</v>
      </c>
      <c r="H3255" t="s">
        <v>55</v>
      </c>
      <c r="I3255">
        <v>19574</v>
      </c>
      <c r="J3255">
        <v>19791</v>
      </c>
    </row>
    <row r="3256" spans="1:10" x14ac:dyDescent="0.3">
      <c r="A3256" t="s">
        <v>3383</v>
      </c>
      <c r="B3256" s="1">
        <v>45817</v>
      </c>
      <c r="C3256" t="s">
        <v>74</v>
      </c>
      <c r="D3256">
        <v>24</v>
      </c>
      <c r="E3256" t="s">
        <v>33</v>
      </c>
      <c r="F3256" t="s">
        <v>46</v>
      </c>
      <c r="G3256" t="s">
        <v>234</v>
      </c>
      <c r="H3256" t="s">
        <v>64</v>
      </c>
      <c r="I3256">
        <v>24573</v>
      </c>
      <c r="J3256">
        <v>29342</v>
      </c>
    </row>
    <row r="3257" spans="1:10" x14ac:dyDescent="0.3">
      <c r="A3257" t="s">
        <v>3384</v>
      </c>
      <c r="B3257" s="1">
        <v>45966</v>
      </c>
      <c r="C3257" t="s">
        <v>23</v>
      </c>
      <c r="D3257">
        <v>45</v>
      </c>
      <c r="E3257" t="s">
        <v>70</v>
      </c>
      <c r="F3257" t="s">
        <v>34</v>
      </c>
      <c r="G3257" t="s">
        <v>54</v>
      </c>
      <c r="H3257" t="s">
        <v>243</v>
      </c>
      <c r="I3257">
        <v>25687</v>
      </c>
      <c r="J3257">
        <v>29150</v>
      </c>
    </row>
    <row r="3258" spans="1:10" x14ac:dyDescent="0.3">
      <c r="A3258" t="s">
        <v>3385</v>
      </c>
      <c r="B3258" s="1">
        <v>45662</v>
      </c>
      <c r="C3258" t="s">
        <v>17</v>
      </c>
      <c r="D3258">
        <v>1</v>
      </c>
      <c r="E3258" t="s">
        <v>33</v>
      </c>
      <c r="F3258" t="s">
        <v>34</v>
      </c>
      <c r="G3258" t="s">
        <v>107</v>
      </c>
      <c r="H3258" t="s">
        <v>165</v>
      </c>
      <c r="I3258">
        <v>38537</v>
      </c>
      <c r="J3258">
        <v>29686</v>
      </c>
    </row>
    <row r="3259" spans="1:10" x14ac:dyDescent="0.3">
      <c r="A3259" t="s">
        <v>3386</v>
      </c>
      <c r="B3259" s="1">
        <v>45844</v>
      </c>
      <c r="C3259" t="s">
        <v>11</v>
      </c>
      <c r="D3259">
        <v>27</v>
      </c>
      <c r="E3259" t="s">
        <v>39</v>
      </c>
      <c r="F3259" t="s">
        <v>50</v>
      </c>
      <c r="G3259" t="s">
        <v>130</v>
      </c>
      <c r="H3259" t="s">
        <v>103</v>
      </c>
      <c r="I3259">
        <v>22660</v>
      </c>
      <c r="J3259">
        <v>25386</v>
      </c>
    </row>
    <row r="3260" spans="1:10" x14ac:dyDescent="0.3">
      <c r="A3260" t="s">
        <v>3387</v>
      </c>
      <c r="B3260" s="1">
        <v>45961</v>
      </c>
      <c r="C3260" t="s">
        <v>66</v>
      </c>
      <c r="D3260">
        <v>44</v>
      </c>
      <c r="E3260" t="s">
        <v>39</v>
      </c>
      <c r="F3260" t="s">
        <v>92</v>
      </c>
      <c r="G3260" t="s">
        <v>115</v>
      </c>
      <c r="H3260" t="s">
        <v>15</v>
      </c>
      <c r="I3260">
        <v>39745</v>
      </c>
      <c r="J3260">
        <v>38702</v>
      </c>
    </row>
    <row r="3261" spans="1:10" x14ac:dyDescent="0.3">
      <c r="A3261" t="s">
        <v>3388</v>
      </c>
      <c r="B3261" s="1">
        <v>45760</v>
      </c>
      <c r="C3261" t="s">
        <v>86</v>
      </c>
      <c r="D3261">
        <v>15</v>
      </c>
      <c r="E3261" t="s">
        <v>70</v>
      </c>
      <c r="F3261" t="s">
        <v>122</v>
      </c>
      <c r="G3261" t="s">
        <v>145</v>
      </c>
      <c r="H3261" t="s">
        <v>165</v>
      </c>
      <c r="I3261">
        <v>38295</v>
      </c>
      <c r="J3261">
        <v>35528</v>
      </c>
    </row>
    <row r="3262" spans="1:10" x14ac:dyDescent="0.3">
      <c r="A3262" t="s">
        <v>3389</v>
      </c>
      <c r="B3262" s="1">
        <v>45805</v>
      </c>
      <c r="C3262" t="s">
        <v>90</v>
      </c>
      <c r="D3262">
        <v>22</v>
      </c>
      <c r="E3262" t="s">
        <v>33</v>
      </c>
      <c r="F3262" t="s">
        <v>122</v>
      </c>
      <c r="G3262" t="s">
        <v>83</v>
      </c>
      <c r="H3262" t="s">
        <v>84</v>
      </c>
      <c r="I3262">
        <v>33493</v>
      </c>
      <c r="J3262">
        <v>24843</v>
      </c>
    </row>
    <row r="3263" spans="1:10" x14ac:dyDescent="0.3">
      <c r="A3263" t="s">
        <v>3390</v>
      </c>
      <c r="B3263" s="1">
        <v>45824</v>
      </c>
      <c r="C3263" t="s">
        <v>74</v>
      </c>
      <c r="D3263">
        <v>25</v>
      </c>
      <c r="E3263" t="s">
        <v>39</v>
      </c>
      <c r="F3263" t="s">
        <v>87</v>
      </c>
      <c r="G3263" t="s">
        <v>149</v>
      </c>
      <c r="H3263" t="s">
        <v>21</v>
      </c>
      <c r="I3263">
        <v>22909</v>
      </c>
      <c r="J3263">
        <v>28667</v>
      </c>
    </row>
    <row r="3264" spans="1:10" x14ac:dyDescent="0.3">
      <c r="A3264" t="s">
        <v>3391</v>
      </c>
      <c r="B3264" s="1">
        <v>45958</v>
      </c>
      <c r="C3264" t="s">
        <v>66</v>
      </c>
      <c r="D3264">
        <v>44</v>
      </c>
      <c r="E3264" t="s">
        <v>33</v>
      </c>
      <c r="F3264" t="s">
        <v>122</v>
      </c>
      <c r="G3264" t="s">
        <v>40</v>
      </c>
      <c r="H3264" t="s">
        <v>243</v>
      </c>
      <c r="I3264">
        <v>17292</v>
      </c>
      <c r="J3264">
        <v>16963</v>
      </c>
    </row>
    <row r="3265" spans="1:10" x14ac:dyDescent="0.3">
      <c r="A3265" t="s">
        <v>3392</v>
      </c>
      <c r="B3265" s="1">
        <v>45751</v>
      </c>
      <c r="C3265" t="s">
        <v>86</v>
      </c>
      <c r="D3265">
        <v>14</v>
      </c>
      <c r="E3265" t="s">
        <v>70</v>
      </c>
      <c r="F3265" t="s">
        <v>109</v>
      </c>
      <c r="G3265" t="s">
        <v>141</v>
      </c>
      <c r="H3265" t="s">
        <v>243</v>
      </c>
      <c r="I3265">
        <v>38760</v>
      </c>
      <c r="J3265">
        <v>32275</v>
      </c>
    </row>
    <row r="3266" spans="1:10" x14ac:dyDescent="0.3">
      <c r="A3266" t="s">
        <v>3393</v>
      </c>
      <c r="B3266" s="1">
        <v>45897</v>
      </c>
      <c r="C3266" t="s">
        <v>113</v>
      </c>
      <c r="D3266">
        <v>35</v>
      </c>
      <c r="E3266" t="s">
        <v>39</v>
      </c>
      <c r="F3266" t="s">
        <v>122</v>
      </c>
      <c r="G3266" t="s">
        <v>230</v>
      </c>
      <c r="H3266" t="s">
        <v>157</v>
      </c>
      <c r="I3266">
        <v>32610</v>
      </c>
      <c r="J3266">
        <v>29598</v>
      </c>
    </row>
    <row r="3267" spans="1:10" x14ac:dyDescent="0.3">
      <c r="A3267" t="s">
        <v>3394</v>
      </c>
      <c r="B3267" s="1">
        <v>45771</v>
      </c>
      <c r="C3267" t="s">
        <v>86</v>
      </c>
      <c r="D3267">
        <v>17</v>
      </c>
      <c r="E3267" t="s">
        <v>33</v>
      </c>
      <c r="F3267" t="s">
        <v>50</v>
      </c>
      <c r="G3267" t="s">
        <v>35</v>
      </c>
      <c r="H3267" t="s">
        <v>59</v>
      </c>
      <c r="I3267">
        <v>34530</v>
      </c>
      <c r="J3267">
        <v>33532</v>
      </c>
    </row>
    <row r="3268" spans="1:10" x14ac:dyDescent="0.3">
      <c r="A3268" t="s">
        <v>3395</v>
      </c>
      <c r="B3268" s="1">
        <v>46000</v>
      </c>
      <c r="C3268" t="s">
        <v>100</v>
      </c>
      <c r="D3268">
        <v>50</v>
      </c>
      <c r="E3268" t="s">
        <v>33</v>
      </c>
      <c r="F3268" t="s">
        <v>193</v>
      </c>
      <c r="G3268" t="s">
        <v>102</v>
      </c>
      <c r="H3268" t="s">
        <v>133</v>
      </c>
      <c r="I3268">
        <v>20665</v>
      </c>
      <c r="J3268">
        <v>17738</v>
      </c>
    </row>
    <row r="3269" spans="1:10" x14ac:dyDescent="0.3">
      <c r="A3269" t="s">
        <v>3396</v>
      </c>
      <c r="B3269" s="1">
        <v>45969</v>
      </c>
      <c r="C3269" t="s">
        <v>23</v>
      </c>
      <c r="D3269">
        <v>45</v>
      </c>
      <c r="E3269" t="s">
        <v>24</v>
      </c>
      <c r="F3269" t="s">
        <v>109</v>
      </c>
      <c r="G3269" t="s">
        <v>224</v>
      </c>
      <c r="H3269" t="s">
        <v>243</v>
      </c>
      <c r="I3269">
        <v>32642</v>
      </c>
      <c r="J3269">
        <v>30668</v>
      </c>
    </row>
    <row r="3270" spans="1:10" x14ac:dyDescent="0.3">
      <c r="A3270" t="s">
        <v>3397</v>
      </c>
      <c r="B3270" s="1">
        <v>45808</v>
      </c>
      <c r="C3270" t="s">
        <v>90</v>
      </c>
      <c r="D3270">
        <v>22</v>
      </c>
      <c r="E3270" t="s">
        <v>61</v>
      </c>
      <c r="F3270" t="s">
        <v>75</v>
      </c>
      <c r="G3270" t="s">
        <v>137</v>
      </c>
      <c r="H3270" t="s">
        <v>103</v>
      </c>
      <c r="I3270">
        <v>39235</v>
      </c>
      <c r="J3270">
        <v>47804</v>
      </c>
    </row>
    <row r="3271" spans="1:10" x14ac:dyDescent="0.3">
      <c r="A3271" t="s">
        <v>3398</v>
      </c>
      <c r="B3271" s="1">
        <v>45897</v>
      </c>
      <c r="C3271" t="s">
        <v>113</v>
      </c>
      <c r="D3271">
        <v>35</v>
      </c>
      <c r="E3271" t="s">
        <v>33</v>
      </c>
      <c r="F3271" t="s">
        <v>92</v>
      </c>
      <c r="G3271" t="s">
        <v>115</v>
      </c>
      <c r="H3271" t="s">
        <v>133</v>
      </c>
      <c r="I3271">
        <v>23612</v>
      </c>
      <c r="J3271">
        <v>27905</v>
      </c>
    </row>
    <row r="3272" spans="1:10" x14ac:dyDescent="0.3">
      <c r="A3272" t="s">
        <v>3399</v>
      </c>
      <c r="B3272" s="1">
        <v>45925</v>
      </c>
      <c r="C3272" t="s">
        <v>38</v>
      </c>
      <c r="D3272">
        <v>39</v>
      </c>
      <c r="E3272" t="s">
        <v>39</v>
      </c>
      <c r="F3272" t="s">
        <v>13</v>
      </c>
      <c r="G3272" t="s">
        <v>102</v>
      </c>
      <c r="H3272" t="s">
        <v>80</v>
      </c>
      <c r="I3272">
        <v>18986</v>
      </c>
      <c r="J3272">
        <v>22666</v>
      </c>
    </row>
    <row r="3273" spans="1:10" x14ac:dyDescent="0.3">
      <c r="A3273" t="s">
        <v>3400</v>
      </c>
      <c r="B3273" s="1">
        <v>45818</v>
      </c>
      <c r="C3273" t="s">
        <v>74</v>
      </c>
      <c r="D3273">
        <v>24</v>
      </c>
      <c r="E3273" t="s">
        <v>33</v>
      </c>
      <c r="F3273" t="s">
        <v>75</v>
      </c>
      <c r="G3273" t="s">
        <v>110</v>
      </c>
      <c r="H3273" t="s">
        <v>31</v>
      </c>
      <c r="I3273">
        <v>20332</v>
      </c>
      <c r="J3273">
        <v>17373</v>
      </c>
    </row>
    <row r="3274" spans="1:10" x14ac:dyDescent="0.3">
      <c r="A3274" t="s">
        <v>3401</v>
      </c>
      <c r="B3274" s="1">
        <v>45899</v>
      </c>
      <c r="C3274" t="s">
        <v>113</v>
      </c>
      <c r="D3274">
        <v>35</v>
      </c>
      <c r="E3274" t="s">
        <v>39</v>
      </c>
      <c r="F3274" t="s">
        <v>109</v>
      </c>
      <c r="G3274" t="s">
        <v>201</v>
      </c>
      <c r="H3274" t="s">
        <v>211</v>
      </c>
      <c r="I3274">
        <v>36078</v>
      </c>
      <c r="J3274">
        <v>25596</v>
      </c>
    </row>
    <row r="3275" spans="1:10" x14ac:dyDescent="0.3">
      <c r="A3275" t="s">
        <v>3402</v>
      </c>
      <c r="B3275" s="1">
        <v>45677</v>
      </c>
      <c r="C3275" t="s">
        <v>17</v>
      </c>
      <c r="D3275">
        <v>4</v>
      </c>
      <c r="E3275" t="s">
        <v>18</v>
      </c>
      <c r="F3275" t="s">
        <v>114</v>
      </c>
      <c r="G3275" t="s">
        <v>128</v>
      </c>
      <c r="H3275" t="s">
        <v>116</v>
      </c>
      <c r="I3275">
        <v>31202</v>
      </c>
      <c r="J3275">
        <v>29893</v>
      </c>
    </row>
    <row r="3276" spans="1:10" x14ac:dyDescent="0.3">
      <c r="A3276" t="s">
        <v>3403</v>
      </c>
      <c r="B3276" s="1">
        <v>45735</v>
      </c>
      <c r="C3276" t="s">
        <v>95</v>
      </c>
      <c r="D3276">
        <v>12</v>
      </c>
      <c r="E3276" t="s">
        <v>39</v>
      </c>
      <c r="F3276" t="s">
        <v>193</v>
      </c>
      <c r="G3276" t="s">
        <v>147</v>
      </c>
      <c r="H3276" t="s">
        <v>188</v>
      </c>
      <c r="I3276">
        <v>37448</v>
      </c>
      <c r="J3276">
        <v>32755</v>
      </c>
    </row>
    <row r="3277" spans="1:10" x14ac:dyDescent="0.3">
      <c r="A3277" t="s">
        <v>3404</v>
      </c>
      <c r="B3277" s="1">
        <v>45773</v>
      </c>
      <c r="C3277" t="s">
        <v>86</v>
      </c>
      <c r="D3277">
        <v>17</v>
      </c>
      <c r="E3277" t="s">
        <v>39</v>
      </c>
      <c r="F3277" t="s">
        <v>75</v>
      </c>
      <c r="G3277" t="s">
        <v>14</v>
      </c>
      <c r="H3277" t="s">
        <v>41</v>
      </c>
      <c r="I3277">
        <v>19712</v>
      </c>
      <c r="J3277">
        <v>17173</v>
      </c>
    </row>
    <row r="3278" spans="1:10" x14ac:dyDescent="0.3">
      <c r="A3278" t="s">
        <v>3405</v>
      </c>
      <c r="B3278" s="1">
        <v>45878</v>
      </c>
      <c r="C3278" t="s">
        <v>113</v>
      </c>
      <c r="D3278">
        <v>32</v>
      </c>
      <c r="E3278" t="s">
        <v>61</v>
      </c>
      <c r="F3278" t="s">
        <v>78</v>
      </c>
      <c r="G3278" t="s">
        <v>326</v>
      </c>
      <c r="H3278" t="s">
        <v>36</v>
      </c>
      <c r="I3278">
        <v>18383</v>
      </c>
      <c r="J3278">
        <v>16288</v>
      </c>
    </row>
    <row r="3279" spans="1:10" x14ac:dyDescent="0.3">
      <c r="A3279" t="s">
        <v>3406</v>
      </c>
      <c r="B3279" s="1">
        <v>45884</v>
      </c>
      <c r="C3279" t="s">
        <v>113</v>
      </c>
      <c r="D3279">
        <v>33</v>
      </c>
      <c r="E3279" t="s">
        <v>12</v>
      </c>
      <c r="F3279" t="s">
        <v>19</v>
      </c>
      <c r="G3279" t="s">
        <v>149</v>
      </c>
      <c r="H3279" t="s">
        <v>15</v>
      </c>
      <c r="I3279">
        <v>29326</v>
      </c>
      <c r="J3279">
        <v>25444</v>
      </c>
    </row>
    <row r="3280" spans="1:10" x14ac:dyDescent="0.3">
      <c r="A3280" t="s">
        <v>3407</v>
      </c>
      <c r="B3280" s="1">
        <v>46011</v>
      </c>
      <c r="C3280" t="s">
        <v>100</v>
      </c>
      <c r="D3280">
        <v>51</v>
      </c>
      <c r="E3280" t="s">
        <v>39</v>
      </c>
      <c r="F3280" t="s">
        <v>46</v>
      </c>
      <c r="G3280" t="s">
        <v>160</v>
      </c>
      <c r="H3280" t="s">
        <v>36</v>
      </c>
      <c r="I3280">
        <v>20970</v>
      </c>
      <c r="J3280">
        <v>15298</v>
      </c>
    </row>
    <row r="3281" spans="1:10" x14ac:dyDescent="0.3">
      <c r="A3281" t="s">
        <v>3408</v>
      </c>
      <c r="B3281" s="1">
        <v>45785</v>
      </c>
      <c r="C3281" t="s">
        <v>90</v>
      </c>
      <c r="D3281">
        <v>19</v>
      </c>
      <c r="E3281" t="s">
        <v>39</v>
      </c>
      <c r="F3281" t="s">
        <v>75</v>
      </c>
      <c r="G3281" t="s">
        <v>230</v>
      </c>
      <c r="H3281" t="s">
        <v>103</v>
      </c>
      <c r="I3281">
        <v>35353</v>
      </c>
      <c r="J3281">
        <v>28005</v>
      </c>
    </row>
    <row r="3282" spans="1:10" x14ac:dyDescent="0.3">
      <c r="A3282" t="s">
        <v>3409</v>
      </c>
      <c r="B3282" s="1">
        <v>45730</v>
      </c>
      <c r="C3282" t="s">
        <v>95</v>
      </c>
      <c r="D3282">
        <v>11</v>
      </c>
      <c r="E3282" t="s">
        <v>24</v>
      </c>
      <c r="F3282" t="s">
        <v>46</v>
      </c>
      <c r="G3282" t="s">
        <v>51</v>
      </c>
      <c r="H3282" t="s">
        <v>84</v>
      </c>
      <c r="I3282">
        <v>38666</v>
      </c>
      <c r="J3282">
        <v>35383</v>
      </c>
    </row>
    <row r="3283" spans="1:10" x14ac:dyDescent="0.3">
      <c r="A3283" t="s">
        <v>3410</v>
      </c>
      <c r="B3283" s="1">
        <v>45841</v>
      </c>
      <c r="C3283" t="s">
        <v>11</v>
      </c>
      <c r="D3283">
        <v>27</v>
      </c>
      <c r="E3283" t="s">
        <v>39</v>
      </c>
      <c r="F3283" t="s">
        <v>29</v>
      </c>
      <c r="G3283" t="s">
        <v>224</v>
      </c>
      <c r="H3283" t="s">
        <v>48</v>
      </c>
      <c r="I3283">
        <v>30850</v>
      </c>
      <c r="J3283">
        <v>35955</v>
      </c>
    </row>
    <row r="3284" spans="1:10" x14ac:dyDescent="0.3">
      <c r="A3284" t="s">
        <v>3411</v>
      </c>
      <c r="B3284" s="1">
        <v>45778</v>
      </c>
      <c r="C3284" t="s">
        <v>90</v>
      </c>
      <c r="D3284">
        <v>18</v>
      </c>
      <c r="E3284" t="s">
        <v>12</v>
      </c>
      <c r="F3284" t="s">
        <v>87</v>
      </c>
      <c r="G3284" t="s">
        <v>149</v>
      </c>
      <c r="H3284" t="s">
        <v>163</v>
      </c>
      <c r="I3284">
        <v>38205</v>
      </c>
      <c r="J3284">
        <v>27414</v>
      </c>
    </row>
    <row r="3285" spans="1:10" x14ac:dyDescent="0.3">
      <c r="A3285" t="s">
        <v>3412</v>
      </c>
      <c r="B3285" s="1">
        <v>45942</v>
      </c>
      <c r="C3285" t="s">
        <v>66</v>
      </c>
      <c r="D3285">
        <v>41</v>
      </c>
      <c r="E3285" t="s">
        <v>12</v>
      </c>
      <c r="F3285" t="s">
        <v>78</v>
      </c>
      <c r="G3285" t="s">
        <v>291</v>
      </c>
      <c r="H3285" t="s">
        <v>68</v>
      </c>
      <c r="I3285">
        <v>32151</v>
      </c>
      <c r="J3285">
        <v>29227</v>
      </c>
    </row>
    <row r="3286" spans="1:10" x14ac:dyDescent="0.3">
      <c r="A3286" t="s">
        <v>3413</v>
      </c>
      <c r="B3286" s="1">
        <v>45939</v>
      </c>
      <c r="C3286" t="s">
        <v>66</v>
      </c>
      <c r="D3286">
        <v>41</v>
      </c>
      <c r="E3286" t="s">
        <v>39</v>
      </c>
      <c r="F3286" t="s">
        <v>25</v>
      </c>
      <c r="G3286" t="s">
        <v>118</v>
      </c>
      <c r="H3286" t="s">
        <v>98</v>
      </c>
      <c r="I3286">
        <v>25678</v>
      </c>
      <c r="J3286">
        <v>24792</v>
      </c>
    </row>
    <row r="3287" spans="1:10" x14ac:dyDescent="0.3">
      <c r="A3287" t="s">
        <v>3414</v>
      </c>
      <c r="B3287" s="1">
        <v>45838</v>
      </c>
      <c r="C3287" t="s">
        <v>74</v>
      </c>
      <c r="D3287">
        <v>27</v>
      </c>
      <c r="E3287" t="s">
        <v>33</v>
      </c>
      <c r="F3287" t="s">
        <v>13</v>
      </c>
      <c r="G3287" t="s">
        <v>88</v>
      </c>
      <c r="H3287" t="s">
        <v>55</v>
      </c>
      <c r="I3287">
        <v>18652</v>
      </c>
      <c r="J3287">
        <v>14491</v>
      </c>
    </row>
    <row r="3288" spans="1:10" x14ac:dyDescent="0.3">
      <c r="A3288" t="s">
        <v>3415</v>
      </c>
      <c r="B3288" s="1">
        <v>46017</v>
      </c>
      <c r="C3288" t="s">
        <v>100</v>
      </c>
      <c r="D3288">
        <v>52</v>
      </c>
      <c r="E3288" t="s">
        <v>18</v>
      </c>
      <c r="F3288" t="s">
        <v>122</v>
      </c>
      <c r="G3288" t="s">
        <v>224</v>
      </c>
      <c r="H3288" t="s">
        <v>151</v>
      </c>
      <c r="I3288">
        <v>34489</v>
      </c>
      <c r="J3288">
        <v>38938</v>
      </c>
    </row>
    <row r="3289" spans="1:10" x14ac:dyDescent="0.3">
      <c r="A3289" t="s">
        <v>3416</v>
      </c>
      <c r="B3289" s="1">
        <v>45791</v>
      </c>
      <c r="C3289" t="s">
        <v>90</v>
      </c>
      <c r="D3289">
        <v>20</v>
      </c>
      <c r="E3289" t="s">
        <v>24</v>
      </c>
      <c r="F3289" t="s">
        <v>114</v>
      </c>
      <c r="G3289" t="s">
        <v>93</v>
      </c>
      <c r="H3289" t="s">
        <v>52</v>
      </c>
      <c r="I3289">
        <v>15265</v>
      </c>
      <c r="J3289">
        <v>11347</v>
      </c>
    </row>
    <row r="3290" spans="1:10" x14ac:dyDescent="0.3">
      <c r="A3290" t="s">
        <v>3417</v>
      </c>
      <c r="B3290" s="1">
        <v>45727</v>
      </c>
      <c r="C3290" t="s">
        <v>95</v>
      </c>
      <c r="D3290">
        <v>11</v>
      </c>
      <c r="E3290" t="s">
        <v>33</v>
      </c>
      <c r="F3290" t="s">
        <v>62</v>
      </c>
      <c r="G3290" t="s">
        <v>240</v>
      </c>
      <c r="H3290" t="s">
        <v>165</v>
      </c>
      <c r="I3290">
        <v>25359</v>
      </c>
      <c r="J3290">
        <v>25700</v>
      </c>
    </row>
    <row r="3291" spans="1:10" x14ac:dyDescent="0.3">
      <c r="A3291" t="s">
        <v>3418</v>
      </c>
      <c r="B3291" s="1">
        <v>46009</v>
      </c>
      <c r="C3291" t="s">
        <v>100</v>
      </c>
      <c r="D3291">
        <v>51</v>
      </c>
      <c r="E3291" t="s">
        <v>33</v>
      </c>
      <c r="F3291" t="s">
        <v>75</v>
      </c>
      <c r="G3291" t="s">
        <v>88</v>
      </c>
      <c r="H3291" t="s">
        <v>116</v>
      </c>
      <c r="I3291">
        <v>21542</v>
      </c>
      <c r="J3291">
        <v>26528</v>
      </c>
    </row>
    <row r="3292" spans="1:10" x14ac:dyDescent="0.3">
      <c r="A3292" t="s">
        <v>3419</v>
      </c>
      <c r="B3292" s="1">
        <v>45660</v>
      </c>
      <c r="C3292" t="s">
        <v>17</v>
      </c>
      <c r="D3292">
        <v>1</v>
      </c>
      <c r="E3292" t="s">
        <v>24</v>
      </c>
      <c r="F3292" t="s">
        <v>13</v>
      </c>
      <c r="G3292" t="s">
        <v>324</v>
      </c>
      <c r="H3292" t="s">
        <v>165</v>
      </c>
      <c r="I3292">
        <v>23125</v>
      </c>
      <c r="J3292">
        <v>26851</v>
      </c>
    </row>
    <row r="3293" spans="1:10" x14ac:dyDescent="0.3">
      <c r="A3293" t="s">
        <v>3420</v>
      </c>
      <c r="B3293" s="1">
        <v>45795</v>
      </c>
      <c r="C3293" t="s">
        <v>90</v>
      </c>
      <c r="D3293">
        <v>20</v>
      </c>
      <c r="E3293" t="s">
        <v>39</v>
      </c>
      <c r="F3293" t="s">
        <v>50</v>
      </c>
      <c r="G3293" t="s">
        <v>147</v>
      </c>
      <c r="H3293" t="s">
        <v>96</v>
      </c>
      <c r="I3293">
        <v>34750</v>
      </c>
      <c r="J3293">
        <v>25628</v>
      </c>
    </row>
    <row r="3294" spans="1:10" x14ac:dyDescent="0.3">
      <c r="A3294" t="s">
        <v>3421</v>
      </c>
      <c r="B3294" s="1">
        <v>45668</v>
      </c>
      <c r="C3294" t="s">
        <v>17</v>
      </c>
      <c r="D3294">
        <v>2</v>
      </c>
      <c r="E3294" t="s">
        <v>39</v>
      </c>
      <c r="F3294" t="s">
        <v>75</v>
      </c>
      <c r="G3294" t="s">
        <v>135</v>
      </c>
      <c r="H3294" t="s">
        <v>96</v>
      </c>
      <c r="I3294">
        <v>15205</v>
      </c>
      <c r="J3294">
        <v>19142</v>
      </c>
    </row>
    <row r="3295" spans="1:10" x14ac:dyDescent="0.3">
      <c r="A3295" t="s">
        <v>3422</v>
      </c>
      <c r="B3295" s="1">
        <v>45967</v>
      </c>
      <c r="C3295" t="s">
        <v>23</v>
      </c>
      <c r="D3295">
        <v>45</v>
      </c>
      <c r="E3295" t="s">
        <v>61</v>
      </c>
      <c r="F3295" t="s">
        <v>46</v>
      </c>
      <c r="G3295" t="s">
        <v>26</v>
      </c>
      <c r="H3295" t="s">
        <v>98</v>
      </c>
      <c r="I3295">
        <v>33400</v>
      </c>
      <c r="J3295">
        <v>30071</v>
      </c>
    </row>
    <row r="3296" spans="1:10" x14ac:dyDescent="0.3">
      <c r="A3296" t="s">
        <v>3423</v>
      </c>
      <c r="B3296" s="1">
        <v>45962</v>
      </c>
      <c r="C3296" t="s">
        <v>23</v>
      </c>
      <c r="D3296">
        <v>44</v>
      </c>
      <c r="E3296" t="s">
        <v>61</v>
      </c>
      <c r="F3296" t="s">
        <v>46</v>
      </c>
      <c r="G3296" t="s">
        <v>26</v>
      </c>
      <c r="H3296" t="s">
        <v>111</v>
      </c>
      <c r="I3296">
        <v>19300</v>
      </c>
      <c r="J3296">
        <v>15987</v>
      </c>
    </row>
    <row r="3297" spans="1:10" x14ac:dyDescent="0.3">
      <c r="A3297" t="s">
        <v>3424</v>
      </c>
      <c r="B3297" s="1">
        <v>45882</v>
      </c>
      <c r="C3297" t="s">
        <v>113</v>
      </c>
      <c r="D3297">
        <v>33</v>
      </c>
      <c r="E3297" t="s">
        <v>24</v>
      </c>
      <c r="F3297" t="s">
        <v>19</v>
      </c>
      <c r="G3297" t="s">
        <v>234</v>
      </c>
      <c r="H3297" t="s">
        <v>103</v>
      </c>
      <c r="I3297">
        <v>22655</v>
      </c>
      <c r="J3297">
        <v>17189</v>
      </c>
    </row>
    <row r="3298" spans="1:10" x14ac:dyDescent="0.3">
      <c r="A3298" t="s">
        <v>3425</v>
      </c>
      <c r="B3298" s="1">
        <v>45788</v>
      </c>
      <c r="C3298" t="s">
        <v>90</v>
      </c>
      <c r="D3298">
        <v>19</v>
      </c>
      <c r="E3298" t="s">
        <v>18</v>
      </c>
      <c r="F3298" t="s">
        <v>75</v>
      </c>
      <c r="G3298" t="s">
        <v>160</v>
      </c>
      <c r="H3298" t="s">
        <v>103</v>
      </c>
      <c r="I3298">
        <v>19974</v>
      </c>
      <c r="J3298">
        <v>19416</v>
      </c>
    </row>
    <row r="3299" spans="1:10" x14ac:dyDescent="0.3">
      <c r="A3299" t="s">
        <v>3426</v>
      </c>
      <c r="B3299" s="1">
        <v>45973</v>
      </c>
      <c r="C3299" t="s">
        <v>23</v>
      </c>
      <c r="D3299">
        <v>46</v>
      </c>
      <c r="E3299" t="s">
        <v>33</v>
      </c>
      <c r="F3299" t="s">
        <v>62</v>
      </c>
      <c r="G3299" t="s">
        <v>76</v>
      </c>
      <c r="H3299" t="s">
        <v>188</v>
      </c>
      <c r="I3299">
        <v>19535</v>
      </c>
      <c r="J3299">
        <v>17855</v>
      </c>
    </row>
    <row r="3300" spans="1:10" x14ac:dyDescent="0.3">
      <c r="A3300" t="s">
        <v>3427</v>
      </c>
      <c r="B3300" s="1">
        <v>45665</v>
      </c>
      <c r="C3300" t="s">
        <v>17</v>
      </c>
      <c r="D3300">
        <v>2</v>
      </c>
      <c r="E3300" t="s">
        <v>18</v>
      </c>
      <c r="F3300" t="s">
        <v>78</v>
      </c>
      <c r="G3300" t="s">
        <v>234</v>
      </c>
      <c r="H3300" t="s">
        <v>84</v>
      </c>
      <c r="I3300">
        <v>34777</v>
      </c>
      <c r="J3300">
        <v>29542</v>
      </c>
    </row>
    <row r="3301" spans="1:10" x14ac:dyDescent="0.3">
      <c r="A3301" t="s">
        <v>3428</v>
      </c>
      <c r="B3301" s="1">
        <v>45975</v>
      </c>
      <c r="C3301" t="s">
        <v>23</v>
      </c>
      <c r="D3301">
        <v>46</v>
      </c>
      <c r="E3301" t="s">
        <v>33</v>
      </c>
      <c r="F3301" t="s">
        <v>34</v>
      </c>
      <c r="G3301" t="s">
        <v>130</v>
      </c>
      <c r="H3301" t="s">
        <v>163</v>
      </c>
      <c r="I3301">
        <v>22983</v>
      </c>
      <c r="J3301">
        <v>19144</v>
      </c>
    </row>
    <row r="3302" spans="1:10" x14ac:dyDescent="0.3">
      <c r="A3302" t="s">
        <v>3429</v>
      </c>
      <c r="B3302" s="1">
        <v>45809</v>
      </c>
      <c r="C3302" t="s">
        <v>74</v>
      </c>
      <c r="D3302">
        <v>22</v>
      </c>
      <c r="E3302" t="s">
        <v>18</v>
      </c>
      <c r="F3302" t="s">
        <v>43</v>
      </c>
      <c r="G3302" t="s">
        <v>20</v>
      </c>
      <c r="H3302" t="s">
        <v>165</v>
      </c>
      <c r="I3302">
        <v>31713</v>
      </c>
      <c r="J3302">
        <v>22879</v>
      </c>
    </row>
    <row r="3303" spans="1:10" x14ac:dyDescent="0.3">
      <c r="A3303" t="s">
        <v>3430</v>
      </c>
      <c r="B3303" s="1">
        <v>45822</v>
      </c>
      <c r="C3303" t="s">
        <v>74</v>
      </c>
      <c r="D3303">
        <v>24</v>
      </c>
      <c r="E3303" t="s">
        <v>33</v>
      </c>
      <c r="F3303" t="s">
        <v>46</v>
      </c>
      <c r="G3303" t="s">
        <v>266</v>
      </c>
      <c r="H3303" t="s">
        <v>157</v>
      </c>
      <c r="I3303">
        <v>16260</v>
      </c>
      <c r="J3303">
        <v>12306</v>
      </c>
    </row>
    <row r="3304" spans="1:10" x14ac:dyDescent="0.3">
      <c r="A3304" t="s">
        <v>3431</v>
      </c>
      <c r="B3304" s="1">
        <v>45772</v>
      </c>
      <c r="C3304" t="s">
        <v>86</v>
      </c>
      <c r="D3304">
        <v>17</v>
      </c>
      <c r="E3304" t="s">
        <v>70</v>
      </c>
      <c r="F3304" t="s">
        <v>193</v>
      </c>
      <c r="G3304" t="s">
        <v>147</v>
      </c>
      <c r="H3304" t="s">
        <v>59</v>
      </c>
      <c r="I3304">
        <v>28612</v>
      </c>
      <c r="J3304">
        <v>24991</v>
      </c>
    </row>
    <row r="3305" spans="1:10" x14ac:dyDescent="0.3">
      <c r="A3305" t="s">
        <v>3432</v>
      </c>
      <c r="B3305" s="1">
        <v>45962</v>
      </c>
      <c r="C3305" t="s">
        <v>23</v>
      </c>
      <c r="D3305">
        <v>44</v>
      </c>
      <c r="E3305" t="s">
        <v>18</v>
      </c>
      <c r="F3305" t="s">
        <v>34</v>
      </c>
      <c r="G3305" t="s">
        <v>20</v>
      </c>
      <c r="H3305" t="s">
        <v>52</v>
      </c>
      <c r="I3305">
        <v>17158</v>
      </c>
      <c r="J3305">
        <v>18109</v>
      </c>
    </row>
    <row r="3306" spans="1:10" x14ac:dyDescent="0.3">
      <c r="A3306" t="s">
        <v>3433</v>
      </c>
      <c r="B3306" s="1">
        <v>45895</v>
      </c>
      <c r="C3306" t="s">
        <v>113</v>
      </c>
      <c r="D3306">
        <v>35</v>
      </c>
      <c r="E3306" t="s">
        <v>33</v>
      </c>
      <c r="F3306" t="s">
        <v>140</v>
      </c>
      <c r="G3306" t="s">
        <v>118</v>
      </c>
      <c r="H3306" t="s">
        <v>103</v>
      </c>
      <c r="I3306">
        <v>15353</v>
      </c>
      <c r="J3306">
        <v>19245</v>
      </c>
    </row>
    <row r="3307" spans="1:10" x14ac:dyDescent="0.3">
      <c r="A3307" t="s">
        <v>3434</v>
      </c>
      <c r="B3307" s="1">
        <v>45726</v>
      </c>
      <c r="C3307" t="s">
        <v>95</v>
      </c>
      <c r="D3307">
        <v>11</v>
      </c>
      <c r="E3307" t="s">
        <v>12</v>
      </c>
      <c r="F3307" t="s">
        <v>25</v>
      </c>
      <c r="G3307" t="s">
        <v>51</v>
      </c>
      <c r="H3307" t="s">
        <v>211</v>
      </c>
      <c r="I3307">
        <v>25022</v>
      </c>
      <c r="J3307">
        <v>24693</v>
      </c>
    </row>
    <row r="3308" spans="1:10" x14ac:dyDescent="0.3">
      <c r="A3308" t="s">
        <v>3435</v>
      </c>
      <c r="B3308" s="1">
        <v>45964</v>
      </c>
      <c r="C3308" t="s">
        <v>23</v>
      </c>
      <c r="D3308">
        <v>45</v>
      </c>
      <c r="E3308" t="s">
        <v>24</v>
      </c>
      <c r="F3308" t="s">
        <v>109</v>
      </c>
      <c r="G3308" t="s">
        <v>326</v>
      </c>
      <c r="H3308" t="s">
        <v>165</v>
      </c>
      <c r="I3308">
        <v>35837</v>
      </c>
      <c r="J3308">
        <v>43842</v>
      </c>
    </row>
    <row r="3309" spans="1:10" x14ac:dyDescent="0.3">
      <c r="A3309" t="s">
        <v>3436</v>
      </c>
      <c r="B3309" s="1">
        <v>45765</v>
      </c>
      <c r="C3309" t="s">
        <v>86</v>
      </c>
      <c r="D3309">
        <v>16</v>
      </c>
      <c r="E3309" t="s">
        <v>12</v>
      </c>
      <c r="F3309" t="s">
        <v>62</v>
      </c>
      <c r="G3309" t="s">
        <v>326</v>
      </c>
      <c r="H3309" t="s">
        <v>36</v>
      </c>
      <c r="I3309">
        <v>37184</v>
      </c>
      <c r="J3309">
        <v>47796</v>
      </c>
    </row>
    <row r="3310" spans="1:10" x14ac:dyDescent="0.3">
      <c r="A3310" t="s">
        <v>3437</v>
      </c>
      <c r="B3310" s="1">
        <v>46007</v>
      </c>
      <c r="C3310" t="s">
        <v>100</v>
      </c>
      <c r="D3310">
        <v>51</v>
      </c>
      <c r="E3310" t="s">
        <v>33</v>
      </c>
      <c r="F3310" t="s">
        <v>13</v>
      </c>
      <c r="G3310" t="s">
        <v>51</v>
      </c>
      <c r="H3310" t="s">
        <v>211</v>
      </c>
      <c r="I3310">
        <v>23311</v>
      </c>
      <c r="J3310">
        <v>23424</v>
      </c>
    </row>
    <row r="3311" spans="1:10" x14ac:dyDescent="0.3">
      <c r="A3311" t="s">
        <v>3438</v>
      </c>
      <c r="B3311" s="1">
        <v>45827</v>
      </c>
      <c r="C3311" t="s">
        <v>74</v>
      </c>
      <c r="D3311">
        <v>25</v>
      </c>
      <c r="E3311" t="s">
        <v>24</v>
      </c>
      <c r="F3311" t="s">
        <v>46</v>
      </c>
      <c r="G3311" t="s">
        <v>128</v>
      </c>
      <c r="H3311" t="s">
        <v>96</v>
      </c>
      <c r="I3311">
        <v>34000</v>
      </c>
      <c r="J3311">
        <v>33453</v>
      </c>
    </row>
    <row r="3312" spans="1:10" x14ac:dyDescent="0.3">
      <c r="A3312" t="s">
        <v>3439</v>
      </c>
      <c r="B3312" s="1">
        <v>45884</v>
      </c>
      <c r="C3312" t="s">
        <v>113</v>
      </c>
      <c r="D3312">
        <v>33</v>
      </c>
      <c r="E3312" t="s">
        <v>24</v>
      </c>
      <c r="F3312" t="s">
        <v>13</v>
      </c>
      <c r="G3312" t="s">
        <v>206</v>
      </c>
      <c r="H3312" t="s">
        <v>133</v>
      </c>
      <c r="I3312">
        <v>15781</v>
      </c>
      <c r="J3312">
        <v>11262</v>
      </c>
    </row>
    <row r="3313" spans="1:10" x14ac:dyDescent="0.3">
      <c r="A3313" t="s">
        <v>3440</v>
      </c>
      <c r="B3313" s="1">
        <v>45933</v>
      </c>
      <c r="C3313" t="s">
        <v>66</v>
      </c>
      <c r="D3313">
        <v>40</v>
      </c>
      <c r="E3313" t="s">
        <v>70</v>
      </c>
      <c r="F3313" t="s">
        <v>25</v>
      </c>
      <c r="G3313" t="s">
        <v>291</v>
      </c>
      <c r="H3313" t="s">
        <v>48</v>
      </c>
      <c r="I3313">
        <v>20897</v>
      </c>
      <c r="J3313">
        <v>22877</v>
      </c>
    </row>
    <row r="3314" spans="1:10" x14ac:dyDescent="0.3">
      <c r="A3314" t="s">
        <v>3441</v>
      </c>
      <c r="B3314" s="1">
        <v>45990</v>
      </c>
      <c r="C3314" t="s">
        <v>23</v>
      </c>
      <c r="D3314">
        <v>48</v>
      </c>
      <c r="E3314" t="s">
        <v>33</v>
      </c>
      <c r="F3314" t="s">
        <v>25</v>
      </c>
      <c r="G3314" t="s">
        <v>199</v>
      </c>
      <c r="H3314" t="s">
        <v>59</v>
      </c>
      <c r="I3314">
        <v>33329</v>
      </c>
      <c r="J3314">
        <v>31017</v>
      </c>
    </row>
    <row r="3315" spans="1:10" x14ac:dyDescent="0.3">
      <c r="A3315" t="s">
        <v>3442</v>
      </c>
      <c r="B3315" s="1">
        <v>45685</v>
      </c>
      <c r="C3315" t="s">
        <v>17</v>
      </c>
      <c r="D3315">
        <v>5</v>
      </c>
      <c r="E3315" t="s">
        <v>18</v>
      </c>
      <c r="F3315" t="s">
        <v>101</v>
      </c>
      <c r="G3315" t="s">
        <v>79</v>
      </c>
      <c r="H3315" t="s">
        <v>64</v>
      </c>
      <c r="I3315">
        <v>35791</v>
      </c>
      <c r="J3315">
        <v>26196</v>
      </c>
    </row>
    <row r="3316" spans="1:10" x14ac:dyDescent="0.3">
      <c r="A3316" t="s">
        <v>3443</v>
      </c>
      <c r="B3316" s="1">
        <v>45746</v>
      </c>
      <c r="C3316" t="s">
        <v>95</v>
      </c>
      <c r="D3316">
        <v>13</v>
      </c>
      <c r="E3316" t="s">
        <v>12</v>
      </c>
      <c r="F3316" t="s">
        <v>19</v>
      </c>
      <c r="G3316" t="s">
        <v>324</v>
      </c>
      <c r="H3316" t="s">
        <v>41</v>
      </c>
      <c r="I3316">
        <v>25778</v>
      </c>
      <c r="J3316">
        <v>32275</v>
      </c>
    </row>
    <row r="3317" spans="1:10" x14ac:dyDescent="0.3">
      <c r="A3317" t="s">
        <v>3444</v>
      </c>
      <c r="B3317" s="1">
        <v>45856</v>
      </c>
      <c r="C3317" t="s">
        <v>11</v>
      </c>
      <c r="D3317">
        <v>29</v>
      </c>
      <c r="E3317" t="s">
        <v>12</v>
      </c>
      <c r="F3317" t="s">
        <v>25</v>
      </c>
      <c r="G3317" t="s">
        <v>326</v>
      </c>
      <c r="H3317" t="s">
        <v>15</v>
      </c>
      <c r="I3317">
        <v>31073</v>
      </c>
      <c r="J3317">
        <v>36608</v>
      </c>
    </row>
    <row r="3318" spans="1:10" x14ac:dyDescent="0.3">
      <c r="A3318" t="s">
        <v>3445</v>
      </c>
      <c r="B3318" s="1">
        <v>45811</v>
      </c>
      <c r="C3318" t="s">
        <v>74</v>
      </c>
      <c r="D3318">
        <v>23</v>
      </c>
      <c r="E3318" t="s">
        <v>70</v>
      </c>
      <c r="F3318" t="s">
        <v>92</v>
      </c>
      <c r="G3318" t="s">
        <v>79</v>
      </c>
      <c r="H3318" t="s">
        <v>55</v>
      </c>
      <c r="I3318">
        <v>33294</v>
      </c>
      <c r="J3318">
        <v>32564</v>
      </c>
    </row>
    <row r="3319" spans="1:10" x14ac:dyDescent="0.3">
      <c r="A3319" t="s">
        <v>3446</v>
      </c>
      <c r="B3319" s="1">
        <v>45853</v>
      </c>
      <c r="C3319" t="s">
        <v>11</v>
      </c>
      <c r="D3319">
        <v>29</v>
      </c>
      <c r="E3319" t="s">
        <v>61</v>
      </c>
      <c r="F3319" t="s">
        <v>87</v>
      </c>
      <c r="G3319" t="s">
        <v>135</v>
      </c>
      <c r="H3319" t="s">
        <v>188</v>
      </c>
      <c r="I3319">
        <v>16036</v>
      </c>
      <c r="J3319">
        <v>16052</v>
      </c>
    </row>
    <row r="3320" spans="1:10" x14ac:dyDescent="0.3">
      <c r="A3320" t="s">
        <v>3447</v>
      </c>
      <c r="B3320" s="1">
        <v>45922</v>
      </c>
      <c r="C3320" t="s">
        <v>38</v>
      </c>
      <c r="D3320">
        <v>39</v>
      </c>
      <c r="E3320" t="s">
        <v>39</v>
      </c>
      <c r="F3320" t="s">
        <v>57</v>
      </c>
      <c r="G3320" t="s">
        <v>107</v>
      </c>
      <c r="H3320" t="s">
        <v>31</v>
      </c>
      <c r="I3320">
        <v>19758</v>
      </c>
      <c r="J3320">
        <v>15306</v>
      </c>
    </row>
    <row r="3321" spans="1:10" x14ac:dyDescent="0.3">
      <c r="A3321" t="s">
        <v>3448</v>
      </c>
      <c r="B3321" s="1">
        <v>45688</v>
      </c>
      <c r="C3321" t="s">
        <v>17</v>
      </c>
      <c r="D3321">
        <v>5</v>
      </c>
      <c r="E3321" t="s">
        <v>70</v>
      </c>
      <c r="F3321" t="s">
        <v>43</v>
      </c>
      <c r="G3321" t="s">
        <v>67</v>
      </c>
      <c r="H3321" t="s">
        <v>31</v>
      </c>
      <c r="I3321">
        <v>35354</v>
      </c>
      <c r="J3321">
        <v>44014</v>
      </c>
    </row>
    <row r="3322" spans="1:10" x14ac:dyDescent="0.3">
      <c r="A3322" t="s">
        <v>3449</v>
      </c>
      <c r="B3322" s="1">
        <v>45783</v>
      </c>
      <c r="C3322" t="s">
        <v>90</v>
      </c>
      <c r="D3322">
        <v>19</v>
      </c>
      <c r="E3322" t="s">
        <v>70</v>
      </c>
      <c r="F3322" t="s">
        <v>92</v>
      </c>
      <c r="G3322" t="s">
        <v>63</v>
      </c>
      <c r="H3322" t="s">
        <v>41</v>
      </c>
      <c r="I3322">
        <v>26916</v>
      </c>
      <c r="J3322">
        <v>22057</v>
      </c>
    </row>
    <row r="3323" spans="1:10" x14ac:dyDescent="0.3">
      <c r="A3323" t="s">
        <v>3450</v>
      </c>
      <c r="B3323" s="1">
        <v>45847</v>
      </c>
      <c r="C3323" t="s">
        <v>11</v>
      </c>
      <c r="D3323">
        <v>28</v>
      </c>
      <c r="E3323" t="s">
        <v>33</v>
      </c>
      <c r="F3323" t="s">
        <v>78</v>
      </c>
      <c r="G3323" t="s">
        <v>191</v>
      </c>
      <c r="H3323" t="s">
        <v>155</v>
      </c>
      <c r="I3323">
        <v>27159</v>
      </c>
      <c r="J3323">
        <v>25725</v>
      </c>
    </row>
    <row r="3324" spans="1:10" x14ac:dyDescent="0.3">
      <c r="A3324" t="s">
        <v>3451</v>
      </c>
      <c r="B3324" s="1">
        <v>45858</v>
      </c>
      <c r="C3324" t="s">
        <v>11</v>
      </c>
      <c r="D3324">
        <v>29</v>
      </c>
      <c r="E3324" t="s">
        <v>61</v>
      </c>
      <c r="F3324" t="s">
        <v>34</v>
      </c>
      <c r="G3324" t="s">
        <v>253</v>
      </c>
      <c r="H3324" t="s">
        <v>157</v>
      </c>
      <c r="I3324">
        <v>32860</v>
      </c>
      <c r="J3324">
        <v>32740</v>
      </c>
    </row>
    <row r="3325" spans="1:10" x14ac:dyDescent="0.3">
      <c r="A3325" t="s">
        <v>3452</v>
      </c>
      <c r="B3325" s="1">
        <v>45763</v>
      </c>
      <c r="C3325" t="s">
        <v>86</v>
      </c>
      <c r="D3325">
        <v>16</v>
      </c>
      <c r="E3325" t="s">
        <v>39</v>
      </c>
      <c r="F3325" t="s">
        <v>57</v>
      </c>
      <c r="G3325" t="s">
        <v>230</v>
      </c>
      <c r="H3325" t="s">
        <v>31</v>
      </c>
      <c r="I3325">
        <v>24577</v>
      </c>
      <c r="J3325">
        <v>20562</v>
      </c>
    </row>
    <row r="3326" spans="1:10" x14ac:dyDescent="0.3">
      <c r="A3326" t="s">
        <v>3453</v>
      </c>
      <c r="B3326" s="1">
        <v>45674</v>
      </c>
      <c r="C3326" t="s">
        <v>17</v>
      </c>
      <c r="D3326">
        <v>3</v>
      </c>
      <c r="E3326" t="s">
        <v>12</v>
      </c>
      <c r="F3326" t="s">
        <v>50</v>
      </c>
      <c r="G3326" t="s">
        <v>324</v>
      </c>
      <c r="H3326" t="s">
        <v>52</v>
      </c>
      <c r="I3326">
        <v>22207</v>
      </c>
      <c r="J3326">
        <v>24087</v>
      </c>
    </row>
    <row r="3327" spans="1:10" x14ac:dyDescent="0.3">
      <c r="A3327" t="s">
        <v>3454</v>
      </c>
      <c r="B3327" s="1">
        <v>45749</v>
      </c>
      <c r="C3327" t="s">
        <v>86</v>
      </c>
      <c r="D3327">
        <v>14</v>
      </c>
      <c r="E3327" t="s">
        <v>39</v>
      </c>
      <c r="F3327" t="s">
        <v>46</v>
      </c>
      <c r="G3327" t="s">
        <v>224</v>
      </c>
      <c r="H3327" t="s">
        <v>21</v>
      </c>
      <c r="I3327">
        <v>26063</v>
      </c>
      <c r="J3327">
        <v>31980</v>
      </c>
    </row>
    <row r="3328" spans="1:10" x14ac:dyDescent="0.3">
      <c r="A3328" t="s">
        <v>3455</v>
      </c>
      <c r="B3328" s="1">
        <v>45741</v>
      </c>
      <c r="C3328" t="s">
        <v>95</v>
      </c>
      <c r="D3328">
        <v>13</v>
      </c>
      <c r="E3328" t="s">
        <v>33</v>
      </c>
      <c r="F3328" t="s">
        <v>19</v>
      </c>
      <c r="G3328" t="s">
        <v>206</v>
      </c>
      <c r="H3328" t="s">
        <v>64</v>
      </c>
      <c r="I3328">
        <v>33174</v>
      </c>
      <c r="J3328">
        <v>23716</v>
      </c>
    </row>
    <row r="3329" spans="1:10" x14ac:dyDescent="0.3">
      <c r="A3329" t="s">
        <v>3456</v>
      </c>
      <c r="B3329" s="1">
        <v>45688</v>
      </c>
      <c r="C3329" t="s">
        <v>17</v>
      </c>
      <c r="D3329">
        <v>5</v>
      </c>
      <c r="E3329" t="s">
        <v>12</v>
      </c>
      <c r="F3329" t="s">
        <v>78</v>
      </c>
      <c r="G3329" t="s">
        <v>135</v>
      </c>
      <c r="H3329" t="s">
        <v>52</v>
      </c>
      <c r="I3329">
        <v>36143</v>
      </c>
      <c r="J3329">
        <v>26375</v>
      </c>
    </row>
    <row r="3330" spans="1:10" x14ac:dyDescent="0.3">
      <c r="A3330" t="s">
        <v>3457</v>
      </c>
      <c r="B3330" s="1">
        <v>45701</v>
      </c>
      <c r="C3330" t="s">
        <v>82</v>
      </c>
      <c r="D3330">
        <v>7</v>
      </c>
      <c r="E3330" t="s">
        <v>33</v>
      </c>
      <c r="F3330" t="s">
        <v>57</v>
      </c>
      <c r="G3330" t="s">
        <v>79</v>
      </c>
      <c r="H3330" t="s">
        <v>84</v>
      </c>
      <c r="I3330">
        <v>37437</v>
      </c>
      <c r="J3330">
        <v>42055</v>
      </c>
    </row>
    <row r="3331" spans="1:10" x14ac:dyDescent="0.3">
      <c r="A3331" t="s">
        <v>3458</v>
      </c>
      <c r="B3331" s="1">
        <v>45957</v>
      </c>
      <c r="C3331" t="s">
        <v>66</v>
      </c>
      <c r="D3331">
        <v>44</v>
      </c>
      <c r="E3331" t="s">
        <v>70</v>
      </c>
      <c r="F3331" t="s">
        <v>62</v>
      </c>
      <c r="G3331" t="s">
        <v>149</v>
      </c>
      <c r="H3331" t="s">
        <v>165</v>
      </c>
      <c r="I3331">
        <v>26669</v>
      </c>
      <c r="J3331">
        <v>33850</v>
      </c>
    </row>
    <row r="3332" spans="1:10" x14ac:dyDescent="0.3">
      <c r="A3332" t="s">
        <v>3459</v>
      </c>
      <c r="B3332" s="1">
        <v>45966</v>
      </c>
      <c r="C3332" t="s">
        <v>23</v>
      </c>
      <c r="D3332">
        <v>45</v>
      </c>
      <c r="E3332" t="s">
        <v>18</v>
      </c>
      <c r="F3332" t="s">
        <v>92</v>
      </c>
      <c r="G3332" t="s">
        <v>199</v>
      </c>
      <c r="H3332" t="s">
        <v>119</v>
      </c>
      <c r="I3332">
        <v>31826</v>
      </c>
      <c r="J3332">
        <v>38761</v>
      </c>
    </row>
    <row r="3333" spans="1:10" x14ac:dyDescent="0.3">
      <c r="A3333" t="s">
        <v>3460</v>
      </c>
      <c r="B3333" s="1">
        <v>45851</v>
      </c>
      <c r="C3333" t="s">
        <v>11</v>
      </c>
      <c r="D3333">
        <v>28</v>
      </c>
      <c r="E3333" t="s">
        <v>18</v>
      </c>
      <c r="F3333" t="s">
        <v>62</v>
      </c>
      <c r="G3333" t="s">
        <v>76</v>
      </c>
      <c r="H3333" t="s">
        <v>84</v>
      </c>
      <c r="I3333">
        <v>26652</v>
      </c>
      <c r="J3333">
        <v>24719</v>
      </c>
    </row>
    <row r="3334" spans="1:10" x14ac:dyDescent="0.3">
      <c r="A3334" t="s">
        <v>3461</v>
      </c>
      <c r="B3334" s="1">
        <v>45822</v>
      </c>
      <c r="C3334" t="s">
        <v>74</v>
      </c>
      <c r="D3334">
        <v>24</v>
      </c>
      <c r="E3334" t="s">
        <v>39</v>
      </c>
      <c r="F3334" t="s">
        <v>114</v>
      </c>
      <c r="G3334" t="s">
        <v>199</v>
      </c>
      <c r="H3334" t="s">
        <v>68</v>
      </c>
      <c r="I3334">
        <v>37903</v>
      </c>
      <c r="J3334">
        <v>39763</v>
      </c>
    </row>
    <row r="3335" spans="1:10" x14ac:dyDescent="0.3">
      <c r="A3335" t="s">
        <v>3462</v>
      </c>
      <c r="B3335" s="1">
        <v>45989</v>
      </c>
      <c r="C3335" t="s">
        <v>23</v>
      </c>
      <c r="D3335">
        <v>48</v>
      </c>
      <c r="E3335" t="s">
        <v>61</v>
      </c>
      <c r="F3335" t="s">
        <v>46</v>
      </c>
      <c r="G3335" t="s">
        <v>201</v>
      </c>
      <c r="H3335" t="s">
        <v>151</v>
      </c>
      <c r="I3335">
        <v>17594</v>
      </c>
      <c r="J3335">
        <v>12815</v>
      </c>
    </row>
    <row r="3336" spans="1:10" x14ac:dyDescent="0.3">
      <c r="A3336" t="s">
        <v>3463</v>
      </c>
      <c r="B3336" s="1">
        <v>45820</v>
      </c>
      <c r="C3336" t="s">
        <v>74</v>
      </c>
      <c r="D3336">
        <v>24</v>
      </c>
      <c r="E3336" t="s">
        <v>33</v>
      </c>
      <c r="F3336" t="s">
        <v>50</v>
      </c>
      <c r="G3336" t="s">
        <v>230</v>
      </c>
      <c r="H3336" t="s">
        <v>111</v>
      </c>
      <c r="I3336">
        <v>22358</v>
      </c>
      <c r="J3336">
        <v>24933</v>
      </c>
    </row>
    <row r="3337" spans="1:10" x14ac:dyDescent="0.3">
      <c r="A3337" t="s">
        <v>3464</v>
      </c>
      <c r="B3337" s="1">
        <v>45762</v>
      </c>
      <c r="C3337" t="s">
        <v>86</v>
      </c>
      <c r="D3337">
        <v>16</v>
      </c>
      <c r="E3337" t="s">
        <v>18</v>
      </c>
      <c r="F3337" t="s">
        <v>34</v>
      </c>
      <c r="G3337" t="s">
        <v>83</v>
      </c>
      <c r="H3337" t="s">
        <v>155</v>
      </c>
      <c r="I3337">
        <v>19909</v>
      </c>
      <c r="J3337">
        <v>14638</v>
      </c>
    </row>
    <row r="3338" spans="1:10" x14ac:dyDescent="0.3">
      <c r="A3338" t="s">
        <v>3465</v>
      </c>
      <c r="B3338" s="1">
        <v>45800</v>
      </c>
      <c r="C3338" t="s">
        <v>90</v>
      </c>
      <c r="D3338">
        <v>21</v>
      </c>
      <c r="E3338" t="s">
        <v>24</v>
      </c>
      <c r="F3338" t="s">
        <v>57</v>
      </c>
      <c r="G3338" t="s">
        <v>191</v>
      </c>
      <c r="H3338" t="s">
        <v>155</v>
      </c>
      <c r="I3338">
        <v>38828</v>
      </c>
      <c r="J3338">
        <v>29471</v>
      </c>
    </row>
    <row r="3339" spans="1:10" x14ac:dyDescent="0.3">
      <c r="A3339" t="s">
        <v>3466</v>
      </c>
      <c r="B3339" s="1">
        <v>45787</v>
      </c>
      <c r="C3339" t="s">
        <v>90</v>
      </c>
      <c r="D3339">
        <v>19</v>
      </c>
      <c r="E3339" t="s">
        <v>24</v>
      </c>
      <c r="F3339" t="s">
        <v>114</v>
      </c>
      <c r="G3339" t="s">
        <v>14</v>
      </c>
      <c r="H3339" t="s">
        <v>243</v>
      </c>
      <c r="I3339">
        <v>26528</v>
      </c>
      <c r="J3339">
        <v>21023</v>
      </c>
    </row>
    <row r="3340" spans="1:10" x14ac:dyDescent="0.3">
      <c r="A3340" t="s">
        <v>3467</v>
      </c>
      <c r="B3340" s="1">
        <v>45893</v>
      </c>
      <c r="C3340" t="s">
        <v>113</v>
      </c>
      <c r="D3340">
        <v>34</v>
      </c>
      <c r="E3340" t="s">
        <v>12</v>
      </c>
      <c r="F3340" t="s">
        <v>140</v>
      </c>
      <c r="G3340" t="s">
        <v>147</v>
      </c>
      <c r="H3340" t="s">
        <v>41</v>
      </c>
      <c r="I3340">
        <v>38172</v>
      </c>
      <c r="J3340">
        <v>36510</v>
      </c>
    </row>
    <row r="3341" spans="1:10" x14ac:dyDescent="0.3">
      <c r="A3341" t="s">
        <v>3468</v>
      </c>
      <c r="B3341" s="1">
        <v>45857</v>
      </c>
      <c r="C3341" t="s">
        <v>11</v>
      </c>
      <c r="D3341">
        <v>29</v>
      </c>
      <c r="E3341" t="s">
        <v>61</v>
      </c>
      <c r="F3341" t="s">
        <v>101</v>
      </c>
      <c r="G3341" t="s">
        <v>63</v>
      </c>
      <c r="H3341" t="s">
        <v>119</v>
      </c>
      <c r="I3341">
        <v>22175</v>
      </c>
      <c r="J3341">
        <v>22068</v>
      </c>
    </row>
    <row r="3342" spans="1:10" x14ac:dyDescent="0.3">
      <c r="A3342" t="s">
        <v>3469</v>
      </c>
      <c r="B3342" s="1">
        <v>45750</v>
      </c>
      <c r="C3342" t="s">
        <v>86</v>
      </c>
      <c r="D3342">
        <v>14</v>
      </c>
      <c r="E3342" t="s">
        <v>61</v>
      </c>
      <c r="F3342" t="s">
        <v>62</v>
      </c>
      <c r="G3342" t="s">
        <v>51</v>
      </c>
      <c r="H3342" t="s">
        <v>133</v>
      </c>
      <c r="I3342">
        <v>24724</v>
      </c>
      <c r="J3342">
        <v>22583</v>
      </c>
    </row>
    <row r="3343" spans="1:10" x14ac:dyDescent="0.3">
      <c r="A3343" t="s">
        <v>3470</v>
      </c>
      <c r="B3343" s="1">
        <v>45749</v>
      </c>
      <c r="C3343" t="s">
        <v>86</v>
      </c>
      <c r="D3343">
        <v>14</v>
      </c>
      <c r="E3343" t="s">
        <v>39</v>
      </c>
      <c r="F3343" t="s">
        <v>13</v>
      </c>
      <c r="G3343" t="s">
        <v>83</v>
      </c>
      <c r="H3343" t="s">
        <v>59</v>
      </c>
      <c r="I3343">
        <v>15044</v>
      </c>
      <c r="J3343">
        <v>10907</v>
      </c>
    </row>
    <row r="3344" spans="1:10" x14ac:dyDescent="0.3">
      <c r="A3344" t="s">
        <v>3471</v>
      </c>
      <c r="B3344" s="1">
        <v>45784</v>
      </c>
      <c r="C3344" t="s">
        <v>90</v>
      </c>
      <c r="D3344">
        <v>19</v>
      </c>
      <c r="E3344" t="s">
        <v>18</v>
      </c>
      <c r="F3344" t="s">
        <v>78</v>
      </c>
      <c r="G3344" t="s">
        <v>58</v>
      </c>
      <c r="H3344" t="s">
        <v>103</v>
      </c>
      <c r="I3344">
        <v>38499</v>
      </c>
      <c r="J3344">
        <v>37146</v>
      </c>
    </row>
    <row r="3345" spans="1:10" x14ac:dyDescent="0.3">
      <c r="A3345" t="s">
        <v>3472</v>
      </c>
      <c r="B3345" s="1">
        <v>45757</v>
      </c>
      <c r="C3345" t="s">
        <v>86</v>
      </c>
      <c r="D3345">
        <v>15</v>
      </c>
      <c r="E3345" t="s">
        <v>24</v>
      </c>
      <c r="F3345" t="s">
        <v>34</v>
      </c>
      <c r="G3345" t="s">
        <v>47</v>
      </c>
      <c r="H3345" t="s">
        <v>188</v>
      </c>
      <c r="I3345">
        <v>18365</v>
      </c>
      <c r="J3345">
        <v>16659</v>
      </c>
    </row>
    <row r="3346" spans="1:10" x14ac:dyDescent="0.3">
      <c r="A3346" t="s">
        <v>3473</v>
      </c>
      <c r="B3346" s="1">
        <v>45968</v>
      </c>
      <c r="C3346" t="s">
        <v>23</v>
      </c>
      <c r="D3346">
        <v>45</v>
      </c>
      <c r="E3346" t="s">
        <v>70</v>
      </c>
      <c r="F3346" t="s">
        <v>29</v>
      </c>
      <c r="G3346" t="s">
        <v>324</v>
      </c>
      <c r="H3346" t="s">
        <v>52</v>
      </c>
      <c r="I3346">
        <v>20350</v>
      </c>
      <c r="J3346">
        <v>20161</v>
      </c>
    </row>
    <row r="3347" spans="1:10" x14ac:dyDescent="0.3">
      <c r="A3347" t="s">
        <v>3474</v>
      </c>
      <c r="B3347" s="1">
        <v>45756</v>
      </c>
      <c r="C3347" t="s">
        <v>86</v>
      </c>
      <c r="D3347">
        <v>15</v>
      </c>
      <c r="E3347" t="s">
        <v>39</v>
      </c>
      <c r="F3347" t="s">
        <v>29</v>
      </c>
      <c r="G3347" t="s">
        <v>44</v>
      </c>
      <c r="H3347" t="s">
        <v>133</v>
      </c>
      <c r="I3347">
        <v>17245</v>
      </c>
      <c r="J3347">
        <v>18710</v>
      </c>
    </row>
    <row r="3348" spans="1:10" x14ac:dyDescent="0.3">
      <c r="A3348" t="s">
        <v>3475</v>
      </c>
      <c r="B3348" s="1">
        <v>45723</v>
      </c>
      <c r="C3348" t="s">
        <v>95</v>
      </c>
      <c r="D3348">
        <v>10</v>
      </c>
      <c r="E3348" t="s">
        <v>24</v>
      </c>
      <c r="F3348" t="s">
        <v>193</v>
      </c>
      <c r="G3348" t="s">
        <v>171</v>
      </c>
      <c r="H3348" t="s">
        <v>52</v>
      </c>
      <c r="I3348">
        <v>30682</v>
      </c>
      <c r="J3348">
        <v>29702</v>
      </c>
    </row>
    <row r="3349" spans="1:10" x14ac:dyDescent="0.3">
      <c r="A3349" t="s">
        <v>3476</v>
      </c>
      <c r="B3349" s="1">
        <v>45737</v>
      </c>
      <c r="C3349" t="s">
        <v>95</v>
      </c>
      <c r="D3349">
        <v>12</v>
      </c>
      <c r="E3349" t="s">
        <v>70</v>
      </c>
      <c r="F3349" t="s">
        <v>25</v>
      </c>
      <c r="G3349" t="s">
        <v>130</v>
      </c>
      <c r="H3349" t="s">
        <v>59</v>
      </c>
      <c r="I3349">
        <v>31654</v>
      </c>
      <c r="J3349">
        <v>32690</v>
      </c>
    </row>
    <row r="3350" spans="1:10" x14ac:dyDescent="0.3">
      <c r="A3350" t="s">
        <v>3477</v>
      </c>
      <c r="B3350" s="1">
        <v>46004</v>
      </c>
      <c r="C3350" t="s">
        <v>100</v>
      </c>
      <c r="D3350">
        <v>50</v>
      </c>
      <c r="E3350" t="s">
        <v>24</v>
      </c>
      <c r="F3350" t="s">
        <v>101</v>
      </c>
      <c r="G3350" t="s">
        <v>40</v>
      </c>
      <c r="H3350" t="s">
        <v>31</v>
      </c>
      <c r="I3350">
        <v>29935</v>
      </c>
      <c r="J3350">
        <v>33434</v>
      </c>
    </row>
    <row r="3351" spans="1:10" x14ac:dyDescent="0.3">
      <c r="A3351" t="s">
        <v>3478</v>
      </c>
      <c r="B3351" s="1">
        <v>45836</v>
      </c>
      <c r="C3351" t="s">
        <v>74</v>
      </c>
      <c r="D3351">
        <v>26</v>
      </c>
      <c r="E3351" t="s">
        <v>12</v>
      </c>
      <c r="F3351" t="s">
        <v>101</v>
      </c>
      <c r="G3351" t="s">
        <v>128</v>
      </c>
      <c r="H3351" t="s">
        <v>80</v>
      </c>
      <c r="I3351">
        <v>15188</v>
      </c>
      <c r="J3351">
        <v>14512</v>
      </c>
    </row>
    <row r="3352" spans="1:10" x14ac:dyDescent="0.3">
      <c r="A3352" t="s">
        <v>3479</v>
      </c>
      <c r="B3352" s="1">
        <v>45812</v>
      </c>
      <c r="C3352" t="s">
        <v>74</v>
      </c>
      <c r="D3352">
        <v>23</v>
      </c>
      <c r="E3352" t="s">
        <v>18</v>
      </c>
      <c r="F3352" t="s">
        <v>75</v>
      </c>
      <c r="G3352" t="s">
        <v>253</v>
      </c>
      <c r="H3352" t="s">
        <v>59</v>
      </c>
      <c r="I3352">
        <v>31103</v>
      </c>
      <c r="J3352">
        <v>39974</v>
      </c>
    </row>
    <row r="3353" spans="1:10" x14ac:dyDescent="0.3">
      <c r="A3353" t="s">
        <v>3480</v>
      </c>
      <c r="B3353" s="1">
        <v>45939</v>
      </c>
      <c r="C3353" t="s">
        <v>66</v>
      </c>
      <c r="D3353">
        <v>41</v>
      </c>
      <c r="E3353" t="s">
        <v>70</v>
      </c>
      <c r="F3353" t="s">
        <v>87</v>
      </c>
      <c r="G3353" t="s">
        <v>102</v>
      </c>
      <c r="H3353" t="s">
        <v>116</v>
      </c>
      <c r="I3353">
        <v>32950</v>
      </c>
      <c r="J3353">
        <v>24045</v>
      </c>
    </row>
    <row r="3354" spans="1:10" x14ac:dyDescent="0.3">
      <c r="A3354" t="s">
        <v>3481</v>
      </c>
      <c r="B3354" s="1">
        <v>45812</v>
      </c>
      <c r="C3354" t="s">
        <v>74</v>
      </c>
      <c r="D3354">
        <v>23</v>
      </c>
      <c r="E3354" t="s">
        <v>33</v>
      </c>
      <c r="F3354" t="s">
        <v>43</v>
      </c>
      <c r="G3354" t="s">
        <v>118</v>
      </c>
      <c r="H3354" t="s">
        <v>211</v>
      </c>
      <c r="I3354">
        <v>32017</v>
      </c>
      <c r="J3354">
        <v>22717</v>
      </c>
    </row>
    <row r="3355" spans="1:10" x14ac:dyDescent="0.3">
      <c r="A3355" t="s">
        <v>3482</v>
      </c>
      <c r="B3355" s="1">
        <v>46002</v>
      </c>
      <c r="C3355" t="s">
        <v>100</v>
      </c>
      <c r="D3355">
        <v>50</v>
      </c>
      <c r="E3355" t="s">
        <v>18</v>
      </c>
      <c r="F3355" t="s">
        <v>19</v>
      </c>
      <c r="G3355" t="s">
        <v>110</v>
      </c>
      <c r="H3355" t="s">
        <v>163</v>
      </c>
      <c r="I3355">
        <v>36505</v>
      </c>
      <c r="J3355">
        <v>46442</v>
      </c>
    </row>
    <row r="3356" spans="1:10" x14ac:dyDescent="0.3">
      <c r="A3356" t="s">
        <v>3483</v>
      </c>
      <c r="B3356" s="1">
        <v>45830</v>
      </c>
      <c r="C3356" t="s">
        <v>74</v>
      </c>
      <c r="D3356">
        <v>25</v>
      </c>
      <c r="E3356" t="s">
        <v>12</v>
      </c>
      <c r="F3356" t="s">
        <v>50</v>
      </c>
      <c r="G3356" t="s">
        <v>191</v>
      </c>
      <c r="H3356" t="s">
        <v>155</v>
      </c>
      <c r="I3356">
        <v>31009</v>
      </c>
      <c r="J3356">
        <v>21925</v>
      </c>
    </row>
    <row r="3357" spans="1:10" x14ac:dyDescent="0.3">
      <c r="A3357" t="s">
        <v>3484</v>
      </c>
      <c r="B3357" s="1">
        <v>45797</v>
      </c>
      <c r="C3357" t="s">
        <v>90</v>
      </c>
      <c r="D3357">
        <v>21</v>
      </c>
      <c r="E3357" t="s">
        <v>33</v>
      </c>
      <c r="F3357" t="s">
        <v>19</v>
      </c>
      <c r="G3357" t="s">
        <v>191</v>
      </c>
      <c r="H3357" t="s">
        <v>84</v>
      </c>
      <c r="I3357">
        <v>31631</v>
      </c>
      <c r="J3357">
        <v>30616</v>
      </c>
    </row>
    <row r="3358" spans="1:10" x14ac:dyDescent="0.3">
      <c r="A3358" t="s">
        <v>3485</v>
      </c>
      <c r="B3358" s="1">
        <v>45858</v>
      </c>
      <c r="C3358" t="s">
        <v>11</v>
      </c>
      <c r="D3358">
        <v>29</v>
      </c>
      <c r="E3358" t="s">
        <v>61</v>
      </c>
      <c r="F3358" t="s">
        <v>114</v>
      </c>
      <c r="G3358" t="s">
        <v>147</v>
      </c>
      <c r="H3358" t="s">
        <v>163</v>
      </c>
      <c r="I3358">
        <v>26310</v>
      </c>
      <c r="J3358">
        <v>21993</v>
      </c>
    </row>
    <row r="3359" spans="1:10" x14ac:dyDescent="0.3">
      <c r="A3359" t="s">
        <v>3486</v>
      </c>
      <c r="B3359" s="1">
        <v>45939</v>
      </c>
      <c r="C3359" t="s">
        <v>66</v>
      </c>
      <c r="D3359">
        <v>41</v>
      </c>
      <c r="E3359" t="s">
        <v>70</v>
      </c>
      <c r="F3359" t="s">
        <v>57</v>
      </c>
      <c r="G3359" t="s">
        <v>253</v>
      </c>
      <c r="H3359" t="s">
        <v>103</v>
      </c>
      <c r="I3359">
        <v>22793</v>
      </c>
      <c r="J3359">
        <v>22052</v>
      </c>
    </row>
    <row r="3360" spans="1:10" x14ac:dyDescent="0.3">
      <c r="A3360" t="s">
        <v>3487</v>
      </c>
      <c r="B3360" s="1">
        <v>45682</v>
      </c>
      <c r="C3360" t="s">
        <v>17</v>
      </c>
      <c r="D3360">
        <v>4</v>
      </c>
      <c r="E3360" t="s">
        <v>39</v>
      </c>
      <c r="F3360" t="s">
        <v>34</v>
      </c>
      <c r="G3360" t="s">
        <v>199</v>
      </c>
      <c r="H3360" t="s">
        <v>59</v>
      </c>
      <c r="I3360">
        <v>36049</v>
      </c>
      <c r="J3360">
        <v>43520</v>
      </c>
    </row>
    <row r="3361" spans="1:10" x14ac:dyDescent="0.3">
      <c r="A3361" t="s">
        <v>3488</v>
      </c>
      <c r="B3361" s="1">
        <v>45776</v>
      </c>
      <c r="C3361" t="s">
        <v>86</v>
      </c>
      <c r="D3361">
        <v>18</v>
      </c>
      <c r="E3361" t="s">
        <v>18</v>
      </c>
      <c r="F3361" t="s">
        <v>57</v>
      </c>
      <c r="G3361" t="s">
        <v>128</v>
      </c>
      <c r="H3361" t="s">
        <v>157</v>
      </c>
      <c r="I3361">
        <v>15376</v>
      </c>
      <c r="J3361">
        <v>13549</v>
      </c>
    </row>
    <row r="3362" spans="1:10" x14ac:dyDescent="0.3">
      <c r="A3362" t="s">
        <v>3489</v>
      </c>
      <c r="B3362" s="1">
        <v>45669</v>
      </c>
      <c r="C3362" t="s">
        <v>17</v>
      </c>
      <c r="D3362">
        <v>2</v>
      </c>
      <c r="E3362" t="s">
        <v>61</v>
      </c>
      <c r="F3362" t="s">
        <v>193</v>
      </c>
      <c r="G3362" t="s">
        <v>206</v>
      </c>
      <c r="H3362" t="s">
        <v>98</v>
      </c>
      <c r="I3362">
        <v>24001</v>
      </c>
      <c r="J3362">
        <v>22530</v>
      </c>
    </row>
    <row r="3363" spans="1:10" x14ac:dyDescent="0.3">
      <c r="A3363" t="s">
        <v>3490</v>
      </c>
      <c r="B3363" s="1">
        <v>45855</v>
      </c>
      <c r="C3363" t="s">
        <v>11</v>
      </c>
      <c r="D3363">
        <v>29</v>
      </c>
      <c r="E3363" t="s">
        <v>12</v>
      </c>
      <c r="F3363" t="s">
        <v>25</v>
      </c>
      <c r="G3363" t="s">
        <v>102</v>
      </c>
      <c r="H3363" t="s">
        <v>52</v>
      </c>
      <c r="I3363">
        <v>15019</v>
      </c>
      <c r="J3363">
        <v>18699</v>
      </c>
    </row>
    <row r="3364" spans="1:10" x14ac:dyDescent="0.3">
      <c r="A3364" t="s">
        <v>3491</v>
      </c>
      <c r="B3364" s="1">
        <v>45921</v>
      </c>
      <c r="C3364" t="s">
        <v>38</v>
      </c>
      <c r="D3364">
        <v>38</v>
      </c>
      <c r="E3364" t="s">
        <v>12</v>
      </c>
      <c r="F3364" t="s">
        <v>62</v>
      </c>
      <c r="G3364" t="s">
        <v>58</v>
      </c>
      <c r="H3364" t="s">
        <v>31</v>
      </c>
      <c r="I3364">
        <v>16405</v>
      </c>
      <c r="J3364">
        <v>17274</v>
      </c>
    </row>
    <row r="3365" spans="1:10" x14ac:dyDescent="0.3">
      <c r="A3365" t="s">
        <v>3492</v>
      </c>
      <c r="B3365" s="1">
        <v>45962</v>
      </c>
      <c r="C3365" t="s">
        <v>23</v>
      </c>
      <c r="D3365">
        <v>44</v>
      </c>
      <c r="E3365" t="s">
        <v>39</v>
      </c>
      <c r="F3365" t="s">
        <v>140</v>
      </c>
      <c r="G3365" t="s">
        <v>141</v>
      </c>
      <c r="H3365" t="s">
        <v>211</v>
      </c>
      <c r="I3365">
        <v>20116</v>
      </c>
      <c r="J3365">
        <v>25297</v>
      </c>
    </row>
    <row r="3366" spans="1:10" x14ac:dyDescent="0.3">
      <c r="A3366" t="s">
        <v>3493</v>
      </c>
      <c r="B3366" s="1">
        <v>45985</v>
      </c>
      <c r="C3366" t="s">
        <v>23</v>
      </c>
      <c r="D3366">
        <v>48</v>
      </c>
      <c r="E3366" t="s">
        <v>18</v>
      </c>
      <c r="F3366" t="s">
        <v>29</v>
      </c>
      <c r="G3366" t="s">
        <v>326</v>
      </c>
      <c r="H3366" t="s">
        <v>31</v>
      </c>
      <c r="I3366">
        <v>18615</v>
      </c>
      <c r="J3366">
        <v>21500</v>
      </c>
    </row>
    <row r="3367" spans="1:10" x14ac:dyDescent="0.3">
      <c r="A3367" t="s">
        <v>3494</v>
      </c>
      <c r="B3367" s="1">
        <v>45796</v>
      </c>
      <c r="C3367" t="s">
        <v>90</v>
      </c>
      <c r="D3367">
        <v>21</v>
      </c>
      <c r="E3367" t="s">
        <v>33</v>
      </c>
      <c r="F3367" t="s">
        <v>92</v>
      </c>
      <c r="G3367" t="s">
        <v>35</v>
      </c>
      <c r="H3367" t="s">
        <v>48</v>
      </c>
      <c r="I3367">
        <v>30473</v>
      </c>
      <c r="J3367">
        <v>38742</v>
      </c>
    </row>
    <row r="3368" spans="1:10" x14ac:dyDescent="0.3">
      <c r="A3368" t="s">
        <v>3495</v>
      </c>
      <c r="B3368" s="1">
        <v>45812</v>
      </c>
      <c r="C3368" t="s">
        <v>74</v>
      </c>
      <c r="D3368">
        <v>23</v>
      </c>
      <c r="E3368" t="s">
        <v>61</v>
      </c>
      <c r="F3368" t="s">
        <v>13</v>
      </c>
      <c r="G3368" t="s">
        <v>199</v>
      </c>
      <c r="H3368" t="s">
        <v>84</v>
      </c>
      <c r="I3368">
        <v>34188</v>
      </c>
      <c r="J3368">
        <v>34883</v>
      </c>
    </row>
    <row r="3369" spans="1:10" x14ac:dyDescent="0.3">
      <c r="A3369" t="s">
        <v>3496</v>
      </c>
      <c r="B3369" s="1">
        <v>45804</v>
      </c>
      <c r="C3369" t="s">
        <v>90</v>
      </c>
      <c r="D3369">
        <v>22</v>
      </c>
      <c r="E3369" t="s">
        <v>61</v>
      </c>
      <c r="F3369" t="s">
        <v>193</v>
      </c>
      <c r="G3369" t="s">
        <v>182</v>
      </c>
      <c r="H3369" t="s">
        <v>96</v>
      </c>
      <c r="I3369">
        <v>39296</v>
      </c>
      <c r="J3369">
        <v>49189</v>
      </c>
    </row>
    <row r="3370" spans="1:10" x14ac:dyDescent="0.3">
      <c r="A3370" t="s">
        <v>3497</v>
      </c>
      <c r="B3370" s="1">
        <v>45680</v>
      </c>
      <c r="C3370" t="s">
        <v>17</v>
      </c>
      <c r="D3370">
        <v>4</v>
      </c>
      <c r="E3370" t="s">
        <v>70</v>
      </c>
      <c r="F3370" t="s">
        <v>75</v>
      </c>
      <c r="G3370" t="s">
        <v>107</v>
      </c>
      <c r="H3370" t="s">
        <v>98</v>
      </c>
      <c r="I3370">
        <v>19136</v>
      </c>
      <c r="J3370">
        <v>21100</v>
      </c>
    </row>
    <row r="3371" spans="1:10" x14ac:dyDescent="0.3">
      <c r="A3371" t="s">
        <v>3498</v>
      </c>
      <c r="B3371" s="1">
        <v>45888</v>
      </c>
      <c r="C3371" t="s">
        <v>113</v>
      </c>
      <c r="D3371">
        <v>34</v>
      </c>
      <c r="E3371" t="s">
        <v>12</v>
      </c>
      <c r="F3371" t="s">
        <v>87</v>
      </c>
      <c r="G3371" t="s">
        <v>47</v>
      </c>
      <c r="H3371" t="s">
        <v>123</v>
      </c>
      <c r="I3371">
        <v>24388</v>
      </c>
      <c r="J3371">
        <v>31702</v>
      </c>
    </row>
    <row r="3372" spans="1:10" x14ac:dyDescent="0.3">
      <c r="A3372" t="s">
        <v>3499</v>
      </c>
      <c r="B3372" s="1">
        <v>45959</v>
      </c>
      <c r="C3372" t="s">
        <v>66</v>
      </c>
      <c r="D3372">
        <v>44</v>
      </c>
      <c r="E3372" t="s">
        <v>70</v>
      </c>
      <c r="F3372" t="s">
        <v>46</v>
      </c>
      <c r="G3372" t="s">
        <v>76</v>
      </c>
      <c r="H3372" t="s">
        <v>211</v>
      </c>
      <c r="I3372">
        <v>36747</v>
      </c>
      <c r="J3372">
        <v>33193</v>
      </c>
    </row>
    <row r="3373" spans="1:10" x14ac:dyDescent="0.3">
      <c r="A3373" t="s">
        <v>3500</v>
      </c>
      <c r="B3373" s="1">
        <v>45727</v>
      </c>
      <c r="C3373" t="s">
        <v>95</v>
      </c>
      <c r="D3373">
        <v>11</v>
      </c>
      <c r="E3373" t="s">
        <v>70</v>
      </c>
      <c r="F3373" t="s">
        <v>101</v>
      </c>
      <c r="G3373" t="s">
        <v>324</v>
      </c>
      <c r="H3373" t="s">
        <v>103</v>
      </c>
      <c r="I3373">
        <v>22913</v>
      </c>
      <c r="J3373">
        <v>17843</v>
      </c>
    </row>
    <row r="3374" spans="1:10" x14ac:dyDescent="0.3">
      <c r="A3374" t="s">
        <v>3501</v>
      </c>
      <c r="B3374" s="1">
        <v>45771</v>
      </c>
      <c r="C3374" t="s">
        <v>86</v>
      </c>
      <c r="D3374">
        <v>17</v>
      </c>
      <c r="E3374" t="s">
        <v>61</v>
      </c>
      <c r="F3374" t="s">
        <v>193</v>
      </c>
      <c r="G3374" t="s">
        <v>14</v>
      </c>
      <c r="H3374" t="s">
        <v>98</v>
      </c>
      <c r="I3374">
        <v>31207</v>
      </c>
      <c r="J3374">
        <v>36155</v>
      </c>
    </row>
    <row r="3375" spans="1:10" x14ac:dyDescent="0.3">
      <c r="A3375" t="s">
        <v>3502</v>
      </c>
      <c r="B3375" s="1">
        <v>45704</v>
      </c>
      <c r="C3375" t="s">
        <v>82</v>
      </c>
      <c r="D3375">
        <v>7</v>
      </c>
      <c r="E3375" t="s">
        <v>70</v>
      </c>
      <c r="F3375" t="s">
        <v>57</v>
      </c>
      <c r="G3375" t="s">
        <v>76</v>
      </c>
      <c r="H3375" t="s">
        <v>41</v>
      </c>
      <c r="I3375">
        <v>16233</v>
      </c>
      <c r="J3375">
        <v>17757</v>
      </c>
    </row>
    <row r="3376" spans="1:10" x14ac:dyDescent="0.3">
      <c r="A3376" t="s">
        <v>3503</v>
      </c>
      <c r="B3376" s="1">
        <v>45775</v>
      </c>
      <c r="C3376" t="s">
        <v>86</v>
      </c>
      <c r="D3376">
        <v>18</v>
      </c>
      <c r="E3376" t="s">
        <v>70</v>
      </c>
      <c r="F3376" t="s">
        <v>19</v>
      </c>
      <c r="G3376" t="s">
        <v>128</v>
      </c>
      <c r="H3376" t="s">
        <v>165</v>
      </c>
      <c r="I3376">
        <v>15131</v>
      </c>
      <c r="J3376">
        <v>17451</v>
      </c>
    </row>
    <row r="3377" spans="1:10" x14ac:dyDescent="0.3">
      <c r="A3377" t="s">
        <v>3504</v>
      </c>
      <c r="B3377" s="1">
        <v>45994</v>
      </c>
      <c r="C3377" t="s">
        <v>100</v>
      </c>
      <c r="D3377">
        <v>49</v>
      </c>
      <c r="E3377" t="s">
        <v>61</v>
      </c>
      <c r="F3377" t="s">
        <v>62</v>
      </c>
      <c r="G3377" t="s">
        <v>110</v>
      </c>
      <c r="H3377" t="s">
        <v>155</v>
      </c>
      <c r="I3377">
        <v>15531</v>
      </c>
      <c r="J3377">
        <v>14508</v>
      </c>
    </row>
    <row r="3378" spans="1:10" x14ac:dyDescent="0.3">
      <c r="A3378" t="s">
        <v>3505</v>
      </c>
      <c r="B3378" s="1">
        <v>45875</v>
      </c>
      <c r="C3378" t="s">
        <v>113</v>
      </c>
      <c r="D3378">
        <v>32</v>
      </c>
      <c r="E3378" t="s">
        <v>18</v>
      </c>
      <c r="F3378" t="s">
        <v>193</v>
      </c>
      <c r="G3378" t="s">
        <v>130</v>
      </c>
      <c r="H3378" t="s">
        <v>96</v>
      </c>
      <c r="I3378">
        <v>19367</v>
      </c>
      <c r="J3378">
        <v>19451</v>
      </c>
    </row>
    <row r="3379" spans="1:10" x14ac:dyDescent="0.3">
      <c r="A3379" t="s">
        <v>3506</v>
      </c>
      <c r="B3379" s="1">
        <v>45926</v>
      </c>
      <c r="C3379" t="s">
        <v>38</v>
      </c>
      <c r="D3379">
        <v>39</v>
      </c>
      <c r="E3379" t="s">
        <v>18</v>
      </c>
      <c r="F3379" t="s">
        <v>114</v>
      </c>
      <c r="G3379" t="s">
        <v>26</v>
      </c>
      <c r="H3379" t="s">
        <v>165</v>
      </c>
      <c r="I3379">
        <v>23860</v>
      </c>
      <c r="J3379">
        <v>17233</v>
      </c>
    </row>
    <row r="3380" spans="1:10" x14ac:dyDescent="0.3">
      <c r="A3380" t="s">
        <v>3507</v>
      </c>
      <c r="B3380" s="1">
        <v>45743</v>
      </c>
      <c r="C3380" t="s">
        <v>95</v>
      </c>
      <c r="D3380">
        <v>13</v>
      </c>
      <c r="E3380" t="s">
        <v>39</v>
      </c>
      <c r="F3380" t="s">
        <v>122</v>
      </c>
      <c r="G3380" t="s">
        <v>141</v>
      </c>
      <c r="H3380" t="s">
        <v>55</v>
      </c>
      <c r="I3380">
        <v>25709</v>
      </c>
      <c r="J3380">
        <v>25436</v>
      </c>
    </row>
    <row r="3381" spans="1:10" x14ac:dyDescent="0.3">
      <c r="A3381" t="s">
        <v>3508</v>
      </c>
      <c r="B3381" s="1">
        <v>45741</v>
      </c>
      <c r="C3381" t="s">
        <v>95</v>
      </c>
      <c r="D3381">
        <v>13</v>
      </c>
      <c r="E3381" t="s">
        <v>24</v>
      </c>
      <c r="F3381" t="s">
        <v>140</v>
      </c>
      <c r="G3381" t="s">
        <v>234</v>
      </c>
      <c r="H3381" t="s">
        <v>84</v>
      </c>
      <c r="I3381">
        <v>16671</v>
      </c>
      <c r="J3381">
        <v>20792</v>
      </c>
    </row>
    <row r="3382" spans="1:10" x14ac:dyDescent="0.3">
      <c r="A3382" t="s">
        <v>3509</v>
      </c>
      <c r="B3382" s="1">
        <v>45731</v>
      </c>
      <c r="C3382" t="s">
        <v>95</v>
      </c>
      <c r="D3382">
        <v>11</v>
      </c>
      <c r="E3382" t="s">
        <v>12</v>
      </c>
      <c r="F3382" t="s">
        <v>34</v>
      </c>
      <c r="G3382" t="s">
        <v>145</v>
      </c>
      <c r="H3382" t="s">
        <v>157</v>
      </c>
      <c r="I3382">
        <v>29606</v>
      </c>
      <c r="J3382">
        <v>33492</v>
      </c>
    </row>
    <row r="3383" spans="1:10" x14ac:dyDescent="0.3">
      <c r="A3383" t="s">
        <v>3510</v>
      </c>
      <c r="B3383" s="1">
        <v>45783</v>
      </c>
      <c r="C3383" t="s">
        <v>90</v>
      </c>
      <c r="D3383">
        <v>19</v>
      </c>
      <c r="E3383" t="s">
        <v>18</v>
      </c>
      <c r="F3383" t="s">
        <v>101</v>
      </c>
      <c r="G3383" t="s">
        <v>147</v>
      </c>
      <c r="H3383" t="s">
        <v>68</v>
      </c>
      <c r="I3383">
        <v>21734</v>
      </c>
      <c r="J3383">
        <v>20818</v>
      </c>
    </row>
    <row r="3384" spans="1:10" x14ac:dyDescent="0.3">
      <c r="A3384" t="s">
        <v>3511</v>
      </c>
      <c r="B3384" s="1">
        <v>45956</v>
      </c>
      <c r="C3384" t="s">
        <v>66</v>
      </c>
      <c r="D3384">
        <v>43</v>
      </c>
      <c r="E3384" t="s">
        <v>33</v>
      </c>
      <c r="F3384" t="s">
        <v>101</v>
      </c>
      <c r="G3384" t="s">
        <v>72</v>
      </c>
      <c r="H3384" t="s">
        <v>64</v>
      </c>
      <c r="I3384">
        <v>18833</v>
      </c>
      <c r="J3384">
        <v>21732</v>
      </c>
    </row>
    <row r="3385" spans="1:10" x14ac:dyDescent="0.3">
      <c r="A3385" t="s">
        <v>3512</v>
      </c>
      <c r="B3385" s="1">
        <v>45918</v>
      </c>
      <c r="C3385" t="s">
        <v>38</v>
      </c>
      <c r="D3385">
        <v>38</v>
      </c>
      <c r="E3385" t="s">
        <v>24</v>
      </c>
      <c r="F3385" t="s">
        <v>50</v>
      </c>
      <c r="G3385" t="s">
        <v>44</v>
      </c>
      <c r="H3385" t="s">
        <v>133</v>
      </c>
      <c r="I3385">
        <v>20829</v>
      </c>
      <c r="J3385">
        <v>14813</v>
      </c>
    </row>
    <row r="3386" spans="1:10" x14ac:dyDescent="0.3">
      <c r="A3386" t="s">
        <v>3513</v>
      </c>
      <c r="B3386" s="1">
        <v>45727</v>
      </c>
      <c r="C3386" t="s">
        <v>95</v>
      </c>
      <c r="D3386">
        <v>11</v>
      </c>
      <c r="E3386" t="s">
        <v>33</v>
      </c>
      <c r="F3386" t="s">
        <v>87</v>
      </c>
      <c r="G3386" t="s">
        <v>126</v>
      </c>
      <c r="H3386" t="s">
        <v>80</v>
      </c>
      <c r="I3386">
        <v>18786</v>
      </c>
      <c r="J3386">
        <v>18107</v>
      </c>
    </row>
    <row r="3387" spans="1:10" x14ac:dyDescent="0.3">
      <c r="A3387" t="s">
        <v>3514</v>
      </c>
      <c r="B3387" s="1">
        <v>45855</v>
      </c>
      <c r="C3387" t="s">
        <v>11</v>
      </c>
      <c r="D3387">
        <v>29</v>
      </c>
      <c r="E3387" t="s">
        <v>39</v>
      </c>
      <c r="F3387" t="s">
        <v>75</v>
      </c>
      <c r="G3387" t="s">
        <v>145</v>
      </c>
      <c r="H3387" t="s">
        <v>96</v>
      </c>
      <c r="I3387">
        <v>31138</v>
      </c>
      <c r="J3387">
        <v>31897</v>
      </c>
    </row>
    <row r="3388" spans="1:10" x14ac:dyDescent="0.3">
      <c r="A3388" t="s">
        <v>3515</v>
      </c>
      <c r="B3388" s="1">
        <v>45804</v>
      </c>
      <c r="C3388" t="s">
        <v>90</v>
      </c>
      <c r="D3388">
        <v>22</v>
      </c>
      <c r="E3388" t="s">
        <v>12</v>
      </c>
      <c r="F3388" t="s">
        <v>50</v>
      </c>
      <c r="G3388" t="s">
        <v>44</v>
      </c>
      <c r="H3388" t="s">
        <v>133</v>
      </c>
      <c r="I3388">
        <v>22453</v>
      </c>
      <c r="J3388">
        <v>21021</v>
      </c>
    </row>
    <row r="3389" spans="1:10" x14ac:dyDescent="0.3">
      <c r="A3389" t="s">
        <v>3516</v>
      </c>
      <c r="B3389" s="1">
        <v>45692</v>
      </c>
      <c r="C3389" t="s">
        <v>82</v>
      </c>
      <c r="D3389">
        <v>6</v>
      </c>
      <c r="E3389" t="s">
        <v>33</v>
      </c>
      <c r="F3389" t="s">
        <v>43</v>
      </c>
      <c r="G3389" t="s">
        <v>118</v>
      </c>
      <c r="H3389" t="s">
        <v>116</v>
      </c>
      <c r="I3389">
        <v>31057</v>
      </c>
      <c r="J3389">
        <v>26343</v>
      </c>
    </row>
    <row r="3390" spans="1:10" x14ac:dyDescent="0.3">
      <c r="A3390" t="s">
        <v>3517</v>
      </c>
      <c r="B3390" s="1">
        <v>45955</v>
      </c>
      <c r="C3390" t="s">
        <v>66</v>
      </c>
      <c r="D3390">
        <v>43</v>
      </c>
      <c r="E3390" t="s">
        <v>61</v>
      </c>
      <c r="F3390" t="s">
        <v>62</v>
      </c>
      <c r="G3390" t="s">
        <v>266</v>
      </c>
      <c r="H3390" t="s">
        <v>211</v>
      </c>
      <c r="I3390">
        <v>19184</v>
      </c>
      <c r="J3390">
        <v>22612</v>
      </c>
    </row>
    <row r="3391" spans="1:10" x14ac:dyDescent="0.3">
      <c r="A3391" t="s">
        <v>3518</v>
      </c>
      <c r="B3391" s="1">
        <v>45859</v>
      </c>
      <c r="C3391" t="s">
        <v>11</v>
      </c>
      <c r="D3391">
        <v>30</v>
      </c>
      <c r="E3391" t="s">
        <v>18</v>
      </c>
      <c r="F3391" t="s">
        <v>101</v>
      </c>
      <c r="G3391" t="s">
        <v>240</v>
      </c>
      <c r="H3391" t="s">
        <v>41</v>
      </c>
      <c r="I3391">
        <v>38482</v>
      </c>
      <c r="J3391">
        <v>38995</v>
      </c>
    </row>
    <row r="3392" spans="1:10" x14ac:dyDescent="0.3">
      <c r="A3392" t="s">
        <v>3519</v>
      </c>
      <c r="B3392" s="1">
        <v>45968</v>
      </c>
      <c r="C3392" t="s">
        <v>23</v>
      </c>
      <c r="D3392">
        <v>45</v>
      </c>
      <c r="E3392" t="s">
        <v>39</v>
      </c>
      <c r="F3392" t="s">
        <v>25</v>
      </c>
      <c r="G3392" t="s">
        <v>67</v>
      </c>
      <c r="H3392" t="s">
        <v>84</v>
      </c>
      <c r="I3392">
        <v>39421</v>
      </c>
      <c r="J3392">
        <v>30018</v>
      </c>
    </row>
    <row r="3393" spans="1:10" x14ac:dyDescent="0.3">
      <c r="A3393" t="s">
        <v>3520</v>
      </c>
      <c r="B3393" s="1">
        <v>45870</v>
      </c>
      <c r="C3393" t="s">
        <v>113</v>
      </c>
      <c r="D3393">
        <v>31</v>
      </c>
      <c r="E3393" t="s">
        <v>70</v>
      </c>
      <c r="F3393" t="s">
        <v>114</v>
      </c>
      <c r="G3393" t="s">
        <v>324</v>
      </c>
      <c r="H3393" t="s">
        <v>157</v>
      </c>
      <c r="I3393">
        <v>18978</v>
      </c>
      <c r="J3393">
        <v>19070</v>
      </c>
    </row>
    <row r="3394" spans="1:10" x14ac:dyDescent="0.3">
      <c r="A3394" t="s">
        <v>3521</v>
      </c>
      <c r="B3394" s="1">
        <v>45828</v>
      </c>
      <c r="C3394" t="s">
        <v>74</v>
      </c>
      <c r="D3394">
        <v>25</v>
      </c>
      <c r="E3394" t="s">
        <v>61</v>
      </c>
      <c r="F3394" t="s">
        <v>50</v>
      </c>
      <c r="G3394" t="s">
        <v>115</v>
      </c>
      <c r="H3394" t="s">
        <v>165</v>
      </c>
      <c r="I3394">
        <v>19155</v>
      </c>
      <c r="J3394">
        <v>16310</v>
      </c>
    </row>
    <row r="3395" spans="1:10" x14ac:dyDescent="0.3">
      <c r="A3395" t="s">
        <v>3522</v>
      </c>
      <c r="B3395" s="1">
        <v>45830</v>
      </c>
      <c r="C3395" t="s">
        <v>74</v>
      </c>
      <c r="D3395">
        <v>25</v>
      </c>
      <c r="E3395" t="s">
        <v>61</v>
      </c>
      <c r="F3395" t="s">
        <v>114</v>
      </c>
      <c r="G3395" t="s">
        <v>35</v>
      </c>
      <c r="H3395" t="s">
        <v>59</v>
      </c>
      <c r="I3395">
        <v>32395</v>
      </c>
      <c r="J3395">
        <v>31980</v>
      </c>
    </row>
    <row r="3396" spans="1:10" x14ac:dyDescent="0.3">
      <c r="A3396" t="s">
        <v>3523</v>
      </c>
      <c r="B3396" s="1">
        <v>45666</v>
      </c>
      <c r="C3396" t="s">
        <v>17</v>
      </c>
      <c r="D3396">
        <v>2</v>
      </c>
      <c r="E3396" t="s">
        <v>70</v>
      </c>
      <c r="F3396" t="s">
        <v>78</v>
      </c>
      <c r="G3396" t="s">
        <v>58</v>
      </c>
      <c r="H3396" t="s">
        <v>155</v>
      </c>
      <c r="I3396">
        <v>32512</v>
      </c>
      <c r="J3396">
        <v>32733</v>
      </c>
    </row>
    <row r="3397" spans="1:10" x14ac:dyDescent="0.3">
      <c r="A3397" t="s">
        <v>3524</v>
      </c>
      <c r="B3397" s="1">
        <v>45803</v>
      </c>
      <c r="C3397" t="s">
        <v>90</v>
      </c>
      <c r="D3397">
        <v>22</v>
      </c>
      <c r="E3397" t="s">
        <v>18</v>
      </c>
      <c r="F3397" t="s">
        <v>34</v>
      </c>
      <c r="G3397" t="s">
        <v>149</v>
      </c>
      <c r="H3397" t="s">
        <v>116</v>
      </c>
      <c r="I3397">
        <v>24065</v>
      </c>
      <c r="J3397">
        <v>30684</v>
      </c>
    </row>
    <row r="3398" spans="1:10" x14ac:dyDescent="0.3">
      <c r="A3398" t="s">
        <v>3525</v>
      </c>
      <c r="B3398" s="1">
        <v>45778</v>
      </c>
      <c r="C3398" t="s">
        <v>90</v>
      </c>
      <c r="D3398">
        <v>18</v>
      </c>
      <c r="E3398" t="s">
        <v>39</v>
      </c>
      <c r="F3398" t="s">
        <v>78</v>
      </c>
      <c r="G3398" t="s">
        <v>20</v>
      </c>
      <c r="H3398" t="s">
        <v>48</v>
      </c>
      <c r="I3398">
        <v>21530</v>
      </c>
      <c r="J3398">
        <v>22962</v>
      </c>
    </row>
    <row r="3399" spans="1:10" x14ac:dyDescent="0.3">
      <c r="A3399" t="s">
        <v>3526</v>
      </c>
      <c r="B3399" s="1">
        <v>45987</v>
      </c>
      <c r="C3399" t="s">
        <v>23</v>
      </c>
      <c r="D3399">
        <v>48</v>
      </c>
      <c r="E3399" t="s">
        <v>12</v>
      </c>
      <c r="F3399" t="s">
        <v>57</v>
      </c>
      <c r="G3399" t="s">
        <v>326</v>
      </c>
      <c r="H3399" t="s">
        <v>68</v>
      </c>
      <c r="I3399">
        <v>15917</v>
      </c>
      <c r="J3399">
        <v>19215</v>
      </c>
    </row>
    <row r="3400" spans="1:10" x14ac:dyDescent="0.3">
      <c r="A3400" t="s">
        <v>3527</v>
      </c>
      <c r="B3400" s="1">
        <v>45775</v>
      </c>
      <c r="C3400" t="s">
        <v>86</v>
      </c>
      <c r="D3400">
        <v>18</v>
      </c>
      <c r="E3400" t="s">
        <v>12</v>
      </c>
      <c r="F3400" t="s">
        <v>43</v>
      </c>
      <c r="G3400" t="s">
        <v>47</v>
      </c>
      <c r="H3400" t="s">
        <v>155</v>
      </c>
      <c r="I3400">
        <v>19121</v>
      </c>
      <c r="J3400">
        <v>22428</v>
      </c>
    </row>
    <row r="3401" spans="1:10" x14ac:dyDescent="0.3">
      <c r="A3401" t="s">
        <v>3528</v>
      </c>
      <c r="B3401" s="1">
        <v>45953</v>
      </c>
      <c r="C3401" t="s">
        <v>66</v>
      </c>
      <c r="D3401">
        <v>43</v>
      </c>
      <c r="E3401" t="s">
        <v>18</v>
      </c>
      <c r="F3401" t="s">
        <v>140</v>
      </c>
      <c r="G3401" t="s">
        <v>240</v>
      </c>
      <c r="H3401" t="s">
        <v>80</v>
      </c>
      <c r="I3401">
        <v>24258</v>
      </c>
      <c r="J3401">
        <v>21259</v>
      </c>
    </row>
    <row r="3402" spans="1:10" x14ac:dyDescent="0.3">
      <c r="A3402" t="s">
        <v>3529</v>
      </c>
      <c r="B3402" s="1">
        <v>45718</v>
      </c>
      <c r="C3402" t="s">
        <v>95</v>
      </c>
      <c r="D3402">
        <v>9</v>
      </c>
      <c r="E3402" t="s">
        <v>39</v>
      </c>
      <c r="F3402" t="s">
        <v>50</v>
      </c>
      <c r="G3402" t="s">
        <v>130</v>
      </c>
      <c r="H3402" t="s">
        <v>116</v>
      </c>
      <c r="I3402">
        <v>37506</v>
      </c>
      <c r="J3402">
        <v>47742</v>
      </c>
    </row>
    <row r="3403" spans="1:10" x14ac:dyDescent="0.3">
      <c r="A3403" t="s">
        <v>3530</v>
      </c>
      <c r="B3403" s="1">
        <v>45954</v>
      </c>
      <c r="C3403" t="s">
        <v>66</v>
      </c>
      <c r="D3403">
        <v>43</v>
      </c>
      <c r="E3403" t="s">
        <v>33</v>
      </c>
      <c r="F3403" t="s">
        <v>140</v>
      </c>
      <c r="G3403" t="s">
        <v>51</v>
      </c>
      <c r="H3403" t="s">
        <v>21</v>
      </c>
      <c r="I3403">
        <v>36200</v>
      </c>
      <c r="J3403">
        <v>44599</v>
      </c>
    </row>
    <row r="3404" spans="1:10" x14ac:dyDescent="0.3">
      <c r="A3404" t="s">
        <v>3531</v>
      </c>
      <c r="B3404" s="1">
        <v>45875</v>
      </c>
      <c r="C3404" t="s">
        <v>113</v>
      </c>
      <c r="D3404">
        <v>32</v>
      </c>
      <c r="E3404" t="s">
        <v>70</v>
      </c>
      <c r="F3404" t="s">
        <v>193</v>
      </c>
      <c r="G3404" t="s">
        <v>145</v>
      </c>
      <c r="H3404" t="s">
        <v>188</v>
      </c>
      <c r="I3404">
        <v>31455</v>
      </c>
      <c r="J3404">
        <v>29614</v>
      </c>
    </row>
    <row r="3405" spans="1:10" x14ac:dyDescent="0.3">
      <c r="A3405" t="s">
        <v>3532</v>
      </c>
      <c r="B3405" s="1">
        <v>45793</v>
      </c>
      <c r="C3405" t="s">
        <v>90</v>
      </c>
      <c r="D3405">
        <v>20</v>
      </c>
      <c r="E3405" t="s">
        <v>12</v>
      </c>
      <c r="F3405" t="s">
        <v>13</v>
      </c>
      <c r="G3405" t="s">
        <v>191</v>
      </c>
      <c r="H3405" t="s">
        <v>243</v>
      </c>
      <c r="I3405">
        <v>17938</v>
      </c>
      <c r="J3405">
        <v>15070</v>
      </c>
    </row>
    <row r="3406" spans="1:10" x14ac:dyDescent="0.3">
      <c r="A3406" t="s">
        <v>3533</v>
      </c>
      <c r="B3406" s="1">
        <v>46016</v>
      </c>
      <c r="C3406" t="s">
        <v>100</v>
      </c>
      <c r="D3406">
        <v>52</v>
      </c>
      <c r="E3406" t="s">
        <v>33</v>
      </c>
      <c r="F3406" t="s">
        <v>13</v>
      </c>
      <c r="G3406" t="s">
        <v>130</v>
      </c>
      <c r="H3406" t="s">
        <v>59</v>
      </c>
      <c r="I3406">
        <v>25131</v>
      </c>
      <c r="J3406">
        <v>29542</v>
      </c>
    </row>
    <row r="3407" spans="1:10" x14ac:dyDescent="0.3">
      <c r="A3407" t="s">
        <v>3534</v>
      </c>
      <c r="B3407" s="1">
        <v>45676</v>
      </c>
      <c r="C3407" t="s">
        <v>17</v>
      </c>
      <c r="D3407">
        <v>3</v>
      </c>
      <c r="E3407" t="s">
        <v>33</v>
      </c>
      <c r="F3407" t="s">
        <v>140</v>
      </c>
      <c r="G3407" t="s">
        <v>132</v>
      </c>
      <c r="H3407" t="s">
        <v>55</v>
      </c>
      <c r="I3407">
        <v>39326</v>
      </c>
      <c r="J3407">
        <v>29714</v>
      </c>
    </row>
    <row r="3408" spans="1:10" x14ac:dyDescent="0.3">
      <c r="A3408" t="s">
        <v>3535</v>
      </c>
      <c r="B3408" s="1">
        <v>45819</v>
      </c>
      <c r="C3408" t="s">
        <v>74</v>
      </c>
      <c r="D3408">
        <v>24</v>
      </c>
      <c r="E3408" t="s">
        <v>12</v>
      </c>
      <c r="F3408" t="s">
        <v>92</v>
      </c>
      <c r="G3408" t="s">
        <v>182</v>
      </c>
      <c r="H3408" t="s">
        <v>52</v>
      </c>
      <c r="I3408">
        <v>26105</v>
      </c>
      <c r="J3408">
        <v>19024</v>
      </c>
    </row>
    <row r="3409" spans="1:10" x14ac:dyDescent="0.3">
      <c r="A3409" t="s">
        <v>3536</v>
      </c>
      <c r="B3409" s="1">
        <v>45883</v>
      </c>
      <c r="C3409" t="s">
        <v>113</v>
      </c>
      <c r="D3409">
        <v>33</v>
      </c>
      <c r="E3409" t="s">
        <v>18</v>
      </c>
      <c r="F3409" t="s">
        <v>193</v>
      </c>
      <c r="G3409" t="s">
        <v>191</v>
      </c>
      <c r="H3409" t="s">
        <v>27</v>
      </c>
      <c r="I3409">
        <v>34170</v>
      </c>
      <c r="J3409">
        <v>27392</v>
      </c>
    </row>
    <row r="3410" spans="1:10" x14ac:dyDescent="0.3">
      <c r="A3410" t="s">
        <v>3537</v>
      </c>
      <c r="B3410" s="1">
        <v>45772</v>
      </c>
      <c r="C3410" t="s">
        <v>86</v>
      </c>
      <c r="D3410">
        <v>17</v>
      </c>
      <c r="E3410" t="s">
        <v>70</v>
      </c>
      <c r="F3410" t="s">
        <v>34</v>
      </c>
      <c r="G3410" t="s">
        <v>291</v>
      </c>
      <c r="H3410" t="s">
        <v>188</v>
      </c>
      <c r="I3410">
        <v>30286</v>
      </c>
      <c r="J3410">
        <v>34700</v>
      </c>
    </row>
    <row r="3411" spans="1:10" x14ac:dyDescent="0.3">
      <c r="A3411" t="s">
        <v>3538</v>
      </c>
      <c r="B3411" s="1">
        <v>45673</v>
      </c>
      <c r="C3411" t="s">
        <v>17</v>
      </c>
      <c r="D3411">
        <v>3</v>
      </c>
      <c r="E3411" t="s">
        <v>33</v>
      </c>
      <c r="F3411" t="s">
        <v>29</v>
      </c>
      <c r="G3411" t="s">
        <v>20</v>
      </c>
      <c r="H3411" t="s">
        <v>84</v>
      </c>
      <c r="I3411">
        <v>26960</v>
      </c>
      <c r="J3411">
        <v>23019</v>
      </c>
    </row>
    <row r="3412" spans="1:10" x14ac:dyDescent="0.3">
      <c r="A3412" t="s">
        <v>3539</v>
      </c>
      <c r="B3412" s="1">
        <v>45700</v>
      </c>
      <c r="C3412" t="s">
        <v>82</v>
      </c>
      <c r="D3412">
        <v>7</v>
      </c>
      <c r="E3412" t="s">
        <v>61</v>
      </c>
      <c r="F3412" t="s">
        <v>19</v>
      </c>
      <c r="G3412" t="s">
        <v>182</v>
      </c>
      <c r="H3412" t="s">
        <v>80</v>
      </c>
      <c r="I3412">
        <v>36087</v>
      </c>
      <c r="J3412">
        <v>30949</v>
      </c>
    </row>
    <row r="3413" spans="1:10" x14ac:dyDescent="0.3">
      <c r="A3413" t="s">
        <v>3540</v>
      </c>
      <c r="B3413" s="1">
        <v>45675</v>
      </c>
      <c r="C3413" t="s">
        <v>17</v>
      </c>
      <c r="D3413">
        <v>3</v>
      </c>
      <c r="E3413" t="s">
        <v>70</v>
      </c>
      <c r="F3413" t="s">
        <v>101</v>
      </c>
      <c r="G3413" t="s">
        <v>182</v>
      </c>
      <c r="H3413" t="s">
        <v>48</v>
      </c>
      <c r="I3413">
        <v>34718</v>
      </c>
      <c r="J3413">
        <v>31350</v>
      </c>
    </row>
    <row r="3414" spans="1:10" x14ac:dyDescent="0.3">
      <c r="A3414" t="s">
        <v>3541</v>
      </c>
      <c r="B3414" s="1">
        <v>45782</v>
      </c>
      <c r="C3414" t="s">
        <v>90</v>
      </c>
      <c r="D3414">
        <v>19</v>
      </c>
      <c r="E3414" t="s">
        <v>70</v>
      </c>
      <c r="F3414" t="s">
        <v>46</v>
      </c>
      <c r="G3414" t="s">
        <v>160</v>
      </c>
      <c r="H3414" t="s">
        <v>151</v>
      </c>
      <c r="I3414">
        <v>32085</v>
      </c>
      <c r="J3414">
        <v>33950</v>
      </c>
    </row>
    <row r="3415" spans="1:10" x14ac:dyDescent="0.3">
      <c r="A3415" t="s">
        <v>3542</v>
      </c>
      <c r="B3415" s="1">
        <v>45769</v>
      </c>
      <c r="C3415" t="s">
        <v>86</v>
      </c>
      <c r="D3415">
        <v>17</v>
      </c>
      <c r="E3415" t="s">
        <v>18</v>
      </c>
      <c r="F3415" t="s">
        <v>109</v>
      </c>
      <c r="G3415" t="s">
        <v>266</v>
      </c>
      <c r="H3415" t="s">
        <v>119</v>
      </c>
      <c r="I3415">
        <v>29054</v>
      </c>
      <c r="J3415">
        <v>36589</v>
      </c>
    </row>
    <row r="3416" spans="1:10" x14ac:dyDescent="0.3">
      <c r="A3416" t="s">
        <v>3543</v>
      </c>
      <c r="B3416" s="1">
        <v>45824</v>
      </c>
      <c r="C3416" t="s">
        <v>74</v>
      </c>
      <c r="D3416">
        <v>25</v>
      </c>
      <c r="E3416" t="s">
        <v>39</v>
      </c>
      <c r="F3416" t="s">
        <v>140</v>
      </c>
      <c r="G3416" t="s">
        <v>291</v>
      </c>
      <c r="H3416" t="s">
        <v>111</v>
      </c>
      <c r="I3416">
        <v>29250</v>
      </c>
      <c r="J3416">
        <v>21298</v>
      </c>
    </row>
    <row r="3417" spans="1:10" x14ac:dyDescent="0.3">
      <c r="A3417" t="s">
        <v>3544</v>
      </c>
      <c r="B3417" s="1">
        <v>45753</v>
      </c>
      <c r="C3417" t="s">
        <v>86</v>
      </c>
      <c r="D3417">
        <v>14</v>
      </c>
      <c r="E3417" t="s">
        <v>61</v>
      </c>
      <c r="F3417" t="s">
        <v>34</v>
      </c>
      <c r="G3417" t="s">
        <v>72</v>
      </c>
      <c r="H3417" t="s">
        <v>41</v>
      </c>
      <c r="I3417">
        <v>35805</v>
      </c>
      <c r="J3417">
        <v>40512</v>
      </c>
    </row>
    <row r="3418" spans="1:10" x14ac:dyDescent="0.3">
      <c r="A3418" t="s">
        <v>3545</v>
      </c>
      <c r="B3418" s="1">
        <v>45794</v>
      </c>
      <c r="C3418" t="s">
        <v>90</v>
      </c>
      <c r="D3418">
        <v>20</v>
      </c>
      <c r="E3418" t="s">
        <v>70</v>
      </c>
      <c r="F3418" t="s">
        <v>75</v>
      </c>
      <c r="G3418" t="s">
        <v>137</v>
      </c>
      <c r="H3418" t="s">
        <v>103</v>
      </c>
      <c r="I3418">
        <v>24739</v>
      </c>
      <c r="J3418">
        <v>22584</v>
      </c>
    </row>
    <row r="3419" spans="1:10" x14ac:dyDescent="0.3">
      <c r="A3419" t="s">
        <v>3546</v>
      </c>
      <c r="B3419" s="1">
        <v>45884</v>
      </c>
      <c r="C3419" t="s">
        <v>113</v>
      </c>
      <c r="D3419">
        <v>33</v>
      </c>
      <c r="E3419" t="s">
        <v>18</v>
      </c>
      <c r="F3419" t="s">
        <v>109</v>
      </c>
      <c r="G3419" t="s">
        <v>76</v>
      </c>
      <c r="H3419" t="s">
        <v>111</v>
      </c>
      <c r="I3419">
        <v>28283</v>
      </c>
      <c r="J3419">
        <v>33655</v>
      </c>
    </row>
    <row r="3420" spans="1:10" x14ac:dyDescent="0.3">
      <c r="A3420" t="s">
        <v>3547</v>
      </c>
      <c r="B3420" s="1">
        <v>45904</v>
      </c>
      <c r="C3420" t="s">
        <v>38</v>
      </c>
      <c r="D3420">
        <v>36</v>
      </c>
      <c r="E3420" t="s">
        <v>18</v>
      </c>
      <c r="F3420" t="s">
        <v>92</v>
      </c>
      <c r="G3420" t="s">
        <v>115</v>
      </c>
      <c r="H3420" t="s">
        <v>211</v>
      </c>
      <c r="I3420">
        <v>35636</v>
      </c>
      <c r="J3420">
        <v>26667</v>
      </c>
    </row>
    <row r="3421" spans="1:10" x14ac:dyDescent="0.3">
      <c r="A3421" t="s">
        <v>3548</v>
      </c>
      <c r="B3421" s="1">
        <v>45851</v>
      </c>
      <c r="C3421" t="s">
        <v>11</v>
      </c>
      <c r="D3421">
        <v>28</v>
      </c>
      <c r="E3421" t="s">
        <v>18</v>
      </c>
      <c r="F3421" t="s">
        <v>62</v>
      </c>
      <c r="G3421" t="s">
        <v>44</v>
      </c>
      <c r="H3421" t="s">
        <v>68</v>
      </c>
      <c r="I3421">
        <v>21785</v>
      </c>
      <c r="J3421">
        <v>25460</v>
      </c>
    </row>
    <row r="3422" spans="1:10" x14ac:dyDescent="0.3">
      <c r="A3422" t="s">
        <v>3549</v>
      </c>
      <c r="B3422" s="1">
        <v>45674</v>
      </c>
      <c r="C3422" t="s">
        <v>17</v>
      </c>
      <c r="D3422">
        <v>3</v>
      </c>
      <c r="E3422" t="s">
        <v>18</v>
      </c>
      <c r="F3422" t="s">
        <v>13</v>
      </c>
      <c r="G3422" t="s">
        <v>141</v>
      </c>
      <c r="H3422" t="s">
        <v>116</v>
      </c>
      <c r="I3422">
        <v>18418</v>
      </c>
      <c r="J3422">
        <v>19329</v>
      </c>
    </row>
    <row r="3423" spans="1:10" x14ac:dyDescent="0.3">
      <c r="A3423" t="s">
        <v>3550</v>
      </c>
      <c r="B3423" s="1">
        <v>45696</v>
      </c>
      <c r="C3423" t="s">
        <v>82</v>
      </c>
      <c r="D3423">
        <v>6</v>
      </c>
      <c r="E3423" t="s">
        <v>24</v>
      </c>
      <c r="F3423" t="s">
        <v>13</v>
      </c>
      <c r="G3423" t="s">
        <v>118</v>
      </c>
      <c r="H3423" t="s">
        <v>48</v>
      </c>
      <c r="I3423">
        <v>17319</v>
      </c>
      <c r="J3423">
        <v>13442</v>
      </c>
    </row>
    <row r="3424" spans="1:10" x14ac:dyDescent="0.3">
      <c r="A3424" t="s">
        <v>3551</v>
      </c>
      <c r="B3424" s="1">
        <v>45783</v>
      </c>
      <c r="C3424" t="s">
        <v>90</v>
      </c>
      <c r="D3424">
        <v>19</v>
      </c>
      <c r="E3424" t="s">
        <v>61</v>
      </c>
      <c r="F3424" t="s">
        <v>57</v>
      </c>
      <c r="G3424" t="s">
        <v>54</v>
      </c>
      <c r="H3424" t="s">
        <v>31</v>
      </c>
      <c r="I3424">
        <v>26143</v>
      </c>
      <c r="J3424">
        <v>18756</v>
      </c>
    </row>
    <row r="3425" spans="1:10" x14ac:dyDescent="0.3">
      <c r="A3425" t="s">
        <v>3552</v>
      </c>
      <c r="B3425" s="1">
        <v>45971</v>
      </c>
      <c r="C3425" t="s">
        <v>23</v>
      </c>
      <c r="D3425">
        <v>46</v>
      </c>
      <c r="E3425" t="s">
        <v>39</v>
      </c>
      <c r="F3425" t="s">
        <v>92</v>
      </c>
      <c r="G3425" t="s">
        <v>115</v>
      </c>
      <c r="H3425" t="s">
        <v>103</v>
      </c>
      <c r="I3425">
        <v>37490</v>
      </c>
      <c r="J3425">
        <v>37648</v>
      </c>
    </row>
    <row r="3426" spans="1:10" x14ac:dyDescent="0.3">
      <c r="A3426" t="s">
        <v>3553</v>
      </c>
      <c r="B3426" s="1">
        <v>45879</v>
      </c>
      <c r="C3426" t="s">
        <v>113</v>
      </c>
      <c r="D3426">
        <v>32</v>
      </c>
      <c r="E3426" t="s">
        <v>70</v>
      </c>
      <c r="F3426" t="s">
        <v>34</v>
      </c>
      <c r="G3426" t="s">
        <v>79</v>
      </c>
      <c r="H3426" t="s">
        <v>36</v>
      </c>
      <c r="I3426">
        <v>16746</v>
      </c>
      <c r="J3426">
        <v>14059</v>
      </c>
    </row>
    <row r="3427" spans="1:10" x14ac:dyDescent="0.3">
      <c r="A3427" t="s">
        <v>3554</v>
      </c>
      <c r="B3427" s="1">
        <v>45839</v>
      </c>
      <c r="C3427" t="s">
        <v>11</v>
      </c>
      <c r="D3427">
        <v>27</v>
      </c>
      <c r="E3427" t="s">
        <v>61</v>
      </c>
      <c r="F3427" t="s">
        <v>122</v>
      </c>
      <c r="G3427" t="s">
        <v>30</v>
      </c>
      <c r="H3427" t="s">
        <v>59</v>
      </c>
      <c r="I3427">
        <v>20507</v>
      </c>
      <c r="J3427">
        <v>24300</v>
      </c>
    </row>
    <row r="3428" spans="1:10" x14ac:dyDescent="0.3">
      <c r="A3428" t="s">
        <v>3555</v>
      </c>
      <c r="B3428" s="1">
        <v>45759</v>
      </c>
      <c r="C3428" t="s">
        <v>86</v>
      </c>
      <c r="D3428">
        <v>15</v>
      </c>
      <c r="E3428" t="s">
        <v>33</v>
      </c>
      <c r="F3428" t="s">
        <v>19</v>
      </c>
      <c r="G3428" t="s">
        <v>67</v>
      </c>
      <c r="H3428" t="s">
        <v>36</v>
      </c>
      <c r="I3428">
        <v>23792</v>
      </c>
      <c r="J3428">
        <v>22260</v>
      </c>
    </row>
    <row r="3429" spans="1:10" x14ac:dyDescent="0.3">
      <c r="A3429" t="s">
        <v>3556</v>
      </c>
      <c r="B3429" s="1">
        <v>45963</v>
      </c>
      <c r="C3429" t="s">
        <v>23</v>
      </c>
      <c r="D3429">
        <v>44</v>
      </c>
      <c r="E3429" t="s">
        <v>12</v>
      </c>
      <c r="F3429" t="s">
        <v>13</v>
      </c>
      <c r="G3429" t="s">
        <v>182</v>
      </c>
      <c r="H3429" t="s">
        <v>243</v>
      </c>
      <c r="I3429">
        <v>15643</v>
      </c>
      <c r="J3429">
        <v>18625</v>
      </c>
    </row>
    <row r="3430" spans="1:10" x14ac:dyDescent="0.3">
      <c r="A3430" t="s">
        <v>3557</v>
      </c>
      <c r="B3430" s="1">
        <v>45928</v>
      </c>
      <c r="C3430" t="s">
        <v>38</v>
      </c>
      <c r="D3430">
        <v>39</v>
      </c>
      <c r="E3430" t="s">
        <v>33</v>
      </c>
      <c r="F3430" t="s">
        <v>50</v>
      </c>
      <c r="G3430" t="s">
        <v>102</v>
      </c>
      <c r="H3430" t="s">
        <v>116</v>
      </c>
      <c r="I3430">
        <v>19438</v>
      </c>
      <c r="J3430">
        <v>15218</v>
      </c>
    </row>
    <row r="3431" spans="1:10" x14ac:dyDescent="0.3">
      <c r="A3431" t="s">
        <v>3558</v>
      </c>
      <c r="B3431" s="1">
        <v>45851</v>
      </c>
      <c r="C3431" t="s">
        <v>11</v>
      </c>
      <c r="D3431">
        <v>28</v>
      </c>
      <c r="E3431" t="s">
        <v>39</v>
      </c>
      <c r="F3431" t="s">
        <v>43</v>
      </c>
      <c r="G3431" t="s">
        <v>230</v>
      </c>
      <c r="H3431" t="s">
        <v>243</v>
      </c>
      <c r="I3431">
        <v>32797</v>
      </c>
      <c r="J3431">
        <v>32799</v>
      </c>
    </row>
    <row r="3432" spans="1:10" x14ac:dyDescent="0.3">
      <c r="A3432" t="s">
        <v>3559</v>
      </c>
      <c r="B3432" s="1">
        <v>45831</v>
      </c>
      <c r="C3432" t="s">
        <v>74</v>
      </c>
      <c r="D3432">
        <v>26</v>
      </c>
      <c r="E3432" t="s">
        <v>61</v>
      </c>
      <c r="F3432" t="s">
        <v>92</v>
      </c>
      <c r="G3432" t="s">
        <v>20</v>
      </c>
      <c r="H3432" t="s">
        <v>123</v>
      </c>
      <c r="I3432">
        <v>30965</v>
      </c>
      <c r="J3432">
        <v>36459</v>
      </c>
    </row>
    <row r="3433" spans="1:10" x14ac:dyDescent="0.3">
      <c r="A3433" t="s">
        <v>3560</v>
      </c>
      <c r="B3433" s="1">
        <v>45822</v>
      </c>
      <c r="C3433" t="s">
        <v>74</v>
      </c>
      <c r="D3433">
        <v>24</v>
      </c>
      <c r="E3433" t="s">
        <v>24</v>
      </c>
      <c r="F3433" t="s">
        <v>13</v>
      </c>
      <c r="G3433" t="s">
        <v>191</v>
      </c>
      <c r="H3433" t="s">
        <v>163</v>
      </c>
      <c r="I3433">
        <v>29025</v>
      </c>
      <c r="J3433">
        <v>30709</v>
      </c>
    </row>
    <row r="3434" spans="1:10" x14ac:dyDescent="0.3">
      <c r="A3434" t="s">
        <v>3561</v>
      </c>
      <c r="B3434" s="1">
        <v>45740</v>
      </c>
      <c r="C3434" t="s">
        <v>95</v>
      </c>
      <c r="D3434">
        <v>13</v>
      </c>
      <c r="E3434" t="s">
        <v>61</v>
      </c>
      <c r="F3434" t="s">
        <v>75</v>
      </c>
      <c r="G3434" t="s">
        <v>199</v>
      </c>
      <c r="H3434" t="s">
        <v>27</v>
      </c>
      <c r="I3434">
        <v>28694</v>
      </c>
      <c r="J3434">
        <v>29911</v>
      </c>
    </row>
    <row r="3435" spans="1:10" x14ac:dyDescent="0.3">
      <c r="A3435" t="s">
        <v>3562</v>
      </c>
      <c r="B3435" s="1">
        <v>45849</v>
      </c>
      <c r="C3435" t="s">
        <v>11</v>
      </c>
      <c r="D3435">
        <v>28</v>
      </c>
      <c r="E3435" t="s">
        <v>33</v>
      </c>
      <c r="F3435" t="s">
        <v>114</v>
      </c>
      <c r="G3435" t="s">
        <v>147</v>
      </c>
      <c r="H3435" t="s">
        <v>15</v>
      </c>
      <c r="I3435">
        <v>18639</v>
      </c>
      <c r="J3435">
        <v>22343</v>
      </c>
    </row>
    <row r="3436" spans="1:10" x14ac:dyDescent="0.3">
      <c r="A3436" t="s">
        <v>3563</v>
      </c>
      <c r="B3436" s="1">
        <v>45811</v>
      </c>
      <c r="C3436" t="s">
        <v>74</v>
      </c>
      <c r="D3436">
        <v>23</v>
      </c>
      <c r="E3436" t="s">
        <v>24</v>
      </c>
      <c r="F3436" t="s">
        <v>57</v>
      </c>
      <c r="G3436" t="s">
        <v>72</v>
      </c>
      <c r="H3436" t="s">
        <v>116</v>
      </c>
      <c r="I3436">
        <v>30702</v>
      </c>
      <c r="J3436">
        <v>30567</v>
      </c>
    </row>
    <row r="3437" spans="1:10" x14ac:dyDescent="0.3">
      <c r="A3437" t="s">
        <v>3564</v>
      </c>
      <c r="B3437" s="1">
        <v>45677</v>
      </c>
      <c r="C3437" t="s">
        <v>17</v>
      </c>
      <c r="D3437">
        <v>4</v>
      </c>
      <c r="E3437" t="s">
        <v>39</v>
      </c>
      <c r="F3437" t="s">
        <v>109</v>
      </c>
      <c r="G3437" t="s">
        <v>51</v>
      </c>
      <c r="H3437" t="s">
        <v>111</v>
      </c>
      <c r="I3437">
        <v>22885</v>
      </c>
      <c r="J3437">
        <v>18348</v>
      </c>
    </row>
    <row r="3438" spans="1:10" x14ac:dyDescent="0.3">
      <c r="A3438" t="s">
        <v>3565</v>
      </c>
      <c r="B3438" s="1">
        <v>46001</v>
      </c>
      <c r="C3438" t="s">
        <v>100</v>
      </c>
      <c r="D3438">
        <v>50</v>
      </c>
      <c r="E3438" t="s">
        <v>12</v>
      </c>
      <c r="F3438" t="s">
        <v>101</v>
      </c>
      <c r="G3438" t="s">
        <v>76</v>
      </c>
      <c r="H3438" t="s">
        <v>27</v>
      </c>
      <c r="I3438">
        <v>27402</v>
      </c>
      <c r="J3438">
        <v>28083</v>
      </c>
    </row>
    <row r="3439" spans="1:10" x14ac:dyDescent="0.3">
      <c r="A3439" t="s">
        <v>3566</v>
      </c>
      <c r="B3439" s="1">
        <v>45669</v>
      </c>
      <c r="C3439" t="s">
        <v>17</v>
      </c>
      <c r="D3439">
        <v>2</v>
      </c>
      <c r="E3439" t="s">
        <v>24</v>
      </c>
      <c r="F3439" t="s">
        <v>109</v>
      </c>
      <c r="G3439" t="s">
        <v>132</v>
      </c>
      <c r="H3439" t="s">
        <v>116</v>
      </c>
      <c r="I3439">
        <v>35113</v>
      </c>
      <c r="J3439">
        <v>44165</v>
      </c>
    </row>
    <row r="3440" spans="1:10" x14ac:dyDescent="0.3">
      <c r="A3440" t="s">
        <v>3567</v>
      </c>
      <c r="B3440" s="1">
        <v>45748</v>
      </c>
      <c r="C3440" t="s">
        <v>86</v>
      </c>
      <c r="D3440">
        <v>14</v>
      </c>
      <c r="E3440" t="s">
        <v>12</v>
      </c>
      <c r="F3440" t="s">
        <v>19</v>
      </c>
      <c r="G3440" t="s">
        <v>132</v>
      </c>
      <c r="H3440" t="s">
        <v>243</v>
      </c>
      <c r="I3440">
        <v>22313</v>
      </c>
      <c r="J3440">
        <v>28269</v>
      </c>
    </row>
    <row r="3441" spans="1:10" x14ac:dyDescent="0.3">
      <c r="A3441" t="s">
        <v>3568</v>
      </c>
      <c r="B3441" s="1">
        <v>45895</v>
      </c>
      <c r="C3441" t="s">
        <v>113</v>
      </c>
      <c r="D3441">
        <v>35</v>
      </c>
      <c r="E3441" t="s">
        <v>12</v>
      </c>
      <c r="F3441" t="s">
        <v>50</v>
      </c>
      <c r="G3441" t="s">
        <v>206</v>
      </c>
      <c r="H3441" t="s">
        <v>84</v>
      </c>
      <c r="I3441">
        <v>25707</v>
      </c>
      <c r="J3441">
        <v>18016</v>
      </c>
    </row>
    <row r="3442" spans="1:10" x14ac:dyDescent="0.3">
      <c r="A3442" t="s">
        <v>3569</v>
      </c>
      <c r="B3442" s="1">
        <v>45757</v>
      </c>
      <c r="C3442" t="s">
        <v>86</v>
      </c>
      <c r="D3442">
        <v>15</v>
      </c>
      <c r="E3442" t="s">
        <v>39</v>
      </c>
      <c r="F3442" t="s">
        <v>13</v>
      </c>
      <c r="G3442" t="s">
        <v>135</v>
      </c>
      <c r="H3442" t="s">
        <v>133</v>
      </c>
      <c r="I3442">
        <v>23361</v>
      </c>
      <c r="J3442">
        <v>19483</v>
      </c>
    </row>
    <row r="3443" spans="1:10" x14ac:dyDescent="0.3">
      <c r="A3443" t="s">
        <v>3570</v>
      </c>
      <c r="B3443" s="1">
        <v>45946</v>
      </c>
      <c r="C3443" t="s">
        <v>66</v>
      </c>
      <c r="D3443">
        <v>42</v>
      </c>
      <c r="E3443" t="s">
        <v>70</v>
      </c>
      <c r="F3443" t="s">
        <v>87</v>
      </c>
      <c r="G3443" t="s">
        <v>63</v>
      </c>
      <c r="H3443" t="s">
        <v>111</v>
      </c>
      <c r="I3443">
        <v>27399</v>
      </c>
      <c r="J3443">
        <v>26122</v>
      </c>
    </row>
    <row r="3444" spans="1:10" x14ac:dyDescent="0.3">
      <c r="A3444" t="s">
        <v>3571</v>
      </c>
      <c r="B3444" s="1">
        <v>45832</v>
      </c>
      <c r="C3444" t="s">
        <v>74</v>
      </c>
      <c r="D3444">
        <v>26</v>
      </c>
      <c r="E3444" t="s">
        <v>12</v>
      </c>
      <c r="F3444" t="s">
        <v>114</v>
      </c>
      <c r="G3444" t="s">
        <v>63</v>
      </c>
      <c r="H3444" t="s">
        <v>15</v>
      </c>
      <c r="I3444">
        <v>15592</v>
      </c>
      <c r="J3444">
        <v>16855</v>
      </c>
    </row>
    <row r="3445" spans="1:10" x14ac:dyDescent="0.3">
      <c r="A3445" t="s">
        <v>3572</v>
      </c>
      <c r="B3445" s="1">
        <v>45664</v>
      </c>
      <c r="C3445" t="s">
        <v>17</v>
      </c>
      <c r="D3445">
        <v>2</v>
      </c>
      <c r="E3445" t="s">
        <v>70</v>
      </c>
      <c r="F3445" t="s">
        <v>19</v>
      </c>
      <c r="G3445" t="s">
        <v>14</v>
      </c>
      <c r="H3445" t="s">
        <v>155</v>
      </c>
      <c r="I3445">
        <v>23088</v>
      </c>
      <c r="J3445">
        <v>22390</v>
      </c>
    </row>
    <row r="3446" spans="1:10" x14ac:dyDescent="0.3">
      <c r="A3446" t="s">
        <v>3573</v>
      </c>
      <c r="B3446" s="1">
        <v>45679</v>
      </c>
      <c r="C3446" t="s">
        <v>17</v>
      </c>
      <c r="D3446">
        <v>4</v>
      </c>
      <c r="E3446" t="s">
        <v>61</v>
      </c>
      <c r="F3446" t="s">
        <v>19</v>
      </c>
      <c r="G3446" t="s">
        <v>191</v>
      </c>
      <c r="H3446" t="s">
        <v>31</v>
      </c>
      <c r="I3446">
        <v>19069</v>
      </c>
      <c r="J3446">
        <v>19744</v>
      </c>
    </row>
    <row r="3447" spans="1:10" x14ac:dyDescent="0.3">
      <c r="A3447" t="s">
        <v>3574</v>
      </c>
      <c r="B3447" s="1">
        <v>45800</v>
      </c>
      <c r="C3447" t="s">
        <v>90</v>
      </c>
      <c r="D3447">
        <v>21</v>
      </c>
      <c r="E3447" t="s">
        <v>18</v>
      </c>
      <c r="F3447" t="s">
        <v>46</v>
      </c>
      <c r="G3447" t="s">
        <v>324</v>
      </c>
      <c r="H3447" t="s">
        <v>163</v>
      </c>
      <c r="I3447">
        <v>25409</v>
      </c>
      <c r="J3447">
        <v>22967</v>
      </c>
    </row>
    <row r="3448" spans="1:10" x14ac:dyDescent="0.3">
      <c r="A3448" t="s">
        <v>3575</v>
      </c>
      <c r="B3448" s="1">
        <v>45852</v>
      </c>
      <c r="C3448" t="s">
        <v>11</v>
      </c>
      <c r="D3448">
        <v>29</v>
      </c>
      <c r="E3448" t="s">
        <v>70</v>
      </c>
      <c r="F3448" t="s">
        <v>50</v>
      </c>
      <c r="G3448" t="s">
        <v>128</v>
      </c>
      <c r="H3448" t="s">
        <v>188</v>
      </c>
      <c r="I3448">
        <v>19639</v>
      </c>
      <c r="J3448">
        <v>24218</v>
      </c>
    </row>
    <row r="3449" spans="1:10" x14ac:dyDescent="0.3">
      <c r="A3449" t="s">
        <v>3576</v>
      </c>
      <c r="B3449" s="1">
        <v>45661</v>
      </c>
      <c r="C3449" t="s">
        <v>17</v>
      </c>
      <c r="D3449">
        <v>1</v>
      </c>
      <c r="E3449" t="s">
        <v>39</v>
      </c>
      <c r="F3449" t="s">
        <v>46</v>
      </c>
      <c r="G3449" t="s">
        <v>102</v>
      </c>
      <c r="H3449" t="s">
        <v>41</v>
      </c>
      <c r="I3449">
        <v>30212</v>
      </c>
      <c r="J3449">
        <v>31672</v>
      </c>
    </row>
    <row r="3450" spans="1:10" x14ac:dyDescent="0.3">
      <c r="A3450" t="s">
        <v>3577</v>
      </c>
      <c r="B3450" s="1">
        <v>45873</v>
      </c>
      <c r="C3450" t="s">
        <v>113</v>
      </c>
      <c r="D3450">
        <v>32</v>
      </c>
      <c r="E3450" t="s">
        <v>24</v>
      </c>
      <c r="F3450" t="s">
        <v>122</v>
      </c>
      <c r="G3450" t="s">
        <v>20</v>
      </c>
      <c r="H3450" t="s">
        <v>123</v>
      </c>
      <c r="I3450">
        <v>23590</v>
      </c>
      <c r="J3450">
        <v>23391</v>
      </c>
    </row>
    <row r="3451" spans="1:10" x14ac:dyDescent="0.3">
      <c r="A3451" t="s">
        <v>3578</v>
      </c>
      <c r="B3451" s="1">
        <v>45896</v>
      </c>
      <c r="C3451" t="s">
        <v>113</v>
      </c>
      <c r="D3451">
        <v>35</v>
      </c>
      <c r="E3451" t="s">
        <v>33</v>
      </c>
      <c r="F3451" t="s">
        <v>19</v>
      </c>
      <c r="G3451" t="s">
        <v>79</v>
      </c>
      <c r="H3451" t="s">
        <v>31</v>
      </c>
      <c r="I3451">
        <v>20205</v>
      </c>
      <c r="J3451">
        <v>20162</v>
      </c>
    </row>
    <row r="3452" spans="1:10" x14ac:dyDescent="0.3">
      <c r="A3452" t="s">
        <v>3579</v>
      </c>
      <c r="B3452" s="1">
        <v>45851</v>
      </c>
      <c r="C3452" t="s">
        <v>11</v>
      </c>
      <c r="D3452">
        <v>28</v>
      </c>
      <c r="E3452" t="s">
        <v>70</v>
      </c>
      <c r="F3452" t="s">
        <v>57</v>
      </c>
      <c r="G3452" t="s">
        <v>240</v>
      </c>
      <c r="H3452" t="s">
        <v>116</v>
      </c>
      <c r="I3452">
        <v>38051</v>
      </c>
      <c r="J3452">
        <v>32611</v>
      </c>
    </row>
    <row r="3453" spans="1:10" x14ac:dyDescent="0.3">
      <c r="A3453" t="s">
        <v>3580</v>
      </c>
      <c r="B3453" s="1">
        <v>45693</v>
      </c>
      <c r="C3453" t="s">
        <v>82</v>
      </c>
      <c r="D3453">
        <v>6</v>
      </c>
      <c r="E3453" t="s">
        <v>24</v>
      </c>
      <c r="F3453" t="s">
        <v>101</v>
      </c>
      <c r="G3453" t="s">
        <v>171</v>
      </c>
      <c r="H3453" t="s">
        <v>27</v>
      </c>
      <c r="I3453">
        <v>26253</v>
      </c>
      <c r="J3453">
        <v>27903</v>
      </c>
    </row>
    <row r="3454" spans="1:10" x14ac:dyDescent="0.3">
      <c r="A3454" t="s">
        <v>3581</v>
      </c>
      <c r="B3454" s="1">
        <v>46003</v>
      </c>
      <c r="C3454" t="s">
        <v>100</v>
      </c>
      <c r="D3454">
        <v>50</v>
      </c>
      <c r="E3454" t="s">
        <v>24</v>
      </c>
      <c r="F3454" t="s">
        <v>29</v>
      </c>
      <c r="G3454" t="s">
        <v>240</v>
      </c>
      <c r="H3454" t="s">
        <v>133</v>
      </c>
      <c r="I3454">
        <v>31658</v>
      </c>
      <c r="J3454">
        <v>34478</v>
      </c>
    </row>
    <row r="3455" spans="1:10" x14ac:dyDescent="0.3">
      <c r="A3455" t="s">
        <v>3582</v>
      </c>
      <c r="B3455" s="1">
        <v>45869</v>
      </c>
      <c r="C3455" t="s">
        <v>11</v>
      </c>
      <c r="D3455">
        <v>31</v>
      </c>
      <c r="E3455" t="s">
        <v>12</v>
      </c>
      <c r="F3455" t="s">
        <v>19</v>
      </c>
      <c r="G3455" t="s">
        <v>206</v>
      </c>
      <c r="H3455" t="s">
        <v>151</v>
      </c>
      <c r="I3455">
        <v>24480</v>
      </c>
      <c r="J3455">
        <v>27850</v>
      </c>
    </row>
    <row r="3456" spans="1:10" x14ac:dyDescent="0.3">
      <c r="A3456" t="s">
        <v>3583</v>
      </c>
      <c r="B3456" s="1">
        <v>45988</v>
      </c>
      <c r="C3456" t="s">
        <v>23</v>
      </c>
      <c r="D3456">
        <v>48</v>
      </c>
      <c r="E3456" t="s">
        <v>70</v>
      </c>
      <c r="F3456" t="s">
        <v>34</v>
      </c>
      <c r="G3456" t="s">
        <v>115</v>
      </c>
      <c r="H3456" t="s">
        <v>123</v>
      </c>
      <c r="I3456">
        <v>38412</v>
      </c>
      <c r="J3456">
        <v>32018</v>
      </c>
    </row>
    <row r="3457" spans="1:10" x14ac:dyDescent="0.3">
      <c r="A3457" t="s">
        <v>3584</v>
      </c>
      <c r="B3457" s="1">
        <v>45892</v>
      </c>
      <c r="C3457" t="s">
        <v>113</v>
      </c>
      <c r="D3457">
        <v>34</v>
      </c>
      <c r="E3457" t="s">
        <v>70</v>
      </c>
      <c r="F3457" t="s">
        <v>87</v>
      </c>
      <c r="G3457" t="s">
        <v>191</v>
      </c>
      <c r="H3457" t="s">
        <v>163</v>
      </c>
      <c r="I3457">
        <v>20032</v>
      </c>
      <c r="J3457">
        <v>20656</v>
      </c>
    </row>
    <row r="3458" spans="1:10" x14ac:dyDescent="0.3">
      <c r="A3458" t="s">
        <v>3585</v>
      </c>
      <c r="B3458" s="1">
        <v>45841</v>
      </c>
      <c r="C3458" t="s">
        <v>11</v>
      </c>
      <c r="D3458">
        <v>27</v>
      </c>
      <c r="E3458" t="s">
        <v>33</v>
      </c>
      <c r="F3458" t="s">
        <v>57</v>
      </c>
      <c r="G3458" t="s">
        <v>206</v>
      </c>
      <c r="H3458" t="s">
        <v>31</v>
      </c>
      <c r="I3458">
        <v>32223</v>
      </c>
      <c r="J3458">
        <v>36908</v>
      </c>
    </row>
    <row r="3459" spans="1:10" x14ac:dyDescent="0.3">
      <c r="A3459" t="s">
        <v>3586</v>
      </c>
      <c r="B3459" s="1">
        <v>45806</v>
      </c>
      <c r="C3459" t="s">
        <v>90</v>
      </c>
      <c r="D3459">
        <v>22</v>
      </c>
      <c r="E3459" t="s">
        <v>18</v>
      </c>
      <c r="F3459" t="s">
        <v>25</v>
      </c>
      <c r="G3459" t="s">
        <v>107</v>
      </c>
      <c r="H3459" t="s">
        <v>98</v>
      </c>
      <c r="I3459">
        <v>30828</v>
      </c>
      <c r="J3459">
        <v>40065</v>
      </c>
    </row>
    <row r="3460" spans="1:10" x14ac:dyDescent="0.3">
      <c r="A3460" t="s">
        <v>3587</v>
      </c>
      <c r="B3460" s="1">
        <v>45902</v>
      </c>
      <c r="C3460" t="s">
        <v>38</v>
      </c>
      <c r="D3460">
        <v>36</v>
      </c>
      <c r="E3460" t="s">
        <v>61</v>
      </c>
      <c r="F3460" t="s">
        <v>140</v>
      </c>
      <c r="G3460" t="s">
        <v>326</v>
      </c>
      <c r="H3460" t="s">
        <v>157</v>
      </c>
      <c r="I3460">
        <v>27947</v>
      </c>
      <c r="J3460">
        <v>27614</v>
      </c>
    </row>
    <row r="3461" spans="1:10" x14ac:dyDescent="0.3">
      <c r="A3461" t="s">
        <v>3588</v>
      </c>
      <c r="B3461" s="1">
        <v>45848</v>
      </c>
      <c r="C3461" t="s">
        <v>11</v>
      </c>
      <c r="D3461">
        <v>28</v>
      </c>
      <c r="E3461" t="s">
        <v>18</v>
      </c>
      <c r="F3461" t="s">
        <v>13</v>
      </c>
      <c r="G3461" t="s">
        <v>93</v>
      </c>
      <c r="H3461" t="s">
        <v>188</v>
      </c>
      <c r="I3461">
        <v>31067</v>
      </c>
      <c r="J3461">
        <v>27643</v>
      </c>
    </row>
    <row r="3462" spans="1:10" x14ac:dyDescent="0.3">
      <c r="A3462" t="s">
        <v>3589</v>
      </c>
      <c r="B3462" s="1">
        <v>45941</v>
      </c>
      <c r="C3462" t="s">
        <v>66</v>
      </c>
      <c r="D3462">
        <v>41</v>
      </c>
      <c r="E3462" t="s">
        <v>39</v>
      </c>
      <c r="F3462" t="s">
        <v>43</v>
      </c>
      <c r="G3462" t="s">
        <v>79</v>
      </c>
      <c r="H3462" t="s">
        <v>163</v>
      </c>
      <c r="I3462">
        <v>25757</v>
      </c>
      <c r="J3462">
        <v>24444</v>
      </c>
    </row>
    <row r="3463" spans="1:10" x14ac:dyDescent="0.3">
      <c r="A3463" t="s">
        <v>3590</v>
      </c>
      <c r="B3463" s="1">
        <v>45746</v>
      </c>
      <c r="C3463" t="s">
        <v>95</v>
      </c>
      <c r="D3463">
        <v>13</v>
      </c>
      <c r="E3463" t="s">
        <v>39</v>
      </c>
      <c r="F3463" t="s">
        <v>50</v>
      </c>
      <c r="G3463" t="s">
        <v>206</v>
      </c>
      <c r="H3463" t="s">
        <v>80</v>
      </c>
      <c r="I3463">
        <v>33020</v>
      </c>
      <c r="J3463">
        <v>35703</v>
      </c>
    </row>
    <row r="3464" spans="1:10" x14ac:dyDescent="0.3">
      <c r="A3464" t="s">
        <v>3591</v>
      </c>
      <c r="B3464" s="1">
        <v>45995</v>
      </c>
      <c r="C3464" t="s">
        <v>100</v>
      </c>
      <c r="D3464">
        <v>49</v>
      </c>
      <c r="E3464" t="s">
        <v>12</v>
      </c>
      <c r="F3464" t="s">
        <v>193</v>
      </c>
      <c r="G3464" t="s">
        <v>51</v>
      </c>
      <c r="H3464" t="s">
        <v>155</v>
      </c>
      <c r="I3464">
        <v>17478</v>
      </c>
      <c r="J3464">
        <v>17886</v>
      </c>
    </row>
    <row r="3465" spans="1:10" x14ac:dyDescent="0.3">
      <c r="A3465" t="s">
        <v>3592</v>
      </c>
      <c r="B3465" s="1">
        <v>46013</v>
      </c>
      <c r="C3465" t="s">
        <v>100</v>
      </c>
      <c r="D3465">
        <v>52</v>
      </c>
      <c r="E3465" t="s">
        <v>70</v>
      </c>
      <c r="F3465" t="s">
        <v>25</v>
      </c>
      <c r="G3465" t="s">
        <v>149</v>
      </c>
      <c r="H3465" t="s">
        <v>59</v>
      </c>
      <c r="I3465">
        <v>37960</v>
      </c>
      <c r="J3465">
        <v>31868</v>
      </c>
    </row>
    <row r="3466" spans="1:10" x14ac:dyDescent="0.3">
      <c r="A3466" t="s">
        <v>3593</v>
      </c>
      <c r="B3466" s="1">
        <v>45848</v>
      </c>
      <c r="C3466" t="s">
        <v>11</v>
      </c>
      <c r="D3466">
        <v>28</v>
      </c>
      <c r="E3466" t="s">
        <v>24</v>
      </c>
      <c r="F3466" t="s">
        <v>78</v>
      </c>
      <c r="G3466" t="s">
        <v>253</v>
      </c>
      <c r="H3466" t="s">
        <v>15</v>
      </c>
      <c r="I3466">
        <v>16785</v>
      </c>
      <c r="J3466">
        <v>15580</v>
      </c>
    </row>
    <row r="3467" spans="1:10" x14ac:dyDescent="0.3">
      <c r="A3467" t="s">
        <v>3594</v>
      </c>
      <c r="B3467" s="1">
        <v>45778</v>
      </c>
      <c r="C3467" t="s">
        <v>90</v>
      </c>
      <c r="D3467">
        <v>18</v>
      </c>
      <c r="E3467" t="s">
        <v>24</v>
      </c>
      <c r="F3467" t="s">
        <v>140</v>
      </c>
      <c r="G3467" t="s">
        <v>93</v>
      </c>
      <c r="H3467" t="s">
        <v>41</v>
      </c>
      <c r="I3467">
        <v>33948</v>
      </c>
      <c r="J3467">
        <v>39138</v>
      </c>
    </row>
    <row r="3468" spans="1:10" x14ac:dyDescent="0.3">
      <c r="A3468" t="s">
        <v>3595</v>
      </c>
      <c r="B3468" s="1">
        <v>45737</v>
      </c>
      <c r="C3468" t="s">
        <v>95</v>
      </c>
      <c r="D3468">
        <v>12</v>
      </c>
      <c r="E3468" t="s">
        <v>33</v>
      </c>
      <c r="F3468" t="s">
        <v>78</v>
      </c>
      <c r="G3468" t="s">
        <v>206</v>
      </c>
      <c r="H3468" t="s">
        <v>84</v>
      </c>
      <c r="I3468">
        <v>20619</v>
      </c>
      <c r="J3468">
        <v>17589</v>
      </c>
    </row>
    <row r="3469" spans="1:10" x14ac:dyDescent="0.3">
      <c r="A3469" t="s">
        <v>3596</v>
      </c>
      <c r="B3469" s="1">
        <v>45886</v>
      </c>
      <c r="C3469" t="s">
        <v>113</v>
      </c>
      <c r="D3469">
        <v>33</v>
      </c>
      <c r="E3469" t="s">
        <v>12</v>
      </c>
      <c r="F3469" t="s">
        <v>92</v>
      </c>
      <c r="G3469" t="s">
        <v>326</v>
      </c>
      <c r="H3469" t="s">
        <v>21</v>
      </c>
      <c r="I3469">
        <v>33666</v>
      </c>
      <c r="J3469">
        <v>30348</v>
      </c>
    </row>
    <row r="3470" spans="1:10" x14ac:dyDescent="0.3">
      <c r="A3470" t="s">
        <v>3597</v>
      </c>
      <c r="B3470" s="1">
        <v>46005</v>
      </c>
      <c r="C3470" t="s">
        <v>100</v>
      </c>
      <c r="D3470">
        <v>50</v>
      </c>
      <c r="E3470" t="s">
        <v>61</v>
      </c>
      <c r="F3470" t="s">
        <v>75</v>
      </c>
      <c r="G3470" t="s">
        <v>201</v>
      </c>
      <c r="H3470" t="s">
        <v>68</v>
      </c>
      <c r="I3470">
        <v>36154</v>
      </c>
      <c r="J3470">
        <v>25525</v>
      </c>
    </row>
    <row r="3471" spans="1:10" x14ac:dyDescent="0.3">
      <c r="A3471" t="s">
        <v>3598</v>
      </c>
      <c r="B3471" s="1">
        <v>45782</v>
      </c>
      <c r="C3471" t="s">
        <v>90</v>
      </c>
      <c r="D3471">
        <v>19</v>
      </c>
      <c r="E3471" t="s">
        <v>61</v>
      </c>
      <c r="F3471" t="s">
        <v>140</v>
      </c>
      <c r="G3471" t="s">
        <v>47</v>
      </c>
      <c r="H3471" t="s">
        <v>98</v>
      </c>
      <c r="I3471">
        <v>19990</v>
      </c>
      <c r="J3471">
        <v>25859</v>
      </c>
    </row>
    <row r="3472" spans="1:10" x14ac:dyDescent="0.3">
      <c r="A3472" t="s">
        <v>3599</v>
      </c>
      <c r="B3472" s="1">
        <v>45919</v>
      </c>
      <c r="C3472" t="s">
        <v>38</v>
      </c>
      <c r="D3472">
        <v>38</v>
      </c>
      <c r="E3472" t="s">
        <v>12</v>
      </c>
      <c r="F3472" t="s">
        <v>50</v>
      </c>
      <c r="G3472" t="s">
        <v>63</v>
      </c>
      <c r="H3472" t="s">
        <v>21</v>
      </c>
      <c r="I3472">
        <v>19297</v>
      </c>
      <c r="J3472">
        <v>14368</v>
      </c>
    </row>
    <row r="3473" spans="1:10" x14ac:dyDescent="0.3">
      <c r="A3473" t="s">
        <v>3600</v>
      </c>
      <c r="B3473" s="1">
        <v>45836</v>
      </c>
      <c r="C3473" t="s">
        <v>74</v>
      </c>
      <c r="D3473">
        <v>26</v>
      </c>
      <c r="E3473" t="s">
        <v>61</v>
      </c>
      <c r="F3473" t="s">
        <v>140</v>
      </c>
      <c r="G3473" t="s">
        <v>182</v>
      </c>
      <c r="H3473" t="s">
        <v>151</v>
      </c>
      <c r="I3473">
        <v>23134</v>
      </c>
      <c r="J3473">
        <v>29885</v>
      </c>
    </row>
    <row r="3474" spans="1:10" x14ac:dyDescent="0.3">
      <c r="A3474" t="s">
        <v>3601</v>
      </c>
      <c r="B3474" s="1">
        <v>46006</v>
      </c>
      <c r="C3474" t="s">
        <v>100</v>
      </c>
      <c r="D3474">
        <v>51</v>
      </c>
      <c r="E3474" t="s">
        <v>18</v>
      </c>
      <c r="F3474" t="s">
        <v>29</v>
      </c>
      <c r="G3474" t="s">
        <v>191</v>
      </c>
      <c r="H3474" t="s">
        <v>98</v>
      </c>
      <c r="I3474">
        <v>26301</v>
      </c>
      <c r="J3474">
        <v>24615</v>
      </c>
    </row>
    <row r="3475" spans="1:10" x14ac:dyDescent="0.3">
      <c r="A3475" t="s">
        <v>3602</v>
      </c>
      <c r="B3475" s="1">
        <v>45783</v>
      </c>
      <c r="C3475" t="s">
        <v>90</v>
      </c>
      <c r="D3475">
        <v>19</v>
      </c>
      <c r="E3475" t="s">
        <v>70</v>
      </c>
      <c r="F3475" t="s">
        <v>78</v>
      </c>
      <c r="G3475" t="s">
        <v>54</v>
      </c>
      <c r="H3475" t="s">
        <v>59</v>
      </c>
      <c r="I3475">
        <v>33487</v>
      </c>
      <c r="J3475">
        <v>28044</v>
      </c>
    </row>
    <row r="3476" spans="1:10" x14ac:dyDescent="0.3">
      <c r="A3476" t="s">
        <v>3603</v>
      </c>
      <c r="B3476" s="1">
        <v>45912</v>
      </c>
      <c r="C3476" t="s">
        <v>38</v>
      </c>
      <c r="D3476">
        <v>37</v>
      </c>
      <c r="E3476" t="s">
        <v>39</v>
      </c>
      <c r="F3476" t="s">
        <v>78</v>
      </c>
      <c r="G3476" t="s">
        <v>141</v>
      </c>
      <c r="H3476" t="s">
        <v>80</v>
      </c>
      <c r="I3476">
        <v>17771</v>
      </c>
      <c r="J3476">
        <v>13508</v>
      </c>
    </row>
    <row r="3477" spans="1:10" x14ac:dyDescent="0.3">
      <c r="A3477" t="s">
        <v>3604</v>
      </c>
      <c r="B3477" s="1">
        <v>46016</v>
      </c>
      <c r="C3477" t="s">
        <v>100</v>
      </c>
      <c r="D3477">
        <v>52</v>
      </c>
      <c r="E3477" t="s">
        <v>33</v>
      </c>
      <c r="F3477" t="s">
        <v>13</v>
      </c>
      <c r="G3477" t="s">
        <v>160</v>
      </c>
      <c r="H3477" t="s">
        <v>103</v>
      </c>
      <c r="I3477">
        <v>24890</v>
      </c>
      <c r="J3477">
        <v>24476</v>
      </c>
    </row>
    <row r="3478" spans="1:10" x14ac:dyDescent="0.3">
      <c r="A3478" t="s">
        <v>3605</v>
      </c>
      <c r="B3478" s="1">
        <v>45768</v>
      </c>
      <c r="C3478" t="s">
        <v>86</v>
      </c>
      <c r="D3478">
        <v>17</v>
      </c>
      <c r="E3478" t="s">
        <v>39</v>
      </c>
      <c r="F3478" t="s">
        <v>13</v>
      </c>
      <c r="G3478" t="s">
        <v>30</v>
      </c>
      <c r="H3478" t="s">
        <v>31</v>
      </c>
      <c r="I3478">
        <v>18438</v>
      </c>
      <c r="J3478">
        <v>17367</v>
      </c>
    </row>
    <row r="3479" spans="1:10" x14ac:dyDescent="0.3">
      <c r="A3479" t="s">
        <v>3606</v>
      </c>
      <c r="B3479" s="1">
        <v>45712</v>
      </c>
      <c r="C3479" t="s">
        <v>82</v>
      </c>
      <c r="D3479">
        <v>9</v>
      </c>
      <c r="E3479" t="s">
        <v>33</v>
      </c>
      <c r="F3479" t="s">
        <v>13</v>
      </c>
      <c r="G3479" t="s">
        <v>230</v>
      </c>
      <c r="H3479" t="s">
        <v>163</v>
      </c>
      <c r="I3479">
        <v>24230</v>
      </c>
      <c r="J3479">
        <v>25873</v>
      </c>
    </row>
    <row r="3480" spans="1:10" x14ac:dyDescent="0.3">
      <c r="A3480" t="s">
        <v>3607</v>
      </c>
      <c r="B3480" s="1">
        <v>45774</v>
      </c>
      <c r="C3480" t="s">
        <v>86</v>
      </c>
      <c r="D3480">
        <v>17</v>
      </c>
      <c r="E3480" t="s">
        <v>39</v>
      </c>
      <c r="F3480" t="s">
        <v>87</v>
      </c>
      <c r="G3480" t="s">
        <v>88</v>
      </c>
      <c r="H3480" t="s">
        <v>59</v>
      </c>
      <c r="I3480">
        <v>31247</v>
      </c>
      <c r="J3480">
        <v>37327</v>
      </c>
    </row>
    <row r="3481" spans="1:10" x14ac:dyDescent="0.3">
      <c r="A3481" t="s">
        <v>3608</v>
      </c>
      <c r="B3481" s="1">
        <v>45750</v>
      </c>
      <c r="C3481" t="s">
        <v>86</v>
      </c>
      <c r="D3481">
        <v>14</v>
      </c>
      <c r="E3481" t="s">
        <v>39</v>
      </c>
      <c r="F3481" t="s">
        <v>92</v>
      </c>
      <c r="G3481" t="s">
        <v>160</v>
      </c>
      <c r="H3481" t="s">
        <v>21</v>
      </c>
      <c r="I3481">
        <v>23443</v>
      </c>
      <c r="J3481">
        <v>29666</v>
      </c>
    </row>
    <row r="3482" spans="1:10" x14ac:dyDescent="0.3">
      <c r="A3482" t="s">
        <v>3609</v>
      </c>
      <c r="B3482" s="1">
        <v>45940</v>
      </c>
      <c r="C3482" t="s">
        <v>66</v>
      </c>
      <c r="D3482">
        <v>41</v>
      </c>
      <c r="E3482" t="s">
        <v>12</v>
      </c>
      <c r="F3482" t="s">
        <v>87</v>
      </c>
      <c r="G3482" t="s">
        <v>76</v>
      </c>
      <c r="H3482" t="s">
        <v>119</v>
      </c>
      <c r="I3482">
        <v>32792</v>
      </c>
      <c r="J3482">
        <v>25766</v>
      </c>
    </row>
    <row r="3483" spans="1:10" x14ac:dyDescent="0.3">
      <c r="A3483" t="s">
        <v>3610</v>
      </c>
      <c r="B3483" s="1">
        <v>45672</v>
      </c>
      <c r="C3483" t="s">
        <v>17</v>
      </c>
      <c r="D3483">
        <v>3</v>
      </c>
      <c r="E3483" t="s">
        <v>12</v>
      </c>
      <c r="F3483" t="s">
        <v>193</v>
      </c>
      <c r="G3483" t="s">
        <v>199</v>
      </c>
      <c r="H3483" t="s">
        <v>59</v>
      </c>
      <c r="I3483">
        <v>25097</v>
      </c>
      <c r="J3483">
        <v>26332</v>
      </c>
    </row>
    <row r="3484" spans="1:10" x14ac:dyDescent="0.3">
      <c r="A3484" t="s">
        <v>3611</v>
      </c>
      <c r="B3484" s="1">
        <v>45867</v>
      </c>
      <c r="C3484" t="s">
        <v>11</v>
      </c>
      <c r="D3484">
        <v>31</v>
      </c>
      <c r="E3484" t="s">
        <v>39</v>
      </c>
      <c r="F3484" t="s">
        <v>114</v>
      </c>
      <c r="G3484" t="s">
        <v>145</v>
      </c>
      <c r="H3484" t="s">
        <v>116</v>
      </c>
      <c r="I3484">
        <v>33424</v>
      </c>
      <c r="J3484">
        <v>36701</v>
      </c>
    </row>
    <row r="3485" spans="1:10" x14ac:dyDescent="0.3">
      <c r="A3485" t="s">
        <v>3612</v>
      </c>
      <c r="B3485" s="1">
        <v>45703</v>
      </c>
      <c r="C3485" t="s">
        <v>82</v>
      </c>
      <c r="D3485">
        <v>7</v>
      </c>
      <c r="E3485" t="s">
        <v>39</v>
      </c>
      <c r="F3485" t="s">
        <v>109</v>
      </c>
      <c r="G3485" t="s">
        <v>20</v>
      </c>
      <c r="H3485" t="s">
        <v>21</v>
      </c>
      <c r="I3485">
        <v>35216</v>
      </c>
      <c r="J3485">
        <v>40320</v>
      </c>
    </row>
    <row r="3486" spans="1:10" x14ac:dyDescent="0.3">
      <c r="A3486" t="s">
        <v>3613</v>
      </c>
      <c r="B3486" s="1">
        <v>45873</v>
      </c>
      <c r="C3486" t="s">
        <v>113</v>
      </c>
      <c r="D3486">
        <v>32</v>
      </c>
      <c r="E3486" t="s">
        <v>33</v>
      </c>
      <c r="F3486" t="s">
        <v>114</v>
      </c>
      <c r="G3486" t="s">
        <v>137</v>
      </c>
      <c r="H3486" t="s">
        <v>157</v>
      </c>
      <c r="I3486">
        <v>24591</v>
      </c>
      <c r="J3486">
        <v>21592</v>
      </c>
    </row>
    <row r="3487" spans="1:10" x14ac:dyDescent="0.3">
      <c r="A3487" t="s">
        <v>3614</v>
      </c>
      <c r="B3487" s="1">
        <v>45980</v>
      </c>
      <c r="C3487" t="s">
        <v>23</v>
      </c>
      <c r="D3487">
        <v>47</v>
      </c>
      <c r="E3487" t="s">
        <v>18</v>
      </c>
      <c r="F3487" t="s">
        <v>25</v>
      </c>
      <c r="G3487" t="s">
        <v>107</v>
      </c>
      <c r="H3487" t="s">
        <v>151</v>
      </c>
      <c r="I3487">
        <v>29050</v>
      </c>
      <c r="J3487">
        <v>20831</v>
      </c>
    </row>
    <row r="3488" spans="1:10" x14ac:dyDescent="0.3">
      <c r="A3488" t="s">
        <v>3615</v>
      </c>
      <c r="B3488" s="1">
        <v>45845</v>
      </c>
      <c r="C3488" t="s">
        <v>11</v>
      </c>
      <c r="D3488">
        <v>28</v>
      </c>
      <c r="E3488" t="s">
        <v>61</v>
      </c>
      <c r="F3488" t="s">
        <v>43</v>
      </c>
      <c r="G3488" t="s">
        <v>191</v>
      </c>
      <c r="H3488" t="s">
        <v>165</v>
      </c>
      <c r="I3488">
        <v>20549</v>
      </c>
      <c r="J3488">
        <v>15336</v>
      </c>
    </row>
    <row r="3489" spans="1:10" x14ac:dyDescent="0.3">
      <c r="A3489" t="s">
        <v>3616</v>
      </c>
      <c r="B3489" s="1">
        <v>45987</v>
      </c>
      <c r="C3489" t="s">
        <v>23</v>
      </c>
      <c r="D3489">
        <v>48</v>
      </c>
      <c r="E3489" t="s">
        <v>61</v>
      </c>
      <c r="F3489" t="s">
        <v>25</v>
      </c>
      <c r="G3489" t="s">
        <v>145</v>
      </c>
      <c r="H3489" t="s">
        <v>80</v>
      </c>
      <c r="I3489">
        <v>22835</v>
      </c>
      <c r="J3489">
        <v>16673</v>
      </c>
    </row>
    <row r="3490" spans="1:10" x14ac:dyDescent="0.3">
      <c r="A3490" t="s">
        <v>3617</v>
      </c>
      <c r="B3490" s="1">
        <v>45702</v>
      </c>
      <c r="C3490" t="s">
        <v>82</v>
      </c>
      <c r="D3490">
        <v>7</v>
      </c>
      <c r="E3490" t="s">
        <v>18</v>
      </c>
      <c r="F3490" t="s">
        <v>13</v>
      </c>
      <c r="G3490" t="s">
        <v>88</v>
      </c>
      <c r="H3490" t="s">
        <v>96</v>
      </c>
      <c r="I3490">
        <v>39172</v>
      </c>
      <c r="J3490">
        <v>36661</v>
      </c>
    </row>
    <row r="3491" spans="1:10" x14ac:dyDescent="0.3">
      <c r="A3491" t="s">
        <v>3618</v>
      </c>
      <c r="B3491" s="1">
        <v>45761</v>
      </c>
      <c r="C3491" t="s">
        <v>86</v>
      </c>
      <c r="D3491">
        <v>16</v>
      </c>
      <c r="E3491" t="s">
        <v>61</v>
      </c>
      <c r="F3491" t="s">
        <v>75</v>
      </c>
      <c r="G3491" t="s">
        <v>72</v>
      </c>
      <c r="H3491" t="s">
        <v>243</v>
      </c>
      <c r="I3491">
        <v>15926</v>
      </c>
      <c r="J3491">
        <v>14601</v>
      </c>
    </row>
    <row r="3492" spans="1:10" x14ac:dyDescent="0.3">
      <c r="A3492" t="s">
        <v>3619</v>
      </c>
      <c r="B3492" s="1">
        <v>45680</v>
      </c>
      <c r="C3492" t="s">
        <v>17</v>
      </c>
      <c r="D3492">
        <v>4</v>
      </c>
      <c r="E3492" t="s">
        <v>61</v>
      </c>
      <c r="F3492" t="s">
        <v>87</v>
      </c>
      <c r="G3492" t="s">
        <v>126</v>
      </c>
      <c r="H3492" t="s">
        <v>243</v>
      </c>
      <c r="I3492">
        <v>15668</v>
      </c>
      <c r="J3492">
        <v>18232</v>
      </c>
    </row>
    <row r="3493" spans="1:10" x14ac:dyDescent="0.3">
      <c r="A3493" t="s">
        <v>3620</v>
      </c>
      <c r="B3493" s="1">
        <v>45814</v>
      </c>
      <c r="C3493" t="s">
        <v>74</v>
      </c>
      <c r="D3493">
        <v>23</v>
      </c>
      <c r="E3493" t="s">
        <v>18</v>
      </c>
      <c r="F3493" t="s">
        <v>75</v>
      </c>
      <c r="G3493" t="s">
        <v>47</v>
      </c>
      <c r="H3493" t="s">
        <v>188</v>
      </c>
      <c r="I3493">
        <v>20067</v>
      </c>
      <c r="J3493">
        <v>17214</v>
      </c>
    </row>
    <row r="3494" spans="1:10" x14ac:dyDescent="0.3">
      <c r="A3494" t="s">
        <v>3621</v>
      </c>
      <c r="B3494" s="1">
        <v>45988</v>
      </c>
      <c r="C3494" t="s">
        <v>23</v>
      </c>
      <c r="D3494">
        <v>48</v>
      </c>
      <c r="E3494" t="s">
        <v>12</v>
      </c>
      <c r="F3494" t="s">
        <v>101</v>
      </c>
      <c r="G3494" t="s">
        <v>110</v>
      </c>
      <c r="H3494" t="s">
        <v>211</v>
      </c>
      <c r="I3494">
        <v>17591</v>
      </c>
      <c r="J3494">
        <v>18036</v>
      </c>
    </row>
    <row r="3495" spans="1:10" x14ac:dyDescent="0.3">
      <c r="A3495" t="s">
        <v>3622</v>
      </c>
      <c r="B3495" s="1">
        <v>45706</v>
      </c>
      <c r="C3495" t="s">
        <v>82</v>
      </c>
      <c r="D3495">
        <v>8</v>
      </c>
      <c r="E3495" t="s">
        <v>61</v>
      </c>
      <c r="F3495" t="s">
        <v>50</v>
      </c>
      <c r="G3495" t="s">
        <v>110</v>
      </c>
      <c r="H3495" t="s">
        <v>27</v>
      </c>
      <c r="I3495">
        <v>20671</v>
      </c>
      <c r="J3495">
        <v>24762</v>
      </c>
    </row>
    <row r="3496" spans="1:10" x14ac:dyDescent="0.3">
      <c r="A3496" t="s">
        <v>3623</v>
      </c>
      <c r="B3496" s="1">
        <v>45920</v>
      </c>
      <c r="C3496" t="s">
        <v>38</v>
      </c>
      <c r="D3496">
        <v>38</v>
      </c>
      <c r="E3496" t="s">
        <v>12</v>
      </c>
      <c r="F3496" t="s">
        <v>43</v>
      </c>
      <c r="G3496" t="s">
        <v>201</v>
      </c>
      <c r="H3496" t="s">
        <v>27</v>
      </c>
      <c r="I3496">
        <v>33962</v>
      </c>
      <c r="J3496">
        <v>30955</v>
      </c>
    </row>
    <row r="3497" spans="1:10" x14ac:dyDescent="0.3">
      <c r="A3497" t="s">
        <v>3624</v>
      </c>
      <c r="B3497" s="1">
        <v>46001</v>
      </c>
      <c r="C3497" t="s">
        <v>100</v>
      </c>
      <c r="D3497">
        <v>50</v>
      </c>
      <c r="E3497" t="s">
        <v>18</v>
      </c>
      <c r="F3497" t="s">
        <v>140</v>
      </c>
      <c r="G3497" t="s">
        <v>126</v>
      </c>
      <c r="H3497" t="s">
        <v>157</v>
      </c>
      <c r="I3497">
        <v>36606</v>
      </c>
      <c r="J3497">
        <v>39726</v>
      </c>
    </row>
    <row r="3498" spans="1:10" x14ac:dyDescent="0.3">
      <c r="A3498" t="s">
        <v>3625</v>
      </c>
      <c r="B3498" s="1">
        <v>45800</v>
      </c>
      <c r="C3498" t="s">
        <v>90</v>
      </c>
      <c r="D3498">
        <v>21</v>
      </c>
      <c r="E3498" t="s">
        <v>12</v>
      </c>
      <c r="F3498" t="s">
        <v>193</v>
      </c>
      <c r="G3498" t="s">
        <v>20</v>
      </c>
      <c r="H3498" t="s">
        <v>155</v>
      </c>
      <c r="I3498">
        <v>16577</v>
      </c>
      <c r="J3498">
        <v>21169</v>
      </c>
    </row>
    <row r="3499" spans="1:10" x14ac:dyDescent="0.3">
      <c r="A3499" t="s">
        <v>3626</v>
      </c>
      <c r="B3499" s="1">
        <v>45756</v>
      </c>
      <c r="C3499" t="s">
        <v>86</v>
      </c>
      <c r="D3499">
        <v>15</v>
      </c>
      <c r="E3499" t="s">
        <v>39</v>
      </c>
      <c r="F3499" t="s">
        <v>101</v>
      </c>
      <c r="G3499" t="s">
        <v>58</v>
      </c>
      <c r="H3499" t="s">
        <v>155</v>
      </c>
      <c r="I3499">
        <v>23000</v>
      </c>
      <c r="J3499">
        <v>17770</v>
      </c>
    </row>
    <row r="3500" spans="1:10" x14ac:dyDescent="0.3">
      <c r="A3500" t="s">
        <v>3627</v>
      </c>
      <c r="B3500" s="1">
        <v>45986</v>
      </c>
      <c r="C3500" t="s">
        <v>23</v>
      </c>
      <c r="D3500">
        <v>48</v>
      </c>
      <c r="E3500" t="s">
        <v>61</v>
      </c>
      <c r="F3500" t="s">
        <v>19</v>
      </c>
      <c r="G3500" t="s">
        <v>230</v>
      </c>
      <c r="H3500" t="s">
        <v>68</v>
      </c>
      <c r="I3500">
        <v>18031</v>
      </c>
      <c r="J3500">
        <v>19683</v>
      </c>
    </row>
    <row r="3501" spans="1:10" x14ac:dyDescent="0.3">
      <c r="A3501" t="s">
        <v>3628</v>
      </c>
      <c r="B3501" s="1">
        <v>46005</v>
      </c>
      <c r="C3501" t="s">
        <v>100</v>
      </c>
      <c r="D3501">
        <v>50</v>
      </c>
      <c r="E3501" t="s">
        <v>33</v>
      </c>
      <c r="F3501" t="s">
        <v>109</v>
      </c>
      <c r="G3501" t="s">
        <v>54</v>
      </c>
      <c r="H3501" t="s">
        <v>155</v>
      </c>
      <c r="I3501">
        <v>26446</v>
      </c>
      <c r="J3501">
        <v>18722</v>
      </c>
    </row>
    <row r="3502" spans="1:10" x14ac:dyDescent="0.3">
      <c r="A3502" t="s">
        <v>3629</v>
      </c>
      <c r="B3502" s="1">
        <v>45841</v>
      </c>
      <c r="C3502" t="s">
        <v>11</v>
      </c>
      <c r="D3502">
        <v>27</v>
      </c>
      <c r="E3502" t="s">
        <v>39</v>
      </c>
      <c r="F3502" t="s">
        <v>43</v>
      </c>
      <c r="G3502" t="s">
        <v>76</v>
      </c>
      <c r="H3502" t="s">
        <v>52</v>
      </c>
      <c r="I3502">
        <v>27377</v>
      </c>
      <c r="J3502">
        <v>34088</v>
      </c>
    </row>
    <row r="3503" spans="1:10" x14ac:dyDescent="0.3">
      <c r="A3503" t="s">
        <v>3630</v>
      </c>
      <c r="B3503" s="1">
        <v>45971</v>
      </c>
      <c r="C3503" t="s">
        <v>23</v>
      </c>
      <c r="D3503">
        <v>46</v>
      </c>
      <c r="E3503" t="s">
        <v>70</v>
      </c>
      <c r="F3503" t="s">
        <v>57</v>
      </c>
      <c r="G3503" t="s">
        <v>115</v>
      </c>
      <c r="H3503" t="s">
        <v>64</v>
      </c>
      <c r="I3503">
        <v>22295</v>
      </c>
      <c r="J3503">
        <v>21258</v>
      </c>
    </row>
    <row r="3504" spans="1:10" x14ac:dyDescent="0.3">
      <c r="A3504" t="s">
        <v>3631</v>
      </c>
      <c r="B3504" s="1">
        <v>45780</v>
      </c>
      <c r="C3504" t="s">
        <v>90</v>
      </c>
      <c r="D3504">
        <v>18</v>
      </c>
      <c r="E3504" t="s">
        <v>39</v>
      </c>
      <c r="F3504" t="s">
        <v>78</v>
      </c>
      <c r="G3504" t="s">
        <v>234</v>
      </c>
      <c r="H3504" t="s">
        <v>15</v>
      </c>
      <c r="I3504">
        <v>29393</v>
      </c>
      <c r="J3504">
        <v>30832</v>
      </c>
    </row>
    <row r="3505" spans="1:10" x14ac:dyDescent="0.3">
      <c r="A3505" t="s">
        <v>3632</v>
      </c>
      <c r="B3505" s="1">
        <v>45725</v>
      </c>
      <c r="C3505" t="s">
        <v>95</v>
      </c>
      <c r="D3505">
        <v>10</v>
      </c>
      <c r="E3505" t="s">
        <v>33</v>
      </c>
      <c r="F3505" t="s">
        <v>25</v>
      </c>
      <c r="G3505" t="s">
        <v>93</v>
      </c>
      <c r="H3505" t="s">
        <v>103</v>
      </c>
      <c r="I3505">
        <v>32031</v>
      </c>
      <c r="J3505">
        <v>26453</v>
      </c>
    </row>
    <row r="3506" spans="1:10" x14ac:dyDescent="0.3">
      <c r="A3506" t="s">
        <v>3633</v>
      </c>
      <c r="B3506" s="1">
        <v>45778</v>
      </c>
      <c r="C3506" t="s">
        <v>90</v>
      </c>
      <c r="D3506">
        <v>18</v>
      </c>
      <c r="E3506" t="s">
        <v>12</v>
      </c>
      <c r="F3506" t="s">
        <v>57</v>
      </c>
      <c r="G3506" t="s">
        <v>35</v>
      </c>
      <c r="H3506" t="s">
        <v>96</v>
      </c>
      <c r="I3506">
        <v>33857</v>
      </c>
      <c r="J3506">
        <v>40798</v>
      </c>
    </row>
    <row r="3507" spans="1:10" x14ac:dyDescent="0.3">
      <c r="A3507" t="s">
        <v>3634</v>
      </c>
      <c r="B3507" s="1">
        <v>45997</v>
      </c>
      <c r="C3507" t="s">
        <v>100</v>
      </c>
      <c r="D3507">
        <v>49</v>
      </c>
      <c r="E3507" t="s">
        <v>12</v>
      </c>
      <c r="F3507" t="s">
        <v>101</v>
      </c>
      <c r="G3507" t="s">
        <v>83</v>
      </c>
      <c r="H3507" t="s">
        <v>21</v>
      </c>
      <c r="I3507">
        <v>24988</v>
      </c>
      <c r="J3507">
        <v>25504</v>
      </c>
    </row>
    <row r="3508" spans="1:10" x14ac:dyDescent="0.3">
      <c r="A3508" t="s">
        <v>3635</v>
      </c>
      <c r="B3508" s="1">
        <v>46014</v>
      </c>
      <c r="C3508" t="s">
        <v>100</v>
      </c>
      <c r="D3508">
        <v>52</v>
      </c>
      <c r="E3508" t="s">
        <v>70</v>
      </c>
      <c r="F3508" t="s">
        <v>62</v>
      </c>
      <c r="G3508" t="s">
        <v>67</v>
      </c>
      <c r="H3508" t="s">
        <v>31</v>
      </c>
      <c r="I3508">
        <v>28308</v>
      </c>
      <c r="J3508">
        <v>36300</v>
      </c>
    </row>
    <row r="3509" spans="1:10" x14ac:dyDescent="0.3">
      <c r="A3509" t="s">
        <v>3636</v>
      </c>
      <c r="B3509" s="1">
        <v>45995</v>
      </c>
      <c r="C3509" t="s">
        <v>100</v>
      </c>
      <c r="D3509">
        <v>49</v>
      </c>
      <c r="E3509" t="s">
        <v>33</v>
      </c>
      <c r="F3509" t="s">
        <v>46</v>
      </c>
      <c r="G3509" t="s">
        <v>160</v>
      </c>
      <c r="H3509" t="s">
        <v>211</v>
      </c>
      <c r="I3509">
        <v>23364</v>
      </c>
      <c r="J3509">
        <v>20435</v>
      </c>
    </row>
    <row r="3510" spans="1:10" x14ac:dyDescent="0.3">
      <c r="A3510" t="s">
        <v>3637</v>
      </c>
      <c r="B3510" s="1">
        <v>45902</v>
      </c>
      <c r="C3510" t="s">
        <v>38</v>
      </c>
      <c r="D3510">
        <v>36</v>
      </c>
      <c r="E3510" t="s">
        <v>24</v>
      </c>
      <c r="F3510" t="s">
        <v>50</v>
      </c>
      <c r="G3510" t="s">
        <v>199</v>
      </c>
      <c r="H3510" t="s">
        <v>123</v>
      </c>
      <c r="I3510">
        <v>19217</v>
      </c>
      <c r="J3510">
        <v>20638</v>
      </c>
    </row>
    <row r="3511" spans="1:10" x14ac:dyDescent="0.3">
      <c r="A3511" t="s">
        <v>3638</v>
      </c>
      <c r="B3511" s="1">
        <v>45903</v>
      </c>
      <c r="C3511" t="s">
        <v>38</v>
      </c>
      <c r="D3511">
        <v>36</v>
      </c>
      <c r="E3511" t="s">
        <v>18</v>
      </c>
      <c r="F3511" t="s">
        <v>75</v>
      </c>
      <c r="G3511" t="s">
        <v>26</v>
      </c>
      <c r="H3511" t="s">
        <v>123</v>
      </c>
      <c r="I3511">
        <v>25115</v>
      </c>
      <c r="J3511">
        <v>31504</v>
      </c>
    </row>
    <row r="3512" spans="1:10" x14ac:dyDescent="0.3">
      <c r="A3512" t="s">
        <v>3639</v>
      </c>
      <c r="B3512" s="1">
        <v>45686</v>
      </c>
      <c r="C3512" t="s">
        <v>17</v>
      </c>
      <c r="D3512">
        <v>5</v>
      </c>
      <c r="E3512" t="s">
        <v>70</v>
      </c>
      <c r="F3512" t="s">
        <v>140</v>
      </c>
      <c r="G3512" t="s">
        <v>76</v>
      </c>
      <c r="H3512" t="s">
        <v>155</v>
      </c>
      <c r="I3512">
        <v>15491</v>
      </c>
      <c r="J3512">
        <v>17988</v>
      </c>
    </row>
    <row r="3513" spans="1:10" x14ac:dyDescent="0.3">
      <c r="A3513" t="s">
        <v>3640</v>
      </c>
      <c r="B3513" s="1">
        <v>45970</v>
      </c>
      <c r="C3513" t="s">
        <v>23</v>
      </c>
      <c r="D3513">
        <v>45</v>
      </c>
      <c r="E3513" t="s">
        <v>61</v>
      </c>
      <c r="F3513" t="s">
        <v>122</v>
      </c>
      <c r="G3513" t="s">
        <v>30</v>
      </c>
      <c r="H3513" t="s">
        <v>103</v>
      </c>
      <c r="I3513">
        <v>18046</v>
      </c>
      <c r="J3513">
        <v>13677</v>
      </c>
    </row>
    <row r="3514" spans="1:10" x14ac:dyDescent="0.3">
      <c r="A3514" t="s">
        <v>3641</v>
      </c>
      <c r="B3514" s="1">
        <v>45997</v>
      </c>
      <c r="C3514" t="s">
        <v>100</v>
      </c>
      <c r="D3514">
        <v>49</v>
      </c>
      <c r="E3514" t="s">
        <v>39</v>
      </c>
      <c r="F3514" t="s">
        <v>78</v>
      </c>
      <c r="G3514" t="s">
        <v>54</v>
      </c>
      <c r="H3514" t="s">
        <v>165</v>
      </c>
      <c r="I3514">
        <v>35967</v>
      </c>
      <c r="J3514">
        <v>28053</v>
      </c>
    </row>
    <row r="3515" spans="1:10" x14ac:dyDescent="0.3">
      <c r="A3515" t="s">
        <v>3642</v>
      </c>
      <c r="B3515" s="1">
        <v>45861</v>
      </c>
      <c r="C3515" t="s">
        <v>11</v>
      </c>
      <c r="D3515">
        <v>30</v>
      </c>
      <c r="E3515" t="s">
        <v>39</v>
      </c>
      <c r="F3515" t="s">
        <v>25</v>
      </c>
      <c r="G3515" t="s">
        <v>182</v>
      </c>
      <c r="H3515" t="s">
        <v>123</v>
      </c>
      <c r="I3515">
        <v>15510</v>
      </c>
      <c r="J3515">
        <v>15458</v>
      </c>
    </row>
    <row r="3516" spans="1:10" x14ac:dyDescent="0.3">
      <c r="A3516" t="s">
        <v>3643</v>
      </c>
      <c r="B3516" s="1">
        <v>45692</v>
      </c>
      <c r="C3516" t="s">
        <v>82</v>
      </c>
      <c r="D3516">
        <v>6</v>
      </c>
      <c r="E3516" t="s">
        <v>18</v>
      </c>
      <c r="F3516" t="s">
        <v>13</v>
      </c>
      <c r="G3516" t="s">
        <v>102</v>
      </c>
      <c r="H3516" t="s">
        <v>116</v>
      </c>
      <c r="I3516">
        <v>15783</v>
      </c>
      <c r="J3516">
        <v>20159</v>
      </c>
    </row>
    <row r="3517" spans="1:10" x14ac:dyDescent="0.3">
      <c r="A3517" t="s">
        <v>3644</v>
      </c>
      <c r="B3517" s="1">
        <v>45674</v>
      </c>
      <c r="C3517" t="s">
        <v>17</v>
      </c>
      <c r="D3517">
        <v>3</v>
      </c>
      <c r="E3517" t="s">
        <v>33</v>
      </c>
      <c r="F3517" t="s">
        <v>114</v>
      </c>
      <c r="G3517" t="s">
        <v>253</v>
      </c>
      <c r="H3517" t="s">
        <v>243</v>
      </c>
      <c r="I3517">
        <v>27298</v>
      </c>
      <c r="J3517">
        <v>19433</v>
      </c>
    </row>
    <row r="3518" spans="1:10" x14ac:dyDescent="0.3">
      <c r="A3518" t="s">
        <v>3645</v>
      </c>
      <c r="B3518" s="1">
        <v>46001</v>
      </c>
      <c r="C3518" t="s">
        <v>100</v>
      </c>
      <c r="D3518">
        <v>50</v>
      </c>
      <c r="E3518" t="s">
        <v>12</v>
      </c>
      <c r="F3518" t="s">
        <v>62</v>
      </c>
      <c r="G3518" t="s">
        <v>44</v>
      </c>
      <c r="H3518" t="s">
        <v>36</v>
      </c>
      <c r="I3518">
        <v>23180</v>
      </c>
      <c r="J3518">
        <v>23440</v>
      </c>
    </row>
    <row r="3519" spans="1:10" x14ac:dyDescent="0.3">
      <c r="A3519" t="s">
        <v>3646</v>
      </c>
      <c r="B3519" s="1">
        <v>45989</v>
      </c>
      <c r="C3519" t="s">
        <v>23</v>
      </c>
      <c r="D3519">
        <v>48</v>
      </c>
      <c r="E3519" t="s">
        <v>70</v>
      </c>
      <c r="F3519" t="s">
        <v>140</v>
      </c>
      <c r="G3519" t="s">
        <v>118</v>
      </c>
      <c r="H3519" t="s">
        <v>15</v>
      </c>
      <c r="I3519">
        <v>31230</v>
      </c>
      <c r="J3519">
        <v>27366</v>
      </c>
    </row>
    <row r="3520" spans="1:10" x14ac:dyDescent="0.3">
      <c r="A3520" t="s">
        <v>3647</v>
      </c>
      <c r="B3520" s="1">
        <v>45698</v>
      </c>
      <c r="C3520" t="s">
        <v>82</v>
      </c>
      <c r="D3520">
        <v>7</v>
      </c>
      <c r="E3520" t="s">
        <v>39</v>
      </c>
      <c r="F3520" t="s">
        <v>19</v>
      </c>
      <c r="G3520" t="s">
        <v>206</v>
      </c>
      <c r="H3520" t="s">
        <v>84</v>
      </c>
      <c r="I3520">
        <v>18168</v>
      </c>
      <c r="J3520">
        <v>12797</v>
      </c>
    </row>
    <row r="3521" spans="1:10" x14ac:dyDescent="0.3">
      <c r="A3521" t="s">
        <v>3648</v>
      </c>
      <c r="B3521" s="1">
        <v>45736</v>
      </c>
      <c r="C3521" t="s">
        <v>95</v>
      </c>
      <c r="D3521">
        <v>12</v>
      </c>
      <c r="E3521" t="s">
        <v>70</v>
      </c>
      <c r="F3521" t="s">
        <v>101</v>
      </c>
      <c r="G3521" t="s">
        <v>291</v>
      </c>
      <c r="H3521" t="s">
        <v>68</v>
      </c>
      <c r="I3521">
        <v>22676</v>
      </c>
      <c r="J3521">
        <v>27187</v>
      </c>
    </row>
    <row r="3522" spans="1:10" x14ac:dyDescent="0.3">
      <c r="A3522" t="s">
        <v>3649</v>
      </c>
      <c r="B3522" s="1">
        <v>46018</v>
      </c>
      <c r="C3522" t="s">
        <v>100</v>
      </c>
      <c r="D3522">
        <v>52</v>
      </c>
      <c r="E3522" t="s">
        <v>33</v>
      </c>
      <c r="F3522" t="s">
        <v>78</v>
      </c>
      <c r="G3522" t="s">
        <v>54</v>
      </c>
      <c r="H3522" t="s">
        <v>59</v>
      </c>
      <c r="I3522">
        <v>16939</v>
      </c>
      <c r="J3522">
        <v>16441</v>
      </c>
    </row>
    <row r="3523" spans="1:10" x14ac:dyDescent="0.3">
      <c r="A3523" t="s">
        <v>3650</v>
      </c>
      <c r="B3523" s="1">
        <v>45919</v>
      </c>
      <c r="C3523" t="s">
        <v>38</v>
      </c>
      <c r="D3523">
        <v>38</v>
      </c>
      <c r="E3523" t="s">
        <v>61</v>
      </c>
      <c r="F3523" t="s">
        <v>78</v>
      </c>
      <c r="G3523" t="s">
        <v>126</v>
      </c>
      <c r="H3523" t="s">
        <v>157</v>
      </c>
      <c r="I3523">
        <v>39619</v>
      </c>
      <c r="J3523">
        <v>31195</v>
      </c>
    </row>
    <row r="3524" spans="1:10" x14ac:dyDescent="0.3">
      <c r="A3524" t="s">
        <v>3651</v>
      </c>
      <c r="B3524" s="1">
        <v>45774</v>
      </c>
      <c r="C3524" t="s">
        <v>86</v>
      </c>
      <c r="D3524">
        <v>17</v>
      </c>
      <c r="E3524" t="s">
        <v>12</v>
      </c>
      <c r="F3524" t="s">
        <v>57</v>
      </c>
      <c r="G3524" t="s">
        <v>253</v>
      </c>
      <c r="H3524" t="s">
        <v>165</v>
      </c>
      <c r="I3524">
        <v>15995</v>
      </c>
      <c r="J3524">
        <v>16721</v>
      </c>
    </row>
    <row r="3525" spans="1:10" x14ac:dyDescent="0.3">
      <c r="A3525" t="s">
        <v>3652</v>
      </c>
      <c r="B3525" s="1">
        <v>45716</v>
      </c>
      <c r="C3525" t="s">
        <v>82</v>
      </c>
      <c r="D3525">
        <v>9</v>
      </c>
      <c r="E3525" t="s">
        <v>24</v>
      </c>
      <c r="F3525" t="s">
        <v>29</v>
      </c>
      <c r="G3525" t="s">
        <v>230</v>
      </c>
      <c r="H3525" t="s">
        <v>41</v>
      </c>
      <c r="I3525">
        <v>24099</v>
      </c>
      <c r="J3525">
        <v>30940</v>
      </c>
    </row>
    <row r="3526" spans="1:10" x14ac:dyDescent="0.3">
      <c r="A3526" t="s">
        <v>3653</v>
      </c>
      <c r="B3526" s="1">
        <v>45839</v>
      </c>
      <c r="C3526" t="s">
        <v>11</v>
      </c>
      <c r="D3526">
        <v>27</v>
      </c>
      <c r="E3526" t="s">
        <v>24</v>
      </c>
      <c r="F3526" t="s">
        <v>122</v>
      </c>
      <c r="G3526" t="s">
        <v>88</v>
      </c>
      <c r="H3526" t="s">
        <v>165</v>
      </c>
      <c r="I3526">
        <v>36944</v>
      </c>
      <c r="J3526">
        <v>26159</v>
      </c>
    </row>
    <row r="3527" spans="1:10" x14ac:dyDescent="0.3">
      <c r="A3527" t="s">
        <v>3654</v>
      </c>
      <c r="B3527" s="1">
        <v>45847</v>
      </c>
      <c r="C3527" t="s">
        <v>11</v>
      </c>
      <c r="D3527">
        <v>28</v>
      </c>
      <c r="E3527" t="s">
        <v>33</v>
      </c>
      <c r="F3527" t="s">
        <v>101</v>
      </c>
      <c r="G3527" t="s">
        <v>35</v>
      </c>
      <c r="H3527" t="s">
        <v>119</v>
      </c>
      <c r="I3527">
        <v>39356</v>
      </c>
      <c r="J3527">
        <v>47760</v>
      </c>
    </row>
    <row r="3528" spans="1:10" x14ac:dyDescent="0.3">
      <c r="A3528" t="s">
        <v>3655</v>
      </c>
      <c r="B3528" s="1">
        <v>45764</v>
      </c>
      <c r="C3528" t="s">
        <v>86</v>
      </c>
      <c r="D3528">
        <v>16</v>
      </c>
      <c r="E3528" t="s">
        <v>61</v>
      </c>
      <c r="F3528" t="s">
        <v>193</v>
      </c>
      <c r="G3528" t="s">
        <v>206</v>
      </c>
      <c r="H3528" t="s">
        <v>59</v>
      </c>
      <c r="I3528">
        <v>30996</v>
      </c>
      <c r="J3528">
        <v>34294</v>
      </c>
    </row>
    <row r="3529" spans="1:10" x14ac:dyDescent="0.3">
      <c r="A3529" t="s">
        <v>3656</v>
      </c>
      <c r="B3529" s="1">
        <v>45934</v>
      </c>
      <c r="C3529" t="s">
        <v>66</v>
      </c>
      <c r="D3529">
        <v>40</v>
      </c>
      <c r="E3529" t="s">
        <v>24</v>
      </c>
      <c r="F3529" t="s">
        <v>122</v>
      </c>
      <c r="G3529" t="s">
        <v>93</v>
      </c>
      <c r="H3529" t="s">
        <v>103</v>
      </c>
      <c r="I3529">
        <v>36102</v>
      </c>
      <c r="J3529">
        <v>30973</v>
      </c>
    </row>
    <row r="3530" spans="1:10" x14ac:dyDescent="0.3">
      <c r="A3530" t="s">
        <v>3657</v>
      </c>
      <c r="B3530" s="1">
        <v>46009</v>
      </c>
      <c r="C3530" t="s">
        <v>100</v>
      </c>
      <c r="D3530">
        <v>51</v>
      </c>
      <c r="E3530" t="s">
        <v>12</v>
      </c>
      <c r="F3530" t="s">
        <v>43</v>
      </c>
      <c r="G3530" t="s">
        <v>145</v>
      </c>
      <c r="H3530" t="s">
        <v>163</v>
      </c>
      <c r="I3530">
        <v>26161</v>
      </c>
      <c r="J3530">
        <v>24092</v>
      </c>
    </row>
    <row r="3531" spans="1:10" x14ac:dyDescent="0.3">
      <c r="A3531" t="s">
        <v>3658</v>
      </c>
      <c r="B3531" s="1">
        <v>45662</v>
      </c>
      <c r="C3531" t="s">
        <v>17</v>
      </c>
      <c r="D3531">
        <v>1</v>
      </c>
      <c r="E3531" t="s">
        <v>61</v>
      </c>
      <c r="F3531" t="s">
        <v>87</v>
      </c>
      <c r="G3531" t="s">
        <v>44</v>
      </c>
      <c r="H3531" t="s">
        <v>151</v>
      </c>
      <c r="I3531">
        <v>24439</v>
      </c>
      <c r="J3531">
        <v>20506</v>
      </c>
    </row>
    <row r="3532" spans="1:10" x14ac:dyDescent="0.3">
      <c r="A3532" t="s">
        <v>3659</v>
      </c>
      <c r="B3532" s="1">
        <v>45699</v>
      </c>
      <c r="C3532" t="s">
        <v>82</v>
      </c>
      <c r="D3532">
        <v>7</v>
      </c>
      <c r="E3532" t="s">
        <v>18</v>
      </c>
      <c r="F3532" t="s">
        <v>101</v>
      </c>
      <c r="G3532" t="s">
        <v>206</v>
      </c>
      <c r="H3532" t="s">
        <v>41</v>
      </c>
      <c r="I3532">
        <v>23045</v>
      </c>
      <c r="J3532">
        <v>27075</v>
      </c>
    </row>
    <row r="3533" spans="1:10" x14ac:dyDescent="0.3">
      <c r="A3533" t="s">
        <v>3660</v>
      </c>
      <c r="B3533" s="1">
        <v>45743</v>
      </c>
      <c r="C3533" t="s">
        <v>95</v>
      </c>
      <c r="D3533">
        <v>13</v>
      </c>
      <c r="E3533" t="s">
        <v>24</v>
      </c>
      <c r="F3533" t="s">
        <v>75</v>
      </c>
      <c r="G3533" t="s">
        <v>253</v>
      </c>
      <c r="H3533" t="s">
        <v>21</v>
      </c>
      <c r="I3533">
        <v>18140</v>
      </c>
      <c r="J3533">
        <v>17968</v>
      </c>
    </row>
    <row r="3534" spans="1:10" x14ac:dyDescent="0.3">
      <c r="A3534" t="s">
        <v>3661</v>
      </c>
      <c r="B3534" s="1">
        <v>45840</v>
      </c>
      <c r="C3534" t="s">
        <v>11</v>
      </c>
      <c r="D3534">
        <v>27</v>
      </c>
      <c r="E3534" t="s">
        <v>24</v>
      </c>
      <c r="F3534" t="s">
        <v>114</v>
      </c>
      <c r="G3534" t="s">
        <v>35</v>
      </c>
      <c r="H3534" t="s">
        <v>36</v>
      </c>
      <c r="I3534">
        <v>34095</v>
      </c>
      <c r="J3534">
        <v>34879</v>
      </c>
    </row>
    <row r="3535" spans="1:10" x14ac:dyDescent="0.3">
      <c r="A3535" t="s">
        <v>3662</v>
      </c>
      <c r="B3535" s="1">
        <v>45863</v>
      </c>
      <c r="C3535" t="s">
        <v>11</v>
      </c>
      <c r="D3535">
        <v>30</v>
      </c>
      <c r="E3535" t="s">
        <v>39</v>
      </c>
      <c r="F3535" t="s">
        <v>34</v>
      </c>
      <c r="G3535" t="s">
        <v>182</v>
      </c>
      <c r="H3535" t="s">
        <v>98</v>
      </c>
      <c r="I3535">
        <v>28908</v>
      </c>
      <c r="J3535">
        <v>23412</v>
      </c>
    </row>
    <row r="3536" spans="1:10" x14ac:dyDescent="0.3">
      <c r="A3536" t="s">
        <v>3663</v>
      </c>
      <c r="B3536" s="1">
        <v>45730</v>
      </c>
      <c r="C3536" t="s">
        <v>95</v>
      </c>
      <c r="D3536">
        <v>11</v>
      </c>
      <c r="E3536" t="s">
        <v>24</v>
      </c>
      <c r="F3536" t="s">
        <v>43</v>
      </c>
      <c r="G3536" t="s">
        <v>128</v>
      </c>
      <c r="H3536" t="s">
        <v>163</v>
      </c>
      <c r="I3536">
        <v>24611</v>
      </c>
      <c r="J3536">
        <v>26635</v>
      </c>
    </row>
    <row r="3537" spans="1:10" x14ac:dyDescent="0.3">
      <c r="A3537" t="s">
        <v>3664</v>
      </c>
      <c r="B3537" s="1">
        <v>45734</v>
      </c>
      <c r="C3537" t="s">
        <v>95</v>
      </c>
      <c r="D3537">
        <v>12</v>
      </c>
      <c r="E3537" t="s">
        <v>33</v>
      </c>
      <c r="F3537" t="s">
        <v>50</v>
      </c>
      <c r="G3537" t="s">
        <v>35</v>
      </c>
      <c r="H3537" t="s">
        <v>21</v>
      </c>
      <c r="I3537">
        <v>35451</v>
      </c>
      <c r="J3537">
        <v>38124</v>
      </c>
    </row>
    <row r="3538" spans="1:10" x14ac:dyDescent="0.3">
      <c r="A3538" t="s">
        <v>3665</v>
      </c>
      <c r="B3538" s="1">
        <v>45666</v>
      </c>
      <c r="C3538" t="s">
        <v>17</v>
      </c>
      <c r="D3538">
        <v>2</v>
      </c>
      <c r="E3538" t="s">
        <v>39</v>
      </c>
      <c r="F3538" t="s">
        <v>50</v>
      </c>
      <c r="G3538" t="s">
        <v>230</v>
      </c>
      <c r="H3538" t="s">
        <v>36</v>
      </c>
      <c r="I3538">
        <v>31188</v>
      </c>
      <c r="J3538">
        <v>25309</v>
      </c>
    </row>
    <row r="3539" spans="1:10" x14ac:dyDescent="0.3">
      <c r="A3539" t="s">
        <v>3666</v>
      </c>
      <c r="B3539" s="1">
        <v>45757</v>
      </c>
      <c r="C3539" t="s">
        <v>86</v>
      </c>
      <c r="D3539">
        <v>15</v>
      </c>
      <c r="E3539" t="s">
        <v>33</v>
      </c>
      <c r="F3539" t="s">
        <v>43</v>
      </c>
      <c r="G3539" t="s">
        <v>40</v>
      </c>
      <c r="H3539" t="s">
        <v>211</v>
      </c>
      <c r="I3539">
        <v>33457</v>
      </c>
      <c r="J3539">
        <v>29035</v>
      </c>
    </row>
    <row r="3540" spans="1:10" x14ac:dyDescent="0.3">
      <c r="A3540" t="s">
        <v>3667</v>
      </c>
      <c r="B3540" s="1">
        <v>45704</v>
      </c>
      <c r="C3540" t="s">
        <v>82</v>
      </c>
      <c r="D3540">
        <v>7</v>
      </c>
      <c r="E3540" t="s">
        <v>61</v>
      </c>
      <c r="F3540" t="s">
        <v>78</v>
      </c>
      <c r="G3540" t="s">
        <v>63</v>
      </c>
      <c r="H3540" t="s">
        <v>96</v>
      </c>
      <c r="I3540">
        <v>28167</v>
      </c>
      <c r="J3540">
        <v>25810</v>
      </c>
    </row>
    <row r="3541" spans="1:10" x14ac:dyDescent="0.3">
      <c r="A3541" t="s">
        <v>3668</v>
      </c>
      <c r="B3541" s="1">
        <v>45902</v>
      </c>
      <c r="C3541" t="s">
        <v>38</v>
      </c>
      <c r="D3541">
        <v>36</v>
      </c>
      <c r="E3541" t="s">
        <v>61</v>
      </c>
      <c r="F3541" t="s">
        <v>140</v>
      </c>
      <c r="G3541" t="s">
        <v>30</v>
      </c>
      <c r="H3541" t="s">
        <v>119</v>
      </c>
      <c r="I3541">
        <v>17093</v>
      </c>
      <c r="J3541">
        <v>12568</v>
      </c>
    </row>
    <row r="3542" spans="1:10" x14ac:dyDescent="0.3">
      <c r="A3542" t="s">
        <v>3669</v>
      </c>
      <c r="B3542" s="1">
        <v>45951</v>
      </c>
      <c r="C3542" t="s">
        <v>66</v>
      </c>
      <c r="D3542">
        <v>43</v>
      </c>
      <c r="E3542" t="s">
        <v>12</v>
      </c>
      <c r="F3542" t="s">
        <v>101</v>
      </c>
      <c r="G3542" t="s">
        <v>72</v>
      </c>
      <c r="H3542" t="s">
        <v>48</v>
      </c>
      <c r="I3542">
        <v>27264</v>
      </c>
      <c r="J3542">
        <v>30407</v>
      </c>
    </row>
    <row r="3543" spans="1:10" x14ac:dyDescent="0.3">
      <c r="A3543" t="s">
        <v>3670</v>
      </c>
      <c r="B3543" s="1">
        <v>45755</v>
      </c>
      <c r="C3543" t="s">
        <v>86</v>
      </c>
      <c r="D3543">
        <v>15</v>
      </c>
      <c r="E3543" t="s">
        <v>18</v>
      </c>
      <c r="F3543" t="s">
        <v>114</v>
      </c>
      <c r="G3543" t="s">
        <v>88</v>
      </c>
      <c r="H3543" t="s">
        <v>243</v>
      </c>
      <c r="I3543">
        <v>26402</v>
      </c>
      <c r="J3543">
        <v>33444</v>
      </c>
    </row>
    <row r="3544" spans="1:10" x14ac:dyDescent="0.3">
      <c r="A3544" t="s">
        <v>3671</v>
      </c>
      <c r="B3544" s="1">
        <v>46014</v>
      </c>
      <c r="C3544" t="s">
        <v>100</v>
      </c>
      <c r="D3544">
        <v>52</v>
      </c>
      <c r="E3544" t="s">
        <v>18</v>
      </c>
      <c r="F3544" t="s">
        <v>87</v>
      </c>
      <c r="G3544" t="s">
        <v>47</v>
      </c>
      <c r="H3544" t="s">
        <v>188</v>
      </c>
      <c r="I3544">
        <v>25373</v>
      </c>
      <c r="J3544">
        <v>25587</v>
      </c>
    </row>
    <row r="3545" spans="1:10" x14ac:dyDescent="0.3">
      <c r="A3545" t="s">
        <v>3672</v>
      </c>
      <c r="B3545" s="1">
        <v>45913</v>
      </c>
      <c r="C3545" t="s">
        <v>38</v>
      </c>
      <c r="D3545">
        <v>37</v>
      </c>
      <c r="E3545" t="s">
        <v>70</v>
      </c>
      <c r="F3545" t="s">
        <v>75</v>
      </c>
      <c r="G3545" t="s">
        <v>51</v>
      </c>
      <c r="H3545" t="s">
        <v>98</v>
      </c>
      <c r="I3545">
        <v>19839</v>
      </c>
      <c r="J3545">
        <v>19161</v>
      </c>
    </row>
    <row r="3546" spans="1:10" x14ac:dyDescent="0.3">
      <c r="A3546" t="s">
        <v>3673</v>
      </c>
      <c r="B3546" s="1">
        <v>45861</v>
      </c>
      <c r="C3546" t="s">
        <v>11</v>
      </c>
      <c r="D3546">
        <v>30</v>
      </c>
      <c r="E3546" t="s">
        <v>24</v>
      </c>
      <c r="F3546" t="s">
        <v>29</v>
      </c>
      <c r="G3546" t="s">
        <v>79</v>
      </c>
      <c r="H3546" t="s">
        <v>64</v>
      </c>
      <c r="I3546">
        <v>27648</v>
      </c>
      <c r="J3546">
        <v>22727</v>
      </c>
    </row>
    <row r="3547" spans="1:10" x14ac:dyDescent="0.3">
      <c r="A3547" t="s">
        <v>3674</v>
      </c>
      <c r="B3547" s="1">
        <v>45759</v>
      </c>
      <c r="C3547" t="s">
        <v>86</v>
      </c>
      <c r="D3547">
        <v>15</v>
      </c>
      <c r="E3547" t="s">
        <v>12</v>
      </c>
      <c r="F3547" t="s">
        <v>13</v>
      </c>
      <c r="G3547" t="s">
        <v>107</v>
      </c>
      <c r="H3547" t="s">
        <v>59</v>
      </c>
      <c r="I3547">
        <v>37700</v>
      </c>
      <c r="J3547">
        <v>38986</v>
      </c>
    </row>
    <row r="3548" spans="1:10" x14ac:dyDescent="0.3">
      <c r="A3548" t="s">
        <v>3675</v>
      </c>
      <c r="B3548" s="1">
        <v>45833</v>
      </c>
      <c r="C3548" t="s">
        <v>74</v>
      </c>
      <c r="D3548">
        <v>26</v>
      </c>
      <c r="E3548" t="s">
        <v>12</v>
      </c>
      <c r="F3548" t="s">
        <v>122</v>
      </c>
      <c r="G3548" t="s">
        <v>291</v>
      </c>
      <c r="H3548" t="s">
        <v>36</v>
      </c>
      <c r="I3548">
        <v>39446</v>
      </c>
      <c r="J3548">
        <v>30153</v>
      </c>
    </row>
    <row r="3549" spans="1:10" x14ac:dyDescent="0.3">
      <c r="A3549" t="s">
        <v>3676</v>
      </c>
      <c r="B3549" s="1">
        <v>45991</v>
      </c>
      <c r="C3549" t="s">
        <v>23</v>
      </c>
      <c r="D3549">
        <v>48</v>
      </c>
      <c r="E3549" t="s">
        <v>33</v>
      </c>
      <c r="F3549" t="s">
        <v>140</v>
      </c>
      <c r="G3549" t="s">
        <v>160</v>
      </c>
      <c r="H3549" t="s">
        <v>111</v>
      </c>
      <c r="I3549">
        <v>24417</v>
      </c>
      <c r="J3549">
        <v>18930</v>
      </c>
    </row>
    <row r="3550" spans="1:10" x14ac:dyDescent="0.3">
      <c r="A3550" t="s">
        <v>3677</v>
      </c>
      <c r="B3550" s="1">
        <v>45956</v>
      </c>
      <c r="C3550" t="s">
        <v>66</v>
      </c>
      <c r="D3550">
        <v>43</v>
      </c>
      <c r="E3550" t="s">
        <v>24</v>
      </c>
      <c r="F3550" t="s">
        <v>101</v>
      </c>
      <c r="G3550" t="s">
        <v>326</v>
      </c>
      <c r="H3550" t="s">
        <v>64</v>
      </c>
      <c r="I3550">
        <v>38592</v>
      </c>
      <c r="J3550">
        <v>29189</v>
      </c>
    </row>
    <row r="3551" spans="1:10" x14ac:dyDescent="0.3">
      <c r="A3551" t="s">
        <v>3678</v>
      </c>
      <c r="B3551" s="1">
        <v>45957</v>
      </c>
      <c r="C3551" t="s">
        <v>66</v>
      </c>
      <c r="D3551">
        <v>44</v>
      </c>
      <c r="E3551" t="s">
        <v>24</v>
      </c>
      <c r="F3551" t="s">
        <v>122</v>
      </c>
      <c r="G3551" t="s">
        <v>240</v>
      </c>
      <c r="H3551" t="s">
        <v>155</v>
      </c>
      <c r="I3551">
        <v>35119</v>
      </c>
      <c r="J3551">
        <v>25327</v>
      </c>
    </row>
    <row r="3552" spans="1:10" x14ac:dyDescent="0.3">
      <c r="A3552" t="s">
        <v>3679</v>
      </c>
      <c r="B3552" s="1">
        <v>45712</v>
      </c>
      <c r="C3552" t="s">
        <v>82</v>
      </c>
      <c r="D3552">
        <v>9</v>
      </c>
      <c r="E3552" t="s">
        <v>12</v>
      </c>
      <c r="F3552" t="s">
        <v>87</v>
      </c>
      <c r="G3552" t="s">
        <v>40</v>
      </c>
      <c r="H3552" t="s">
        <v>243</v>
      </c>
      <c r="I3552">
        <v>29300</v>
      </c>
      <c r="J3552">
        <v>32855</v>
      </c>
    </row>
    <row r="3553" spans="1:10" x14ac:dyDescent="0.3">
      <c r="A3553" t="s">
        <v>3680</v>
      </c>
      <c r="B3553" s="1">
        <v>45729</v>
      </c>
      <c r="C3553" t="s">
        <v>95</v>
      </c>
      <c r="D3553">
        <v>11</v>
      </c>
      <c r="E3553" t="s">
        <v>33</v>
      </c>
      <c r="F3553" t="s">
        <v>62</v>
      </c>
      <c r="G3553" t="s">
        <v>135</v>
      </c>
      <c r="H3553" t="s">
        <v>96</v>
      </c>
      <c r="I3553">
        <v>39979</v>
      </c>
      <c r="J3553">
        <v>49664</v>
      </c>
    </row>
    <row r="3554" spans="1:10" x14ac:dyDescent="0.3">
      <c r="A3554" t="s">
        <v>3681</v>
      </c>
      <c r="B3554" s="1">
        <v>45769</v>
      </c>
      <c r="C3554" t="s">
        <v>86</v>
      </c>
      <c r="D3554">
        <v>17</v>
      </c>
      <c r="E3554" t="s">
        <v>33</v>
      </c>
      <c r="F3554" t="s">
        <v>101</v>
      </c>
      <c r="G3554" t="s">
        <v>191</v>
      </c>
      <c r="H3554" t="s">
        <v>41</v>
      </c>
      <c r="I3554">
        <v>27877</v>
      </c>
      <c r="J3554">
        <v>29488</v>
      </c>
    </row>
    <row r="3555" spans="1:10" x14ac:dyDescent="0.3">
      <c r="A3555" t="s">
        <v>3682</v>
      </c>
      <c r="B3555" s="1">
        <v>45679</v>
      </c>
      <c r="C3555" t="s">
        <v>17</v>
      </c>
      <c r="D3555">
        <v>4</v>
      </c>
      <c r="E3555" t="s">
        <v>61</v>
      </c>
      <c r="F3555" t="s">
        <v>43</v>
      </c>
      <c r="G3555" t="s">
        <v>128</v>
      </c>
      <c r="H3555" t="s">
        <v>98</v>
      </c>
      <c r="I3555">
        <v>22645</v>
      </c>
      <c r="J3555">
        <v>19163</v>
      </c>
    </row>
    <row r="3556" spans="1:10" x14ac:dyDescent="0.3">
      <c r="A3556" t="s">
        <v>3683</v>
      </c>
      <c r="B3556" s="1">
        <v>46007</v>
      </c>
      <c r="C3556" t="s">
        <v>100</v>
      </c>
      <c r="D3556">
        <v>51</v>
      </c>
      <c r="E3556" t="s">
        <v>18</v>
      </c>
      <c r="F3556" t="s">
        <v>29</v>
      </c>
      <c r="G3556" t="s">
        <v>102</v>
      </c>
      <c r="H3556" t="s">
        <v>111</v>
      </c>
      <c r="I3556">
        <v>35787</v>
      </c>
      <c r="J3556">
        <v>28619</v>
      </c>
    </row>
    <row r="3557" spans="1:10" x14ac:dyDescent="0.3">
      <c r="A3557" t="s">
        <v>3684</v>
      </c>
      <c r="B3557" s="1">
        <v>45832</v>
      </c>
      <c r="C3557" t="s">
        <v>74</v>
      </c>
      <c r="D3557">
        <v>26</v>
      </c>
      <c r="E3557" t="s">
        <v>33</v>
      </c>
      <c r="F3557" t="s">
        <v>109</v>
      </c>
      <c r="G3557" t="s">
        <v>20</v>
      </c>
      <c r="H3557" t="s">
        <v>133</v>
      </c>
      <c r="I3557">
        <v>33489</v>
      </c>
      <c r="J3557">
        <v>27425</v>
      </c>
    </row>
    <row r="3558" spans="1:10" x14ac:dyDescent="0.3">
      <c r="A3558" t="s">
        <v>3685</v>
      </c>
      <c r="B3558" s="1">
        <v>45733</v>
      </c>
      <c r="C3558" t="s">
        <v>95</v>
      </c>
      <c r="D3558">
        <v>12</v>
      </c>
      <c r="E3558" t="s">
        <v>24</v>
      </c>
      <c r="F3558" t="s">
        <v>13</v>
      </c>
      <c r="G3558" t="s">
        <v>141</v>
      </c>
      <c r="H3558" t="s">
        <v>188</v>
      </c>
      <c r="I3558">
        <v>30037</v>
      </c>
      <c r="J3558">
        <v>29558</v>
      </c>
    </row>
    <row r="3559" spans="1:10" x14ac:dyDescent="0.3">
      <c r="A3559" t="s">
        <v>3686</v>
      </c>
      <c r="B3559" s="1">
        <v>45779</v>
      </c>
      <c r="C3559" t="s">
        <v>90</v>
      </c>
      <c r="D3559">
        <v>18</v>
      </c>
      <c r="E3559" t="s">
        <v>18</v>
      </c>
      <c r="F3559" t="s">
        <v>92</v>
      </c>
      <c r="G3559" t="s">
        <v>30</v>
      </c>
      <c r="H3559" t="s">
        <v>64</v>
      </c>
      <c r="I3559">
        <v>22378</v>
      </c>
      <c r="J3559">
        <v>28994</v>
      </c>
    </row>
    <row r="3560" spans="1:10" x14ac:dyDescent="0.3">
      <c r="A3560" t="s">
        <v>3687</v>
      </c>
      <c r="B3560" s="1">
        <v>45752</v>
      </c>
      <c r="C3560" t="s">
        <v>86</v>
      </c>
      <c r="D3560">
        <v>14</v>
      </c>
      <c r="E3560" t="s">
        <v>18</v>
      </c>
      <c r="F3560" t="s">
        <v>46</v>
      </c>
      <c r="G3560" t="s">
        <v>40</v>
      </c>
      <c r="H3560" t="s">
        <v>31</v>
      </c>
      <c r="I3560">
        <v>37301</v>
      </c>
      <c r="J3560">
        <v>26621</v>
      </c>
    </row>
    <row r="3561" spans="1:10" x14ac:dyDescent="0.3">
      <c r="A3561" t="s">
        <v>3688</v>
      </c>
      <c r="B3561" s="1">
        <v>45881</v>
      </c>
      <c r="C3561" t="s">
        <v>113</v>
      </c>
      <c r="D3561">
        <v>33</v>
      </c>
      <c r="E3561" t="s">
        <v>18</v>
      </c>
      <c r="F3561" t="s">
        <v>140</v>
      </c>
      <c r="G3561" t="s">
        <v>26</v>
      </c>
      <c r="H3561" t="s">
        <v>157</v>
      </c>
      <c r="I3561">
        <v>27278</v>
      </c>
      <c r="J3561">
        <v>35426</v>
      </c>
    </row>
    <row r="3562" spans="1:10" x14ac:dyDescent="0.3">
      <c r="A3562" t="s">
        <v>3689</v>
      </c>
      <c r="B3562" s="1">
        <v>45941</v>
      </c>
      <c r="C3562" t="s">
        <v>66</v>
      </c>
      <c r="D3562">
        <v>41</v>
      </c>
      <c r="E3562" t="s">
        <v>61</v>
      </c>
      <c r="F3562" t="s">
        <v>114</v>
      </c>
      <c r="G3562" t="s">
        <v>51</v>
      </c>
      <c r="H3562" t="s">
        <v>15</v>
      </c>
      <c r="I3562">
        <v>33127</v>
      </c>
      <c r="J3562">
        <v>23747</v>
      </c>
    </row>
    <row r="3563" spans="1:10" x14ac:dyDescent="0.3">
      <c r="A3563" t="s">
        <v>3690</v>
      </c>
      <c r="B3563" s="1">
        <v>45961</v>
      </c>
      <c r="C3563" t="s">
        <v>66</v>
      </c>
      <c r="D3563">
        <v>44</v>
      </c>
      <c r="E3563" t="s">
        <v>12</v>
      </c>
      <c r="F3563" t="s">
        <v>57</v>
      </c>
      <c r="G3563" t="s">
        <v>201</v>
      </c>
      <c r="H3563" t="s">
        <v>188</v>
      </c>
      <c r="I3563">
        <v>20734</v>
      </c>
      <c r="J3563">
        <v>23050</v>
      </c>
    </row>
    <row r="3564" spans="1:10" x14ac:dyDescent="0.3">
      <c r="A3564" t="s">
        <v>3691</v>
      </c>
      <c r="B3564" s="1">
        <v>45717</v>
      </c>
      <c r="C3564" t="s">
        <v>95</v>
      </c>
      <c r="D3564">
        <v>9</v>
      </c>
      <c r="E3564" t="s">
        <v>70</v>
      </c>
      <c r="F3564" t="s">
        <v>122</v>
      </c>
      <c r="G3564" t="s">
        <v>88</v>
      </c>
      <c r="H3564" t="s">
        <v>21</v>
      </c>
      <c r="I3564">
        <v>15674</v>
      </c>
      <c r="J3564">
        <v>15552</v>
      </c>
    </row>
    <row r="3565" spans="1:10" x14ac:dyDescent="0.3">
      <c r="A3565" t="s">
        <v>3692</v>
      </c>
      <c r="B3565" s="1">
        <v>45669</v>
      </c>
      <c r="C3565" t="s">
        <v>17</v>
      </c>
      <c r="D3565">
        <v>2</v>
      </c>
      <c r="E3565" t="s">
        <v>61</v>
      </c>
      <c r="F3565" t="s">
        <v>62</v>
      </c>
      <c r="G3565" t="s">
        <v>191</v>
      </c>
      <c r="H3565" t="s">
        <v>157</v>
      </c>
      <c r="I3565">
        <v>33796</v>
      </c>
      <c r="J3565">
        <v>30677</v>
      </c>
    </row>
    <row r="3566" spans="1:10" x14ac:dyDescent="0.3">
      <c r="A3566" t="s">
        <v>3693</v>
      </c>
      <c r="B3566" s="1">
        <v>45972</v>
      </c>
      <c r="C3566" t="s">
        <v>23</v>
      </c>
      <c r="D3566">
        <v>46</v>
      </c>
      <c r="E3566" t="s">
        <v>33</v>
      </c>
      <c r="F3566" t="s">
        <v>101</v>
      </c>
      <c r="G3566" t="s">
        <v>141</v>
      </c>
      <c r="H3566" t="s">
        <v>111</v>
      </c>
      <c r="I3566">
        <v>17984</v>
      </c>
      <c r="J3566">
        <v>13121</v>
      </c>
    </row>
    <row r="3567" spans="1:10" x14ac:dyDescent="0.3">
      <c r="A3567" t="s">
        <v>3694</v>
      </c>
      <c r="B3567" s="1">
        <v>45856</v>
      </c>
      <c r="C3567" t="s">
        <v>11</v>
      </c>
      <c r="D3567">
        <v>29</v>
      </c>
      <c r="E3567" t="s">
        <v>33</v>
      </c>
      <c r="F3567" t="s">
        <v>43</v>
      </c>
      <c r="G3567" t="s">
        <v>26</v>
      </c>
      <c r="H3567" t="s">
        <v>59</v>
      </c>
      <c r="I3567">
        <v>33169</v>
      </c>
      <c r="J3567">
        <v>36273</v>
      </c>
    </row>
    <row r="3568" spans="1:10" x14ac:dyDescent="0.3">
      <c r="A3568" t="s">
        <v>3695</v>
      </c>
      <c r="B3568" s="1">
        <v>46014</v>
      </c>
      <c r="C3568" t="s">
        <v>100</v>
      </c>
      <c r="D3568">
        <v>52</v>
      </c>
      <c r="E3568" t="s">
        <v>24</v>
      </c>
      <c r="F3568" t="s">
        <v>92</v>
      </c>
      <c r="G3568" t="s">
        <v>141</v>
      </c>
      <c r="H3568" t="s">
        <v>48</v>
      </c>
      <c r="I3568">
        <v>23214</v>
      </c>
      <c r="J3568">
        <v>26634</v>
      </c>
    </row>
    <row r="3569" spans="1:10" x14ac:dyDescent="0.3">
      <c r="A3569" t="s">
        <v>3696</v>
      </c>
      <c r="B3569" s="1">
        <v>45811</v>
      </c>
      <c r="C3569" t="s">
        <v>74</v>
      </c>
      <c r="D3569">
        <v>23</v>
      </c>
      <c r="E3569" t="s">
        <v>12</v>
      </c>
      <c r="F3569" t="s">
        <v>75</v>
      </c>
      <c r="G3569" t="s">
        <v>26</v>
      </c>
      <c r="H3569" t="s">
        <v>188</v>
      </c>
      <c r="I3569">
        <v>20053</v>
      </c>
      <c r="J3569">
        <v>14343</v>
      </c>
    </row>
    <row r="3570" spans="1:10" x14ac:dyDescent="0.3">
      <c r="A3570" t="s">
        <v>3697</v>
      </c>
      <c r="B3570" s="1">
        <v>45662</v>
      </c>
      <c r="C3570" t="s">
        <v>17</v>
      </c>
      <c r="D3570">
        <v>1</v>
      </c>
      <c r="E3570" t="s">
        <v>39</v>
      </c>
      <c r="F3570" t="s">
        <v>19</v>
      </c>
      <c r="G3570" t="s">
        <v>30</v>
      </c>
      <c r="H3570" t="s">
        <v>96</v>
      </c>
      <c r="I3570">
        <v>34672</v>
      </c>
      <c r="J3570">
        <v>28412</v>
      </c>
    </row>
    <row r="3571" spans="1:10" x14ac:dyDescent="0.3">
      <c r="A3571" t="s">
        <v>3698</v>
      </c>
      <c r="B3571" s="1">
        <v>45950</v>
      </c>
      <c r="C3571" t="s">
        <v>66</v>
      </c>
      <c r="D3571">
        <v>43</v>
      </c>
      <c r="E3571" t="s">
        <v>61</v>
      </c>
      <c r="F3571" t="s">
        <v>46</v>
      </c>
      <c r="G3571" t="s">
        <v>79</v>
      </c>
      <c r="H3571" t="s">
        <v>116</v>
      </c>
      <c r="I3571">
        <v>37712</v>
      </c>
      <c r="J3571">
        <v>42863</v>
      </c>
    </row>
    <row r="3572" spans="1:10" x14ac:dyDescent="0.3">
      <c r="A3572" t="s">
        <v>3699</v>
      </c>
      <c r="B3572" s="1">
        <v>45721</v>
      </c>
      <c r="C3572" t="s">
        <v>95</v>
      </c>
      <c r="D3572">
        <v>10</v>
      </c>
      <c r="E3572" t="s">
        <v>12</v>
      </c>
      <c r="F3572" t="s">
        <v>50</v>
      </c>
      <c r="G3572" t="s">
        <v>102</v>
      </c>
      <c r="H3572" t="s">
        <v>41</v>
      </c>
      <c r="I3572">
        <v>34909</v>
      </c>
      <c r="J3572">
        <v>41876</v>
      </c>
    </row>
    <row r="3573" spans="1:10" x14ac:dyDescent="0.3">
      <c r="A3573" t="s">
        <v>3700</v>
      </c>
      <c r="B3573" s="1">
        <v>45681</v>
      </c>
      <c r="C3573" t="s">
        <v>17</v>
      </c>
      <c r="D3573">
        <v>4</v>
      </c>
      <c r="E3573" t="s">
        <v>12</v>
      </c>
      <c r="F3573" t="s">
        <v>62</v>
      </c>
      <c r="G3573" t="s">
        <v>51</v>
      </c>
      <c r="H3573" t="s">
        <v>133</v>
      </c>
      <c r="I3573">
        <v>22167</v>
      </c>
      <c r="J3573">
        <v>28614</v>
      </c>
    </row>
    <row r="3574" spans="1:10" x14ac:dyDescent="0.3">
      <c r="A3574" t="s">
        <v>3701</v>
      </c>
      <c r="B3574" s="1">
        <v>45804</v>
      </c>
      <c r="C3574" t="s">
        <v>90</v>
      </c>
      <c r="D3574">
        <v>22</v>
      </c>
      <c r="E3574" t="s">
        <v>70</v>
      </c>
      <c r="F3574" t="s">
        <v>122</v>
      </c>
      <c r="G3574" t="s">
        <v>324</v>
      </c>
      <c r="H3574" t="s">
        <v>165</v>
      </c>
      <c r="I3574">
        <v>20779</v>
      </c>
      <c r="J3574">
        <v>21166</v>
      </c>
    </row>
    <row r="3575" spans="1:10" x14ac:dyDescent="0.3">
      <c r="A3575" t="s">
        <v>3702</v>
      </c>
      <c r="B3575" s="1">
        <v>45833</v>
      </c>
      <c r="C3575" t="s">
        <v>74</v>
      </c>
      <c r="D3575">
        <v>26</v>
      </c>
      <c r="E3575" t="s">
        <v>24</v>
      </c>
      <c r="F3575" t="s">
        <v>57</v>
      </c>
      <c r="G3575" t="s">
        <v>145</v>
      </c>
      <c r="H3575" t="s">
        <v>243</v>
      </c>
      <c r="I3575">
        <v>18364</v>
      </c>
      <c r="J3575">
        <v>20854</v>
      </c>
    </row>
    <row r="3576" spans="1:10" x14ac:dyDescent="0.3">
      <c r="A3576" t="s">
        <v>3703</v>
      </c>
      <c r="B3576" s="1">
        <v>46019</v>
      </c>
      <c r="C3576" t="s">
        <v>100</v>
      </c>
      <c r="D3576">
        <v>52</v>
      </c>
      <c r="E3576" t="s">
        <v>18</v>
      </c>
      <c r="F3576" t="s">
        <v>13</v>
      </c>
      <c r="G3576" t="s">
        <v>67</v>
      </c>
      <c r="H3576" t="s">
        <v>98</v>
      </c>
      <c r="I3576">
        <v>33389</v>
      </c>
      <c r="J3576">
        <v>34431</v>
      </c>
    </row>
    <row r="3577" spans="1:10" x14ac:dyDescent="0.3">
      <c r="A3577" t="s">
        <v>3704</v>
      </c>
      <c r="B3577" s="1">
        <v>45736</v>
      </c>
      <c r="C3577" t="s">
        <v>95</v>
      </c>
      <c r="D3577">
        <v>12</v>
      </c>
      <c r="E3577" t="s">
        <v>70</v>
      </c>
      <c r="F3577" t="s">
        <v>114</v>
      </c>
      <c r="G3577" t="s">
        <v>128</v>
      </c>
      <c r="H3577" t="s">
        <v>59</v>
      </c>
      <c r="I3577">
        <v>37327</v>
      </c>
      <c r="J3577">
        <v>34607</v>
      </c>
    </row>
    <row r="3578" spans="1:10" x14ac:dyDescent="0.3">
      <c r="A3578" t="s">
        <v>3705</v>
      </c>
      <c r="B3578" s="1">
        <v>45966</v>
      </c>
      <c r="C3578" t="s">
        <v>23</v>
      </c>
      <c r="D3578">
        <v>45</v>
      </c>
      <c r="E3578" t="s">
        <v>33</v>
      </c>
      <c r="F3578" t="s">
        <v>92</v>
      </c>
      <c r="G3578" t="s">
        <v>54</v>
      </c>
      <c r="H3578" t="s">
        <v>157</v>
      </c>
      <c r="I3578">
        <v>18495</v>
      </c>
      <c r="J3578">
        <v>18673</v>
      </c>
    </row>
    <row r="3579" spans="1:10" x14ac:dyDescent="0.3">
      <c r="A3579" t="s">
        <v>3706</v>
      </c>
      <c r="B3579" s="1">
        <v>45728</v>
      </c>
      <c r="C3579" t="s">
        <v>95</v>
      </c>
      <c r="D3579">
        <v>11</v>
      </c>
      <c r="E3579" t="s">
        <v>24</v>
      </c>
      <c r="F3579" t="s">
        <v>114</v>
      </c>
      <c r="G3579" t="s">
        <v>199</v>
      </c>
      <c r="H3579" t="s">
        <v>15</v>
      </c>
      <c r="I3579">
        <v>16321</v>
      </c>
      <c r="J3579">
        <v>19314</v>
      </c>
    </row>
    <row r="3580" spans="1:10" x14ac:dyDescent="0.3">
      <c r="A3580" t="s">
        <v>3707</v>
      </c>
      <c r="B3580" s="1">
        <v>45867</v>
      </c>
      <c r="C3580" t="s">
        <v>11</v>
      </c>
      <c r="D3580">
        <v>31</v>
      </c>
      <c r="E3580" t="s">
        <v>70</v>
      </c>
      <c r="F3580" t="s">
        <v>101</v>
      </c>
      <c r="G3580" t="s">
        <v>171</v>
      </c>
      <c r="H3580" t="s">
        <v>98</v>
      </c>
      <c r="I3580">
        <v>30828</v>
      </c>
      <c r="J3580">
        <v>40028</v>
      </c>
    </row>
    <row r="3581" spans="1:10" x14ac:dyDescent="0.3">
      <c r="A3581" t="s">
        <v>3708</v>
      </c>
      <c r="B3581" s="1">
        <v>45841</v>
      </c>
      <c r="C3581" t="s">
        <v>11</v>
      </c>
      <c r="D3581">
        <v>27</v>
      </c>
      <c r="E3581" t="s">
        <v>18</v>
      </c>
      <c r="F3581" t="s">
        <v>57</v>
      </c>
      <c r="G3581" t="s">
        <v>35</v>
      </c>
      <c r="H3581" t="s">
        <v>151</v>
      </c>
      <c r="I3581">
        <v>30363</v>
      </c>
      <c r="J3581">
        <v>23822</v>
      </c>
    </row>
    <row r="3582" spans="1:10" x14ac:dyDescent="0.3">
      <c r="A3582" t="s">
        <v>3709</v>
      </c>
      <c r="B3582" s="1">
        <v>45874</v>
      </c>
      <c r="C3582" t="s">
        <v>113</v>
      </c>
      <c r="D3582">
        <v>32</v>
      </c>
      <c r="E3582" t="s">
        <v>12</v>
      </c>
      <c r="F3582" t="s">
        <v>50</v>
      </c>
      <c r="G3582" t="s">
        <v>135</v>
      </c>
      <c r="H3582" t="s">
        <v>211</v>
      </c>
      <c r="I3582">
        <v>15654</v>
      </c>
      <c r="J3582">
        <v>11364</v>
      </c>
    </row>
    <row r="3583" spans="1:10" x14ac:dyDescent="0.3">
      <c r="A3583" t="s">
        <v>3710</v>
      </c>
      <c r="B3583" s="1">
        <v>45876</v>
      </c>
      <c r="C3583" t="s">
        <v>113</v>
      </c>
      <c r="D3583">
        <v>32</v>
      </c>
      <c r="E3583" t="s">
        <v>70</v>
      </c>
      <c r="F3583" t="s">
        <v>92</v>
      </c>
      <c r="G3583" t="s">
        <v>58</v>
      </c>
      <c r="H3583" t="s">
        <v>80</v>
      </c>
      <c r="I3583">
        <v>22618</v>
      </c>
      <c r="J3583">
        <v>18603</v>
      </c>
    </row>
    <row r="3584" spans="1:10" x14ac:dyDescent="0.3">
      <c r="A3584" t="s">
        <v>3711</v>
      </c>
      <c r="B3584" s="1">
        <v>45933</v>
      </c>
      <c r="C3584" t="s">
        <v>66</v>
      </c>
      <c r="D3584">
        <v>40</v>
      </c>
      <c r="E3584" t="s">
        <v>18</v>
      </c>
      <c r="F3584" t="s">
        <v>50</v>
      </c>
      <c r="G3584" t="s">
        <v>83</v>
      </c>
      <c r="H3584" t="s">
        <v>59</v>
      </c>
      <c r="I3584">
        <v>22620</v>
      </c>
      <c r="J3584">
        <v>21490</v>
      </c>
    </row>
    <row r="3585" spans="1:10" x14ac:dyDescent="0.3">
      <c r="A3585" t="s">
        <v>3712</v>
      </c>
      <c r="B3585" s="1">
        <v>45661</v>
      </c>
      <c r="C3585" t="s">
        <v>17</v>
      </c>
      <c r="D3585">
        <v>1</v>
      </c>
      <c r="E3585" t="s">
        <v>12</v>
      </c>
      <c r="F3585" t="s">
        <v>46</v>
      </c>
      <c r="G3585" t="s">
        <v>107</v>
      </c>
      <c r="H3585" t="s">
        <v>155</v>
      </c>
      <c r="I3585">
        <v>37231</v>
      </c>
      <c r="J3585">
        <v>41454</v>
      </c>
    </row>
    <row r="3586" spans="1:10" x14ac:dyDescent="0.3">
      <c r="A3586" t="s">
        <v>3713</v>
      </c>
      <c r="B3586" s="1">
        <v>45913</v>
      </c>
      <c r="C3586" t="s">
        <v>38</v>
      </c>
      <c r="D3586">
        <v>37</v>
      </c>
      <c r="E3586" t="s">
        <v>12</v>
      </c>
      <c r="F3586" t="s">
        <v>101</v>
      </c>
      <c r="G3586" t="s">
        <v>171</v>
      </c>
      <c r="H3586" t="s">
        <v>52</v>
      </c>
      <c r="I3586">
        <v>30841</v>
      </c>
      <c r="J3586">
        <v>39568</v>
      </c>
    </row>
    <row r="3587" spans="1:10" x14ac:dyDescent="0.3">
      <c r="A3587" t="s">
        <v>3714</v>
      </c>
      <c r="B3587" s="1">
        <v>45752</v>
      </c>
      <c r="C3587" t="s">
        <v>86</v>
      </c>
      <c r="D3587">
        <v>14</v>
      </c>
      <c r="E3587" t="s">
        <v>70</v>
      </c>
      <c r="F3587" t="s">
        <v>13</v>
      </c>
      <c r="G3587" t="s">
        <v>199</v>
      </c>
      <c r="H3587" t="s">
        <v>163</v>
      </c>
      <c r="I3587">
        <v>32053</v>
      </c>
      <c r="J3587">
        <v>32427</v>
      </c>
    </row>
    <row r="3588" spans="1:10" x14ac:dyDescent="0.3">
      <c r="A3588" t="s">
        <v>3715</v>
      </c>
      <c r="B3588" s="1">
        <v>45759</v>
      </c>
      <c r="C3588" t="s">
        <v>86</v>
      </c>
      <c r="D3588">
        <v>15</v>
      </c>
      <c r="E3588" t="s">
        <v>33</v>
      </c>
      <c r="F3588" t="s">
        <v>29</v>
      </c>
      <c r="G3588" t="s">
        <v>201</v>
      </c>
      <c r="H3588" t="s">
        <v>103</v>
      </c>
      <c r="I3588">
        <v>32843</v>
      </c>
      <c r="J3588">
        <v>31956</v>
      </c>
    </row>
    <row r="3589" spans="1:10" x14ac:dyDescent="0.3">
      <c r="A3589" t="s">
        <v>3716</v>
      </c>
      <c r="B3589" s="1">
        <v>45976</v>
      </c>
      <c r="C3589" t="s">
        <v>23</v>
      </c>
      <c r="D3589">
        <v>46</v>
      </c>
      <c r="E3589" t="s">
        <v>70</v>
      </c>
      <c r="F3589" t="s">
        <v>13</v>
      </c>
      <c r="G3589" t="s">
        <v>51</v>
      </c>
      <c r="H3589" t="s">
        <v>188</v>
      </c>
      <c r="I3589">
        <v>18041</v>
      </c>
      <c r="J3589">
        <v>13792</v>
      </c>
    </row>
    <row r="3590" spans="1:10" x14ac:dyDescent="0.3">
      <c r="A3590" t="s">
        <v>3717</v>
      </c>
      <c r="B3590" s="1">
        <v>45713</v>
      </c>
      <c r="C3590" t="s">
        <v>82</v>
      </c>
      <c r="D3590">
        <v>9</v>
      </c>
      <c r="E3590" t="s">
        <v>18</v>
      </c>
      <c r="F3590" t="s">
        <v>101</v>
      </c>
      <c r="G3590" t="s">
        <v>126</v>
      </c>
      <c r="H3590" t="s">
        <v>31</v>
      </c>
      <c r="I3590">
        <v>20163</v>
      </c>
      <c r="J3590">
        <v>21626</v>
      </c>
    </row>
    <row r="3591" spans="1:10" x14ac:dyDescent="0.3">
      <c r="A3591" t="s">
        <v>3718</v>
      </c>
      <c r="B3591" s="1">
        <v>45949</v>
      </c>
      <c r="C3591" t="s">
        <v>66</v>
      </c>
      <c r="D3591">
        <v>42</v>
      </c>
      <c r="E3591" t="s">
        <v>24</v>
      </c>
      <c r="F3591" t="s">
        <v>109</v>
      </c>
      <c r="G3591" t="s">
        <v>132</v>
      </c>
      <c r="H3591" t="s">
        <v>59</v>
      </c>
      <c r="I3591">
        <v>36227</v>
      </c>
      <c r="J3591">
        <v>27726</v>
      </c>
    </row>
    <row r="3592" spans="1:10" x14ac:dyDescent="0.3">
      <c r="A3592" t="s">
        <v>3719</v>
      </c>
      <c r="B3592" s="1">
        <v>45710</v>
      </c>
      <c r="C3592" t="s">
        <v>82</v>
      </c>
      <c r="D3592">
        <v>8</v>
      </c>
      <c r="E3592" t="s">
        <v>18</v>
      </c>
      <c r="F3592" t="s">
        <v>114</v>
      </c>
      <c r="G3592" t="s">
        <v>135</v>
      </c>
      <c r="H3592" t="s">
        <v>64</v>
      </c>
      <c r="I3592">
        <v>27637</v>
      </c>
      <c r="J3592">
        <v>33431</v>
      </c>
    </row>
    <row r="3593" spans="1:10" x14ac:dyDescent="0.3">
      <c r="A3593" t="s">
        <v>3720</v>
      </c>
      <c r="B3593" s="1">
        <v>45767</v>
      </c>
      <c r="C3593" t="s">
        <v>86</v>
      </c>
      <c r="D3593">
        <v>16</v>
      </c>
      <c r="E3593" t="s">
        <v>61</v>
      </c>
      <c r="F3593" t="s">
        <v>34</v>
      </c>
      <c r="G3593" t="s">
        <v>128</v>
      </c>
      <c r="H3593" t="s">
        <v>15</v>
      </c>
      <c r="I3593">
        <v>36848</v>
      </c>
      <c r="J3593">
        <v>34518</v>
      </c>
    </row>
    <row r="3594" spans="1:10" x14ac:dyDescent="0.3">
      <c r="A3594" t="s">
        <v>3721</v>
      </c>
      <c r="B3594" s="1">
        <v>45671</v>
      </c>
      <c r="C3594" t="s">
        <v>17</v>
      </c>
      <c r="D3594">
        <v>3</v>
      </c>
      <c r="E3594" t="s">
        <v>12</v>
      </c>
      <c r="F3594" t="s">
        <v>62</v>
      </c>
      <c r="G3594" t="s">
        <v>191</v>
      </c>
      <c r="H3594" t="s">
        <v>59</v>
      </c>
      <c r="I3594">
        <v>27136</v>
      </c>
      <c r="J3594">
        <v>31234</v>
      </c>
    </row>
    <row r="3595" spans="1:10" x14ac:dyDescent="0.3">
      <c r="A3595" t="s">
        <v>3722</v>
      </c>
      <c r="B3595" s="1">
        <v>45769</v>
      </c>
      <c r="C3595" t="s">
        <v>86</v>
      </c>
      <c r="D3595">
        <v>17</v>
      </c>
      <c r="E3595" t="s">
        <v>33</v>
      </c>
      <c r="F3595" t="s">
        <v>140</v>
      </c>
      <c r="G3595" t="s">
        <v>118</v>
      </c>
      <c r="H3595" t="s">
        <v>80</v>
      </c>
      <c r="I3595">
        <v>21278</v>
      </c>
      <c r="J3595">
        <v>23115</v>
      </c>
    </row>
    <row r="3596" spans="1:10" x14ac:dyDescent="0.3">
      <c r="A3596" t="s">
        <v>3723</v>
      </c>
      <c r="B3596" s="1">
        <v>45896</v>
      </c>
      <c r="C3596" t="s">
        <v>113</v>
      </c>
      <c r="D3596">
        <v>35</v>
      </c>
      <c r="E3596" t="s">
        <v>12</v>
      </c>
      <c r="F3596" t="s">
        <v>29</v>
      </c>
      <c r="G3596" t="s">
        <v>72</v>
      </c>
      <c r="H3596" t="s">
        <v>15</v>
      </c>
      <c r="I3596">
        <v>32180</v>
      </c>
      <c r="J3596">
        <v>41213</v>
      </c>
    </row>
    <row r="3597" spans="1:10" x14ac:dyDescent="0.3">
      <c r="A3597" t="s">
        <v>3724</v>
      </c>
      <c r="B3597" s="1">
        <v>45863</v>
      </c>
      <c r="C3597" t="s">
        <v>11</v>
      </c>
      <c r="D3597">
        <v>30</v>
      </c>
      <c r="E3597" t="s">
        <v>18</v>
      </c>
      <c r="F3597" t="s">
        <v>92</v>
      </c>
      <c r="G3597" t="s">
        <v>126</v>
      </c>
      <c r="H3597" t="s">
        <v>188</v>
      </c>
      <c r="I3597">
        <v>26226</v>
      </c>
      <c r="J3597">
        <v>27852</v>
      </c>
    </row>
    <row r="3598" spans="1:10" x14ac:dyDescent="0.3">
      <c r="A3598" t="s">
        <v>3725</v>
      </c>
      <c r="B3598" s="1">
        <v>45778</v>
      </c>
      <c r="C3598" t="s">
        <v>90</v>
      </c>
      <c r="D3598">
        <v>18</v>
      </c>
      <c r="E3598" t="s">
        <v>70</v>
      </c>
      <c r="F3598" t="s">
        <v>122</v>
      </c>
      <c r="G3598" t="s">
        <v>147</v>
      </c>
      <c r="H3598" t="s">
        <v>68</v>
      </c>
      <c r="I3598">
        <v>21635</v>
      </c>
      <c r="J3598">
        <v>19491</v>
      </c>
    </row>
    <row r="3599" spans="1:10" x14ac:dyDescent="0.3">
      <c r="A3599" t="s">
        <v>3726</v>
      </c>
      <c r="B3599" s="1">
        <v>45659</v>
      </c>
      <c r="C3599" t="s">
        <v>17</v>
      </c>
      <c r="D3599">
        <v>1</v>
      </c>
      <c r="E3599" t="s">
        <v>18</v>
      </c>
      <c r="F3599" t="s">
        <v>43</v>
      </c>
      <c r="G3599" t="s">
        <v>63</v>
      </c>
      <c r="H3599" t="s">
        <v>15</v>
      </c>
      <c r="I3599">
        <v>37594</v>
      </c>
      <c r="J3599">
        <v>45764</v>
      </c>
    </row>
    <row r="3600" spans="1:10" x14ac:dyDescent="0.3">
      <c r="A3600" t="s">
        <v>3727</v>
      </c>
      <c r="B3600" s="1">
        <v>45874</v>
      </c>
      <c r="C3600" t="s">
        <v>113</v>
      </c>
      <c r="D3600">
        <v>32</v>
      </c>
      <c r="E3600" t="s">
        <v>33</v>
      </c>
      <c r="F3600" t="s">
        <v>140</v>
      </c>
      <c r="G3600" t="s">
        <v>171</v>
      </c>
      <c r="H3600" t="s">
        <v>103</v>
      </c>
      <c r="I3600">
        <v>31059</v>
      </c>
      <c r="J3600">
        <v>25433</v>
      </c>
    </row>
    <row r="3601" spans="1:10" x14ac:dyDescent="0.3">
      <c r="A3601" t="s">
        <v>3728</v>
      </c>
      <c r="B3601" s="1">
        <v>45968</v>
      </c>
      <c r="C3601" t="s">
        <v>23</v>
      </c>
      <c r="D3601">
        <v>45</v>
      </c>
      <c r="E3601" t="s">
        <v>70</v>
      </c>
      <c r="F3601" t="s">
        <v>78</v>
      </c>
      <c r="G3601" t="s">
        <v>14</v>
      </c>
      <c r="H3601" t="s">
        <v>211</v>
      </c>
      <c r="I3601">
        <v>24224</v>
      </c>
      <c r="J3601">
        <v>22126</v>
      </c>
    </row>
    <row r="3602" spans="1:10" x14ac:dyDescent="0.3">
      <c r="A3602" t="s">
        <v>3729</v>
      </c>
      <c r="B3602" s="1">
        <v>45972</v>
      </c>
      <c r="C3602" t="s">
        <v>23</v>
      </c>
      <c r="D3602">
        <v>46</v>
      </c>
      <c r="E3602" t="s">
        <v>33</v>
      </c>
      <c r="F3602" t="s">
        <v>193</v>
      </c>
      <c r="G3602" t="s">
        <v>234</v>
      </c>
      <c r="H3602" t="s">
        <v>52</v>
      </c>
      <c r="I3602">
        <v>18881</v>
      </c>
      <c r="J3602">
        <v>14437</v>
      </c>
    </row>
    <row r="3603" spans="1:10" x14ac:dyDescent="0.3">
      <c r="A3603" t="s">
        <v>3730</v>
      </c>
      <c r="B3603" s="1">
        <v>45865</v>
      </c>
      <c r="C3603" t="s">
        <v>11</v>
      </c>
      <c r="D3603">
        <v>30</v>
      </c>
      <c r="E3603" t="s">
        <v>39</v>
      </c>
      <c r="F3603" t="s">
        <v>13</v>
      </c>
      <c r="G3603" t="s">
        <v>149</v>
      </c>
      <c r="H3603" t="s">
        <v>165</v>
      </c>
      <c r="I3603">
        <v>33276</v>
      </c>
      <c r="J3603">
        <v>24223</v>
      </c>
    </row>
    <row r="3604" spans="1:10" x14ac:dyDescent="0.3">
      <c r="A3604" t="s">
        <v>3731</v>
      </c>
      <c r="B3604" s="1">
        <v>45941</v>
      </c>
      <c r="C3604" t="s">
        <v>66</v>
      </c>
      <c r="D3604">
        <v>41</v>
      </c>
      <c r="E3604" t="s">
        <v>18</v>
      </c>
      <c r="F3604" t="s">
        <v>92</v>
      </c>
      <c r="G3604" t="s">
        <v>234</v>
      </c>
      <c r="H3604" t="s">
        <v>21</v>
      </c>
      <c r="I3604">
        <v>37951</v>
      </c>
      <c r="J3604">
        <v>44018</v>
      </c>
    </row>
    <row r="3605" spans="1:10" x14ac:dyDescent="0.3">
      <c r="A3605" t="s">
        <v>3732</v>
      </c>
      <c r="B3605" s="1">
        <v>45768</v>
      </c>
      <c r="C3605" t="s">
        <v>86</v>
      </c>
      <c r="D3605">
        <v>17</v>
      </c>
      <c r="E3605" t="s">
        <v>24</v>
      </c>
      <c r="F3605" t="s">
        <v>25</v>
      </c>
      <c r="G3605" t="s">
        <v>88</v>
      </c>
      <c r="H3605" t="s">
        <v>165</v>
      </c>
      <c r="I3605">
        <v>36570</v>
      </c>
      <c r="J3605">
        <v>42216</v>
      </c>
    </row>
    <row r="3606" spans="1:10" x14ac:dyDescent="0.3">
      <c r="A3606" t="s">
        <v>3733</v>
      </c>
      <c r="B3606" s="1">
        <v>45951</v>
      </c>
      <c r="C3606" t="s">
        <v>66</v>
      </c>
      <c r="D3606">
        <v>43</v>
      </c>
      <c r="E3606" t="s">
        <v>18</v>
      </c>
      <c r="F3606" t="s">
        <v>34</v>
      </c>
      <c r="G3606" t="s">
        <v>132</v>
      </c>
      <c r="H3606" t="s">
        <v>119</v>
      </c>
      <c r="I3606">
        <v>29282</v>
      </c>
      <c r="J3606">
        <v>30054</v>
      </c>
    </row>
    <row r="3607" spans="1:10" x14ac:dyDescent="0.3">
      <c r="A3607" t="s">
        <v>3734</v>
      </c>
      <c r="B3607" s="1">
        <v>45718</v>
      </c>
      <c r="C3607" t="s">
        <v>95</v>
      </c>
      <c r="D3607">
        <v>9</v>
      </c>
      <c r="E3607" t="s">
        <v>39</v>
      </c>
      <c r="F3607" t="s">
        <v>34</v>
      </c>
      <c r="G3607" t="s">
        <v>191</v>
      </c>
      <c r="H3607" t="s">
        <v>48</v>
      </c>
      <c r="I3607">
        <v>26777</v>
      </c>
      <c r="J3607">
        <v>19157</v>
      </c>
    </row>
    <row r="3608" spans="1:10" x14ac:dyDescent="0.3">
      <c r="A3608" t="s">
        <v>3735</v>
      </c>
      <c r="B3608" s="1">
        <v>45865</v>
      </c>
      <c r="C3608" t="s">
        <v>11</v>
      </c>
      <c r="D3608">
        <v>30</v>
      </c>
      <c r="E3608" t="s">
        <v>70</v>
      </c>
      <c r="F3608" t="s">
        <v>29</v>
      </c>
      <c r="G3608" t="s">
        <v>137</v>
      </c>
      <c r="H3608" t="s">
        <v>55</v>
      </c>
      <c r="I3608">
        <v>20607</v>
      </c>
      <c r="J3608">
        <v>14625</v>
      </c>
    </row>
    <row r="3609" spans="1:10" x14ac:dyDescent="0.3">
      <c r="A3609" t="s">
        <v>3736</v>
      </c>
      <c r="B3609" s="1">
        <v>45671</v>
      </c>
      <c r="C3609" t="s">
        <v>17</v>
      </c>
      <c r="D3609">
        <v>3</v>
      </c>
      <c r="E3609" t="s">
        <v>12</v>
      </c>
      <c r="F3609" t="s">
        <v>75</v>
      </c>
      <c r="G3609" t="s">
        <v>240</v>
      </c>
      <c r="H3609" t="s">
        <v>48</v>
      </c>
      <c r="I3609">
        <v>17595</v>
      </c>
      <c r="J3609">
        <v>17460</v>
      </c>
    </row>
    <row r="3610" spans="1:10" x14ac:dyDescent="0.3">
      <c r="A3610" t="s">
        <v>3737</v>
      </c>
      <c r="B3610" s="1">
        <v>45983</v>
      </c>
      <c r="C3610" t="s">
        <v>23</v>
      </c>
      <c r="D3610">
        <v>47</v>
      </c>
      <c r="E3610" t="s">
        <v>12</v>
      </c>
      <c r="F3610" t="s">
        <v>87</v>
      </c>
      <c r="G3610" t="s">
        <v>130</v>
      </c>
      <c r="H3610" t="s">
        <v>123</v>
      </c>
      <c r="I3610">
        <v>31277</v>
      </c>
      <c r="J3610">
        <v>28654</v>
      </c>
    </row>
    <row r="3611" spans="1:10" x14ac:dyDescent="0.3">
      <c r="A3611" t="s">
        <v>3738</v>
      </c>
      <c r="B3611" s="1">
        <v>46014</v>
      </c>
      <c r="C3611" t="s">
        <v>100</v>
      </c>
      <c r="D3611">
        <v>52</v>
      </c>
      <c r="E3611" t="s">
        <v>61</v>
      </c>
      <c r="F3611" t="s">
        <v>34</v>
      </c>
      <c r="G3611" t="s">
        <v>107</v>
      </c>
      <c r="H3611" t="s">
        <v>111</v>
      </c>
      <c r="I3611">
        <v>22556</v>
      </c>
      <c r="J3611">
        <v>28652</v>
      </c>
    </row>
    <row r="3612" spans="1:10" x14ac:dyDescent="0.3">
      <c r="A3612" t="s">
        <v>3739</v>
      </c>
      <c r="B3612" s="1">
        <v>45661</v>
      </c>
      <c r="C3612" t="s">
        <v>17</v>
      </c>
      <c r="D3612">
        <v>1</v>
      </c>
      <c r="E3612" t="s">
        <v>33</v>
      </c>
      <c r="F3612" t="s">
        <v>109</v>
      </c>
      <c r="G3612" t="s">
        <v>147</v>
      </c>
      <c r="H3612" t="s">
        <v>111</v>
      </c>
      <c r="I3612">
        <v>27778</v>
      </c>
      <c r="J3612">
        <v>24539</v>
      </c>
    </row>
    <row r="3613" spans="1:10" x14ac:dyDescent="0.3">
      <c r="A3613" t="s">
        <v>3740</v>
      </c>
      <c r="B3613" s="1">
        <v>45969</v>
      </c>
      <c r="C3613" t="s">
        <v>23</v>
      </c>
      <c r="D3613">
        <v>45</v>
      </c>
      <c r="E3613" t="s">
        <v>70</v>
      </c>
      <c r="F3613" t="s">
        <v>62</v>
      </c>
      <c r="G3613" t="s">
        <v>160</v>
      </c>
      <c r="H3613" t="s">
        <v>157</v>
      </c>
      <c r="I3613">
        <v>18332</v>
      </c>
      <c r="J3613">
        <v>20644</v>
      </c>
    </row>
    <row r="3614" spans="1:10" x14ac:dyDescent="0.3">
      <c r="A3614" t="s">
        <v>3741</v>
      </c>
      <c r="B3614" s="1">
        <v>45706</v>
      </c>
      <c r="C3614" t="s">
        <v>82</v>
      </c>
      <c r="D3614">
        <v>8</v>
      </c>
      <c r="E3614" t="s">
        <v>61</v>
      </c>
      <c r="F3614" t="s">
        <v>43</v>
      </c>
      <c r="G3614" t="s">
        <v>102</v>
      </c>
      <c r="H3614" t="s">
        <v>155</v>
      </c>
      <c r="I3614">
        <v>29462</v>
      </c>
      <c r="J3614">
        <v>35238</v>
      </c>
    </row>
    <row r="3615" spans="1:10" x14ac:dyDescent="0.3">
      <c r="A3615" t="s">
        <v>3742</v>
      </c>
      <c r="B3615" s="1">
        <v>45851</v>
      </c>
      <c r="C3615" t="s">
        <v>11</v>
      </c>
      <c r="D3615">
        <v>28</v>
      </c>
      <c r="E3615" t="s">
        <v>39</v>
      </c>
      <c r="F3615" t="s">
        <v>101</v>
      </c>
      <c r="G3615" t="s">
        <v>234</v>
      </c>
      <c r="H3615" t="s">
        <v>59</v>
      </c>
      <c r="I3615">
        <v>38874</v>
      </c>
      <c r="J3615">
        <v>37547</v>
      </c>
    </row>
    <row r="3616" spans="1:10" x14ac:dyDescent="0.3">
      <c r="A3616" t="s">
        <v>3743</v>
      </c>
      <c r="B3616" s="1">
        <v>45682</v>
      </c>
      <c r="C3616" t="s">
        <v>17</v>
      </c>
      <c r="D3616">
        <v>4</v>
      </c>
      <c r="E3616" t="s">
        <v>18</v>
      </c>
      <c r="F3616" t="s">
        <v>109</v>
      </c>
      <c r="G3616" t="s">
        <v>240</v>
      </c>
      <c r="H3616" t="s">
        <v>211</v>
      </c>
      <c r="I3616">
        <v>26560</v>
      </c>
      <c r="J3616">
        <v>32405</v>
      </c>
    </row>
    <row r="3617" spans="1:10" x14ac:dyDescent="0.3">
      <c r="A3617" t="s">
        <v>3744</v>
      </c>
      <c r="B3617" s="1">
        <v>46010</v>
      </c>
      <c r="C3617" t="s">
        <v>100</v>
      </c>
      <c r="D3617">
        <v>51</v>
      </c>
      <c r="E3617" t="s">
        <v>18</v>
      </c>
      <c r="F3617" t="s">
        <v>57</v>
      </c>
      <c r="G3617" t="s">
        <v>88</v>
      </c>
      <c r="H3617" t="s">
        <v>15</v>
      </c>
      <c r="I3617">
        <v>16370</v>
      </c>
      <c r="J3617">
        <v>17310</v>
      </c>
    </row>
    <row r="3618" spans="1:10" x14ac:dyDescent="0.3">
      <c r="A3618" t="s">
        <v>3745</v>
      </c>
      <c r="B3618" s="1">
        <v>45964</v>
      </c>
      <c r="C3618" t="s">
        <v>23</v>
      </c>
      <c r="D3618">
        <v>45</v>
      </c>
      <c r="E3618" t="s">
        <v>24</v>
      </c>
      <c r="F3618" t="s">
        <v>62</v>
      </c>
      <c r="G3618" t="s">
        <v>107</v>
      </c>
      <c r="H3618" t="s">
        <v>133</v>
      </c>
      <c r="I3618">
        <v>37632</v>
      </c>
      <c r="J3618">
        <v>29763</v>
      </c>
    </row>
    <row r="3619" spans="1:10" x14ac:dyDescent="0.3">
      <c r="A3619" t="s">
        <v>3746</v>
      </c>
      <c r="B3619" s="1">
        <v>45669</v>
      </c>
      <c r="C3619" t="s">
        <v>17</v>
      </c>
      <c r="D3619">
        <v>2</v>
      </c>
      <c r="E3619" t="s">
        <v>18</v>
      </c>
      <c r="F3619" t="s">
        <v>78</v>
      </c>
      <c r="G3619" t="s">
        <v>110</v>
      </c>
      <c r="H3619" t="s">
        <v>165</v>
      </c>
      <c r="I3619">
        <v>22779</v>
      </c>
      <c r="J3619">
        <v>26620</v>
      </c>
    </row>
    <row r="3620" spans="1:10" x14ac:dyDescent="0.3">
      <c r="A3620" t="s">
        <v>3747</v>
      </c>
      <c r="B3620" s="1">
        <v>45784</v>
      </c>
      <c r="C3620" t="s">
        <v>90</v>
      </c>
      <c r="D3620">
        <v>19</v>
      </c>
      <c r="E3620" t="s">
        <v>33</v>
      </c>
      <c r="F3620" t="s">
        <v>25</v>
      </c>
      <c r="G3620" t="s">
        <v>266</v>
      </c>
      <c r="H3620" t="s">
        <v>157</v>
      </c>
      <c r="I3620">
        <v>22090</v>
      </c>
      <c r="J3620">
        <v>23965</v>
      </c>
    </row>
    <row r="3621" spans="1:10" x14ac:dyDescent="0.3">
      <c r="A3621" t="s">
        <v>3748</v>
      </c>
      <c r="B3621" s="1">
        <v>45676</v>
      </c>
      <c r="C3621" t="s">
        <v>17</v>
      </c>
      <c r="D3621">
        <v>3</v>
      </c>
      <c r="E3621" t="s">
        <v>33</v>
      </c>
      <c r="F3621" t="s">
        <v>34</v>
      </c>
      <c r="G3621" t="s">
        <v>137</v>
      </c>
      <c r="H3621" t="s">
        <v>15</v>
      </c>
      <c r="I3621">
        <v>39173</v>
      </c>
      <c r="J3621">
        <v>41964</v>
      </c>
    </row>
    <row r="3622" spans="1:10" x14ac:dyDescent="0.3">
      <c r="A3622" t="s">
        <v>3749</v>
      </c>
      <c r="B3622" s="1">
        <v>45786</v>
      </c>
      <c r="C3622" t="s">
        <v>90</v>
      </c>
      <c r="D3622">
        <v>19</v>
      </c>
      <c r="E3622" t="s">
        <v>18</v>
      </c>
      <c r="F3622" t="s">
        <v>19</v>
      </c>
      <c r="G3622" t="s">
        <v>132</v>
      </c>
      <c r="H3622" t="s">
        <v>111</v>
      </c>
      <c r="I3622">
        <v>33247</v>
      </c>
      <c r="J3622">
        <v>38358</v>
      </c>
    </row>
    <row r="3623" spans="1:10" x14ac:dyDescent="0.3">
      <c r="A3623" t="s">
        <v>3750</v>
      </c>
      <c r="B3623" s="1">
        <v>45787</v>
      </c>
      <c r="C3623" t="s">
        <v>90</v>
      </c>
      <c r="D3623">
        <v>19</v>
      </c>
      <c r="E3623" t="s">
        <v>33</v>
      </c>
      <c r="F3623" t="s">
        <v>140</v>
      </c>
      <c r="G3623" t="s">
        <v>206</v>
      </c>
      <c r="H3623" t="s">
        <v>27</v>
      </c>
      <c r="I3623">
        <v>23069</v>
      </c>
      <c r="J3623">
        <v>28852</v>
      </c>
    </row>
    <row r="3624" spans="1:10" x14ac:dyDescent="0.3">
      <c r="A3624" t="s">
        <v>3751</v>
      </c>
      <c r="B3624" s="1">
        <v>45931</v>
      </c>
      <c r="C3624" t="s">
        <v>66</v>
      </c>
      <c r="D3624">
        <v>40</v>
      </c>
      <c r="E3624" t="s">
        <v>39</v>
      </c>
      <c r="F3624" t="s">
        <v>13</v>
      </c>
      <c r="G3624" t="s">
        <v>30</v>
      </c>
      <c r="H3624" t="s">
        <v>59</v>
      </c>
      <c r="I3624">
        <v>21207</v>
      </c>
      <c r="J3624">
        <v>17982</v>
      </c>
    </row>
    <row r="3625" spans="1:10" x14ac:dyDescent="0.3">
      <c r="A3625" t="s">
        <v>3752</v>
      </c>
      <c r="B3625" s="1">
        <v>45932</v>
      </c>
      <c r="C3625" t="s">
        <v>66</v>
      </c>
      <c r="D3625">
        <v>40</v>
      </c>
      <c r="E3625" t="s">
        <v>33</v>
      </c>
      <c r="F3625" t="s">
        <v>29</v>
      </c>
      <c r="G3625" t="s">
        <v>230</v>
      </c>
      <c r="H3625" t="s">
        <v>243</v>
      </c>
      <c r="I3625">
        <v>15674</v>
      </c>
      <c r="J3625">
        <v>13476</v>
      </c>
    </row>
    <row r="3626" spans="1:10" x14ac:dyDescent="0.3">
      <c r="A3626" t="s">
        <v>3753</v>
      </c>
      <c r="B3626" s="1">
        <v>45790</v>
      </c>
      <c r="C3626" t="s">
        <v>90</v>
      </c>
      <c r="D3626">
        <v>20</v>
      </c>
      <c r="E3626" t="s">
        <v>24</v>
      </c>
      <c r="F3626" t="s">
        <v>109</v>
      </c>
      <c r="G3626" t="s">
        <v>130</v>
      </c>
      <c r="H3626" t="s">
        <v>116</v>
      </c>
      <c r="I3626">
        <v>26502</v>
      </c>
      <c r="J3626">
        <v>19890</v>
      </c>
    </row>
    <row r="3627" spans="1:10" x14ac:dyDescent="0.3">
      <c r="A3627" t="s">
        <v>3754</v>
      </c>
      <c r="B3627" s="1">
        <v>45865</v>
      </c>
      <c r="C3627" t="s">
        <v>11</v>
      </c>
      <c r="D3627">
        <v>30</v>
      </c>
      <c r="E3627" t="s">
        <v>61</v>
      </c>
      <c r="F3627" t="s">
        <v>50</v>
      </c>
      <c r="G3627" t="s">
        <v>149</v>
      </c>
      <c r="H3627" t="s">
        <v>48</v>
      </c>
      <c r="I3627">
        <v>25748</v>
      </c>
      <c r="J3627">
        <v>22329</v>
      </c>
    </row>
    <row r="3628" spans="1:10" x14ac:dyDescent="0.3">
      <c r="A3628" t="s">
        <v>3755</v>
      </c>
      <c r="B3628" s="1">
        <v>46004</v>
      </c>
      <c r="C3628" t="s">
        <v>100</v>
      </c>
      <c r="D3628">
        <v>50</v>
      </c>
      <c r="E3628" t="s">
        <v>39</v>
      </c>
      <c r="F3628" t="s">
        <v>78</v>
      </c>
      <c r="G3628" t="s">
        <v>35</v>
      </c>
      <c r="H3628" t="s">
        <v>103</v>
      </c>
      <c r="I3628">
        <v>21006</v>
      </c>
      <c r="J3628">
        <v>25296</v>
      </c>
    </row>
    <row r="3629" spans="1:10" x14ac:dyDescent="0.3">
      <c r="A3629" t="s">
        <v>3756</v>
      </c>
      <c r="B3629" s="1">
        <v>45925</v>
      </c>
      <c r="C3629" t="s">
        <v>38</v>
      </c>
      <c r="D3629">
        <v>39</v>
      </c>
      <c r="E3629" t="s">
        <v>24</v>
      </c>
      <c r="F3629" t="s">
        <v>46</v>
      </c>
      <c r="G3629" t="s">
        <v>40</v>
      </c>
      <c r="H3629" t="s">
        <v>243</v>
      </c>
      <c r="I3629">
        <v>29755</v>
      </c>
      <c r="J3629">
        <v>37351</v>
      </c>
    </row>
    <row r="3630" spans="1:10" x14ac:dyDescent="0.3">
      <c r="A3630" t="s">
        <v>3757</v>
      </c>
      <c r="B3630" s="1">
        <v>45808</v>
      </c>
      <c r="C3630" t="s">
        <v>90</v>
      </c>
      <c r="D3630">
        <v>22</v>
      </c>
      <c r="E3630" t="s">
        <v>24</v>
      </c>
      <c r="F3630" t="s">
        <v>29</v>
      </c>
      <c r="G3630" t="s">
        <v>137</v>
      </c>
      <c r="H3630" t="s">
        <v>98</v>
      </c>
      <c r="I3630">
        <v>24548</v>
      </c>
      <c r="J3630">
        <v>17290</v>
      </c>
    </row>
    <row r="3631" spans="1:10" x14ac:dyDescent="0.3">
      <c r="A3631" t="s">
        <v>3758</v>
      </c>
      <c r="B3631" s="1">
        <v>45743</v>
      </c>
      <c r="C3631" t="s">
        <v>95</v>
      </c>
      <c r="D3631">
        <v>13</v>
      </c>
      <c r="E3631" t="s">
        <v>33</v>
      </c>
      <c r="F3631" t="s">
        <v>19</v>
      </c>
      <c r="G3631" t="s">
        <v>135</v>
      </c>
      <c r="H3631" t="s">
        <v>52</v>
      </c>
      <c r="I3631">
        <v>30377</v>
      </c>
      <c r="J3631">
        <v>38765</v>
      </c>
    </row>
    <row r="3632" spans="1:10" x14ac:dyDescent="0.3">
      <c r="A3632" t="s">
        <v>3759</v>
      </c>
      <c r="B3632" s="1">
        <v>45935</v>
      </c>
      <c r="C3632" t="s">
        <v>66</v>
      </c>
      <c r="D3632">
        <v>40</v>
      </c>
      <c r="E3632" t="s">
        <v>39</v>
      </c>
      <c r="F3632" t="s">
        <v>140</v>
      </c>
      <c r="G3632" t="s">
        <v>206</v>
      </c>
      <c r="H3632" t="s">
        <v>80</v>
      </c>
      <c r="I3632">
        <v>39773</v>
      </c>
      <c r="J3632">
        <v>33141</v>
      </c>
    </row>
    <row r="3633" spans="1:10" x14ac:dyDescent="0.3">
      <c r="A3633" t="s">
        <v>3760</v>
      </c>
      <c r="B3633" s="1">
        <v>45935</v>
      </c>
      <c r="C3633" t="s">
        <v>66</v>
      </c>
      <c r="D3633">
        <v>40</v>
      </c>
      <c r="E3633" t="s">
        <v>33</v>
      </c>
      <c r="F3633" t="s">
        <v>29</v>
      </c>
      <c r="G3633" t="s">
        <v>76</v>
      </c>
      <c r="H3633" t="s">
        <v>157</v>
      </c>
      <c r="I3633">
        <v>23061</v>
      </c>
      <c r="J3633">
        <v>19937</v>
      </c>
    </row>
    <row r="3634" spans="1:10" x14ac:dyDescent="0.3">
      <c r="A3634" t="s">
        <v>3761</v>
      </c>
      <c r="B3634" s="1">
        <v>45934</v>
      </c>
      <c r="C3634" t="s">
        <v>66</v>
      </c>
      <c r="D3634">
        <v>40</v>
      </c>
      <c r="E3634" t="s">
        <v>18</v>
      </c>
      <c r="F3634" t="s">
        <v>101</v>
      </c>
      <c r="G3634" t="s">
        <v>83</v>
      </c>
      <c r="H3634" t="s">
        <v>84</v>
      </c>
      <c r="I3634">
        <v>35953</v>
      </c>
      <c r="J3634">
        <v>43899</v>
      </c>
    </row>
    <row r="3635" spans="1:10" x14ac:dyDescent="0.3">
      <c r="A3635" t="s">
        <v>3762</v>
      </c>
      <c r="B3635" s="1">
        <v>45974</v>
      </c>
      <c r="C3635" t="s">
        <v>23</v>
      </c>
      <c r="D3635">
        <v>46</v>
      </c>
      <c r="E3635" t="s">
        <v>39</v>
      </c>
      <c r="F3635" t="s">
        <v>140</v>
      </c>
      <c r="G3635" t="s">
        <v>44</v>
      </c>
      <c r="H3635" t="s">
        <v>21</v>
      </c>
      <c r="I3635">
        <v>29790</v>
      </c>
      <c r="J3635">
        <v>32405</v>
      </c>
    </row>
    <row r="3636" spans="1:10" x14ac:dyDescent="0.3">
      <c r="A3636" t="s">
        <v>3763</v>
      </c>
      <c r="B3636" s="1">
        <v>45767</v>
      </c>
      <c r="C3636" t="s">
        <v>86</v>
      </c>
      <c r="D3636">
        <v>16</v>
      </c>
      <c r="E3636" t="s">
        <v>33</v>
      </c>
      <c r="F3636" t="s">
        <v>25</v>
      </c>
      <c r="G3636" t="s">
        <v>47</v>
      </c>
      <c r="H3636" t="s">
        <v>96</v>
      </c>
      <c r="I3636">
        <v>34927</v>
      </c>
      <c r="J3636">
        <v>25613</v>
      </c>
    </row>
    <row r="3637" spans="1:10" x14ac:dyDescent="0.3">
      <c r="A3637" t="s">
        <v>3764</v>
      </c>
      <c r="B3637" s="1">
        <v>45838</v>
      </c>
      <c r="C3637" t="s">
        <v>74</v>
      </c>
      <c r="D3637">
        <v>27</v>
      </c>
      <c r="E3637" t="s">
        <v>61</v>
      </c>
      <c r="F3637" t="s">
        <v>193</v>
      </c>
      <c r="G3637" t="s">
        <v>171</v>
      </c>
      <c r="H3637" t="s">
        <v>55</v>
      </c>
      <c r="I3637">
        <v>37554</v>
      </c>
      <c r="J3637">
        <v>26397</v>
      </c>
    </row>
    <row r="3638" spans="1:10" x14ac:dyDescent="0.3">
      <c r="A3638" t="s">
        <v>3765</v>
      </c>
      <c r="B3638" s="1">
        <v>45839</v>
      </c>
      <c r="C3638" t="s">
        <v>11</v>
      </c>
      <c r="D3638">
        <v>27</v>
      </c>
      <c r="E3638" t="s">
        <v>33</v>
      </c>
      <c r="F3638" t="s">
        <v>109</v>
      </c>
      <c r="G3638" t="s">
        <v>51</v>
      </c>
      <c r="H3638" t="s">
        <v>151</v>
      </c>
      <c r="I3638">
        <v>29716</v>
      </c>
      <c r="J3638">
        <v>36511</v>
      </c>
    </row>
    <row r="3639" spans="1:10" x14ac:dyDescent="0.3">
      <c r="A3639" t="s">
        <v>3766</v>
      </c>
      <c r="B3639" s="1">
        <v>45844</v>
      </c>
      <c r="C3639" t="s">
        <v>11</v>
      </c>
      <c r="D3639">
        <v>27</v>
      </c>
      <c r="E3639" t="s">
        <v>18</v>
      </c>
      <c r="F3639" t="s">
        <v>109</v>
      </c>
      <c r="G3639" t="s">
        <v>147</v>
      </c>
      <c r="H3639" t="s">
        <v>84</v>
      </c>
      <c r="I3639">
        <v>35747</v>
      </c>
      <c r="J3639">
        <v>33302</v>
      </c>
    </row>
    <row r="3640" spans="1:10" x14ac:dyDescent="0.3">
      <c r="A3640" t="s">
        <v>3767</v>
      </c>
      <c r="B3640" s="1">
        <v>45732</v>
      </c>
      <c r="C3640" t="s">
        <v>95</v>
      </c>
      <c r="D3640">
        <v>11</v>
      </c>
      <c r="E3640" t="s">
        <v>33</v>
      </c>
      <c r="F3640" t="s">
        <v>34</v>
      </c>
      <c r="G3640" t="s">
        <v>206</v>
      </c>
      <c r="H3640" t="s">
        <v>36</v>
      </c>
      <c r="I3640">
        <v>29928</v>
      </c>
      <c r="J3640">
        <v>24629</v>
      </c>
    </row>
    <row r="3641" spans="1:10" x14ac:dyDescent="0.3">
      <c r="A3641" t="s">
        <v>3768</v>
      </c>
      <c r="B3641" s="1">
        <v>45694</v>
      </c>
      <c r="C3641" t="s">
        <v>82</v>
      </c>
      <c r="D3641">
        <v>6</v>
      </c>
      <c r="E3641" t="s">
        <v>70</v>
      </c>
      <c r="F3641" t="s">
        <v>101</v>
      </c>
      <c r="G3641" t="s">
        <v>324</v>
      </c>
      <c r="H3641" t="s">
        <v>119</v>
      </c>
      <c r="I3641">
        <v>21601</v>
      </c>
      <c r="J3641">
        <v>25961</v>
      </c>
    </row>
    <row r="3642" spans="1:10" x14ac:dyDescent="0.3">
      <c r="A3642" t="s">
        <v>3769</v>
      </c>
      <c r="B3642" s="1">
        <v>45731</v>
      </c>
      <c r="C3642" t="s">
        <v>95</v>
      </c>
      <c r="D3642">
        <v>11</v>
      </c>
      <c r="E3642" t="s">
        <v>39</v>
      </c>
      <c r="F3642" t="s">
        <v>46</v>
      </c>
      <c r="G3642" t="s">
        <v>14</v>
      </c>
      <c r="H3642" t="s">
        <v>48</v>
      </c>
      <c r="I3642">
        <v>19851</v>
      </c>
      <c r="J3642">
        <v>14202</v>
      </c>
    </row>
    <row r="3643" spans="1:10" x14ac:dyDescent="0.3">
      <c r="A3643" t="s">
        <v>3770</v>
      </c>
      <c r="B3643" s="1">
        <v>45925</v>
      </c>
      <c r="C3643" t="s">
        <v>38</v>
      </c>
      <c r="D3643">
        <v>39</v>
      </c>
      <c r="E3643" t="s">
        <v>18</v>
      </c>
      <c r="F3643" t="s">
        <v>114</v>
      </c>
      <c r="G3643" t="s">
        <v>76</v>
      </c>
      <c r="H3643" t="s">
        <v>84</v>
      </c>
      <c r="I3643">
        <v>21474</v>
      </c>
      <c r="J3643">
        <v>16880</v>
      </c>
    </row>
    <row r="3644" spans="1:10" x14ac:dyDescent="0.3">
      <c r="A3644" t="s">
        <v>3771</v>
      </c>
      <c r="B3644" s="1">
        <v>45885</v>
      </c>
      <c r="C3644" t="s">
        <v>113</v>
      </c>
      <c r="D3644">
        <v>33</v>
      </c>
      <c r="E3644" t="s">
        <v>61</v>
      </c>
      <c r="F3644" t="s">
        <v>46</v>
      </c>
      <c r="G3644" t="s">
        <v>199</v>
      </c>
      <c r="H3644" t="s">
        <v>155</v>
      </c>
      <c r="I3644">
        <v>23064</v>
      </c>
      <c r="J3644">
        <v>23357</v>
      </c>
    </row>
    <row r="3645" spans="1:10" x14ac:dyDescent="0.3">
      <c r="A3645" t="s">
        <v>3772</v>
      </c>
      <c r="B3645" s="1">
        <v>45862</v>
      </c>
      <c r="C3645" t="s">
        <v>11</v>
      </c>
      <c r="D3645">
        <v>30</v>
      </c>
      <c r="E3645" t="s">
        <v>33</v>
      </c>
      <c r="F3645" t="s">
        <v>43</v>
      </c>
      <c r="G3645" t="s">
        <v>14</v>
      </c>
      <c r="H3645" t="s">
        <v>119</v>
      </c>
      <c r="I3645">
        <v>36180</v>
      </c>
      <c r="J3645">
        <v>42508</v>
      </c>
    </row>
    <row r="3646" spans="1:10" x14ac:dyDescent="0.3">
      <c r="A3646" t="s">
        <v>3773</v>
      </c>
      <c r="B3646" s="1">
        <v>45716</v>
      </c>
      <c r="C3646" t="s">
        <v>82</v>
      </c>
      <c r="D3646">
        <v>9</v>
      </c>
      <c r="E3646" t="s">
        <v>18</v>
      </c>
      <c r="F3646" t="s">
        <v>78</v>
      </c>
      <c r="G3646" t="s">
        <v>149</v>
      </c>
      <c r="H3646" t="s">
        <v>133</v>
      </c>
      <c r="I3646">
        <v>31148</v>
      </c>
      <c r="J3646">
        <v>31299</v>
      </c>
    </row>
    <row r="3647" spans="1:10" x14ac:dyDescent="0.3">
      <c r="A3647" t="s">
        <v>3774</v>
      </c>
      <c r="B3647" s="1">
        <v>45990</v>
      </c>
      <c r="C3647" t="s">
        <v>23</v>
      </c>
      <c r="D3647">
        <v>48</v>
      </c>
      <c r="E3647" t="s">
        <v>18</v>
      </c>
      <c r="F3647" t="s">
        <v>46</v>
      </c>
      <c r="G3647" t="s">
        <v>118</v>
      </c>
      <c r="H3647" t="s">
        <v>103</v>
      </c>
      <c r="I3647">
        <v>16472</v>
      </c>
      <c r="J3647">
        <v>21164</v>
      </c>
    </row>
    <row r="3648" spans="1:10" x14ac:dyDescent="0.3">
      <c r="A3648" t="s">
        <v>3775</v>
      </c>
      <c r="B3648" s="1">
        <v>45931</v>
      </c>
      <c r="C3648" t="s">
        <v>66</v>
      </c>
      <c r="D3648">
        <v>40</v>
      </c>
      <c r="E3648" t="s">
        <v>12</v>
      </c>
      <c r="F3648" t="s">
        <v>75</v>
      </c>
      <c r="G3648" t="s">
        <v>326</v>
      </c>
      <c r="H3648" t="s">
        <v>163</v>
      </c>
      <c r="I3648">
        <v>28922</v>
      </c>
      <c r="J3648">
        <v>21701</v>
      </c>
    </row>
    <row r="3649" spans="1:10" x14ac:dyDescent="0.3">
      <c r="A3649" t="s">
        <v>3776</v>
      </c>
      <c r="B3649" s="1">
        <v>46010</v>
      </c>
      <c r="C3649" t="s">
        <v>100</v>
      </c>
      <c r="D3649">
        <v>51</v>
      </c>
      <c r="E3649" t="s">
        <v>39</v>
      </c>
      <c r="F3649" t="s">
        <v>29</v>
      </c>
      <c r="G3649" t="s">
        <v>58</v>
      </c>
      <c r="H3649" t="s">
        <v>55</v>
      </c>
      <c r="I3649">
        <v>16269</v>
      </c>
      <c r="J3649">
        <v>20623</v>
      </c>
    </row>
    <row r="3650" spans="1:10" x14ac:dyDescent="0.3">
      <c r="A3650" t="s">
        <v>3777</v>
      </c>
      <c r="B3650" s="1">
        <v>45941</v>
      </c>
      <c r="C3650" t="s">
        <v>66</v>
      </c>
      <c r="D3650">
        <v>41</v>
      </c>
      <c r="E3650" t="s">
        <v>39</v>
      </c>
      <c r="F3650" t="s">
        <v>62</v>
      </c>
      <c r="G3650" t="s">
        <v>160</v>
      </c>
      <c r="H3650" t="s">
        <v>21</v>
      </c>
      <c r="I3650">
        <v>34481</v>
      </c>
      <c r="J3650">
        <v>40392</v>
      </c>
    </row>
    <row r="3651" spans="1:10" x14ac:dyDescent="0.3">
      <c r="A3651" t="s">
        <v>3778</v>
      </c>
      <c r="B3651" s="1">
        <v>45864</v>
      </c>
      <c r="C3651" t="s">
        <v>11</v>
      </c>
      <c r="D3651">
        <v>30</v>
      </c>
      <c r="E3651" t="s">
        <v>39</v>
      </c>
      <c r="F3651" t="s">
        <v>50</v>
      </c>
      <c r="G3651" t="s">
        <v>326</v>
      </c>
      <c r="H3651" t="s">
        <v>84</v>
      </c>
      <c r="I3651">
        <v>19843</v>
      </c>
      <c r="J3651">
        <v>14831</v>
      </c>
    </row>
    <row r="3652" spans="1:10" x14ac:dyDescent="0.3">
      <c r="A3652" t="s">
        <v>3779</v>
      </c>
      <c r="B3652" s="1">
        <v>45667</v>
      </c>
      <c r="C3652" t="s">
        <v>17</v>
      </c>
      <c r="D3652">
        <v>2</v>
      </c>
      <c r="E3652" t="s">
        <v>18</v>
      </c>
      <c r="F3652" t="s">
        <v>43</v>
      </c>
      <c r="G3652" t="s">
        <v>130</v>
      </c>
      <c r="H3652" t="s">
        <v>31</v>
      </c>
      <c r="I3652">
        <v>34692</v>
      </c>
      <c r="J3652">
        <v>28935</v>
      </c>
    </row>
    <row r="3653" spans="1:10" x14ac:dyDescent="0.3">
      <c r="A3653" t="s">
        <v>3780</v>
      </c>
      <c r="B3653" s="1">
        <v>45930</v>
      </c>
      <c r="C3653" t="s">
        <v>38</v>
      </c>
      <c r="D3653">
        <v>40</v>
      </c>
      <c r="E3653" t="s">
        <v>70</v>
      </c>
      <c r="F3653" t="s">
        <v>34</v>
      </c>
      <c r="G3653" t="s">
        <v>130</v>
      </c>
      <c r="H3653" t="s">
        <v>123</v>
      </c>
      <c r="I3653">
        <v>33311</v>
      </c>
      <c r="J3653">
        <v>26294</v>
      </c>
    </row>
    <row r="3654" spans="1:10" x14ac:dyDescent="0.3">
      <c r="A3654" t="s">
        <v>3781</v>
      </c>
      <c r="B3654" s="1">
        <v>45688</v>
      </c>
      <c r="C3654" t="s">
        <v>17</v>
      </c>
      <c r="D3654">
        <v>5</v>
      </c>
      <c r="E3654" t="s">
        <v>33</v>
      </c>
      <c r="F3654" t="s">
        <v>193</v>
      </c>
      <c r="G3654" t="s">
        <v>240</v>
      </c>
      <c r="H3654" t="s">
        <v>188</v>
      </c>
      <c r="I3654">
        <v>26087</v>
      </c>
      <c r="J3654">
        <v>26137</v>
      </c>
    </row>
    <row r="3655" spans="1:10" x14ac:dyDescent="0.3">
      <c r="A3655" t="s">
        <v>3782</v>
      </c>
      <c r="B3655" s="1">
        <v>46012</v>
      </c>
      <c r="C3655" t="s">
        <v>100</v>
      </c>
      <c r="D3655">
        <v>51</v>
      </c>
      <c r="E3655" t="s">
        <v>33</v>
      </c>
      <c r="F3655" t="s">
        <v>122</v>
      </c>
      <c r="G3655" t="s">
        <v>137</v>
      </c>
      <c r="H3655" t="s">
        <v>165</v>
      </c>
      <c r="I3655">
        <v>18366</v>
      </c>
      <c r="J3655">
        <v>15478</v>
      </c>
    </row>
    <row r="3656" spans="1:10" x14ac:dyDescent="0.3">
      <c r="A3656" t="s">
        <v>3783</v>
      </c>
      <c r="B3656" s="1">
        <v>45660</v>
      </c>
      <c r="C3656" t="s">
        <v>17</v>
      </c>
      <c r="D3656">
        <v>1</v>
      </c>
      <c r="E3656" t="s">
        <v>18</v>
      </c>
      <c r="F3656" t="s">
        <v>13</v>
      </c>
      <c r="G3656" t="s">
        <v>141</v>
      </c>
      <c r="H3656" t="s">
        <v>211</v>
      </c>
      <c r="I3656">
        <v>19683</v>
      </c>
      <c r="J3656">
        <v>19869</v>
      </c>
    </row>
    <row r="3657" spans="1:10" x14ac:dyDescent="0.3">
      <c r="A3657" t="s">
        <v>3784</v>
      </c>
      <c r="B3657" s="1">
        <v>45685</v>
      </c>
      <c r="C3657" t="s">
        <v>17</v>
      </c>
      <c r="D3657">
        <v>5</v>
      </c>
      <c r="E3657" t="s">
        <v>39</v>
      </c>
      <c r="F3657" t="s">
        <v>50</v>
      </c>
      <c r="G3657" t="s">
        <v>147</v>
      </c>
      <c r="H3657" t="s">
        <v>21</v>
      </c>
      <c r="I3657">
        <v>26457</v>
      </c>
      <c r="J3657">
        <v>23811</v>
      </c>
    </row>
    <row r="3658" spans="1:10" x14ac:dyDescent="0.3">
      <c r="A3658" t="s">
        <v>3785</v>
      </c>
      <c r="B3658" s="1">
        <v>45742</v>
      </c>
      <c r="C3658" t="s">
        <v>95</v>
      </c>
      <c r="D3658">
        <v>13</v>
      </c>
      <c r="E3658" t="s">
        <v>70</v>
      </c>
      <c r="F3658" t="s">
        <v>92</v>
      </c>
      <c r="G3658" t="s">
        <v>201</v>
      </c>
      <c r="H3658" t="s">
        <v>80</v>
      </c>
      <c r="I3658">
        <v>19033</v>
      </c>
      <c r="J3658">
        <v>14016</v>
      </c>
    </row>
    <row r="3659" spans="1:10" x14ac:dyDescent="0.3">
      <c r="A3659" t="s">
        <v>3786</v>
      </c>
      <c r="B3659" s="1">
        <v>45695</v>
      </c>
      <c r="C3659" t="s">
        <v>82</v>
      </c>
      <c r="D3659">
        <v>6</v>
      </c>
      <c r="E3659" t="s">
        <v>70</v>
      </c>
      <c r="F3659" t="s">
        <v>87</v>
      </c>
      <c r="G3659" t="s">
        <v>88</v>
      </c>
      <c r="H3659" t="s">
        <v>68</v>
      </c>
      <c r="I3659">
        <v>29743</v>
      </c>
      <c r="J3659">
        <v>33384</v>
      </c>
    </row>
    <row r="3660" spans="1:10" x14ac:dyDescent="0.3">
      <c r="A3660" t="s">
        <v>3787</v>
      </c>
      <c r="B3660" s="1">
        <v>45974</v>
      </c>
      <c r="C3660" t="s">
        <v>23</v>
      </c>
      <c r="D3660">
        <v>46</v>
      </c>
      <c r="E3660" t="s">
        <v>18</v>
      </c>
      <c r="F3660" t="s">
        <v>43</v>
      </c>
      <c r="G3660" t="s">
        <v>107</v>
      </c>
      <c r="H3660" t="s">
        <v>27</v>
      </c>
      <c r="I3660">
        <v>18952</v>
      </c>
      <c r="J3660">
        <v>24474</v>
      </c>
    </row>
    <row r="3661" spans="1:10" x14ac:dyDescent="0.3">
      <c r="A3661" t="s">
        <v>3788</v>
      </c>
      <c r="B3661" s="1">
        <v>45848</v>
      </c>
      <c r="C3661" t="s">
        <v>11</v>
      </c>
      <c r="D3661">
        <v>28</v>
      </c>
      <c r="E3661" t="s">
        <v>18</v>
      </c>
      <c r="F3661" t="s">
        <v>109</v>
      </c>
      <c r="G3661" t="s">
        <v>93</v>
      </c>
      <c r="H3661" t="s">
        <v>31</v>
      </c>
      <c r="I3661">
        <v>22755</v>
      </c>
      <c r="J3661">
        <v>27883</v>
      </c>
    </row>
    <row r="3662" spans="1:10" x14ac:dyDescent="0.3">
      <c r="A3662" t="s">
        <v>3789</v>
      </c>
      <c r="B3662" s="1">
        <v>45771</v>
      </c>
      <c r="C3662" t="s">
        <v>86</v>
      </c>
      <c r="D3662">
        <v>17</v>
      </c>
      <c r="E3662" t="s">
        <v>61</v>
      </c>
      <c r="F3662" t="s">
        <v>122</v>
      </c>
      <c r="G3662" t="s">
        <v>63</v>
      </c>
      <c r="H3662" t="s">
        <v>116</v>
      </c>
      <c r="I3662">
        <v>24086</v>
      </c>
      <c r="J3662">
        <v>19854</v>
      </c>
    </row>
    <row r="3663" spans="1:10" x14ac:dyDescent="0.3">
      <c r="A3663" t="s">
        <v>3790</v>
      </c>
      <c r="B3663" s="1">
        <v>45867</v>
      </c>
      <c r="C3663" t="s">
        <v>11</v>
      </c>
      <c r="D3663">
        <v>31</v>
      </c>
      <c r="E3663" t="s">
        <v>24</v>
      </c>
      <c r="F3663" t="s">
        <v>114</v>
      </c>
      <c r="G3663" t="s">
        <v>145</v>
      </c>
      <c r="H3663" t="s">
        <v>211</v>
      </c>
      <c r="I3663">
        <v>38613</v>
      </c>
      <c r="J3663">
        <v>46018</v>
      </c>
    </row>
    <row r="3664" spans="1:10" x14ac:dyDescent="0.3">
      <c r="A3664" t="s">
        <v>3791</v>
      </c>
      <c r="B3664" s="1">
        <v>45687</v>
      </c>
      <c r="C3664" t="s">
        <v>17</v>
      </c>
      <c r="D3664">
        <v>5</v>
      </c>
      <c r="E3664" t="s">
        <v>70</v>
      </c>
      <c r="F3664" t="s">
        <v>140</v>
      </c>
      <c r="G3664" t="s">
        <v>35</v>
      </c>
      <c r="H3664" t="s">
        <v>157</v>
      </c>
      <c r="I3664">
        <v>24331</v>
      </c>
      <c r="J3664">
        <v>28825</v>
      </c>
    </row>
    <row r="3665" spans="1:10" x14ac:dyDescent="0.3">
      <c r="A3665" t="s">
        <v>3792</v>
      </c>
      <c r="B3665" s="1">
        <v>45709</v>
      </c>
      <c r="C3665" t="s">
        <v>82</v>
      </c>
      <c r="D3665">
        <v>8</v>
      </c>
      <c r="E3665" t="s">
        <v>12</v>
      </c>
      <c r="F3665" t="s">
        <v>78</v>
      </c>
      <c r="G3665" t="s">
        <v>266</v>
      </c>
      <c r="H3665" t="s">
        <v>84</v>
      </c>
      <c r="I3665">
        <v>25529</v>
      </c>
      <c r="J3665">
        <v>27313</v>
      </c>
    </row>
    <row r="3666" spans="1:10" x14ac:dyDescent="0.3">
      <c r="A3666" t="s">
        <v>3793</v>
      </c>
      <c r="B3666" s="1">
        <v>45986</v>
      </c>
      <c r="C3666" t="s">
        <v>23</v>
      </c>
      <c r="D3666">
        <v>48</v>
      </c>
      <c r="E3666" t="s">
        <v>18</v>
      </c>
      <c r="F3666" t="s">
        <v>19</v>
      </c>
      <c r="G3666" t="s">
        <v>79</v>
      </c>
      <c r="H3666" t="s">
        <v>116</v>
      </c>
      <c r="I3666">
        <v>24301</v>
      </c>
      <c r="J3666">
        <v>21306</v>
      </c>
    </row>
    <row r="3667" spans="1:10" x14ac:dyDescent="0.3">
      <c r="A3667" t="s">
        <v>3794</v>
      </c>
      <c r="B3667" s="1">
        <v>45711</v>
      </c>
      <c r="C3667" t="s">
        <v>82</v>
      </c>
      <c r="D3667">
        <v>8</v>
      </c>
      <c r="E3667" t="s">
        <v>33</v>
      </c>
      <c r="F3667" t="s">
        <v>75</v>
      </c>
      <c r="G3667" t="s">
        <v>130</v>
      </c>
      <c r="H3667" t="s">
        <v>27</v>
      </c>
      <c r="I3667">
        <v>31295</v>
      </c>
      <c r="J3667">
        <v>23552</v>
      </c>
    </row>
    <row r="3668" spans="1:10" x14ac:dyDescent="0.3">
      <c r="A3668" t="s">
        <v>3795</v>
      </c>
      <c r="B3668" s="1">
        <v>45860</v>
      </c>
      <c r="C3668" t="s">
        <v>11</v>
      </c>
      <c r="D3668">
        <v>30</v>
      </c>
      <c r="E3668" t="s">
        <v>39</v>
      </c>
      <c r="F3668" t="s">
        <v>13</v>
      </c>
      <c r="G3668" t="s">
        <v>115</v>
      </c>
      <c r="H3668" t="s">
        <v>27</v>
      </c>
      <c r="I3668">
        <v>15308</v>
      </c>
      <c r="J3668">
        <v>11245</v>
      </c>
    </row>
    <row r="3669" spans="1:10" x14ac:dyDescent="0.3">
      <c r="A3669" t="s">
        <v>3796</v>
      </c>
      <c r="B3669" s="1">
        <v>45874</v>
      </c>
      <c r="C3669" t="s">
        <v>113</v>
      </c>
      <c r="D3669">
        <v>32</v>
      </c>
      <c r="E3669" t="s">
        <v>24</v>
      </c>
      <c r="F3669" t="s">
        <v>13</v>
      </c>
      <c r="G3669" t="s">
        <v>14</v>
      </c>
      <c r="H3669" t="s">
        <v>84</v>
      </c>
      <c r="I3669">
        <v>32315</v>
      </c>
      <c r="J3669">
        <v>39870</v>
      </c>
    </row>
    <row r="3670" spans="1:10" x14ac:dyDescent="0.3">
      <c r="A3670" t="s">
        <v>3797</v>
      </c>
      <c r="B3670" s="1">
        <v>45888</v>
      </c>
      <c r="C3670" t="s">
        <v>113</v>
      </c>
      <c r="D3670">
        <v>34</v>
      </c>
      <c r="E3670" t="s">
        <v>70</v>
      </c>
      <c r="F3670" t="s">
        <v>57</v>
      </c>
      <c r="G3670" t="s">
        <v>240</v>
      </c>
      <c r="H3670" t="s">
        <v>111</v>
      </c>
      <c r="I3670">
        <v>39748</v>
      </c>
      <c r="J3670">
        <v>47176</v>
      </c>
    </row>
    <row r="3671" spans="1:10" x14ac:dyDescent="0.3">
      <c r="A3671" t="s">
        <v>3798</v>
      </c>
      <c r="B3671" s="1">
        <v>45819</v>
      </c>
      <c r="C3671" t="s">
        <v>74</v>
      </c>
      <c r="D3671">
        <v>24</v>
      </c>
      <c r="E3671" t="s">
        <v>39</v>
      </c>
      <c r="F3671" t="s">
        <v>62</v>
      </c>
      <c r="G3671" t="s">
        <v>88</v>
      </c>
      <c r="H3671" t="s">
        <v>133</v>
      </c>
      <c r="I3671">
        <v>19480</v>
      </c>
      <c r="J3671">
        <v>23187</v>
      </c>
    </row>
    <row r="3672" spans="1:10" x14ac:dyDescent="0.3">
      <c r="A3672" t="s">
        <v>3799</v>
      </c>
      <c r="B3672" s="1">
        <v>45883</v>
      </c>
      <c r="C3672" t="s">
        <v>113</v>
      </c>
      <c r="D3672">
        <v>33</v>
      </c>
      <c r="E3672" t="s">
        <v>33</v>
      </c>
      <c r="F3672" t="s">
        <v>46</v>
      </c>
      <c r="G3672" t="s">
        <v>26</v>
      </c>
      <c r="H3672" t="s">
        <v>96</v>
      </c>
      <c r="I3672">
        <v>23684</v>
      </c>
      <c r="J3672">
        <v>24613</v>
      </c>
    </row>
    <row r="3673" spans="1:10" x14ac:dyDescent="0.3">
      <c r="A3673" t="s">
        <v>3800</v>
      </c>
      <c r="B3673" s="1">
        <v>45942</v>
      </c>
      <c r="C3673" t="s">
        <v>66</v>
      </c>
      <c r="D3673">
        <v>41</v>
      </c>
      <c r="E3673" t="s">
        <v>70</v>
      </c>
      <c r="F3673" t="s">
        <v>50</v>
      </c>
      <c r="G3673" t="s">
        <v>145</v>
      </c>
      <c r="H3673" t="s">
        <v>133</v>
      </c>
      <c r="I3673">
        <v>27261</v>
      </c>
      <c r="J3673">
        <v>29079</v>
      </c>
    </row>
    <row r="3674" spans="1:10" x14ac:dyDescent="0.3">
      <c r="A3674" t="s">
        <v>3801</v>
      </c>
      <c r="B3674" s="1">
        <v>45908</v>
      </c>
      <c r="C3674" t="s">
        <v>38</v>
      </c>
      <c r="D3674">
        <v>37</v>
      </c>
      <c r="E3674" t="s">
        <v>61</v>
      </c>
      <c r="F3674" t="s">
        <v>87</v>
      </c>
      <c r="G3674" t="s">
        <v>72</v>
      </c>
      <c r="H3674" t="s">
        <v>98</v>
      </c>
      <c r="I3674">
        <v>19526</v>
      </c>
      <c r="J3674">
        <v>20207</v>
      </c>
    </row>
    <row r="3675" spans="1:10" x14ac:dyDescent="0.3">
      <c r="A3675" t="s">
        <v>3802</v>
      </c>
      <c r="B3675" s="1">
        <v>45937</v>
      </c>
      <c r="C3675" t="s">
        <v>66</v>
      </c>
      <c r="D3675">
        <v>41</v>
      </c>
      <c r="E3675" t="s">
        <v>70</v>
      </c>
      <c r="F3675" t="s">
        <v>122</v>
      </c>
      <c r="G3675" t="s">
        <v>40</v>
      </c>
      <c r="H3675" t="s">
        <v>151</v>
      </c>
      <c r="I3675">
        <v>26012</v>
      </c>
      <c r="J3675">
        <v>30503</v>
      </c>
    </row>
    <row r="3676" spans="1:10" x14ac:dyDescent="0.3">
      <c r="A3676" t="s">
        <v>3803</v>
      </c>
      <c r="B3676" s="1">
        <v>45698</v>
      </c>
      <c r="C3676" t="s">
        <v>82</v>
      </c>
      <c r="D3676">
        <v>7</v>
      </c>
      <c r="E3676" t="s">
        <v>39</v>
      </c>
      <c r="F3676" t="s">
        <v>46</v>
      </c>
      <c r="G3676" t="s">
        <v>147</v>
      </c>
      <c r="H3676" t="s">
        <v>41</v>
      </c>
      <c r="I3676">
        <v>16262</v>
      </c>
      <c r="J3676">
        <v>20489</v>
      </c>
    </row>
    <row r="3677" spans="1:10" x14ac:dyDescent="0.3">
      <c r="A3677" t="s">
        <v>3804</v>
      </c>
      <c r="B3677" s="1">
        <v>45926</v>
      </c>
      <c r="C3677" t="s">
        <v>38</v>
      </c>
      <c r="D3677">
        <v>39</v>
      </c>
      <c r="E3677" t="s">
        <v>18</v>
      </c>
      <c r="F3677" t="s">
        <v>19</v>
      </c>
      <c r="G3677" t="s">
        <v>137</v>
      </c>
      <c r="H3677" t="s">
        <v>155</v>
      </c>
      <c r="I3677">
        <v>25854</v>
      </c>
      <c r="J3677">
        <v>26721</v>
      </c>
    </row>
    <row r="3678" spans="1:10" x14ac:dyDescent="0.3">
      <c r="A3678" t="s">
        <v>3805</v>
      </c>
      <c r="B3678" s="1">
        <v>45902</v>
      </c>
      <c r="C3678" t="s">
        <v>38</v>
      </c>
      <c r="D3678">
        <v>36</v>
      </c>
      <c r="E3678" t="s">
        <v>24</v>
      </c>
      <c r="F3678" t="s">
        <v>34</v>
      </c>
      <c r="G3678" t="s">
        <v>224</v>
      </c>
      <c r="H3678" t="s">
        <v>64</v>
      </c>
      <c r="I3678">
        <v>22948</v>
      </c>
      <c r="J3678">
        <v>25285</v>
      </c>
    </row>
    <row r="3679" spans="1:10" x14ac:dyDescent="0.3">
      <c r="A3679" t="s">
        <v>3806</v>
      </c>
      <c r="B3679" s="1">
        <v>45953</v>
      </c>
      <c r="C3679" t="s">
        <v>66</v>
      </c>
      <c r="D3679">
        <v>43</v>
      </c>
      <c r="E3679" t="s">
        <v>33</v>
      </c>
      <c r="F3679" t="s">
        <v>78</v>
      </c>
      <c r="G3679" t="s">
        <v>88</v>
      </c>
      <c r="H3679" t="s">
        <v>59</v>
      </c>
      <c r="I3679">
        <v>30697</v>
      </c>
      <c r="J3679">
        <v>39673</v>
      </c>
    </row>
    <row r="3680" spans="1:10" x14ac:dyDescent="0.3">
      <c r="A3680" t="s">
        <v>3807</v>
      </c>
      <c r="B3680" s="1">
        <v>45836</v>
      </c>
      <c r="C3680" t="s">
        <v>74</v>
      </c>
      <c r="D3680">
        <v>26</v>
      </c>
      <c r="E3680" t="s">
        <v>70</v>
      </c>
      <c r="F3680" t="s">
        <v>13</v>
      </c>
      <c r="G3680" t="s">
        <v>110</v>
      </c>
      <c r="H3680" t="s">
        <v>21</v>
      </c>
      <c r="I3680">
        <v>20802</v>
      </c>
      <c r="J3680">
        <v>18917</v>
      </c>
    </row>
    <row r="3681" spans="1:10" x14ac:dyDescent="0.3">
      <c r="A3681" t="s">
        <v>3808</v>
      </c>
      <c r="B3681" s="1">
        <v>45947</v>
      </c>
      <c r="C3681" t="s">
        <v>66</v>
      </c>
      <c r="D3681">
        <v>42</v>
      </c>
      <c r="E3681" t="s">
        <v>18</v>
      </c>
      <c r="F3681" t="s">
        <v>43</v>
      </c>
      <c r="G3681" t="s">
        <v>102</v>
      </c>
      <c r="H3681" t="s">
        <v>163</v>
      </c>
      <c r="I3681">
        <v>36257</v>
      </c>
      <c r="J3681">
        <v>38983</v>
      </c>
    </row>
    <row r="3682" spans="1:10" x14ac:dyDescent="0.3">
      <c r="A3682" t="s">
        <v>3809</v>
      </c>
      <c r="B3682" s="1">
        <v>45815</v>
      </c>
      <c r="C3682" t="s">
        <v>74</v>
      </c>
      <c r="D3682">
        <v>23</v>
      </c>
      <c r="E3682" t="s">
        <v>18</v>
      </c>
      <c r="F3682" t="s">
        <v>62</v>
      </c>
      <c r="G3682" t="s">
        <v>206</v>
      </c>
      <c r="H3682" t="s">
        <v>103</v>
      </c>
      <c r="I3682">
        <v>18299</v>
      </c>
      <c r="J3682">
        <v>21222</v>
      </c>
    </row>
    <row r="3683" spans="1:10" x14ac:dyDescent="0.3">
      <c r="A3683" t="s">
        <v>3810</v>
      </c>
      <c r="B3683" s="1">
        <v>45982</v>
      </c>
      <c r="C3683" t="s">
        <v>23</v>
      </c>
      <c r="D3683">
        <v>47</v>
      </c>
      <c r="E3683" t="s">
        <v>39</v>
      </c>
      <c r="F3683" t="s">
        <v>43</v>
      </c>
      <c r="G3683" t="s">
        <v>40</v>
      </c>
      <c r="H3683" t="s">
        <v>123</v>
      </c>
      <c r="I3683">
        <v>28067</v>
      </c>
      <c r="J3683">
        <v>32781</v>
      </c>
    </row>
    <row r="3684" spans="1:10" x14ac:dyDescent="0.3">
      <c r="A3684" t="s">
        <v>3811</v>
      </c>
      <c r="B3684" s="1">
        <v>45740</v>
      </c>
      <c r="C3684" t="s">
        <v>95</v>
      </c>
      <c r="D3684">
        <v>13</v>
      </c>
      <c r="E3684" t="s">
        <v>70</v>
      </c>
      <c r="F3684" t="s">
        <v>87</v>
      </c>
      <c r="G3684" t="s">
        <v>63</v>
      </c>
      <c r="H3684" t="s">
        <v>103</v>
      </c>
      <c r="I3684">
        <v>39647</v>
      </c>
      <c r="J3684">
        <v>30529</v>
      </c>
    </row>
    <row r="3685" spans="1:10" x14ac:dyDescent="0.3">
      <c r="A3685" t="s">
        <v>3812</v>
      </c>
      <c r="B3685" s="1">
        <v>46003</v>
      </c>
      <c r="C3685" t="s">
        <v>100</v>
      </c>
      <c r="D3685">
        <v>50</v>
      </c>
      <c r="E3685" t="s">
        <v>61</v>
      </c>
      <c r="F3685" t="s">
        <v>19</v>
      </c>
      <c r="G3685" t="s">
        <v>118</v>
      </c>
      <c r="H3685" t="s">
        <v>98</v>
      </c>
      <c r="I3685">
        <v>15168</v>
      </c>
      <c r="J3685">
        <v>17386</v>
      </c>
    </row>
    <row r="3686" spans="1:10" x14ac:dyDescent="0.3">
      <c r="A3686" t="s">
        <v>3813</v>
      </c>
      <c r="B3686" s="1">
        <v>45852</v>
      </c>
      <c r="C3686" t="s">
        <v>11</v>
      </c>
      <c r="D3686">
        <v>29</v>
      </c>
      <c r="E3686" t="s">
        <v>61</v>
      </c>
      <c r="F3686" t="s">
        <v>34</v>
      </c>
      <c r="G3686" t="s">
        <v>26</v>
      </c>
      <c r="H3686" t="s">
        <v>163</v>
      </c>
      <c r="I3686">
        <v>23787</v>
      </c>
      <c r="J3686">
        <v>25477</v>
      </c>
    </row>
    <row r="3687" spans="1:10" x14ac:dyDescent="0.3">
      <c r="A3687" t="s">
        <v>3814</v>
      </c>
      <c r="B3687" s="1">
        <v>45850</v>
      </c>
      <c r="C3687" t="s">
        <v>11</v>
      </c>
      <c r="D3687">
        <v>28</v>
      </c>
      <c r="E3687" t="s">
        <v>18</v>
      </c>
      <c r="F3687" t="s">
        <v>19</v>
      </c>
      <c r="G3687" t="s">
        <v>326</v>
      </c>
      <c r="H3687" t="s">
        <v>123</v>
      </c>
      <c r="I3687">
        <v>24378</v>
      </c>
      <c r="J3687">
        <v>28539</v>
      </c>
    </row>
    <row r="3688" spans="1:10" x14ac:dyDescent="0.3">
      <c r="A3688" t="s">
        <v>3815</v>
      </c>
      <c r="B3688" s="1">
        <v>45843</v>
      </c>
      <c r="C3688" t="s">
        <v>11</v>
      </c>
      <c r="D3688">
        <v>27</v>
      </c>
      <c r="E3688" t="s">
        <v>12</v>
      </c>
      <c r="F3688" t="s">
        <v>193</v>
      </c>
      <c r="G3688" t="s">
        <v>191</v>
      </c>
      <c r="H3688" t="s">
        <v>116</v>
      </c>
      <c r="I3688">
        <v>33194</v>
      </c>
      <c r="J3688">
        <v>28432</v>
      </c>
    </row>
    <row r="3689" spans="1:10" x14ac:dyDescent="0.3">
      <c r="A3689" t="s">
        <v>3816</v>
      </c>
      <c r="B3689" s="1">
        <v>45889</v>
      </c>
      <c r="C3689" t="s">
        <v>113</v>
      </c>
      <c r="D3689">
        <v>34</v>
      </c>
      <c r="E3689" t="s">
        <v>39</v>
      </c>
      <c r="F3689" t="s">
        <v>101</v>
      </c>
      <c r="G3689" t="s">
        <v>20</v>
      </c>
      <c r="H3689" t="s">
        <v>36</v>
      </c>
      <c r="I3689">
        <v>16738</v>
      </c>
      <c r="J3689">
        <v>21728</v>
      </c>
    </row>
    <row r="3690" spans="1:10" x14ac:dyDescent="0.3">
      <c r="A3690" t="s">
        <v>3817</v>
      </c>
      <c r="B3690" s="1">
        <v>45921</v>
      </c>
      <c r="C3690" t="s">
        <v>38</v>
      </c>
      <c r="D3690">
        <v>38</v>
      </c>
      <c r="E3690" t="s">
        <v>61</v>
      </c>
      <c r="F3690" t="s">
        <v>46</v>
      </c>
      <c r="G3690" t="s">
        <v>253</v>
      </c>
      <c r="H3690" t="s">
        <v>111</v>
      </c>
      <c r="I3690">
        <v>38722</v>
      </c>
      <c r="J3690">
        <v>38348</v>
      </c>
    </row>
    <row r="3691" spans="1:10" x14ac:dyDescent="0.3">
      <c r="A3691" t="s">
        <v>3818</v>
      </c>
      <c r="B3691" s="1">
        <v>45975</v>
      </c>
      <c r="C3691" t="s">
        <v>23</v>
      </c>
      <c r="D3691">
        <v>46</v>
      </c>
      <c r="E3691" t="s">
        <v>24</v>
      </c>
      <c r="F3691" t="s">
        <v>19</v>
      </c>
      <c r="G3691" t="s">
        <v>130</v>
      </c>
      <c r="H3691" t="s">
        <v>157</v>
      </c>
      <c r="I3691">
        <v>38446</v>
      </c>
      <c r="J3691">
        <v>29533</v>
      </c>
    </row>
    <row r="3692" spans="1:10" x14ac:dyDescent="0.3">
      <c r="A3692" t="s">
        <v>3819</v>
      </c>
      <c r="B3692" s="1">
        <v>45863</v>
      </c>
      <c r="C3692" t="s">
        <v>11</v>
      </c>
      <c r="D3692">
        <v>30</v>
      </c>
      <c r="E3692" t="s">
        <v>18</v>
      </c>
      <c r="F3692" t="s">
        <v>109</v>
      </c>
      <c r="G3692" t="s">
        <v>326</v>
      </c>
      <c r="H3692" t="s">
        <v>41</v>
      </c>
      <c r="I3692">
        <v>35699</v>
      </c>
      <c r="J3692">
        <v>30075</v>
      </c>
    </row>
    <row r="3693" spans="1:10" x14ac:dyDescent="0.3">
      <c r="A3693" t="s">
        <v>3820</v>
      </c>
      <c r="B3693" s="1">
        <v>45989</v>
      </c>
      <c r="C3693" t="s">
        <v>23</v>
      </c>
      <c r="D3693">
        <v>48</v>
      </c>
      <c r="E3693" t="s">
        <v>39</v>
      </c>
      <c r="F3693" t="s">
        <v>78</v>
      </c>
      <c r="G3693" t="s">
        <v>102</v>
      </c>
      <c r="H3693" t="s">
        <v>165</v>
      </c>
      <c r="I3693">
        <v>20290</v>
      </c>
      <c r="J3693">
        <v>15489</v>
      </c>
    </row>
    <row r="3694" spans="1:10" x14ac:dyDescent="0.3">
      <c r="A3694" t="s">
        <v>3821</v>
      </c>
      <c r="B3694" s="1">
        <v>45885</v>
      </c>
      <c r="C3694" t="s">
        <v>113</v>
      </c>
      <c r="D3694">
        <v>33</v>
      </c>
      <c r="E3694" t="s">
        <v>70</v>
      </c>
      <c r="F3694" t="s">
        <v>57</v>
      </c>
      <c r="G3694" t="s">
        <v>324</v>
      </c>
      <c r="H3694" t="s">
        <v>55</v>
      </c>
      <c r="I3694">
        <v>36239</v>
      </c>
      <c r="J3694">
        <v>38366</v>
      </c>
    </row>
    <row r="3695" spans="1:10" x14ac:dyDescent="0.3">
      <c r="A3695" t="s">
        <v>3822</v>
      </c>
      <c r="B3695" s="1">
        <v>45998</v>
      </c>
      <c r="C3695" t="s">
        <v>100</v>
      </c>
      <c r="D3695">
        <v>49</v>
      </c>
      <c r="E3695" t="s">
        <v>39</v>
      </c>
      <c r="F3695" t="s">
        <v>34</v>
      </c>
      <c r="G3695" t="s">
        <v>58</v>
      </c>
      <c r="H3695" t="s">
        <v>211</v>
      </c>
      <c r="I3695">
        <v>21879</v>
      </c>
      <c r="J3695">
        <v>23163</v>
      </c>
    </row>
    <row r="3696" spans="1:10" x14ac:dyDescent="0.3">
      <c r="A3696" t="s">
        <v>3823</v>
      </c>
      <c r="B3696" s="1">
        <v>45824</v>
      </c>
      <c r="C3696" t="s">
        <v>74</v>
      </c>
      <c r="D3696">
        <v>25</v>
      </c>
      <c r="E3696" t="s">
        <v>70</v>
      </c>
      <c r="F3696" t="s">
        <v>78</v>
      </c>
      <c r="G3696" t="s">
        <v>30</v>
      </c>
      <c r="H3696" t="s">
        <v>15</v>
      </c>
      <c r="I3696">
        <v>31419</v>
      </c>
      <c r="J3696">
        <v>39059</v>
      </c>
    </row>
    <row r="3697" spans="1:10" x14ac:dyDescent="0.3">
      <c r="A3697" t="s">
        <v>3824</v>
      </c>
      <c r="B3697" s="1">
        <v>45995</v>
      </c>
      <c r="C3697" t="s">
        <v>100</v>
      </c>
      <c r="D3697">
        <v>49</v>
      </c>
      <c r="E3697" t="s">
        <v>39</v>
      </c>
      <c r="F3697" t="s">
        <v>25</v>
      </c>
      <c r="G3697" t="s">
        <v>141</v>
      </c>
      <c r="H3697" t="s">
        <v>151</v>
      </c>
      <c r="I3697">
        <v>37393</v>
      </c>
      <c r="J3697">
        <v>27961</v>
      </c>
    </row>
    <row r="3698" spans="1:10" x14ac:dyDescent="0.3">
      <c r="A3698" t="s">
        <v>3825</v>
      </c>
      <c r="B3698" s="1">
        <v>45961</v>
      </c>
      <c r="C3698" t="s">
        <v>66</v>
      </c>
      <c r="D3698">
        <v>44</v>
      </c>
      <c r="E3698" t="s">
        <v>12</v>
      </c>
      <c r="F3698" t="s">
        <v>62</v>
      </c>
      <c r="G3698" t="s">
        <v>30</v>
      </c>
      <c r="H3698" t="s">
        <v>163</v>
      </c>
      <c r="I3698">
        <v>19209</v>
      </c>
      <c r="J3698">
        <v>18152</v>
      </c>
    </row>
    <row r="3699" spans="1:10" x14ac:dyDescent="0.3">
      <c r="A3699" t="s">
        <v>3826</v>
      </c>
      <c r="B3699" s="1">
        <v>45723</v>
      </c>
      <c r="C3699" t="s">
        <v>95</v>
      </c>
      <c r="D3699">
        <v>10</v>
      </c>
      <c r="E3699" t="s">
        <v>33</v>
      </c>
      <c r="F3699" t="s">
        <v>57</v>
      </c>
      <c r="G3699" t="s">
        <v>132</v>
      </c>
      <c r="H3699" t="s">
        <v>103</v>
      </c>
      <c r="I3699">
        <v>36725</v>
      </c>
      <c r="J3699">
        <v>28570</v>
      </c>
    </row>
    <row r="3700" spans="1:10" x14ac:dyDescent="0.3">
      <c r="A3700" t="s">
        <v>3827</v>
      </c>
      <c r="B3700" s="1">
        <v>45862</v>
      </c>
      <c r="C3700" t="s">
        <v>11</v>
      </c>
      <c r="D3700">
        <v>30</v>
      </c>
      <c r="E3700" t="s">
        <v>61</v>
      </c>
      <c r="F3700" t="s">
        <v>29</v>
      </c>
      <c r="G3700" t="s">
        <v>35</v>
      </c>
      <c r="H3700" t="s">
        <v>80</v>
      </c>
      <c r="I3700">
        <v>29151</v>
      </c>
      <c r="J3700">
        <v>23064</v>
      </c>
    </row>
    <row r="3701" spans="1:10" x14ac:dyDescent="0.3">
      <c r="A3701" t="s">
        <v>3828</v>
      </c>
      <c r="B3701" s="1">
        <v>45941</v>
      </c>
      <c r="C3701" t="s">
        <v>66</v>
      </c>
      <c r="D3701">
        <v>41</v>
      </c>
      <c r="E3701" t="s">
        <v>70</v>
      </c>
      <c r="F3701" t="s">
        <v>34</v>
      </c>
      <c r="G3701" t="s">
        <v>20</v>
      </c>
      <c r="H3701" t="s">
        <v>98</v>
      </c>
      <c r="I3701">
        <v>24896</v>
      </c>
      <c r="J3701">
        <v>18645</v>
      </c>
    </row>
    <row r="3702" spans="1:10" x14ac:dyDescent="0.3">
      <c r="A3702" t="s">
        <v>3829</v>
      </c>
      <c r="B3702" s="1">
        <v>45918</v>
      </c>
      <c r="C3702" t="s">
        <v>38</v>
      </c>
      <c r="D3702">
        <v>38</v>
      </c>
      <c r="E3702" t="s">
        <v>18</v>
      </c>
      <c r="F3702" t="s">
        <v>87</v>
      </c>
      <c r="G3702" t="s">
        <v>47</v>
      </c>
      <c r="H3702" t="s">
        <v>163</v>
      </c>
      <c r="I3702">
        <v>30685</v>
      </c>
      <c r="J3702">
        <v>31323</v>
      </c>
    </row>
    <row r="3703" spans="1:10" x14ac:dyDescent="0.3">
      <c r="A3703" t="s">
        <v>3830</v>
      </c>
      <c r="B3703" s="1">
        <v>45875</v>
      </c>
      <c r="C3703" t="s">
        <v>113</v>
      </c>
      <c r="D3703">
        <v>32</v>
      </c>
      <c r="E3703" t="s">
        <v>33</v>
      </c>
      <c r="F3703" t="s">
        <v>78</v>
      </c>
      <c r="G3703" t="s">
        <v>47</v>
      </c>
      <c r="H3703" t="s">
        <v>111</v>
      </c>
      <c r="I3703">
        <v>17357</v>
      </c>
      <c r="J3703">
        <v>13806</v>
      </c>
    </row>
    <row r="3704" spans="1:10" x14ac:dyDescent="0.3">
      <c r="A3704" t="s">
        <v>3831</v>
      </c>
      <c r="B3704" s="1">
        <v>45711</v>
      </c>
      <c r="C3704" t="s">
        <v>82</v>
      </c>
      <c r="D3704">
        <v>8</v>
      </c>
      <c r="E3704" t="s">
        <v>33</v>
      </c>
      <c r="F3704" t="s">
        <v>34</v>
      </c>
      <c r="G3704" t="s">
        <v>191</v>
      </c>
      <c r="H3704" t="s">
        <v>188</v>
      </c>
      <c r="I3704">
        <v>34186</v>
      </c>
      <c r="J3704">
        <v>39220</v>
      </c>
    </row>
    <row r="3705" spans="1:10" x14ac:dyDescent="0.3">
      <c r="A3705" t="s">
        <v>3832</v>
      </c>
      <c r="B3705" s="1">
        <v>45841</v>
      </c>
      <c r="C3705" t="s">
        <v>11</v>
      </c>
      <c r="D3705">
        <v>27</v>
      </c>
      <c r="E3705" t="s">
        <v>39</v>
      </c>
      <c r="F3705" t="s">
        <v>87</v>
      </c>
      <c r="G3705" t="s">
        <v>137</v>
      </c>
      <c r="H3705" t="s">
        <v>80</v>
      </c>
      <c r="I3705">
        <v>25097</v>
      </c>
      <c r="J3705">
        <v>21823</v>
      </c>
    </row>
    <row r="3706" spans="1:10" x14ac:dyDescent="0.3">
      <c r="A3706" t="s">
        <v>3833</v>
      </c>
      <c r="B3706" s="1">
        <v>45999</v>
      </c>
      <c r="C3706" t="s">
        <v>100</v>
      </c>
      <c r="D3706">
        <v>50</v>
      </c>
      <c r="E3706" t="s">
        <v>61</v>
      </c>
      <c r="F3706" t="s">
        <v>140</v>
      </c>
      <c r="G3706" t="s">
        <v>110</v>
      </c>
      <c r="H3706" t="s">
        <v>123</v>
      </c>
      <c r="I3706">
        <v>36348</v>
      </c>
      <c r="J3706">
        <v>41199</v>
      </c>
    </row>
    <row r="3707" spans="1:10" x14ac:dyDescent="0.3">
      <c r="A3707" t="s">
        <v>3834</v>
      </c>
      <c r="B3707" s="1">
        <v>45818</v>
      </c>
      <c r="C3707" t="s">
        <v>74</v>
      </c>
      <c r="D3707">
        <v>24</v>
      </c>
      <c r="E3707" t="s">
        <v>70</v>
      </c>
      <c r="F3707" t="s">
        <v>78</v>
      </c>
      <c r="G3707" t="s">
        <v>54</v>
      </c>
      <c r="H3707" t="s">
        <v>68</v>
      </c>
      <c r="I3707">
        <v>17903</v>
      </c>
      <c r="J3707">
        <v>19952</v>
      </c>
    </row>
    <row r="3708" spans="1:10" x14ac:dyDescent="0.3">
      <c r="A3708" t="s">
        <v>3835</v>
      </c>
      <c r="B3708" s="1">
        <v>45945</v>
      </c>
      <c r="C3708" t="s">
        <v>66</v>
      </c>
      <c r="D3708">
        <v>42</v>
      </c>
      <c r="E3708" t="s">
        <v>33</v>
      </c>
      <c r="F3708" t="s">
        <v>101</v>
      </c>
      <c r="G3708" t="s">
        <v>191</v>
      </c>
      <c r="H3708" t="s">
        <v>98</v>
      </c>
      <c r="I3708">
        <v>35861</v>
      </c>
      <c r="J3708">
        <v>34982</v>
      </c>
    </row>
    <row r="3709" spans="1:10" x14ac:dyDescent="0.3">
      <c r="A3709" t="s">
        <v>3836</v>
      </c>
      <c r="B3709" s="1">
        <v>45929</v>
      </c>
      <c r="C3709" t="s">
        <v>38</v>
      </c>
      <c r="D3709">
        <v>40</v>
      </c>
      <c r="E3709" t="s">
        <v>18</v>
      </c>
      <c r="F3709" t="s">
        <v>122</v>
      </c>
      <c r="G3709" t="s">
        <v>240</v>
      </c>
      <c r="H3709" t="s">
        <v>41</v>
      </c>
      <c r="I3709">
        <v>35573</v>
      </c>
      <c r="J3709">
        <v>26615</v>
      </c>
    </row>
    <row r="3710" spans="1:10" x14ac:dyDescent="0.3">
      <c r="A3710" t="s">
        <v>3837</v>
      </c>
      <c r="B3710" s="1">
        <v>45794</v>
      </c>
      <c r="C3710" t="s">
        <v>90</v>
      </c>
      <c r="D3710">
        <v>20</v>
      </c>
      <c r="E3710" t="s">
        <v>39</v>
      </c>
      <c r="F3710" t="s">
        <v>13</v>
      </c>
      <c r="G3710" t="s">
        <v>58</v>
      </c>
      <c r="H3710" t="s">
        <v>96</v>
      </c>
      <c r="I3710">
        <v>30139</v>
      </c>
      <c r="J3710">
        <v>36747</v>
      </c>
    </row>
    <row r="3711" spans="1:10" x14ac:dyDescent="0.3">
      <c r="A3711" t="s">
        <v>3838</v>
      </c>
      <c r="B3711" s="1">
        <v>45728</v>
      </c>
      <c r="C3711" t="s">
        <v>95</v>
      </c>
      <c r="D3711">
        <v>11</v>
      </c>
      <c r="E3711" t="s">
        <v>18</v>
      </c>
      <c r="F3711" t="s">
        <v>57</v>
      </c>
      <c r="G3711" t="s">
        <v>58</v>
      </c>
      <c r="H3711" t="s">
        <v>84</v>
      </c>
      <c r="I3711">
        <v>32243</v>
      </c>
      <c r="J3711">
        <v>22887</v>
      </c>
    </row>
    <row r="3712" spans="1:10" x14ac:dyDescent="0.3">
      <c r="A3712" t="s">
        <v>3839</v>
      </c>
      <c r="B3712" s="1">
        <v>45887</v>
      </c>
      <c r="C3712" t="s">
        <v>113</v>
      </c>
      <c r="D3712">
        <v>34</v>
      </c>
      <c r="E3712" t="s">
        <v>24</v>
      </c>
      <c r="F3712" t="s">
        <v>114</v>
      </c>
      <c r="G3712" t="s">
        <v>88</v>
      </c>
      <c r="H3712" t="s">
        <v>96</v>
      </c>
      <c r="I3712">
        <v>33107</v>
      </c>
      <c r="J3712">
        <v>24270</v>
      </c>
    </row>
    <row r="3713" spans="1:10" x14ac:dyDescent="0.3">
      <c r="A3713" t="s">
        <v>3840</v>
      </c>
      <c r="B3713" s="1">
        <v>45747</v>
      </c>
      <c r="C3713" t="s">
        <v>95</v>
      </c>
      <c r="D3713">
        <v>14</v>
      </c>
      <c r="E3713" t="s">
        <v>61</v>
      </c>
      <c r="F3713" t="s">
        <v>78</v>
      </c>
      <c r="G3713" t="s">
        <v>26</v>
      </c>
      <c r="H3713" t="s">
        <v>59</v>
      </c>
      <c r="I3713">
        <v>33998</v>
      </c>
      <c r="J3713">
        <v>37317</v>
      </c>
    </row>
    <row r="3714" spans="1:10" x14ac:dyDescent="0.3">
      <c r="A3714" t="s">
        <v>3841</v>
      </c>
      <c r="B3714" s="1">
        <v>45977</v>
      </c>
      <c r="C3714" t="s">
        <v>23</v>
      </c>
      <c r="D3714">
        <v>46</v>
      </c>
      <c r="E3714" t="s">
        <v>70</v>
      </c>
      <c r="F3714" t="s">
        <v>122</v>
      </c>
      <c r="G3714" t="s">
        <v>102</v>
      </c>
      <c r="H3714" t="s">
        <v>111</v>
      </c>
      <c r="I3714">
        <v>26953</v>
      </c>
      <c r="J3714">
        <v>26197</v>
      </c>
    </row>
    <row r="3715" spans="1:10" x14ac:dyDescent="0.3">
      <c r="A3715" t="s">
        <v>3842</v>
      </c>
      <c r="B3715" s="1">
        <v>45916</v>
      </c>
      <c r="C3715" t="s">
        <v>38</v>
      </c>
      <c r="D3715">
        <v>38</v>
      </c>
      <c r="E3715" t="s">
        <v>24</v>
      </c>
      <c r="F3715" t="s">
        <v>101</v>
      </c>
      <c r="G3715" t="s">
        <v>253</v>
      </c>
      <c r="H3715" t="s">
        <v>59</v>
      </c>
      <c r="I3715">
        <v>19186</v>
      </c>
      <c r="J3715">
        <v>14633</v>
      </c>
    </row>
    <row r="3716" spans="1:10" x14ac:dyDescent="0.3">
      <c r="A3716" t="s">
        <v>3843</v>
      </c>
      <c r="B3716" s="1">
        <v>45896</v>
      </c>
      <c r="C3716" t="s">
        <v>113</v>
      </c>
      <c r="D3716">
        <v>35</v>
      </c>
      <c r="E3716" t="s">
        <v>39</v>
      </c>
      <c r="F3716" t="s">
        <v>46</v>
      </c>
      <c r="G3716" t="s">
        <v>171</v>
      </c>
      <c r="H3716" t="s">
        <v>151</v>
      </c>
      <c r="I3716">
        <v>19931</v>
      </c>
      <c r="J3716">
        <v>21220</v>
      </c>
    </row>
    <row r="3717" spans="1:10" x14ac:dyDescent="0.3">
      <c r="A3717" t="s">
        <v>3844</v>
      </c>
      <c r="B3717" s="1">
        <v>45932</v>
      </c>
      <c r="C3717" t="s">
        <v>66</v>
      </c>
      <c r="D3717">
        <v>40</v>
      </c>
      <c r="E3717" t="s">
        <v>33</v>
      </c>
      <c r="F3717" t="s">
        <v>75</v>
      </c>
      <c r="G3717" t="s">
        <v>51</v>
      </c>
      <c r="H3717" t="s">
        <v>157</v>
      </c>
      <c r="I3717">
        <v>31655</v>
      </c>
      <c r="J3717">
        <v>33587</v>
      </c>
    </row>
    <row r="3718" spans="1:10" x14ac:dyDescent="0.3">
      <c r="A3718" t="s">
        <v>3845</v>
      </c>
      <c r="B3718" s="1">
        <v>45803</v>
      </c>
      <c r="C3718" t="s">
        <v>90</v>
      </c>
      <c r="D3718">
        <v>22</v>
      </c>
      <c r="E3718" t="s">
        <v>12</v>
      </c>
      <c r="F3718" t="s">
        <v>193</v>
      </c>
      <c r="G3718" t="s">
        <v>88</v>
      </c>
      <c r="H3718" t="s">
        <v>52</v>
      </c>
      <c r="I3718">
        <v>37137</v>
      </c>
      <c r="J3718">
        <v>38085</v>
      </c>
    </row>
    <row r="3719" spans="1:10" x14ac:dyDescent="0.3">
      <c r="A3719" t="s">
        <v>3846</v>
      </c>
      <c r="B3719" s="1">
        <v>45773</v>
      </c>
      <c r="C3719" t="s">
        <v>86</v>
      </c>
      <c r="D3719">
        <v>17</v>
      </c>
      <c r="E3719" t="s">
        <v>33</v>
      </c>
      <c r="F3719" t="s">
        <v>25</v>
      </c>
      <c r="G3719" t="s">
        <v>14</v>
      </c>
      <c r="H3719" t="s">
        <v>27</v>
      </c>
      <c r="I3719">
        <v>17096</v>
      </c>
      <c r="J3719">
        <v>19926</v>
      </c>
    </row>
    <row r="3720" spans="1:10" x14ac:dyDescent="0.3">
      <c r="A3720" t="s">
        <v>3847</v>
      </c>
      <c r="B3720" s="1">
        <v>45705</v>
      </c>
      <c r="C3720" t="s">
        <v>82</v>
      </c>
      <c r="D3720">
        <v>8</v>
      </c>
      <c r="E3720" t="s">
        <v>70</v>
      </c>
      <c r="F3720" t="s">
        <v>29</v>
      </c>
      <c r="G3720" t="s">
        <v>171</v>
      </c>
      <c r="H3720" t="s">
        <v>84</v>
      </c>
      <c r="I3720">
        <v>36642</v>
      </c>
      <c r="J3720">
        <v>26421</v>
      </c>
    </row>
    <row r="3721" spans="1:10" x14ac:dyDescent="0.3">
      <c r="A3721" t="s">
        <v>3848</v>
      </c>
      <c r="B3721" s="1">
        <v>45768</v>
      </c>
      <c r="C3721" t="s">
        <v>86</v>
      </c>
      <c r="D3721">
        <v>17</v>
      </c>
      <c r="E3721" t="s">
        <v>61</v>
      </c>
      <c r="F3721" t="s">
        <v>114</v>
      </c>
      <c r="G3721" t="s">
        <v>199</v>
      </c>
      <c r="H3721" t="s">
        <v>98</v>
      </c>
      <c r="I3721">
        <v>30688</v>
      </c>
      <c r="J3721">
        <v>27180</v>
      </c>
    </row>
    <row r="3722" spans="1:10" x14ac:dyDescent="0.3">
      <c r="A3722" t="s">
        <v>3849</v>
      </c>
      <c r="B3722" s="1">
        <v>45914</v>
      </c>
      <c r="C3722" t="s">
        <v>38</v>
      </c>
      <c r="D3722">
        <v>37</v>
      </c>
      <c r="E3722" t="s">
        <v>61</v>
      </c>
      <c r="F3722" t="s">
        <v>109</v>
      </c>
      <c r="G3722" t="s">
        <v>160</v>
      </c>
      <c r="H3722" t="s">
        <v>15</v>
      </c>
      <c r="I3722">
        <v>37541</v>
      </c>
      <c r="J3722">
        <v>32292</v>
      </c>
    </row>
    <row r="3723" spans="1:10" x14ac:dyDescent="0.3">
      <c r="A3723" t="s">
        <v>3850</v>
      </c>
      <c r="B3723" s="1">
        <v>45894</v>
      </c>
      <c r="C3723" t="s">
        <v>113</v>
      </c>
      <c r="D3723">
        <v>35</v>
      </c>
      <c r="E3723" t="s">
        <v>33</v>
      </c>
      <c r="F3723" t="s">
        <v>25</v>
      </c>
      <c r="G3723" t="s">
        <v>324</v>
      </c>
      <c r="H3723" t="s">
        <v>84</v>
      </c>
      <c r="I3723">
        <v>20756</v>
      </c>
      <c r="J3723">
        <v>18690</v>
      </c>
    </row>
    <row r="3724" spans="1:10" x14ac:dyDescent="0.3">
      <c r="A3724" t="s">
        <v>3851</v>
      </c>
      <c r="B3724" s="1">
        <v>46011</v>
      </c>
      <c r="C3724" t="s">
        <v>100</v>
      </c>
      <c r="D3724">
        <v>51</v>
      </c>
      <c r="E3724" t="s">
        <v>33</v>
      </c>
      <c r="F3724" t="s">
        <v>114</v>
      </c>
      <c r="G3724" t="s">
        <v>147</v>
      </c>
      <c r="H3724" t="s">
        <v>55</v>
      </c>
      <c r="I3724">
        <v>23311</v>
      </c>
      <c r="J3724">
        <v>17380</v>
      </c>
    </row>
    <row r="3725" spans="1:10" x14ac:dyDescent="0.3">
      <c r="A3725" t="s">
        <v>3852</v>
      </c>
      <c r="B3725" s="1">
        <v>45866</v>
      </c>
      <c r="C3725" t="s">
        <v>11</v>
      </c>
      <c r="D3725">
        <v>31</v>
      </c>
      <c r="E3725" t="s">
        <v>70</v>
      </c>
      <c r="F3725" t="s">
        <v>193</v>
      </c>
      <c r="G3725" t="s">
        <v>44</v>
      </c>
      <c r="H3725" t="s">
        <v>188</v>
      </c>
      <c r="I3725">
        <v>28523</v>
      </c>
      <c r="J3725">
        <v>27899</v>
      </c>
    </row>
    <row r="3726" spans="1:10" x14ac:dyDescent="0.3">
      <c r="A3726" t="s">
        <v>3853</v>
      </c>
      <c r="B3726" s="1">
        <v>45842</v>
      </c>
      <c r="C3726" t="s">
        <v>11</v>
      </c>
      <c r="D3726">
        <v>27</v>
      </c>
      <c r="E3726" t="s">
        <v>70</v>
      </c>
      <c r="F3726" t="s">
        <v>109</v>
      </c>
      <c r="G3726" t="s">
        <v>35</v>
      </c>
      <c r="H3726" t="s">
        <v>52</v>
      </c>
      <c r="I3726">
        <v>22263</v>
      </c>
      <c r="J3726">
        <v>20045</v>
      </c>
    </row>
    <row r="3727" spans="1:10" x14ac:dyDescent="0.3">
      <c r="A3727" t="s">
        <v>3854</v>
      </c>
      <c r="B3727" s="1">
        <v>45855</v>
      </c>
      <c r="C3727" t="s">
        <v>11</v>
      </c>
      <c r="D3727">
        <v>29</v>
      </c>
      <c r="E3727" t="s">
        <v>24</v>
      </c>
      <c r="F3727" t="s">
        <v>46</v>
      </c>
      <c r="G3727" t="s">
        <v>137</v>
      </c>
      <c r="H3727" t="s">
        <v>103</v>
      </c>
      <c r="I3727">
        <v>20132</v>
      </c>
      <c r="J3727">
        <v>21318</v>
      </c>
    </row>
    <row r="3728" spans="1:10" x14ac:dyDescent="0.3">
      <c r="A3728" t="s">
        <v>3855</v>
      </c>
      <c r="B3728" s="1">
        <v>45877</v>
      </c>
      <c r="C3728" t="s">
        <v>113</v>
      </c>
      <c r="D3728">
        <v>32</v>
      </c>
      <c r="E3728" t="s">
        <v>39</v>
      </c>
      <c r="F3728" t="s">
        <v>25</v>
      </c>
      <c r="G3728" t="s">
        <v>230</v>
      </c>
      <c r="H3728" t="s">
        <v>157</v>
      </c>
      <c r="I3728">
        <v>32107</v>
      </c>
      <c r="J3728">
        <v>25666</v>
      </c>
    </row>
    <row r="3729" spans="1:10" x14ac:dyDescent="0.3">
      <c r="A3729" t="s">
        <v>3856</v>
      </c>
      <c r="B3729" s="1">
        <v>45675</v>
      </c>
      <c r="C3729" t="s">
        <v>17</v>
      </c>
      <c r="D3729">
        <v>3</v>
      </c>
      <c r="E3729" t="s">
        <v>61</v>
      </c>
      <c r="F3729" t="s">
        <v>43</v>
      </c>
      <c r="G3729" t="s">
        <v>240</v>
      </c>
      <c r="H3729" t="s">
        <v>188</v>
      </c>
      <c r="I3729">
        <v>20454</v>
      </c>
      <c r="J3729">
        <v>17863</v>
      </c>
    </row>
    <row r="3730" spans="1:10" x14ac:dyDescent="0.3">
      <c r="A3730" t="s">
        <v>3857</v>
      </c>
      <c r="B3730" s="1">
        <v>45993</v>
      </c>
      <c r="C3730" t="s">
        <v>100</v>
      </c>
      <c r="D3730">
        <v>49</v>
      </c>
      <c r="E3730" t="s">
        <v>24</v>
      </c>
      <c r="F3730" t="s">
        <v>34</v>
      </c>
      <c r="G3730" t="s">
        <v>26</v>
      </c>
      <c r="H3730" t="s">
        <v>123</v>
      </c>
      <c r="I3730">
        <v>34129</v>
      </c>
      <c r="J3730">
        <v>38023</v>
      </c>
    </row>
    <row r="3731" spans="1:10" x14ac:dyDescent="0.3">
      <c r="A3731" t="s">
        <v>3858</v>
      </c>
      <c r="B3731" s="1">
        <v>45736</v>
      </c>
      <c r="C3731" t="s">
        <v>95</v>
      </c>
      <c r="D3731">
        <v>12</v>
      </c>
      <c r="E3731" t="s">
        <v>33</v>
      </c>
      <c r="F3731" t="s">
        <v>43</v>
      </c>
      <c r="G3731" t="s">
        <v>326</v>
      </c>
      <c r="H3731" t="s">
        <v>111</v>
      </c>
      <c r="I3731">
        <v>18282</v>
      </c>
      <c r="J3731">
        <v>20441</v>
      </c>
    </row>
    <row r="3732" spans="1:10" x14ac:dyDescent="0.3">
      <c r="A3732" t="s">
        <v>3859</v>
      </c>
      <c r="B3732" s="1">
        <v>45945</v>
      </c>
      <c r="C3732" t="s">
        <v>66</v>
      </c>
      <c r="D3732">
        <v>42</v>
      </c>
      <c r="E3732" t="s">
        <v>12</v>
      </c>
      <c r="F3732" t="s">
        <v>25</v>
      </c>
      <c r="G3732" t="s">
        <v>79</v>
      </c>
      <c r="H3732" t="s">
        <v>55</v>
      </c>
      <c r="I3732">
        <v>33585</v>
      </c>
      <c r="J3732">
        <v>37143</v>
      </c>
    </row>
    <row r="3733" spans="1:10" x14ac:dyDescent="0.3">
      <c r="A3733" t="s">
        <v>3860</v>
      </c>
      <c r="B3733" s="1">
        <v>45675</v>
      </c>
      <c r="C3733" t="s">
        <v>17</v>
      </c>
      <c r="D3733">
        <v>3</v>
      </c>
      <c r="E3733" t="s">
        <v>70</v>
      </c>
      <c r="F3733" t="s">
        <v>114</v>
      </c>
      <c r="G3733" t="s">
        <v>253</v>
      </c>
      <c r="H3733" t="s">
        <v>116</v>
      </c>
      <c r="I3733">
        <v>30336</v>
      </c>
      <c r="J3733">
        <v>36936</v>
      </c>
    </row>
    <row r="3734" spans="1:10" x14ac:dyDescent="0.3">
      <c r="A3734" t="s">
        <v>3861</v>
      </c>
      <c r="B3734" s="1">
        <v>45984</v>
      </c>
      <c r="C3734" t="s">
        <v>23</v>
      </c>
      <c r="D3734">
        <v>47</v>
      </c>
      <c r="E3734" t="s">
        <v>33</v>
      </c>
      <c r="F3734" t="s">
        <v>43</v>
      </c>
      <c r="G3734" t="s">
        <v>67</v>
      </c>
      <c r="H3734" t="s">
        <v>163</v>
      </c>
      <c r="I3734">
        <v>31287</v>
      </c>
      <c r="J3734">
        <v>25852</v>
      </c>
    </row>
    <row r="3735" spans="1:10" x14ac:dyDescent="0.3">
      <c r="A3735" t="s">
        <v>3862</v>
      </c>
      <c r="B3735" s="1">
        <v>45916</v>
      </c>
      <c r="C3735" t="s">
        <v>38</v>
      </c>
      <c r="D3735">
        <v>38</v>
      </c>
      <c r="E3735" t="s">
        <v>12</v>
      </c>
      <c r="F3735" t="s">
        <v>140</v>
      </c>
      <c r="G3735" t="s">
        <v>14</v>
      </c>
      <c r="H3735" t="s">
        <v>27</v>
      </c>
      <c r="I3735">
        <v>17885</v>
      </c>
      <c r="J3735">
        <v>21266</v>
      </c>
    </row>
    <row r="3736" spans="1:10" x14ac:dyDescent="0.3">
      <c r="A3736" t="s">
        <v>3863</v>
      </c>
      <c r="B3736" s="1">
        <v>45874</v>
      </c>
      <c r="C3736" t="s">
        <v>113</v>
      </c>
      <c r="D3736">
        <v>32</v>
      </c>
      <c r="E3736" t="s">
        <v>61</v>
      </c>
      <c r="F3736" t="s">
        <v>62</v>
      </c>
      <c r="G3736" t="s">
        <v>199</v>
      </c>
      <c r="H3736" t="s">
        <v>55</v>
      </c>
      <c r="I3736">
        <v>37875</v>
      </c>
      <c r="J3736">
        <v>32987</v>
      </c>
    </row>
    <row r="3737" spans="1:10" x14ac:dyDescent="0.3">
      <c r="A3737" t="s">
        <v>3864</v>
      </c>
      <c r="B3737" s="1">
        <v>45752</v>
      </c>
      <c r="C3737" t="s">
        <v>86</v>
      </c>
      <c r="D3737">
        <v>14</v>
      </c>
      <c r="E3737" t="s">
        <v>24</v>
      </c>
      <c r="F3737" t="s">
        <v>29</v>
      </c>
      <c r="G3737" t="s">
        <v>102</v>
      </c>
      <c r="H3737" t="s">
        <v>103</v>
      </c>
      <c r="I3737">
        <v>20205</v>
      </c>
      <c r="J3737">
        <v>18088</v>
      </c>
    </row>
    <row r="3738" spans="1:10" x14ac:dyDescent="0.3">
      <c r="A3738" t="s">
        <v>3865</v>
      </c>
      <c r="B3738" s="1">
        <v>45658</v>
      </c>
      <c r="C3738" t="s">
        <v>17</v>
      </c>
      <c r="D3738">
        <v>1</v>
      </c>
      <c r="E3738" t="s">
        <v>18</v>
      </c>
      <c r="F3738" t="s">
        <v>25</v>
      </c>
      <c r="G3738" t="s">
        <v>224</v>
      </c>
      <c r="H3738" t="s">
        <v>157</v>
      </c>
      <c r="I3738">
        <v>21419</v>
      </c>
      <c r="J3738">
        <v>25059</v>
      </c>
    </row>
    <row r="3739" spans="1:10" x14ac:dyDescent="0.3">
      <c r="A3739" t="s">
        <v>3866</v>
      </c>
      <c r="B3739" s="1">
        <v>45957</v>
      </c>
      <c r="C3739" t="s">
        <v>66</v>
      </c>
      <c r="D3739">
        <v>44</v>
      </c>
      <c r="E3739" t="s">
        <v>33</v>
      </c>
      <c r="F3739" t="s">
        <v>140</v>
      </c>
      <c r="G3739" t="s">
        <v>253</v>
      </c>
      <c r="H3739" t="s">
        <v>119</v>
      </c>
      <c r="I3739">
        <v>29526</v>
      </c>
      <c r="J3739">
        <v>34960</v>
      </c>
    </row>
    <row r="3740" spans="1:10" x14ac:dyDescent="0.3">
      <c r="A3740" t="s">
        <v>3867</v>
      </c>
      <c r="B3740" s="1">
        <v>45908</v>
      </c>
      <c r="C3740" t="s">
        <v>38</v>
      </c>
      <c r="D3740">
        <v>37</v>
      </c>
      <c r="E3740" t="s">
        <v>12</v>
      </c>
      <c r="F3740" t="s">
        <v>193</v>
      </c>
      <c r="G3740" t="s">
        <v>171</v>
      </c>
      <c r="H3740" t="s">
        <v>21</v>
      </c>
      <c r="I3740">
        <v>39572</v>
      </c>
      <c r="J3740">
        <v>32358</v>
      </c>
    </row>
    <row r="3741" spans="1:10" x14ac:dyDescent="0.3">
      <c r="A3741" t="s">
        <v>3868</v>
      </c>
      <c r="B3741" s="1">
        <v>45998</v>
      </c>
      <c r="C3741" t="s">
        <v>100</v>
      </c>
      <c r="D3741">
        <v>49</v>
      </c>
      <c r="E3741" t="s">
        <v>61</v>
      </c>
      <c r="F3741" t="s">
        <v>78</v>
      </c>
      <c r="G3741" t="s">
        <v>110</v>
      </c>
      <c r="H3741" t="s">
        <v>55</v>
      </c>
      <c r="I3741">
        <v>20725</v>
      </c>
      <c r="J3741">
        <v>15079</v>
      </c>
    </row>
    <row r="3742" spans="1:10" x14ac:dyDescent="0.3">
      <c r="A3742" t="s">
        <v>3869</v>
      </c>
      <c r="B3742" s="1">
        <v>45849</v>
      </c>
      <c r="C3742" t="s">
        <v>11</v>
      </c>
      <c r="D3742">
        <v>28</v>
      </c>
      <c r="E3742" t="s">
        <v>18</v>
      </c>
      <c r="F3742" t="s">
        <v>62</v>
      </c>
      <c r="G3742" t="s">
        <v>126</v>
      </c>
      <c r="H3742" t="s">
        <v>188</v>
      </c>
      <c r="I3742">
        <v>27977</v>
      </c>
      <c r="J3742">
        <v>26878</v>
      </c>
    </row>
    <row r="3743" spans="1:10" x14ac:dyDescent="0.3">
      <c r="A3743" t="s">
        <v>3870</v>
      </c>
      <c r="B3743" s="1">
        <v>45958</v>
      </c>
      <c r="C3743" t="s">
        <v>66</v>
      </c>
      <c r="D3743">
        <v>44</v>
      </c>
      <c r="E3743" t="s">
        <v>12</v>
      </c>
      <c r="F3743" t="s">
        <v>62</v>
      </c>
      <c r="G3743" t="s">
        <v>44</v>
      </c>
      <c r="H3743" t="s">
        <v>96</v>
      </c>
      <c r="I3743">
        <v>32847</v>
      </c>
      <c r="J3743">
        <v>38049</v>
      </c>
    </row>
    <row r="3744" spans="1:10" x14ac:dyDescent="0.3">
      <c r="A3744" t="s">
        <v>3871</v>
      </c>
      <c r="B3744" s="1">
        <v>45665</v>
      </c>
      <c r="C3744" t="s">
        <v>17</v>
      </c>
      <c r="D3744">
        <v>2</v>
      </c>
      <c r="E3744" t="s">
        <v>39</v>
      </c>
      <c r="F3744" t="s">
        <v>75</v>
      </c>
      <c r="G3744" t="s">
        <v>88</v>
      </c>
      <c r="H3744" t="s">
        <v>52</v>
      </c>
      <c r="I3744">
        <v>16120</v>
      </c>
      <c r="J3744">
        <v>13749</v>
      </c>
    </row>
    <row r="3745" spans="1:10" x14ac:dyDescent="0.3">
      <c r="A3745" t="s">
        <v>3872</v>
      </c>
      <c r="B3745" s="1">
        <v>45699</v>
      </c>
      <c r="C3745" t="s">
        <v>82</v>
      </c>
      <c r="D3745">
        <v>7</v>
      </c>
      <c r="E3745" t="s">
        <v>33</v>
      </c>
      <c r="F3745" t="s">
        <v>13</v>
      </c>
      <c r="G3745" t="s">
        <v>54</v>
      </c>
      <c r="H3745" t="s">
        <v>157</v>
      </c>
      <c r="I3745">
        <v>39435</v>
      </c>
      <c r="J3745">
        <v>33410</v>
      </c>
    </row>
    <row r="3746" spans="1:10" x14ac:dyDescent="0.3">
      <c r="A3746" t="s">
        <v>3873</v>
      </c>
      <c r="B3746" s="1">
        <v>45780</v>
      </c>
      <c r="C3746" t="s">
        <v>90</v>
      </c>
      <c r="D3746">
        <v>18</v>
      </c>
      <c r="E3746" t="s">
        <v>39</v>
      </c>
      <c r="F3746" t="s">
        <v>78</v>
      </c>
      <c r="G3746" t="s">
        <v>54</v>
      </c>
      <c r="H3746" t="s">
        <v>41</v>
      </c>
      <c r="I3746">
        <v>39347</v>
      </c>
      <c r="J3746">
        <v>47334</v>
      </c>
    </row>
    <row r="3747" spans="1:10" x14ac:dyDescent="0.3">
      <c r="A3747" t="s">
        <v>3874</v>
      </c>
      <c r="B3747" s="1">
        <v>45665</v>
      </c>
      <c r="C3747" t="s">
        <v>17</v>
      </c>
      <c r="D3747">
        <v>2</v>
      </c>
      <c r="E3747" t="s">
        <v>33</v>
      </c>
      <c r="F3747" t="s">
        <v>13</v>
      </c>
      <c r="G3747" t="s">
        <v>171</v>
      </c>
      <c r="H3747" t="s">
        <v>59</v>
      </c>
      <c r="I3747">
        <v>37164</v>
      </c>
      <c r="J3747">
        <v>26627</v>
      </c>
    </row>
    <row r="3748" spans="1:10" x14ac:dyDescent="0.3">
      <c r="A3748" t="s">
        <v>3875</v>
      </c>
      <c r="B3748" s="1">
        <v>45755</v>
      </c>
      <c r="C3748" t="s">
        <v>86</v>
      </c>
      <c r="D3748">
        <v>15</v>
      </c>
      <c r="E3748" t="s">
        <v>39</v>
      </c>
      <c r="F3748" t="s">
        <v>29</v>
      </c>
      <c r="G3748" t="s">
        <v>149</v>
      </c>
      <c r="H3748" t="s">
        <v>188</v>
      </c>
      <c r="I3748">
        <v>21511</v>
      </c>
      <c r="J3748">
        <v>23070</v>
      </c>
    </row>
    <row r="3749" spans="1:10" x14ac:dyDescent="0.3">
      <c r="A3749" t="s">
        <v>3876</v>
      </c>
      <c r="B3749" s="1">
        <v>45974</v>
      </c>
      <c r="C3749" t="s">
        <v>23</v>
      </c>
      <c r="D3749">
        <v>46</v>
      </c>
      <c r="E3749" t="s">
        <v>18</v>
      </c>
      <c r="F3749" t="s">
        <v>43</v>
      </c>
      <c r="G3749" t="s">
        <v>67</v>
      </c>
      <c r="H3749" t="s">
        <v>36</v>
      </c>
      <c r="I3749">
        <v>34345</v>
      </c>
      <c r="J3749">
        <v>40697</v>
      </c>
    </row>
    <row r="3750" spans="1:10" x14ac:dyDescent="0.3">
      <c r="A3750" t="s">
        <v>3877</v>
      </c>
      <c r="B3750" s="1">
        <v>45914</v>
      </c>
      <c r="C3750" t="s">
        <v>38</v>
      </c>
      <c r="D3750">
        <v>37</v>
      </c>
      <c r="E3750" t="s">
        <v>61</v>
      </c>
      <c r="F3750" t="s">
        <v>87</v>
      </c>
      <c r="G3750" t="s">
        <v>26</v>
      </c>
      <c r="H3750" t="s">
        <v>68</v>
      </c>
      <c r="I3750">
        <v>30157</v>
      </c>
      <c r="J3750">
        <v>26651</v>
      </c>
    </row>
    <row r="3751" spans="1:10" x14ac:dyDescent="0.3">
      <c r="A3751" t="s">
        <v>3878</v>
      </c>
      <c r="B3751" s="1">
        <v>45742</v>
      </c>
      <c r="C3751" t="s">
        <v>95</v>
      </c>
      <c r="D3751">
        <v>13</v>
      </c>
      <c r="E3751" t="s">
        <v>61</v>
      </c>
      <c r="F3751" t="s">
        <v>101</v>
      </c>
      <c r="G3751" t="s">
        <v>206</v>
      </c>
      <c r="H3751" t="s">
        <v>116</v>
      </c>
      <c r="I3751">
        <v>28138</v>
      </c>
      <c r="J3751">
        <v>26645</v>
      </c>
    </row>
    <row r="3752" spans="1:10" x14ac:dyDescent="0.3">
      <c r="A3752" t="s">
        <v>3879</v>
      </c>
      <c r="B3752" s="1">
        <v>45987</v>
      </c>
      <c r="C3752" t="s">
        <v>23</v>
      </c>
      <c r="D3752">
        <v>48</v>
      </c>
      <c r="E3752" t="s">
        <v>61</v>
      </c>
      <c r="F3752" t="s">
        <v>140</v>
      </c>
      <c r="G3752" t="s">
        <v>201</v>
      </c>
      <c r="H3752" t="s">
        <v>48</v>
      </c>
      <c r="I3752">
        <v>15616</v>
      </c>
      <c r="J3752">
        <v>16894</v>
      </c>
    </row>
    <row r="3753" spans="1:10" x14ac:dyDescent="0.3">
      <c r="A3753" t="s">
        <v>3880</v>
      </c>
      <c r="B3753" s="1">
        <v>46012</v>
      </c>
      <c r="C3753" t="s">
        <v>100</v>
      </c>
      <c r="D3753">
        <v>51</v>
      </c>
      <c r="E3753" t="s">
        <v>70</v>
      </c>
      <c r="F3753" t="s">
        <v>140</v>
      </c>
      <c r="G3753" t="s">
        <v>191</v>
      </c>
      <c r="H3753" t="s">
        <v>21</v>
      </c>
      <c r="I3753">
        <v>30384</v>
      </c>
      <c r="J3753">
        <v>31129</v>
      </c>
    </row>
    <row r="3754" spans="1:10" x14ac:dyDescent="0.3">
      <c r="A3754" t="s">
        <v>3881</v>
      </c>
      <c r="B3754" s="1">
        <v>45942</v>
      </c>
      <c r="C3754" t="s">
        <v>66</v>
      </c>
      <c r="D3754">
        <v>41</v>
      </c>
      <c r="E3754" t="s">
        <v>24</v>
      </c>
      <c r="F3754" t="s">
        <v>101</v>
      </c>
      <c r="G3754" t="s">
        <v>224</v>
      </c>
      <c r="H3754" t="s">
        <v>64</v>
      </c>
      <c r="I3754">
        <v>23513</v>
      </c>
      <c r="J3754">
        <v>18201</v>
      </c>
    </row>
    <row r="3755" spans="1:10" x14ac:dyDescent="0.3">
      <c r="A3755" t="s">
        <v>3882</v>
      </c>
      <c r="B3755" s="1">
        <v>45698</v>
      </c>
      <c r="C3755" t="s">
        <v>82</v>
      </c>
      <c r="D3755">
        <v>7</v>
      </c>
      <c r="E3755" t="s">
        <v>33</v>
      </c>
      <c r="F3755" t="s">
        <v>29</v>
      </c>
      <c r="G3755" t="s">
        <v>149</v>
      </c>
      <c r="H3755" t="s">
        <v>116</v>
      </c>
      <c r="I3755">
        <v>36119</v>
      </c>
      <c r="J3755">
        <v>44063</v>
      </c>
    </row>
    <row r="3756" spans="1:10" x14ac:dyDescent="0.3">
      <c r="A3756" t="s">
        <v>3883</v>
      </c>
      <c r="B3756" s="1">
        <v>45977</v>
      </c>
      <c r="C3756" t="s">
        <v>23</v>
      </c>
      <c r="D3756">
        <v>46</v>
      </c>
      <c r="E3756" t="s">
        <v>24</v>
      </c>
      <c r="F3756" t="s">
        <v>34</v>
      </c>
      <c r="G3756" t="s">
        <v>324</v>
      </c>
      <c r="H3756" t="s">
        <v>80</v>
      </c>
      <c r="I3756">
        <v>21707</v>
      </c>
      <c r="J3756">
        <v>19568</v>
      </c>
    </row>
    <row r="3757" spans="1:10" x14ac:dyDescent="0.3">
      <c r="A3757" t="s">
        <v>3884</v>
      </c>
      <c r="B3757" s="1">
        <v>45786</v>
      </c>
      <c r="C3757" t="s">
        <v>90</v>
      </c>
      <c r="D3757">
        <v>19</v>
      </c>
      <c r="E3757" t="s">
        <v>24</v>
      </c>
      <c r="F3757" t="s">
        <v>34</v>
      </c>
      <c r="G3757" t="s">
        <v>72</v>
      </c>
      <c r="H3757" t="s">
        <v>84</v>
      </c>
      <c r="I3757">
        <v>26857</v>
      </c>
      <c r="J3757">
        <v>29290</v>
      </c>
    </row>
    <row r="3758" spans="1:10" x14ac:dyDescent="0.3">
      <c r="A3758" t="s">
        <v>3885</v>
      </c>
      <c r="B3758" s="1">
        <v>45768</v>
      </c>
      <c r="C3758" t="s">
        <v>86</v>
      </c>
      <c r="D3758">
        <v>17</v>
      </c>
      <c r="E3758" t="s">
        <v>61</v>
      </c>
      <c r="F3758" t="s">
        <v>29</v>
      </c>
      <c r="G3758" t="s">
        <v>20</v>
      </c>
      <c r="H3758" t="s">
        <v>243</v>
      </c>
      <c r="I3758">
        <v>17565</v>
      </c>
      <c r="J3758">
        <v>18776</v>
      </c>
    </row>
    <row r="3759" spans="1:10" x14ac:dyDescent="0.3">
      <c r="A3759" t="s">
        <v>3886</v>
      </c>
      <c r="B3759" s="1">
        <v>45694</v>
      </c>
      <c r="C3759" t="s">
        <v>82</v>
      </c>
      <c r="D3759">
        <v>6</v>
      </c>
      <c r="E3759" t="s">
        <v>33</v>
      </c>
      <c r="F3759" t="s">
        <v>122</v>
      </c>
      <c r="G3759" t="s">
        <v>137</v>
      </c>
      <c r="H3759" t="s">
        <v>111</v>
      </c>
      <c r="I3759">
        <v>28160</v>
      </c>
      <c r="J3759">
        <v>33940</v>
      </c>
    </row>
    <row r="3760" spans="1:10" x14ac:dyDescent="0.3">
      <c r="A3760" t="s">
        <v>3887</v>
      </c>
      <c r="B3760" s="1">
        <v>45748</v>
      </c>
      <c r="C3760" t="s">
        <v>86</v>
      </c>
      <c r="D3760">
        <v>14</v>
      </c>
      <c r="E3760" t="s">
        <v>33</v>
      </c>
      <c r="F3760" t="s">
        <v>34</v>
      </c>
      <c r="G3760" t="s">
        <v>115</v>
      </c>
      <c r="H3760" t="s">
        <v>211</v>
      </c>
      <c r="I3760">
        <v>30459</v>
      </c>
      <c r="J3760">
        <v>22792</v>
      </c>
    </row>
    <row r="3761" spans="1:10" x14ac:dyDescent="0.3">
      <c r="A3761" t="s">
        <v>3888</v>
      </c>
      <c r="B3761" s="1">
        <v>45955</v>
      </c>
      <c r="C3761" t="s">
        <v>66</v>
      </c>
      <c r="D3761">
        <v>43</v>
      </c>
      <c r="E3761" t="s">
        <v>39</v>
      </c>
      <c r="F3761" t="s">
        <v>46</v>
      </c>
      <c r="G3761" t="s">
        <v>291</v>
      </c>
      <c r="H3761" t="s">
        <v>119</v>
      </c>
      <c r="I3761">
        <v>35917</v>
      </c>
      <c r="J3761">
        <v>27774</v>
      </c>
    </row>
    <row r="3762" spans="1:10" x14ac:dyDescent="0.3">
      <c r="A3762" t="s">
        <v>3889</v>
      </c>
      <c r="B3762" s="1">
        <v>46008</v>
      </c>
      <c r="C3762" t="s">
        <v>100</v>
      </c>
      <c r="D3762">
        <v>51</v>
      </c>
      <c r="E3762" t="s">
        <v>24</v>
      </c>
      <c r="F3762" t="s">
        <v>50</v>
      </c>
      <c r="G3762" t="s">
        <v>135</v>
      </c>
      <c r="H3762" t="s">
        <v>116</v>
      </c>
      <c r="I3762">
        <v>24406</v>
      </c>
      <c r="J3762">
        <v>17738</v>
      </c>
    </row>
    <row r="3763" spans="1:10" x14ac:dyDescent="0.3">
      <c r="A3763" t="s">
        <v>3890</v>
      </c>
      <c r="B3763" s="1">
        <v>45752</v>
      </c>
      <c r="C3763" t="s">
        <v>86</v>
      </c>
      <c r="D3763">
        <v>14</v>
      </c>
      <c r="E3763" t="s">
        <v>39</v>
      </c>
      <c r="F3763" t="s">
        <v>34</v>
      </c>
      <c r="G3763" t="s">
        <v>199</v>
      </c>
      <c r="H3763" t="s">
        <v>151</v>
      </c>
      <c r="I3763">
        <v>22524</v>
      </c>
      <c r="J3763">
        <v>22804</v>
      </c>
    </row>
    <row r="3764" spans="1:10" x14ac:dyDescent="0.3">
      <c r="A3764" t="s">
        <v>3891</v>
      </c>
      <c r="B3764" s="1">
        <v>45961</v>
      </c>
      <c r="C3764" t="s">
        <v>66</v>
      </c>
      <c r="D3764">
        <v>44</v>
      </c>
      <c r="E3764" t="s">
        <v>33</v>
      </c>
      <c r="F3764" t="s">
        <v>46</v>
      </c>
      <c r="G3764" t="s">
        <v>130</v>
      </c>
      <c r="H3764" t="s">
        <v>111</v>
      </c>
      <c r="I3764">
        <v>38445</v>
      </c>
      <c r="J3764">
        <v>43731</v>
      </c>
    </row>
    <row r="3765" spans="1:10" x14ac:dyDescent="0.3">
      <c r="A3765" t="s">
        <v>3892</v>
      </c>
      <c r="B3765" s="1">
        <v>45903</v>
      </c>
      <c r="C3765" t="s">
        <v>38</v>
      </c>
      <c r="D3765">
        <v>36</v>
      </c>
      <c r="E3765" t="s">
        <v>39</v>
      </c>
      <c r="F3765" t="s">
        <v>19</v>
      </c>
      <c r="G3765" t="s">
        <v>58</v>
      </c>
      <c r="H3765" t="s">
        <v>41</v>
      </c>
      <c r="I3765">
        <v>38649</v>
      </c>
      <c r="J3765">
        <v>49013</v>
      </c>
    </row>
    <row r="3766" spans="1:10" x14ac:dyDescent="0.3">
      <c r="A3766" t="s">
        <v>3893</v>
      </c>
      <c r="B3766" s="1">
        <v>45835</v>
      </c>
      <c r="C3766" t="s">
        <v>74</v>
      </c>
      <c r="D3766">
        <v>26</v>
      </c>
      <c r="E3766" t="s">
        <v>24</v>
      </c>
      <c r="F3766" t="s">
        <v>57</v>
      </c>
      <c r="G3766" t="s">
        <v>147</v>
      </c>
      <c r="H3766" t="s">
        <v>31</v>
      </c>
      <c r="I3766">
        <v>31898</v>
      </c>
      <c r="J3766">
        <v>24473</v>
      </c>
    </row>
    <row r="3767" spans="1:10" x14ac:dyDescent="0.3">
      <c r="A3767" t="s">
        <v>3894</v>
      </c>
      <c r="B3767" s="1">
        <v>45924</v>
      </c>
      <c r="C3767" t="s">
        <v>38</v>
      </c>
      <c r="D3767">
        <v>39</v>
      </c>
      <c r="E3767" t="s">
        <v>61</v>
      </c>
      <c r="F3767" t="s">
        <v>140</v>
      </c>
      <c r="G3767" t="s">
        <v>72</v>
      </c>
      <c r="H3767" t="s">
        <v>157</v>
      </c>
      <c r="I3767">
        <v>29058</v>
      </c>
      <c r="J3767">
        <v>35109</v>
      </c>
    </row>
    <row r="3768" spans="1:10" x14ac:dyDescent="0.3">
      <c r="A3768" t="s">
        <v>3895</v>
      </c>
      <c r="B3768" s="1">
        <v>45743</v>
      </c>
      <c r="C3768" t="s">
        <v>95</v>
      </c>
      <c r="D3768">
        <v>13</v>
      </c>
      <c r="E3768" t="s">
        <v>70</v>
      </c>
      <c r="F3768" t="s">
        <v>75</v>
      </c>
      <c r="G3768" t="s">
        <v>110</v>
      </c>
      <c r="H3768" t="s">
        <v>119</v>
      </c>
      <c r="I3768">
        <v>36780</v>
      </c>
      <c r="J3768">
        <v>40497</v>
      </c>
    </row>
    <row r="3769" spans="1:10" x14ac:dyDescent="0.3">
      <c r="A3769" t="s">
        <v>3896</v>
      </c>
      <c r="B3769" s="1">
        <v>45704</v>
      </c>
      <c r="C3769" t="s">
        <v>82</v>
      </c>
      <c r="D3769">
        <v>7</v>
      </c>
      <c r="E3769" t="s">
        <v>33</v>
      </c>
      <c r="F3769" t="s">
        <v>193</v>
      </c>
      <c r="G3769" t="s">
        <v>224</v>
      </c>
      <c r="H3769" t="s">
        <v>103</v>
      </c>
      <c r="I3769">
        <v>23576</v>
      </c>
      <c r="J3769">
        <v>22929</v>
      </c>
    </row>
    <row r="3770" spans="1:10" x14ac:dyDescent="0.3">
      <c r="A3770" t="s">
        <v>3897</v>
      </c>
      <c r="B3770" s="1">
        <v>45704</v>
      </c>
      <c r="C3770" t="s">
        <v>82</v>
      </c>
      <c r="D3770">
        <v>7</v>
      </c>
      <c r="E3770" t="s">
        <v>70</v>
      </c>
      <c r="F3770" t="s">
        <v>92</v>
      </c>
      <c r="G3770" t="s">
        <v>126</v>
      </c>
      <c r="H3770" t="s">
        <v>15</v>
      </c>
      <c r="I3770">
        <v>37896</v>
      </c>
      <c r="J3770">
        <v>43156</v>
      </c>
    </row>
    <row r="3771" spans="1:10" x14ac:dyDescent="0.3">
      <c r="A3771" t="s">
        <v>3898</v>
      </c>
      <c r="B3771" s="1">
        <v>46012</v>
      </c>
      <c r="C3771" t="s">
        <v>100</v>
      </c>
      <c r="D3771">
        <v>51</v>
      </c>
      <c r="E3771" t="s">
        <v>18</v>
      </c>
      <c r="F3771" t="s">
        <v>87</v>
      </c>
      <c r="G3771" t="s">
        <v>291</v>
      </c>
      <c r="H3771" t="s">
        <v>21</v>
      </c>
      <c r="I3771">
        <v>15282</v>
      </c>
      <c r="J3771">
        <v>19668</v>
      </c>
    </row>
    <row r="3772" spans="1:10" x14ac:dyDescent="0.3">
      <c r="A3772" t="s">
        <v>3899</v>
      </c>
      <c r="B3772" s="1">
        <v>45910</v>
      </c>
      <c r="C3772" t="s">
        <v>38</v>
      </c>
      <c r="D3772">
        <v>37</v>
      </c>
      <c r="E3772" t="s">
        <v>33</v>
      </c>
      <c r="F3772" t="s">
        <v>75</v>
      </c>
      <c r="G3772" t="s">
        <v>88</v>
      </c>
      <c r="H3772" t="s">
        <v>27</v>
      </c>
      <c r="I3772">
        <v>28995</v>
      </c>
      <c r="J3772">
        <v>36062</v>
      </c>
    </row>
    <row r="3773" spans="1:10" x14ac:dyDescent="0.3">
      <c r="A3773" t="s">
        <v>3900</v>
      </c>
      <c r="B3773" s="1">
        <v>45767</v>
      </c>
      <c r="C3773" t="s">
        <v>86</v>
      </c>
      <c r="D3773">
        <v>16</v>
      </c>
      <c r="E3773" t="s">
        <v>39</v>
      </c>
      <c r="F3773" t="s">
        <v>75</v>
      </c>
      <c r="G3773" t="s">
        <v>47</v>
      </c>
      <c r="H3773" t="s">
        <v>119</v>
      </c>
      <c r="I3773">
        <v>30279</v>
      </c>
      <c r="J3773">
        <v>28383</v>
      </c>
    </row>
    <row r="3774" spans="1:10" x14ac:dyDescent="0.3">
      <c r="A3774" t="s">
        <v>3901</v>
      </c>
      <c r="B3774" s="1">
        <v>45976</v>
      </c>
      <c r="C3774" t="s">
        <v>23</v>
      </c>
      <c r="D3774">
        <v>46</v>
      </c>
      <c r="E3774" t="s">
        <v>12</v>
      </c>
      <c r="F3774" t="s">
        <v>114</v>
      </c>
      <c r="G3774" t="s">
        <v>145</v>
      </c>
      <c r="H3774" t="s">
        <v>151</v>
      </c>
      <c r="I3774">
        <v>35284</v>
      </c>
      <c r="J3774">
        <v>36406</v>
      </c>
    </row>
    <row r="3775" spans="1:10" x14ac:dyDescent="0.3">
      <c r="A3775" t="s">
        <v>3902</v>
      </c>
      <c r="B3775" s="1">
        <v>45971</v>
      </c>
      <c r="C3775" t="s">
        <v>23</v>
      </c>
      <c r="D3775">
        <v>46</v>
      </c>
      <c r="E3775" t="s">
        <v>39</v>
      </c>
      <c r="F3775" t="s">
        <v>50</v>
      </c>
      <c r="G3775" t="s">
        <v>240</v>
      </c>
      <c r="H3775" t="s">
        <v>15</v>
      </c>
      <c r="I3775">
        <v>19158</v>
      </c>
      <c r="J3775">
        <v>16536</v>
      </c>
    </row>
    <row r="3776" spans="1:10" x14ac:dyDescent="0.3">
      <c r="A3776" t="s">
        <v>3903</v>
      </c>
      <c r="B3776" s="1">
        <v>45805</v>
      </c>
      <c r="C3776" t="s">
        <v>90</v>
      </c>
      <c r="D3776">
        <v>22</v>
      </c>
      <c r="E3776" t="s">
        <v>33</v>
      </c>
      <c r="F3776" t="s">
        <v>19</v>
      </c>
      <c r="G3776" t="s">
        <v>206</v>
      </c>
      <c r="H3776" t="s">
        <v>103</v>
      </c>
      <c r="I3776">
        <v>39144</v>
      </c>
      <c r="J3776">
        <v>43798</v>
      </c>
    </row>
    <row r="3777" spans="1:10" x14ac:dyDescent="0.3">
      <c r="A3777" t="s">
        <v>3904</v>
      </c>
      <c r="B3777" s="1">
        <v>45828</v>
      </c>
      <c r="C3777" t="s">
        <v>74</v>
      </c>
      <c r="D3777">
        <v>25</v>
      </c>
      <c r="E3777" t="s">
        <v>24</v>
      </c>
      <c r="F3777" t="s">
        <v>62</v>
      </c>
      <c r="G3777" t="s">
        <v>326</v>
      </c>
      <c r="H3777" t="s">
        <v>151</v>
      </c>
      <c r="I3777">
        <v>29665</v>
      </c>
      <c r="J3777">
        <v>31247</v>
      </c>
    </row>
    <row r="3778" spans="1:10" x14ac:dyDescent="0.3">
      <c r="A3778" t="s">
        <v>3905</v>
      </c>
      <c r="B3778" s="1">
        <v>45951</v>
      </c>
      <c r="C3778" t="s">
        <v>66</v>
      </c>
      <c r="D3778">
        <v>43</v>
      </c>
      <c r="E3778" t="s">
        <v>24</v>
      </c>
      <c r="F3778" t="s">
        <v>101</v>
      </c>
      <c r="G3778" t="s">
        <v>324</v>
      </c>
      <c r="H3778" t="s">
        <v>123</v>
      </c>
      <c r="I3778">
        <v>36989</v>
      </c>
      <c r="J3778">
        <v>27381</v>
      </c>
    </row>
    <row r="3779" spans="1:10" x14ac:dyDescent="0.3">
      <c r="A3779" t="s">
        <v>3906</v>
      </c>
      <c r="B3779" s="1">
        <v>45894</v>
      </c>
      <c r="C3779" t="s">
        <v>113</v>
      </c>
      <c r="D3779">
        <v>35</v>
      </c>
      <c r="E3779" t="s">
        <v>33</v>
      </c>
      <c r="F3779" t="s">
        <v>75</v>
      </c>
      <c r="G3779" t="s">
        <v>149</v>
      </c>
      <c r="H3779" t="s">
        <v>98</v>
      </c>
      <c r="I3779">
        <v>34451</v>
      </c>
      <c r="J3779">
        <v>39441</v>
      </c>
    </row>
    <row r="3780" spans="1:10" x14ac:dyDescent="0.3">
      <c r="A3780" t="s">
        <v>3907</v>
      </c>
      <c r="B3780" s="1">
        <v>45692</v>
      </c>
      <c r="C3780" t="s">
        <v>82</v>
      </c>
      <c r="D3780">
        <v>6</v>
      </c>
      <c r="E3780" t="s">
        <v>61</v>
      </c>
      <c r="F3780" t="s">
        <v>114</v>
      </c>
      <c r="G3780" t="s">
        <v>40</v>
      </c>
      <c r="H3780" t="s">
        <v>64</v>
      </c>
      <c r="I3780">
        <v>21891</v>
      </c>
      <c r="J3780">
        <v>17069</v>
      </c>
    </row>
    <row r="3781" spans="1:10" x14ac:dyDescent="0.3">
      <c r="A3781" t="s">
        <v>3908</v>
      </c>
      <c r="B3781" s="1">
        <v>45688</v>
      </c>
      <c r="C3781" t="s">
        <v>17</v>
      </c>
      <c r="D3781">
        <v>5</v>
      </c>
      <c r="E3781" t="s">
        <v>18</v>
      </c>
      <c r="F3781" t="s">
        <v>193</v>
      </c>
      <c r="G3781" t="s">
        <v>88</v>
      </c>
      <c r="H3781" t="s">
        <v>123</v>
      </c>
      <c r="I3781">
        <v>17734</v>
      </c>
      <c r="J3781">
        <v>17886</v>
      </c>
    </row>
    <row r="3782" spans="1:10" x14ac:dyDescent="0.3">
      <c r="A3782" t="s">
        <v>3909</v>
      </c>
      <c r="B3782" s="1">
        <v>45836</v>
      </c>
      <c r="C3782" t="s">
        <v>74</v>
      </c>
      <c r="D3782">
        <v>26</v>
      </c>
      <c r="E3782" t="s">
        <v>70</v>
      </c>
      <c r="F3782" t="s">
        <v>122</v>
      </c>
      <c r="G3782" t="s">
        <v>51</v>
      </c>
      <c r="H3782" t="s">
        <v>165</v>
      </c>
      <c r="I3782">
        <v>32908</v>
      </c>
      <c r="J3782">
        <v>36828</v>
      </c>
    </row>
    <row r="3783" spans="1:10" x14ac:dyDescent="0.3">
      <c r="A3783" t="s">
        <v>3910</v>
      </c>
      <c r="B3783" s="1">
        <v>45763</v>
      </c>
      <c r="C3783" t="s">
        <v>86</v>
      </c>
      <c r="D3783">
        <v>16</v>
      </c>
      <c r="E3783" t="s">
        <v>39</v>
      </c>
      <c r="F3783" t="s">
        <v>75</v>
      </c>
      <c r="G3783" t="s">
        <v>93</v>
      </c>
      <c r="H3783" t="s">
        <v>119</v>
      </c>
      <c r="I3783">
        <v>31234</v>
      </c>
      <c r="J3783">
        <v>23624</v>
      </c>
    </row>
    <row r="3784" spans="1:10" x14ac:dyDescent="0.3">
      <c r="A3784" t="s">
        <v>3911</v>
      </c>
      <c r="B3784" s="1">
        <v>45985</v>
      </c>
      <c r="C3784" t="s">
        <v>23</v>
      </c>
      <c r="D3784">
        <v>48</v>
      </c>
      <c r="E3784" t="s">
        <v>24</v>
      </c>
      <c r="F3784" t="s">
        <v>109</v>
      </c>
      <c r="G3784" t="s">
        <v>199</v>
      </c>
      <c r="H3784" t="s">
        <v>188</v>
      </c>
      <c r="I3784">
        <v>36664</v>
      </c>
      <c r="J3784">
        <v>29496</v>
      </c>
    </row>
    <row r="3785" spans="1:10" x14ac:dyDescent="0.3">
      <c r="A3785" t="s">
        <v>3912</v>
      </c>
      <c r="B3785" s="1">
        <v>45781</v>
      </c>
      <c r="C3785" t="s">
        <v>90</v>
      </c>
      <c r="D3785">
        <v>18</v>
      </c>
      <c r="E3785" t="s">
        <v>18</v>
      </c>
      <c r="F3785" t="s">
        <v>13</v>
      </c>
      <c r="G3785" t="s">
        <v>93</v>
      </c>
      <c r="H3785" t="s">
        <v>243</v>
      </c>
      <c r="I3785">
        <v>16946</v>
      </c>
      <c r="J3785">
        <v>21369</v>
      </c>
    </row>
    <row r="3786" spans="1:10" x14ac:dyDescent="0.3">
      <c r="A3786" t="s">
        <v>3913</v>
      </c>
      <c r="B3786" s="1">
        <v>45719</v>
      </c>
      <c r="C3786" t="s">
        <v>95</v>
      </c>
      <c r="D3786">
        <v>10</v>
      </c>
      <c r="E3786" t="s">
        <v>24</v>
      </c>
      <c r="F3786" t="s">
        <v>43</v>
      </c>
      <c r="G3786" t="s">
        <v>206</v>
      </c>
      <c r="H3786" t="s">
        <v>116</v>
      </c>
      <c r="I3786">
        <v>28388</v>
      </c>
      <c r="J3786">
        <v>35606</v>
      </c>
    </row>
    <row r="3787" spans="1:10" x14ac:dyDescent="0.3">
      <c r="A3787" t="s">
        <v>3914</v>
      </c>
      <c r="B3787" s="1">
        <v>45998</v>
      </c>
      <c r="C3787" t="s">
        <v>100</v>
      </c>
      <c r="D3787">
        <v>49</v>
      </c>
      <c r="E3787" t="s">
        <v>33</v>
      </c>
      <c r="F3787" t="s">
        <v>87</v>
      </c>
      <c r="G3787" t="s">
        <v>35</v>
      </c>
      <c r="H3787" t="s">
        <v>15</v>
      </c>
      <c r="I3787">
        <v>15982</v>
      </c>
      <c r="J3787">
        <v>16416</v>
      </c>
    </row>
    <row r="3788" spans="1:10" x14ac:dyDescent="0.3">
      <c r="A3788" t="s">
        <v>3915</v>
      </c>
      <c r="B3788" s="1">
        <v>45833</v>
      </c>
      <c r="C3788" t="s">
        <v>74</v>
      </c>
      <c r="D3788">
        <v>26</v>
      </c>
      <c r="E3788" t="s">
        <v>12</v>
      </c>
      <c r="F3788" t="s">
        <v>193</v>
      </c>
      <c r="G3788" t="s">
        <v>132</v>
      </c>
      <c r="H3788" t="s">
        <v>163</v>
      </c>
      <c r="I3788">
        <v>36069</v>
      </c>
      <c r="J3788">
        <v>46221</v>
      </c>
    </row>
    <row r="3789" spans="1:10" x14ac:dyDescent="0.3">
      <c r="A3789" t="s">
        <v>3916</v>
      </c>
      <c r="B3789" s="1">
        <v>45866</v>
      </c>
      <c r="C3789" t="s">
        <v>11</v>
      </c>
      <c r="D3789">
        <v>31</v>
      </c>
      <c r="E3789" t="s">
        <v>61</v>
      </c>
      <c r="F3789" t="s">
        <v>62</v>
      </c>
      <c r="G3789" t="s">
        <v>137</v>
      </c>
      <c r="H3789" t="s">
        <v>31</v>
      </c>
      <c r="I3789">
        <v>29150</v>
      </c>
      <c r="J3789">
        <v>24466</v>
      </c>
    </row>
    <row r="3790" spans="1:10" x14ac:dyDescent="0.3">
      <c r="A3790" t="s">
        <v>3917</v>
      </c>
      <c r="B3790" s="1">
        <v>45815</v>
      </c>
      <c r="C3790" t="s">
        <v>74</v>
      </c>
      <c r="D3790">
        <v>23</v>
      </c>
      <c r="E3790" t="s">
        <v>18</v>
      </c>
      <c r="F3790" t="s">
        <v>109</v>
      </c>
      <c r="G3790" t="s">
        <v>224</v>
      </c>
      <c r="H3790" t="s">
        <v>133</v>
      </c>
      <c r="I3790">
        <v>32204</v>
      </c>
      <c r="J3790">
        <v>27272</v>
      </c>
    </row>
    <row r="3791" spans="1:10" x14ac:dyDescent="0.3">
      <c r="A3791" t="s">
        <v>3918</v>
      </c>
      <c r="B3791" s="1">
        <v>45659</v>
      </c>
      <c r="C3791" t="s">
        <v>17</v>
      </c>
      <c r="D3791">
        <v>1</v>
      </c>
      <c r="E3791" t="s">
        <v>18</v>
      </c>
      <c r="F3791" t="s">
        <v>122</v>
      </c>
      <c r="G3791" t="s">
        <v>20</v>
      </c>
      <c r="H3791" t="s">
        <v>41</v>
      </c>
      <c r="I3791">
        <v>20604</v>
      </c>
      <c r="J3791">
        <v>24695</v>
      </c>
    </row>
    <row r="3792" spans="1:10" x14ac:dyDescent="0.3">
      <c r="A3792" t="s">
        <v>3919</v>
      </c>
      <c r="B3792" s="1">
        <v>45735</v>
      </c>
      <c r="C3792" t="s">
        <v>95</v>
      </c>
      <c r="D3792">
        <v>12</v>
      </c>
      <c r="E3792" t="s">
        <v>33</v>
      </c>
      <c r="F3792" t="s">
        <v>92</v>
      </c>
      <c r="G3792" t="s">
        <v>130</v>
      </c>
      <c r="H3792" t="s">
        <v>36</v>
      </c>
      <c r="I3792">
        <v>18936</v>
      </c>
      <c r="J3792">
        <v>13523</v>
      </c>
    </row>
    <row r="3793" spans="1:10" x14ac:dyDescent="0.3">
      <c r="A3793" t="s">
        <v>3920</v>
      </c>
      <c r="B3793" s="1">
        <v>45858</v>
      </c>
      <c r="C3793" t="s">
        <v>11</v>
      </c>
      <c r="D3793">
        <v>29</v>
      </c>
      <c r="E3793" t="s">
        <v>12</v>
      </c>
      <c r="F3793" t="s">
        <v>193</v>
      </c>
      <c r="G3793" t="s">
        <v>240</v>
      </c>
      <c r="H3793" t="s">
        <v>52</v>
      </c>
      <c r="I3793">
        <v>18833</v>
      </c>
      <c r="J3793">
        <v>16017</v>
      </c>
    </row>
    <row r="3794" spans="1:10" x14ac:dyDescent="0.3">
      <c r="A3794" t="s">
        <v>3921</v>
      </c>
      <c r="B3794" s="1">
        <v>45697</v>
      </c>
      <c r="C3794" t="s">
        <v>82</v>
      </c>
      <c r="D3794">
        <v>6</v>
      </c>
      <c r="E3794" t="s">
        <v>12</v>
      </c>
      <c r="F3794" t="s">
        <v>109</v>
      </c>
      <c r="G3794" t="s">
        <v>199</v>
      </c>
      <c r="H3794" t="s">
        <v>165</v>
      </c>
      <c r="I3794">
        <v>29317</v>
      </c>
      <c r="J3794">
        <v>33143</v>
      </c>
    </row>
    <row r="3795" spans="1:10" x14ac:dyDescent="0.3">
      <c r="A3795" t="s">
        <v>3922</v>
      </c>
      <c r="B3795" s="1">
        <v>45812</v>
      </c>
      <c r="C3795" t="s">
        <v>74</v>
      </c>
      <c r="D3795">
        <v>23</v>
      </c>
      <c r="E3795" t="s">
        <v>12</v>
      </c>
      <c r="F3795" t="s">
        <v>75</v>
      </c>
      <c r="G3795" t="s">
        <v>51</v>
      </c>
      <c r="H3795" t="s">
        <v>84</v>
      </c>
      <c r="I3795">
        <v>20010</v>
      </c>
      <c r="J3795">
        <v>18796</v>
      </c>
    </row>
    <row r="3796" spans="1:10" x14ac:dyDescent="0.3">
      <c r="A3796" t="s">
        <v>3923</v>
      </c>
      <c r="B3796" s="1">
        <v>45881</v>
      </c>
      <c r="C3796" t="s">
        <v>113</v>
      </c>
      <c r="D3796">
        <v>33</v>
      </c>
      <c r="E3796" t="s">
        <v>18</v>
      </c>
      <c r="F3796" t="s">
        <v>140</v>
      </c>
      <c r="G3796" t="s">
        <v>191</v>
      </c>
      <c r="H3796" t="s">
        <v>48</v>
      </c>
      <c r="I3796">
        <v>17441</v>
      </c>
      <c r="J3796">
        <v>12753</v>
      </c>
    </row>
    <row r="3797" spans="1:10" x14ac:dyDescent="0.3">
      <c r="A3797" t="s">
        <v>3924</v>
      </c>
      <c r="B3797" s="1">
        <v>45971</v>
      </c>
      <c r="C3797" t="s">
        <v>23</v>
      </c>
      <c r="D3797">
        <v>46</v>
      </c>
      <c r="E3797" t="s">
        <v>33</v>
      </c>
      <c r="F3797" t="s">
        <v>140</v>
      </c>
      <c r="G3797" t="s">
        <v>67</v>
      </c>
      <c r="H3797" t="s">
        <v>21</v>
      </c>
      <c r="I3797">
        <v>17565</v>
      </c>
      <c r="J3797">
        <v>18089</v>
      </c>
    </row>
    <row r="3798" spans="1:10" x14ac:dyDescent="0.3">
      <c r="A3798" t="s">
        <v>3925</v>
      </c>
      <c r="B3798" s="1">
        <v>45948</v>
      </c>
      <c r="C3798" t="s">
        <v>66</v>
      </c>
      <c r="D3798">
        <v>42</v>
      </c>
      <c r="E3798" t="s">
        <v>61</v>
      </c>
      <c r="F3798" t="s">
        <v>34</v>
      </c>
      <c r="G3798" t="s">
        <v>14</v>
      </c>
      <c r="H3798" t="s">
        <v>98</v>
      </c>
      <c r="I3798">
        <v>30994</v>
      </c>
      <c r="J3798">
        <v>35429</v>
      </c>
    </row>
    <row r="3799" spans="1:10" x14ac:dyDescent="0.3">
      <c r="A3799" t="s">
        <v>3926</v>
      </c>
      <c r="B3799" s="1">
        <v>45879</v>
      </c>
      <c r="C3799" t="s">
        <v>113</v>
      </c>
      <c r="D3799">
        <v>32</v>
      </c>
      <c r="E3799" t="s">
        <v>24</v>
      </c>
      <c r="F3799" t="s">
        <v>50</v>
      </c>
      <c r="G3799" t="s">
        <v>58</v>
      </c>
      <c r="H3799" t="s">
        <v>119</v>
      </c>
      <c r="I3799">
        <v>27055</v>
      </c>
      <c r="J3799">
        <v>26186</v>
      </c>
    </row>
    <row r="3800" spans="1:10" x14ac:dyDescent="0.3">
      <c r="A3800" t="s">
        <v>3927</v>
      </c>
      <c r="B3800" s="1">
        <v>45856</v>
      </c>
      <c r="C3800" t="s">
        <v>11</v>
      </c>
      <c r="D3800">
        <v>29</v>
      </c>
      <c r="E3800" t="s">
        <v>33</v>
      </c>
      <c r="F3800" t="s">
        <v>13</v>
      </c>
      <c r="G3800" t="s">
        <v>72</v>
      </c>
      <c r="H3800" t="s">
        <v>98</v>
      </c>
      <c r="I3800">
        <v>30726</v>
      </c>
      <c r="J3800">
        <v>37305</v>
      </c>
    </row>
    <row r="3801" spans="1:10" x14ac:dyDescent="0.3">
      <c r="A3801" t="s">
        <v>3928</v>
      </c>
      <c r="B3801" s="1">
        <v>45715</v>
      </c>
      <c r="C3801" t="s">
        <v>82</v>
      </c>
      <c r="D3801">
        <v>9</v>
      </c>
      <c r="E3801" t="s">
        <v>61</v>
      </c>
      <c r="F3801" t="s">
        <v>50</v>
      </c>
      <c r="G3801" t="s">
        <v>14</v>
      </c>
      <c r="H3801" t="s">
        <v>163</v>
      </c>
      <c r="I3801">
        <v>32027</v>
      </c>
      <c r="J3801">
        <v>25934</v>
      </c>
    </row>
    <row r="3802" spans="1:10" x14ac:dyDescent="0.3">
      <c r="A3802" t="s">
        <v>3929</v>
      </c>
      <c r="B3802" s="1">
        <v>45761</v>
      </c>
      <c r="C3802" t="s">
        <v>86</v>
      </c>
      <c r="D3802">
        <v>16</v>
      </c>
      <c r="E3802" t="s">
        <v>70</v>
      </c>
      <c r="F3802" t="s">
        <v>13</v>
      </c>
      <c r="G3802" t="s">
        <v>135</v>
      </c>
      <c r="H3802" t="s">
        <v>211</v>
      </c>
      <c r="I3802">
        <v>39328</v>
      </c>
      <c r="J3802">
        <v>47964</v>
      </c>
    </row>
    <row r="3803" spans="1:10" x14ac:dyDescent="0.3">
      <c r="A3803" t="s">
        <v>3930</v>
      </c>
      <c r="B3803" s="1">
        <v>45686</v>
      </c>
      <c r="C3803" t="s">
        <v>17</v>
      </c>
      <c r="D3803">
        <v>5</v>
      </c>
      <c r="E3803" t="s">
        <v>12</v>
      </c>
      <c r="F3803" t="s">
        <v>19</v>
      </c>
      <c r="G3803" t="s">
        <v>115</v>
      </c>
      <c r="H3803" t="s">
        <v>68</v>
      </c>
      <c r="I3803">
        <v>22999</v>
      </c>
      <c r="J3803">
        <v>17365</v>
      </c>
    </row>
    <row r="3804" spans="1:10" x14ac:dyDescent="0.3">
      <c r="A3804" t="s">
        <v>3931</v>
      </c>
      <c r="B3804" s="1">
        <v>45778</v>
      </c>
      <c r="C3804" t="s">
        <v>90</v>
      </c>
      <c r="D3804">
        <v>18</v>
      </c>
      <c r="E3804" t="s">
        <v>18</v>
      </c>
      <c r="F3804" t="s">
        <v>43</v>
      </c>
      <c r="G3804" t="s">
        <v>51</v>
      </c>
      <c r="H3804" t="s">
        <v>211</v>
      </c>
      <c r="I3804">
        <v>34805</v>
      </c>
      <c r="J3804">
        <v>32930</v>
      </c>
    </row>
    <row r="3805" spans="1:10" x14ac:dyDescent="0.3">
      <c r="A3805" t="s">
        <v>3932</v>
      </c>
      <c r="B3805" s="1">
        <v>45793</v>
      </c>
      <c r="C3805" t="s">
        <v>90</v>
      </c>
      <c r="D3805">
        <v>20</v>
      </c>
      <c r="E3805" t="s">
        <v>61</v>
      </c>
      <c r="F3805" t="s">
        <v>193</v>
      </c>
      <c r="G3805" t="s">
        <v>115</v>
      </c>
      <c r="H3805" t="s">
        <v>123</v>
      </c>
      <c r="I3805">
        <v>22527</v>
      </c>
      <c r="J3805">
        <v>19557</v>
      </c>
    </row>
    <row r="3806" spans="1:10" x14ac:dyDescent="0.3">
      <c r="A3806" t="s">
        <v>3933</v>
      </c>
      <c r="B3806" s="1">
        <v>45983</v>
      </c>
      <c r="C3806" t="s">
        <v>23</v>
      </c>
      <c r="D3806">
        <v>47</v>
      </c>
      <c r="E3806" t="s">
        <v>39</v>
      </c>
      <c r="F3806" t="s">
        <v>46</v>
      </c>
      <c r="G3806" t="s">
        <v>58</v>
      </c>
      <c r="H3806" t="s">
        <v>84</v>
      </c>
      <c r="I3806">
        <v>31328</v>
      </c>
      <c r="J3806">
        <v>27663</v>
      </c>
    </row>
    <row r="3807" spans="1:10" x14ac:dyDescent="0.3">
      <c r="A3807" t="s">
        <v>3934</v>
      </c>
      <c r="B3807" s="1">
        <v>45968</v>
      </c>
      <c r="C3807" t="s">
        <v>23</v>
      </c>
      <c r="D3807">
        <v>45</v>
      </c>
      <c r="E3807" t="s">
        <v>61</v>
      </c>
      <c r="F3807" t="s">
        <v>57</v>
      </c>
      <c r="G3807" t="s">
        <v>230</v>
      </c>
      <c r="H3807" t="s">
        <v>133</v>
      </c>
      <c r="I3807">
        <v>20450</v>
      </c>
      <c r="J3807">
        <v>17677</v>
      </c>
    </row>
    <row r="3808" spans="1:10" x14ac:dyDescent="0.3">
      <c r="A3808" t="s">
        <v>3935</v>
      </c>
      <c r="B3808" s="1">
        <v>45871</v>
      </c>
      <c r="C3808" t="s">
        <v>113</v>
      </c>
      <c r="D3808">
        <v>31</v>
      </c>
      <c r="E3808" t="s">
        <v>39</v>
      </c>
      <c r="F3808" t="s">
        <v>101</v>
      </c>
      <c r="G3808" t="s">
        <v>79</v>
      </c>
      <c r="H3808" t="s">
        <v>80</v>
      </c>
      <c r="I3808">
        <v>18589</v>
      </c>
      <c r="J3808">
        <v>16542</v>
      </c>
    </row>
    <row r="3809" spans="1:10" x14ac:dyDescent="0.3">
      <c r="A3809" t="s">
        <v>3936</v>
      </c>
      <c r="B3809" s="1">
        <v>45837</v>
      </c>
      <c r="C3809" t="s">
        <v>74</v>
      </c>
      <c r="D3809">
        <v>26</v>
      </c>
      <c r="E3809" t="s">
        <v>24</v>
      </c>
      <c r="F3809" t="s">
        <v>25</v>
      </c>
      <c r="G3809" t="s">
        <v>115</v>
      </c>
      <c r="H3809" t="s">
        <v>111</v>
      </c>
      <c r="I3809">
        <v>22592</v>
      </c>
      <c r="J3809">
        <v>24574</v>
      </c>
    </row>
    <row r="3810" spans="1:10" x14ac:dyDescent="0.3">
      <c r="A3810" t="s">
        <v>3937</v>
      </c>
      <c r="B3810" s="1">
        <v>45662</v>
      </c>
      <c r="C3810" t="s">
        <v>17</v>
      </c>
      <c r="D3810">
        <v>1</v>
      </c>
      <c r="E3810" t="s">
        <v>70</v>
      </c>
      <c r="F3810" t="s">
        <v>43</v>
      </c>
      <c r="G3810" t="s">
        <v>126</v>
      </c>
      <c r="H3810" t="s">
        <v>243</v>
      </c>
      <c r="I3810">
        <v>39616</v>
      </c>
      <c r="J3810">
        <v>33120</v>
      </c>
    </row>
    <row r="3811" spans="1:10" x14ac:dyDescent="0.3">
      <c r="A3811" t="s">
        <v>3938</v>
      </c>
      <c r="B3811" s="1">
        <v>45847</v>
      </c>
      <c r="C3811" t="s">
        <v>11</v>
      </c>
      <c r="D3811">
        <v>28</v>
      </c>
      <c r="E3811" t="s">
        <v>61</v>
      </c>
      <c r="F3811" t="s">
        <v>87</v>
      </c>
      <c r="G3811" t="s">
        <v>102</v>
      </c>
      <c r="H3811" t="s">
        <v>96</v>
      </c>
      <c r="I3811">
        <v>19634</v>
      </c>
      <c r="J3811">
        <v>19725</v>
      </c>
    </row>
    <row r="3812" spans="1:10" x14ac:dyDescent="0.3">
      <c r="A3812" t="s">
        <v>3939</v>
      </c>
      <c r="B3812" s="1">
        <v>45957</v>
      </c>
      <c r="C3812" t="s">
        <v>66</v>
      </c>
      <c r="D3812">
        <v>44</v>
      </c>
      <c r="E3812" t="s">
        <v>39</v>
      </c>
      <c r="F3812" t="s">
        <v>13</v>
      </c>
      <c r="G3812" t="s">
        <v>253</v>
      </c>
      <c r="H3812" t="s">
        <v>64</v>
      </c>
      <c r="I3812">
        <v>32283</v>
      </c>
      <c r="J3812">
        <v>24915</v>
      </c>
    </row>
    <row r="3813" spans="1:10" x14ac:dyDescent="0.3">
      <c r="A3813" t="s">
        <v>3940</v>
      </c>
      <c r="B3813" s="1">
        <v>45880</v>
      </c>
      <c r="C3813" t="s">
        <v>113</v>
      </c>
      <c r="D3813">
        <v>33</v>
      </c>
      <c r="E3813" t="s">
        <v>61</v>
      </c>
      <c r="F3813" t="s">
        <v>34</v>
      </c>
      <c r="G3813" t="s">
        <v>137</v>
      </c>
      <c r="H3813" t="s">
        <v>116</v>
      </c>
      <c r="I3813">
        <v>36431</v>
      </c>
      <c r="J3813">
        <v>38522</v>
      </c>
    </row>
    <row r="3814" spans="1:10" x14ac:dyDescent="0.3">
      <c r="A3814" t="s">
        <v>3941</v>
      </c>
      <c r="B3814" s="1">
        <v>45819</v>
      </c>
      <c r="C3814" t="s">
        <v>74</v>
      </c>
      <c r="D3814">
        <v>24</v>
      </c>
      <c r="E3814" t="s">
        <v>39</v>
      </c>
      <c r="F3814" t="s">
        <v>25</v>
      </c>
      <c r="G3814" t="s">
        <v>67</v>
      </c>
      <c r="H3814" t="s">
        <v>123</v>
      </c>
      <c r="I3814">
        <v>21008</v>
      </c>
      <c r="J3814">
        <v>24045</v>
      </c>
    </row>
    <row r="3815" spans="1:10" x14ac:dyDescent="0.3">
      <c r="A3815" t="s">
        <v>3942</v>
      </c>
      <c r="B3815" s="1">
        <v>45808</v>
      </c>
      <c r="C3815" t="s">
        <v>90</v>
      </c>
      <c r="D3815">
        <v>22</v>
      </c>
      <c r="E3815" t="s">
        <v>39</v>
      </c>
      <c r="F3815" t="s">
        <v>87</v>
      </c>
      <c r="G3815" t="s">
        <v>110</v>
      </c>
      <c r="H3815" t="s">
        <v>165</v>
      </c>
      <c r="I3815">
        <v>28906</v>
      </c>
      <c r="J3815">
        <v>25192</v>
      </c>
    </row>
    <row r="3816" spans="1:10" x14ac:dyDescent="0.3">
      <c r="A3816" t="s">
        <v>3943</v>
      </c>
      <c r="B3816" s="1">
        <v>45891</v>
      </c>
      <c r="C3816" t="s">
        <v>113</v>
      </c>
      <c r="D3816">
        <v>34</v>
      </c>
      <c r="E3816" t="s">
        <v>33</v>
      </c>
      <c r="F3816" t="s">
        <v>87</v>
      </c>
      <c r="G3816" t="s">
        <v>76</v>
      </c>
      <c r="H3816" t="s">
        <v>188</v>
      </c>
      <c r="I3816">
        <v>36304</v>
      </c>
      <c r="J3816">
        <v>27687</v>
      </c>
    </row>
    <row r="3817" spans="1:10" x14ac:dyDescent="0.3">
      <c r="A3817" t="s">
        <v>3944</v>
      </c>
      <c r="B3817" s="1">
        <v>45884</v>
      </c>
      <c r="C3817" t="s">
        <v>113</v>
      </c>
      <c r="D3817">
        <v>33</v>
      </c>
      <c r="E3817" t="s">
        <v>18</v>
      </c>
      <c r="F3817" t="s">
        <v>62</v>
      </c>
      <c r="G3817" t="s">
        <v>201</v>
      </c>
      <c r="H3817" t="s">
        <v>165</v>
      </c>
      <c r="I3817">
        <v>26396</v>
      </c>
      <c r="J3817">
        <v>23328</v>
      </c>
    </row>
    <row r="3818" spans="1:10" x14ac:dyDescent="0.3">
      <c r="A3818" t="s">
        <v>3945</v>
      </c>
      <c r="B3818" s="1">
        <v>45734</v>
      </c>
      <c r="C3818" t="s">
        <v>95</v>
      </c>
      <c r="D3818">
        <v>12</v>
      </c>
      <c r="E3818" t="s">
        <v>39</v>
      </c>
      <c r="F3818" t="s">
        <v>25</v>
      </c>
      <c r="G3818" t="s">
        <v>14</v>
      </c>
      <c r="H3818" t="s">
        <v>21</v>
      </c>
      <c r="I3818">
        <v>20555</v>
      </c>
      <c r="J3818">
        <v>19753</v>
      </c>
    </row>
    <row r="3819" spans="1:10" x14ac:dyDescent="0.3">
      <c r="A3819" t="s">
        <v>3946</v>
      </c>
      <c r="B3819" s="1">
        <v>45783</v>
      </c>
      <c r="C3819" t="s">
        <v>90</v>
      </c>
      <c r="D3819">
        <v>19</v>
      </c>
      <c r="E3819" t="s">
        <v>24</v>
      </c>
      <c r="F3819" t="s">
        <v>25</v>
      </c>
      <c r="G3819" t="s">
        <v>230</v>
      </c>
      <c r="H3819" t="s">
        <v>188</v>
      </c>
      <c r="I3819">
        <v>19629</v>
      </c>
      <c r="J3819">
        <v>24407</v>
      </c>
    </row>
    <row r="3820" spans="1:10" x14ac:dyDescent="0.3">
      <c r="A3820" t="s">
        <v>3947</v>
      </c>
      <c r="B3820" s="1">
        <v>45685</v>
      </c>
      <c r="C3820" t="s">
        <v>17</v>
      </c>
      <c r="D3820">
        <v>5</v>
      </c>
      <c r="E3820" t="s">
        <v>70</v>
      </c>
      <c r="F3820" t="s">
        <v>29</v>
      </c>
      <c r="G3820" t="s">
        <v>234</v>
      </c>
      <c r="H3820" t="s">
        <v>64</v>
      </c>
      <c r="I3820">
        <v>28591</v>
      </c>
      <c r="J3820">
        <v>30944</v>
      </c>
    </row>
    <row r="3821" spans="1:10" x14ac:dyDescent="0.3">
      <c r="A3821" t="s">
        <v>3948</v>
      </c>
      <c r="B3821" s="1">
        <v>45710</v>
      </c>
      <c r="C3821" t="s">
        <v>82</v>
      </c>
      <c r="D3821">
        <v>8</v>
      </c>
      <c r="E3821" t="s">
        <v>24</v>
      </c>
      <c r="F3821" t="s">
        <v>75</v>
      </c>
      <c r="G3821" t="s">
        <v>130</v>
      </c>
      <c r="H3821" t="s">
        <v>243</v>
      </c>
      <c r="I3821">
        <v>17054</v>
      </c>
      <c r="J3821">
        <v>14980</v>
      </c>
    </row>
    <row r="3822" spans="1:10" x14ac:dyDescent="0.3">
      <c r="A3822" t="s">
        <v>3949</v>
      </c>
      <c r="B3822" s="1">
        <v>45962</v>
      </c>
      <c r="C3822" t="s">
        <v>23</v>
      </c>
      <c r="D3822">
        <v>44</v>
      </c>
      <c r="E3822" t="s">
        <v>18</v>
      </c>
      <c r="F3822" t="s">
        <v>193</v>
      </c>
      <c r="G3822" t="s">
        <v>72</v>
      </c>
      <c r="H3822" t="s">
        <v>55</v>
      </c>
      <c r="I3822">
        <v>36879</v>
      </c>
      <c r="J3822">
        <v>36703</v>
      </c>
    </row>
    <row r="3823" spans="1:10" x14ac:dyDescent="0.3">
      <c r="A3823" t="s">
        <v>3950</v>
      </c>
      <c r="B3823" s="1">
        <v>45786</v>
      </c>
      <c r="C3823" t="s">
        <v>90</v>
      </c>
      <c r="D3823">
        <v>19</v>
      </c>
      <c r="E3823" t="s">
        <v>18</v>
      </c>
      <c r="F3823" t="s">
        <v>57</v>
      </c>
      <c r="G3823" t="s">
        <v>253</v>
      </c>
      <c r="H3823" t="s">
        <v>111</v>
      </c>
      <c r="I3823">
        <v>24811</v>
      </c>
      <c r="J3823">
        <v>25327</v>
      </c>
    </row>
    <row r="3824" spans="1:10" x14ac:dyDescent="0.3">
      <c r="A3824" t="s">
        <v>3951</v>
      </c>
      <c r="B3824" s="1">
        <v>45728</v>
      </c>
      <c r="C3824" t="s">
        <v>95</v>
      </c>
      <c r="D3824">
        <v>11</v>
      </c>
      <c r="E3824" t="s">
        <v>61</v>
      </c>
      <c r="F3824" t="s">
        <v>50</v>
      </c>
      <c r="G3824" t="s">
        <v>47</v>
      </c>
      <c r="H3824" t="s">
        <v>80</v>
      </c>
      <c r="I3824">
        <v>26532</v>
      </c>
      <c r="J3824">
        <v>18665</v>
      </c>
    </row>
    <row r="3825" spans="1:10" x14ac:dyDescent="0.3">
      <c r="A3825" t="s">
        <v>3952</v>
      </c>
      <c r="B3825" s="1">
        <v>45968</v>
      </c>
      <c r="C3825" t="s">
        <v>23</v>
      </c>
      <c r="D3825">
        <v>45</v>
      </c>
      <c r="E3825" t="s">
        <v>12</v>
      </c>
      <c r="F3825" t="s">
        <v>25</v>
      </c>
      <c r="G3825" t="s">
        <v>102</v>
      </c>
      <c r="H3825" t="s">
        <v>211</v>
      </c>
      <c r="I3825">
        <v>18929</v>
      </c>
      <c r="J3825">
        <v>20681</v>
      </c>
    </row>
    <row r="3826" spans="1:10" x14ac:dyDescent="0.3">
      <c r="A3826" t="s">
        <v>3953</v>
      </c>
      <c r="B3826" s="1">
        <v>45942</v>
      </c>
      <c r="C3826" t="s">
        <v>66</v>
      </c>
      <c r="D3826">
        <v>41</v>
      </c>
      <c r="E3826" t="s">
        <v>24</v>
      </c>
      <c r="F3826" t="s">
        <v>122</v>
      </c>
      <c r="G3826" t="s">
        <v>110</v>
      </c>
      <c r="H3826" t="s">
        <v>96</v>
      </c>
      <c r="I3826">
        <v>22436</v>
      </c>
      <c r="J3826">
        <v>28037</v>
      </c>
    </row>
    <row r="3827" spans="1:10" x14ac:dyDescent="0.3">
      <c r="A3827" t="s">
        <v>3954</v>
      </c>
      <c r="B3827" s="1">
        <v>45713</v>
      </c>
      <c r="C3827" t="s">
        <v>82</v>
      </c>
      <c r="D3827">
        <v>9</v>
      </c>
      <c r="E3827" t="s">
        <v>18</v>
      </c>
      <c r="F3827" t="s">
        <v>101</v>
      </c>
      <c r="G3827" t="s">
        <v>324</v>
      </c>
      <c r="H3827" t="s">
        <v>116</v>
      </c>
      <c r="I3827">
        <v>37342</v>
      </c>
      <c r="J3827">
        <v>48513</v>
      </c>
    </row>
    <row r="3828" spans="1:10" x14ac:dyDescent="0.3">
      <c r="A3828" t="s">
        <v>3955</v>
      </c>
      <c r="B3828" s="1">
        <v>45694</v>
      </c>
      <c r="C3828" t="s">
        <v>82</v>
      </c>
      <c r="D3828">
        <v>6</v>
      </c>
      <c r="E3828" t="s">
        <v>18</v>
      </c>
      <c r="F3828" t="s">
        <v>19</v>
      </c>
      <c r="G3828" t="s">
        <v>93</v>
      </c>
      <c r="H3828" t="s">
        <v>27</v>
      </c>
      <c r="I3828">
        <v>24483</v>
      </c>
      <c r="J3828">
        <v>19895</v>
      </c>
    </row>
    <row r="3829" spans="1:10" x14ac:dyDescent="0.3">
      <c r="A3829" t="s">
        <v>3956</v>
      </c>
      <c r="B3829" s="1">
        <v>45963</v>
      </c>
      <c r="C3829" t="s">
        <v>23</v>
      </c>
      <c r="D3829">
        <v>44</v>
      </c>
      <c r="E3829" t="s">
        <v>61</v>
      </c>
      <c r="F3829" t="s">
        <v>13</v>
      </c>
      <c r="G3829" t="s">
        <v>26</v>
      </c>
      <c r="H3829" t="s">
        <v>27</v>
      </c>
      <c r="I3829">
        <v>29956</v>
      </c>
      <c r="J3829">
        <v>38393</v>
      </c>
    </row>
    <row r="3830" spans="1:10" x14ac:dyDescent="0.3">
      <c r="A3830" t="s">
        <v>3957</v>
      </c>
      <c r="B3830" s="1">
        <v>45763</v>
      </c>
      <c r="C3830" t="s">
        <v>86</v>
      </c>
      <c r="D3830">
        <v>16</v>
      </c>
      <c r="E3830" t="s">
        <v>61</v>
      </c>
      <c r="F3830" t="s">
        <v>62</v>
      </c>
      <c r="G3830" t="s">
        <v>199</v>
      </c>
      <c r="H3830" t="s">
        <v>243</v>
      </c>
      <c r="I3830">
        <v>20665</v>
      </c>
      <c r="J3830">
        <v>20988</v>
      </c>
    </row>
    <row r="3831" spans="1:10" x14ac:dyDescent="0.3">
      <c r="A3831" t="s">
        <v>3958</v>
      </c>
      <c r="B3831" s="1">
        <v>45940</v>
      </c>
      <c r="C3831" t="s">
        <v>66</v>
      </c>
      <c r="D3831">
        <v>41</v>
      </c>
      <c r="E3831" t="s">
        <v>18</v>
      </c>
      <c r="F3831" t="s">
        <v>25</v>
      </c>
      <c r="G3831" t="s">
        <v>266</v>
      </c>
      <c r="H3831" t="s">
        <v>36</v>
      </c>
      <c r="I3831">
        <v>23505</v>
      </c>
      <c r="J3831">
        <v>21214</v>
      </c>
    </row>
    <row r="3832" spans="1:10" x14ac:dyDescent="0.3">
      <c r="A3832" t="s">
        <v>3959</v>
      </c>
      <c r="B3832" s="1">
        <v>45877</v>
      </c>
      <c r="C3832" t="s">
        <v>113</v>
      </c>
      <c r="D3832">
        <v>32</v>
      </c>
      <c r="E3832" t="s">
        <v>24</v>
      </c>
      <c r="F3832" t="s">
        <v>50</v>
      </c>
      <c r="G3832" t="s">
        <v>230</v>
      </c>
      <c r="H3832" t="s">
        <v>98</v>
      </c>
      <c r="I3832">
        <v>24268</v>
      </c>
      <c r="J3832">
        <v>25071</v>
      </c>
    </row>
    <row r="3833" spans="1:10" x14ac:dyDescent="0.3">
      <c r="A3833" t="s">
        <v>3960</v>
      </c>
      <c r="B3833" s="1">
        <v>45865</v>
      </c>
      <c r="C3833" t="s">
        <v>11</v>
      </c>
      <c r="D3833">
        <v>30</v>
      </c>
      <c r="E3833" t="s">
        <v>18</v>
      </c>
      <c r="F3833" t="s">
        <v>43</v>
      </c>
      <c r="G3833" t="s">
        <v>14</v>
      </c>
      <c r="H3833" t="s">
        <v>111</v>
      </c>
      <c r="I3833">
        <v>36141</v>
      </c>
      <c r="J3833">
        <v>34249</v>
      </c>
    </row>
    <row r="3834" spans="1:10" x14ac:dyDescent="0.3">
      <c r="A3834" t="s">
        <v>3961</v>
      </c>
      <c r="B3834" s="1">
        <v>45967</v>
      </c>
      <c r="C3834" t="s">
        <v>23</v>
      </c>
      <c r="D3834">
        <v>45</v>
      </c>
      <c r="E3834" t="s">
        <v>33</v>
      </c>
      <c r="F3834" t="s">
        <v>43</v>
      </c>
      <c r="G3834" t="s">
        <v>79</v>
      </c>
      <c r="H3834" t="s">
        <v>52</v>
      </c>
      <c r="I3834">
        <v>21027</v>
      </c>
      <c r="J3834">
        <v>19311</v>
      </c>
    </row>
    <row r="3835" spans="1:10" x14ac:dyDescent="0.3">
      <c r="A3835" t="s">
        <v>3962</v>
      </c>
      <c r="B3835" s="1">
        <v>45816</v>
      </c>
      <c r="C3835" t="s">
        <v>74</v>
      </c>
      <c r="D3835">
        <v>23</v>
      </c>
      <c r="E3835" t="s">
        <v>33</v>
      </c>
      <c r="F3835" t="s">
        <v>13</v>
      </c>
      <c r="G3835" t="s">
        <v>88</v>
      </c>
      <c r="H3835" t="s">
        <v>21</v>
      </c>
      <c r="I3835">
        <v>18072</v>
      </c>
      <c r="J3835">
        <v>23051</v>
      </c>
    </row>
    <row r="3836" spans="1:10" x14ac:dyDescent="0.3">
      <c r="A3836" t="s">
        <v>3963</v>
      </c>
      <c r="B3836" s="1">
        <v>45727</v>
      </c>
      <c r="C3836" t="s">
        <v>95</v>
      </c>
      <c r="D3836">
        <v>11</v>
      </c>
      <c r="E3836" t="s">
        <v>39</v>
      </c>
      <c r="F3836" t="s">
        <v>92</v>
      </c>
      <c r="G3836" t="s">
        <v>230</v>
      </c>
      <c r="H3836" t="s">
        <v>116</v>
      </c>
      <c r="I3836">
        <v>19841</v>
      </c>
      <c r="J3836">
        <v>15180</v>
      </c>
    </row>
    <row r="3837" spans="1:10" x14ac:dyDescent="0.3">
      <c r="A3837" t="s">
        <v>3964</v>
      </c>
      <c r="B3837" s="1">
        <v>45792</v>
      </c>
      <c r="C3837" t="s">
        <v>90</v>
      </c>
      <c r="D3837">
        <v>20</v>
      </c>
      <c r="E3837" t="s">
        <v>18</v>
      </c>
      <c r="F3837" t="s">
        <v>57</v>
      </c>
      <c r="G3837" t="s">
        <v>14</v>
      </c>
      <c r="H3837" t="s">
        <v>103</v>
      </c>
      <c r="I3837">
        <v>22610</v>
      </c>
      <c r="J3837">
        <v>24773</v>
      </c>
    </row>
    <row r="3838" spans="1:10" x14ac:dyDescent="0.3">
      <c r="A3838" t="s">
        <v>3965</v>
      </c>
      <c r="B3838" s="1">
        <v>45789</v>
      </c>
      <c r="C3838" t="s">
        <v>90</v>
      </c>
      <c r="D3838">
        <v>20</v>
      </c>
      <c r="E3838" t="s">
        <v>61</v>
      </c>
      <c r="F3838" t="s">
        <v>34</v>
      </c>
      <c r="G3838" t="s">
        <v>83</v>
      </c>
      <c r="H3838" t="s">
        <v>119</v>
      </c>
      <c r="I3838">
        <v>34962</v>
      </c>
      <c r="J3838">
        <v>35630</v>
      </c>
    </row>
    <row r="3839" spans="1:10" x14ac:dyDescent="0.3">
      <c r="A3839" t="s">
        <v>3966</v>
      </c>
      <c r="B3839" s="1">
        <v>45907</v>
      </c>
      <c r="C3839" t="s">
        <v>38</v>
      </c>
      <c r="D3839">
        <v>36</v>
      </c>
      <c r="E3839" t="s">
        <v>61</v>
      </c>
      <c r="F3839" t="s">
        <v>25</v>
      </c>
      <c r="G3839" t="s">
        <v>30</v>
      </c>
      <c r="H3839" t="s">
        <v>48</v>
      </c>
      <c r="I3839">
        <v>21935</v>
      </c>
      <c r="J3839">
        <v>18755</v>
      </c>
    </row>
    <row r="3840" spans="1:10" x14ac:dyDescent="0.3">
      <c r="A3840" t="s">
        <v>3967</v>
      </c>
      <c r="B3840" s="1">
        <v>45868</v>
      </c>
      <c r="C3840" t="s">
        <v>11</v>
      </c>
      <c r="D3840">
        <v>31</v>
      </c>
      <c r="E3840" t="s">
        <v>12</v>
      </c>
      <c r="F3840" t="s">
        <v>50</v>
      </c>
      <c r="G3840" t="s">
        <v>79</v>
      </c>
      <c r="H3840" t="s">
        <v>64</v>
      </c>
      <c r="I3840">
        <v>33954</v>
      </c>
      <c r="J3840">
        <v>42585</v>
      </c>
    </row>
    <row r="3841" spans="1:10" x14ac:dyDescent="0.3">
      <c r="A3841" t="s">
        <v>3968</v>
      </c>
      <c r="B3841" s="1">
        <v>45963</v>
      </c>
      <c r="C3841" t="s">
        <v>23</v>
      </c>
      <c r="D3841">
        <v>44</v>
      </c>
      <c r="E3841" t="s">
        <v>33</v>
      </c>
      <c r="F3841" t="s">
        <v>75</v>
      </c>
      <c r="G3841" t="s">
        <v>79</v>
      </c>
      <c r="H3841" t="s">
        <v>84</v>
      </c>
      <c r="I3841">
        <v>29664</v>
      </c>
      <c r="J3841">
        <v>32346</v>
      </c>
    </row>
    <row r="3842" spans="1:10" x14ac:dyDescent="0.3">
      <c r="A3842" t="s">
        <v>3969</v>
      </c>
      <c r="B3842" s="1">
        <v>45857</v>
      </c>
      <c r="C3842" t="s">
        <v>11</v>
      </c>
      <c r="D3842">
        <v>29</v>
      </c>
      <c r="E3842" t="s">
        <v>24</v>
      </c>
      <c r="F3842" t="s">
        <v>78</v>
      </c>
      <c r="G3842" t="s">
        <v>88</v>
      </c>
      <c r="H3842" t="s">
        <v>31</v>
      </c>
      <c r="I3842">
        <v>19139</v>
      </c>
      <c r="J3842">
        <v>13594</v>
      </c>
    </row>
    <row r="3843" spans="1:10" x14ac:dyDescent="0.3">
      <c r="A3843" t="s">
        <v>3970</v>
      </c>
      <c r="B3843" s="1">
        <v>45872</v>
      </c>
      <c r="C3843" t="s">
        <v>113</v>
      </c>
      <c r="D3843">
        <v>31</v>
      </c>
      <c r="E3843" t="s">
        <v>18</v>
      </c>
      <c r="F3843" t="s">
        <v>114</v>
      </c>
      <c r="G3843" t="s">
        <v>107</v>
      </c>
      <c r="H3843" t="s">
        <v>15</v>
      </c>
      <c r="I3843">
        <v>26727</v>
      </c>
      <c r="J3843">
        <v>26150</v>
      </c>
    </row>
    <row r="3844" spans="1:10" x14ac:dyDescent="0.3">
      <c r="A3844" t="s">
        <v>3971</v>
      </c>
      <c r="B3844" s="1">
        <v>45766</v>
      </c>
      <c r="C3844" t="s">
        <v>86</v>
      </c>
      <c r="D3844">
        <v>16</v>
      </c>
      <c r="E3844" t="s">
        <v>18</v>
      </c>
      <c r="F3844" t="s">
        <v>140</v>
      </c>
      <c r="G3844" t="s">
        <v>206</v>
      </c>
      <c r="H3844" t="s">
        <v>52</v>
      </c>
      <c r="I3844">
        <v>21288</v>
      </c>
      <c r="J3844">
        <v>27075</v>
      </c>
    </row>
    <row r="3845" spans="1:10" x14ac:dyDescent="0.3">
      <c r="A3845" t="s">
        <v>3972</v>
      </c>
      <c r="B3845" s="1">
        <v>45812</v>
      </c>
      <c r="C3845" t="s">
        <v>74</v>
      </c>
      <c r="D3845">
        <v>23</v>
      </c>
      <c r="E3845" t="s">
        <v>24</v>
      </c>
      <c r="F3845" t="s">
        <v>25</v>
      </c>
      <c r="G3845" t="s">
        <v>224</v>
      </c>
      <c r="H3845" t="s">
        <v>165</v>
      </c>
      <c r="I3845">
        <v>27309</v>
      </c>
      <c r="J3845">
        <v>30595</v>
      </c>
    </row>
    <row r="3846" spans="1:10" x14ac:dyDescent="0.3">
      <c r="A3846" t="s">
        <v>3973</v>
      </c>
      <c r="B3846" s="1">
        <v>45815</v>
      </c>
      <c r="C3846" t="s">
        <v>74</v>
      </c>
      <c r="D3846">
        <v>23</v>
      </c>
      <c r="E3846" t="s">
        <v>33</v>
      </c>
      <c r="F3846" t="s">
        <v>101</v>
      </c>
      <c r="G3846" t="s">
        <v>20</v>
      </c>
      <c r="H3846" t="s">
        <v>133</v>
      </c>
      <c r="I3846">
        <v>18556</v>
      </c>
      <c r="J3846">
        <v>19635</v>
      </c>
    </row>
    <row r="3847" spans="1:10" x14ac:dyDescent="0.3">
      <c r="A3847" t="s">
        <v>3974</v>
      </c>
      <c r="B3847" s="1">
        <v>45798</v>
      </c>
      <c r="C3847" t="s">
        <v>90</v>
      </c>
      <c r="D3847">
        <v>21</v>
      </c>
      <c r="E3847" t="s">
        <v>24</v>
      </c>
      <c r="F3847" t="s">
        <v>140</v>
      </c>
      <c r="G3847" t="s">
        <v>291</v>
      </c>
      <c r="H3847" t="s">
        <v>243</v>
      </c>
      <c r="I3847">
        <v>28093</v>
      </c>
      <c r="J3847">
        <v>22958</v>
      </c>
    </row>
    <row r="3848" spans="1:10" x14ac:dyDescent="0.3">
      <c r="A3848" t="s">
        <v>3975</v>
      </c>
      <c r="B3848" s="1">
        <v>45705</v>
      </c>
      <c r="C3848" t="s">
        <v>82</v>
      </c>
      <c r="D3848">
        <v>8</v>
      </c>
      <c r="E3848" t="s">
        <v>70</v>
      </c>
      <c r="F3848" t="s">
        <v>25</v>
      </c>
      <c r="G3848" t="s">
        <v>234</v>
      </c>
      <c r="H3848" t="s">
        <v>155</v>
      </c>
      <c r="I3848">
        <v>28307</v>
      </c>
      <c r="J3848">
        <v>26702</v>
      </c>
    </row>
    <row r="3849" spans="1:10" x14ac:dyDescent="0.3">
      <c r="A3849" t="s">
        <v>3976</v>
      </c>
      <c r="B3849" s="1">
        <v>45695</v>
      </c>
      <c r="C3849" t="s">
        <v>82</v>
      </c>
      <c r="D3849">
        <v>6</v>
      </c>
      <c r="E3849" t="s">
        <v>24</v>
      </c>
      <c r="F3849" t="s">
        <v>19</v>
      </c>
      <c r="G3849" t="s">
        <v>224</v>
      </c>
      <c r="H3849" t="s">
        <v>163</v>
      </c>
      <c r="I3849">
        <v>39234</v>
      </c>
      <c r="J3849">
        <v>45008</v>
      </c>
    </row>
    <row r="3850" spans="1:10" x14ac:dyDescent="0.3">
      <c r="A3850" t="s">
        <v>3977</v>
      </c>
      <c r="B3850" s="1">
        <v>46017</v>
      </c>
      <c r="C3850" t="s">
        <v>100</v>
      </c>
      <c r="D3850">
        <v>52</v>
      </c>
      <c r="E3850" t="s">
        <v>12</v>
      </c>
      <c r="F3850" t="s">
        <v>101</v>
      </c>
      <c r="G3850" t="s">
        <v>128</v>
      </c>
      <c r="H3850" t="s">
        <v>163</v>
      </c>
      <c r="I3850">
        <v>17546</v>
      </c>
      <c r="J3850">
        <v>16366</v>
      </c>
    </row>
    <row r="3851" spans="1:10" x14ac:dyDescent="0.3">
      <c r="A3851" t="s">
        <v>3978</v>
      </c>
      <c r="B3851" s="1">
        <v>45831</v>
      </c>
      <c r="C3851" t="s">
        <v>74</v>
      </c>
      <c r="D3851">
        <v>26</v>
      </c>
      <c r="E3851" t="s">
        <v>70</v>
      </c>
      <c r="F3851" t="s">
        <v>50</v>
      </c>
      <c r="G3851" t="s">
        <v>44</v>
      </c>
      <c r="H3851" t="s">
        <v>55</v>
      </c>
      <c r="I3851">
        <v>34870</v>
      </c>
      <c r="J3851">
        <v>35800</v>
      </c>
    </row>
    <row r="3852" spans="1:10" x14ac:dyDescent="0.3">
      <c r="A3852" t="s">
        <v>3979</v>
      </c>
      <c r="B3852" s="1">
        <v>45895</v>
      </c>
      <c r="C3852" t="s">
        <v>113</v>
      </c>
      <c r="D3852">
        <v>35</v>
      </c>
      <c r="E3852" t="s">
        <v>18</v>
      </c>
      <c r="F3852" t="s">
        <v>87</v>
      </c>
      <c r="G3852" t="s">
        <v>141</v>
      </c>
      <c r="H3852" t="s">
        <v>41</v>
      </c>
      <c r="I3852">
        <v>17049</v>
      </c>
      <c r="J3852">
        <v>19426</v>
      </c>
    </row>
    <row r="3853" spans="1:10" x14ac:dyDescent="0.3">
      <c r="A3853" t="s">
        <v>3980</v>
      </c>
      <c r="B3853" s="1">
        <v>45868</v>
      </c>
      <c r="C3853" t="s">
        <v>11</v>
      </c>
      <c r="D3853">
        <v>31</v>
      </c>
      <c r="E3853" t="s">
        <v>33</v>
      </c>
      <c r="F3853" t="s">
        <v>109</v>
      </c>
      <c r="G3853" t="s">
        <v>83</v>
      </c>
      <c r="H3853" t="s">
        <v>80</v>
      </c>
      <c r="I3853">
        <v>15361</v>
      </c>
      <c r="J3853">
        <v>19719</v>
      </c>
    </row>
    <row r="3854" spans="1:10" x14ac:dyDescent="0.3">
      <c r="A3854" t="s">
        <v>3981</v>
      </c>
      <c r="B3854" s="1">
        <v>45743</v>
      </c>
      <c r="C3854" t="s">
        <v>95</v>
      </c>
      <c r="D3854">
        <v>13</v>
      </c>
      <c r="E3854" t="s">
        <v>61</v>
      </c>
      <c r="F3854" t="s">
        <v>92</v>
      </c>
      <c r="G3854" t="s">
        <v>160</v>
      </c>
      <c r="H3854" t="s">
        <v>80</v>
      </c>
      <c r="I3854">
        <v>32157</v>
      </c>
      <c r="J3854">
        <v>31149</v>
      </c>
    </row>
    <row r="3855" spans="1:10" x14ac:dyDescent="0.3">
      <c r="A3855" t="s">
        <v>3982</v>
      </c>
      <c r="B3855" s="1">
        <v>45931</v>
      </c>
      <c r="C3855" t="s">
        <v>66</v>
      </c>
      <c r="D3855">
        <v>40</v>
      </c>
      <c r="E3855" t="s">
        <v>61</v>
      </c>
      <c r="F3855" t="s">
        <v>78</v>
      </c>
      <c r="G3855" t="s">
        <v>51</v>
      </c>
      <c r="H3855" t="s">
        <v>96</v>
      </c>
      <c r="I3855">
        <v>15917</v>
      </c>
      <c r="J3855">
        <v>19419</v>
      </c>
    </row>
    <row r="3856" spans="1:10" x14ac:dyDescent="0.3">
      <c r="A3856" t="s">
        <v>3983</v>
      </c>
      <c r="B3856" s="1">
        <v>45693</v>
      </c>
      <c r="C3856" t="s">
        <v>82</v>
      </c>
      <c r="D3856">
        <v>6</v>
      </c>
      <c r="E3856" t="s">
        <v>18</v>
      </c>
      <c r="F3856" t="s">
        <v>50</v>
      </c>
      <c r="G3856" t="s">
        <v>201</v>
      </c>
      <c r="H3856" t="s">
        <v>31</v>
      </c>
      <c r="I3856">
        <v>31801</v>
      </c>
      <c r="J3856">
        <v>25321</v>
      </c>
    </row>
    <row r="3857" spans="1:10" x14ac:dyDescent="0.3">
      <c r="A3857" t="s">
        <v>3984</v>
      </c>
      <c r="B3857" s="1">
        <v>45908</v>
      </c>
      <c r="C3857" t="s">
        <v>38</v>
      </c>
      <c r="D3857">
        <v>37</v>
      </c>
      <c r="E3857" t="s">
        <v>70</v>
      </c>
      <c r="F3857" t="s">
        <v>109</v>
      </c>
      <c r="G3857" t="s">
        <v>47</v>
      </c>
      <c r="H3857" t="s">
        <v>119</v>
      </c>
      <c r="I3857">
        <v>34580</v>
      </c>
      <c r="J3857">
        <v>28470</v>
      </c>
    </row>
    <row r="3858" spans="1:10" x14ac:dyDescent="0.3">
      <c r="A3858" t="s">
        <v>3985</v>
      </c>
      <c r="B3858" s="1">
        <v>45993</v>
      </c>
      <c r="C3858" t="s">
        <v>100</v>
      </c>
      <c r="D3858">
        <v>49</v>
      </c>
      <c r="E3858" t="s">
        <v>39</v>
      </c>
      <c r="F3858" t="s">
        <v>122</v>
      </c>
      <c r="G3858" t="s">
        <v>79</v>
      </c>
      <c r="H3858" t="s">
        <v>96</v>
      </c>
      <c r="I3858">
        <v>31091</v>
      </c>
      <c r="J3858">
        <v>34869</v>
      </c>
    </row>
    <row r="3859" spans="1:10" x14ac:dyDescent="0.3">
      <c r="A3859" t="s">
        <v>3986</v>
      </c>
      <c r="B3859" s="1">
        <v>45875</v>
      </c>
      <c r="C3859" t="s">
        <v>113</v>
      </c>
      <c r="D3859">
        <v>32</v>
      </c>
      <c r="E3859" t="s">
        <v>18</v>
      </c>
      <c r="F3859" t="s">
        <v>43</v>
      </c>
      <c r="G3859" t="s">
        <v>240</v>
      </c>
      <c r="H3859" t="s">
        <v>157</v>
      </c>
      <c r="I3859">
        <v>19669</v>
      </c>
      <c r="J3859">
        <v>14781</v>
      </c>
    </row>
    <row r="3860" spans="1:10" x14ac:dyDescent="0.3">
      <c r="A3860" t="s">
        <v>3987</v>
      </c>
      <c r="B3860" s="1">
        <v>45955</v>
      </c>
      <c r="C3860" t="s">
        <v>66</v>
      </c>
      <c r="D3860">
        <v>43</v>
      </c>
      <c r="E3860" t="s">
        <v>61</v>
      </c>
      <c r="F3860" t="s">
        <v>92</v>
      </c>
      <c r="G3860" t="s">
        <v>160</v>
      </c>
      <c r="H3860" t="s">
        <v>52</v>
      </c>
      <c r="I3860">
        <v>23702</v>
      </c>
      <c r="J3860">
        <v>22433</v>
      </c>
    </row>
    <row r="3861" spans="1:10" x14ac:dyDescent="0.3">
      <c r="A3861" t="s">
        <v>3988</v>
      </c>
      <c r="B3861" s="1">
        <v>45858</v>
      </c>
      <c r="C3861" t="s">
        <v>11</v>
      </c>
      <c r="D3861">
        <v>29</v>
      </c>
      <c r="E3861" t="s">
        <v>61</v>
      </c>
      <c r="F3861" t="s">
        <v>50</v>
      </c>
      <c r="G3861" t="s">
        <v>160</v>
      </c>
      <c r="H3861" t="s">
        <v>27</v>
      </c>
      <c r="I3861">
        <v>20263</v>
      </c>
      <c r="J3861">
        <v>24703</v>
      </c>
    </row>
    <row r="3862" spans="1:10" x14ac:dyDescent="0.3">
      <c r="A3862" t="s">
        <v>3989</v>
      </c>
      <c r="B3862" s="1">
        <v>45672</v>
      </c>
      <c r="C3862" t="s">
        <v>17</v>
      </c>
      <c r="D3862">
        <v>3</v>
      </c>
      <c r="E3862" t="s">
        <v>61</v>
      </c>
      <c r="F3862" t="s">
        <v>140</v>
      </c>
      <c r="G3862" t="s">
        <v>130</v>
      </c>
      <c r="H3862" t="s">
        <v>111</v>
      </c>
      <c r="I3862">
        <v>34989</v>
      </c>
      <c r="J3862">
        <v>40554</v>
      </c>
    </row>
    <row r="3863" spans="1:10" x14ac:dyDescent="0.3">
      <c r="A3863" t="s">
        <v>3990</v>
      </c>
      <c r="B3863" s="1">
        <v>45804</v>
      </c>
      <c r="C3863" t="s">
        <v>90</v>
      </c>
      <c r="D3863">
        <v>22</v>
      </c>
      <c r="E3863" t="s">
        <v>70</v>
      </c>
      <c r="F3863" t="s">
        <v>62</v>
      </c>
      <c r="G3863" t="s">
        <v>20</v>
      </c>
      <c r="H3863" t="s">
        <v>80</v>
      </c>
      <c r="I3863">
        <v>24577</v>
      </c>
      <c r="J3863">
        <v>17649</v>
      </c>
    </row>
    <row r="3864" spans="1:10" x14ac:dyDescent="0.3">
      <c r="A3864" t="s">
        <v>3991</v>
      </c>
      <c r="B3864" s="1">
        <v>45985</v>
      </c>
      <c r="C3864" t="s">
        <v>23</v>
      </c>
      <c r="D3864">
        <v>48</v>
      </c>
      <c r="E3864" t="s">
        <v>61</v>
      </c>
      <c r="F3864" t="s">
        <v>13</v>
      </c>
      <c r="G3864" t="s">
        <v>141</v>
      </c>
      <c r="H3864" t="s">
        <v>15</v>
      </c>
      <c r="I3864">
        <v>18872</v>
      </c>
      <c r="J3864">
        <v>17008</v>
      </c>
    </row>
    <row r="3865" spans="1:10" x14ac:dyDescent="0.3">
      <c r="A3865" t="s">
        <v>3992</v>
      </c>
      <c r="B3865" s="1">
        <v>45818</v>
      </c>
      <c r="C3865" t="s">
        <v>74</v>
      </c>
      <c r="D3865">
        <v>24</v>
      </c>
      <c r="E3865" t="s">
        <v>33</v>
      </c>
      <c r="F3865" t="s">
        <v>50</v>
      </c>
      <c r="G3865" t="s">
        <v>137</v>
      </c>
      <c r="H3865" t="s">
        <v>31</v>
      </c>
      <c r="I3865">
        <v>28978</v>
      </c>
      <c r="J3865">
        <v>37254</v>
      </c>
    </row>
    <row r="3866" spans="1:10" x14ac:dyDescent="0.3">
      <c r="A3866" t="s">
        <v>3993</v>
      </c>
      <c r="B3866" s="1">
        <v>45930</v>
      </c>
      <c r="C3866" t="s">
        <v>38</v>
      </c>
      <c r="D3866">
        <v>40</v>
      </c>
      <c r="E3866" t="s">
        <v>70</v>
      </c>
      <c r="F3866" t="s">
        <v>92</v>
      </c>
      <c r="G3866" t="s">
        <v>253</v>
      </c>
      <c r="H3866" t="s">
        <v>155</v>
      </c>
      <c r="I3866">
        <v>34972</v>
      </c>
      <c r="J3866">
        <v>42747</v>
      </c>
    </row>
    <row r="3867" spans="1:10" x14ac:dyDescent="0.3">
      <c r="A3867" t="s">
        <v>3994</v>
      </c>
      <c r="B3867" s="1">
        <v>46016</v>
      </c>
      <c r="C3867" t="s">
        <v>100</v>
      </c>
      <c r="D3867">
        <v>52</v>
      </c>
      <c r="E3867" t="s">
        <v>61</v>
      </c>
      <c r="F3867" t="s">
        <v>78</v>
      </c>
      <c r="G3867" t="s">
        <v>201</v>
      </c>
      <c r="H3867" t="s">
        <v>21</v>
      </c>
      <c r="I3867">
        <v>27855</v>
      </c>
      <c r="J3867">
        <v>24313</v>
      </c>
    </row>
    <row r="3868" spans="1:10" x14ac:dyDescent="0.3">
      <c r="A3868" t="s">
        <v>3995</v>
      </c>
      <c r="B3868" s="1">
        <v>45840</v>
      </c>
      <c r="C3868" t="s">
        <v>11</v>
      </c>
      <c r="D3868">
        <v>27</v>
      </c>
      <c r="E3868" t="s">
        <v>18</v>
      </c>
      <c r="F3868" t="s">
        <v>62</v>
      </c>
      <c r="G3868" t="s">
        <v>128</v>
      </c>
      <c r="H3868" t="s">
        <v>48</v>
      </c>
      <c r="I3868">
        <v>36906</v>
      </c>
      <c r="J3868">
        <v>33604</v>
      </c>
    </row>
    <row r="3869" spans="1:10" x14ac:dyDescent="0.3">
      <c r="A3869" t="s">
        <v>3996</v>
      </c>
      <c r="B3869" s="1">
        <v>45669</v>
      </c>
      <c r="C3869" t="s">
        <v>17</v>
      </c>
      <c r="D3869">
        <v>2</v>
      </c>
      <c r="E3869" t="s">
        <v>70</v>
      </c>
      <c r="F3869" t="s">
        <v>75</v>
      </c>
      <c r="G3869" t="s">
        <v>72</v>
      </c>
      <c r="H3869" t="s">
        <v>84</v>
      </c>
      <c r="I3869">
        <v>33476</v>
      </c>
      <c r="J3869">
        <v>32050</v>
      </c>
    </row>
    <row r="3870" spans="1:10" x14ac:dyDescent="0.3">
      <c r="A3870" t="s">
        <v>3997</v>
      </c>
      <c r="B3870" s="1">
        <v>45918</v>
      </c>
      <c r="C3870" t="s">
        <v>38</v>
      </c>
      <c r="D3870">
        <v>38</v>
      </c>
      <c r="E3870" t="s">
        <v>12</v>
      </c>
      <c r="F3870" t="s">
        <v>34</v>
      </c>
      <c r="G3870" t="s">
        <v>240</v>
      </c>
      <c r="H3870" t="s">
        <v>84</v>
      </c>
      <c r="I3870">
        <v>31910</v>
      </c>
      <c r="J3870">
        <v>22762</v>
      </c>
    </row>
    <row r="3871" spans="1:10" x14ac:dyDescent="0.3">
      <c r="A3871" t="s">
        <v>3998</v>
      </c>
      <c r="B3871" s="1">
        <v>45920</v>
      </c>
      <c r="C3871" t="s">
        <v>38</v>
      </c>
      <c r="D3871">
        <v>38</v>
      </c>
      <c r="E3871" t="s">
        <v>18</v>
      </c>
      <c r="F3871" t="s">
        <v>57</v>
      </c>
      <c r="G3871" t="s">
        <v>35</v>
      </c>
      <c r="H3871" t="s">
        <v>80</v>
      </c>
      <c r="I3871">
        <v>30492</v>
      </c>
      <c r="J3871">
        <v>35452</v>
      </c>
    </row>
    <row r="3872" spans="1:10" x14ac:dyDescent="0.3">
      <c r="A3872" t="s">
        <v>3999</v>
      </c>
      <c r="B3872" s="1">
        <v>45664</v>
      </c>
      <c r="C3872" t="s">
        <v>17</v>
      </c>
      <c r="D3872">
        <v>2</v>
      </c>
      <c r="E3872" t="s">
        <v>33</v>
      </c>
      <c r="F3872" t="s">
        <v>43</v>
      </c>
      <c r="G3872" t="s">
        <v>230</v>
      </c>
      <c r="H3872" t="s">
        <v>243</v>
      </c>
      <c r="I3872">
        <v>30868</v>
      </c>
      <c r="J3872">
        <v>32023</v>
      </c>
    </row>
    <row r="3873" spans="1:10" x14ac:dyDescent="0.3">
      <c r="A3873" t="s">
        <v>4000</v>
      </c>
      <c r="B3873" s="1">
        <v>45964</v>
      </c>
      <c r="C3873" t="s">
        <v>23</v>
      </c>
      <c r="D3873">
        <v>45</v>
      </c>
      <c r="E3873" t="s">
        <v>70</v>
      </c>
      <c r="F3873" t="s">
        <v>62</v>
      </c>
      <c r="G3873" t="s">
        <v>191</v>
      </c>
      <c r="H3873" t="s">
        <v>163</v>
      </c>
      <c r="I3873">
        <v>23102</v>
      </c>
      <c r="J3873">
        <v>29865</v>
      </c>
    </row>
    <row r="3874" spans="1:10" x14ac:dyDescent="0.3">
      <c r="A3874" t="s">
        <v>4001</v>
      </c>
      <c r="B3874" s="1">
        <v>45706</v>
      </c>
      <c r="C3874" t="s">
        <v>82</v>
      </c>
      <c r="D3874">
        <v>8</v>
      </c>
      <c r="E3874" t="s">
        <v>12</v>
      </c>
      <c r="F3874" t="s">
        <v>101</v>
      </c>
      <c r="G3874" t="s">
        <v>326</v>
      </c>
      <c r="H3874" t="s">
        <v>165</v>
      </c>
      <c r="I3874">
        <v>26290</v>
      </c>
      <c r="J3874">
        <v>19751</v>
      </c>
    </row>
    <row r="3875" spans="1:10" x14ac:dyDescent="0.3">
      <c r="A3875" t="s">
        <v>4002</v>
      </c>
      <c r="B3875" s="1">
        <v>45716</v>
      </c>
      <c r="C3875" t="s">
        <v>82</v>
      </c>
      <c r="D3875">
        <v>9</v>
      </c>
      <c r="E3875" t="s">
        <v>70</v>
      </c>
      <c r="F3875" t="s">
        <v>62</v>
      </c>
      <c r="G3875" t="s">
        <v>20</v>
      </c>
      <c r="H3875" t="s">
        <v>68</v>
      </c>
      <c r="I3875">
        <v>22840</v>
      </c>
      <c r="J3875">
        <v>21080</v>
      </c>
    </row>
    <row r="3876" spans="1:10" x14ac:dyDescent="0.3">
      <c r="A3876" t="s">
        <v>4003</v>
      </c>
      <c r="B3876" s="1">
        <v>45689</v>
      </c>
      <c r="C3876" t="s">
        <v>82</v>
      </c>
      <c r="D3876">
        <v>5</v>
      </c>
      <c r="E3876" t="s">
        <v>12</v>
      </c>
      <c r="F3876" t="s">
        <v>78</v>
      </c>
      <c r="G3876" t="s">
        <v>76</v>
      </c>
      <c r="H3876" t="s">
        <v>68</v>
      </c>
      <c r="I3876">
        <v>27490</v>
      </c>
      <c r="J3876">
        <v>26182</v>
      </c>
    </row>
    <row r="3877" spans="1:10" x14ac:dyDescent="0.3">
      <c r="A3877" t="s">
        <v>4004</v>
      </c>
      <c r="B3877" s="1">
        <v>45990</v>
      </c>
      <c r="C3877" t="s">
        <v>23</v>
      </c>
      <c r="D3877">
        <v>48</v>
      </c>
      <c r="E3877" t="s">
        <v>33</v>
      </c>
      <c r="F3877" t="s">
        <v>109</v>
      </c>
      <c r="G3877" t="s">
        <v>145</v>
      </c>
      <c r="H3877" t="s">
        <v>80</v>
      </c>
      <c r="I3877">
        <v>16874</v>
      </c>
      <c r="J3877">
        <v>16023</v>
      </c>
    </row>
    <row r="3878" spans="1:10" x14ac:dyDescent="0.3">
      <c r="A3878" t="s">
        <v>4005</v>
      </c>
      <c r="B3878" s="1">
        <v>45717</v>
      </c>
      <c r="C3878" t="s">
        <v>95</v>
      </c>
      <c r="D3878">
        <v>9</v>
      </c>
      <c r="E3878" t="s">
        <v>70</v>
      </c>
      <c r="F3878" t="s">
        <v>34</v>
      </c>
      <c r="G3878" t="s">
        <v>83</v>
      </c>
      <c r="H3878" t="s">
        <v>84</v>
      </c>
      <c r="I3878">
        <v>26236</v>
      </c>
      <c r="J3878">
        <v>33648</v>
      </c>
    </row>
    <row r="3879" spans="1:10" x14ac:dyDescent="0.3">
      <c r="A3879" t="s">
        <v>4006</v>
      </c>
      <c r="B3879" s="1">
        <v>45812</v>
      </c>
      <c r="C3879" t="s">
        <v>74</v>
      </c>
      <c r="D3879">
        <v>23</v>
      </c>
      <c r="E3879" t="s">
        <v>18</v>
      </c>
      <c r="F3879" t="s">
        <v>92</v>
      </c>
      <c r="G3879" t="s">
        <v>26</v>
      </c>
      <c r="H3879" t="s">
        <v>111</v>
      </c>
      <c r="I3879">
        <v>27871</v>
      </c>
      <c r="J3879">
        <v>21062</v>
      </c>
    </row>
    <row r="3880" spans="1:10" x14ac:dyDescent="0.3">
      <c r="A3880" t="s">
        <v>4007</v>
      </c>
      <c r="B3880" s="1">
        <v>45827</v>
      </c>
      <c r="C3880" t="s">
        <v>74</v>
      </c>
      <c r="D3880">
        <v>25</v>
      </c>
      <c r="E3880" t="s">
        <v>61</v>
      </c>
      <c r="F3880" t="s">
        <v>43</v>
      </c>
      <c r="G3880" t="s">
        <v>171</v>
      </c>
      <c r="H3880" t="s">
        <v>103</v>
      </c>
      <c r="I3880">
        <v>25203</v>
      </c>
      <c r="J3880">
        <v>24580</v>
      </c>
    </row>
    <row r="3881" spans="1:10" x14ac:dyDescent="0.3">
      <c r="A3881" t="s">
        <v>4008</v>
      </c>
      <c r="B3881" s="1">
        <v>45937</v>
      </c>
      <c r="C3881" t="s">
        <v>66</v>
      </c>
      <c r="D3881">
        <v>41</v>
      </c>
      <c r="E3881" t="s">
        <v>33</v>
      </c>
      <c r="F3881" t="s">
        <v>34</v>
      </c>
      <c r="G3881" t="s">
        <v>88</v>
      </c>
      <c r="H3881" t="s">
        <v>55</v>
      </c>
      <c r="I3881">
        <v>32159</v>
      </c>
      <c r="J3881">
        <v>27789</v>
      </c>
    </row>
    <row r="3882" spans="1:10" x14ac:dyDescent="0.3">
      <c r="A3882" t="s">
        <v>4009</v>
      </c>
      <c r="B3882" s="1">
        <v>45889</v>
      </c>
      <c r="C3882" t="s">
        <v>113</v>
      </c>
      <c r="D3882">
        <v>34</v>
      </c>
      <c r="E3882" t="s">
        <v>33</v>
      </c>
      <c r="F3882" t="s">
        <v>46</v>
      </c>
      <c r="G3882" t="s">
        <v>291</v>
      </c>
      <c r="H3882" t="s">
        <v>36</v>
      </c>
      <c r="I3882">
        <v>20687</v>
      </c>
      <c r="J3882">
        <v>20702</v>
      </c>
    </row>
    <row r="3883" spans="1:10" x14ac:dyDescent="0.3">
      <c r="A3883" t="s">
        <v>4010</v>
      </c>
      <c r="B3883" s="1">
        <v>45967</v>
      </c>
      <c r="C3883" t="s">
        <v>23</v>
      </c>
      <c r="D3883">
        <v>45</v>
      </c>
      <c r="E3883" t="s">
        <v>12</v>
      </c>
      <c r="F3883" t="s">
        <v>57</v>
      </c>
      <c r="G3883" t="s">
        <v>171</v>
      </c>
      <c r="H3883" t="s">
        <v>98</v>
      </c>
      <c r="I3883">
        <v>32916</v>
      </c>
      <c r="J3883">
        <v>35366</v>
      </c>
    </row>
    <row r="3884" spans="1:10" x14ac:dyDescent="0.3">
      <c r="A3884" t="s">
        <v>4011</v>
      </c>
      <c r="B3884" s="1">
        <v>45920</v>
      </c>
      <c r="C3884" t="s">
        <v>38</v>
      </c>
      <c r="D3884">
        <v>38</v>
      </c>
      <c r="E3884" t="s">
        <v>70</v>
      </c>
      <c r="F3884" t="s">
        <v>122</v>
      </c>
      <c r="G3884" t="s">
        <v>145</v>
      </c>
      <c r="H3884" t="s">
        <v>111</v>
      </c>
      <c r="I3884">
        <v>22355</v>
      </c>
      <c r="J3884">
        <v>28024</v>
      </c>
    </row>
    <row r="3885" spans="1:10" x14ac:dyDescent="0.3">
      <c r="A3885" t="s">
        <v>4012</v>
      </c>
      <c r="B3885" s="1">
        <v>45780</v>
      </c>
      <c r="C3885" t="s">
        <v>90</v>
      </c>
      <c r="D3885">
        <v>18</v>
      </c>
      <c r="E3885" t="s">
        <v>33</v>
      </c>
      <c r="F3885" t="s">
        <v>43</v>
      </c>
      <c r="G3885" t="s">
        <v>58</v>
      </c>
      <c r="H3885" t="s">
        <v>41</v>
      </c>
      <c r="I3885">
        <v>36626</v>
      </c>
      <c r="J3885">
        <v>28113</v>
      </c>
    </row>
    <row r="3886" spans="1:10" x14ac:dyDescent="0.3">
      <c r="A3886" t="s">
        <v>4013</v>
      </c>
      <c r="B3886" s="1">
        <v>46000</v>
      </c>
      <c r="C3886" t="s">
        <v>100</v>
      </c>
      <c r="D3886">
        <v>50</v>
      </c>
      <c r="E3886" t="s">
        <v>33</v>
      </c>
      <c r="F3886" t="s">
        <v>62</v>
      </c>
      <c r="G3886" t="s">
        <v>118</v>
      </c>
      <c r="H3886" t="s">
        <v>55</v>
      </c>
      <c r="I3886">
        <v>31832</v>
      </c>
      <c r="J3886">
        <v>28900</v>
      </c>
    </row>
    <row r="3887" spans="1:10" x14ac:dyDescent="0.3">
      <c r="A3887" t="s">
        <v>4014</v>
      </c>
      <c r="B3887" s="1">
        <v>45753</v>
      </c>
      <c r="C3887" t="s">
        <v>86</v>
      </c>
      <c r="D3887">
        <v>14</v>
      </c>
      <c r="E3887" t="s">
        <v>18</v>
      </c>
      <c r="F3887" t="s">
        <v>13</v>
      </c>
      <c r="G3887" t="s">
        <v>58</v>
      </c>
      <c r="H3887" t="s">
        <v>103</v>
      </c>
      <c r="I3887">
        <v>33606</v>
      </c>
      <c r="J3887">
        <v>39758</v>
      </c>
    </row>
    <row r="3888" spans="1:10" x14ac:dyDescent="0.3">
      <c r="A3888" t="s">
        <v>4015</v>
      </c>
      <c r="B3888" s="1">
        <v>45921</v>
      </c>
      <c r="C3888" t="s">
        <v>38</v>
      </c>
      <c r="D3888">
        <v>38</v>
      </c>
      <c r="E3888" t="s">
        <v>18</v>
      </c>
      <c r="F3888" t="s">
        <v>29</v>
      </c>
      <c r="G3888" t="s">
        <v>102</v>
      </c>
      <c r="H3888" t="s">
        <v>59</v>
      </c>
      <c r="I3888">
        <v>27304</v>
      </c>
      <c r="J3888">
        <v>23871</v>
      </c>
    </row>
    <row r="3889" spans="1:10" x14ac:dyDescent="0.3">
      <c r="A3889" t="s">
        <v>4016</v>
      </c>
      <c r="B3889" s="1">
        <v>45815</v>
      </c>
      <c r="C3889" t="s">
        <v>74</v>
      </c>
      <c r="D3889">
        <v>23</v>
      </c>
      <c r="E3889" t="s">
        <v>39</v>
      </c>
      <c r="F3889" t="s">
        <v>193</v>
      </c>
      <c r="G3889" t="s">
        <v>324</v>
      </c>
      <c r="H3889" t="s">
        <v>98</v>
      </c>
      <c r="I3889">
        <v>30986</v>
      </c>
      <c r="J3889">
        <v>29380</v>
      </c>
    </row>
    <row r="3890" spans="1:10" x14ac:dyDescent="0.3">
      <c r="A3890" t="s">
        <v>4017</v>
      </c>
      <c r="B3890" s="1">
        <v>45761</v>
      </c>
      <c r="C3890" t="s">
        <v>86</v>
      </c>
      <c r="D3890">
        <v>16</v>
      </c>
      <c r="E3890" t="s">
        <v>61</v>
      </c>
      <c r="F3890" t="s">
        <v>87</v>
      </c>
      <c r="G3890" t="s">
        <v>88</v>
      </c>
      <c r="H3890" t="s">
        <v>36</v>
      </c>
      <c r="I3890">
        <v>18312</v>
      </c>
      <c r="J3890">
        <v>16169</v>
      </c>
    </row>
    <row r="3891" spans="1:10" x14ac:dyDescent="0.3">
      <c r="A3891" t="s">
        <v>4018</v>
      </c>
      <c r="B3891" s="1">
        <v>45749</v>
      </c>
      <c r="C3891" t="s">
        <v>86</v>
      </c>
      <c r="D3891">
        <v>14</v>
      </c>
      <c r="E3891" t="s">
        <v>70</v>
      </c>
      <c r="F3891" t="s">
        <v>114</v>
      </c>
      <c r="G3891" t="s">
        <v>47</v>
      </c>
      <c r="H3891" t="s">
        <v>98</v>
      </c>
      <c r="I3891">
        <v>19613</v>
      </c>
      <c r="J3891">
        <v>19985</v>
      </c>
    </row>
    <row r="3892" spans="1:10" x14ac:dyDescent="0.3">
      <c r="A3892" t="s">
        <v>4019</v>
      </c>
      <c r="B3892" s="1">
        <v>45875</v>
      </c>
      <c r="C3892" t="s">
        <v>113</v>
      </c>
      <c r="D3892">
        <v>32</v>
      </c>
      <c r="E3892" t="s">
        <v>33</v>
      </c>
      <c r="F3892" t="s">
        <v>13</v>
      </c>
      <c r="G3892" t="s">
        <v>145</v>
      </c>
      <c r="H3892" t="s">
        <v>111</v>
      </c>
      <c r="I3892">
        <v>29644</v>
      </c>
      <c r="J3892">
        <v>28015</v>
      </c>
    </row>
    <row r="3893" spans="1:10" x14ac:dyDescent="0.3">
      <c r="A3893" t="s">
        <v>4020</v>
      </c>
      <c r="B3893" s="1">
        <v>45912</v>
      </c>
      <c r="C3893" t="s">
        <v>38</v>
      </c>
      <c r="D3893">
        <v>37</v>
      </c>
      <c r="E3893" t="s">
        <v>33</v>
      </c>
      <c r="F3893" t="s">
        <v>46</v>
      </c>
      <c r="G3893" t="s">
        <v>253</v>
      </c>
      <c r="H3893" t="s">
        <v>80</v>
      </c>
      <c r="I3893">
        <v>21392</v>
      </c>
      <c r="J3893">
        <v>24448</v>
      </c>
    </row>
    <row r="3894" spans="1:10" x14ac:dyDescent="0.3">
      <c r="A3894" t="s">
        <v>4021</v>
      </c>
      <c r="B3894" s="1">
        <v>45960</v>
      </c>
      <c r="C3894" t="s">
        <v>66</v>
      </c>
      <c r="D3894">
        <v>44</v>
      </c>
      <c r="E3894" t="s">
        <v>24</v>
      </c>
      <c r="F3894" t="s">
        <v>122</v>
      </c>
      <c r="G3894" t="s">
        <v>149</v>
      </c>
      <c r="H3894" t="s">
        <v>80</v>
      </c>
      <c r="I3894">
        <v>36637</v>
      </c>
      <c r="J3894">
        <v>43698</v>
      </c>
    </row>
    <row r="3895" spans="1:10" x14ac:dyDescent="0.3">
      <c r="A3895" t="s">
        <v>4022</v>
      </c>
      <c r="B3895" s="1">
        <v>45706</v>
      </c>
      <c r="C3895" t="s">
        <v>82</v>
      </c>
      <c r="D3895">
        <v>8</v>
      </c>
      <c r="E3895" t="s">
        <v>39</v>
      </c>
      <c r="F3895" t="s">
        <v>114</v>
      </c>
      <c r="G3895" t="s">
        <v>191</v>
      </c>
      <c r="H3895" t="s">
        <v>68</v>
      </c>
      <c r="I3895">
        <v>30077</v>
      </c>
      <c r="J3895">
        <v>21490</v>
      </c>
    </row>
    <row r="3896" spans="1:10" x14ac:dyDescent="0.3">
      <c r="A3896" t="s">
        <v>4023</v>
      </c>
      <c r="B3896" s="1">
        <v>45733</v>
      </c>
      <c r="C3896" t="s">
        <v>95</v>
      </c>
      <c r="D3896">
        <v>12</v>
      </c>
      <c r="E3896" t="s">
        <v>39</v>
      </c>
      <c r="F3896" t="s">
        <v>13</v>
      </c>
      <c r="G3896" t="s">
        <v>102</v>
      </c>
      <c r="H3896" t="s">
        <v>96</v>
      </c>
      <c r="I3896">
        <v>24633</v>
      </c>
      <c r="J3896">
        <v>31057</v>
      </c>
    </row>
    <row r="3897" spans="1:10" x14ac:dyDescent="0.3">
      <c r="A3897" t="s">
        <v>4024</v>
      </c>
      <c r="B3897" s="1">
        <v>45768</v>
      </c>
      <c r="C3897" t="s">
        <v>86</v>
      </c>
      <c r="D3897">
        <v>17</v>
      </c>
      <c r="E3897" t="s">
        <v>33</v>
      </c>
      <c r="F3897" t="s">
        <v>43</v>
      </c>
      <c r="G3897" t="s">
        <v>79</v>
      </c>
      <c r="H3897" t="s">
        <v>59</v>
      </c>
      <c r="I3897">
        <v>36531</v>
      </c>
      <c r="J3897">
        <v>47310</v>
      </c>
    </row>
    <row r="3898" spans="1:10" x14ac:dyDescent="0.3">
      <c r="A3898" t="s">
        <v>4025</v>
      </c>
      <c r="B3898" s="1">
        <v>45786</v>
      </c>
      <c r="C3898" t="s">
        <v>90</v>
      </c>
      <c r="D3898">
        <v>19</v>
      </c>
      <c r="E3898" t="s">
        <v>12</v>
      </c>
      <c r="F3898" t="s">
        <v>101</v>
      </c>
      <c r="G3898" t="s">
        <v>291</v>
      </c>
      <c r="H3898" t="s">
        <v>123</v>
      </c>
      <c r="I3898">
        <v>31176</v>
      </c>
      <c r="J3898">
        <v>25205</v>
      </c>
    </row>
    <row r="3899" spans="1:10" x14ac:dyDescent="0.3">
      <c r="A3899" t="s">
        <v>4026</v>
      </c>
      <c r="B3899" s="1">
        <v>45949</v>
      </c>
      <c r="C3899" t="s">
        <v>66</v>
      </c>
      <c r="D3899">
        <v>42</v>
      </c>
      <c r="E3899" t="s">
        <v>70</v>
      </c>
      <c r="F3899" t="s">
        <v>19</v>
      </c>
      <c r="G3899" t="s">
        <v>93</v>
      </c>
      <c r="H3899" t="s">
        <v>111</v>
      </c>
      <c r="I3899">
        <v>28246</v>
      </c>
      <c r="J3899">
        <v>24520</v>
      </c>
    </row>
    <row r="3900" spans="1:10" x14ac:dyDescent="0.3">
      <c r="A3900" t="s">
        <v>4027</v>
      </c>
      <c r="B3900" s="1">
        <v>45961</v>
      </c>
      <c r="C3900" t="s">
        <v>66</v>
      </c>
      <c r="D3900">
        <v>44</v>
      </c>
      <c r="E3900" t="s">
        <v>24</v>
      </c>
      <c r="F3900" t="s">
        <v>29</v>
      </c>
      <c r="G3900" t="s">
        <v>326</v>
      </c>
      <c r="H3900" t="s">
        <v>31</v>
      </c>
      <c r="I3900">
        <v>34835</v>
      </c>
      <c r="J3900">
        <v>34220</v>
      </c>
    </row>
    <row r="3901" spans="1:10" x14ac:dyDescent="0.3">
      <c r="A3901" t="s">
        <v>4028</v>
      </c>
      <c r="B3901" s="1">
        <v>45945</v>
      </c>
      <c r="C3901" t="s">
        <v>66</v>
      </c>
      <c r="D3901">
        <v>42</v>
      </c>
      <c r="E3901" t="s">
        <v>18</v>
      </c>
      <c r="F3901" t="s">
        <v>19</v>
      </c>
      <c r="G3901" t="s">
        <v>115</v>
      </c>
      <c r="H3901" t="s">
        <v>119</v>
      </c>
      <c r="I3901">
        <v>30851</v>
      </c>
      <c r="J3901">
        <v>23988</v>
      </c>
    </row>
    <row r="3902" spans="1:10" x14ac:dyDescent="0.3">
      <c r="A3902" t="s">
        <v>4029</v>
      </c>
      <c r="B3902" s="1">
        <v>45674</v>
      </c>
      <c r="C3902" t="s">
        <v>17</v>
      </c>
      <c r="D3902">
        <v>3</v>
      </c>
      <c r="E3902" t="s">
        <v>39</v>
      </c>
      <c r="F3902" t="s">
        <v>62</v>
      </c>
      <c r="G3902" t="s">
        <v>26</v>
      </c>
      <c r="H3902" t="s">
        <v>27</v>
      </c>
      <c r="I3902">
        <v>18379</v>
      </c>
      <c r="J3902">
        <v>15225</v>
      </c>
    </row>
    <row r="3903" spans="1:10" x14ac:dyDescent="0.3">
      <c r="A3903" t="s">
        <v>4030</v>
      </c>
      <c r="B3903" s="1">
        <v>45822</v>
      </c>
      <c r="C3903" t="s">
        <v>74</v>
      </c>
      <c r="D3903">
        <v>24</v>
      </c>
      <c r="E3903" t="s">
        <v>70</v>
      </c>
      <c r="F3903" t="s">
        <v>34</v>
      </c>
      <c r="G3903" t="s">
        <v>147</v>
      </c>
      <c r="H3903" t="s">
        <v>55</v>
      </c>
      <c r="I3903">
        <v>21658</v>
      </c>
      <c r="J3903">
        <v>19680</v>
      </c>
    </row>
    <row r="3904" spans="1:10" x14ac:dyDescent="0.3">
      <c r="A3904" t="s">
        <v>4031</v>
      </c>
      <c r="B3904" s="1">
        <v>46007</v>
      </c>
      <c r="C3904" t="s">
        <v>100</v>
      </c>
      <c r="D3904">
        <v>51</v>
      </c>
      <c r="E3904" t="s">
        <v>61</v>
      </c>
      <c r="F3904" t="s">
        <v>92</v>
      </c>
      <c r="G3904" t="s">
        <v>240</v>
      </c>
      <c r="H3904" t="s">
        <v>123</v>
      </c>
      <c r="I3904">
        <v>19503</v>
      </c>
      <c r="J3904">
        <v>15141</v>
      </c>
    </row>
    <row r="3905" spans="1:10" x14ac:dyDescent="0.3">
      <c r="A3905" t="s">
        <v>4032</v>
      </c>
      <c r="B3905" s="1">
        <v>45799</v>
      </c>
      <c r="C3905" t="s">
        <v>90</v>
      </c>
      <c r="D3905">
        <v>21</v>
      </c>
      <c r="E3905" t="s">
        <v>24</v>
      </c>
      <c r="F3905" t="s">
        <v>50</v>
      </c>
      <c r="G3905" t="s">
        <v>79</v>
      </c>
      <c r="H3905" t="s">
        <v>123</v>
      </c>
      <c r="I3905">
        <v>37876</v>
      </c>
      <c r="J3905">
        <v>31383</v>
      </c>
    </row>
    <row r="3906" spans="1:10" x14ac:dyDescent="0.3">
      <c r="A3906" t="s">
        <v>4033</v>
      </c>
      <c r="B3906" s="1">
        <v>45756</v>
      </c>
      <c r="C3906" t="s">
        <v>86</v>
      </c>
      <c r="D3906">
        <v>15</v>
      </c>
      <c r="E3906" t="s">
        <v>18</v>
      </c>
      <c r="F3906" t="s">
        <v>25</v>
      </c>
      <c r="G3906" t="s">
        <v>126</v>
      </c>
      <c r="H3906" t="s">
        <v>21</v>
      </c>
      <c r="I3906">
        <v>15826</v>
      </c>
      <c r="J3906">
        <v>16012</v>
      </c>
    </row>
    <row r="3907" spans="1:10" x14ac:dyDescent="0.3">
      <c r="A3907" t="s">
        <v>4034</v>
      </c>
      <c r="B3907" s="1">
        <v>45792</v>
      </c>
      <c r="C3907" t="s">
        <v>90</v>
      </c>
      <c r="D3907">
        <v>20</v>
      </c>
      <c r="E3907" t="s">
        <v>33</v>
      </c>
      <c r="F3907" t="s">
        <v>46</v>
      </c>
      <c r="G3907" t="s">
        <v>35</v>
      </c>
      <c r="H3907" t="s">
        <v>116</v>
      </c>
      <c r="I3907">
        <v>29507</v>
      </c>
      <c r="J3907">
        <v>22825</v>
      </c>
    </row>
    <row r="3908" spans="1:10" x14ac:dyDescent="0.3">
      <c r="A3908" t="s">
        <v>4035</v>
      </c>
      <c r="B3908" s="1">
        <v>45997</v>
      </c>
      <c r="C3908" t="s">
        <v>100</v>
      </c>
      <c r="D3908">
        <v>49</v>
      </c>
      <c r="E3908" t="s">
        <v>70</v>
      </c>
      <c r="F3908" t="s">
        <v>43</v>
      </c>
      <c r="G3908" t="s">
        <v>88</v>
      </c>
      <c r="H3908" t="s">
        <v>211</v>
      </c>
      <c r="I3908">
        <v>16900</v>
      </c>
      <c r="J3908">
        <v>17960</v>
      </c>
    </row>
    <row r="3909" spans="1:10" x14ac:dyDescent="0.3">
      <c r="A3909" t="s">
        <v>4036</v>
      </c>
      <c r="B3909" s="1">
        <v>45920</v>
      </c>
      <c r="C3909" t="s">
        <v>38</v>
      </c>
      <c r="D3909">
        <v>38</v>
      </c>
      <c r="E3909" t="s">
        <v>18</v>
      </c>
      <c r="F3909" t="s">
        <v>193</v>
      </c>
      <c r="G3909" t="s">
        <v>137</v>
      </c>
      <c r="H3909" t="s">
        <v>21</v>
      </c>
      <c r="I3909">
        <v>35807</v>
      </c>
      <c r="J3909">
        <v>35391</v>
      </c>
    </row>
    <row r="3910" spans="1:10" x14ac:dyDescent="0.3">
      <c r="A3910" t="s">
        <v>4037</v>
      </c>
      <c r="B3910" s="1">
        <v>45832</v>
      </c>
      <c r="C3910" t="s">
        <v>74</v>
      </c>
      <c r="D3910">
        <v>26</v>
      </c>
      <c r="E3910" t="s">
        <v>61</v>
      </c>
      <c r="F3910" t="s">
        <v>87</v>
      </c>
      <c r="G3910" t="s">
        <v>58</v>
      </c>
      <c r="H3910" t="s">
        <v>84</v>
      </c>
      <c r="I3910">
        <v>24120</v>
      </c>
      <c r="J3910">
        <v>27279</v>
      </c>
    </row>
    <row r="3911" spans="1:10" x14ac:dyDescent="0.3">
      <c r="A3911" t="s">
        <v>4038</v>
      </c>
      <c r="B3911" s="1">
        <v>45718</v>
      </c>
      <c r="C3911" t="s">
        <v>95</v>
      </c>
      <c r="D3911">
        <v>9</v>
      </c>
      <c r="E3911" t="s">
        <v>39</v>
      </c>
      <c r="F3911" t="s">
        <v>13</v>
      </c>
      <c r="G3911" t="s">
        <v>118</v>
      </c>
      <c r="H3911" t="s">
        <v>103</v>
      </c>
      <c r="I3911">
        <v>16188</v>
      </c>
      <c r="J3911">
        <v>15561</v>
      </c>
    </row>
    <row r="3912" spans="1:10" x14ac:dyDescent="0.3">
      <c r="A3912" t="s">
        <v>4039</v>
      </c>
      <c r="B3912" s="1">
        <v>45949</v>
      </c>
      <c r="C3912" t="s">
        <v>66</v>
      </c>
      <c r="D3912">
        <v>42</v>
      </c>
      <c r="E3912" t="s">
        <v>61</v>
      </c>
      <c r="F3912" t="s">
        <v>114</v>
      </c>
      <c r="G3912" t="s">
        <v>230</v>
      </c>
      <c r="H3912" t="s">
        <v>96</v>
      </c>
      <c r="I3912">
        <v>30915</v>
      </c>
      <c r="J3912">
        <v>27992</v>
      </c>
    </row>
    <row r="3913" spans="1:10" x14ac:dyDescent="0.3">
      <c r="A3913" t="s">
        <v>4040</v>
      </c>
      <c r="B3913" s="1">
        <v>45911</v>
      </c>
      <c r="C3913" t="s">
        <v>38</v>
      </c>
      <c r="D3913">
        <v>37</v>
      </c>
      <c r="E3913" t="s">
        <v>39</v>
      </c>
      <c r="F3913" t="s">
        <v>62</v>
      </c>
      <c r="G3913" t="s">
        <v>58</v>
      </c>
      <c r="H3913" t="s">
        <v>155</v>
      </c>
      <c r="I3913">
        <v>24876</v>
      </c>
      <c r="J3913">
        <v>29346</v>
      </c>
    </row>
    <row r="3914" spans="1:10" x14ac:dyDescent="0.3">
      <c r="A3914" t="s">
        <v>4041</v>
      </c>
      <c r="B3914" s="1">
        <v>45675</v>
      </c>
      <c r="C3914" t="s">
        <v>17</v>
      </c>
      <c r="D3914">
        <v>3</v>
      </c>
      <c r="E3914" t="s">
        <v>61</v>
      </c>
      <c r="F3914" t="s">
        <v>75</v>
      </c>
      <c r="G3914" t="s">
        <v>171</v>
      </c>
      <c r="H3914" t="s">
        <v>163</v>
      </c>
      <c r="I3914">
        <v>16866</v>
      </c>
      <c r="J3914">
        <v>12005</v>
      </c>
    </row>
    <row r="3915" spans="1:10" x14ac:dyDescent="0.3">
      <c r="A3915" t="s">
        <v>4042</v>
      </c>
      <c r="B3915" s="1">
        <v>45966</v>
      </c>
      <c r="C3915" t="s">
        <v>23</v>
      </c>
      <c r="D3915">
        <v>45</v>
      </c>
      <c r="E3915" t="s">
        <v>70</v>
      </c>
      <c r="F3915" t="s">
        <v>101</v>
      </c>
      <c r="G3915" t="s">
        <v>135</v>
      </c>
      <c r="H3915" t="s">
        <v>133</v>
      </c>
      <c r="I3915">
        <v>23844</v>
      </c>
      <c r="J3915">
        <v>26418</v>
      </c>
    </row>
    <row r="3916" spans="1:10" x14ac:dyDescent="0.3">
      <c r="A3916" t="s">
        <v>4043</v>
      </c>
      <c r="B3916" s="1">
        <v>45859</v>
      </c>
      <c r="C3916" t="s">
        <v>11</v>
      </c>
      <c r="D3916">
        <v>30</v>
      </c>
      <c r="E3916" t="s">
        <v>12</v>
      </c>
      <c r="F3916" t="s">
        <v>101</v>
      </c>
      <c r="G3916" t="s">
        <v>44</v>
      </c>
      <c r="H3916" t="s">
        <v>96</v>
      </c>
      <c r="I3916">
        <v>24315</v>
      </c>
      <c r="J3916">
        <v>19775</v>
      </c>
    </row>
    <row r="3917" spans="1:10" x14ac:dyDescent="0.3">
      <c r="A3917" t="s">
        <v>4044</v>
      </c>
      <c r="B3917" s="1">
        <v>45671</v>
      </c>
      <c r="C3917" t="s">
        <v>17</v>
      </c>
      <c r="D3917">
        <v>3</v>
      </c>
      <c r="E3917" t="s">
        <v>39</v>
      </c>
      <c r="F3917" t="s">
        <v>19</v>
      </c>
      <c r="G3917" t="s">
        <v>266</v>
      </c>
      <c r="H3917" t="s">
        <v>119</v>
      </c>
      <c r="I3917">
        <v>38343</v>
      </c>
      <c r="J3917">
        <v>45363</v>
      </c>
    </row>
    <row r="3918" spans="1:10" x14ac:dyDescent="0.3">
      <c r="A3918" t="s">
        <v>4045</v>
      </c>
      <c r="B3918" s="1">
        <v>45728</v>
      </c>
      <c r="C3918" t="s">
        <v>95</v>
      </c>
      <c r="D3918">
        <v>11</v>
      </c>
      <c r="E3918" t="s">
        <v>39</v>
      </c>
      <c r="F3918" t="s">
        <v>101</v>
      </c>
      <c r="G3918" t="s">
        <v>35</v>
      </c>
      <c r="H3918" t="s">
        <v>243</v>
      </c>
      <c r="I3918">
        <v>17373</v>
      </c>
      <c r="J3918">
        <v>14762</v>
      </c>
    </row>
    <row r="3919" spans="1:10" x14ac:dyDescent="0.3">
      <c r="A3919" t="s">
        <v>4046</v>
      </c>
      <c r="B3919" s="1">
        <v>45890</v>
      </c>
      <c r="C3919" t="s">
        <v>113</v>
      </c>
      <c r="D3919">
        <v>34</v>
      </c>
      <c r="E3919" t="s">
        <v>70</v>
      </c>
      <c r="F3919" t="s">
        <v>114</v>
      </c>
      <c r="G3919" t="s">
        <v>44</v>
      </c>
      <c r="H3919" t="s">
        <v>64</v>
      </c>
      <c r="I3919">
        <v>28145</v>
      </c>
      <c r="J3919">
        <v>22049</v>
      </c>
    </row>
    <row r="3920" spans="1:10" x14ac:dyDescent="0.3">
      <c r="A3920" t="s">
        <v>4047</v>
      </c>
      <c r="B3920" s="1">
        <v>45887</v>
      </c>
      <c r="C3920" t="s">
        <v>113</v>
      </c>
      <c r="D3920">
        <v>34</v>
      </c>
      <c r="E3920" t="s">
        <v>33</v>
      </c>
      <c r="F3920" t="s">
        <v>78</v>
      </c>
      <c r="G3920" t="s">
        <v>130</v>
      </c>
      <c r="H3920" t="s">
        <v>68</v>
      </c>
      <c r="I3920">
        <v>17381</v>
      </c>
      <c r="J3920">
        <v>19580</v>
      </c>
    </row>
    <row r="3921" spans="1:10" x14ac:dyDescent="0.3">
      <c r="A3921" t="s">
        <v>4048</v>
      </c>
      <c r="B3921" s="1">
        <v>45792</v>
      </c>
      <c r="C3921" t="s">
        <v>90</v>
      </c>
      <c r="D3921">
        <v>20</v>
      </c>
      <c r="E3921" t="s">
        <v>33</v>
      </c>
      <c r="F3921" t="s">
        <v>34</v>
      </c>
      <c r="G3921" t="s">
        <v>40</v>
      </c>
      <c r="H3921" t="s">
        <v>96</v>
      </c>
      <c r="I3921">
        <v>39183</v>
      </c>
      <c r="J3921">
        <v>30568</v>
      </c>
    </row>
    <row r="3922" spans="1:10" x14ac:dyDescent="0.3">
      <c r="A3922" t="s">
        <v>4049</v>
      </c>
      <c r="B3922" s="1">
        <v>45871</v>
      </c>
      <c r="C3922" t="s">
        <v>113</v>
      </c>
      <c r="D3922">
        <v>31</v>
      </c>
      <c r="E3922" t="s">
        <v>61</v>
      </c>
      <c r="F3922" t="s">
        <v>87</v>
      </c>
      <c r="G3922" t="s">
        <v>72</v>
      </c>
      <c r="H3922" t="s">
        <v>98</v>
      </c>
      <c r="I3922">
        <v>20532</v>
      </c>
      <c r="J3922">
        <v>18124</v>
      </c>
    </row>
    <row r="3923" spans="1:10" x14ac:dyDescent="0.3">
      <c r="A3923" t="s">
        <v>4050</v>
      </c>
      <c r="B3923" s="1">
        <v>45742</v>
      </c>
      <c r="C3923" t="s">
        <v>95</v>
      </c>
      <c r="D3923">
        <v>13</v>
      </c>
      <c r="E3923" t="s">
        <v>33</v>
      </c>
      <c r="F3923" t="s">
        <v>140</v>
      </c>
      <c r="G3923" t="s">
        <v>230</v>
      </c>
      <c r="H3923" t="s">
        <v>163</v>
      </c>
      <c r="I3923">
        <v>15106</v>
      </c>
      <c r="J3923">
        <v>12227</v>
      </c>
    </row>
    <row r="3924" spans="1:10" x14ac:dyDescent="0.3">
      <c r="A3924" t="s">
        <v>4051</v>
      </c>
      <c r="B3924" s="1">
        <v>46013</v>
      </c>
      <c r="C3924" t="s">
        <v>100</v>
      </c>
      <c r="D3924">
        <v>52</v>
      </c>
      <c r="E3924" t="s">
        <v>18</v>
      </c>
      <c r="F3924" t="s">
        <v>50</v>
      </c>
      <c r="G3924" t="s">
        <v>224</v>
      </c>
      <c r="H3924" t="s">
        <v>103</v>
      </c>
      <c r="I3924">
        <v>17064</v>
      </c>
      <c r="J3924">
        <v>13261</v>
      </c>
    </row>
    <row r="3925" spans="1:10" x14ac:dyDescent="0.3">
      <c r="A3925" t="s">
        <v>4052</v>
      </c>
      <c r="B3925" s="1">
        <v>45786</v>
      </c>
      <c r="C3925" t="s">
        <v>90</v>
      </c>
      <c r="D3925">
        <v>19</v>
      </c>
      <c r="E3925" t="s">
        <v>70</v>
      </c>
      <c r="F3925" t="s">
        <v>19</v>
      </c>
      <c r="G3925" t="s">
        <v>102</v>
      </c>
      <c r="H3925" t="s">
        <v>111</v>
      </c>
      <c r="I3925">
        <v>28977</v>
      </c>
      <c r="J3925">
        <v>22215</v>
      </c>
    </row>
    <row r="3926" spans="1:10" x14ac:dyDescent="0.3">
      <c r="A3926" t="s">
        <v>4053</v>
      </c>
      <c r="B3926" s="1">
        <v>45750</v>
      </c>
      <c r="C3926" t="s">
        <v>86</v>
      </c>
      <c r="D3926">
        <v>14</v>
      </c>
      <c r="E3926" t="s">
        <v>18</v>
      </c>
      <c r="F3926" t="s">
        <v>34</v>
      </c>
      <c r="G3926" t="s">
        <v>93</v>
      </c>
      <c r="H3926" t="s">
        <v>48</v>
      </c>
      <c r="I3926">
        <v>37505</v>
      </c>
      <c r="J3926">
        <v>26836</v>
      </c>
    </row>
    <row r="3927" spans="1:10" x14ac:dyDescent="0.3">
      <c r="A3927" t="s">
        <v>4054</v>
      </c>
      <c r="B3927" s="1">
        <v>45924</v>
      </c>
      <c r="C3927" t="s">
        <v>38</v>
      </c>
      <c r="D3927">
        <v>39</v>
      </c>
      <c r="E3927" t="s">
        <v>70</v>
      </c>
      <c r="F3927" t="s">
        <v>29</v>
      </c>
      <c r="G3927" t="s">
        <v>137</v>
      </c>
      <c r="H3927" t="s">
        <v>68</v>
      </c>
      <c r="I3927">
        <v>27610</v>
      </c>
      <c r="J3927">
        <v>30975</v>
      </c>
    </row>
    <row r="3928" spans="1:10" x14ac:dyDescent="0.3">
      <c r="A3928" t="s">
        <v>4055</v>
      </c>
      <c r="B3928" s="1">
        <v>45934</v>
      </c>
      <c r="C3928" t="s">
        <v>66</v>
      </c>
      <c r="D3928">
        <v>40</v>
      </c>
      <c r="E3928" t="s">
        <v>18</v>
      </c>
      <c r="F3928" t="s">
        <v>13</v>
      </c>
      <c r="G3928" t="s">
        <v>126</v>
      </c>
      <c r="H3928" t="s">
        <v>151</v>
      </c>
      <c r="I3928">
        <v>21393</v>
      </c>
      <c r="J3928">
        <v>17413</v>
      </c>
    </row>
    <row r="3929" spans="1:10" x14ac:dyDescent="0.3">
      <c r="A3929" t="s">
        <v>4056</v>
      </c>
      <c r="B3929" s="1">
        <v>46014</v>
      </c>
      <c r="C3929" t="s">
        <v>100</v>
      </c>
      <c r="D3929">
        <v>52</v>
      </c>
      <c r="E3929" t="s">
        <v>61</v>
      </c>
      <c r="F3929" t="s">
        <v>114</v>
      </c>
      <c r="G3929" t="s">
        <v>149</v>
      </c>
      <c r="H3929" t="s">
        <v>98</v>
      </c>
      <c r="I3929">
        <v>26930</v>
      </c>
      <c r="J3929">
        <v>30864</v>
      </c>
    </row>
    <row r="3930" spans="1:10" x14ac:dyDescent="0.3">
      <c r="A3930" t="s">
        <v>4057</v>
      </c>
      <c r="B3930" s="1">
        <v>45717</v>
      </c>
      <c r="C3930" t="s">
        <v>95</v>
      </c>
      <c r="D3930">
        <v>9</v>
      </c>
      <c r="E3930" t="s">
        <v>18</v>
      </c>
      <c r="F3930" t="s">
        <v>101</v>
      </c>
      <c r="G3930" t="s">
        <v>206</v>
      </c>
      <c r="H3930" t="s">
        <v>98</v>
      </c>
      <c r="I3930">
        <v>20784</v>
      </c>
      <c r="J3930">
        <v>17265</v>
      </c>
    </row>
    <row r="3931" spans="1:10" x14ac:dyDescent="0.3">
      <c r="A3931" t="s">
        <v>4058</v>
      </c>
      <c r="B3931" s="1">
        <v>45923</v>
      </c>
      <c r="C3931" t="s">
        <v>38</v>
      </c>
      <c r="D3931">
        <v>39</v>
      </c>
      <c r="E3931" t="s">
        <v>70</v>
      </c>
      <c r="F3931" t="s">
        <v>78</v>
      </c>
      <c r="G3931" t="s">
        <v>224</v>
      </c>
      <c r="H3931" t="s">
        <v>96</v>
      </c>
      <c r="I3931">
        <v>31504</v>
      </c>
      <c r="J3931">
        <v>30113</v>
      </c>
    </row>
    <row r="3932" spans="1:10" x14ac:dyDescent="0.3">
      <c r="A3932" t="s">
        <v>4059</v>
      </c>
      <c r="B3932" s="1">
        <v>45794</v>
      </c>
      <c r="C3932" t="s">
        <v>90</v>
      </c>
      <c r="D3932">
        <v>20</v>
      </c>
      <c r="E3932" t="s">
        <v>18</v>
      </c>
      <c r="F3932" t="s">
        <v>92</v>
      </c>
      <c r="G3932" t="s">
        <v>102</v>
      </c>
      <c r="H3932" t="s">
        <v>119</v>
      </c>
      <c r="I3932">
        <v>30780</v>
      </c>
      <c r="J3932">
        <v>38631</v>
      </c>
    </row>
    <row r="3933" spans="1:10" x14ac:dyDescent="0.3">
      <c r="A3933" t="s">
        <v>4060</v>
      </c>
      <c r="B3933" s="1">
        <v>45971</v>
      </c>
      <c r="C3933" t="s">
        <v>23</v>
      </c>
      <c r="D3933">
        <v>46</v>
      </c>
      <c r="E3933" t="s">
        <v>61</v>
      </c>
      <c r="F3933" t="s">
        <v>13</v>
      </c>
      <c r="G3933" t="s">
        <v>110</v>
      </c>
      <c r="H3933" t="s">
        <v>123</v>
      </c>
      <c r="I3933">
        <v>16187</v>
      </c>
      <c r="J3933">
        <v>16363</v>
      </c>
    </row>
    <row r="3934" spans="1:10" x14ac:dyDescent="0.3">
      <c r="A3934" t="s">
        <v>4061</v>
      </c>
      <c r="B3934" s="1">
        <v>45889</v>
      </c>
      <c r="C3934" t="s">
        <v>113</v>
      </c>
      <c r="D3934">
        <v>34</v>
      </c>
      <c r="E3934" t="s">
        <v>70</v>
      </c>
      <c r="F3934" t="s">
        <v>50</v>
      </c>
      <c r="G3934" t="s">
        <v>110</v>
      </c>
      <c r="H3934" t="s">
        <v>31</v>
      </c>
      <c r="I3934">
        <v>15599</v>
      </c>
      <c r="J3934">
        <v>18674</v>
      </c>
    </row>
    <row r="3935" spans="1:10" x14ac:dyDescent="0.3">
      <c r="A3935" t="s">
        <v>4062</v>
      </c>
      <c r="B3935" s="1">
        <v>45962</v>
      </c>
      <c r="C3935" t="s">
        <v>23</v>
      </c>
      <c r="D3935">
        <v>44</v>
      </c>
      <c r="E3935" t="s">
        <v>70</v>
      </c>
      <c r="F3935" t="s">
        <v>29</v>
      </c>
      <c r="G3935" t="s">
        <v>224</v>
      </c>
      <c r="H3935" t="s">
        <v>116</v>
      </c>
      <c r="I3935">
        <v>23042</v>
      </c>
      <c r="J3935">
        <v>21966</v>
      </c>
    </row>
    <row r="3936" spans="1:10" x14ac:dyDescent="0.3">
      <c r="A3936" t="s">
        <v>4063</v>
      </c>
      <c r="B3936" s="1">
        <v>45812</v>
      </c>
      <c r="C3936" t="s">
        <v>74</v>
      </c>
      <c r="D3936">
        <v>23</v>
      </c>
      <c r="E3936" t="s">
        <v>33</v>
      </c>
      <c r="F3936" t="s">
        <v>78</v>
      </c>
      <c r="G3936" t="s">
        <v>30</v>
      </c>
      <c r="H3936" t="s">
        <v>48</v>
      </c>
      <c r="I3936">
        <v>39162</v>
      </c>
      <c r="J3936">
        <v>44626</v>
      </c>
    </row>
    <row r="3937" spans="1:10" x14ac:dyDescent="0.3">
      <c r="A3937" t="s">
        <v>4064</v>
      </c>
      <c r="B3937" s="1">
        <v>45888</v>
      </c>
      <c r="C3937" t="s">
        <v>113</v>
      </c>
      <c r="D3937">
        <v>34</v>
      </c>
      <c r="E3937" t="s">
        <v>18</v>
      </c>
      <c r="F3937" t="s">
        <v>57</v>
      </c>
      <c r="G3937" t="s">
        <v>137</v>
      </c>
      <c r="H3937" t="s">
        <v>243</v>
      </c>
      <c r="I3937">
        <v>22687</v>
      </c>
      <c r="J3937">
        <v>22258</v>
      </c>
    </row>
    <row r="3938" spans="1:10" x14ac:dyDescent="0.3">
      <c r="A3938" t="s">
        <v>4065</v>
      </c>
      <c r="B3938" s="1">
        <v>45870</v>
      </c>
      <c r="C3938" t="s">
        <v>113</v>
      </c>
      <c r="D3938">
        <v>31</v>
      </c>
      <c r="E3938" t="s">
        <v>33</v>
      </c>
      <c r="F3938" t="s">
        <v>25</v>
      </c>
      <c r="G3938" t="s">
        <v>35</v>
      </c>
      <c r="H3938" t="s">
        <v>163</v>
      </c>
      <c r="I3938">
        <v>27702</v>
      </c>
      <c r="J3938">
        <v>19663</v>
      </c>
    </row>
    <row r="3939" spans="1:10" x14ac:dyDescent="0.3">
      <c r="A3939" t="s">
        <v>4066</v>
      </c>
      <c r="B3939" s="1">
        <v>45968</v>
      </c>
      <c r="C3939" t="s">
        <v>23</v>
      </c>
      <c r="D3939">
        <v>45</v>
      </c>
      <c r="E3939" t="s">
        <v>12</v>
      </c>
      <c r="F3939" t="s">
        <v>140</v>
      </c>
      <c r="G3939" t="s">
        <v>234</v>
      </c>
      <c r="H3939" t="s">
        <v>64</v>
      </c>
      <c r="I3939">
        <v>28855</v>
      </c>
      <c r="J3939">
        <v>21903</v>
      </c>
    </row>
    <row r="3940" spans="1:10" x14ac:dyDescent="0.3">
      <c r="A3940" t="s">
        <v>4067</v>
      </c>
      <c r="B3940" s="1">
        <v>45858</v>
      </c>
      <c r="C3940" t="s">
        <v>11</v>
      </c>
      <c r="D3940">
        <v>29</v>
      </c>
      <c r="E3940" t="s">
        <v>24</v>
      </c>
      <c r="F3940" t="s">
        <v>193</v>
      </c>
      <c r="G3940" t="s">
        <v>20</v>
      </c>
      <c r="H3940" t="s">
        <v>157</v>
      </c>
      <c r="I3940">
        <v>38463</v>
      </c>
      <c r="J3940">
        <v>45486</v>
      </c>
    </row>
    <row r="3941" spans="1:10" x14ac:dyDescent="0.3">
      <c r="A3941" t="s">
        <v>4068</v>
      </c>
      <c r="B3941" s="1">
        <v>45755</v>
      </c>
      <c r="C3941" t="s">
        <v>86</v>
      </c>
      <c r="D3941">
        <v>15</v>
      </c>
      <c r="E3941" t="s">
        <v>70</v>
      </c>
      <c r="F3941" t="s">
        <v>46</v>
      </c>
      <c r="G3941" t="s">
        <v>160</v>
      </c>
      <c r="H3941" t="s">
        <v>36</v>
      </c>
      <c r="I3941">
        <v>38602</v>
      </c>
      <c r="J3941">
        <v>32204</v>
      </c>
    </row>
    <row r="3942" spans="1:10" x14ac:dyDescent="0.3">
      <c r="A3942" t="s">
        <v>4069</v>
      </c>
      <c r="B3942" s="1">
        <v>45829</v>
      </c>
      <c r="C3942" t="s">
        <v>74</v>
      </c>
      <c r="D3942">
        <v>25</v>
      </c>
      <c r="E3942" t="s">
        <v>39</v>
      </c>
      <c r="F3942" t="s">
        <v>101</v>
      </c>
      <c r="G3942" t="s">
        <v>201</v>
      </c>
      <c r="H3942" t="s">
        <v>15</v>
      </c>
      <c r="I3942">
        <v>27033</v>
      </c>
      <c r="J3942">
        <v>27168</v>
      </c>
    </row>
    <row r="3943" spans="1:10" x14ac:dyDescent="0.3">
      <c r="A3943" t="s">
        <v>4070</v>
      </c>
      <c r="B3943" s="1">
        <v>45714</v>
      </c>
      <c r="C3943" t="s">
        <v>82</v>
      </c>
      <c r="D3943">
        <v>9</v>
      </c>
      <c r="E3943" t="s">
        <v>33</v>
      </c>
      <c r="F3943" t="s">
        <v>78</v>
      </c>
      <c r="G3943" t="s">
        <v>201</v>
      </c>
      <c r="H3943" t="s">
        <v>64</v>
      </c>
      <c r="I3943">
        <v>28873</v>
      </c>
      <c r="J3943">
        <v>22406</v>
      </c>
    </row>
    <row r="3944" spans="1:10" x14ac:dyDescent="0.3">
      <c r="A3944" t="s">
        <v>4071</v>
      </c>
      <c r="B3944" s="1">
        <v>45682</v>
      </c>
      <c r="C3944" t="s">
        <v>17</v>
      </c>
      <c r="D3944">
        <v>4</v>
      </c>
      <c r="E3944" t="s">
        <v>70</v>
      </c>
      <c r="F3944" t="s">
        <v>29</v>
      </c>
      <c r="G3944" t="s">
        <v>126</v>
      </c>
      <c r="H3944" t="s">
        <v>48</v>
      </c>
      <c r="I3944">
        <v>35142</v>
      </c>
      <c r="J3944">
        <v>33419</v>
      </c>
    </row>
    <row r="3945" spans="1:10" x14ac:dyDescent="0.3">
      <c r="A3945" t="s">
        <v>4072</v>
      </c>
      <c r="B3945" s="1">
        <v>45853</v>
      </c>
      <c r="C3945" t="s">
        <v>11</v>
      </c>
      <c r="D3945">
        <v>29</v>
      </c>
      <c r="E3945" t="s">
        <v>18</v>
      </c>
      <c r="F3945" t="s">
        <v>34</v>
      </c>
      <c r="G3945" t="s">
        <v>145</v>
      </c>
      <c r="H3945" t="s">
        <v>36</v>
      </c>
      <c r="I3945">
        <v>24232</v>
      </c>
      <c r="J3945">
        <v>30514</v>
      </c>
    </row>
    <row r="3946" spans="1:10" x14ac:dyDescent="0.3">
      <c r="A3946" t="s">
        <v>4073</v>
      </c>
      <c r="B3946" s="1">
        <v>45807</v>
      </c>
      <c r="C3946" t="s">
        <v>90</v>
      </c>
      <c r="D3946">
        <v>22</v>
      </c>
      <c r="E3946" t="s">
        <v>61</v>
      </c>
      <c r="F3946" t="s">
        <v>87</v>
      </c>
      <c r="G3946" t="s">
        <v>147</v>
      </c>
      <c r="H3946" t="s">
        <v>55</v>
      </c>
      <c r="I3946">
        <v>36540</v>
      </c>
      <c r="J3946">
        <v>28348</v>
      </c>
    </row>
    <row r="3947" spans="1:10" x14ac:dyDescent="0.3">
      <c r="A3947" t="s">
        <v>4074</v>
      </c>
      <c r="B3947" s="1">
        <v>46006</v>
      </c>
      <c r="C3947" t="s">
        <v>100</v>
      </c>
      <c r="D3947">
        <v>51</v>
      </c>
      <c r="E3947" t="s">
        <v>70</v>
      </c>
      <c r="F3947" t="s">
        <v>43</v>
      </c>
      <c r="G3947" t="s">
        <v>191</v>
      </c>
      <c r="H3947" t="s">
        <v>151</v>
      </c>
      <c r="I3947">
        <v>25832</v>
      </c>
      <c r="J3947">
        <v>30129</v>
      </c>
    </row>
    <row r="3948" spans="1:10" x14ac:dyDescent="0.3">
      <c r="A3948" t="s">
        <v>4075</v>
      </c>
      <c r="B3948" s="1">
        <v>46000</v>
      </c>
      <c r="C3948" t="s">
        <v>100</v>
      </c>
      <c r="D3948">
        <v>50</v>
      </c>
      <c r="E3948" t="s">
        <v>39</v>
      </c>
      <c r="F3948" t="s">
        <v>25</v>
      </c>
      <c r="G3948" t="s">
        <v>182</v>
      </c>
      <c r="H3948" t="s">
        <v>103</v>
      </c>
      <c r="I3948">
        <v>15693</v>
      </c>
      <c r="J3948">
        <v>17668</v>
      </c>
    </row>
    <row r="3949" spans="1:10" x14ac:dyDescent="0.3">
      <c r="A3949" t="s">
        <v>4076</v>
      </c>
      <c r="B3949" s="1">
        <v>45798</v>
      </c>
      <c r="C3949" t="s">
        <v>90</v>
      </c>
      <c r="D3949">
        <v>21</v>
      </c>
      <c r="E3949" t="s">
        <v>18</v>
      </c>
      <c r="F3949" t="s">
        <v>13</v>
      </c>
      <c r="G3949" t="s">
        <v>182</v>
      </c>
      <c r="H3949" t="s">
        <v>21</v>
      </c>
      <c r="I3949">
        <v>39607</v>
      </c>
      <c r="J3949">
        <v>45210</v>
      </c>
    </row>
    <row r="3950" spans="1:10" x14ac:dyDescent="0.3">
      <c r="A3950" t="s">
        <v>4077</v>
      </c>
      <c r="B3950" s="1">
        <v>45807</v>
      </c>
      <c r="C3950" t="s">
        <v>90</v>
      </c>
      <c r="D3950">
        <v>22</v>
      </c>
      <c r="E3950" t="s">
        <v>61</v>
      </c>
      <c r="F3950" t="s">
        <v>140</v>
      </c>
      <c r="G3950" t="s">
        <v>199</v>
      </c>
      <c r="H3950" t="s">
        <v>55</v>
      </c>
      <c r="I3950">
        <v>25073</v>
      </c>
      <c r="J3950">
        <v>19555</v>
      </c>
    </row>
    <row r="3951" spans="1:10" x14ac:dyDescent="0.3">
      <c r="A3951" t="s">
        <v>4078</v>
      </c>
      <c r="B3951" s="1">
        <v>45681</v>
      </c>
      <c r="C3951" t="s">
        <v>17</v>
      </c>
      <c r="D3951">
        <v>4</v>
      </c>
      <c r="E3951" t="s">
        <v>18</v>
      </c>
      <c r="F3951" t="s">
        <v>75</v>
      </c>
      <c r="G3951" t="s">
        <v>47</v>
      </c>
      <c r="H3951" t="s">
        <v>163</v>
      </c>
      <c r="I3951">
        <v>37400</v>
      </c>
      <c r="J3951">
        <v>28019</v>
      </c>
    </row>
    <row r="3952" spans="1:10" x14ac:dyDescent="0.3">
      <c r="A3952" t="s">
        <v>4079</v>
      </c>
      <c r="B3952" s="1">
        <v>45856</v>
      </c>
      <c r="C3952" t="s">
        <v>11</v>
      </c>
      <c r="D3952">
        <v>29</v>
      </c>
      <c r="E3952" t="s">
        <v>24</v>
      </c>
      <c r="F3952" t="s">
        <v>34</v>
      </c>
      <c r="G3952" t="s">
        <v>130</v>
      </c>
      <c r="H3952" t="s">
        <v>21</v>
      </c>
      <c r="I3952">
        <v>38004</v>
      </c>
      <c r="J3952">
        <v>32342</v>
      </c>
    </row>
    <row r="3953" spans="1:10" x14ac:dyDescent="0.3">
      <c r="A3953" t="s">
        <v>4080</v>
      </c>
      <c r="B3953" s="1">
        <v>45773</v>
      </c>
      <c r="C3953" t="s">
        <v>86</v>
      </c>
      <c r="D3953">
        <v>17</v>
      </c>
      <c r="E3953" t="s">
        <v>12</v>
      </c>
      <c r="F3953" t="s">
        <v>114</v>
      </c>
      <c r="G3953" t="s">
        <v>58</v>
      </c>
      <c r="H3953" t="s">
        <v>243</v>
      </c>
      <c r="I3953">
        <v>34897</v>
      </c>
      <c r="J3953">
        <v>45065</v>
      </c>
    </row>
    <row r="3954" spans="1:10" x14ac:dyDescent="0.3">
      <c r="A3954" t="s">
        <v>4081</v>
      </c>
      <c r="B3954" s="1">
        <v>45981</v>
      </c>
      <c r="C3954" t="s">
        <v>23</v>
      </c>
      <c r="D3954">
        <v>47</v>
      </c>
      <c r="E3954" t="s">
        <v>18</v>
      </c>
      <c r="F3954" t="s">
        <v>140</v>
      </c>
      <c r="G3954" t="s">
        <v>40</v>
      </c>
      <c r="H3954" t="s">
        <v>123</v>
      </c>
      <c r="I3954">
        <v>25956</v>
      </c>
      <c r="J3954">
        <v>21557</v>
      </c>
    </row>
    <row r="3955" spans="1:10" x14ac:dyDescent="0.3">
      <c r="A3955" t="s">
        <v>4082</v>
      </c>
      <c r="B3955" s="1">
        <v>45978</v>
      </c>
      <c r="C3955" t="s">
        <v>23</v>
      </c>
      <c r="D3955">
        <v>47</v>
      </c>
      <c r="E3955" t="s">
        <v>33</v>
      </c>
      <c r="F3955" t="s">
        <v>57</v>
      </c>
      <c r="G3955" t="s">
        <v>324</v>
      </c>
      <c r="H3955" t="s">
        <v>52</v>
      </c>
      <c r="I3955">
        <v>20187</v>
      </c>
      <c r="J3955">
        <v>19278</v>
      </c>
    </row>
    <row r="3956" spans="1:10" x14ac:dyDescent="0.3">
      <c r="A3956" t="s">
        <v>4083</v>
      </c>
      <c r="B3956" s="1">
        <v>45743</v>
      </c>
      <c r="C3956" t="s">
        <v>95</v>
      </c>
      <c r="D3956">
        <v>13</v>
      </c>
      <c r="E3956" t="s">
        <v>33</v>
      </c>
      <c r="F3956" t="s">
        <v>50</v>
      </c>
      <c r="G3956" t="s">
        <v>137</v>
      </c>
      <c r="H3956" t="s">
        <v>155</v>
      </c>
      <c r="I3956">
        <v>37775</v>
      </c>
      <c r="J3956">
        <v>31840</v>
      </c>
    </row>
    <row r="3957" spans="1:10" x14ac:dyDescent="0.3">
      <c r="A3957" t="s">
        <v>4084</v>
      </c>
      <c r="B3957" s="1">
        <v>45775</v>
      </c>
      <c r="C3957" t="s">
        <v>86</v>
      </c>
      <c r="D3957">
        <v>18</v>
      </c>
      <c r="E3957" t="s">
        <v>39</v>
      </c>
      <c r="F3957" t="s">
        <v>193</v>
      </c>
      <c r="G3957" t="s">
        <v>149</v>
      </c>
      <c r="H3957" t="s">
        <v>188</v>
      </c>
      <c r="I3957">
        <v>21950</v>
      </c>
      <c r="J3957">
        <v>22568</v>
      </c>
    </row>
    <row r="3958" spans="1:10" x14ac:dyDescent="0.3">
      <c r="A3958" t="s">
        <v>4085</v>
      </c>
      <c r="B3958" s="1">
        <v>46017</v>
      </c>
      <c r="C3958" t="s">
        <v>100</v>
      </c>
      <c r="D3958">
        <v>52</v>
      </c>
      <c r="E3958" t="s">
        <v>70</v>
      </c>
      <c r="F3958" t="s">
        <v>13</v>
      </c>
      <c r="G3958" t="s">
        <v>79</v>
      </c>
      <c r="H3958" t="s">
        <v>119</v>
      </c>
      <c r="I3958">
        <v>20045</v>
      </c>
      <c r="J3958">
        <v>20228</v>
      </c>
    </row>
    <row r="3959" spans="1:10" x14ac:dyDescent="0.3">
      <c r="A3959" t="s">
        <v>4086</v>
      </c>
      <c r="B3959" s="1">
        <v>45895</v>
      </c>
      <c r="C3959" t="s">
        <v>113</v>
      </c>
      <c r="D3959">
        <v>35</v>
      </c>
      <c r="E3959" t="s">
        <v>18</v>
      </c>
      <c r="F3959" t="s">
        <v>114</v>
      </c>
      <c r="G3959" t="s">
        <v>291</v>
      </c>
      <c r="H3959" t="s">
        <v>52</v>
      </c>
      <c r="I3959">
        <v>39556</v>
      </c>
      <c r="J3959">
        <v>39069</v>
      </c>
    </row>
    <row r="3960" spans="1:10" x14ac:dyDescent="0.3">
      <c r="A3960" t="s">
        <v>4087</v>
      </c>
      <c r="B3960" s="1">
        <v>45670</v>
      </c>
      <c r="C3960" t="s">
        <v>17</v>
      </c>
      <c r="D3960">
        <v>3</v>
      </c>
      <c r="E3960" t="s">
        <v>39</v>
      </c>
      <c r="F3960" t="s">
        <v>50</v>
      </c>
      <c r="G3960" t="s">
        <v>102</v>
      </c>
      <c r="H3960" t="s">
        <v>64</v>
      </c>
      <c r="I3960">
        <v>27321</v>
      </c>
      <c r="J3960">
        <v>34686</v>
      </c>
    </row>
    <row r="3961" spans="1:10" x14ac:dyDescent="0.3">
      <c r="A3961" t="s">
        <v>4088</v>
      </c>
      <c r="B3961" s="1">
        <v>45724</v>
      </c>
      <c r="C3961" t="s">
        <v>95</v>
      </c>
      <c r="D3961">
        <v>10</v>
      </c>
      <c r="E3961" t="s">
        <v>33</v>
      </c>
      <c r="F3961" t="s">
        <v>25</v>
      </c>
      <c r="G3961" t="s">
        <v>253</v>
      </c>
      <c r="H3961" t="s">
        <v>52</v>
      </c>
      <c r="I3961">
        <v>32836</v>
      </c>
      <c r="J3961">
        <v>40342</v>
      </c>
    </row>
    <row r="3962" spans="1:10" x14ac:dyDescent="0.3">
      <c r="A3962" t="s">
        <v>4089</v>
      </c>
      <c r="B3962" s="1">
        <v>45878</v>
      </c>
      <c r="C3962" t="s">
        <v>113</v>
      </c>
      <c r="D3962">
        <v>32</v>
      </c>
      <c r="E3962" t="s">
        <v>33</v>
      </c>
      <c r="F3962" t="s">
        <v>122</v>
      </c>
      <c r="G3962" t="s">
        <v>126</v>
      </c>
      <c r="H3962" t="s">
        <v>133</v>
      </c>
      <c r="I3962">
        <v>26150</v>
      </c>
      <c r="J3962">
        <v>33328</v>
      </c>
    </row>
    <row r="3963" spans="1:10" x14ac:dyDescent="0.3">
      <c r="A3963" t="s">
        <v>4090</v>
      </c>
      <c r="B3963" s="1">
        <v>45947</v>
      </c>
      <c r="C3963" t="s">
        <v>66</v>
      </c>
      <c r="D3963">
        <v>42</v>
      </c>
      <c r="E3963" t="s">
        <v>12</v>
      </c>
      <c r="F3963" t="s">
        <v>75</v>
      </c>
      <c r="G3963" t="s">
        <v>171</v>
      </c>
      <c r="H3963" t="s">
        <v>41</v>
      </c>
      <c r="I3963">
        <v>37265</v>
      </c>
      <c r="J3963">
        <v>27214</v>
      </c>
    </row>
    <row r="3964" spans="1:10" x14ac:dyDescent="0.3">
      <c r="A3964" t="s">
        <v>4091</v>
      </c>
      <c r="B3964" s="1">
        <v>45945</v>
      </c>
      <c r="C3964" t="s">
        <v>66</v>
      </c>
      <c r="D3964">
        <v>42</v>
      </c>
      <c r="E3964" t="s">
        <v>18</v>
      </c>
      <c r="F3964" t="s">
        <v>46</v>
      </c>
      <c r="G3964" t="s">
        <v>253</v>
      </c>
      <c r="H3964" t="s">
        <v>211</v>
      </c>
      <c r="I3964">
        <v>29412</v>
      </c>
      <c r="J3964">
        <v>33604</v>
      </c>
    </row>
    <row r="3965" spans="1:10" x14ac:dyDescent="0.3">
      <c r="A3965" t="s">
        <v>4092</v>
      </c>
      <c r="B3965" s="1">
        <v>45731</v>
      </c>
      <c r="C3965" t="s">
        <v>95</v>
      </c>
      <c r="D3965">
        <v>11</v>
      </c>
      <c r="E3965" t="s">
        <v>61</v>
      </c>
      <c r="F3965" t="s">
        <v>140</v>
      </c>
      <c r="G3965" t="s">
        <v>206</v>
      </c>
      <c r="H3965" t="s">
        <v>123</v>
      </c>
      <c r="I3965">
        <v>20975</v>
      </c>
      <c r="J3965">
        <v>15801</v>
      </c>
    </row>
    <row r="3966" spans="1:10" x14ac:dyDescent="0.3">
      <c r="A3966" t="s">
        <v>4093</v>
      </c>
      <c r="B3966" s="1">
        <v>45885</v>
      </c>
      <c r="C3966" t="s">
        <v>113</v>
      </c>
      <c r="D3966">
        <v>33</v>
      </c>
      <c r="E3966" t="s">
        <v>33</v>
      </c>
      <c r="F3966" t="s">
        <v>101</v>
      </c>
      <c r="G3966" t="s">
        <v>58</v>
      </c>
      <c r="H3966" t="s">
        <v>157</v>
      </c>
      <c r="I3966">
        <v>22792</v>
      </c>
      <c r="J3966">
        <v>16205</v>
      </c>
    </row>
    <row r="3967" spans="1:10" x14ac:dyDescent="0.3">
      <c r="A3967" t="s">
        <v>4094</v>
      </c>
      <c r="B3967" s="1">
        <v>45946</v>
      </c>
      <c r="C3967" t="s">
        <v>66</v>
      </c>
      <c r="D3967">
        <v>42</v>
      </c>
      <c r="E3967" t="s">
        <v>39</v>
      </c>
      <c r="F3967" t="s">
        <v>29</v>
      </c>
      <c r="G3967" t="s">
        <v>326</v>
      </c>
      <c r="H3967" t="s">
        <v>96</v>
      </c>
      <c r="I3967">
        <v>31317</v>
      </c>
      <c r="J3967">
        <v>37385</v>
      </c>
    </row>
    <row r="3968" spans="1:10" x14ac:dyDescent="0.3">
      <c r="A3968" t="s">
        <v>4095</v>
      </c>
      <c r="B3968" s="1">
        <v>45978</v>
      </c>
      <c r="C3968" t="s">
        <v>23</v>
      </c>
      <c r="D3968">
        <v>47</v>
      </c>
      <c r="E3968" t="s">
        <v>33</v>
      </c>
      <c r="F3968" t="s">
        <v>78</v>
      </c>
      <c r="G3968" t="s">
        <v>149</v>
      </c>
      <c r="H3968" t="s">
        <v>27</v>
      </c>
      <c r="I3968">
        <v>35432</v>
      </c>
      <c r="J3968">
        <v>30979</v>
      </c>
    </row>
    <row r="3969" spans="1:10" x14ac:dyDescent="0.3">
      <c r="A3969" t="s">
        <v>4096</v>
      </c>
      <c r="B3969" s="1">
        <v>45660</v>
      </c>
      <c r="C3969" t="s">
        <v>17</v>
      </c>
      <c r="D3969">
        <v>1</v>
      </c>
      <c r="E3969" t="s">
        <v>70</v>
      </c>
      <c r="F3969" t="s">
        <v>25</v>
      </c>
      <c r="G3969" t="s">
        <v>141</v>
      </c>
      <c r="H3969" t="s">
        <v>41</v>
      </c>
      <c r="I3969">
        <v>26869</v>
      </c>
      <c r="J3969">
        <v>32195</v>
      </c>
    </row>
    <row r="3970" spans="1:10" x14ac:dyDescent="0.3">
      <c r="A3970" t="s">
        <v>4097</v>
      </c>
      <c r="B3970" s="1">
        <v>45892</v>
      </c>
      <c r="C3970" t="s">
        <v>113</v>
      </c>
      <c r="D3970">
        <v>34</v>
      </c>
      <c r="E3970" t="s">
        <v>39</v>
      </c>
      <c r="F3970" t="s">
        <v>25</v>
      </c>
      <c r="G3970" t="s">
        <v>171</v>
      </c>
      <c r="H3970" t="s">
        <v>15</v>
      </c>
      <c r="I3970">
        <v>15431</v>
      </c>
      <c r="J3970">
        <v>19191</v>
      </c>
    </row>
    <row r="3971" spans="1:10" x14ac:dyDescent="0.3">
      <c r="A3971" t="s">
        <v>4098</v>
      </c>
      <c r="B3971" s="1">
        <v>45856</v>
      </c>
      <c r="C3971" t="s">
        <v>11</v>
      </c>
      <c r="D3971">
        <v>29</v>
      </c>
      <c r="E3971" t="s">
        <v>33</v>
      </c>
      <c r="F3971" t="s">
        <v>25</v>
      </c>
      <c r="G3971" t="s">
        <v>79</v>
      </c>
      <c r="H3971" t="s">
        <v>68</v>
      </c>
      <c r="I3971">
        <v>28461</v>
      </c>
      <c r="J3971">
        <v>32029</v>
      </c>
    </row>
    <row r="3972" spans="1:10" x14ac:dyDescent="0.3">
      <c r="A3972" t="s">
        <v>4099</v>
      </c>
      <c r="B3972" s="1">
        <v>45841</v>
      </c>
      <c r="C3972" t="s">
        <v>11</v>
      </c>
      <c r="D3972">
        <v>27</v>
      </c>
      <c r="E3972" t="s">
        <v>33</v>
      </c>
      <c r="F3972" t="s">
        <v>13</v>
      </c>
      <c r="G3972" t="s">
        <v>115</v>
      </c>
      <c r="H3972" t="s">
        <v>52</v>
      </c>
      <c r="I3972">
        <v>38041</v>
      </c>
      <c r="J3972">
        <v>36752</v>
      </c>
    </row>
    <row r="3973" spans="1:10" x14ac:dyDescent="0.3">
      <c r="A3973" t="s">
        <v>4100</v>
      </c>
      <c r="B3973" s="1">
        <v>45824</v>
      </c>
      <c r="C3973" t="s">
        <v>74</v>
      </c>
      <c r="D3973">
        <v>25</v>
      </c>
      <c r="E3973" t="s">
        <v>61</v>
      </c>
      <c r="F3973" t="s">
        <v>57</v>
      </c>
      <c r="G3973" t="s">
        <v>141</v>
      </c>
      <c r="H3973" t="s">
        <v>52</v>
      </c>
      <c r="I3973">
        <v>29129</v>
      </c>
      <c r="J3973">
        <v>26856</v>
      </c>
    </row>
    <row r="3974" spans="1:10" x14ac:dyDescent="0.3">
      <c r="A3974" t="s">
        <v>4101</v>
      </c>
      <c r="B3974" s="1">
        <v>45925</v>
      </c>
      <c r="C3974" t="s">
        <v>38</v>
      </c>
      <c r="D3974">
        <v>39</v>
      </c>
      <c r="E3974" t="s">
        <v>24</v>
      </c>
      <c r="F3974" t="s">
        <v>19</v>
      </c>
      <c r="G3974" t="s">
        <v>253</v>
      </c>
      <c r="H3974" t="s">
        <v>59</v>
      </c>
      <c r="I3974">
        <v>39115</v>
      </c>
      <c r="J3974">
        <v>39415</v>
      </c>
    </row>
    <row r="3975" spans="1:10" x14ac:dyDescent="0.3">
      <c r="A3975" t="s">
        <v>4102</v>
      </c>
      <c r="B3975" s="1">
        <v>45772</v>
      </c>
      <c r="C3975" t="s">
        <v>86</v>
      </c>
      <c r="D3975">
        <v>17</v>
      </c>
      <c r="E3975" t="s">
        <v>61</v>
      </c>
      <c r="F3975" t="s">
        <v>19</v>
      </c>
      <c r="G3975" t="s">
        <v>47</v>
      </c>
      <c r="H3975" t="s">
        <v>36</v>
      </c>
      <c r="I3975">
        <v>37059</v>
      </c>
      <c r="J3975">
        <v>30261</v>
      </c>
    </row>
    <row r="3976" spans="1:10" x14ac:dyDescent="0.3">
      <c r="A3976" t="s">
        <v>4103</v>
      </c>
      <c r="B3976" s="1">
        <v>45833</v>
      </c>
      <c r="C3976" t="s">
        <v>74</v>
      </c>
      <c r="D3976">
        <v>26</v>
      </c>
      <c r="E3976" t="s">
        <v>70</v>
      </c>
      <c r="F3976" t="s">
        <v>43</v>
      </c>
      <c r="G3976" t="s">
        <v>141</v>
      </c>
      <c r="H3976" t="s">
        <v>98</v>
      </c>
      <c r="I3976">
        <v>17232</v>
      </c>
      <c r="J3976">
        <v>19933</v>
      </c>
    </row>
    <row r="3977" spans="1:10" x14ac:dyDescent="0.3">
      <c r="A3977" t="s">
        <v>4104</v>
      </c>
      <c r="B3977" s="1">
        <v>45729</v>
      </c>
      <c r="C3977" t="s">
        <v>95</v>
      </c>
      <c r="D3977">
        <v>11</v>
      </c>
      <c r="E3977" t="s">
        <v>24</v>
      </c>
      <c r="F3977" t="s">
        <v>50</v>
      </c>
      <c r="G3977" t="s">
        <v>171</v>
      </c>
      <c r="H3977" t="s">
        <v>123</v>
      </c>
      <c r="I3977">
        <v>23063</v>
      </c>
      <c r="J3977">
        <v>16719</v>
      </c>
    </row>
    <row r="3978" spans="1:10" x14ac:dyDescent="0.3">
      <c r="A3978" t="s">
        <v>4105</v>
      </c>
      <c r="B3978" s="1">
        <v>45674</v>
      </c>
      <c r="C3978" t="s">
        <v>17</v>
      </c>
      <c r="D3978">
        <v>3</v>
      </c>
      <c r="E3978" t="s">
        <v>39</v>
      </c>
      <c r="F3978" t="s">
        <v>101</v>
      </c>
      <c r="G3978" t="s">
        <v>115</v>
      </c>
      <c r="H3978" t="s">
        <v>157</v>
      </c>
      <c r="I3978">
        <v>16037</v>
      </c>
      <c r="J3978">
        <v>13775</v>
      </c>
    </row>
    <row r="3979" spans="1:10" x14ac:dyDescent="0.3">
      <c r="A3979" t="s">
        <v>4106</v>
      </c>
      <c r="B3979" s="1">
        <v>45820</v>
      </c>
      <c r="C3979" t="s">
        <v>74</v>
      </c>
      <c r="D3979">
        <v>24</v>
      </c>
      <c r="E3979" t="s">
        <v>18</v>
      </c>
      <c r="F3979" t="s">
        <v>13</v>
      </c>
      <c r="G3979" t="s">
        <v>58</v>
      </c>
      <c r="H3979" t="s">
        <v>211</v>
      </c>
      <c r="I3979">
        <v>39543</v>
      </c>
      <c r="J3979">
        <v>48485</v>
      </c>
    </row>
    <row r="3980" spans="1:10" x14ac:dyDescent="0.3">
      <c r="A3980" t="s">
        <v>4107</v>
      </c>
      <c r="B3980" s="1">
        <v>45688</v>
      </c>
      <c r="C3980" t="s">
        <v>17</v>
      </c>
      <c r="D3980">
        <v>5</v>
      </c>
      <c r="E3980" t="s">
        <v>61</v>
      </c>
      <c r="F3980" t="s">
        <v>78</v>
      </c>
      <c r="G3980" t="s">
        <v>115</v>
      </c>
      <c r="H3980" t="s">
        <v>188</v>
      </c>
      <c r="I3980">
        <v>31277</v>
      </c>
      <c r="J3980">
        <v>39800</v>
      </c>
    </row>
    <row r="3981" spans="1:10" x14ac:dyDescent="0.3">
      <c r="A3981" t="s">
        <v>4108</v>
      </c>
      <c r="B3981" s="1">
        <v>45810</v>
      </c>
      <c r="C3981" t="s">
        <v>74</v>
      </c>
      <c r="D3981">
        <v>23</v>
      </c>
      <c r="E3981" t="s">
        <v>70</v>
      </c>
      <c r="F3981" t="s">
        <v>13</v>
      </c>
      <c r="G3981" t="s">
        <v>149</v>
      </c>
      <c r="H3981" t="s">
        <v>111</v>
      </c>
      <c r="I3981">
        <v>18692</v>
      </c>
      <c r="J3981">
        <v>20585</v>
      </c>
    </row>
    <row r="3982" spans="1:10" x14ac:dyDescent="0.3">
      <c r="A3982" t="s">
        <v>4109</v>
      </c>
      <c r="B3982" s="1">
        <v>45863</v>
      </c>
      <c r="C3982" t="s">
        <v>11</v>
      </c>
      <c r="D3982">
        <v>30</v>
      </c>
      <c r="E3982" t="s">
        <v>24</v>
      </c>
      <c r="F3982" t="s">
        <v>13</v>
      </c>
      <c r="G3982" t="s">
        <v>240</v>
      </c>
      <c r="H3982" t="s">
        <v>103</v>
      </c>
      <c r="I3982">
        <v>25365</v>
      </c>
      <c r="J3982">
        <v>25095</v>
      </c>
    </row>
    <row r="3983" spans="1:10" x14ac:dyDescent="0.3">
      <c r="A3983" t="s">
        <v>4110</v>
      </c>
      <c r="B3983" s="1">
        <v>45688</v>
      </c>
      <c r="C3983" t="s">
        <v>17</v>
      </c>
      <c r="D3983">
        <v>5</v>
      </c>
      <c r="E3983" t="s">
        <v>39</v>
      </c>
      <c r="F3983" t="s">
        <v>29</v>
      </c>
      <c r="G3983" t="s">
        <v>88</v>
      </c>
      <c r="H3983" t="s">
        <v>163</v>
      </c>
      <c r="I3983">
        <v>26597</v>
      </c>
      <c r="J3983">
        <v>23828</v>
      </c>
    </row>
    <row r="3984" spans="1:10" x14ac:dyDescent="0.3">
      <c r="A3984" t="s">
        <v>4111</v>
      </c>
      <c r="B3984" s="1">
        <v>45763</v>
      </c>
      <c r="C3984" t="s">
        <v>86</v>
      </c>
      <c r="D3984">
        <v>16</v>
      </c>
      <c r="E3984" t="s">
        <v>33</v>
      </c>
      <c r="F3984" t="s">
        <v>57</v>
      </c>
      <c r="G3984" t="s">
        <v>160</v>
      </c>
      <c r="H3984" t="s">
        <v>27</v>
      </c>
      <c r="I3984">
        <v>38014</v>
      </c>
      <c r="J3984">
        <v>30595</v>
      </c>
    </row>
    <row r="3985" spans="1:10" x14ac:dyDescent="0.3">
      <c r="A3985" t="s">
        <v>4112</v>
      </c>
      <c r="B3985" s="1">
        <v>45944</v>
      </c>
      <c r="C3985" t="s">
        <v>66</v>
      </c>
      <c r="D3985">
        <v>42</v>
      </c>
      <c r="E3985" t="s">
        <v>12</v>
      </c>
      <c r="F3985" t="s">
        <v>13</v>
      </c>
      <c r="G3985" t="s">
        <v>324</v>
      </c>
      <c r="H3985" t="s">
        <v>119</v>
      </c>
      <c r="I3985">
        <v>35968</v>
      </c>
      <c r="J3985">
        <v>29558</v>
      </c>
    </row>
    <row r="3986" spans="1:10" x14ac:dyDescent="0.3">
      <c r="A3986" t="s">
        <v>4113</v>
      </c>
      <c r="B3986" s="1">
        <v>45744</v>
      </c>
      <c r="C3986" t="s">
        <v>95</v>
      </c>
      <c r="D3986">
        <v>13</v>
      </c>
      <c r="E3986" t="s">
        <v>61</v>
      </c>
      <c r="F3986" t="s">
        <v>140</v>
      </c>
      <c r="G3986" t="s">
        <v>171</v>
      </c>
      <c r="H3986" t="s">
        <v>21</v>
      </c>
      <c r="I3986">
        <v>16360</v>
      </c>
      <c r="J3986">
        <v>16991</v>
      </c>
    </row>
    <row r="3987" spans="1:10" x14ac:dyDescent="0.3">
      <c r="A3987" t="s">
        <v>4114</v>
      </c>
      <c r="B3987" s="1">
        <v>45978</v>
      </c>
      <c r="C3987" t="s">
        <v>23</v>
      </c>
      <c r="D3987">
        <v>47</v>
      </c>
      <c r="E3987" t="s">
        <v>61</v>
      </c>
      <c r="F3987" t="s">
        <v>92</v>
      </c>
      <c r="G3987" t="s">
        <v>145</v>
      </c>
      <c r="H3987" t="s">
        <v>98</v>
      </c>
      <c r="I3987">
        <v>36907</v>
      </c>
      <c r="J3987">
        <v>42733</v>
      </c>
    </row>
    <row r="3988" spans="1:10" x14ac:dyDescent="0.3">
      <c r="A3988" t="s">
        <v>4115</v>
      </c>
      <c r="B3988" s="1">
        <v>45917</v>
      </c>
      <c r="C3988" t="s">
        <v>38</v>
      </c>
      <c r="D3988">
        <v>38</v>
      </c>
      <c r="E3988" t="s">
        <v>61</v>
      </c>
      <c r="F3988" t="s">
        <v>101</v>
      </c>
      <c r="G3988" t="s">
        <v>160</v>
      </c>
      <c r="H3988" t="s">
        <v>211</v>
      </c>
      <c r="I3988">
        <v>39857</v>
      </c>
      <c r="J3988">
        <v>41665</v>
      </c>
    </row>
    <row r="3989" spans="1:10" x14ac:dyDescent="0.3">
      <c r="A3989" t="s">
        <v>4116</v>
      </c>
      <c r="B3989" s="1">
        <v>45939</v>
      </c>
      <c r="C3989" t="s">
        <v>66</v>
      </c>
      <c r="D3989">
        <v>41</v>
      </c>
      <c r="E3989" t="s">
        <v>39</v>
      </c>
      <c r="F3989" t="s">
        <v>78</v>
      </c>
      <c r="G3989" t="s">
        <v>141</v>
      </c>
      <c r="H3989" t="s">
        <v>188</v>
      </c>
      <c r="I3989">
        <v>32146</v>
      </c>
      <c r="J3989">
        <v>38838</v>
      </c>
    </row>
    <row r="3990" spans="1:10" x14ac:dyDescent="0.3">
      <c r="A3990" t="s">
        <v>4117</v>
      </c>
      <c r="B3990" s="1">
        <v>45743</v>
      </c>
      <c r="C3990" t="s">
        <v>95</v>
      </c>
      <c r="D3990">
        <v>13</v>
      </c>
      <c r="E3990" t="s">
        <v>39</v>
      </c>
      <c r="F3990" t="s">
        <v>109</v>
      </c>
      <c r="G3990" t="s">
        <v>35</v>
      </c>
      <c r="H3990" t="s">
        <v>111</v>
      </c>
      <c r="I3990">
        <v>27770</v>
      </c>
      <c r="J3990">
        <v>31381</v>
      </c>
    </row>
    <row r="3991" spans="1:10" x14ac:dyDescent="0.3">
      <c r="A3991" t="s">
        <v>4118</v>
      </c>
      <c r="B3991" s="1">
        <v>45783</v>
      </c>
      <c r="C3991" t="s">
        <v>90</v>
      </c>
      <c r="D3991">
        <v>19</v>
      </c>
      <c r="E3991" t="s">
        <v>18</v>
      </c>
      <c r="F3991" t="s">
        <v>78</v>
      </c>
      <c r="G3991" t="s">
        <v>102</v>
      </c>
      <c r="H3991" t="s">
        <v>111</v>
      </c>
      <c r="I3991">
        <v>31991</v>
      </c>
      <c r="J3991">
        <v>28457</v>
      </c>
    </row>
    <row r="3992" spans="1:10" x14ac:dyDescent="0.3">
      <c r="A3992" t="s">
        <v>4119</v>
      </c>
      <c r="B3992" s="1">
        <v>45979</v>
      </c>
      <c r="C3992" t="s">
        <v>23</v>
      </c>
      <c r="D3992">
        <v>47</v>
      </c>
      <c r="E3992" t="s">
        <v>39</v>
      </c>
      <c r="F3992" t="s">
        <v>109</v>
      </c>
      <c r="G3992" t="s">
        <v>135</v>
      </c>
      <c r="H3992" t="s">
        <v>243</v>
      </c>
      <c r="I3992">
        <v>35484</v>
      </c>
      <c r="J3992">
        <v>30342</v>
      </c>
    </row>
    <row r="3993" spans="1:10" x14ac:dyDescent="0.3">
      <c r="A3993" t="s">
        <v>4120</v>
      </c>
      <c r="B3993" s="1">
        <v>45678</v>
      </c>
      <c r="C3993" t="s">
        <v>17</v>
      </c>
      <c r="D3993">
        <v>4</v>
      </c>
      <c r="E3993" t="s">
        <v>12</v>
      </c>
      <c r="F3993" t="s">
        <v>46</v>
      </c>
      <c r="G3993" t="s">
        <v>206</v>
      </c>
      <c r="H3993" t="s">
        <v>36</v>
      </c>
      <c r="I3993">
        <v>38320</v>
      </c>
      <c r="J3993">
        <v>28008</v>
      </c>
    </row>
    <row r="3994" spans="1:10" x14ac:dyDescent="0.3">
      <c r="A3994" t="s">
        <v>4121</v>
      </c>
      <c r="B3994" s="1">
        <v>45896</v>
      </c>
      <c r="C3994" t="s">
        <v>113</v>
      </c>
      <c r="D3994">
        <v>35</v>
      </c>
      <c r="E3994" t="s">
        <v>12</v>
      </c>
      <c r="F3994" t="s">
        <v>193</v>
      </c>
      <c r="G3994" t="s">
        <v>115</v>
      </c>
      <c r="H3994" t="s">
        <v>151</v>
      </c>
      <c r="I3994">
        <v>36151</v>
      </c>
      <c r="J3994">
        <v>46027</v>
      </c>
    </row>
    <row r="3995" spans="1:10" x14ac:dyDescent="0.3">
      <c r="A3995" t="s">
        <v>4122</v>
      </c>
      <c r="B3995" s="1">
        <v>45911</v>
      </c>
      <c r="C3995" t="s">
        <v>38</v>
      </c>
      <c r="D3995">
        <v>37</v>
      </c>
      <c r="E3995" t="s">
        <v>12</v>
      </c>
      <c r="F3995" t="s">
        <v>57</v>
      </c>
      <c r="G3995" t="s">
        <v>110</v>
      </c>
      <c r="H3995" t="s">
        <v>116</v>
      </c>
      <c r="I3995">
        <v>25005</v>
      </c>
      <c r="J3995">
        <v>27583</v>
      </c>
    </row>
    <row r="3996" spans="1:10" x14ac:dyDescent="0.3">
      <c r="A3996" t="s">
        <v>4123</v>
      </c>
      <c r="B3996" s="1">
        <v>46010</v>
      </c>
      <c r="C3996" t="s">
        <v>100</v>
      </c>
      <c r="D3996">
        <v>51</v>
      </c>
      <c r="E3996" t="s">
        <v>33</v>
      </c>
      <c r="F3996" t="s">
        <v>29</v>
      </c>
      <c r="G3996" t="s">
        <v>118</v>
      </c>
      <c r="H3996" t="s">
        <v>119</v>
      </c>
      <c r="I3996">
        <v>17659</v>
      </c>
      <c r="J3996">
        <v>22322</v>
      </c>
    </row>
    <row r="3997" spans="1:10" x14ac:dyDescent="0.3">
      <c r="A3997" t="s">
        <v>4124</v>
      </c>
      <c r="B3997" s="1">
        <v>45917</v>
      </c>
      <c r="C3997" t="s">
        <v>38</v>
      </c>
      <c r="D3997">
        <v>38</v>
      </c>
      <c r="E3997" t="s">
        <v>24</v>
      </c>
      <c r="F3997" t="s">
        <v>122</v>
      </c>
      <c r="G3997" t="s">
        <v>44</v>
      </c>
      <c r="H3997" t="s">
        <v>21</v>
      </c>
      <c r="I3997">
        <v>38808</v>
      </c>
      <c r="J3997">
        <v>43099</v>
      </c>
    </row>
    <row r="3998" spans="1:10" x14ac:dyDescent="0.3">
      <c r="A3998" t="s">
        <v>4125</v>
      </c>
      <c r="B3998" s="1">
        <v>45829</v>
      </c>
      <c r="C3998" t="s">
        <v>74</v>
      </c>
      <c r="D3998">
        <v>25</v>
      </c>
      <c r="E3998" t="s">
        <v>33</v>
      </c>
      <c r="F3998" t="s">
        <v>109</v>
      </c>
      <c r="G3998" t="s">
        <v>67</v>
      </c>
      <c r="H3998" t="s">
        <v>133</v>
      </c>
      <c r="I3998">
        <v>25398</v>
      </c>
      <c r="J3998">
        <v>31971</v>
      </c>
    </row>
    <row r="3999" spans="1:10" x14ac:dyDescent="0.3">
      <c r="A3999" t="s">
        <v>4126</v>
      </c>
      <c r="B3999" s="1">
        <v>45855</v>
      </c>
      <c r="C3999" t="s">
        <v>11</v>
      </c>
      <c r="D3999">
        <v>29</v>
      </c>
      <c r="E3999" t="s">
        <v>70</v>
      </c>
      <c r="F3999" t="s">
        <v>92</v>
      </c>
      <c r="G3999" t="s">
        <v>93</v>
      </c>
      <c r="H3999" t="s">
        <v>64</v>
      </c>
      <c r="I3999">
        <v>19145</v>
      </c>
      <c r="J3999">
        <v>24148</v>
      </c>
    </row>
    <row r="4000" spans="1:10" x14ac:dyDescent="0.3">
      <c r="A4000" t="s">
        <v>4127</v>
      </c>
      <c r="B4000" s="1">
        <v>45899</v>
      </c>
      <c r="C4000" t="s">
        <v>113</v>
      </c>
      <c r="D4000">
        <v>35</v>
      </c>
      <c r="E4000" t="s">
        <v>33</v>
      </c>
      <c r="F4000" t="s">
        <v>101</v>
      </c>
      <c r="G4000" t="s">
        <v>54</v>
      </c>
      <c r="H4000" t="s">
        <v>119</v>
      </c>
      <c r="I4000">
        <v>30729</v>
      </c>
      <c r="J4000">
        <v>36358</v>
      </c>
    </row>
    <row r="4001" spans="1:10" x14ac:dyDescent="0.3">
      <c r="A4001" t="s">
        <v>4128</v>
      </c>
      <c r="B4001" s="1">
        <v>45900</v>
      </c>
      <c r="C4001" t="s">
        <v>113</v>
      </c>
      <c r="D4001">
        <v>35</v>
      </c>
      <c r="E4001" t="s">
        <v>61</v>
      </c>
      <c r="F4001" t="s">
        <v>62</v>
      </c>
      <c r="G4001" t="s">
        <v>135</v>
      </c>
      <c r="H4001" t="s">
        <v>188</v>
      </c>
      <c r="I4001">
        <v>32750</v>
      </c>
      <c r="J4001">
        <v>25550</v>
      </c>
    </row>
    <row r="4002" spans="1:10" x14ac:dyDescent="0.3">
      <c r="A4002" t="s">
        <v>4129</v>
      </c>
      <c r="B4002" s="1">
        <v>45896</v>
      </c>
      <c r="C4002" t="s">
        <v>113</v>
      </c>
      <c r="D4002">
        <v>35</v>
      </c>
      <c r="E4002" t="s">
        <v>33</v>
      </c>
      <c r="F4002" t="s">
        <v>62</v>
      </c>
      <c r="G4002" t="s">
        <v>76</v>
      </c>
      <c r="H4002" t="s">
        <v>64</v>
      </c>
      <c r="I4002">
        <v>34165</v>
      </c>
      <c r="J4002">
        <v>24825</v>
      </c>
    </row>
    <row r="4003" spans="1:10" x14ac:dyDescent="0.3">
      <c r="A4003" t="s">
        <v>4130</v>
      </c>
      <c r="B4003" s="1">
        <v>46011</v>
      </c>
      <c r="C4003" t="s">
        <v>100</v>
      </c>
      <c r="D4003">
        <v>51</v>
      </c>
      <c r="E4003" t="s">
        <v>39</v>
      </c>
      <c r="F4003" t="s">
        <v>19</v>
      </c>
      <c r="G4003" t="s">
        <v>67</v>
      </c>
      <c r="H4003" t="s">
        <v>15</v>
      </c>
      <c r="I4003">
        <v>34732</v>
      </c>
      <c r="J4003">
        <v>29034</v>
      </c>
    </row>
    <row r="4004" spans="1:10" x14ac:dyDescent="0.3">
      <c r="A4004" t="s">
        <v>4131</v>
      </c>
      <c r="B4004" s="1">
        <v>45831</v>
      </c>
      <c r="C4004" t="s">
        <v>74</v>
      </c>
      <c r="D4004">
        <v>26</v>
      </c>
      <c r="E4004" t="s">
        <v>39</v>
      </c>
      <c r="F4004" t="s">
        <v>29</v>
      </c>
      <c r="G4004" t="s">
        <v>128</v>
      </c>
      <c r="H4004" t="s">
        <v>163</v>
      </c>
      <c r="I4004">
        <v>39902</v>
      </c>
      <c r="J4004">
        <v>44044</v>
      </c>
    </row>
    <row r="4005" spans="1:10" x14ac:dyDescent="0.3">
      <c r="A4005" t="s">
        <v>4132</v>
      </c>
      <c r="B4005" s="1">
        <v>45960</v>
      </c>
      <c r="C4005" t="s">
        <v>66</v>
      </c>
      <c r="D4005">
        <v>44</v>
      </c>
      <c r="E4005" t="s">
        <v>61</v>
      </c>
      <c r="F4005" t="s">
        <v>19</v>
      </c>
      <c r="G4005" t="s">
        <v>182</v>
      </c>
      <c r="H4005" t="s">
        <v>188</v>
      </c>
      <c r="I4005">
        <v>29420</v>
      </c>
      <c r="J4005">
        <v>29250</v>
      </c>
    </row>
    <row r="4006" spans="1:10" x14ac:dyDescent="0.3">
      <c r="A4006" t="s">
        <v>4133</v>
      </c>
      <c r="B4006" s="1">
        <v>45919</v>
      </c>
      <c r="C4006" t="s">
        <v>38</v>
      </c>
      <c r="D4006">
        <v>38</v>
      </c>
      <c r="E4006" t="s">
        <v>39</v>
      </c>
      <c r="F4006" t="s">
        <v>193</v>
      </c>
      <c r="G4006" t="s">
        <v>182</v>
      </c>
      <c r="H4006" t="s">
        <v>48</v>
      </c>
      <c r="I4006">
        <v>38877</v>
      </c>
      <c r="J4006">
        <v>29671</v>
      </c>
    </row>
    <row r="4007" spans="1:10" x14ac:dyDescent="0.3">
      <c r="A4007" t="s">
        <v>4134</v>
      </c>
      <c r="B4007" s="1">
        <v>45815</v>
      </c>
      <c r="C4007" t="s">
        <v>74</v>
      </c>
      <c r="D4007">
        <v>23</v>
      </c>
      <c r="E4007" t="s">
        <v>18</v>
      </c>
      <c r="F4007" t="s">
        <v>57</v>
      </c>
      <c r="G4007" t="s">
        <v>171</v>
      </c>
      <c r="H4007" t="s">
        <v>84</v>
      </c>
      <c r="I4007">
        <v>19246</v>
      </c>
      <c r="J4007">
        <v>17215</v>
      </c>
    </row>
    <row r="4008" spans="1:10" x14ac:dyDescent="0.3">
      <c r="A4008" t="s">
        <v>4135</v>
      </c>
      <c r="B4008" s="1">
        <v>45709</v>
      </c>
      <c r="C4008" t="s">
        <v>82</v>
      </c>
      <c r="D4008">
        <v>8</v>
      </c>
      <c r="E4008" t="s">
        <v>33</v>
      </c>
      <c r="F4008" t="s">
        <v>101</v>
      </c>
      <c r="G4008" t="s">
        <v>141</v>
      </c>
      <c r="H4008" t="s">
        <v>84</v>
      </c>
      <c r="I4008">
        <v>27372</v>
      </c>
      <c r="J4008">
        <v>19754</v>
      </c>
    </row>
    <row r="4009" spans="1:10" x14ac:dyDescent="0.3">
      <c r="A4009" t="s">
        <v>4136</v>
      </c>
      <c r="B4009" s="1">
        <v>45822</v>
      </c>
      <c r="C4009" t="s">
        <v>74</v>
      </c>
      <c r="D4009">
        <v>24</v>
      </c>
      <c r="E4009" t="s">
        <v>61</v>
      </c>
      <c r="F4009" t="s">
        <v>57</v>
      </c>
      <c r="G4009" t="s">
        <v>253</v>
      </c>
      <c r="H4009" t="s">
        <v>96</v>
      </c>
      <c r="I4009">
        <v>27193</v>
      </c>
      <c r="J4009">
        <v>31884</v>
      </c>
    </row>
    <row r="4010" spans="1:10" x14ac:dyDescent="0.3">
      <c r="A4010" t="s">
        <v>4137</v>
      </c>
      <c r="B4010" s="1">
        <v>45717</v>
      </c>
      <c r="C4010" t="s">
        <v>95</v>
      </c>
      <c r="D4010">
        <v>9</v>
      </c>
      <c r="E4010" t="s">
        <v>70</v>
      </c>
      <c r="F4010" t="s">
        <v>29</v>
      </c>
      <c r="G4010" t="s">
        <v>147</v>
      </c>
      <c r="H4010" t="s">
        <v>27</v>
      </c>
      <c r="I4010">
        <v>15137</v>
      </c>
      <c r="J4010">
        <v>13212</v>
      </c>
    </row>
    <row r="4011" spans="1:10" x14ac:dyDescent="0.3">
      <c r="A4011" t="s">
        <v>4138</v>
      </c>
      <c r="B4011" s="1">
        <v>45773</v>
      </c>
      <c r="C4011" t="s">
        <v>86</v>
      </c>
      <c r="D4011">
        <v>17</v>
      </c>
      <c r="E4011" t="s">
        <v>24</v>
      </c>
      <c r="F4011" t="s">
        <v>78</v>
      </c>
      <c r="G4011" t="s">
        <v>171</v>
      </c>
      <c r="H4011" t="s">
        <v>133</v>
      </c>
      <c r="I4011">
        <v>17434</v>
      </c>
      <c r="J4011">
        <v>19146</v>
      </c>
    </row>
    <row r="4012" spans="1:10" x14ac:dyDescent="0.3">
      <c r="A4012" t="s">
        <v>4139</v>
      </c>
      <c r="B4012" s="1">
        <v>45774</v>
      </c>
      <c r="C4012" t="s">
        <v>86</v>
      </c>
      <c r="D4012">
        <v>17</v>
      </c>
      <c r="E4012" t="s">
        <v>33</v>
      </c>
      <c r="F4012" t="s">
        <v>101</v>
      </c>
      <c r="G4012" t="s">
        <v>72</v>
      </c>
      <c r="H4012" t="s">
        <v>98</v>
      </c>
      <c r="I4012">
        <v>17479</v>
      </c>
      <c r="J4012">
        <v>19306</v>
      </c>
    </row>
    <row r="4013" spans="1:10" x14ac:dyDescent="0.3">
      <c r="A4013" t="s">
        <v>4140</v>
      </c>
      <c r="B4013" s="1">
        <v>45980</v>
      </c>
      <c r="C4013" t="s">
        <v>23</v>
      </c>
      <c r="D4013">
        <v>47</v>
      </c>
      <c r="E4013" t="s">
        <v>61</v>
      </c>
      <c r="F4013" t="s">
        <v>78</v>
      </c>
      <c r="G4013" t="s">
        <v>58</v>
      </c>
      <c r="H4013" t="s">
        <v>151</v>
      </c>
      <c r="I4013">
        <v>23929</v>
      </c>
      <c r="J4013">
        <v>30100</v>
      </c>
    </row>
    <row r="4014" spans="1:10" x14ac:dyDescent="0.3">
      <c r="A4014" t="s">
        <v>4141</v>
      </c>
      <c r="B4014" s="1">
        <v>45978</v>
      </c>
      <c r="C4014" t="s">
        <v>23</v>
      </c>
      <c r="D4014">
        <v>47</v>
      </c>
      <c r="E4014" t="s">
        <v>70</v>
      </c>
      <c r="F4014" t="s">
        <v>13</v>
      </c>
      <c r="G4014" t="s">
        <v>149</v>
      </c>
      <c r="H4014" t="s">
        <v>31</v>
      </c>
      <c r="I4014">
        <v>38175</v>
      </c>
      <c r="J4014">
        <v>38279</v>
      </c>
    </row>
    <row r="4015" spans="1:10" x14ac:dyDescent="0.3">
      <c r="A4015" t="s">
        <v>4142</v>
      </c>
      <c r="B4015" s="1">
        <v>45976</v>
      </c>
      <c r="C4015" t="s">
        <v>23</v>
      </c>
      <c r="D4015">
        <v>46</v>
      </c>
      <c r="E4015" t="s">
        <v>70</v>
      </c>
      <c r="F4015" t="s">
        <v>29</v>
      </c>
      <c r="G4015" t="s">
        <v>126</v>
      </c>
      <c r="H4015" t="s">
        <v>36</v>
      </c>
      <c r="I4015">
        <v>22038</v>
      </c>
      <c r="J4015">
        <v>23999</v>
      </c>
    </row>
    <row r="4016" spans="1:10" x14ac:dyDescent="0.3">
      <c r="A4016" t="s">
        <v>4143</v>
      </c>
      <c r="B4016" s="1">
        <v>45751</v>
      </c>
      <c r="C4016" t="s">
        <v>86</v>
      </c>
      <c r="D4016">
        <v>14</v>
      </c>
      <c r="E4016" t="s">
        <v>70</v>
      </c>
      <c r="F4016" t="s">
        <v>13</v>
      </c>
      <c r="G4016" t="s">
        <v>88</v>
      </c>
      <c r="H4016" t="s">
        <v>163</v>
      </c>
      <c r="I4016">
        <v>20562</v>
      </c>
      <c r="J4016">
        <v>18058</v>
      </c>
    </row>
    <row r="4017" spans="1:10" x14ac:dyDescent="0.3">
      <c r="A4017" t="s">
        <v>4144</v>
      </c>
      <c r="B4017" s="1">
        <v>45726</v>
      </c>
      <c r="C4017" t="s">
        <v>95</v>
      </c>
      <c r="D4017">
        <v>11</v>
      </c>
      <c r="E4017" t="s">
        <v>39</v>
      </c>
      <c r="F4017" t="s">
        <v>13</v>
      </c>
      <c r="G4017" t="s">
        <v>118</v>
      </c>
      <c r="H4017" t="s">
        <v>27</v>
      </c>
      <c r="I4017">
        <v>16365</v>
      </c>
      <c r="J4017">
        <v>12036</v>
      </c>
    </row>
    <row r="4018" spans="1:10" x14ac:dyDescent="0.3">
      <c r="A4018" t="s">
        <v>4145</v>
      </c>
      <c r="B4018" s="1">
        <v>45984</v>
      </c>
      <c r="C4018" t="s">
        <v>23</v>
      </c>
      <c r="D4018">
        <v>47</v>
      </c>
      <c r="E4018" t="s">
        <v>18</v>
      </c>
      <c r="F4018" t="s">
        <v>140</v>
      </c>
      <c r="G4018" t="s">
        <v>149</v>
      </c>
      <c r="H4018" t="s">
        <v>165</v>
      </c>
      <c r="I4018">
        <v>33939</v>
      </c>
      <c r="J4018">
        <v>40809</v>
      </c>
    </row>
    <row r="4019" spans="1:10" x14ac:dyDescent="0.3">
      <c r="A4019" t="s">
        <v>4146</v>
      </c>
      <c r="B4019" s="1">
        <v>45837</v>
      </c>
      <c r="C4019" t="s">
        <v>74</v>
      </c>
      <c r="D4019">
        <v>26</v>
      </c>
      <c r="E4019" t="s">
        <v>12</v>
      </c>
      <c r="F4019" t="s">
        <v>114</v>
      </c>
      <c r="G4019" t="s">
        <v>240</v>
      </c>
      <c r="H4019" t="s">
        <v>133</v>
      </c>
      <c r="I4019">
        <v>25688</v>
      </c>
      <c r="J4019">
        <v>27311</v>
      </c>
    </row>
    <row r="4020" spans="1:10" x14ac:dyDescent="0.3">
      <c r="A4020" t="s">
        <v>4147</v>
      </c>
      <c r="B4020" s="1">
        <v>45833</v>
      </c>
      <c r="C4020" t="s">
        <v>74</v>
      </c>
      <c r="D4020">
        <v>26</v>
      </c>
      <c r="E4020" t="s">
        <v>39</v>
      </c>
      <c r="F4020" t="s">
        <v>140</v>
      </c>
      <c r="G4020" t="s">
        <v>130</v>
      </c>
      <c r="H4020" t="s">
        <v>243</v>
      </c>
      <c r="I4020">
        <v>34806</v>
      </c>
      <c r="J4020">
        <v>33610</v>
      </c>
    </row>
    <row r="4021" spans="1:10" x14ac:dyDescent="0.3">
      <c r="A4021" t="s">
        <v>4148</v>
      </c>
      <c r="B4021" s="1">
        <v>45946</v>
      </c>
      <c r="C4021" t="s">
        <v>66</v>
      </c>
      <c r="D4021">
        <v>42</v>
      </c>
      <c r="E4021" t="s">
        <v>33</v>
      </c>
      <c r="F4021" t="s">
        <v>92</v>
      </c>
      <c r="G4021" t="s">
        <v>266</v>
      </c>
      <c r="H4021" t="s">
        <v>80</v>
      </c>
      <c r="I4021">
        <v>31836</v>
      </c>
      <c r="J4021">
        <v>36674</v>
      </c>
    </row>
    <row r="4022" spans="1:10" x14ac:dyDescent="0.3">
      <c r="A4022" t="s">
        <v>4149</v>
      </c>
      <c r="B4022" s="1">
        <v>45856</v>
      </c>
      <c r="C4022" t="s">
        <v>11</v>
      </c>
      <c r="D4022">
        <v>29</v>
      </c>
      <c r="E4022" t="s">
        <v>39</v>
      </c>
      <c r="F4022" t="s">
        <v>75</v>
      </c>
      <c r="G4022" t="s">
        <v>201</v>
      </c>
      <c r="H4022" t="s">
        <v>15</v>
      </c>
      <c r="I4022">
        <v>29893</v>
      </c>
      <c r="J4022">
        <v>25609</v>
      </c>
    </row>
    <row r="4023" spans="1:10" x14ac:dyDescent="0.3">
      <c r="A4023" t="s">
        <v>4150</v>
      </c>
      <c r="B4023" s="1">
        <v>45979</v>
      </c>
      <c r="C4023" t="s">
        <v>23</v>
      </c>
      <c r="D4023">
        <v>47</v>
      </c>
      <c r="E4023" t="s">
        <v>70</v>
      </c>
      <c r="F4023" t="s">
        <v>193</v>
      </c>
      <c r="G4023" t="s">
        <v>88</v>
      </c>
      <c r="H4023" t="s">
        <v>188</v>
      </c>
      <c r="I4023">
        <v>29046</v>
      </c>
      <c r="J4023">
        <v>22038</v>
      </c>
    </row>
    <row r="4024" spans="1:10" x14ac:dyDescent="0.3">
      <c r="A4024" t="s">
        <v>4151</v>
      </c>
      <c r="B4024" s="1">
        <v>45901</v>
      </c>
      <c r="C4024" t="s">
        <v>38</v>
      </c>
      <c r="D4024">
        <v>36</v>
      </c>
      <c r="E4024" t="s">
        <v>18</v>
      </c>
      <c r="F4024" t="s">
        <v>78</v>
      </c>
      <c r="G4024" t="s">
        <v>51</v>
      </c>
      <c r="H4024" t="s">
        <v>27</v>
      </c>
      <c r="I4024">
        <v>26709</v>
      </c>
      <c r="J4024">
        <v>27268</v>
      </c>
    </row>
    <row r="4025" spans="1:10" x14ac:dyDescent="0.3">
      <c r="A4025" t="s">
        <v>4152</v>
      </c>
      <c r="B4025" s="1">
        <v>45869</v>
      </c>
      <c r="C4025" t="s">
        <v>11</v>
      </c>
      <c r="D4025">
        <v>31</v>
      </c>
      <c r="E4025" t="s">
        <v>33</v>
      </c>
      <c r="F4025" t="s">
        <v>87</v>
      </c>
      <c r="G4025" t="s">
        <v>93</v>
      </c>
      <c r="H4025" t="s">
        <v>163</v>
      </c>
      <c r="I4025">
        <v>33497</v>
      </c>
      <c r="J4025">
        <v>26142</v>
      </c>
    </row>
    <row r="4026" spans="1:10" x14ac:dyDescent="0.3">
      <c r="A4026" t="s">
        <v>4153</v>
      </c>
      <c r="B4026" s="1">
        <v>45796</v>
      </c>
      <c r="C4026" t="s">
        <v>90</v>
      </c>
      <c r="D4026">
        <v>21</v>
      </c>
      <c r="E4026" t="s">
        <v>61</v>
      </c>
      <c r="F4026" t="s">
        <v>101</v>
      </c>
      <c r="G4026" t="s">
        <v>128</v>
      </c>
      <c r="H4026" t="s">
        <v>41</v>
      </c>
      <c r="I4026">
        <v>35408</v>
      </c>
      <c r="J4026">
        <v>40240</v>
      </c>
    </row>
    <row r="4027" spans="1:10" x14ac:dyDescent="0.3">
      <c r="A4027" t="s">
        <v>4154</v>
      </c>
      <c r="B4027" s="1">
        <v>46022</v>
      </c>
      <c r="C4027" t="s">
        <v>100</v>
      </c>
      <c r="D4027">
        <v>1</v>
      </c>
      <c r="E4027" t="s">
        <v>61</v>
      </c>
      <c r="F4027" t="s">
        <v>114</v>
      </c>
      <c r="G4027" t="s">
        <v>145</v>
      </c>
      <c r="H4027" t="s">
        <v>52</v>
      </c>
      <c r="I4027">
        <v>36369</v>
      </c>
      <c r="J4027">
        <v>25466</v>
      </c>
    </row>
    <row r="4028" spans="1:10" x14ac:dyDescent="0.3">
      <c r="A4028" t="s">
        <v>4155</v>
      </c>
      <c r="B4028" s="1">
        <v>45670</v>
      </c>
      <c r="C4028" t="s">
        <v>17</v>
      </c>
      <c r="D4028">
        <v>3</v>
      </c>
      <c r="E4028" t="s">
        <v>33</v>
      </c>
      <c r="F4028" t="s">
        <v>78</v>
      </c>
      <c r="G4028" t="s">
        <v>115</v>
      </c>
      <c r="H4028" t="s">
        <v>36</v>
      </c>
      <c r="I4028">
        <v>31521</v>
      </c>
      <c r="J4028">
        <v>39471</v>
      </c>
    </row>
    <row r="4029" spans="1:10" x14ac:dyDescent="0.3">
      <c r="A4029" t="s">
        <v>4156</v>
      </c>
      <c r="B4029" s="1">
        <v>45865</v>
      </c>
      <c r="C4029" t="s">
        <v>11</v>
      </c>
      <c r="D4029">
        <v>30</v>
      </c>
      <c r="E4029" t="s">
        <v>33</v>
      </c>
      <c r="F4029" t="s">
        <v>29</v>
      </c>
      <c r="G4029" t="s">
        <v>102</v>
      </c>
      <c r="H4029" t="s">
        <v>59</v>
      </c>
      <c r="I4029">
        <v>32705</v>
      </c>
      <c r="J4029">
        <v>40335</v>
      </c>
    </row>
    <row r="4030" spans="1:10" x14ac:dyDescent="0.3">
      <c r="A4030" t="s">
        <v>4157</v>
      </c>
      <c r="B4030" s="1">
        <v>45958</v>
      </c>
      <c r="C4030" t="s">
        <v>66</v>
      </c>
      <c r="D4030">
        <v>44</v>
      </c>
      <c r="E4030" t="s">
        <v>39</v>
      </c>
      <c r="F4030" t="s">
        <v>75</v>
      </c>
      <c r="G4030" t="s">
        <v>141</v>
      </c>
      <c r="H4030" t="s">
        <v>155</v>
      </c>
      <c r="I4030">
        <v>24026</v>
      </c>
      <c r="J4030">
        <v>28921</v>
      </c>
    </row>
    <row r="4031" spans="1:10" x14ac:dyDescent="0.3">
      <c r="A4031" t="s">
        <v>4158</v>
      </c>
      <c r="B4031" s="1">
        <v>45826</v>
      </c>
      <c r="C4031" t="s">
        <v>74</v>
      </c>
      <c r="D4031">
        <v>25</v>
      </c>
      <c r="E4031" t="s">
        <v>61</v>
      </c>
      <c r="F4031" t="s">
        <v>114</v>
      </c>
      <c r="G4031" t="s">
        <v>76</v>
      </c>
      <c r="H4031" t="s">
        <v>155</v>
      </c>
      <c r="I4031">
        <v>33753</v>
      </c>
      <c r="J4031">
        <v>27106</v>
      </c>
    </row>
    <row r="4032" spans="1:10" x14ac:dyDescent="0.3">
      <c r="A4032" t="s">
        <v>4159</v>
      </c>
      <c r="B4032" s="1">
        <v>45958</v>
      </c>
      <c r="C4032" t="s">
        <v>66</v>
      </c>
      <c r="D4032">
        <v>44</v>
      </c>
      <c r="E4032" t="s">
        <v>33</v>
      </c>
      <c r="F4032" t="s">
        <v>19</v>
      </c>
      <c r="G4032" t="s">
        <v>88</v>
      </c>
      <c r="H4032" t="s">
        <v>119</v>
      </c>
      <c r="I4032">
        <v>36155</v>
      </c>
      <c r="J4032">
        <v>44231</v>
      </c>
    </row>
    <row r="4033" spans="1:10" x14ac:dyDescent="0.3">
      <c r="A4033" t="s">
        <v>4160</v>
      </c>
      <c r="B4033" s="1">
        <v>45828</v>
      </c>
      <c r="C4033" t="s">
        <v>74</v>
      </c>
      <c r="D4033">
        <v>25</v>
      </c>
      <c r="E4033" t="s">
        <v>12</v>
      </c>
      <c r="F4033" t="s">
        <v>75</v>
      </c>
      <c r="G4033" t="s">
        <v>266</v>
      </c>
      <c r="H4033" t="s">
        <v>41</v>
      </c>
      <c r="I4033">
        <v>21097</v>
      </c>
      <c r="J4033">
        <v>22695</v>
      </c>
    </row>
    <row r="4034" spans="1:10" x14ac:dyDescent="0.3">
      <c r="A4034" t="s">
        <v>4161</v>
      </c>
      <c r="B4034" s="1">
        <v>45936</v>
      </c>
      <c r="C4034" t="s">
        <v>66</v>
      </c>
      <c r="D4034">
        <v>41</v>
      </c>
      <c r="E4034" t="s">
        <v>70</v>
      </c>
      <c r="F4034" t="s">
        <v>25</v>
      </c>
      <c r="G4034" t="s">
        <v>147</v>
      </c>
      <c r="H4034" t="s">
        <v>243</v>
      </c>
      <c r="I4034">
        <v>22833</v>
      </c>
      <c r="J4034">
        <v>26465</v>
      </c>
    </row>
    <row r="4035" spans="1:10" x14ac:dyDescent="0.3">
      <c r="A4035" t="s">
        <v>4162</v>
      </c>
      <c r="B4035" s="1">
        <v>45825</v>
      </c>
      <c r="C4035" t="s">
        <v>74</v>
      </c>
      <c r="D4035">
        <v>25</v>
      </c>
      <c r="E4035" t="s">
        <v>61</v>
      </c>
      <c r="F4035" t="s">
        <v>50</v>
      </c>
      <c r="G4035" t="s">
        <v>240</v>
      </c>
      <c r="H4035" t="s">
        <v>155</v>
      </c>
      <c r="I4035">
        <v>20896</v>
      </c>
      <c r="J4035">
        <v>21048</v>
      </c>
    </row>
    <row r="4036" spans="1:10" x14ac:dyDescent="0.3">
      <c r="A4036" t="s">
        <v>4163</v>
      </c>
      <c r="B4036" s="1">
        <v>45742</v>
      </c>
      <c r="C4036" t="s">
        <v>95</v>
      </c>
      <c r="D4036">
        <v>13</v>
      </c>
      <c r="E4036" t="s">
        <v>39</v>
      </c>
      <c r="F4036" t="s">
        <v>140</v>
      </c>
      <c r="G4036" t="s">
        <v>35</v>
      </c>
      <c r="H4036" t="s">
        <v>133</v>
      </c>
      <c r="I4036">
        <v>24507</v>
      </c>
      <c r="J4036">
        <v>25463</v>
      </c>
    </row>
    <row r="4037" spans="1:10" x14ac:dyDescent="0.3">
      <c r="A4037" t="s">
        <v>4164</v>
      </c>
      <c r="B4037" s="1">
        <v>45850</v>
      </c>
      <c r="C4037" t="s">
        <v>11</v>
      </c>
      <c r="D4037">
        <v>28</v>
      </c>
      <c r="E4037" t="s">
        <v>33</v>
      </c>
      <c r="F4037" t="s">
        <v>114</v>
      </c>
      <c r="G4037" t="s">
        <v>147</v>
      </c>
      <c r="H4037" t="s">
        <v>165</v>
      </c>
      <c r="I4037">
        <v>16173</v>
      </c>
      <c r="J4037">
        <v>16133</v>
      </c>
    </row>
    <row r="4038" spans="1:10" x14ac:dyDescent="0.3">
      <c r="A4038" t="s">
        <v>4165</v>
      </c>
      <c r="B4038" s="1">
        <v>46018</v>
      </c>
      <c r="C4038" t="s">
        <v>100</v>
      </c>
      <c r="D4038">
        <v>52</v>
      </c>
      <c r="E4038" t="s">
        <v>33</v>
      </c>
      <c r="F4038" t="s">
        <v>78</v>
      </c>
      <c r="G4038" t="s">
        <v>145</v>
      </c>
      <c r="H4038" t="s">
        <v>59</v>
      </c>
      <c r="I4038">
        <v>22578</v>
      </c>
      <c r="J4038">
        <v>16066</v>
      </c>
    </row>
    <row r="4039" spans="1:10" x14ac:dyDescent="0.3">
      <c r="A4039" t="s">
        <v>4166</v>
      </c>
      <c r="B4039" s="1">
        <v>45662</v>
      </c>
      <c r="C4039" t="s">
        <v>17</v>
      </c>
      <c r="D4039">
        <v>1</v>
      </c>
      <c r="E4039" t="s">
        <v>70</v>
      </c>
      <c r="F4039" t="s">
        <v>62</v>
      </c>
      <c r="G4039" t="s">
        <v>54</v>
      </c>
      <c r="H4039" t="s">
        <v>36</v>
      </c>
      <c r="I4039">
        <v>34474</v>
      </c>
      <c r="J4039">
        <v>27262</v>
      </c>
    </row>
    <row r="4040" spans="1:10" x14ac:dyDescent="0.3">
      <c r="A4040" t="s">
        <v>4167</v>
      </c>
      <c r="B4040" s="1">
        <v>45989</v>
      </c>
      <c r="C4040" t="s">
        <v>23</v>
      </c>
      <c r="D4040">
        <v>48</v>
      </c>
      <c r="E4040" t="s">
        <v>39</v>
      </c>
      <c r="F4040" t="s">
        <v>19</v>
      </c>
      <c r="G4040" t="s">
        <v>115</v>
      </c>
      <c r="H4040" t="s">
        <v>151</v>
      </c>
      <c r="I4040">
        <v>32000</v>
      </c>
      <c r="J4040">
        <v>33487</v>
      </c>
    </row>
    <row r="4041" spans="1:10" x14ac:dyDescent="0.3">
      <c r="A4041" t="s">
        <v>4168</v>
      </c>
      <c r="B4041" s="1">
        <v>45858</v>
      </c>
      <c r="C4041" t="s">
        <v>11</v>
      </c>
      <c r="D4041">
        <v>29</v>
      </c>
      <c r="E4041" t="s">
        <v>24</v>
      </c>
      <c r="F4041" t="s">
        <v>92</v>
      </c>
      <c r="G4041" t="s">
        <v>137</v>
      </c>
      <c r="H4041" t="s">
        <v>188</v>
      </c>
      <c r="I4041">
        <v>39436</v>
      </c>
      <c r="J4041">
        <v>49587</v>
      </c>
    </row>
    <row r="4042" spans="1:10" x14ac:dyDescent="0.3">
      <c r="A4042" t="s">
        <v>4169</v>
      </c>
      <c r="B4042" s="1">
        <v>45724</v>
      </c>
      <c r="C4042" t="s">
        <v>95</v>
      </c>
      <c r="D4042">
        <v>10</v>
      </c>
      <c r="E4042" t="s">
        <v>12</v>
      </c>
      <c r="F4042" t="s">
        <v>29</v>
      </c>
      <c r="G4042" t="s">
        <v>291</v>
      </c>
      <c r="H4042" t="s">
        <v>55</v>
      </c>
      <c r="I4042">
        <v>36768</v>
      </c>
      <c r="J4042">
        <v>29681</v>
      </c>
    </row>
    <row r="4043" spans="1:10" x14ac:dyDescent="0.3">
      <c r="A4043" t="s">
        <v>4170</v>
      </c>
      <c r="B4043" s="1">
        <v>45752</v>
      </c>
      <c r="C4043" t="s">
        <v>86</v>
      </c>
      <c r="D4043">
        <v>14</v>
      </c>
      <c r="E4043" t="s">
        <v>12</v>
      </c>
      <c r="F4043" t="s">
        <v>92</v>
      </c>
      <c r="G4043" t="s">
        <v>35</v>
      </c>
      <c r="H4043" t="s">
        <v>123</v>
      </c>
      <c r="I4043">
        <v>18920</v>
      </c>
      <c r="J4043">
        <v>22261</v>
      </c>
    </row>
    <row r="4044" spans="1:10" x14ac:dyDescent="0.3">
      <c r="A4044" t="s">
        <v>4171</v>
      </c>
      <c r="B4044" s="1">
        <v>45681</v>
      </c>
      <c r="C4044" t="s">
        <v>17</v>
      </c>
      <c r="D4044">
        <v>4</v>
      </c>
      <c r="E4044" t="s">
        <v>39</v>
      </c>
      <c r="F4044" t="s">
        <v>87</v>
      </c>
      <c r="G4044" t="s">
        <v>58</v>
      </c>
      <c r="H4044" t="s">
        <v>211</v>
      </c>
      <c r="I4044">
        <v>32684</v>
      </c>
      <c r="J4044">
        <v>26303</v>
      </c>
    </row>
    <row r="4045" spans="1:10" x14ac:dyDescent="0.3">
      <c r="A4045" t="s">
        <v>4172</v>
      </c>
      <c r="B4045" s="1">
        <v>45699</v>
      </c>
      <c r="C4045" t="s">
        <v>82</v>
      </c>
      <c r="D4045">
        <v>7</v>
      </c>
      <c r="E4045" t="s">
        <v>61</v>
      </c>
      <c r="F4045" t="s">
        <v>109</v>
      </c>
      <c r="G4045" t="s">
        <v>135</v>
      </c>
      <c r="H4045" t="s">
        <v>151</v>
      </c>
      <c r="I4045">
        <v>33856</v>
      </c>
      <c r="J4045">
        <v>41086</v>
      </c>
    </row>
    <row r="4046" spans="1:10" x14ac:dyDescent="0.3">
      <c r="A4046" t="s">
        <v>4173</v>
      </c>
      <c r="B4046" s="1">
        <v>45911</v>
      </c>
      <c r="C4046" t="s">
        <v>38</v>
      </c>
      <c r="D4046">
        <v>37</v>
      </c>
      <c r="E4046" t="s">
        <v>70</v>
      </c>
      <c r="F4046" t="s">
        <v>87</v>
      </c>
      <c r="G4046" t="s">
        <v>51</v>
      </c>
      <c r="H4046" t="s">
        <v>41</v>
      </c>
      <c r="I4046">
        <v>23035</v>
      </c>
      <c r="J4046">
        <v>17596</v>
      </c>
    </row>
    <row r="4047" spans="1:10" x14ac:dyDescent="0.3">
      <c r="A4047" t="s">
        <v>4174</v>
      </c>
      <c r="B4047" s="1">
        <v>45759</v>
      </c>
      <c r="C4047" t="s">
        <v>86</v>
      </c>
      <c r="D4047">
        <v>15</v>
      </c>
      <c r="E4047" t="s">
        <v>24</v>
      </c>
      <c r="F4047" t="s">
        <v>140</v>
      </c>
      <c r="G4047" t="s">
        <v>201</v>
      </c>
      <c r="H4047" t="s">
        <v>36</v>
      </c>
      <c r="I4047">
        <v>33880</v>
      </c>
      <c r="J4047">
        <v>39124</v>
      </c>
    </row>
    <row r="4048" spans="1:10" x14ac:dyDescent="0.3">
      <c r="A4048" t="s">
        <v>4175</v>
      </c>
      <c r="B4048" s="1">
        <v>45997</v>
      </c>
      <c r="C4048" t="s">
        <v>100</v>
      </c>
      <c r="D4048">
        <v>49</v>
      </c>
      <c r="E4048" t="s">
        <v>70</v>
      </c>
      <c r="F4048" t="s">
        <v>50</v>
      </c>
      <c r="G4048" t="s">
        <v>14</v>
      </c>
      <c r="H4048" t="s">
        <v>155</v>
      </c>
      <c r="I4048">
        <v>23659</v>
      </c>
      <c r="J4048">
        <v>29811</v>
      </c>
    </row>
    <row r="4049" spans="1:10" x14ac:dyDescent="0.3">
      <c r="A4049" t="s">
        <v>4176</v>
      </c>
      <c r="B4049" s="1">
        <v>45946</v>
      </c>
      <c r="C4049" t="s">
        <v>66</v>
      </c>
      <c r="D4049">
        <v>42</v>
      </c>
      <c r="E4049" t="s">
        <v>33</v>
      </c>
      <c r="F4049" t="s">
        <v>87</v>
      </c>
      <c r="G4049" t="s">
        <v>240</v>
      </c>
      <c r="H4049" t="s">
        <v>165</v>
      </c>
      <c r="I4049">
        <v>28284</v>
      </c>
      <c r="J4049">
        <v>31319</v>
      </c>
    </row>
    <row r="4050" spans="1:10" x14ac:dyDescent="0.3">
      <c r="A4050" t="s">
        <v>4177</v>
      </c>
      <c r="B4050" s="1">
        <v>45936</v>
      </c>
      <c r="C4050" t="s">
        <v>66</v>
      </c>
      <c r="D4050">
        <v>41</v>
      </c>
      <c r="E4050" t="s">
        <v>24</v>
      </c>
      <c r="F4050" t="s">
        <v>122</v>
      </c>
      <c r="G4050" t="s">
        <v>72</v>
      </c>
      <c r="H4050" t="s">
        <v>151</v>
      </c>
      <c r="I4050">
        <v>20921</v>
      </c>
      <c r="J4050">
        <v>18805</v>
      </c>
    </row>
    <row r="4051" spans="1:10" x14ac:dyDescent="0.3">
      <c r="A4051" t="s">
        <v>4178</v>
      </c>
      <c r="B4051" s="1">
        <v>45991</v>
      </c>
      <c r="C4051" t="s">
        <v>23</v>
      </c>
      <c r="D4051">
        <v>48</v>
      </c>
      <c r="E4051" t="s">
        <v>61</v>
      </c>
      <c r="F4051" t="s">
        <v>78</v>
      </c>
      <c r="G4051" t="s">
        <v>234</v>
      </c>
      <c r="H4051" t="s">
        <v>243</v>
      </c>
      <c r="I4051">
        <v>32327</v>
      </c>
      <c r="J4051">
        <v>40863</v>
      </c>
    </row>
    <row r="4052" spans="1:10" x14ac:dyDescent="0.3">
      <c r="A4052" t="s">
        <v>4179</v>
      </c>
      <c r="B4052" s="1">
        <v>45965</v>
      </c>
      <c r="C4052" t="s">
        <v>23</v>
      </c>
      <c r="D4052">
        <v>45</v>
      </c>
      <c r="E4052" t="s">
        <v>12</v>
      </c>
      <c r="F4052" t="s">
        <v>114</v>
      </c>
      <c r="G4052" t="s">
        <v>54</v>
      </c>
      <c r="H4052" t="s">
        <v>36</v>
      </c>
      <c r="I4052">
        <v>36392</v>
      </c>
      <c r="J4052">
        <v>44491</v>
      </c>
    </row>
    <row r="4053" spans="1:10" x14ac:dyDescent="0.3">
      <c r="A4053" t="s">
        <v>4180</v>
      </c>
      <c r="B4053" s="1">
        <v>45898</v>
      </c>
      <c r="C4053" t="s">
        <v>113</v>
      </c>
      <c r="D4053">
        <v>35</v>
      </c>
      <c r="E4053" t="s">
        <v>24</v>
      </c>
      <c r="F4053" t="s">
        <v>57</v>
      </c>
      <c r="G4053" t="s">
        <v>76</v>
      </c>
      <c r="H4053" t="s">
        <v>165</v>
      </c>
      <c r="I4053">
        <v>36180</v>
      </c>
      <c r="J4053">
        <v>32154</v>
      </c>
    </row>
    <row r="4054" spans="1:10" x14ac:dyDescent="0.3">
      <c r="A4054" t="s">
        <v>4181</v>
      </c>
      <c r="B4054" s="1">
        <v>45931</v>
      </c>
      <c r="C4054" t="s">
        <v>66</v>
      </c>
      <c r="D4054">
        <v>40</v>
      </c>
      <c r="E4054" t="s">
        <v>39</v>
      </c>
      <c r="F4054" t="s">
        <v>122</v>
      </c>
      <c r="G4054" t="s">
        <v>130</v>
      </c>
      <c r="H4054" t="s">
        <v>151</v>
      </c>
      <c r="I4054">
        <v>15808</v>
      </c>
      <c r="J4054">
        <v>11891</v>
      </c>
    </row>
    <row r="4055" spans="1:10" x14ac:dyDescent="0.3">
      <c r="A4055" t="s">
        <v>4182</v>
      </c>
      <c r="B4055" s="1">
        <v>45885</v>
      </c>
      <c r="C4055" t="s">
        <v>113</v>
      </c>
      <c r="D4055">
        <v>33</v>
      </c>
      <c r="E4055" t="s">
        <v>12</v>
      </c>
      <c r="F4055" t="s">
        <v>114</v>
      </c>
      <c r="G4055" t="s">
        <v>253</v>
      </c>
      <c r="H4055" t="s">
        <v>163</v>
      </c>
      <c r="I4055">
        <v>39069</v>
      </c>
      <c r="J4055">
        <v>33441</v>
      </c>
    </row>
    <row r="4056" spans="1:10" x14ac:dyDescent="0.3">
      <c r="A4056" t="s">
        <v>4183</v>
      </c>
      <c r="B4056" s="1">
        <v>45885</v>
      </c>
      <c r="C4056" t="s">
        <v>113</v>
      </c>
      <c r="D4056">
        <v>33</v>
      </c>
      <c r="E4056" t="s">
        <v>70</v>
      </c>
      <c r="F4056" t="s">
        <v>57</v>
      </c>
      <c r="G4056" t="s">
        <v>14</v>
      </c>
      <c r="H4056" t="s">
        <v>21</v>
      </c>
      <c r="I4056">
        <v>19953</v>
      </c>
      <c r="J4056">
        <v>14622</v>
      </c>
    </row>
    <row r="4057" spans="1:10" x14ac:dyDescent="0.3">
      <c r="A4057" t="s">
        <v>4184</v>
      </c>
      <c r="B4057" s="1">
        <v>45664</v>
      </c>
      <c r="C4057" t="s">
        <v>17</v>
      </c>
      <c r="D4057">
        <v>2</v>
      </c>
      <c r="E4057" t="s">
        <v>24</v>
      </c>
      <c r="F4057" t="s">
        <v>87</v>
      </c>
      <c r="G4057" t="s">
        <v>76</v>
      </c>
      <c r="H4057" t="s">
        <v>64</v>
      </c>
      <c r="I4057">
        <v>16242</v>
      </c>
      <c r="J4057">
        <v>16065</v>
      </c>
    </row>
    <row r="4058" spans="1:10" x14ac:dyDescent="0.3">
      <c r="A4058" t="s">
        <v>4185</v>
      </c>
      <c r="B4058" s="1">
        <v>45837</v>
      </c>
      <c r="C4058" t="s">
        <v>74</v>
      </c>
      <c r="D4058">
        <v>26</v>
      </c>
      <c r="E4058" t="s">
        <v>24</v>
      </c>
      <c r="F4058" t="s">
        <v>75</v>
      </c>
      <c r="G4058" t="s">
        <v>88</v>
      </c>
      <c r="H4058" t="s">
        <v>27</v>
      </c>
      <c r="I4058">
        <v>25809</v>
      </c>
      <c r="J4058">
        <v>32620</v>
      </c>
    </row>
    <row r="4059" spans="1:10" x14ac:dyDescent="0.3">
      <c r="A4059" t="s">
        <v>4186</v>
      </c>
      <c r="B4059" s="1">
        <v>45715</v>
      </c>
      <c r="C4059" t="s">
        <v>82</v>
      </c>
      <c r="D4059">
        <v>9</v>
      </c>
      <c r="E4059" t="s">
        <v>39</v>
      </c>
      <c r="F4059" t="s">
        <v>109</v>
      </c>
      <c r="G4059" t="s">
        <v>128</v>
      </c>
      <c r="H4059" t="s">
        <v>163</v>
      </c>
      <c r="I4059">
        <v>39721</v>
      </c>
      <c r="J4059">
        <v>45737</v>
      </c>
    </row>
    <row r="4060" spans="1:10" x14ac:dyDescent="0.3">
      <c r="A4060" t="s">
        <v>4187</v>
      </c>
      <c r="B4060" s="1">
        <v>45727</v>
      </c>
      <c r="C4060" t="s">
        <v>95</v>
      </c>
      <c r="D4060">
        <v>11</v>
      </c>
      <c r="E4060" t="s">
        <v>33</v>
      </c>
      <c r="F4060" t="s">
        <v>25</v>
      </c>
      <c r="G4060" t="s">
        <v>126</v>
      </c>
      <c r="H4060" t="s">
        <v>48</v>
      </c>
      <c r="I4060">
        <v>35037</v>
      </c>
      <c r="J4060">
        <v>28022</v>
      </c>
    </row>
    <row r="4061" spans="1:10" x14ac:dyDescent="0.3">
      <c r="A4061" t="s">
        <v>4188</v>
      </c>
      <c r="B4061" s="1">
        <v>45685</v>
      </c>
      <c r="C4061" t="s">
        <v>17</v>
      </c>
      <c r="D4061">
        <v>5</v>
      </c>
      <c r="E4061" t="s">
        <v>18</v>
      </c>
      <c r="F4061" t="s">
        <v>57</v>
      </c>
      <c r="G4061" t="s">
        <v>115</v>
      </c>
      <c r="H4061" t="s">
        <v>68</v>
      </c>
      <c r="I4061">
        <v>34833</v>
      </c>
      <c r="J4061">
        <v>24649</v>
      </c>
    </row>
    <row r="4062" spans="1:10" x14ac:dyDescent="0.3">
      <c r="A4062" t="s">
        <v>4189</v>
      </c>
      <c r="B4062" s="1">
        <v>45710</v>
      </c>
      <c r="C4062" t="s">
        <v>82</v>
      </c>
      <c r="D4062">
        <v>8</v>
      </c>
      <c r="E4062" t="s">
        <v>33</v>
      </c>
      <c r="F4062" t="s">
        <v>75</v>
      </c>
      <c r="G4062" t="s">
        <v>191</v>
      </c>
      <c r="H4062" t="s">
        <v>243</v>
      </c>
      <c r="I4062">
        <v>37590</v>
      </c>
      <c r="J4062">
        <v>38482</v>
      </c>
    </row>
    <row r="4063" spans="1:10" x14ac:dyDescent="0.3">
      <c r="A4063" t="s">
        <v>4190</v>
      </c>
      <c r="B4063" s="1">
        <v>45844</v>
      </c>
      <c r="C4063" t="s">
        <v>11</v>
      </c>
      <c r="D4063">
        <v>27</v>
      </c>
      <c r="E4063" t="s">
        <v>39</v>
      </c>
      <c r="F4063" t="s">
        <v>109</v>
      </c>
      <c r="G4063" t="s">
        <v>230</v>
      </c>
      <c r="H4063" t="s">
        <v>111</v>
      </c>
      <c r="I4063">
        <v>15536</v>
      </c>
      <c r="J4063">
        <v>12032</v>
      </c>
    </row>
    <row r="4064" spans="1:10" x14ac:dyDescent="0.3">
      <c r="A4064" t="s">
        <v>4191</v>
      </c>
      <c r="B4064" s="1">
        <v>45936</v>
      </c>
      <c r="C4064" t="s">
        <v>66</v>
      </c>
      <c r="D4064">
        <v>41</v>
      </c>
      <c r="E4064" t="s">
        <v>12</v>
      </c>
      <c r="F4064" t="s">
        <v>101</v>
      </c>
      <c r="G4064" t="s">
        <v>201</v>
      </c>
      <c r="H4064" t="s">
        <v>84</v>
      </c>
      <c r="I4064">
        <v>29366</v>
      </c>
      <c r="J4064">
        <v>22616</v>
      </c>
    </row>
    <row r="4065" spans="1:10" x14ac:dyDescent="0.3">
      <c r="A4065" t="s">
        <v>4192</v>
      </c>
      <c r="B4065" s="1">
        <v>45760</v>
      </c>
      <c r="C4065" t="s">
        <v>86</v>
      </c>
      <c r="D4065">
        <v>15</v>
      </c>
      <c r="E4065" t="s">
        <v>61</v>
      </c>
      <c r="F4065" t="s">
        <v>75</v>
      </c>
      <c r="G4065" t="s">
        <v>149</v>
      </c>
      <c r="H4065" t="s">
        <v>64</v>
      </c>
      <c r="I4065">
        <v>19055</v>
      </c>
      <c r="J4065">
        <v>23100</v>
      </c>
    </row>
    <row r="4066" spans="1:10" x14ac:dyDescent="0.3">
      <c r="A4066" t="s">
        <v>4193</v>
      </c>
      <c r="B4066" s="1">
        <v>45870</v>
      </c>
      <c r="C4066" t="s">
        <v>113</v>
      </c>
      <c r="D4066">
        <v>31</v>
      </c>
      <c r="E4066" t="s">
        <v>12</v>
      </c>
      <c r="F4066" t="s">
        <v>19</v>
      </c>
      <c r="G4066" t="s">
        <v>79</v>
      </c>
      <c r="H4066" t="s">
        <v>157</v>
      </c>
      <c r="I4066">
        <v>22994</v>
      </c>
      <c r="J4066">
        <v>25767</v>
      </c>
    </row>
    <row r="4067" spans="1:10" x14ac:dyDescent="0.3">
      <c r="A4067" t="s">
        <v>4194</v>
      </c>
      <c r="B4067" s="1">
        <v>45748</v>
      </c>
      <c r="C4067" t="s">
        <v>86</v>
      </c>
      <c r="D4067">
        <v>14</v>
      </c>
      <c r="E4067" t="s">
        <v>70</v>
      </c>
      <c r="F4067" t="s">
        <v>46</v>
      </c>
      <c r="G4067" t="s">
        <v>171</v>
      </c>
      <c r="H4067" t="s">
        <v>68</v>
      </c>
      <c r="I4067">
        <v>18972</v>
      </c>
      <c r="J4067">
        <v>21540</v>
      </c>
    </row>
    <row r="4068" spans="1:10" x14ac:dyDescent="0.3">
      <c r="A4068" t="s">
        <v>4195</v>
      </c>
      <c r="B4068" s="1">
        <v>45980</v>
      </c>
      <c r="C4068" t="s">
        <v>23</v>
      </c>
      <c r="D4068">
        <v>47</v>
      </c>
      <c r="E4068" t="s">
        <v>12</v>
      </c>
      <c r="F4068" t="s">
        <v>43</v>
      </c>
      <c r="G4068" t="s">
        <v>118</v>
      </c>
      <c r="H4068" t="s">
        <v>116</v>
      </c>
      <c r="I4068">
        <v>37946</v>
      </c>
      <c r="J4068">
        <v>39326</v>
      </c>
    </row>
    <row r="4069" spans="1:10" x14ac:dyDescent="0.3">
      <c r="A4069" t="s">
        <v>4196</v>
      </c>
      <c r="B4069" s="1">
        <v>46012</v>
      </c>
      <c r="C4069" t="s">
        <v>100</v>
      </c>
      <c r="D4069">
        <v>51</v>
      </c>
      <c r="E4069" t="s">
        <v>12</v>
      </c>
      <c r="F4069" t="s">
        <v>193</v>
      </c>
      <c r="G4069" t="s">
        <v>234</v>
      </c>
      <c r="H4069" t="s">
        <v>96</v>
      </c>
      <c r="I4069">
        <v>26036</v>
      </c>
      <c r="J4069">
        <v>33163</v>
      </c>
    </row>
    <row r="4070" spans="1:10" x14ac:dyDescent="0.3">
      <c r="A4070" t="s">
        <v>4197</v>
      </c>
      <c r="B4070" s="1">
        <v>45762</v>
      </c>
      <c r="C4070" t="s">
        <v>86</v>
      </c>
      <c r="D4070">
        <v>16</v>
      </c>
      <c r="E4070" t="s">
        <v>33</v>
      </c>
      <c r="F4070" t="s">
        <v>114</v>
      </c>
      <c r="G4070" t="s">
        <v>324</v>
      </c>
      <c r="H4070" t="s">
        <v>211</v>
      </c>
      <c r="I4070">
        <v>35262</v>
      </c>
      <c r="J4070">
        <v>45208</v>
      </c>
    </row>
    <row r="4071" spans="1:10" x14ac:dyDescent="0.3">
      <c r="A4071" t="s">
        <v>4198</v>
      </c>
      <c r="B4071" s="1">
        <v>45959</v>
      </c>
      <c r="C4071" t="s">
        <v>66</v>
      </c>
      <c r="D4071">
        <v>44</v>
      </c>
      <c r="E4071" t="s">
        <v>18</v>
      </c>
      <c r="F4071" t="s">
        <v>62</v>
      </c>
      <c r="G4071" t="s">
        <v>20</v>
      </c>
      <c r="H4071" t="s">
        <v>98</v>
      </c>
      <c r="I4071">
        <v>33155</v>
      </c>
      <c r="J4071">
        <v>36139</v>
      </c>
    </row>
    <row r="4072" spans="1:10" x14ac:dyDescent="0.3">
      <c r="A4072" t="s">
        <v>4199</v>
      </c>
      <c r="B4072" s="1">
        <v>45668</v>
      </c>
      <c r="C4072" t="s">
        <v>17</v>
      </c>
      <c r="D4072">
        <v>2</v>
      </c>
      <c r="E4072" t="s">
        <v>70</v>
      </c>
      <c r="F4072" t="s">
        <v>109</v>
      </c>
      <c r="G4072" t="s">
        <v>128</v>
      </c>
      <c r="H4072" t="s">
        <v>188</v>
      </c>
      <c r="I4072">
        <v>17230</v>
      </c>
      <c r="J4072">
        <v>13426</v>
      </c>
    </row>
    <row r="4073" spans="1:10" x14ac:dyDescent="0.3">
      <c r="A4073" t="s">
        <v>4200</v>
      </c>
      <c r="B4073" s="1">
        <v>45825</v>
      </c>
      <c r="C4073" t="s">
        <v>74</v>
      </c>
      <c r="D4073">
        <v>25</v>
      </c>
      <c r="E4073" t="s">
        <v>12</v>
      </c>
      <c r="F4073" t="s">
        <v>29</v>
      </c>
      <c r="G4073" t="s">
        <v>206</v>
      </c>
      <c r="H4073" t="s">
        <v>15</v>
      </c>
      <c r="I4073">
        <v>21703</v>
      </c>
      <c r="J4073">
        <v>26563</v>
      </c>
    </row>
    <row r="4074" spans="1:10" x14ac:dyDescent="0.3">
      <c r="A4074" t="s">
        <v>4201</v>
      </c>
      <c r="B4074" s="1">
        <v>45854</v>
      </c>
      <c r="C4074" t="s">
        <v>11</v>
      </c>
      <c r="D4074">
        <v>29</v>
      </c>
      <c r="E4074" t="s">
        <v>39</v>
      </c>
      <c r="F4074" t="s">
        <v>57</v>
      </c>
      <c r="G4074" t="s">
        <v>20</v>
      </c>
      <c r="H4074" t="s">
        <v>151</v>
      </c>
      <c r="I4074">
        <v>26320</v>
      </c>
      <c r="J4074">
        <v>25527</v>
      </c>
    </row>
    <row r="4075" spans="1:10" x14ac:dyDescent="0.3">
      <c r="A4075" t="s">
        <v>4202</v>
      </c>
      <c r="B4075" s="1">
        <v>45882</v>
      </c>
      <c r="C4075" t="s">
        <v>113</v>
      </c>
      <c r="D4075">
        <v>33</v>
      </c>
      <c r="E4075" t="s">
        <v>33</v>
      </c>
      <c r="F4075" t="s">
        <v>29</v>
      </c>
      <c r="G4075" t="s">
        <v>206</v>
      </c>
      <c r="H4075" t="s">
        <v>111</v>
      </c>
      <c r="I4075">
        <v>18870</v>
      </c>
      <c r="J4075">
        <v>20206</v>
      </c>
    </row>
    <row r="4076" spans="1:10" x14ac:dyDescent="0.3">
      <c r="A4076" t="s">
        <v>4203</v>
      </c>
      <c r="B4076" s="1">
        <v>45664</v>
      </c>
      <c r="C4076" t="s">
        <v>17</v>
      </c>
      <c r="D4076">
        <v>2</v>
      </c>
      <c r="E4076" t="s">
        <v>33</v>
      </c>
      <c r="F4076" t="s">
        <v>57</v>
      </c>
      <c r="G4076" t="s">
        <v>199</v>
      </c>
      <c r="H4076" t="s">
        <v>64</v>
      </c>
      <c r="I4076">
        <v>16707</v>
      </c>
      <c r="J4076">
        <v>19333</v>
      </c>
    </row>
    <row r="4077" spans="1:10" x14ac:dyDescent="0.3">
      <c r="A4077" t="s">
        <v>4204</v>
      </c>
      <c r="B4077" s="1">
        <v>45847</v>
      </c>
      <c r="C4077" t="s">
        <v>11</v>
      </c>
      <c r="D4077">
        <v>28</v>
      </c>
      <c r="E4077" t="s">
        <v>61</v>
      </c>
      <c r="F4077" t="s">
        <v>43</v>
      </c>
      <c r="G4077" t="s">
        <v>93</v>
      </c>
      <c r="H4077" t="s">
        <v>84</v>
      </c>
      <c r="I4077">
        <v>15515</v>
      </c>
      <c r="J4077">
        <v>16937</v>
      </c>
    </row>
    <row r="4078" spans="1:10" x14ac:dyDescent="0.3">
      <c r="A4078" t="s">
        <v>4205</v>
      </c>
      <c r="B4078" s="1">
        <v>45862</v>
      </c>
      <c r="C4078" t="s">
        <v>11</v>
      </c>
      <c r="D4078">
        <v>30</v>
      </c>
      <c r="E4078" t="s">
        <v>33</v>
      </c>
      <c r="F4078" t="s">
        <v>92</v>
      </c>
      <c r="G4078" t="s">
        <v>93</v>
      </c>
      <c r="H4078" t="s">
        <v>151</v>
      </c>
      <c r="I4078">
        <v>17297</v>
      </c>
      <c r="J4078">
        <v>17887</v>
      </c>
    </row>
    <row r="4079" spans="1:10" x14ac:dyDescent="0.3">
      <c r="A4079" t="s">
        <v>4206</v>
      </c>
      <c r="B4079" s="1">
        <v>45876</v>
      </c>
      <c r="C4079" t="s">
        <v>113</v>
      </c>
      <c r="D4079">
        <v>32</v>
      </c>
      <c r="E4079" t="s">
        <v>12</v>
      </c>
      <c r="F4079" t="s">
        <v>19</v>
      </c>
      <c r="G4079" t="s">
        <v>30</v>
      </c>
      <c r="H4079" t="s">
        <v>98</v>
      </c>
      <c r="I4079">
        <v>22068</v>
      </c>
      <c r="J4079">
        <v>25438</v>
      </c>
    </row>
    <row r="4080" spans="1:10" x14ac:dyDescent="0.3">
      <c r="A4080" t="s">
        <v>4207</v>
      </c>
      <c r="B4080" s="1">
        <v>46008</v>
      </c>
      <c r="C4080" t="s">
        <v>100</v>
      </c>
      <c r="D4080">
        <v>51</v>
      </c>
      <c r="E4080" t="s">
        <v>39</v>
      </c>
      <c r="F4080" t="s">
        <v>29</v>
      </c>
      <c r="G4080" t="s">
        <v>72</v>
      </c>
      <c r="H4080" t="s">
        <v>163</v>
      </c>
      <c r="I4080">
        <v>17933</v>
      </c>
      <c r="J4080">
        <v>14444</v>
      </c>
    </row>
    <row r="4081" spans="1:10" x14ac:dyDescent="0.3">
      <c r="A4081" t="s">
        <v>4208</v>
      </c>
      <c r="B4081" s="1">
        <v>45769</v>
      </c>
      <c r="C4081" t="s">
        <v>86</v>
      </c>
      <c r="D4081">
        <v>17</v>
      </c>
      <c r="E4081" t="s">
        <v>12</v>
      </c>
      <c r="F4081" t="s">
        <v>140</v>
      </c>
      <c r="G4081" t="s">
        <v>147</v>
      </c>
      <c r="H4081" t="s">
        <v>36</v>
      </c>
      <c r="I4081">
        <v>21354</v>
      </c>
      <c r="J4081">
        <v>26266</v>
      </c>
    </row>
    <row r="4082" spans="1:10" x14ac:dyDescent="0.3">
      <c r="A4082" t="s">
        <v>4209</v>
      </c>
      <c r="B4082" s="1">
        <v>45723</v>
      </c>
      <c r="C4082" t="s">
        <v>95</v>
      </c>
      <c r="D4082">
        <v>10</v>
      </c>
      <c r="E4082" t="s">
        <v>61</v>
      </c>
      <c r="F4082" t="s">
        <v>101</v>
      </c>
      <c r="G4082" t="s">
        <v>240</v>
      </c>
      <c r="H4082" t="s">
        <v>27</v>
      </c>
      <c r="I4082">
        <v>38043</v>
      </c>
      <c r="J4082">
        <v>41899</v>
      </c>
    </row>
    <row r="4083" spans="1:10" x14ac:dyDescent="0.3">
      <c r="A4083" t="s">
        <v>4210</v>
      </c>
      <c r="B4083" s="1">
        <v>45986</v>
      </c>
      <c r="C4083" t="s">
        <v>23</v>
      </c>
      <c r="D4083">
        <v>48</v>
      </c>
      <c r="E4083" t="s">
        <v>12</v>
      </c>
      <c r="F4083" t="s">
        <v>57</v>
      </c>
      <c r="G4083" t="s">
        <v>72</v>
      </c>
      <c r="H4083" t="s">
        <v>31</v>
      </c>
      <c r="I4083">
        <v>35753</v>
      </c>
      <c r="J4083">
        <v>45011</v>
      </c>
    </row>
    <row r="4084" spans="1:10" x14ac:dyDescent="0.3">
      <c r="A4084" t="s">
        <v>4211</v>
      </c>
      <c r="B4084" s="1">
        <v>45690</v>
      </c>
      <c r="C4084" t="s">
        <v>82</v>
      </c>
      <c r="D4084">
        <v>5</v>
      </c>
      <c r="E4084" t="s">
        <v>33</v>
      </c>
      <c r="F4084" t="s">
        <v>29</v>
      </c>
      <c r="G4084" t="s">
        <v>324</v>
      </c>
      <c r="H4084" t="s">
        <v>211</v>
      </c>
      <c r="I4084">
        <v>21158</v>
      </c>
      <c r="J4084">
        <v>21218</v>
      </c>
    </row>
    <row r="4085" spans="1:10" x14ac:dyDescent="0.3">
      <c r="A4085" t="s">
        <v>4212</v>
      </c>
      <c r="B4085" s="1">
        <v>45981</v>
      </c>
      <c r="C4085" t="s">
        <v>23</v>
      </c>
      <c r="D4085">
        <v>47</v>
      </c>
      <c r="E4085" t="s">
        <v>70</v>
      </c>
      <c r="F4085" t="s">
        <v>50</v>
      </c>
      <c r="G4085" t="s">
        <v>182</v>
      </c>
      <c r="H4085" t="s">
        <v>64</v>
      </c>
      <c r="I4085">
        <v>25750</v>
      </c>
      <c r="J4085">
        <v>33216</v>
      </c>
    </row>
    <row r="4086" spans="1:10" x14ac:dyDescent="0.3">
      <c r="A4086" t="s">
        <v>4213</v>
      </c>
      <c r="B4086" s="1">
        <v>45948</v>
      </c>
      <c r="C4086" t="s">
        <v>66</v>
      </c>
      <c r="D4086">
        <v>42</v>
      </c>
      <c r="E4086" t="s">
        <v>18</v>
      </c>
      <c r="F4086" t="s">
        <v>62</v>
      </c>
      <c r="G4086" t="s">
        <v>171</v>
      </c>
      <c r="H4086" t="s">
        <v>111</v>
      </c>
      <c r="I4086">
        <v>33696</v>
      </c>
      <c r="J4086">
        <v>43175</v>
      </c>
    </row>
    <row r="4087" spans="1:10" x14ac:dyDescent="0.3">
      <c r="A4087" t="s">
        <v>4214</v>
      </c>
      <c r="B4087" s="1">
        <v>45888</v>
      </c>
      <c r="C4087" t="s">
        <v>113</v>
      </c>
      <c r="D4087">
        <v>34</v>
      </c>
      <c r="E4087" t="s">
        <v>18</v>
      </c>
      <c r="F4087" t="s">
        <v>13</v>
      </c>
      <c r="G4087" t="s">
        <v>44</v>
      </c>
      <c r="H4087" t="s">
        <v>243</v>
      </c>
      <c r="I4087">
        <v>20455</v>
      </c>
      <c r="J4087">
        <v>20992</v>
      </c>
    </row>
    <row r="4088" spans="1:10" x14ac:dyDescent="0.3">
      <c r="A4088" t="s">
        <v>4215</v>
      </c>
      <c r="B4088" s="1">
        <v>45876</v>
      </c>
      <c r="C4088" t="s">
        <v>113</v>
      </c>
      <c r="D4088">
        <v>32</v>
      </c>
      <c r="E4088" t="s">
        <v>61</v>
      </c>
      <c r="F4088" t="s">
        <v>114</v>
      </c>
      <c r="G4088" t="s">
        <v>137</v>
      </c>
      <c r="H4088" t="s">
        <v>64</v>
      </c>
      <c r="I4088">
        <v>29433</v>
      </c>
      <c r="J4088">
        <v>24638</v>
      </c>
    </row>
    <row r="4089" spans="1:10" x14ac:dyDescent="0.3">
      <c r="A4089" t="s">
        <v>4216</v>
      </c>
      <c r="B4089" s="1">
        <v>45874</v>
      </c>
      <c r="C4089" t="s">
        <v>113</v>
      </c>
      <c r="D4089">
        <v>32</v>
      </c>
      <c r="E4089" t="s">
        <v>33</v>
      </c>
      <c r="F4089" t="s">
        <v>57</v>
      </c>
      <c r="G4089" t="s">
        <v>58</v>
      </c>
      <c r="H4089" t="s">
        <v>31</v>
      </c>
      <c r="I4089">
        <v>34535</v>
      </c>
      <c r="J4089">
        <v>24430</v>
      </c>
    </row>
    <row r="4090" spans="1:10" x14ac:dyDescent="0.3">
      <c r="A4090" t="s">
        <v>4217</v>
      </c>
      <c r="B4090" s="1">
        <v>45717</v>
      </c>
      <c r="C4090" t="s">
        <v>95</v>
      </c>
      <c r="D4090">
        <v>9</v>
      </c>
      <c r="E4090" t="s">
        <v>24</v>
      </c>
      <c r="F4090" t="s">
        <v>140</v>
      </c>
      <c r="G4090" t="s">
        <v>54</v>
      </c>
      <c r="H4090" t="s">
        <v>123</v>
      </c>
      <c r="I4090">
        <v>24155</v>
      </c>
      <c r="J4090">
        <v>21112</v>
      </c>
    </row>
    <row r="4091" spans="1:10" x14ac:dyDescent="0.3">
      <c r="A4091" t="s">
        <v>4218</v>
      </c>
      <c r="B4091" s="1">
        <v>45800</v>
      </c>
      <c r="C4091" t="s">
        <v>90</v>
      </c>
      <c r="D4091">
        <v>21</v>
      </c>
      <c r="E4091" t="s">
        <v>24</v>
      </c>
      <c r="F4091" t="s">
        <v>140</v>
      </c>
      <c r="G4091" t="s">
        <v>253</v>
      </c>
      <c r="H4091" t="s">
        <v>41</v>
      </c>
      <c r="I4091">
        <v>20183</v>
      </c>
      <c r="J4091">
        <v>15272</v>
      </c>
    </row>
    <row r="4092" spans="1:10" x14ac:dyDescent="0.3">
      <c r="A4092" t="s">
        <v>4219</v>
      </c>
      <c r="B4092" s="1">
        <v>45666</v>
      </c>
      <c r="C4092" t="s">
        <v>17</v>
      </c>
      <c r="D4092">
        <v>2</v>
      </c>
      <c r="E4092" t="s">
        <v>12</v>
      </c>
      <c r="F4092" t="s">
        <v>25</v>
      </c>
      <c r="G4092" t="s">
        <v>253</v>
      </c>
      <c r="H4092" t="s">
        <v>116</v>
      </c>
      <c r="I4092">
        <v>33726</v>
      </c>
      <c r="J4092">
        <v>25093</v>
      </c>
    </row>
    <row r="4093" spans="1:10" x14ac:dyDescent="0.3">
      <c r="A4093" t="s">
        <v>4220</v>
      </c>
      <c r="B4093" s="1">
        <v>45772</v>
      </c>
      <c r="C4093" t="s">
        <v>86</v>
      </c>
      <c r="D4093">
        <v>17</v>
      </c>
      <c r="E4093" t="s">
        <v>24</v>
      </c>
      <c r="F4093" t="s">
        <v>109</v>
      </c>
      <c r="G4093" t="s">
        <v>115</v>
      </c>
      <c r="H4093" t="s">
        <v>52</v>
      </c>
      <c r="I4093">
        <v>39407</v>
      </c>
      <c r="J4093">
        <v>42470</v>
      </c>
    </row>
    <row r="4094" spans="1:10" x14ac:dyDescent="0.3">
      <c r="A4094" t="s">
        <v>4221</v>
      </c>
      <c r="B4094" s="1">
        <v>45797</v>
      </c>
      <c r="C4094" t="s">
        <v>90</v>
      </c>
      <c r="D4094">
        <v>21</v>
      </c>
      <c r="E4094" t="s">
        <v>70</v>
      </c>
      <c r="F4094" t="s">
        <v>101</v>
      </c>
      <c r="G4094" t="s">
        <v>201</v>
      </c>
      <c r="H4094" t="s">
        <v>119</v>
      </c>
      <c r="I4094">
        <v>27449</v>
      </c>
      <c r="J4094">
        <v>30792</v>
      </c>
    </row>
    <row r="4095" spans="1:10" x14ac:dyDescent="0.3">
      <c r="A4095" t="s">
        <v>4222</v>
      </c>
      <c r="B4095" s="1">
        <v>45975</v>
      </c>
      <c r="C4095" t="s">
        <v>23</v>
      </c>
      <c r="D4095">
        <v>46</v>
      </c>
      <c r="E4095" t="s">
        <v>33</v>
      </c>
      <c r="F4095" t="s">
        <v>122</v>
      </c>
      <c r="G4095" t="s">
        <v>240</v>
      </c>
      <c r="H4095" t="s">
        <v>36</v>
      </c>
      <c r="I4095">
        <v>30853</v>
      </c>
      <c r="J4095">
        <v>30262</v>
      </c>
    </row>
    <row r="4096" spans="1:10" x14ac:dyDescent="0.3">
      <c r="A4096" t="s">
        <v>4223</v>
      </c>
      <c r="B4096" s="1">
        <v>45949</v>
      </c>
      <c r="C4096" t="s">
        <v>66</v>
      </c>
      <c r="D4096">
        <v>42</v>
      </c>
      <c r="E4096" t="s">
        <v>39</v>
      </c>
      <c r="F4096" t="s">
        <v>87</v>
      </c>
      <c r="G4096" t="s">
        <v>44</v>
      </c>
      <c r="H4096" t="s">
        <v>188</v>
      </c>
      <c r="I4096">
        <v>31420</v>
      </c>
      <c r="J4096">
        <v>39660</v>
      </c>
    </row>
    <row r="4097" spans="1:10" x14ac:dyDescent="0.3">
      <c r="A4097" t="s">
        <v>4224</v>
      </c>
      <c r="B4097" s="1">
        <v>45738</v>
      </c>
      <c r="C4097" t="s">
        <v>95</v>
      </c>
      <c r="D4097">
        <v>12</v>
      </c>
      <c r="E4097" t="s">
        <v>24</v>
      </c>
      <c r="F4097" t="s">
        <v>50</v>
      </c>
      <c r="G4097" t="s">
        <v>102</v>
      </c>
      <c r="H4097" t="s">
        <v>64</v>
      </c>
      <c r="I4097">
        <v>34383</v>
      </c>
      <c r="J4097">
        <v>40825</v>
      </c>
    </row>
    <row r="4098" spans="1:10" x14ac:dyDescent="0.3">
      <c r="A4098" t="s">
        <v>4225</v>
      </c>
      <c r="B4098" s="1">
        <v>45659</v>
      </c>
      <c r="C4098" t="s">
        <v>17</v>
      </c>
      <c r="D4098">
        <v>1</v>
      </c>
      <c r="E4098" t="s">
        <v>24</v>
      </c>
      <c r="F4098" t="s">
        <v>114</v>
      </c>
      <c r="G4098" t="s">
        <v>137</v>
      </c>
      <c r="H4098" t="s">
        <v>165</v>
      </c>
      <c r="I4098">
        <v>27121</v>
      </c>
      <c r="J4098">
        <v>34575</v>
      </c>
    </row>
    <row r="4099" spans="1:10" x14ac:dyDescent="0.3">
      <c r="A4099" t="s">
        <v>4226</v>
      </c>
      <c r="B4099" s="1">
        <v>45843</v>
      </c>
      <c r="C4099" t="s">
        <v>11</v>
      </c>
      <c r="D4099">
        <v>27</v>
      </c>
      <c r="E4099" t="s">
        <v>70</v>
      </c>
      <c r="F4099" t="s">
        <v>75</v>
      </c>
      <c r="G4099" t="s">
        <v>201</v>
      </c>
      <c r="H4099" t="s">
        <v>59</v>
      </c>
      <c r="I4099">
        <v>35444</v>
      </c>
      <c r="J4099">
        <v>41839</v>
      </c>
    </row>
    <row r="4100" spans="1:10" x14ac:dyDescent="0.3">
      <c r="A4100" t="s">
        <v>4227</v>
      </c>
      <c r="B4100" s="1">
        <v>45884</v>
      </c>
      <c r="C4100" t="s">
        <v>113</v>
      </c>
      <c r="D4100">
        <v>33</v>
      </c>
      <c r="E4100" t="s">
        <v>33</v>
      </c>
      <c r="F4100" t="s">
        <v>109</v>
      </c>
      <c r="G4100" t="s">
        <v>102</v>
      </c>
      <c r="H4100" t="s">
        <v>188</v>
      </c>
      <c r="I4100">
        <v>26603</v>
      </c>
      <c r="J4100">
        <v>21468</v>
      </c>
    </row>
    <row r="4101" spans="1:10" x14ac:dyDescent="0.3">
      <c r="A4101" t="s">
        <v>4228</v>
      </c>
      <c r="B4101" s="1">
        <v>45949</v>
      </c>
      <c r="C4101" t="s">
        <v>66</v>
      </c>
      <c r="D4101">
        <v>42</v>
      </c>
      <c r="E4101" t="s">
        <v>18</v>
      </c>
      <c r="F4101" t="s">
        <v>25</v>
      </c>
      <c r="G4101" t="s">
        <v>266</v>
      </c>
      <c r="H4101" t="s">
        <v>48</v>
      </c>
      <c r="I4101">
        <v>24326</v>
      </c>
      <c r="J4101">
        <v>19165</v>
      </c>
    </row>
    <row r="4102" spans="1:10" x14ac:dyDescent="0.3">
      <c r="A4102" t="s">
        <v>4229</v>
      </c>
      <c r="B4102" s="1">
        <v>45777</v>
      </c>
      <c r="C4102" t="s">
        <v>86</v>
      </c>
      <c r="D4102">
        <v>18</v>
      </c>
      <c r="E4102" t="s">
        <v>24</v>
      </c>
      <c r="F4102" t="s">
        <v>62</v>
      </c>
      <c r="G4102" t="s">
        <v>63</v>
      </c>
      <c r="H4102" t="s">
        <v>123</v>
      </c>
      <c r="I4102">
        <v>18798</v>
      </c>
      <c r="J4102">
        <v>18340</v>
      </c>
    </row>
    <row r="4103" spans="1:10" x14ac:dyDescent="0.3">
      <c r="A4103" t="s">
        <v>4230</v>
      </c>
      <c r="B4103" s="1">
        <v>46010</v>
      </c>
      <c r="C4103" t="s">
        <v>100</v>
      </c>
      <c r="D4103">
        <v>51</v>
      </c>
      <c r="E4103" t="s">
        <v>39</v>
      </c>
      <c r="F4103" t="s">
        <v>193</v>
      </c>
      <c r="G4103" t="s">
        <v>26</v>
      </c>
      <c r="H4103" t="s">
        <v>163</v>
      </c>
      <c r="I4103">
        <v>19444</v>
      </c>
      <c r="J4103">
        <v>24671</v>
      </c>
    </row>
    <row r="4104" spans="1:10" x14ac:dyDescent="0.3">
      <c r="A4104" t="s">
        <v>4231</v>
      </c>
      <c r="B4104" s="1">
        <v>45844</v>
      </c>
      <c r="C4104" t="s">
        <v>11</v>
      </c>
      <c r="D4104">
        <v>27</v>
      </c>
      <c r="E4104" t="s">
        <v>39</v>
      </c>
      <c r="F4104" t="s">
        <v>57</v>
      </c>
      <c r="G4104" t="s">
        <v>145</v>
      </c>
      <c r="H4104" t="s">
        <v>157</v>
      </c>
      <c r="I4104">
        <v>19074</v>
      </c>
      <c r="J4104">
        <v>20873</v>
      </c>
    </row>
    <row r="4105" spans="1:10" x14ac:dyDescent="0.3">
      <c r="A4105" t="s">
        <v>4232</v>
      </c>
      <c r="B4105" s="1">
        <v>45678</v>
      </c>
      <c r="C4105" t="s">
        <v>17</v>
      </c>
      <c r="D4105">
        <v>4</v>
      </c>
      <c r="E4105" t="s">
        <v>33</v>
      </c>
      <c r="F4105" t="s">
        <v>122</v>
      </c>
      <c r="G4105" t="s">
        <v>324</v>
      </c>
      <c r="H4105" t="s">
        <v>27</v>
      </c>
      <c r="I4105">
        <v>15835</v>
      </c>
      <c r="J4105">
        <v>18156</v>
      </c>
    </row>
    <row r="4106" spans="1:10" x14ac:dyDescent="0.3">
      <c r="A4106" t="s">
        <v>4233</v>
      </c>
      <c r="B4106" s="1">
        <v>45836</v>
      </c>
      <c r="C4106" t="s">
        <v>74</v>
      </c>
      <c r="D4106">
        <v>26</v>
      </c>
      <c r="E4106" t="s">
        <v>61</v>
      </c>
      <c r="F4106" t="s">
        <v>46</v>
      </c>
      <c r="G4106" t="s">
        <v>147</v>
      </c>
      <c r="H4106" t="s">
        <v>157</v>
      </c>
      <c r="I4106">
        <v>29250</v>
      </c>
      <c r="J4106">
        <v>29650</v>
      </c>
    </row>
    <row r="4107" spans="1:10" x14ac:dyDescent="0.3">
      <c r="A4107" t="s">
        <v>4234</v>
      </c>
      <c r="B4107" s="1">
        <v>45736</v>
      </c>
      <c r="C4107" t="s">
        <v>95</v>
      </c>
      <c r="D4107">
        <v>12</v>
      </c>
      <c r="E4107" t="s">
        <v>12</v>
      </c>
      <c r="F4107" t="s">
        <v>34</v>
      </c>
      <c r="G4107" t="s">
        <v>58</v>
      </c>
      <c r="H4107" t="s">
        <v>31</v>
      </c>
      <c r="I4107">
        <v>23343</v>
      </c>
      <c r="J4107">
        <v>20388</v>
      </c>
    </row>
    <row r="4108" spans="1:10" x14ac:dyDescent="0.3">
      <c r="A4108" t="s">
        <v>4235</v>
      </c>
      <c r="B4108" s="1">
        <v>45874</v>
      </c>
      <c r="C4108" t="s">
        <v>113</v>
      </c>
      <c r="D4108">
        <v>32</v>
      </c>
      <c r="E4108" t="s">
        <v>24</v>
      </c>
      <c r="F4108" t="s">
        <v>75</v>
      </c>
      <c r="G4108" t="s">
        <v>58</v>
      </c>
      <c r="H4108" t="s">
        <v>21</v>
      </c>
      <c r="I4108">
        <v>17415</v>
      </c>
      <c r="J4108">
        <v>13738</v>
      </c>
    </row>
    <row r="4109" spans="1:10" x14ac:dyDescent="0.3">
      <c r="A4109" t="s">
        <v>4236</v>
      </c>
      <c r="B4109" s="1">
        <v>45693</v>
      </c>
      <c r="C4109" t="s">
        <v>82</v>
      </c>
      <c r="D4109">
        <v>6</v>
      </c>
      <c r="E4109" t="s">
        <v>24</v>
      </c>
      <c r="F4109" t="s">
        <v>75</v>
      </c>
      <c r="G4109" t="s">
        <v>58</v>
      </c>
      <c r="H4109" t="s">
        <v>68</v>
      </c>
      <c r="I4109">
        <v>15286</v>
      </c>
      <c r="J4109">
        <v>11774</v>
      </c>
    </row>
    <row r="4110" spans="1:10" x14ac:dyDescent="0.3">
      <c r="A4110" t="s">
        <v>4237</v>
      </c>
      <c r="B4110" s="1">
        <v>45744</v>
      </c>
      <c r="C4110" t="s">
        <v>95</v>
      </c>
      <c r="D4110">
        <v>13</v>
      </c>
      <c r="E4110" t="s">
        <v>39</v>
      </c>
      <c r="F4110" t="s">
        <v>19</v>
      </c>
      <c r="G4110" t="s">
        <v>67</v>
      </c>
      <c r="H4110" t="s">
        <v>155</v>
      </c>
      <c r="I4110">
        <v>30823</v>
      </c>
      <c r="J4110">
        <v>22065</v>
      </c>
    </row>
    <row r="4111" spans="1:10" x14ac:dyDescent="0.3">
      <c r="A4111" t="s">
        <v>4238</v>
      </c>
      <c r="B4111" s="1">
        <v>45923</v>
      </c>
      <c r="C4111" t="s">
        <v>38</v>
      </c>
      <c r="D4111">
        <v>39</v>
      </c>
      <c r="E4111" t="s">
        <v>70</v>
      </c>
      <c r="F4111" t="s">
        <v>29</v>
      </c>
      <c r="G4111" t="s">
        <v>67</v>
      </c>
      <c r="H4111" t="s">
        <v>31</v>
      </c>
      <c r="I4111">
        <v>36504</v>
      </c>
      <c r="J4111">
        <v>31449</v>
      </c>
    </row>
    <row r="4112" spans="1:10" x14ac:dyDescent="0.3">
      <c r="A4112" t="s">
        <v>4239</v>
      </c>
      <c r="B4112" s="1">
        <v>45734</v>
      </c>
      <c r="C4112" t="s">
        <v>95</v>
      </c>
      <c r="D4112">
        <v>12</v>
      </c>
      <c r="E4112" t="s">
        <v>61</v>
      </c>
      <c r="F4112" t="s">
        <v>114</v>
      </c>
      <c r="G4112" t="s">
        <v>171</v>
      </c>
      <c r="H4112" t="s">
        <v>55</v>
      </c>
      <c r="I4112">
        <v>39859</v>
      </c>
      <c r="J4112">
        <v>33407</v>
      </c>
    </row>
    <row r="4113" spans="1:10" x14ac:dyDescent="0.3">
      <c r="A4113" t="s">
        <v>4240</v>
      </c>
      <c r="B4113" s="1">
        <v>45658</v>
      </c>
      <c r="C4113" t="s">
        <v>17</v>
      </c>
      <c r="D4113">
        <v>1</v>
      </c>
      <c r="E4113" t="s">
        <v>12</v>
      </c>
      <c r="F4113" t="s">
        <v>43</v>
      </c>
      <c r="G4113" t="s">
        <v>76</v>
      </c>
      <c r="H4113" t="s">
        <v>151</v>
      </c>
      <c r="I4113">
        <v>35904</v>
      </c>
      <c r="J4113">
        <v>45608</v>
      </c>
    </row>
    <row r="4114" spans="1:10" x14ac:dyDescent="0.3">
      <c r="A4114" t="s">
        <v>4241</v>
      </c>
      <c r="B4114" s="1">
        <v>45770</v>
      </c>
      <c r="C4114" t="s">
        <v>86</v>
      </c>
      <c r="D4114">
        <v>17</v>
      </c>
      <c r="E4114" t="s">
        <v>18</v>
      </c>
      <c r="F4114" t="s">
        <v>19</v>
      </c>
      <c r="G4114" t="s">
        <v>240</v>
      </c>
      <c r="H4114" t="s">
        <v>157</v>
      </c>
      <c r="I4114">
        <v>26975</v>
      </c>
      <c r="J4114">
        <v>22846</v>
      </c>
    </row>
    <row r="4115" spans="1:10" x14ac:dyDescent="0.3">
      <c r="A4115" t="s">
        <v>4242</v>
      </c>
      <c r="B4115" s="1">
        <v>45674</v>
      </c>
      <c r="C4115" t="s">
        <v>17</v>
      </c>
      <c r="D4115">
        <v>3</v>
      </c>
      <c r="E4115" t="s">
        <v>18</v>
      </c>
      <c r="F4115" t="s">
        <v>19</v>
      </c>
      <c r="G4115" t="s">
        <v>253</v>
      </c>
      <c r="H4115" t="s">
        <v>55</v>
      </c>
      <c r="I4115">
        <v>30896</v>
      </c>
      <c r="J4115">
        <v>29646</v>
      </c>
    </row>
    <row r="4116" spans="1:10" x14ac:dyDescent="0.3">
      <c r="A4116" t="s">
        <v>4243</v>
      </c>
      <c r="B4116" s="1">
        <v>45819</v>
      </c>
      <c r="C4116" t="s">
        <v>74</v>
      </c>
      <c r="D4116">
        <v>24</v>
      </c>
      <c r="E4116" t="s">
        <v>33</v>
      </c>
      <c r="F4116" t="s">
        <v>109</v>
      </c>
      <c r="G4116" t="s">
        <v>107</v>
      </c>
      <c r="H4116" t="s">
        <v>119</v>
      </c>
      <c r="I4116">
        <v>18414</v>
      </c>
      <c r="J4116">
        <v>19049</v>
      </c>
    </row>
    <row r="4117" spans="1:10" x14ac:dyDescent="0.3">
      <c r="A4117" t="s">
        <v>4244</v>
      </c>
      <c r="B4117" s="1">
        <v>45740</v>
      </c>
      <c r="C4117" t="s">
        <v>95</v>
      </c>
      <c r="D4117">
        <v>13</v>
      </c>
      <c r="E4117" t="s">
        <v>12</v>
      </c>
      <c r="F4117" t="s">
        <v>62</v>
      </c>
      <c r="G4117" t="s">
        <v>201</v>
      </c>
      <c r="H4117" t="s">
        <v>111</v>
      </c>
      <c r="I4117">
        <v>22799</v>
      </c>
      <c r="J4117">
        <v>24970</v>
      </c>
    </row>
    <row r="4118" spans="1:10" x14ac:dyDescent="0.3">
      <c r="A4118" t="s">
        <v>4245</v>
      </c>
      <c r="B4118" s="1">
        <v>45721</v>
      </c>
      <c r="C4118" t="s">
        <v>95</v>
      </c>
      <c r="D4118">
        <v>10</v>
      </c>
      <c r="E4118" t="s">
        <v>33</v>
      </c>
      <c r="F4118" t="s">
        <v>46</v>
      </c>
      <c r="G4118" t="s">
        <v>240</v>
      </c>
      <c r="H4118" t="s">
        <v>80</v>
      </c>
      <c r="I4118">
        <v>38967</v>
      </c>
      <c r="J4118">
        <v>29981</v>
      </c>
    </row>
    <row r="4119" spans="1:10" x14ac:dyDescent="0.3">
      <c r="A4119" t="s">
        <v>4246</v>
      </c>
      <c r="B4119" s="1">
        <v>46010</v>
      </c>
      <c r="C4119" t="s">
        <v>100</v>
      </c>
      <c r="D4119">
        <v>51</v>
      </c>
      <c r="E4119" t="s">
        <v>24</v>
      </c>
      <c r="F4119" t="s">
        <v>13</v>
      </c>
      <c r="G4119" t="s">
        <v>76</v>
      </c>
      <c r="H4119" t="s">
        <v>211</v>
      </c>
      <c r="I4119">
        <v>39836</v>
      </c>
      <c r="J4119">
        <v>41613</v>
      </c>
    </row>
    <row r="4120" spans="1:10" x14ac:dyDescent="0.3">
      <c r="A4120" t="s">
        <v>4247</v>
      </c>
      <c r="B4120" s="1">
        <v>45932</v>
      </c>
      <c r="C4120" t="s">
        <v>66</v>
      </c>
      <c r="D4120">
        <v>40</v>
      </c>
      <c r="E4120" t="s">
        <v>18</v>
      </c>
      <c r="F4120" t="s">
        <v>57</v>
      </c>
      <c r="G4120" t="s">
        <v>54</v>
      </c>
      <c r="H4120" t="s">
        <v>55</v>
      </c>
      <c r="I4120">
        <v>16792</v>
      </c>
      <c r="J4120">
        <v>13626</v>
      </c>
    </row>
    <row r="4121" spans="1:10" x14ac:dyDescent="0.3">
      <c r="A4121" t="s">
        <v>4248</v>
      </c>
      <c r="B4121" s="1">
        <v>45944</v>
      </c>
      <c r="C4121" t="s">
        <v>66</v>
      </c>
      <c r="D4121">
        <v>42</v>
      </c>
      <c r="E4121" t="s">
        <v>33</v>
      </c>
      <c r="F4121" t="s">
        <v>50</v>
      </c>
      <c r="G4121" t="s">
        <v>206</v>
      </c>
      <c r="H4121" t="s">
        <v>48</v>
      </c>
      <c r="I4121">
        <v>29558</v>
      </c>
      <c r="J4121">
        <v>20999</v>
      </c>
    </row>
    <row r="4122" spans="1:10" x14ac:dyDescent="0.3">
      <c r="A4122" t="s">
        <v>4249</v>
      </c>
      <c r="B4122" s="1">
        <v>45803</v>
      </c>
      <c r="C4122" t="s">
        <v>90</v>
      </c>
      <c r="D4122">
        <v>22</v>
      </c>
      <c r="E4122" t="s">
        <v>61</v>
      </c>
      <c r="F4122" t="s">
        <v>50</v>
      </c>
      <c r="G4122" t="s">
        <v>110</v>
      </c>
      <c r="H4122" t="s">
        <v>163</v>
      </c>
      <c r="I4122">
        <v>38664</v>
      </c>
      <c r="J4122">
        <v>27219</v>
      </c>
    </row>
    <row r="4123" spans="1:10" x14ac:dyDescent="0.3">
      <c r="A4123" t="s">
        <v>4250</v>
      </c>
      <c r="B4123" s="1">
        <v>45824</v>
      </c>
      <c r="C4123" t="s">
        <v>74</v>
      </c>
      <c r="D4123">
        <v>25</v>
      </c>
      <c r="E4123" t="s">
        <v>12</v>
      </c>
      <c r="F4123" t="s">
        <v>29</v>
      </c>
      <c r="G4123" t="s">
        <v>130</v>
      </c>
      <c r="H4123" t="s">
        <v>52</v>
      </c>
      <c r="I4123">
        <v>22233</v>
      </c>
      <c r="J4123">
        <v>17212</v>
      </c>
    </row>
    <row r="4124" spans="1:10" x14ac:dyDescent="0.3">
      <c r="A4124" t="s">
        <v>4251</v>
      </c>
      <c r="B4124" s="1">
        <v>45939</v>
      </c>
      <c r="C4124" t="s">
        <v>66</v>
      </c>
      <c r="D4124">
        <v>41</v>
      </c>
      <c r="E4124" t="s">
        <v>61</v>
      </c>
      <c r="F4124" t="s">
        <v>92</v>
      </c>
      <c r="G4124" t="s">
        <v>230</v>
      </c>
      <c r="H4124" t="s">
        <v>84</v>
      </c>
      <c r="I4124">
        <v>17779</v>
      </c>
      <c r="J4124">
        <v>14514</v>
      </c>
    </row>
    <row r="4125" spans="1:10" x14ac:dyDescent="0.3">
      <c r="A4125" t="s">
        <v>4252</v>
      </c>
      <c r="B4125" s="1">
        <v>45864</v>
      </c>
      <c r="C4125" t="s">
        <v>11</v>
      </c>
      <c r="D4125">
        <v>30</v>
      </c>
      <c r="E4125" t="s">
        <v>33</v>
      </c>
      <c r="F4125" t="s">
        <v>140</v>
      </c>
      <c r="G4125" t="s">
        <v>206</v>
      </c>
      <c r="H4125" t="s">
        <v>188</v>
      </c>
      <c r="I4125">
        <v>29405</v>
      </c>
      <c r="J4125">
        <v>33770</v>
      </c>
    </row>
    <row r="4126" spans="1:10" x14ac:dyDescent="0.3">
      <c r="A4126" t="s">
        <v>4253</v>
      </c>
      <c r="B4126" s="1">
        <v>45674</v>
      </c>
      <c r="C4126" t="s">
        <v>17</v>
      </c>
      <c r="D4126">
        <v>3</v>
      </c>
      <c r="E4126" t="s">
        <v>39</v>
      </c>
      <c r="F4126" t="s">
        <v>43</v>
      </c>
      <c r="G4126" t="s">
        <v>253</v>
      </c>
      <c r="H4126" t="s">
        <v>15</v>
      </c>
      <c r="I4126">
        <v>27260</v>
      </c>
      <c r="J4126">
        <v>28772</v>
      </c>
    </row>
    <row r="4127" spans="1:10" x14ac:dyDescent="0.3">
      <c r="A4127" t="s">
        <v>4254</v>
      </c>
      <c r="B4127" s="1">
        <v>46014</v>
      </c>
      <c r="C4127" t="s">
        <v>100</v>
      </c>
      <c r="D4127">
        <v>52</v>
      </c>
      <c r="E4127" t="s">
        <v>70</v>
      </c>
      <c r="F4127" t="s">
        <v>92</v>
      </c>
      <c r="G4127" t="s">
        <v>128</v>
      </c>
      <c r="H4127" t="s">
        <v>59</v>
      </c>
      <c r="I4127">
        <v>28624</v>
      </c>
      <c r="J4127">
        <v>21532</v>
      </c>
    </row>
    <row r="4128" spans="1:10" x14ac:dyDescent="0.3">
      <c r="A4128" t="s">
        <v>4255</v>
      </c>
      <c r="B4128" s="1">
        <v>45909</v>
      </c>
      <c r="C4128" t="s">
        <v>38</v>
      </c>
      <c r="D4128">
        <v>37</v>
      </c>
      <c r="E4128" t="s">
        <v>39</v>
      </c>
      <c r="F4128" t="s">
        <v>34</v>
      </c>
      <c r="G4128" t="s">
        <v>26</v>
      </c>
      <c r="H4128" t="s">
        <v>243</v>
      </c>
      <c r="I4128">
        <v>20105</v>
      </c>
      <c r="J4128">
        <v>18772</v>
      </c>
    </row>
    <row r="4129" spans="1:10" x14ac:dyDescent="0.3">
      <c r="A4129" t="s">
        <v>4256</v>
      </c>
      <c r="B4129" s="1">
        <v>45776</v>
      </c>
      <c r="C4129" t="s">
        <v>86</v>
      </c>
      <c r="D4129">
        <v>18</v>
      </c>
      <c r="E4129" t="s">
        <v>61</v>
      </c>
      <c r="F4129" t="s">
        <v>101</v>
      </c>
      <c r="G4129" t="s">
        <v>160</v>
      </c>
      <c r="H4129" t="s">
        <v>155</v>
      </c>
      <c r="I4129">
        <v>27741</v>
      </c>
      <c r="J4129">
        <v>27832</v>
      </c>
    </row>
    <row r="4130" spans="1:10" x14ac:dyDescent="0.3">
      <c r="A4130" t="s">
        <v>4257</v>
      </c>
      <c r="B4130" s="1">
        <v>45712</v>
      </c>
      <c r="C4130" t="s">
        <v>82</v>
      </c>
      <c r="D4130">
        <v>9</v>
      </c>
      <c r="E4130" t="s">
        <v>33</v>
      </c>
      <c r="F4130" t="s">
        <v>101</v>
      </c>
      <c r="G4130" t="s">
        <v>291</v>
      </c>
      <c r="H4130" t="s">
        <v>15</v>
      </c>
      <c r="I4130">
        <v>31586</v>
      </c>
      <c r="J4130">
        <v>28931</v>
      </c>
    </row>
    <row r="4131" spans="1:10" x14ac:dyDescent="0.3">
      <c r="A4131" t="s">
        <v>4258</v>
      </c>
      <c r="B4131" s="1">
        <v>45744</v>
      </c>
      <c r="C4131" t="s">
        <v>95</v>
      </c>
      <c r="D4131">
        <v>13</v>
      </c>
      <c r="E4131" t="s">
        <v>70</v>
      </c>
      <c r="F4131" t="s">
        <v>109</v>
      </c>
      <c r="G4131" t="s">
        <v>141</v>
      </c>
      <c r="H4131" t="s">
        <v>103</v>
      </c>
      <c r="I4131">
        <v>31265</v>
      </c>
      <c r="J4131">
        <v>34468</v>
      </c>
    </row>
    <row r="4132" spans="1:10" x14ac:dyDescent="0.3">
      <c r="A4132" t="s">
        <v>4259</v>
      </c>
      <c r="B4132" s="1">
        <v>45710</v>
      </c>
      <c r="C4132" t="s">
        <v>82</v>
      </c>
      <c r="D4132">
        <v>8</v>
      </c>
      <c r="E4132" t="s">
        <v>24</v>
      </c>
      <c r="F4132" t="s">
        <v>114</v>
      </c>
      <c r="G4132" t="s">
        <v>30</v>
      </c>
      <c r="H4132" t="s">
        <v>80</v>
      </c>
      <c r="I4132">
        <v>20361</v>
      </c>
      <c r="J4132">
        <v>20691</v>
      </c>
    </row>
    <row r="4133" spans="1:10" x14ac:dyDescent="0.3">
      <c r="A4133" t="s">
        <v>4260</v>
      </c>
      <c r="B4133" s="1">
        <v>45866</v>
      </c>
      <c r="C4133" t="s">
        <v>11</v>
      </c>
      <c r="D4133">
        <v>31</v>
      </c>
      <c r="E4133" t="s">
        <v>39</v>
      </c>
      <c r="F4133" t="s">
        <v>140</v>
      </c>
      <c r="G4133" t="s">
        <v>40</v>
      </c>
      <c r="H4133" t="s">
        <v>64</v>
      </c>
      <c r="I4133">
        <v>18017</v>
      </c>
      <c r="J4133">
        <v>13089</v>
      </c>
    </row>
    <row r="4134" spans="1:10" x14ac:dyDescent="0.3">
      <c r="A4134" t="s">
        <v>4261</v>
      </c>
      <c r="B4134" s="1">
        <v>45771</v>
      </c>
      <c r="C4134" t="s">
        <v>86</v>
      </c>
      <c r="D4134">
        <v>17</v>
      </c>
      <c r="E4134" t="s">
        <v>24</v>
      </c>
      <c r="F4134" t="s">
        <v>29</v>
      </c>
      <c r="G4134" t="s">
        <v>191</v>
      </c>
      <c r="H4134" t="s">
        <v>155</v>
      </c>
      <c r="I4134">
        <v>24260</v>
      </c>
      <c r="J4134">
        <v>26978</v>
      </c>
    </row>
    <row r="4135" spans="1:10" x14ac:dyDescent="0.3">
      <c r="A4135" t="s">
        <v>4262</v>
      </c>
      <c r="B4135" s="1">
        <v>45714</v>
      </c>
      <c r="C4135" t="s">
        <v>82</v>
      </c>
      <c r="D4135">
        <v>9</v>
      </c>
      <c r="E4135" t="s">
        <v>12</v>
      </c>
      <c r="F4135" t="s">
        <v>122</v>
      </c>
      <c r="G4135" t="s">
        <v>149</v>
      </c>
      <c r="H4135" t="s">
        <v>36</v>
      </c>
      <c r="I4135">
        <v>24790</v>
      </c>
      <c r="J4135">
        <v>30085</v>
      </c>
    </row>
    <row r="4136" spans="1:10" x14ac:dyDescent="0.3">
      <c r="A4136" t="s">
        <v>4263</v>
      </c>
      <c r="B4136" s="1">
        <v>45911</v>
      </c>
      <c r="C4136" t="s">
        <v>38</v>
      </c>
      <c r="D4136">
        <v>37</v>
      </c>
      <c r="E4136" t="s">
        <v>24</v>
      </c>
      <c r="F4136" t="s">
        <v>75</v>
      </c>
      <c r="G4136" t="s">
        <v>230</v>
      </c>
      <c r="H4136" t="s">
        <v>59</v>
      </c>
      <c r="I4136">
        <v>37002</v>
      </c>
      <c r="J4136">
        <v>29773</v>
      </c>
    </row>
    <row r="4137" spans="1:10" x14ac:dyDescent="0.3">
      <c r="A4137" t="s">
        <v>4264</v>
      </c>
      <c r="B4137" s="1">
        <v>45978</v>
      </c>
      <c r="C4137" t="s">
        <v>23</v>
      </c>
      <c r="D4137">
        <v>47</v>
      </c>
      <c r="E4137" t="s">
        <v>24</v>
      </c>
      <c r="F4137" t="s">
        <v>87</v>
      </c>
      <c r="G4137" t="s">
        <v>35</v>
      </c>
      <c r="H4137" t="s">
        <v>111</v>
      </c>
      <c r="I4137">
        <v>18914</v>
      </c>
      <c r="J4137">
        <v>15086</v>
      </c>
    </row>
    <row r="4138" spans="1:10" x14ac:dyDescent="0.3">
      <c r="A4138" t="s">
        <v>4265</v>
      </c>
      <c r="B4138" s="1">
        <v>45928</v>
      </c>
      <c r="C4138" t="s">
        <v>38</v>
      </c>
      <c r="D4138">
        <v>39</v>
      </c>
      <c r="E4138" t="s">
        <v>33</v>
      </c>
      <c r="F4138" t="s">
        <v>43</v>
      </c>
      <c r="G4138" t="s">
        <v>72</v>
      </c>
      <c r="H4138" t="s">
        <v>165</v>
      </c>
      <c r="I4138">
        <v>26618</v>
      </c>
      <c r="J4138">
        <v>27568</v>
      </c>
    </row>
    <row r="4139" spans="1:10" x14ac:dyDescent="0.3">
      <c r="A4139" t="s">
        <v>4266</v>
      </c>
      <c r="B4139" s="1">
        <v>45794</v>
      </c>
      <c r="C4139" t="s">
        <v>90</v>
      </c>
      <c r="D4139">
        <v>20</v>
      </c>
      <c r="E4139" t="s">
        <v>18</v>
      </c>
      <c r="F4139" t="s">
        <v>34</v>
      </c>
      <c r="G4139" t="s">
        <v>83</v>
      </c>
      <c r="H4139" t="s">
        <v>36</v>
      </c>
      <c r="I4139">
        <v>23484</v>
      </c>
      <c r="J4139">
        <v>30171</v>
      </c>
    </row>
    <row r="4140" spans="1:10" x14ac:dyDescent="0.3">
      <c r="A4140" t="s">
        <v>4267</v>
      </c>
      <c r="B4140" s="1">
        <v>45879</v>
      </c>
      <c r="C4140" t="s">
        <v>113</v>
      </c>
      <c r="D4140">
        <v>32</v>
      </c>
      <c r="E4140" t="s">
        <v>12</v>
      </c>
      <c r="F4140" t="s">
        <v>140</v>
      </c>
      <c r="G4140" t="s">
        <v>191</v>
      </c>
      <c r="H4140" t="s">
        <v>155</v>
      </c>
      <c r="I4140">
        <v>17439</v>
      </c>
      <c r="J4140">
        <v>18620</v>
      </c>
    </row>
    <row r="4141" spans="1:10" x14ac:dyDescent="0.3">
      <c r="A4141" t="s">
        <v>4268</v>
      </c>
      <c r="B4141" s="1">
        <v>45898</v>
      </c>
      <c r="C4141" t="s">
        <v>113</v>
      </c>
      <c r="D4141">
        <v>35</v>
      </c>
      <c r="E4141" t="s">
        <v>12</v>
      </c>
      <c r="F4141" t="s">
        <v>114</v>
      </c>
      <c r="G4141" t="s">
        <v>130</v>
      </c>
      <c r="H4141" t="s">
        <v>59</v>
      </c>
      <c r="I4141">
        <v>21663</v>
      </c>
      <c r="J4141">
        <v>15914</v>
      </c>
    </row>
    <row r="4142" spans="1:10" x14ac:dyDescent="0.3">
      <c r="A4142" t="s">
        <v>4269</v>
      </c>
      <c r="B4142" s="1">
        <v>45803</v>
      </c>
      <c r="C4142" t="s">
        <v>90</v>
      </c>
      <c r="D4142">
        <v>22</v>
      </c>
      <c r="E4142" t="s">
        <v>24</v>
      </c>
      <c r="F4142" t="s">
        <v>101</v>
      </c>
      <c r="G4142" t="s">
        <v>324</v>
      </c>
      <c r="H4142" t="s">
        <v>103</v>
      </c>
      <c r="I4142">
        <v>20129</v>
      </c>
      <c r="J4142">
        <v>25804</v>
      </c>
    </row>
    <row r="4143" spans="1:10" x14ac:dyDescent="0.3">
      <c r="A4143" t="s">
        <v>4270</v>
      </c>
      <c r="B4143" s="1">
        <v>45841</v>
      </c>
      <c r="C4143" t="s">
        <v>11</v>
      </c>
      <c r="D4143">
        <v>27</v>
      </c>
      <c r="E4143" t="s">
        <v>18</v>
      </c>
      <c r="F4143" t="s">
        <v>109</v>
      </c>
      <c r="G4143" t="s">
        <v>30</v>
      </c>
      <c r="H4143" t="s">
        <v>31</v>
      </c>
      <c r="I4143">
        <v>37598</v>
      </c>
      <c r="J4143">
        <v>29549</v>
      </c>
    </row>
    <row r="4144" spans="1:10" x14ac:dyDescent="0.3">
      <c r="A4144" t="s">
        <v>4271</v>
      </c>
      <c r="B4144" s="1">
        <v>45964</v>
      </c>
      <c r="C4144" t="s">
        <v>23</v>
      </c>
      <c r="D4144">
        <v>45</v>
      </c>
      <c r="E4144" t="s">
        <v>12</v>
      </c>
      <c r="F4144" t="s">
        <v>140</v>
      </c>
      <c r="G4144" t="s">
        <v>115</v>
      </c>
      <c r="H4144" t="s">
        <v>64</v>
      </c>
      <c r="I4144">
        <v>25892</v>
      </c>
      <c r="J4144">
        <v>20832</v>
      </c>
    </row>
    <row r="4145" spans="1:10" x14ac:dyDescent="0.3">
      <c r="A4145" t="s">
        <v>4272</v>
      </c>
      <c r="B4145" s="1">
        <v>45694</v>
      </c>
      <c r="C4145" t="s">
        <v>82</v>
      </c>
      <c r="D4145">
        <v>6</v>
      </c>
      <c r="E4145" t="s">
        <v>18</v>
      </c>
      <c r="F4145" t="s">
        <v>78</v>
      </c>
      <c r="G4145" t="s">
        <v>291</v>
      </c>
      <c r="H4145" t="s">
        <v>36</v>
      </c>
      <c r="I4145">
        <v>37277</v>
      </c>
      <c r="J4145">
        <v>29235</v>
      </c>
    </row>
    <row r="4146" spans="1:10" x14ac:dyDescent="0.3">
      <c r="A4146" t="s">
        <v>4273</v>
      </c>
      <c r="B4146" s="1">
        <v>46009</v>
      </c>
      <c r="C4146" t="s">
        <v>100</v>
      </c>
      <c r="D4146">
        <v>51</v>
      </c>
      <c r="E4146" t="s">
        <v>61</v>
      </c>
      <c r="F4146" t="s">
        <v>114</v>
      </c>
      <c r="G4146" t="s">
        <v>115</v>
      </c>
      <c r="H4146" t="s">
        <v>21</v>
      </c>
      <c r="I4146">
        <v>28002</v>
      </c>
      <c r="J4146">
        <v>30265</v>
      </c>
    </row>
    <row r="4147" spans="1:10" x14ac:dyDescent="0.3">
      <c r="A4147" t="s">
        <v>4274</v>
      </c>
      <c r="B4147" s="1">
        <v>45874</v>
      </c>
      <c r="C4147" t="s">
        <v>113</v>
      </c>
      <c r="D4147">
        <v>32</v>
      </c>
      <c r="E4147" t="s">
        <v>70</v>
      </c>
      <c r="F4147" t="s">
        <v>92</v>
      </c>
      <c r="G4147" t="s">
        <v>58</v>
      </c>
      <c r="H4147" t="s">
        <v>21</v>
      </c>
      <c r="I4147">
        <v>36490</v>
      </c>
      <c r="J4147">
        <v>28401</v>
      </c>
    </row>
    <row r="4148" spans="1:10" x14ac:dyDescent="0.3">
      <c r="A4148" t="s">
        <v>4275</v>
      </c>
      <c r="B4148" s="1">
        <v>45904</v>
      </c>
      <c r="C4148" t="s">
        <v>38</v>
      </c>
      <c r="D4148">
        <v>36</v>
      </c>
      <c r="E4148" t="s">
        <v>18</v>
      </c>
      <c r="F4148" t="s">
        <v>109</v>
      </c>
      <c r="G4148" t="s">
        <v>58</v>
      </c>
      <c r="H4148" t="s">
        <v>96</v>
      </c>
      <c r="I4148">
        <v>36017</v>
      </c>
      <c r="J4148">
        <v>43958</v>
      </c>
    </row>
    <row r="4149" spans="1:10" x14ac:dyDescent="0.3">
      <c r="A4149" t="s">
        <v>4276</v>
      </c>
      <c r="B4149" s="1">
        <v>45693</v>
      </c>
      <c r="C4149" t="s">
        <v>82</v>
      </c>
      <c r="D4149">
        <v>6</v>
      </c>
      <c r="E4149" t="s">
        <v>70</v>
      </c>
      <c r="F4149" t="s">
        <v>19</v>
      </c>
      <c r="G4149" t="s">
        <v>67</v>
      </c>
      <c r="H4149" t="s">
        <v>96</v>
      </c>
      <c r="I4149">
        <v>35352</v>
      </c>
      <c r="J4149">
        <v>35589</v>
      </c>
    </row>
    <row r="4150" spans="1:10" x14ac:dyDescent="0.3">
      <c r="A4150" t="s">
        <v>4277</v>
      </c>
      <c r="B4150" s="1">
        <v>45854</v>
      </c>
      <c r="C4150" t="s">
        <v>11</v>
      </c>
      <c r="D4150">
        <v>29</v>
      </c>
      <c r="E4150" t="s">
        <v>12</v>
      </c>
      <c r="F4150" t="s">
        <v>109</v>
      </c>
      <c r="G4150" t="s">
        <v>126</v>
      </c>
      <c r="H4150" t="s">
        <v>52</v>
      </c>
      <c r="I4150">
        <v>29743</v>
      </c>
      <c r="J4150">
        <v>35155</v>
      </c>
    </row>
    <row r="4151" spans="1:10" x14ac:dyDescent="0.3">
      <c r="A4151" t="s">
        <v>4278</v>
      </c>
      <c r="B4151" s="1">
        <v>45844</v>
      </c>
      <c r="C4151" t="s">
        <v>11</v>
      </c>
      <c r="D4151">
        <v>27</v>
      </c>
      <c r="E4151" t="s">
        <v>70</v>
      </c>
      <c r="F4151" t="s">
        <v>92</v>
      </c>
      <c r="G4151" t="s">
        <v>326</v>
      </c>
      <c r="H4151" t="s">
        <v>55</v>
      </c>
      <c r="I4151">
        <v>30218</v>
      </c>
      <c r="J4151">
        <v>32841</v>
      </c>
    </row>
    <row r="4152" spans="1:10" x14ac:dyDescent="0.3">
      <c r="A4152" t="s">
        <v>4279</v>
      </c>
      <c r="B4152" s="1">
        <v>45766</v>
      </c>
      <c r="C4152" t="s">
        <v>86</v>
      </c>
      <c r="D4152">
        <v>16</v>
      </c>
      <c r="E4152" t="s">
        <v>18</v>
      </c>
      <c r="F4152" t="s">
        <v>50</v>
      </c>
      <c r="G4152" t="s">
        <v>35</v>
      </c>
      <c r="H4152" t="s">
        <v>188</v>
      </c>
      <c r="I4152">
        <v>21043</v>
      </c>
      <c r="J4152">
        <v>16882</v>
      </c>
    </row>
    <row r="4153" spans="1:10" x14ac:dyDescent="0.3">
      <c r="A4153" t="s">
        <v>4280</v>
      </c>
      <c r="B4153" s="1">
        <v>45742</v>
      </c>
      <c r="C4153" t="s">
        <v>95</v>
      </c>
      <c r="D4153">
        <v>13</v>
      </c>
      <c r="E4153" t="s">
        <v>24</v>
      </c>
      <c r="F4153" t="s">
        <v>122</v>
      </c>
      <c r="G4153" t="s">
        <v>58</v>
      </c>
      <c r="H4153" t="s">
        <v>243</v>
      </c>
      <c r="I4153">
        <v>18398</v>
      </c>
      <c r="J4153">
        <v>16750</v>
      </c>
    </row>
    <row r="4154" spans="1:10" x14ac:dyDescent="0.3">
      <c r="A4154" t="s">
        <v>4281</v>
      </c>
      <c r="B4154" s="1">
        <v>45715</v>
      </c>
      <c r="C4154" t="s">
        <v>82</v>
      </c>
      <c r="D4154">
        <v>9</v>
      </c>
      <c r="E4154" t="s">
        <v>70</v>
      </c>
      <c r="F4154" t="s">
        <v>109</v>
      </c>
      <c r="G4154" t="s">
        <v>30</v>
      </c>
      <c r="H4154" t="s">
        <v>52</v>
      </c>
      <c r="I4154">
        <v>38588</v>
      </c>
      <c r="J4154">
        <v>33145</v>
      </c>
    </row>
    <row r="4155" spans="1:10" x14ac:dyDescent="0.3">
      <c r="A4155" t="s">
        <v>4282</v>
      </c>
      <c r="B4155" s="1">
        <v>45711</v>
      </c>
      <c r="C4155" t="s">
        <v>82</v>
      </c>
      <c r="D4155">
        <v>8</v>
      </c>
      <c r="E4155" t="s">
        <v>24</v>
      </c>
      <c r="F4155" t="s">
        <v>29</v>
      </c>
      <c r="G4155" t="s">
        <v>291</v>
      </c>
      <c r="H4155" t="s">
        <v>188</v>
      </c>
      <c r="I4155">
        <v>15673</v>
      </c>
      <c r="J4155">
        <v>17954</v>
      </c>
    </row>
    <row r="4156" spans="1:10" x14ac:dyDescent="0.3">
      <c r="A4156" t="s">
        <v>4283</v>
      </c>
      <c r="B4156" s="1">
        <v>45805</v>
      </c>
      <c r="C4156" t="s">
        <v>90</v>
      </c>
      <c r="D4156">
        <v>22</v>
      </c>
      <c r="E4156" t="s">
        <v>61</v>
      </c>
      <c r="F4156" t="s">
        <v>46</v>
      </c>
      <c r="G4156" t="s">
        <v>141</v>
      </c>
      <c r="H4156" t="s">
        <v>155</v>
      </c>
      <c r="I4156">
        <v>24328</v>
      </c>
      <c r="J4156">
        <v>26635</v>
      </c>
    </row>
    <row r="4157" spans="1:10" x14ac:dyDescent="0.3">
      <c r="A4157" t="s">
        <v>4284</v>
      </c>
      <c r="B4157" s="1">
        <v>46016</v>
      </c>
      <c r="C4157" t="s">
        <v>100</v>
      </c>
      <c r="D4157">
        <v>52</v>
      </c>
      <c r="E4157" t="s">
        <v>12</v>
      </c>
      <c r="F4157" t="s">
        <v>19</v>
      </c>
      <c r="G4157" t="s">
        <v>54</v>
      </c>
      <c r="H4157" t="s">
        <v>64</v>
      </c>
      <c r="I4157">
        <v>26321</v>
      </c>
      <c r="J4157">
        <v>30547</v>
      </c>
    </row>
    <row r="4158" spans="1:10" x14ac:dyDescent="0.3">
      <c r="A4158" t="s">
        <v>4285</v>
      </c>
      <c r="B4158" s="1">
        <v>45705</v>
      </c>
      <c r="C4158" t="s">
        <v>82</v>
      </c>
      <c r="D4158">
        <v>8</v>
      </c>
      <c r="E4158" t="s">
        <v>33</v>
      </c>
      <c r="F4158" t="s">
        <v>92</v>
      </c>
      <c r="G4158" t="s">
        <v>14</v>
      </c>
      <c r="H4158" t="s">
        <v>15</v>
      </c>
      <c r="I4158">
        <v>17801</v>
      </c>
      <c r="J4158">
        <v>14700</v>
      </c>
    </row>
    <row r="4159" spans="1:10" x14ac:dyDescent="0.3">
      <c r="A4159" t="s">
        <v>4286</v>
      </c>
      <c r="B4159" s="1">
        <v>45964</v>
      </c>
      <c r="C4159" t="s">
        <v>23</v>
      </c>
      <c r="D4159">
        <v>45</v>
      </c>
      <c r="E4159" t="s">
        <v>39</v>
      </c>
      <c r="F4159" t="s">
        <v>57</v>
      </c>
      <c r="G4159" t="s">
        <v>145</v>
      </c>
      <c r="H4159" t="s">
        <v>36</v>
      </c>
      <c r="I4159">
        <v>32241</v>
      </c>
      <c r="J4159">
        <v>31364</v>
      </c>
    </row>
    <row r="4160" spans="1:10" x14ac:dyDescent="0.3">
      <c r="A4160" t="s">
        <v>4287</v>
      </c>
      <c r="B4160" s="1">
        <v>45663</v>
      </c>
      <c r="C4160" t="s">
        <v>17</v>
      </c>
      <c r="D4160">
        <v>2</v>
      </c>
      <c r="E4160" t="s">
        <v>18</v>
      </c>
      <c r="F4160" t="s">
        <v>101</v>
      </c>
      <c r="G4160" t="s">
        <v>324</v>
      </c>
      <c r="H4160" t="s">
        <v>116</v>
      </c>
      <c r="I4160">
        <v>20911</v>
      </c>
      <c r="J4160">
        <v>15900</v>
      </c>
    </row>
    <row r="4161" spans="1:10" x14ac:dyDescent="0.3">
      <c r="A4161" t="s">
        <v>4288</v>
      </c>
      <c r="B4161" s="1">
        <v>45864</v>
      </c>
      <c r="C4161" t="s">
        <v>11</v>
      </c>
      <c r="D4161">
        <v>30</v>
      </c>
      <c r="E4161" t="s">
        <v>70</v>
      </c>
      <c r="F4161" t="s">
        <v>193</v>
      </c>
      <c r="G4161" t="s">
        <v>324</v>
      </c>
      <c r="H4161" t="s">
        <v>123</v>
      </c>
      <c r="I4161">
        <v>30353</v>
      </c>
      <c r="J4161">
        <v>37682</v>
      </c>
    </row>
    <row r="4162" spans="1:10" x14ac:dyDescent="0.3">
      <c r="A4162" t="s">
        <v>4289</v>
      </c>
      <c r="B4162" s="1">
        <v>45834</v>
      </c>
      <c r="C4162" t="s">
        <v>74</v>
      </c>
      <c r="D4162">
        <v>26</v>
      </c>
      <c r="E4162" t="s">
        <v>33</v>
      </c>
      <c r="F4162" t="s">
        <v>78</v>
      </c>
      <c r="G4162" t="s">
        <v>76</v>
      </c>
      <c r="H4162" t="s">
        <v>21</v>
      </c>
      <c r="I4162">
        <v>21938</v>
      </c>
      <c r="J4162">
        <v>27412</v>
      </c>
    </row>
    <row r="4163" spans="1:10" x14ac:dyDescent="0.3">
      <c r="A4163" t="s">
        <v>4290</v>
      </c>
      <c r="B4163" s="1">
        <v>45903</v>
      </c>
      <c r="C4163" t="s">
        <v>38</v>
      </c>
      <c r="D4163">
        <v>36</v>
      </c>
      <c r="E4163" t="s">
        <v>61</v>
      </c>
      <c r="F4163" t="s">
        <v>78</v>
      </c>
      <c r="G4163" t="s">
        <v>67</v>
      </c>
      <c r="H4163" t="s">
        <v>155</v>
      </c>
      <c r="I4163">
        <v>17104</v>
      </c>
      <c r="J4163">
        <v>22005</v>
      </c>
    </row>
    <row r="4164" spans="1:10" x14ac:dyDescent="0.3">
      <c r="A4164" t="s">
        <v>4291</v>
      </c>
      <c r="B4164" s="1">
        <v>46013</v>
      </c>
      <c r="C4164" t="s">
        <v>100</v>
      </c>
      <c r="D4164">
        <v>52</v>
      </c>
      <c r="E4164" t="s">
        <v>39</v>
      </c>
      <c r="F4164" t="s">
        <v>78</v>
      </c>
      <c r="G4164" t="s">
        <v>26</v>
      </c>
      <c r="H4164" t="s">
        <v>52</v>
      </c>
      <c r="I4164">
        <v>35970</v>
      </c>
      <c r="J4164">
        <v>35392</v>
      </c>
    </row>
    <row r="4165" spans="1:10" x14ac:dyDescent="0.3">
      <c r="A4165" t="s">
        <v>4292</v>
      </c>
      <c r="B4165" s="1">
        <v>45756</v>
      </c>
      <c r="C4165" t="s">
        <v>86</v>
      </c>
      <c r="D4165">
        <v>15</v>
      </c>
      <c r="E4165" t="s">
        <v>33</v>
      </c>
      <c r="F4165" t="s">
        <v>13</v>
      </c>
      <c r="G4165" t="s">
        <v>147</v>
      </c>
      <c r="H4165" t="s">
        <v>243</v>
      </c>
      <c r="I4165">
        <v>22536</v>
      </c>
      <c r="J4165">
        <v>28814</v>
      </c>
    </row>
    <row r="4166" spans="1:10" x14ac:dyDescent="0.3">
      <c r="A4166" t="s">
        <v>4293</v>
      </c>
      <c r="B4166" s="1">
        <v>45702</v>
      </c>
      <c r="C4166" t="s">
        <v>82</v>
      </c>
      <c r="D4166">
        <v>7</v>
      </c>
      <c r="E4166" t="s">
        <v>18</v>
      </c>
      <c r="F4166" t="s">
        <v>140</v>
      </c>
      <c r="G4166" t="s">
        <v>234</v>
      </c>
      <c r="H4166" t="s">
        <v>157</v>
      </c>
      <c r="I4166">
        <v>26875</v>
      </c>
      <c r="J4166">
        <v>25132</v>
      </c>
    </row>
    <row r="4167" spans="1:10" x14ac:dyDescent="0.3">
      <c r="A4167" t="s">
        <v>4294</v>
      </c>
      <c r="B4167" s="1">
        <v>45885</v>
      </c>
      <c r="C4167" t="s">
        <v>113</v>
      </c>
      <c r="D4167">
        <v>33</v>
      </c>
      <c r="E4167" t="s">
        <v>24</v>
      </c>
      <c r="F4167" t="s">
        <v>78</v>
      </c>
      <c r="G4167" t="s">
        <v>147</v>
      </c>
      <c r="H4167" t="s">
        <v>41</v>
      </c>
      <c r="I4167">
        <v>21740</v>
      </c>
      <c r="J4167">
        <v>19994</v>
      </c>
    </row>
    <row r="4168" spans="1:10" x14ac:dyDescent="0.3">
      <c r="A4168" t="s">
        <v>4295</v>
      </c>
      <c r="B4168" s="1">
        <v>45946</v>
      </c>
      <c r="C4168" t="s">
        <v>66</v>
      </c>
      <c r="D4168">
        <v>42</v>
      </c>
      <c r="E4168" t="s">
        <v>24</v>
      </c>
      <c r="F4168" t="s">
        <v>109</v>
      </c>
      <c r="G4168" t="s">
        <v>191</v>
      </c>
      <c r="H4168" t="s">
        <v>103</v>
      </c>
      <c r="I4168">
        <v>17167</v>
      </c>
      <c r="J4168">
        <v>19704</v>
      </c>
    </row>
    <row r="4169" spans="1:10" x14ac:dyDescent="0.3">
      <c r="A4169" t="s">
        <v>4296</v>
      </c>
      <c r="B4169" s="1">
        <v>45847</v>
      </c>
      <c r="C4169" t="s">
        <v>11</v>
      </c>
      <c r="D4169">
        <v>28</v>
      </c>
      <c r="E4169" t="s">
        <v>18</v>
      </c>
      <c r="F4169" t="s">
        <v>57</v>
      </c>
      <c r="G4169" t="s">
        <v>234</v>
      </c>
      <c r="H4169" t="s">
        <v>211</v>
      </c>
      <c r="I4169">
        <v>18513</v>
      </c>
      <c r="J4169">
        <v>17652</v>
      </c>
    </row>
    <row r="4170" spans="1:10" x14ac:dyDescent="0.3">
      <c r="A4170" t="s">
        <v>4297</v>
      </c>
      <c r="B4170" s="1">
        <v>45932</v>
      </c>
      <c r="C4170" t="s">
        <v>66</v>
      </c>
      <c r="D4170">
        <v>40</v>
      </c>
      <c r="E4170" t="s">
        <v>70</v>
      </c>
      <c r="F4170" t="s">
        <v>109</v>
      </c>
      <c r="G4170" t="s">
        <v>40</v>
      </c>
      <c r="H4170" t="s">
        <v>103</v>
      </c>
      <c r="I4170">
        <v>23503</v>
      </c>
      <c r="J4170">
        <v>30080</v>
      </c>
    </row>
    <row r="4171" spans="1:10" x14ac:dyDescent="0.3">
      <c r="A4171" t="s">
        <v>4298</v>
      </c>
      <c r="B4171" s="1">
        <v>45873</v>
      </c>
      <c r="C4171" t="s">
        <v>113</v>
      </c>
      <c r="D4171">
        <v>32</v>
      </c>
      <c r="E4171" t="s">
        <v>12</v>
      </c>
      <c r="F4171" t="s">
        <v>92</v>
      </c>
      <c r="G4171" t="s">
        <v>26</v>
      </c>
      <c r="H4171" t="s">
        <v>96</v>
      </c>
      <c r="I4171">
        <v>30886</v>
      </c>
      <c r="J4171">
        <v>34287</v>
      </c>
    </row>
    <row r="4172" spans="1:10" x14ac:dyDescent="0.3">
      <c r="A4172" t="s">
        <v>4299</v>
      </c>
      <c r="B4172" s="1">
        <v>45885</v>
      </c>
      <c r="C4172" t="s">
        <v>113</v>
      </c>
      <c r="D4172">
        <v>33</v>
      </c>
      <c r="E4172" t="s">
        <v>24</v>
      </c>
      <c r="F4172" t="s">
        <v>29</v>
      </c>
      <c r="G4172" t="s">
        <v>79</v>
      </c>
      <c r="H4172" t="s">
        <v>98</v>
      </c>
      <c r="I4172">
        <v>26290</v>
      </c>
      <c r="J4172">
        <v>31193</v>
      </c>
    </row>
    <row r="4173" spans="1:10" x14ac:dyDescent="0.3">
      <c r="A4173" t="s">
        <v>4300</v>
      </c>
      <c r="B4173" s="1">
        <v>45793</v>
      </c>
      <c r="C4173" t="s">
        <v>90</v>
      </c>
      <c r="D4173">
        <v>20</v>
      </c>
      <c r="E4173" t="s">
        <v>18</v>
      </c>
      <c r="F4173" t="s">
        <v>25</v>
      </c>
      <c r="G4173" t="s">
        <v>224</v>
      </c>
      <c r="H4173" t="s">
        <v>84</v>
      </c>
      <c r="I4173">
        <v>30692</v>
      </c>
      <c r="J4173">
        <v>26535</v>
      </c>
    </row>
    <row r="4174" spans="1:10" x14ac:dyDescent="0.3">
      <c r="A4174" t="s">
        <v>4301</v>
      </c>
      <c r="B4174" s="1">
        <v>45961</v>
      </c>
      <c r="C4174" t="s">
        <v>66</v>
      </c>
      <c r="D4174">
        <v>44</v>
      </c>
      <c r="E4174" t="s">
        <v>24</v>
      </c>
      <c r="F4174" t="s">
        <v>62</v>
      </c>
      <c r="G4174" t="s">
        <v>135</v>
      </c>
      <c r="H4174" t="s">
        <v>36</v>
      </c>
      <c r="I4174">
        <v>18351</v>
      </c>
      <c r="J4174">
        <v>19625</v>
      </c>
    </row>
    <row r="4175" spans="1:10" x14ac:dyDescent="0.3">
      <c r="A4175" t="s">
        <v>4302</v>
      </c>
      <c r="B4175" s="1">
        <v>45902</v>
      </c>
      <c r="C4175" t="s">
        <v>38</v>
      </c>
      <c r="D4175">
        <v>36</v>
      </c>
      <c r="E4175" t="s">
        <v>70</v>
      </c>
      <c r="F4175" t="s">
        <v>75</v>
      </c>
      <c r="G4175" t="s">
        <v>132</v>
      </c>
      <c r="H4175" t="s">
        <v>27</v>
      </c>
      <c r="I4175">
        <v>19033</v>
      </c>
      <c r="J4175">
        <v>24201</v>
      </c>
    </row>
    <row r="4176" spans="1:10" x14ac:dyDescent="0.3">
      <c r="A4176" t="s">
        <v>4303</v>
      </c>
      <c r="B4176" s="1">
        <v>45963</v>
      </c>
      <c r="C4176" t="s">
        <v>23</v>
      </c>
      <c r="D4176">
        <v>44</v>
      </c>
      <c r="E4176" t="s">
        <v>70</v>
      </c>
      <c r="F4176" t="s">
        <v>50</v>
      </c>
      <c r="G4176" t="s">
        <v>58</v>
      </c>
      <c r="H4176" t="s">
        <v>41</v>
      </c>
      <c r="I4176">
        <v>37156</v>
      </c>
      <c r="J4176">
        <v>36289</v>
      </c>
    </row>
    <row r="4177" spans="1:10" x14ac:dyDescent="0.3">
      <c r="A4177" t="s">
        <v>4304</v>
      </c>
      <c r="B4177" s="1">
        <v>45807</v>
      </c>
      <c r="C4177" t="s">
        <v>90</v>
      </c>
      <c r="D4177">
        <v>22</v>
      </c>
      <c r="E4177" t="s">
        <v>39</v>
      </c>
      <c r="F4177" t="s">
        <v>29</v>
      </c>
      <c r="G4177" t="s">
        <v>83</v>
      </c>
      <c r="H4177" t="s">
        <v>133</v>
      </c>
      <c r="I4177">
        <v>30470</v>
      </c>
      <c r="J4177">
        <v>37310</v>
      </c>
    </row>
    <row r="4178" spans="1:10" x14ac:dyDescent="0.3">
      <c r="A4178" t="s">
        <v>4305</v>
      </c>
      <c r="B4178" s="1">
        <v>46004</v>
      </c>
      <c r="C4178" t="s">
        <v>100</v>
      </c>
      <c r="D4178">
        <v>50</v>
      </c>
      <c r="E4178" t="s">
        <v>61</v>
      </c>
      <c r="F4178" t="s">
        <v>140</v>
      </c>
      <c r="G4178" t="s">
        <v>137</v>
      </c>
      <c r="H4178" t="s">
        <v>211</v>
      </c>
      <c r="I4178">
        <v>24897</v>
      </c>
      <c r="J4178">
        <v>18093</v>
      </c>
    </row>
    <row r="4179" spans="1:10" x14ac:dyDescent="0.3">
      <c r="A4179" t="s">
        <v>4306</v>
      </c>
      <c r="B4179" s="1">
        <v>45881</v>
      </c>
      <c r="C4179" t="s">
        <v>113</v>
      </c>
      <c r="D4179">
        <v>33</v>
      </c>
      <c r="E4179" t="s">
        <v>18</v>
      </c>
      <c r="F4179" t="s">
        <v>25</v>
      </c>
      <c r="G4179" t="s">
        <v>110</v>
      </c>
      <c r="H4179" t="s">
        <v>48</v>
      </c>
      <c r="I4179">
        <v>19618</v>
      </c>
      <c r="J4179">
        <v>19440</v>
      </c>
    </row>
    <row r="4180" spans="1:10" x14ac:dyDescent="0.3">
      <c r="A4180" t="s">
        <v>4307</v>
      </c>
      <c r="B4180" s="1">
        <v>45776</v>
      </c>
      <c r="C4180" t="s">
        <v>86</v>
      </c>
      <c r="D4180">
        <v>18</v>
      </c>
      <c r="E4180" t="s">
        <v>12</v>
      </c>
      <c r="F4180" t="s">
        <v>13</v>
      </c>
      <c r="G4180" t="s">
        <v>206</v>
      </c>
      <c r="H4180" t="s">
        <v>211</v>
      </c>
      <c r="I4180">
        <v>39241</v>
      </c>
      <c r="J4180">
        <v>31362</v>
      </c>
    </row>
    <row r="4181" spans="1:10" x14ac:dyDescent="0.3">
      <c r="A4181" t="s">
        <v>4308</v>
      </c>
      <c r="B4181" s="1">
        <v>45735</v>
      </c>
      <c r="C4181" t="s">
        <v>95</v>
      </c>
      <c r="D4181">
        <v>12</v>
      </c>
      <c r="E4181" t="s">
        <v>18</v>
      </c>
      <c r="F4181" t="s">
        <v>29</v>
      </c>
      <c r="G4181" t="s">
        <v>102</v>
      </c>
      <c r="H4181" t="s">
        <v>211</v>
      </c>
      <c r="I4181">
        <v>35735</v>
      </c>
      <c r="J4181">
        <v>29559</v>
      </c>
    </row>
    <row r="4182" spans="1:10" x14ac:dyDescent="0.3">
      <c r="A4182" t="s">
        <v>4309</v>
      </c>
      <c r="B4182" s="1">
        <v>45992</v>
      </c>
      <c r="C4182" t="s">
        <v>100</v>
      </c>
      <c r="D4182">
        <v>49</v>
      </c>
      <c r="E4182" t="s">
        <v>18</v>
      </c>
      <c r="F4182" t="s">
        <v>34</v>
      </c>
      <c r="G4182" t="s">
        <v>58</v>
      </c>
      <c r="H4182" t="s">
        <v>59</v>
      </c>
      <c r="I4182">
        <v>17969</v>
      </c>
      <c r="J4182">
        <v>13959</v>
      </c>
    </row>
    <row r="4183" spans="1:10" x14ac:dyDescent="0.3">
      <c r="A4183" t="s">
        <v>4310</v>
      </c>
      <c r="B4183" s="1">
        <v>45904</v>
      </c>
      <c r="C4183" t="s">
        <v>38</v>
      </c>
      <c r="D4183">
        <v>36</v>
      </c>
      <c r="E4183" t="s">
        <v>39</v>
      </c>
      <c r="F4183" t="s">
        <v>62</v>
      </c>
      <c r="G4183" t="s">
        <v>171</v>
      </c>
      <c r="H4183" t="s">
        <v>243</v>
      </c>
      <c r="I4183">
        <v>28745</v>
      </c>
      <c r="J4183">
        <v>25903</v>
      </c>
    </row>
    <row r="4184" spans="1:10" x14ac:dyDescent="0.3">
      <c r="A4184" t="s">
        <v>4311</v>
      </c>
      <c r="B4184" s="1">
        <v>45682</v>
      </c>
      <c r="C4184" t="s">
        <v>17</v>
      </c>
      <c r="D4184">
        <v>4</v>
      </c>
      <c r="E4184" t="s">
        <v>33</v>
      </c>
      <c r="F4184" t="s">
        <v>114</v>
      </c>
      <c r="G4184" t="s">
        <v>63</v>
      </c>
      <c r="H4184" t="s">
        <v>116</v>
      </c>
      <c r="I4184">
        <v>28679</v>
      </c>
      <c r="J4184">
        <v>34932</v>
      </c>
    </row>
    <row r="4185" spans="1:10" x14ac:dyDescent="0.3">
      <c r="A4185" t="s">
        <v>4312</v>
      </c>
      <c r="B4185" s="1">
        <v>45796</v>
      </c>
      <c r="C4185" t="s">
        <v>90</v>
      </c>
      <c r="D4185">
        <v>21</v>
      </c>
      <c r="E4185" t="s">
        <v>70</v>
      </c>
      <c r="F4185" t="s">
        <v>87</v>
      </c>
      <c r="G4185" t="s">
        <v>130</v>
      </c>
      <c r="H4185" t="s">
        <v>52</v>
      </c>
      <c r="I4185">
        <v>20854</v>
      </c>
      <c r="J4185">
        <v>25853</v>
      </c>
    </row>
    <row r="4186" spans="1:10" x14ac:dyDescent="0.3">
      <c r="A4186" t="s">
        <v>4313</v>
      </c>
      <c r="B4186" s="1">
        <v>45922</v>
      </c>
      <c r="C4186" t="s">
        <v>38</v>
      </c>
      <c r="D4186">
        <v>39</v>
      </c>
      <c r="E4186" t="s">
        <v>61</v>
      </c>
      <c r="F4186" t="s">
        <v>25</v>
      </c>
      <c r="G4186" t="s">
        <v>72</v>
      </c>
      <c r="H4186" t="s">
        <v>211</v>
      </c>
      <c r="I4186">
        <v>17138</v>
      </c>
      <c r="J4186">
        <v>21607</v>
      </c>
    </row>
    <row r="4187" spans="1:10" x14ac:dyDescent="0.3">
      <c r="A4187" t="s">
        <v>4314</v>
      </c>
      <c r="B4187" s="1">
        <v>45979</v>
      </c>
      <c r="C4187" t="s">
        <v>23</v>
      </c>
      <c r="D4187">
        <v>47</v>
      </c>
      <c r="E4187" t="s">
        <v>18</v>
      </c>
      <c r="F4187" t="s">
        <v>46</v>
      </c>
      <c r="G4187" t="s">
        <v>201</v>
      </c>
      <c r="H4187" t="s">
        <v>64</v>
      </c>
      <c r="I4187">
        <v>22717</v>
      </c>
      <c r="J4187">
        <v>25800</v>
      </c>
    </row>
    <row r="4188" spans="1:10" x14ac:dyDescent="0.3">
      <c r="A4188" t="s">
        <v>4315</v>
      </c>
      <c r="B4188" s="1">
        <v>45757</v>
      </c>
      <c r="C4188" t="s">
        <v>86</v>
      </c>
      <c r="D4188">
        <v>15</v>
      </c>
      <c r="E4188" t="s">
        <v>61</v>
      </c>
      <c r="F4188" t="s">
        <v>34</v>
      </c>
      <c r="G4188" t="s">
        <v>79</v>
      </c>
      <c r="H4188" t="s">
        <v>119</v>
      </c>
      <c r="I4188">
        <v>15121</v>
      </c>
      <c r="J4188">
        <v>13559</v>
      </c>
    </row>
    <row r="4189" spans="1:10" x14ac:dyDescent="0.3">
      <c r="A4189" t="s">
        <v>4316</v>
      </c>
      <c r="B4189" s="1">
        <v>45675</v>
      </c>
      <c r="C4189" t="s">
        <v>17</v>
      </c>
      <c r="D4189">
        <v>3</v>
      </c>
      <c r="E4189" t="s">
        <v>12</v>
      </c>
      <c r="F4189" t="s">
        <v>43</v>
      </c>
      <c r="G4189" t="s">
        <v>118</v>
      </c>
      <c r="H4189" t="s">
        <v>36</v>
      </c>
      <c r="I4189">
        <v>15710</v>
      </c>
      <c r="J4189">
        <v>18510</v>
      </c>
    </row>
    <row r="4190" spans="1:10" x14ac:dyDescent="0.3">
      <c r="A4190" t="s">
        <v>4317</v>
      </c>
      <c r="B4190" s="1">
        <v>45942</v>
      </c>
      <c r="C4190" t="s">
        <v>66</v>
      </c>
      <c r="D4190">
        <v>41</v>
      </c>
      <c r="E4190" t="s">
        <v>61</v>
      </c>
      <c r="F4190" t="s">
        <v>101</v>
      </c>
      <c r="G4190" t="s">
        <v>26</v>
      </c>
      <c r="H4190" t="s">
        <v>48</v>
      </c>
      <c r="I4190">
        <v>17443</v>
      </c>
      <c r="J4190">
        <v>19074</v>
      </c>
    </row>
    <row r="4191" spans="1:10" x14ac:dyDescent="0.3">
      <c r="A4191" t="s">
        <v>4318</v>
      </c>
      <c r="B4191" s="1">
        <v>45938</v>
      </c>
      <c r="C4191" t="s">
        <v>66</v>
      </c>
      <c r="D4191">
        <v>41</v>
      </c>
      <c r="E4191" t="s">
        <v>12</v>
      </c>
      <c r="F4191" t="s">
        <v>57</v>
      </c>
      <c r="G4191" t="s">
        <v>76</v>
      </c>
      <c r="H4191" t="s">
        <v>36</v>
      </c>
      <c r="I4191">
        <v>32099</v>
      </c>
      <c r="J4191">
        <v>32510</v>
      </c>
    </row>
    <row r="4192" spans="1:10" x14ac:dyDescent="0.3">
      <c r="A4192" t="s">
        <v>4319</v>
      </c>
      <c r="B4192" s="1">
        <v>45728</v>
      </c>
      <c r="C4192" t="s">
        <v>95</v>
      </c>
      <c r="D4192">
        <v>11</v>
      </c>
      <c r="E4192" t="s">
        <v>39</v>
      </c>
      <c r="F4192" t="s">
        <v>50</v>
      </c>
      <c r="G4192" t="s">
        <v>93</v>
      </c>
      <c r="H4192" t="s">
        <v>123</v>
      </c>
      <c r="I4192">
        <v>31674</v>
      </c>
      <c r="J4192">
        <v>38959</v>
      </c>
    </row>
    <row r="4193" spans="1:10" x14ac:dyDescent="0.3">
      <c r="A4193" t="s">
        <v>4320</v>
      </c>
      <c r="B4193" s="1">
        <v>45763</v>
      </c>
      <c r="C4193" t="s">
        <v>86</v>
      </c>
      <c r="D4193">
        <v>16</v>
      </c>
      <c r="E4193" t="s">
        <v>24</v>
      </c>
      <c r="F4193" t="s">
        <v>34</v>
      </c>
      <c r="G4193" t="s">
        <v>88</v>
      </c>
      <c r="H4193" t="s">
        <v>84</v>
      </c>
      <c r="I4193">
        <v>18793</v>
      </c>
      <c r="J4193">
        <v>21120</v>
      </c>
    </row>
    <row r="4194" spans="1:10" x14ac:dyDescent="0.3">
      <c r="A4194" t="s">
        <v>4321</v>
      </c>
      <c r="B4194" s="1">
        <v>45779</v>
      </c>
      <c r="C4194" t="s">
        <v>90</v>
      </c>
      <c r="D4194">
        <v>18</v>
      </c>
      <c r="E4194" t="s">
        <v>12</v>
      </c>
      <c r="F4194" t="s">
        <v>92</v>
      </c>
      <c r="G4194" t="s">
        <v>88</v>
      </c>
      <c r="H4194" t="s">
        <v>157</v>
      </c>
      <c r="I4194">
        <v>38086</v>
      </c>
      <c r="J4194">
        <v>27386</v>
      </c>
    </row>
    <row r="4195" spans="1:10" x14ac:dyDescent="0.3">
      <c r="A4195" t="s">
        <v>4322</v>
      </c>
      <c r="B4195" s="1">
        <v>45713</v>
      </c>
      <c r="C4195" t="s">
        <v>82</v>
      </c>
      <c r="D4195">
        <v>9</v>
      </c>
      <c r="E4195" t="s">
        <v>39</v>
      </c>
      <c r="F4195" t="s">
        <v>109</v>
      </c>
      <c r="G4195" t="s">
        <v>266</v>
      </c>
      <c r="H4195" t="s">
        <v>151</v>
      </c>
      <c r="I4195">
        <v>23412</v>
      </c>
      <c r="J4195">
        <v>28751</v>
      </c>
    </row>
    <row r="4196" spans="1:10" x14ac:dyDescent="0.3">
      <c r="A4196" t="s">
        <v>4323</v>
      </c>
      <c r="B4196" s="1">
        <v>45815</v>
      </c>
      <c r="C4196" t="s">
        <v>74</v>
      </c>
      <c r="D4196">
        <v>23</v>
      </c>
      <c r="E4196" t="s">
        <v>61</v>
      </c>
      <c r="F4196" t="s">
        <v>43</v>
      </c>
      <c r="G4196" t="s">
        <v>132</v>
      </c>
      <c r="H4196" t="s">
        <v>103</v>
      </c>
      <c r="I4196">
        <v>16007</v>
      </c>
      <c r="J4196">
        <v>18832</v>
      </c>
    </row>
    <row r="4197" spans="1:10" x14ac:dyDescent="0.3">
      <c r="A4197" t="s">
        <v>4324</v>
      </c>
      <c r="B4197" s="1">
        <v>46005</v>
      </c>
      <c r="C4197" t="s">
        <v>100</v>
      </c>
      <c r="D4197">
        <v>50</v>
      </c>
      <c r="E4197" t="s">
        <v>18</v>
      </c>
      <c r="F4197" t="s">
        <v>62</v>
      </c>
      <c r="G4197" t="s">
        <v>230</v>
      </c>
      <c r="H4197" t="s">
        <v>188</v>
      </c>
      <c r="I4197">
        <v>17397</v>
      </c>
      <c r="J4197">
        <v>13769</v>
      </c>
    </row>
    <row r="4198" spans="1:10" x14ac:dyDescent="0.3">
      <c r="A4198" t="s">
        <v>4325</v>
      </c>
      <c r="B4198" s="1">
        <v>45804</v>
      </c>
      <c r="C4198" t="s">
        <v>90</v>
      </c>
      <c r="D4198">
        <v>22</v>
      </c>
      <c r="E4198" t="s">
        <v>70</v>
      </c>
      <c r="F4198" t="s">
        <v>140</v>
      </c>
      <c r="G4198" t="s">
        <v>14</v>
      </c>
      <c r="H4198" t="s">
        <v>98</v>
      </c>
      <c r="I4198">
        <v>24080</v>
      </c>
      <c r="J4198">
        <v>29530</v>
      </c>
    </row>
    <row r="4199" spans="1:10" x14ac:dyDescent="0.3">
      <c r="A4199" t="s">
        <v>4326</v>
      </c>
      <c r="B4199" s="1">
        <v>45783</v>
      </c>
      <c r="C4199" t="s">
        <v>90</v>
      </c>
      <c r="D4199">
        <v>19</v>
      </c>
      <c r="E4199" t="s">
        <v>33</v>
      </c>
      <c r="F4199" t="s">
        <v>62</v>
      </c>
      <c r="G4199" t="s">
        <v>72</v>
      </c>
      <c r="H4199" t="s">
        <v>48</v>
      </c>
      <c r="I4199">
        <v>37987</v>
      </c>
      <c r="J4199">
        <v>33665</v>
      </c>
    </row>
    <row r="4200" spans="1:10" x14ac:dyDescent="0.3">
      <c r="A4200" t="s">
        <v>4327</v>
      </c>
      <c r="B4200" s="1">
        <v>45955</v>
      </c>
      <c r="C4200" t="s">
        <v>66</v>
      </c>
      <c r="D4200">
        <v>43</v>
      </c>
      <c r="E4200" t="s">
        <v>70</v>
      </c>
      <c r="F4200" t="s">
        <v>140</v>
      </c>
      <c r="G4200" t="s">
        <v>51</v>
      </c>
      <c r="H4200" t="s">
        <v>116</v>
      </c>
      <c r="I4200">
        <v>20791</v>
      </c>
      <c r="J4200">
        <v>19276</v>
      </c>
    </row>
    <row r="4201" spans="1:10" x14ac:dyDescent="0.3">
      <c r="A4201" t="s">
        <v>4328</v>
      </c>
      <c r="B4201" s="1">
        <v>45959</v>
      </c>
      <c r="C4201" t="s">
        <v>66</v>
      </c>
      <c r="D4201">
        <v>44</v>
      </c>
      <c r="E4201" t="s">
        <v>39</v>
      </c>
      <c r="F4201" t="s">
        <v>78</v>
      </c>
      <c r="G4201" t="s">
        <v>291</v>
      </c>
      <c r="H4201" t="s">
        <v>52</v>
      </c>
      <c r="I4201">
        <v>23896</v>
      </c>
      <c r="J4201">
        <v>18643</v>
      </c>
    </row>
    <row r="4202" spans="1:10" x14ac:dyDescent="0.3">
      <c r="A4202" t="s">
        <v>4329</v>
      </c>
      <c r="B4202" s="1">
        <v>45993</v>
      </c>
      <c r="C4202" t="s">
        <v>100</v>
      </c>
      <c r="D4202">
        <v>49</v>
      </c>
      <c r="E4202" t="s">
        <v>70</v>
      </c>
      <c r="F4202" t="s">
        <v>101</v>
      </c>
      <c r="G4202" t="s">
        <v>40</v>
      </c>
      <c r="H4202" t="s">
        <v>41</v>
      </c>
      <c r="I4202">
        <v>17463</v>
      </c>
      <c r="J4202">
        <v>22441</v>
      </c>
    </row>
    <row r="4203" spans="1:10" x14ac:dyDescent="0.3">
      <c r="A4203" t="s">
        <v>4330</v>
      </c>
      <c r="B4203" s="1">
        <v>45695</v>
      </c>
      <c r="C4203" t="s">
        <v>82</v>
      </c>
      <c r="D4203">
        <v>6</v>
      </c>
      <c r="E4203" t="s">
        <v>61</v>
      </c>
      <c r="F4203" t="s">
        <v>62</v>
      </c>
      <c r="G4203" t="s">
        <v>30</v>
      </c>
      <c r="H4203" t="s">
        <v>188</v>
      </c>
      <c r="I4203">
        <v>31965</v>
      </c>
      <c r="J4203">
        <v>31626</v>
      </c>
    </row>
    <row r="4204" spans="1:10" x14ac:dyDescent="0.3">
      <c r="A4204" t="s">
        <v>4331</v>
      </c>
      <c r="B4204" s="1">
        <v>45827</v>
      </c>
      <c r="C4204" t="s">
        <v>74</v>
      </c>
      <c r="D4204">
        <v>25</v>
      </c>
      <c r="E4204" t="s">
        <v>33</v>
      </c>
      <c r="F4204" t="s">
        <v>19</v>
      </c>
      <c r="G4204" t="s">
        <v>206</v>
      </c>
      <c r="H4204" t="s">
        <v>123</v>
      </c>
      <c r="I4204">
        <v>16327</v>
      </c>
      <c r="J4204">
        <v>20527</v>
      </c>
    </row>
    <row r="4205" spans="1:10" x14ac:dyDescent="0.3">
      <c r="A4205" t="s">
        <v>4332</v>
      </c>
      <c r="B4205" s="1">
        <v>45895</v>
      </c>
      <c r="C4205" t="s">
        <v>113</v>
      </c>
      <c r="D4205">
        <v>35</v>
      </c>
      <c r="E4205" t="s">
        <v>18</v>
      </c>
      <c r="F4205" t="s">
        <v>122</v>
      </c>
      <c r="G4205" t="s">
        <v>141</v>
      </c>
      <c r="H4205" t="s">
        <v>151</v>
      </c>
      <c r="I4205">
        <v>38975</v>
      </c>
      <c r="J4205">
        <v>30966</v>
      </c>
    </row>
    <row r="4206" spans="1:10" x14ac:dyDescent="0.3">
      <c r="A4206" t="s">
        <v>4333</v>
      </c>
      <c r="B4206" s="1">
        <v>46019</v>
      </c>
      <c r="C4206" t="s">
        <v>100</v>
      </c>
      <c r="D4206">
        <v>52</v>
      </c>
      <c r="E4206" t="s">
        <v>18</v>
      </c>
      <c r="F4206" t="s">
        <v>50</v>
      </c>
      <c r="G4206" t="s">
        <v>206</v>
      </c>
      <c r="H4206" t="s">
        <v>36</v>
      </c>
      <c r="I4206">
        <v>27300</v>
      </c>
      <c r="J4206">
        <v>32638</v>
      </c>
    </row>
    <row r="4207" spans="1:10" x14ac:dyDescent="0.3">
      <c r="A4207" t="s">
        <v>4334</v>
      </c>
      <c r="B4207" s="1">
        <v>45932</v>
      </c>
      <c r="C4207" t="s">
        <v>66</v>
      </c>
      <c r="D4207">
        <v>40</v>
      </c>
      <c r="E4207" t="s">
        <v>24</v>
      </c>
      <c r="F4207" t="s">
        <v>92</v>
      </c>
      <c r="G4207" t="s">
        <v>67</v>
      </c>
      <c r="H4207" t="s">
        <v>52</v>
      </c>
      <c r="I4207">
        <v>34594</v>
      </c>
      <c r="J4207">
        <v>40702</v>
      </c>
    </row>
    <row r="4208" spans="1:10" x14ac:dyDescent="0.3">
      <c r="A4208" t="s">
        <v>4335</v>
      </c>
      <c r="B4208" s="1">
        <v>45897</v>
      </c>
      <c r="C4208" t="s">
        <v>113</v>
      </c>
      <c r="D4208">
        <v>35</v>
      </c>
      <c r="E4208" t="s">
        <v>12</v>
      </c>
      <c r="F4208" t="s">
        <v>19</v>
      </c>
      <c r="G4208" t="s">
        <v>83</v>
      </c>
      <c r="H4208" t="s">
        <v>119</v>
      </c>
      <c r="I4208">
        <v>25687</v>
      </c>
      <c r="J4208">
        <v>24188</v>
      </c>
    </row>
    <row r="4209" spans="1:10" x14ac:dyDescent="0.3">
      <c r="A4209" t="s">
        <v>4336</v>
      </c>
      <c r="B4209" s="1">
        <v>45874</v>
      </c>
      <c r="C4209" t="s">
        <v>113</v>
      </c>
      <c r="D4209">
        <v>32</v>
      </c>
      <c r="E4209" t="s">
        <v>12</v>
      </c>
      <c r="F4209" t="s">
        <v>34</v>
      </c>
      <c r="G4209" t="s">
        <v>160</v>
      </c>
      <c r="H4209" t="s">
        <v>188</v>
      </c>
      <c r="I4209">
        <v>24461</v>
      </c>
      <c r="J4209">
        <v>19835</v>
      </c>
    </row>
    <row r="4210" spans="1:10" x14ac:dyDescent="0.3">
      <c r="A4210" t="s">
        <v>4337</v>
      </c>
      <c r="B4210" s="1">
        <v>45726</v>
      </c>
      <c r="C4210" t="s">
        <v>95</v>
      </c>
      <c r="D4210">
        <v>11</v>
      </c>
      <c r="E4210" t="s">
        <v>39</v>
      </c>
      <c r="F4210" t="s">
        <v>140</v>
      </c>
      <c r="G4210" t="s">
        <v>76</v>
      </c>
      <c r="H4210" t="s">
        <v>59</v>
      </c>
      <c r="I4210">
        <v>35059</v>
      </c>
      <c r="J4210">
        <v>26559</v>
      </c>
    </row>
    <row r="4211" spans="1:10" x14ac:dyDescent="0.3">
      <c r="A4211" t="s">
        <v>4338</v>
      </c>
      <c r="B4211" s="1">
        <v>45689</v>
      </c>
      <c r="C4211" t="s">
        <v>82</v>
      </c>
      <c r="D4211">
        <v>5</v>
      </c>
      <c r="E4211" t="s">
        <v>33</v>
      </c>
      <c r="F4211" t="s">
        <v>109</v>
      </c>
      <c r="G4211" t="s">
        <v>324</v>
      </c>
      <c r="H4211" t="s">
        <v>31</v>
      </c>
      <c r="I4211">
        <v>20800</v>
      </c>
      <c r="J4211">
        <v>21405</v>
      </c>
    </row>
    <row r="4212" spans="1:10" x14ac:dyDescent="0.3">
      <c r="A4212" t="s">
        <v>4339</v>
      </c>
      <c r="B4212" s="1">
        <v>45987</v>
      </c>
      <c r="C4212" t="s">
        <v>23</v>
      </c>
      <c r="D4212">
        <v>48</v>
      </c>
      <c r="E4212" t="s">
        <v>70</v>
      </c>
      <c r="F4212" t="s">
        <v>87</v>
      </c>
      <c r="G4212" t="s">
        <v>79</v>
      </c>
      <c r="H4212" t="s">
        <v>55</v>
      </c>
      <c r="I4212">
        <v>23103</v>
      </c>
      <c r="J4212">
        <v>29401</v>
      </c>
    </row>
    <row r="4213" spans="1:10" x14ac:dyDescent="0.3">
      <c r="A4213" t="s">
        <v>4340</v>
      </c>
      <c r="B4213" s="1">
        <v>45913</v>
      </c>
      <c r="C4213" t="s">
        <v>38</v>
      </c>
      <c r="D4213">
        <v>37</v>
      </c>
      <c r="E4213" t="s">
        <v>12</v>
      </c>
      <c r="F4213" t="s">
        <v>19</v>
      </c>
      <c r="G4213" t="s">
        <v>132</v>
      </c>
      <c r="H4213" t="s">
        <v>55</v>
      </c>
      <c r="I4213">
        <v>31057</v>
      </c>
      <c r="J4213">
        <v>30252</v>
      </c>
    </row>
    <row r="4214" spans="1:10" x14ac:dyDescent="0.3">
      <c r="A4214" t="s">
        <v>4341</v>
      </c>
      <c r="B4214" s="1">
        <v>45721</v>
      </c>
      <c r="C4214" t="s">
        <v>95</v>
      </c>
      <c r="D4214">
        <v>10</v>
      </c>
      <c r="E4214" t="s">
        <v>39</v>
      </c>
      <c r="F4214" t="s">
        <v>43</v>
      </c>
      <c r="G4214" t="s">
        <v>234</v>
      </c>
      <c r="H4214" t="s">
        <v>133</v>
      </c>
      <c r="I4214">
        <v>35760</v>
      </c>
      <c r="J4214">
        <v>33535</v>
      </c>
    </row>
    <row r="4215" spans="1:10" x14ac:dyDescent="0.3">
      <c r="A4215" t="s">
        <v>4342</v>
      </c>
      <c r="B4215" s="1">
        <v>45753</v>
      </c>
      <c r="C4215" t="s">
        <v>86</v>
      </c>
      <c r="D4215">
        <v>14</v>
      </c>
      <c r="E4215" t="s">
        <v>18</v>
      </c>
      <c r="F4215" t="s">
        <v>25</v>
      </c>
      <c r="G4215" t="s">
        <v>83</v>
      </c>
      <c r="H4215" t="s">
        <v>98</v>
      </c>
      <c r="I4215">
        <v>17280</v>
      </c>
      <c r="J4215">
        <v>20733</v>
      </c>
    </row>
    <row r="4216" spans="1:10" x14ac:dyDescent="0.3">
      <c r="A4216" t="s">
        <v>4343</v>
      </c>
      <c r="B4216" s="1">
        <v>45693</v>
      </c>
      <c r="C4216" t="s">
        <v>82</v>
      </c>
      <c r="D4216">
        <v>6</v>
      </c>
      <c r="E4216" t="s">
        <v>24</v>
      </c>
      <c r="F4216" t="s">
        <v>75</v>
      </c>
      <c r="G4216" t="s">
        <v>147</v>
      </c>
      <c r="H4216" t="s">
        <v>98</v>
      </c>
      <c r="I4216">
        <v>35160</v>
      </c>
      <c r="J4216">
        <v>45349</v>
      </c>
    </row>
    <row r="4217" spans="1:10" x14ac:dyDescent="0.3">
      <c r="A4217" t="s">
        <v>4344</v>
      </c>
      <c r="B4217" s="1">
        <v>45804</v>
      </c>
      <c r="C4217" t="s">
        <v>90</v>
      </c>
      <c r="D4217">
        <v>22</v>
      </c>
      <c r="E4217" t="s">
        <v>12</v>
      </c>
      <c r="F4217" t="s">
        <v>19</v>
      </c>
      <c r="G4217" t="s">
        <v>20</v>
      </c>
      <c r="H4217" t="s">
        <v>59</v>
      </c>
      <c r="I4217">
        <v>34830</v>
      </c>
      <c r="J4217">
        <v>32607</v>
      </c>
    </row>
    <row r="4218" spans="1:10" x14ac:dyDescent="0.3">
      <c r="A4218" t="s">
        <v>4345</v>
      </c>
      <c r="B4218" s="1">
        <v>45833</v>
      </c>
      <c r="C4218" t="s">
        <v>74</v>
      </c>
      <c r="D4218">
        <v>26</v>
      </c>
      <c r="E4218" t="s">
        <v>12</v>
      </c>
      <c r="F4218" t="s">
        <v>13</v>
      </c>
      <c r="G4218" t="s">
        <v>224</v>
      </c>
      <c r="H4218" t="s">
        <v>15</v>
      </c>
      <c r="I4218">
        <v>37933</v>
      </c>
      <c r="J4218">
        <v>35178</v>
      </c>
    </row>
    <row r="4219" spans="1:10" x14ac:dyDescent="0.3">
      <c r="A4219" t="s">
        <v>4346</v>
      </c>
      <c r="B4219" s="1">
        <v>45922</v>
      </c>
      <c r="C4219" t="s">
        <v>38</v>
      </c>
      <c r="D4219">
        <v>39</v>
      </c>
      <c r="E4219" t="s">
        <v>12</v>
      </c>
      <c r="F4219" t="s">
        <v>122</v>
      </c>
      <c r="G4219" t="s">
        <v>83</v>
      </c>
      <c r="H4219" t="s">
        <v>211</v>
      </c>
      <c r="I4219">
        <v>18407</v>
      </c>
      <c r="J4219">
        <v>21991</v>
      </c>
    </row>
    <row r="4220" spans="1:10" x14ac:dyDescent="0.3">
      <c r="A4220" t="s">
        <v>4347</v>
      </c>
      <c r="B4220" s="1">
        <v>45772</v>
      </c>
      <c r="C4220" t="s">
        <v>86</v>
      </c>
      <c r="D4220">
        <v>17</v>
      </c>
      <c r="E4220" t="s">
        <v>24</v>
      </c>
      <c r="F4220" t="s">
        <v>13</v>
      </c>
      <c r="G4220" t="s">
        <v>171</v>
      </c>
      <c r="H4220" t="s">
        <v>157</v>
      </c>
      <c r="I4220">
        <v>29134</v>
      </c>
      <c r="J4220">
        <v>23760</v>
      </c>
    </row>
    <row r="4221" spans="1:10" x14ac:dyDescent="0.3">
      <c r="A4221" t="s">
        <v>4348</v>
      </c>
      <c r="B4221" s="1">
        <v>45740</v>
      </c>
      <c r="C4221" t="s">
        <v>95</v>
      </c>
      <c r="D4221">
        <v>13</v>
      </c>
      <c r="E4221" t="s">
        <v>18</v>
      </c>
      <c r="F4221" t="s">
        <v>140</v>
      </c>
      <c r="G4221" t="s">
        <v>135</v>
      </c>
      <c r="H4221" t="s">
        <v>31</v>
      </c>
      <c r="I4221">
        <v>37132</v>
      </c>
      <c r="J4221">
        <v>42397</v>
      </c>
    </row>
    <row r="4222" spans="1:10" x14ac:dyDescent="0.3">
      <c r="A4222" t="s">
        <v>4349</v>
      </c>
      <c r="B4222" s="1">
        <v>45919</v>
      </c>
      <c r="C4222" t="s">
        <v>38</v>
      </c>
      <c r="D4222">
        <v>38</v>
      </c>
      <c r="E4222" t="s">
        <v>24</v>
      </c>
      <c r="F4222" t="s">
        <v>140</v>
      </c>
      <c r="G4222" t="s">
        <v>115</v>
      </c>
      <c r="H4222" t="s">
        <v>41</v>
      </c>
      <c r="I4222">
        <v>39308</v>
      </c>
      <c r="J4222">
        <v>29277</v>
      </c>
    </row>
    <row r="4223" spans="1:10" x14ac:dyDescent="0.3">
      <c r="A4223" t="s">
        <v>4350</v>
      </c>
      <c r="B4223" s="1">
        <v>45960</v>
      </c>
      <c r="C4223" t="s">
        <v>66</v>
      </c>
      <c r="D4223">
        <v>44</v>
      </c>
      <c r="E4223" t="s">
        <v>61</v>
      </c>
      <c r="F4223" t="s">
        <v>43</v>
      </c>
      <c r="G4223" t="s">
        <v>72</v>
      </c>
      <c r="H4223" t="s">
        <v>133</v>
      </c>
      <c r="I4223">
        <v>39472</v>
      </c>
      <c r="J4223">
        <v>30882</v>
      </c>
    </row>
    <row r="4224" spans="1:10" x14ac:dyDescent="0.3">
      <c r="A4224" t="s">
        <v>4351</v>
      </c>
      <c r="B4224" s="1">
        <v>45833</v>
      </c>
      <c r="C4224" t="s">
        <v>74</v>
      </c>
      <c r="D4224">
        <v>26</v>
      </c>
      <c r="E4224" t="s">
        <v>18</v>
      </c>
      <c r="F4224" t="s">
        <v>122</v>
      </c>
      <c r="G4224" t="s">
        <v>132</v>
      </c>
      <c r="H4224" t="s">
        <v>36</v>
      </c>
      <c r="I4224">
        <v>38238</v>
      </c>
      <c r="J4224">
        <v>42711</v>
      </c>
    </row>
    <row r="4225" spans="1:10" x14ac:dyDescent="0.3">
      <c r="A4225" t="s">
        <v>4352</v>
      </c>
      <c r="B4225" s="1">
        <v>45748</v>
      </c>
      <c r="C4225" t="s">
        <v>86</v>
      </c>
      <c r="D4225">
        <v>14</v>
      </c>
      <c r="E4225" t="s">
        <v>61</v>
      </c>
      <c r="F4225" t="s">
        <v>25</v>
      </c>
      <c r="G4225" t="s">
        <v>63</v>
      </c>
      <c r="H4225" t="s">
        <v>31</v>
      </c>
      <c r="I4225">
        <v>35902</v>
      </c>
      <c r="J4225">
        <v>46620</v>
      </c>
    </row>
    <row r="4226" spans="1:10" x14ac:dyDescent="0.3">
      <c r="A4226" t="s">
        <v>4353</v>
      </c>
      <c r="B4226" s="1">
        <v>45689</v>
      </c>
      <c r="C4226" t="s">
        <v>82</v>
      </c>
      <c r="D4226">
        <v>5</v>
      </c>
      <c r="E4226" t="s">
        <v>18</v>
      </c>
      <c r="F4226" t="s">
        <v>109</v>
      </c>
      <c r="G4226" t="s">
        <v>234</v>
      </c>
      <c r="H4226" t="s">
        <v>157</v>
      </c>
      <c r="I4226">
        <v>19116</v>
      </c>
      <c r="J4226">
        <v>22188</v>
      </c>
    </row>
    <row r="4227" spans="1:10" x14ac:dyDescent="0.3">
      <c r="A4227" t="s">
        <v>4354</v>
      </c>
      <c r="B4227" s="1">
        <v>45708</v>
      </c>
      <c r="C4227" t="s">
        <v>82</v>
      </c>
      <c r="D4227">
        <v>8</v>
      </c>
      <c r="E4227" t="s">
        <v>39</v>
      </c>
      <c r="F4227" t="s">
        <v>29</v>
      </c>
      <c r="G4227" t="s">
        <v>67</v>
      </c>
      <c r="H4227" t="s">
        <v>55</v>
      </c>
      <c r="I4227">
        <v>20558</v>
      </c>
      <c r="J4227">
        <v>15512</v>
      </c>
    </row>
    <row r="4228" spans="1:10" x14ac:dyDescent="0.3">
      <c r="A4228" t="s">
        <v>4355</v>
      </c>
      <c r="B4228" s="1">
        <v>45710</v>
      </c>
      <c r="C4228" t="s">
        <v>82</v>
      </c>
      <c r="D4228">
        <v>8</v>
      </c>
      <c r="E4228" t="s">
        <v>61</v>
      </c>
      <c r="F4228" t="s">
        <v>75</v>
      </c>
      <c r="G4228" t="s">
        <v>72</v>
      </c>
      <c r="H4228" t="s">
        <v>52</v>
      </c>
      <c r="I4228">
        <v>18058</v>
      </c>
      <c r="J4228">
        <v>16854</v>
      </c>
    </row>
    <row r="4229" spans="1:10" x14ac:dyDescent="0.3">
      <c r="A4229" t="s">
        <v>4356</v>
      </c>
      <c r="B4229" s="1">
        <v>45827</v>
      </c>
      <c r="C4229" t="s">
        <v>74</v>
      </c>
      <c r="D4229">
        <v>25</v>
      </c>
      <c r="E4229" t="s">
        <v>18</v>
      </c>
      <c r="F4229" t="s">
        <v>92</v>
      </c>
      <c r="G4229" t="s">
        <v>76</v>
      </c>
      <c r="H4229" t="s">
        <v>59</v>
      </c>
      <c r="I4229">
        <v>22026</v>
      </c>
      <c r="J4229">
        <v>24985</v>
      </c>
    </row>
    <row r="4230" spans="1:10" x14ac:dyDescent="0.3">
      <c r="A4230" t="s">
        <v>4357</v>
      </c>
      <c r="B4230" s="1">
        <v>45922</v>
      </c>
      <c r="C4230" t="s">
        <v>38</v>
      </c>
      <c r="D4230">
        <v>39</v>
      </c>
      <c r="E4230" t="s">
        <v>12</v>
      </c>
      <c r="F4230" t="s">
        <v>50</v>
      </c>
      <c r="G4230" t="s">
        <v>206</v>
      </c>
      <c r="H4230" t="s">
        <v>80</v>
      </c>
      <c r="I4230">
        <v>27937</v>
      </c>
      <c r="J4230">
        <v>19905</v>
      </c>
    </row>
    <row r="4231" spans="1:10" x14ac:dyDescent="0.3">
      <c r="A4231" t="s">
        <v>4358</v>
      </c>
      <c r="B4231" s="1">
        <v>45738</v>
      </c>
      <c r="C4231" t="s">
        <v>95</v>
      </c>
      <c r="D4231">
        <v>12</v>
      </c>
      <c r="E4231" t="s">
        <v>39</v>
      </c>
      <c r="F4231" t="s">
        <v>193</v>
      </c>
      <c r="G4231" t="s">
        <v>67</v>
      </c>
      <c r="H4231" t="s">
        <v>84</v>
      </c>
      <c r="I4231">
        <v>35670</v>
      </c>
      <c r="J4231">
        <v>39559</v>
      </c>
    </row>
    <row r="4232" spans="1:10" x14ac:dyDescent="0.3">
      <c r="A4232" t="s">
        <v>4359</v>
      </c>
      <c r="B4232" s="1">
        <v>45693</v>
      </c>
      <c r="C4232" t="s">
        <v>82</v>
      </c>
      <c r="D4232">
        <v>6</v>
      </c>
      <c r="E4232" t="s">
        <v>70</v>
      </c>
      <c r="F4232" t="s">
        <v>122</v>
      </c>
      <c r="G4232" t="s">
        <v>44</v>
      </c>
      <c r="H4232" t="s">
        <v>155</v>
      </c>
      <c r="I4232">
        <v>22582</v>
      </c>
      <c r="J4232">
        <v>16077</v>
      </c>
    </row>
    <row r="4233" spans="1:10" x14ac:dyDescent="0.3">
      <c r="A4233" t="s">
        <v>4360</v>
      </c>
      <c r="B4233" s="1">
        <v>45706</v>
      </c>
      <c r="C4233" t="s">
        <v>82</v>
      </c>
      <c r="D4233">
        <v>8</v>
      </c>
      <c r="E4233" t="s">
        <v>24</v>
      </c>
      <c r="F4233" t="s">
        <v>193</v>
      </c>
      <c r="G4233" t="s">
        <v>20</v>
      </c>
      <c r="H4233" t="s">
        <v>243</v>
      </c>
      <c r="I4233">
        <v>38428</v>
      </c>
      <c r="J4233">
        <v>38559</v>
      </c>
    </row>
    <row r="4234" spans="1:10" x14ac:dyDescent="0.3">
      <c r="A4234" t="s">
        <v>4361</v>
      </c>
      <c r="B4234" s="1">
        <v>45862</v>
      </c>
      <c r="C4234" t="s">
        <v>11</v>
      </c>
      <c r="D4234">
        <v>30</v>
      </c>
      <c r="E4234" t="s">
        <v>18</v>
      </c>
      <c r="F4234" t="s">
        <v>193</v>
      </c>
      <c r="G4234" t="s">
        <v>199</v>
      </c>
      <c r="H4234" t="s">
        <v>98</v>
      </c>
      <c r="I4234">
        <v>25301</v>
      </c>
      <c r="J4234">
        <v>26906</v>
      </c>
    </row>
    <row r="4235" spans="1:10" x14ac:dyDescent="0.3">
      <c r="A4235" t="s">
        <v>4362</v>
      </c>
      <c r="B4235" s="1">
        <v>45721</v>
      </c>
      <c r="C4235" t="s">
        <v>95</v>
      </c>
      <c r="D4235">
        <v>10</v>
      </c>
      <c r="E4235" t="s">
        <v>61</v>
      </c>
      <c r="F4235" t="s">
        <v>78</v>
      </c>
      <c r="G4235" t="s">
        <v>115</v>
      </c>
      <c r="H4235" t="s">
        <v>116</v>
      </c>
      <c r="I4235">
        <v>34134</v>
      </c>
      <c r="J4235">
        <v>44275</v>
      </c>
    </row>
    <row r="4236" spans="1:10" x14ac:dyDescent="0.3">
      <c r="A4236" t="s">
        <v>4363</v>
      </c>
      <c r="B4236" s="1">
        <v>46005</v>
      </c>
      <c r="C4236" t="s">
        <v>100</v>
      </c>
      <c r="D4236">
        <v>50</v>
      </c>
      <c r="E4236" t="s">
        <v>33</v>
      </c>
      <c r="F4236" t="s">
        <v>101</v>
      </c>
      <c r="G4236" t="s">
        <v>145</v>
      </c>
      <c r="H4236" t="s">
        <v>80</v>
      </c>
      <c r="I4236">
        <v>29612</v>
      </c>
      <c r="J4236">
        <v>29192</v>
      </c>
    </row>
    <row r="4237" spans="1:10" x14ac:dyDescent="0.3">
      <c r="A4237" t="s">
        <v>4364</v>
      </c>
      <c r="B4237" s="1">
        <v>45929</v>
      </c>
      <c r="C4237" t="s">
        <v>38</v>
      </c>
      <c r="D4237">
        <v>40</v>
      </c>
      <c r="E4237" t="s">
        <v>33</v>
      </c>
      <c r="F4237" t="s">
        <v>114</v>
      </c>
      <c r="G4237" t="s">
        <v>126</v>
      </c>
      <c r="H4237" t="s">
        <v>48</v>
      </c>
      <c r="I4237">
        <v>19569</v>
      </c>
      <c r="J4237">
        <v>17332</v>
      </c>
    </row>
    <row r="4238" spans="1:10" x14ac:dyDescent="0.3">
      <c r="A4238" t="s">
        <v>4365</v>
      </c>
      <c r="B4238" s="1">
        <v>45945</v>
      </c>
      <c r="C4238" t="s">
        <v>66</v>
      </c>
      <c r="D4238">
        <v>42</v>
      </c>
      <c r="E4238" t="s">
        <v>12</v>
      </c>
      <c r="F4238" t="s">
        <v>101</v>
      </c>
      <c r="G4238" t="s">
        <v>230</v>
      </c>
      <c r="H4238" t="s">
        <v>55</v>
      </c>
      <c r="I4238">
        <v>28114</v>
      </c>
      <c r="J4238">
        <v>26973</v>
      </c>
    </row>
    <row r="4239" spans="1:10" x14ac:dyDescent="0.3">
      <c r="A4239" t="s">
        <v>4366</v>
      </c>
      <c r="B4239" s="1">
        <v>45874</v>
      </c>
      <c r="C4239" t="s">
        <v>113</v>
      </c>
      <c r="D4239">
        <v>32</v>
      </c>
      <c r="E4239" t="s">
        <v>70</v>
      </c>
      <c r="F4239" t="s">
        <v>75</v>
      </c>
      <c r="G4239" t="s">
        <v>35</v>
      </c>
      <c r="H4239" t="s">
        <v>27</v>
      </c>
      <c r="I4239">
        <v>25981</v>
      </c>
      <c r="J4239">
        <v>25611</v>
      </c>
    </row>
    <row r="4240" spans="1:10" x14ac:dyDescent="0.3">
      <c r="A4240" t="s">
        <v>4367</v>
      </c>
      <c r="B4240" s="1">
        <v>45964</v>
      </c>
      <c r="C4240" t="s">
        <v>23</v>
      </c>
      <c r="D4240">
        <v>45</v>
      </c>
      <c r="E4240" t="s">
        <v>24</v>
      </c>
      <c r="F4240" t="s">
        <v>122</v>
      </c>
      <c r="G4240" t="s">
        <v>115</v>
      </c>
      <c r="H4240" t="s">
        <v>123</v>
      </c>
      <c r="I4240">
        <v>35154</v>
      </c>
      <c r="J4240">
        <v>28810</v>
      </c>
    </row>
    <row r="4241" spans="1:10" x14ac:dyDescent="0.3">
      <c r="A4241" t="s">
        <v>4368</v>
      </c>
      <c r="B4241" s="1">
        <v>45982</v>
      </c>
      <c r="C4241" t="s">
        <v>23</v>
      </c>
      <c r="D4241">
        <v>47</v>
      </c>
      <c r="E4241" t="s">
        <v>61</v>
      </c>
      <c r="F4241" t="s">
        <v>122</v>
      </c>
      <c r="G4241" t="s">
        <v>79</v>
      </c>
      <c r="H4241" t="s">
        <v>59</v>
      </c>
      <c r="I4241">
        <v>17876</v>
      </c>
      <c r="J4241">
        <v>14538</v>
      </c>
    </row>
    <row r="4242" spans="1:10" x14ac:dyDescent="0.3">
      <c r="A4242" t="s">
        <v>4369</v>
      </c>
      <c r="B4242" s="1">
        <v>45804</v>
      </c>
      <c r="C4242" t="s">
        <v>90</v>
      </c>
      <c r="D4242">
        <v>22</v>
      </c>
      <c r="E4242" t="s">
        <v>61</v>
      </c>
      <c r="F4242" t="s">
        <v>46</v>
      </c>
      <c r="G4242" t="s">
        <v>63</v>
      </c>
      <c r="H4242" t="s">
        <v>21</v>
      </c>
      <c r="I4242">
        <v>19741</v>
      </c>
      <c r="J4242">
        <v>15677</v>
      </c>
    </row>
    <row r="4243" spans="1:10" x14ac:dyDescent="0.3">
      <c r="A4243" t="s">
        <v>4370</v>
      </c>
      <c r="B4243" s="1">
        <v>45836</v>
      </c>
      <c r="C4243" t="s">
        <v>74</v>
      </c>
      <c r="D4243">
        <v>26</v>
      </c>
      <c r="E4243" t="s">
        <v>33</v>
      </c>
      <c r="F4243" t="s">
        <v>114</v>
      </c>
      <c r="G4243" t="s">
        <v>191</v>
      </c>
      <c r="H4243" t="s">
        <v>36</v>
      </c>
      <c r="I4243">
        <v>27114</v>
      </c>
      <c r="J4243">
        <v>19316</v>
      </c>
    </row>
    <row r="4244" spans="1:10" x14ac:dyDescent="0.3">
      <c r="A4244" t="s">
        <v>4371</v>
      </c>
      <c r="B4244" s="1">
        <v>45756</v>
      </c>
      <c r="C4244" t="s">
        <v>86</v>
      </c>
      <c r="D4244">
        <v>15</v>
      </c>
      <c r="E4244" t="s">
        <v>12</v>
      </c>
      <c r="F4244" t="s">
        <v>78</v>
      </c>
      <c r="G4244" t="s">
        <v>26</v>
      </c>
      <c r="H4244" t="s">
        <v>36</v>
      </c>
      <c r="I4244">
        <v>33090</v>
      </c>
      <c r="J4244">
        <v>24280</v>
      </c>
    </row>
    <row r="4245" spans="1:10" x14ac:dyDescent="0.3">
      <c r="A4245" t="s">
        <v>4372</v>
      </c>
      <c r="B4245" s="1">
        <v>45764</v>
      </c>
      <c r="C4245" t="s">
        <v>86</v>
      </c>
      <c r="D4245">
        <v>16</v>
      </c>
      <c r="E4245" t="s">
        <v>61</v>
      </c>
      <c r="F4245" t="s">
        <v>101</v>
      </c>
      <c r="G4245" t="s">
        <v>115</v>
      </c>
      <c r="H4245" t="s">
        <v>52</v>
      </c>
      <c r="I4245">
        <v>24444</v>
      </c>
      <c r="J4245">
        <v>23064</v>
      </c>
    </row>
    <row r="4246" spans="1:10" x14ac:dyDescent="0.3">
      <c r="A4246" t="s">
        <v>4373</v>
      </c>
      <c r="B4246" s="1">
        <v>45728</v>
      </c>
      <c r="C4246" t="s">
        <v>95</v>
      </c>
      <c r="D4246">
        <v>11</v>
      </c>
      <c r="E4246" t="s">
        <v>33</v>
      </c>
      <c r="F4246" t="s">
        <v>140</v>
      </c>
      <c r="G4246" t="s">
        <v>51</v>
      </c>
      <c r="H4246" t="s">
        <v>64</v>
      </c>
      <c r="I4246">
        <v>31301</v>
      </c>
      <c r="J4246">
        <v>26769</v>
      </c>
    </row>
    <row r="4247" spans="1:10" x14ac:dyDescent="0.3">
      <c r="A4247" t="s">
        <v>4374</v>
      </c>
      <c r="B4247" s="1">
        <v>45948</v>
      </c>
      <c r="C4247" t="s">
        <v>66</v>
      </c>
      <c r="D4247">
        <v>42</v>
      </c>
      <c r="E4247" t="s">
        <v>61</v>
      </c>
      <c r="F4247" t="s">
        <v>101</v>
      </c>
      <c r="G4247" t="s">
        <v>51</v>
      </c>
      <c r="H4247" t="s">
        <v>119</v>
      </c>
      <c r="I4247">
        <v>34478</v>
      </c>
      <c r="J4247">
        <v>34391</v>
      </c>
    </row>
    <row r="4248" spans="1:10" x14ac:dyDescent="0.3">
      <c r="A4248" t="s">
        <v>4375</v>
      </c>
      <c r="B4248" s="1">
        <v>45867</v>
      </c>
      <c r="C4248" t="s">
        <v>11</v>
      </c>
      <c r="D4248">
        <v>31</v>
      </c>
      <c r="E4248" t="s">
        <v>61</v>
      </c>
      <c r="F4248" t="s">
        <v>78</v>
      </c>
      <c r="G4248" t="s">
        <v>234</v>
      </c>
      <c r="H4248" t="s">
        <v>59</v>
      </c>
      <c r="I4248">
        <v>39802</v>
      </c>
      <c r="J4248">
        <v>39837</v>
      </c>
    </row>
    <row r="4249" spans="1:10" x14ac:dyDescent="0.3">
      <c r="A4249" t="s">
        <v>4376</v>
      </c>
      <c r="B4249" s="1">
        <v>45861</v>
      </c>
      <c r="C4249" t="s">
        <v>11</v>
      </c>
      <c r="D4249">
        <v>30</v>
      </c>
      <c r="E4249" t="s">
        <v>70</v>
      </c>
      <c r="F4249" t="s">
        <v>122</v>
      </c>
      <c r="G4249" t="s">
        <v>40</v>
      </c>
      <c r="H4249" t="s">
        <v>27</v>
      </c>
      <c r="I4249">
        <v>16229</v>
      </c>
      <c r="J4249">
        <v>12320</v>
      </c>
    </row>
    <row r="4250" spans="1:10" x14ac:dyDescent="0.3">
      <c r="A4250" t="s">
        <v>4377</v>
      </c>
      <c r="B4250" s="1">
        <v>45731</v>
      </c>
      <c r="C4250" t="s">
        <v>95</v>
      </c>
      <c r="D4250">
        <v>11</v>
      </c>
      <c r="E4250" t="s">
        <v>61</v>
      </c>
      <c r="F4250" t="s">
        <v>57</v>
      </c>
      <c r="G4250" t="s">
        <v>79</v>
      </c>
      <c r="H4250" t="s">
        <v>165</v>
      </c>
      <c r="I4250">
        <v>39829</v>
      </c>
      <c r="J4250">
        <v>44901</v>
      </c>
    </row>
    <row r="4251" spans="1:10" x14ac:dyDescent="0.3">
      <c r="A4251" t="s">
        <v>4378</v>
      </c>
      <c r="B4251" s="1">
        <v>45865</v>
      </c>
      <c r="C4251" t="s">
        <v>11</v>
      </c>
      <c r="D4251">
        <v>30</v>
      </c>
      <c r="E4251" t="s">
        <v>39</v>
      </c>
      <c r="F4251" t="s">
        <v>19</v>
      </c>
      <c r="G4251" t="s">
        <v>72</v>
      </c>
      <c r="H4251" t="s">
        <v>111</v>
      </c>
      <c r="I4251">
        <v>34004</v>
      </c>
      <c r="J4251">
        <v>34839</v>
      </c>
    </row>
    <row r="4252" spans="1:10" x14ac:dyDescent="0.3">
      <c r="A4252" t="s">
        <v>4379</v>
      </c>
      <c r="B4252" s="1">
        <v>45946</v>
      </c>
      <c r="C4252" t="s">
        <v>66</v>
      </c>
      <c r="D4252">
        <v>42</v>
      </c>
      <c r="E4252" t="s">
        <v>12</v>
      </c>
      <c r="F4252" t="s">
        <v>19</v>
      </c>
      <c r="G4252" t="s">
        <v>182</v>
      </c>
      <c r="H4252" t="s">
        <v>55</v>
      </c>
      <c r="I4252">
        <v>22492</v>
      </c>
      <c r="J4252">
        <v>24014</v>
      </c>
    </row>
    <row r="4253" spans="1:10" x14ac:dyDescent="0.3">
      <c r="A4253" t="s">
        <v>4380</v>
      </c>
      <c r="B4253" s="1">
        <v>45783</v>
      </c>
      <c r="C4253" t="s">
        <v>90</v>
      </c>
      <c r="D4253">
        <v>19</v>
      </c>
      <c r="E4253" t="s">
        <v>70</v>
      </c>
      <c r="F4253" t="s">
        <v>193</v>
      </c>
      <c r="G4253" t="s">
        <v>199</v>
      </c>
      <c r="H4253" t="s">
        <v>27</v>
      </c>
      <c r="I4253">
        <v>26489</v>
      </c>
      <c r="J4253">
        <v>19053</v>
      </c>
    </row>
    <row r="4254" spans="1:10" x14ac:dyDescent="0.3">
      <c r="A4254" t="s">
        <v>4381</v>
      </c>
      <c r="B4254" s="1">
        <v>45779</v>
      </c>
      <c r="C4254" t="s">
        <v>90</v>
      </c>
      <c r="D4254">
        <v>18</v>
      </c>
      <c r="E4254" t="s">
        <v>12</v>
      </c>
      <c r="F4254" t="s">
        <v>140</v>
      </c>
      <c r="G4254" t="s">
        <v>191</v>
      </c>
      <c r="H4254" t="s">
        <v>68</v>
      </c>
      <c r="I4254">
        <v>18137</v>
      </c>
      <c r="J4254">
        <v>16760</v>
      </c>
    </row>
    <row r="4255" spans="1:10" x14ac:dyDescent="0.3">
      <c r="A4255" t="s">
        <v>4382</v>
      </c>
      <c r="B4255" s="1">
        <v>45775</v>
      </c>
      <c r="C4255" t="s">
        <v>86</v>
      </c>
      <c r="D4255">
        <v>18</v>
      </c>
      <c r="E4255" t="s">
        <v>33</v>
      </c>
      <c r="F4255" t="s">
        <v>87</v>
      </c>
      <c r="G4255" t="s">
        <v>266</v>
      </c>
      <c r="H4255" t="s">
        <v>41</v>
      </c>
      <c r="I4255">
        <v>39184</v>
      </c>
      <c r="J4255">
        <v>45522</v>
      </c>
    </row>
    <row r="4256" spans="1:10" x14ac:dyDescent="0.3">
      <c r="A4256" t="s">
        <v>4383</v>
      </c>
      <c r="B4256" s="1">
        <v>45896</v>
      </c>
      <c r="C4256" t="s">
        <v>113</v>
      </c>
      <c r="D4256">
        <v>35</v>
      </c>
      <c r="E4256" t="s">
        <v>33</v>
      </c>
      <c r="F4256" t="s">
        <v>92</v>
      </c>
      <c r="G4256" t="s">
        <v>26</v>
      </c>
      <c r="H4256" t="s">
        <v>119</v>
      </c>
      <c r="I4256">
        <v>18326</v>
      </c>
      <c r="J4256">
        <v>16198</v>
      </c>
    </row>
    <row r="4257" spans="1:10" x14ac:dyDescent="0.3">
      <c r="A4257" t="s">
        <v>4384</v>
      </c>
      <c r="B4257" s="1">
        <v>45881</v>
      </c>
      <c r="C4257" t="s">
        <v>113</v>
      </c>
      <c r="D4257">
        <v>33</v>
      </c>
      <c r="E4257" t="s">
        <v>61</v>
      </c>
      <c r="F4257" t="s">
        <v>29</v>
      </c>
      <c r="G4257" t="s">
        <v>30</v>
      </c>
      <c r="H4257" t="s">
        <v>151</v>
      </c>
      <c r="I4257">
        <v>25742</v>
      </c>
      <c r="J4257">
        <v>30753</v>
      </c>
    </row>
    <row r="4258" spans="1:10" x14ac:dyDescent="0.3">
      <c r="A4258" t="s">
        <v>4385</v>
      </c>
      <c r="B4258" s="1">
        <v>45829</v>
      </c>
      <c r="C4258" t="s">
        <v>74</v>
      </c>
      <c r="D4258">
        <v>25</v>
      </c>
      <c r="E4258" t="s">
        <v>39</v>
      </c>
      <c r="F4258" t="s">
        <v>140</v>
      </c>
      <c r="G4258" t="s">
        <v>132</v>
      </c>
      <c r="H4258" t="s">
        <v>48</v>
      </c>
      <c r="I4258">
        <v>21483</v>
      </c>
      <c r="J4258">
        <v>20460</v>
      </c>
    </row>
    <row r="4259" spans="1:10" x14ac:dyDescent="0.3">
      <c r="A4259" t="s">
        <v>4386</v>
      </c>
      <c r="B4259" s="1">
        <v>45672</v>
      </c>
      <c r="C4259" t="s">
        <v>17</v>
      </c>
      <c r="D4259">
        <v>3</v>
      </c>
      <c r="E4259" t="s">
        <v>12</v>
      </c>
      <c r="F4259" t="s">
        <v>92</v>
      </c>
      <c r="G4259" t="s">
        <v>128</v>
      </c>
      <c r="H4259" t="s">
        <v>243</v>
      </c>
      <c r="I4259">
        <v>19212</v>
      </c>
      <c r="J4259">
        <v>15139</v>
      </c>
    </row>
    <row r="4260" spans="1:10" x14ac:dyDescent="0.3">
      <c r="A4260" t="s">
        <v>4387</v>
      </c>
      <c r="B4260" s="1">
        <v>45683</v>
      </c>
      <c r="C4260" t="s">
        <v>17</v>
      </c>
      <c r="D4260">
        <v>4</v>
      </c>
      <c r="E4260" t="s">
        <v>70</v>
      </c>
      <c r="F4260" t="s">
        <v>43</v>
      </c>
      <c r="G4260" t="s">
        <v>30</v>
      </c>
      <c r="H4260" t="s">
        <v>48</v>
      </c>
      <c r="I4260">
        <v>35619</v>
      </c>
      <c r="J4260">
        <v>42557</v>
      </c>
    </row>
    <row r="4261" spans="1:10" x14ac:dyDescent="0.3">
      <c r="A4261" t="s">
        <v>4388</v>
      </c>
      <c r="B4261" s="1">
        <v>45794</v>
      </c>
      <c r="C4261" t="s">
        <v>90</v>
      </c>
      <c r="D4261">
        <v>20</v>
      </c>
      <c r="E4261" t="s">
        <v>18</v>
      </c>
      <c r="F4261" t="s">
        <v>140</v>
      </c>
      <c r="G4261" t="s">
        <v>79</v>
      </c>
      <c r="H4261" t="s">
        <v>59</v>
      </c>
      <c r="I4261">
        <v>30488</v>
      </c>
      <c r="J4261">
        <v>38690</v>
      </c>
    </row>
    <row r="4262" spans="1:10" x14ac:dyDescent="0.3">
      <c r="A4262" t="s">
        <v>4389</v>
      </c>
      <c r="B4262" s="1">
        <v>45669</v>
      </c>
      <c r="C4262" t="s">
        <v>17</v>
      </c>
      <c r="D4262">
        <v>2</v>
      </c>
      <c r="E4262" t="s">
        <v>24</v>
      </c>
      <c r="F4262" t="s">
        <v>140</v>
      </c>
      <c r="G4262" t="s">
        <v>191</v>
      </c>
      <c r="H4262" t="s">
        <v>31</v>
      </c>
      <c r="I4262">
        <v>18110</v>
      </c>
      <c r="J4262">
        <v>15342</v>
      </c>
    </row>
    <row r="4263" spans="1:10" x14ac:dyDescent="0.3">
      <c r="A4263" t="s">
        <v>4390</v>
      </c>
      <c r="B4263" s="1">
        <v>45877</v>
      </c>
      <c r="C4263" t="s">
        <v>113</v>
      </c>
      <c r="D4263">
        <v>32</v>
      </c>
      <c r="E4263" t="s">
        <v>12</v>
      </c>
      <c r="F4263" t="s">
        <v>75</v>
      </c>
      <c r="G4263" t="s">
        <v>115</v>
      </c>
      <c r="H4263" t="s">
        <v>123</v>
      </c>
      <c r="I4263">
        <v>22296</v>
      </c>
      <c r="J4263">
        <v>23361</v>
      </c>
    </row>
    <row r="4264" spans="1:10" x14ac:dyDescent="0.3">
      <c r="A4264" t="s">
        <v>4391</v>
      </c>
      <c r="B4264" s="1">
        <v>45736</v>
      </c>
      <c r="C4264" t="s">
        <v>95</v>
      </c>
      <c r="D4264">
        <v>12</v>
      </c>
      <c r="E4264" t="s">
        <v>33</v>
      </c>
      <c r="F4264" t="s">
        <v>34</v>
      </c>
      <c r="G4264" t="s">
        <v>58</v>
      </c>
      <c r="H4264" t="s">
        <v>80</v>
      </c>
      <c r="I4264">
        <v>20228</v>
      </c>
      <c r="J4264">
        <v>22536</v>
      </c>
    </row>
    <row r="4265" spans="1:10" x14ac:dyDescent="0.3">
      <c r="A4265" t="s">
        <v>4392</v>
      </c>
      <c r="B4265" s="1">
        <v>45873</v>
      </c>
      <c r="C4265" t="s">
        <v>113</v>
      </c>
      <c r="D4265">
        <v>32</v>
      </c>
      <c r="E4265" t="s">
        <v>24</v>
      </c>
      <c r="F4265" t="s">
        <v>92</v>
      </c>
      <c r="G4265" t="s">
        <v>20</v>
      </c>
      <c r="H4265" t="s">
        <v>48</v>
      </c>
      <c r="I4265">
        <v>34099</v>
      </c>
      <c r="J4265">
        <v>30253</v>
      </c>
    </row>
    <row r="4266" spans="1:10" x14ac:dyDescent="0.3">
      <c r="A4266" t="s">
        <v>4393</v>
      </c>
      <c r="B4266" s="1">
        <v>45947</v>
      </c>
      <c r="C4266" t="s">
        <v>66</v>
      </c>
      <c r="D4266">
        <v>42</v>
      </c>
      <c r="E4266" t="s">
        <v>70</v>
      </c>
      <c r="F4266" t="s">
        <v>140</v>
      </c>
      <c r="G4266" t="s">
        <v>206</v>
      </c>
      <c r="H4266" t="s">
        <v>98</v>
      </c>
      <c r="I4266">
        <v>32340</v>
      </c>
      <c r="J4266">
        <v>24922</v>
      </c>
    </row>
    <row r="4267" spans="1:10" x14ac:dyDescent="0.3">
      <c r="A4267" t="s">
        <v>4394</v>
      </c>
      <c r="B4267" s="1">
        <v>45715</v>
      </c>
      <c r="C4267" t="s">
        <v>82</v>
      </c>
      <c r="D4267">
        <v>9</v>
      </c>
      <c r="E4267" t="s">
        <v>24</v>
      </c>
      <c r="F4267" t="s">
        <v>13</v>
      </c>
      <c r="G4267" t="s">
        <v>326</v>
      </c>
      <c r="H4267" t="s">
        <v>243</v>
      </c>
      <c r="I4267">
        <v>26067</v>
      </c>
      <c r="J4267">
        <v>24250</v>
      </c>
    </row>
    <row r="4268" spans="1:10" x14ac:dyDescent="0.3">
      <c r="A4268" t="s">
        <v>4395</v>
      </c>
      <c r="B4268" s="1">
        <v>45868</v>
      </c>
      <c r="C4268" t="s">
        <v>11</v>
      </c>
      <c r="D4268">
        <v>31</v>
      </c>
      <c r="E4268" t="s">
        <v>33</v>
      </c>
      <c r="F4268" t="s">
        <v>87</v>
      </c>
      <c r="G4268" t="s">
        <v>83</v>
      </c>
      <c r="H4268" t="s">
        <v>96</v>
      </c>
      <c r="I4268">
        <v>38316</v>
      </c>
      <c r="J4268">
        <v>31430</v>
      </c>
    </row>
    <row r="4269" spans="1:10" x14ac:dyDescent="0.3">
      <c r="A4269" t="s">
        <v>4396</v>
      </c>
      <c r="B4269" s="1">
        <v>45766</v>
      </c>
      <c r="C4269" t="s">
        <v>86</v>
      </c>
      <c r="D4269">
        <v>16</v>
      </c>
      <c r="E4269" t="s">
        <v>24</v>
      </c>
      <c r="F4269" t="s">
        <v>92</v>
      </c>
      <c r="G4269" t="s">
        <v>79</v>
      </c>
      <c r="H4269" t="s">
        <v>84</v>
      </c>
      <c r="I4269">
        <v>37042</v>
      </c>
      <c r="J4269">
        <v>40338</v>
      </c>
    </row>
    <row r="4270" spans="1:10" x14ac:dyDescent="0.3">
      <c r="A4270" t="s">
        <v>4397</v>
      </c>
      <c r="B4270" s="1">
        <v>45936</v>
      </c>
      <c r="C4270" t="s">
        <v>66</v>
      </c>
      <c r="D4270">
        <v>41</v>
      </c>
      <c r="E4270" t="s">
        <v>61</v>
      </c>
      <c r="F4270" t="s">
        <v>101</v>
      </c>
      <c r="G4270" t="s">
        <v>224</v>
      </c>
      <c r="H4270" t="s">
        <v>116</v>
      </c>
      <c r="I4270">
        <v>30399</v>
      </c>
      <c r="J4270">
        <v>36534</v>
      </c>
    </row>
    <row r="4271" spans="1:10" x14ac:dyDescent="0.3">
      <c r="A4271" t="s">
        <v>4398</v>
      </c>
      <c r="B4271" s="1">
        <v>45761</v>
      </c>
      <c r="C4271" t="s">
        <v>86</v>
      </c>
      <c r="D4271">
        <v>16</v>
      </c>
      <c r="E4271" t="s">
        <v>61</v>
      </c>
      <c r="F4271" t="s">
        <v>109</v>
      </c>
      <c r="G4271" t="s">
        <v>118</v>
      </c>
      <c r="H4271" t="s">
        <v>157</v>
      </c>
      <c r="I4271">
        <v>16407</v>
      </c>
      <c r="J4271">
        <v>11933</v>
      </c>
    </row>
    <row r="4272" spans="1:10" x14ac:dyDescent="0.3">
      <c r="A4272" t="s">
        <v>4399</v>
      </c>
      <c r="B4272" s="1">
        <v>45797</v>
      </c>
      <c r="C4272" t="s">
        <v>90</v>
      </c>
      <c r="D4272">
        <v>21</v>
      </c>
      <c r="E4272" t="s">
        <v>33</v>
      </c>
      <c r="F4272" t="s">
        <v>75</v>
      </c>
      <c r="G4272" t="s">
        <v>291</v>
      </c>
      <c r="H4272" t="s">
        <v>163</v>
      </c>
      <c r="I4272">
        <v>18035</v>
      </c>
      <c r="J4272">
        <v>19750</v>
      </c>
    </row>
    <row r="4273" spans="1:10" x14ac:dyDescent="0.3">
      <c r="A4273" t="s">
        <v>4400</v>
      </c>
      <c r="B4273" s="1">
        <v>45896</v>
      </c>
      <c r="C4273" t="s">
        <v>113</v>
      </c>
      <c r="D4273">
        <v>35</v>
      </c>
      <c r="E4273" t="s">
        <v>18</v>
      </c>
      <c r="F4273" t="s">
        <v>193</v>
      </c>
      <c r="G4273" t="s">
        <v>201</v>
      </c>
      <c r="H4273" t="s">
        <v>157</v>
      </c>
      <c r="I4273">
        <v>19224</v>
      </c>
      <c r="J4273">
        <v>13658</v>
      </c>
    </row>
    <row r="4274" spans="1:10" x14ac:dyDescent="0.3">
      <c r="A4274" t="s">
        <v>4401</v>
      </c>
      <c r="B4274" s="1">
        <v>45842</v>
      </c>
      <c r="C4274" t="s">
        <v>11</v>
      </c>
      <c r="D4274">
        <v>27</v>
      </c>
      <c r="E4274" t="s">
        <v>18</v>
      </c>
      <c r="F4274" t="s">
        <v>13</v>
      </c>
      <c r="G4274" t="s">
        <v>93</v>
      </c>
      <c r="H4274" t="s">
        <v>68</v>
      </c>
      <c r="I4274">
        <v>19407</v>
      </c>
      <c r="J4274">
        <v>24378</v>
      </c>
    </row>
    <row r="4275" spans="1:10" x14ac:dyDescent="0.3">
      <c r="A4275" t="s">
        <v>4402</v>
      </c>
      <c r="B4275" s="1">
        <v>45668</v>
      </c>
      <c r="C4275" t="s">
        <v>17</v>
      </c>
      <c r="D4275">
        <v>2</v>
      </c>
      <c r="E4275" t="s">
        <v>18</v>
      </c>
      <c r="F4275" t="s">
        <v>193</v>
      </c>
      <c r="G4275" t="s">
        <v>47</v>
      </c>
      <c r="H4275" t="s">
        <v>119</v>
      </c>
      <c r="I4275">
        <v>21541</v>
      </c>
      <c r="J4275">
        <v>25632</v>
      </c>
    </row>
    <row r="4276" spans="1:10" x14ac:dyDescent="0.3">
      <c r="A4276" t="s">
        <v>4403</v>
      </c>
      <c r="B4276" s="1">
        <v>45949</v>
      </c>
      <c r="C4276" t="s">
        <v>66</v>
      </c>
      <c r="D4276">
        <v>42</v>
      </c>
      <c r="E4276" t="s">
        <v>61</v>
      </c>
      <c r="F4276" t="s">
        <v>78</v>
      </c>
      <c r="G4276" t="s">
        <v>35</v>
      </c>
      <c r="H4276" t="s">
        <v>98</v>
      </c>
      <c r="I4276">
        <v>20837</v>
      </c>
      <c r="J4276">
        <v>15983</v>
      </c>
    </row>
    <row r="4277" spans="1:10" x14ac:dyDescent="0.3">
      <c r="A4277" t="s">
        <v>4404</v>
      </c>
      <c r="B4277" s="1">
        <v>45691</v>
      </c>
      <c r="C4277" t="s">
        <v>82</v>
      </c>
      <c r="D4277">
        <v>6</v>
      </c>
      <c r="E4277" t="s">
        <v>24</v>
      </c>
      <c r="F4277" t="s">
        <v>29</v>
      </c>
      <c r="G4277" t="s">
        <v>171</v>
      </c>
      <c r="H4277" t="s">
        <v>96</v>
      </c>
      <c r="I4277">
        <v>23241</v>
      </c>
      <c r="J4277">
        <v>23251</v>
      </c>
    </row>
    <row r="4278" spans="1:10" x14ac:dyDescent="0.3">
      <c r="A4278" t="s">
        <v>4405</v>
      </c>
      <c r="B4278" s="1">
        <v>45661</v>
      </c>
      <c r="C4278" t="s">
        <v>17</v>
      </c>
      <c r="D4278">
        <v>1</v>
      </c>
      <c r="E4278" t="s">
        <v>18</v>
      </c>
      <c r="F4278" t="s">
        <v>92</v>
      </c>
      <c r="G4278" t="s">
        <v>132</v>
      </c>
      <c r="H4278" t="s">
        <v>36</v>
      </c>
      <c r="I4278">
        <v>31379</v>
      </c>
      <c r="J4278">
        <v>32169</v>
      </c>
    </row>
    <row r="4279" spans="1:10" x14ac:dyDescent="0.3">
      <c r="A4279" t="s">
        <v>4406</v>
      </c>
      <c r="B4279" s="1">
        <v>45906</v>
      </c>
      <c r="C4279" t="s">
        <v>38</v>
      </c>
      <c r="D4279">
        <v>36</v>
      </c>
      <c r="E4279" t="s">
        <v>70</v>
      </c>
      <c r="F4279" t="s">
        <v>78</v>
      </c>
      <c r="G4279" t="s">
        <v>149</v>
      </c>
      <c r="H4279" t="s">
        <v>27</v>
      </c>
      <c r="I4279">
        <v>35964</v>
      </c>
      <c r="J4279">
        <v>44745</v>
      </c>
    </row>
    <row r="4280" spans="1:10" x14ac:dyDescent="0.3">
      <c r="A4280" t="s">
        <v>4407</v>
      </c>
      <c r="B4280" s="1">
        <v>45845</v>
      </c>
      <c r="C4280" t="s">
        <v>11</v>
      </c>
      <c r="D4280">
        <v>28</v>
      </c>
      <c r="E4280" t="s">
        <v>24</v>
      </c>
      <c r="F4280" t="s">
        <v>34</v>
      </c>
      <c r="G4280" t="s">
        <v>130</v>
      </c>
      <c r="H4280" t="s">
        <v>80</v>
      </c>
      <c r="I4280">
        <v>16235</v>
      </c>
      <c r="J4280">
        <v>16214</v>
      </c>
    </row>
    <row r="4281" spans="1:10" x14ac:dyDescent="0.3">
      <c r="A4281" t="s">
        <v>4408</v>
      </c>
      <c r="B4281" s="1">
        <v>45755</v>
      </c>
      <c r="C4281" t="s">
        <v>86</v>
      </c>
      <c r="D4281">
        <v>15</v>
      </c>
      <c r="E4281" t="s">
        <v>18</v>
      </c>
      <c r="F4281" t="s">
        <v>43</v>
      </c>
      <c r="G4281" t="s">
        <v>132</v>
      </c>
      <c r="H4281" t="s">
        <v>68</v>
      </c>
      <c r="I4281">
        <v>31028</v>
      </c>
      <c r="J4281">
        <v>31534</v>
      </c>
    </row>
    <row r="4282" spans="1:10" x14ac:dyDescent="0.3">
      <c r="A4282" t="s">
        <v>4409</v>
      </c>
      <c r="B4282" s="1">
        <v>45981</v>
      </c>
      <c r="C4282" t="s">
        <v>23</v>
      </c>
      <c r="D4282">
        <v>47</v>
      </c>
      <c r="E4282" t="s">
        <v>33</v>
      </c>
      <c r="F4282" t="s">
        <v>43</v>
      </c>
      <c r="G4282" t="s">
        <v>201</v>
      </c>
      <c r="H4282" t="s">
        <v>133</v>
      </c>
      <c r="I4282">
        <v>26891</v>
      </c>
      <c r="J4282">
        <v>32201</v>
      </c>
    </row>
    <row r="4283" spans="1:10" x14ac:dyDescent="0.3">
      <c r="A4283" t="s">
        <v>4410</v>
      </c>
      <c r="B4283" s="1">
        <v>45935</v>
      </c>
      <c r="C4283" t="s">
        <v>66</v>
      </c>
      <c r="D4283">
        <v>40</v>
      </c>
      <c r="E4283" t="s">
        <v>24</v>
      </c>
      <c r="F4283" t="s">
        <v>25</v>
      </c>
      <c r="G4283" t="s">
        <v>230</v>
      </c>
      <c r="H4283" t="s">
        <v>52</v>
      </c>
      <c r="I4283">
        <v>19416</v>
      </c>
      <c r="J4283">
        <v>19728</v>
      </c>
    </row>
    <row r="4284" spans="1:10" x14ac:dyDescent="0.3">
      <c r="A4284" t="s">
        <v>4411</v>
      </c>
      <c r="B4284" s="1">
        <v>45807</v>
      </c>
      <c r="C4284" t="s">
        <v>90</v>
      </c>
      <c r="D4284">
        <v>22</v>
      </c>
      <c r="E4284" t="s">
        <v>70</v>
      </c>
      <c r="F4284" t="s">
        <v>46</v>
      </c>
      <c r="G4284" t="s">
        <v>40</v>
      </c>
      <c r="H4284" t="s">
        <v>55</v>
      </c>
      <c r="I4284">
        <v>39047</v>
      </c>
      <c r="J4284">
        <v>42495</v>
      </c>
    </row>
    <row r="4285" spans="1:10" x14ac:dyDescent="0.3">
      <c r="A4285" t="s">
        <v>4412</v>
      </c>
      <c r="B4285" s="1">
        <v>45742</v>
      </c>
      <c r="C4285" t="s">
        <v>95</v>
      </c>
      <c r="D4285">
        <v>13</v>
      </c>
      <c r="E4285" t="s">
        <v>12</v>
      </c>
      <c r="F4285" t="s">
        <v>87</v>
      </c>
      <c r="G4285" t="s">
        <v>72</v>
      </c>
      <c r="H4285" t="s">
        <v>27</v>
      </c>
      <c r="I4285">
        <v>21877</v>
      </c>
      <c r="J4285">
        <v>26041</v>
      </c>
    </row>
    <row r="4286" spans="1:10" x14ac:dyDescent="0.3">
      <c r="A4286" t="s">
        <v>4413</v>
      </c>
      <c r="B4286" s="1">
        <v>45841</v>
      </c>
      <c r="C4286" t="s">
        <v>11</v>
      </c>
      <c r="D4286">
        <v>27</v>
      </c>
      <c r="E4286" t="s">
        <v>70</v>
      </c>
      <c r="F4286" t="s">
        <v>101</v>
      </c>
      <c r="G4286" t="s">
        <v>132</v>
      </c>
      <c r="H4286" t="s">
        <v>155</v>
      </c>
      <c r="I4286">
        <v>36969</v>
      </c>
      <c r="J4286">
        <v>47302</v>
      </c>
    </row>
    <row r="4287" spans="1:10" x14ac:dyDescent="0.3">
      <c r="A4287" t="s">
        <v>4414</v>
      </c>
      <c r="B4287" s="1">
        <v>45852</v>
      </c>
      <c r="C4287" t="s">
        <v>11</v>
      </c>
      <c r="D4287">
        <v>29</v>
      </c>
      <c r="E4287" t="s">
        <v>18</v>
      </c>
      <c r="F4287" t="s">
        <v>193</v>
      </c>
      <c r="G4287" t="s">
        <v>135</v>
      </c>
      <c r="H4287" t="s">
        <v>163</v>
      </c>
      <c r="I4287">
        <v>33290</v>
      </c>
      <c r="J4287">
        <v>34406</v>
      </c>
    </row>
    <row r="4288" spans="1:10" x14ac:dyDescent="0.3">
      <c r="A4288" t="s">
        <v>4415</v>
      </c>
      <c r="B4288" s="1">
        <v>46014</v>
      </c>
      <c r="C4288" t="s">
        <v>100</v>
      </c>
      <c r="D4288">
        <v>52</v>
      </c>
      <c r="E4288" t="s">
        <v>61</v>
      </c>
      <c r="F4288" t="s">
        <v>114</v>
      </c>
      <c r="G4288" t="s">
        <v>253</v>
      </c>
      <c r="H4288" t="s">
        <v>133</v>
      </c>
      <c r="I4288">
        <v>37602</v>
      </c>
      <c r="J4288">
        <v>32572</v>
      </c>
    </row>
    <row r="4289" spans="1:10" x14ac:dyDescent="0.3">
      <c r="A4289" t="s">
        <v>4416</v>
      </c>
      <c r="B4289" s="1">
        <v>45781</v>
      </c>
      <c r="C4289" t="s">
        <v>90</v>
      </c>
      <c r="D4289">
        <v>18</v>
      </c>
      <c r="E4289" t="s">
        <v>12</v>
      </c>
      <c r="F4289" t="s">
        <v>114</v>
      </c>
      <c r="G4289" t="s">
        <v>326</v>
      </c>
      <c r="H4289" t="s">
        <v>155</v>
      </c>
      <c r="I4289">
        <v>32412</v>
      </c>
      <c r="J4289">
        <v>32780</v>
      </c>
    </row>
    <row r="4290" spans="1:10" x14ac:dyDescent="0.3">
      <c r="A4290" t="s">
        <v>4417</v>
      </c>
      <c r="B4290" s="1">
        <v>46012</v>
      </c>
      <c r="C4290" t="s">
        <v>100</v>
      </c>
      <c r="D4290">
        <v>51</v>
      </c>
      <c r="E4290" t="s">
        <v>24</v>
      </c>
      <c r="F4290" t="s">
        <v>92</v>
      </c>
      <c r="G4290" t="s">
        <v>147</v>
      </c>
      <c r="H4290" t="s">
        <v>157</v>
      </c>
      <c r="I4290">
        <v>36974</v>
      </c>
      <c r="J4290">
        <v>35134</v>
      </c>
    </row>
    <row r="4291" spans="1:10" x14ac:dyDescent="0.3">
      <c r="A4291" t="s">
        <v>4418</v>
      </c>
      <c r="B4291" s="1">
        <v>45709</v>
      </c>
      <c r="C4291" t="s">
        <v>82</v>
      </c>
      <c r="D4291">
        <v>8</v>
      </c>
      <c r="E4291" t="s">
        <v>39</v>
      </c>
      <c r="F4291" t="s">
        <v>78</v>
      </c>
      <c r="G4291" t="s">
        <v>201</v>
      </c>
      <c r="H4291" t="s">
        <v>48</v>
      </c>
      <c r="I4291">
        <v>34410</v>
      </c>
      <c r="J4291">
        <v>42634</v>
      </c>
    </row>
    <row r="4292" spans="1:10" x14ac:dyDescent="0.3">
      <c r="A4292" t="s">
        <v>4419</v>
      </c>
      <c r="B4292" s="1">
        <v>45701</v>
      </c>
      <c r="C4292" t="s">
        <v>82</v>
      </c>
      <c r="D4292">
        <v>7</v>
      </c>
      <c r="E4292" t="s">
        <v>39</v>
      </c>
      <c r="F4292" t="s">
        <v>46</v>
      </c>
      <c r="G4292" t="s">
        <v>326</v>
      </c>
      <c r="H4292" t="s">
        <v>48</v>
      </c>
      <c r="I4292">
        <v>19573</v>
      </c>
      <c r="J4292">
        <v>17465</v>
      </c>
    </row>
    <row r="4293" spans="1:10" x14ac:dyDescent="0.3">
      <c r="A4293" t="s">
        <v>4420</v>
      </c>
      <c r="B4293" s="1">
        <v>45866</v>
      </c>
      <c r="C4293" t="s">
        <v>11</v>
      </c>
      <c r="D4293">
        <v>31</v>
      </c>
      <c r="E4293" t="s">
        <v>39</v>
      </c>
      <c r="F4293" t="s">
        <v>193</v>
      </c>
      <c r="G4293" t="s">
        <v>137</v>
      </c>
      <c r="H4293" t="s">
        <v>52</v>
      </c>
      <c r="I4293">
        <v>31268</v>
      </c>
      <c r="J4293">
        <v>36723</v>
      </c>
    </row>
    <row r="4294" spans="1:10" x14ac:dyDescent="0.3">
      <c r="A4294" t="s">
        <v>4421</v>
      </c>
      <c r="B4294" s="1">
        <v>45755</v>
      </c>
      <c r="C4294" t="s">
        <v>86</v>
      </c>
      <c r="D4294">
        <v>15</v>
      </c>
      <c r="E4294" t="s">
        <v>39</v>
      </c>
      <c r="F4294" t="s">
        <v>101</v>
      </c>
      <c r="G4294" t="s">
        <v>147</v>
      </c>
      <c r="H4294" t="s">
        <v>52</v>
      </c>
      <c r="I4294">
        <v>22107</v>
      </c>
      <c r="J4294">
        <v>27169</v>
      </c>
    </row>
    <row r="4295" spans="1:10" x14ac:dyDescent="0.3">
      <c r="A4295" t="s">
        <v>4422</v>
      </c>
      <c r="B4295" s="1">
        <v>45764</v>
      </c>
      <c r="C4295" t="s">
        <v>86</v>
      </c>
      <c r="D4295">
        <v>16</v>
      </c>
      <c r="E4295" t="s">
        <v>39</v>
      </c>
      <c r="F4295" t="s">
        <v>57</v>
      </c>
      <c r="G4295" t="s">
        <v>76</v>
      </c>
      <c r="H4295" t="s">
        <v>165</v>
      </c>
      <c r="I4295">
        <v>31769</v>
      </c>
      <c r="J4295">
        <v>36540</v>
      </c>
    </row>
    <row r="4296" spans="1:10" x14ac:dyDescent="0.3">
      <c r="A4296" t="s">
        <v>4423</v>
      </c>
      <c r="B4296" s="1">
        <v>45880</v>
      </c>
      <c r="C4296" t="s">
        <v>113</v>
      </c>
      <c r="D4296">
        <v>33</v>
      </c>
      <c r="E4296" t="s">
        <v>18</v>
      </c>
      <c r="F4296" t="s">
        <v>19</v>
      </c>
      <c r="G4296" t="s">
        <v>35</v>
      </c>
      <c r="H4296" t="s">
        <v>36</v>
      </c>
      <c r="I4296">
        <v>24161</v>
      </c>
      <c r="J4296">
        <v>28347</v>
      </c>
    </row>
    <row r="4297" spans="1:10" x14ac:dyDescent="0.3">
      <c r="A4297" t="s">
        <v>4424</v>
      </c>
      <c r="B4297" s="1">
        <v>45922</v>
      </c>
      <c r="C4297" t="s">
        <v>38</v>
      </c>
      <c r="D4297">
        <v>39</v>
      </c>
      <c r="E4297" t="s">
        <v>61</v>
      </c>
      <c r="F4297" t="s">
        <v>109</v>
      </c>
      <c r="G4297" t="s">
        <v>141</v>
      </c>
      <c r="H4297" t="s">
        <v>98</v>
      </c>
      <c r="I4297">
        <v>19860</v>
      </c>
      <c r="J4297">
        <v>18758</v>
      </c>
    </row>
    <row r="4298" spans="1:10" x14ac:dyDescent="0.3">
      <c r="A4298" t="s">
        <v>4425</v>
      </c>
      <c r="B4298" s="1">
        <v>45676</v>
      </c>
      <c r="C4298" t="s">
        <v>17</v>
      </c>
      <c r="D4298">
        <v>3</v>
      </c>
      <c r="E4298" t="s">
        <v>61</v>
      </c>
      <c r="F4298" t="s">
        <v>140</v>
      </c>
      <c r="G4298" t="s">
        <v>118</v>
      </c>
      <c r="H4298" t="s">
        <v>103</v>
      </c>
      <c r="I4298">
        <v>30481</v>
      </c>
      <c r="J4298">
        <v>31526</v>
      </c>
    </row>
    <row r="4299" spans="1:10" x14ac:dyDescent="0.3">
      <c r="A4299" t="s">
        <v>4426</v>
      </c>
      <c r="B4299" s="1">
        <v>45789</v>
      </c>
      <c r="C4299" t="s">
        <v>90</v>
      </c>
      <c r="D4299">
        <v>20</v>
      </c>
      <c r="E4299" t="s">
        <v>18</v>
      </c>
      <c r="F4299" t="s">
        <v>87</v>
      </c>
      <c r="G4299" t="s">
        <v>115</v>
      </c>
      <c r="H4299" t="s">
        <v>123</v>
      </c>
      <c r="I4299">
        <v>20930</v>
      </c>
      <c r="J4299">
        <v>19080</v>
      </c>
    </row>
    <row r="4300" spans="1:10" x14ac:dyDescent="0.3">
      <c r="A4300" t="s">
        <v>4427</v>
      </c>
      <c r="B4300" s="1">
        <v>45767</v>
      </c>
      <c r="C4300" t="s">
        <v>86</v>
      </c>
      <c r="D4300">
        <v>16</v>
      </c>
      <c r="E4300" t="s">
        <v>33</v>
      </c>
      <c r="F4300" t="s">
        <v>25</v>
      </c>
      <c r="G4300" t="s">
        <v>72</v>
      </c>
      <c r="H4300" t="s">
        <v>36</v>
      </c>
      <c r="I4300">
        <v>20003</v>
      </c>
      <c r="J4300">
        <v>19107</v>
      </c>
    </row>
    <row r="4301" spans="1:10" x14ac:dyDescent="0.3">
      <c r="A4301" t="s">
        <v>4428</v>
      </c>
      <c r="B4301" s="1">
        <v>45770</v>
      </c>
      <c r="C4301" t="s">
        <v>86</v>
      </c>
      <c r="D4301">
        <v>17</v>
      </c>
      <c r="E4301" t="s">
        <v>24</v>
      </c>
      <c r="F4301" t="s">
        <v>109</v>
      </c>
      <c r="G4301" t="s">
        <v>201</v>
      </c>
      <c r="H4301" t="s">
        <v>55</v>
      </c>
      <c r="I4301">
        <v>32528</v>
      </c>
      <c r="J4301">
        <v>27490</v>
      </c>
    </row>
    <row r="4302" spans="1:10" x14ac:dyDescent="0.3">
      <c r="A4302" t="s">
        <v>4429</v>
      </c>
      <c r="B4302" s="1">
        <v>45702</v>
      </c>
      <c r="C4302" t="s">
        <v>82</v>
      </c>
      <c r="D4302">
        <v>7</v>
      </c>
      <c r="E4302" t="s">
        <v>24</v>
      </c>
      <c r="F4302" t="s">
        <v>29</v>
      </c>
      <c r="G4302" t="s">
        <v>160</v>
      </c>
      <c r="H4302" t="s">
        <v>133</v>
      </c>
      <c r="I4302">
        <v>28404</v>
      </c>
      <c r="J4302">
        <v>36375</v>
      </c>
    </row>
    <row r="4303" spans="1:10" x14ac:dyDescent="0.3">
      <c r="A4303" t="s">
        <v>4430</v>
      </c>
      <c r="B4303" s="1">
        <v>45941</v>
      </c>
      <c r="C4303" t="s">
        <v>66</v>
      </c>
      <c r="D4303">
        <v>41</v>
      </c>
      <c r="E4303" t="s">
        <v>70</v>
      </c>
      <c r="F4303" t="s">
        <v>50</v>
      </c>
      <c r="G4303" t="s">
        <v>58</v>
      </c>
      <c r="H4303" t="s">
        <v>15</v>
      </c>
      <c r="I4303">
        <v>22600</v>
      </c>
      <c r="J4303">
        <v>17941</v>
      </c>
    </row>
    <row r="4304" spans="1:10" x14ac:dyDescent="0.3">
      <c r="A4304" t="s">
        <v>4431</v>
      </c>
      <c r="B4304" s="1">
        <v>45861</v>
      </c>
      <c r="C4304" t="s">
        <v>11</v>
      </c>
      <c r="D4304">
        <v>30</v>
      </c>
      <c r="E4304" t="s">
        <v>33</v>
      </c>
      <c r="F4304" t="s">
        <v>34</v>
      </c>
      <c r="G4304" t="s">
        <v>128</v>
      </c>
      <c r="H4304" t="s">
        <v>116</v>
      </c>
      <c r="I4304">
        <v>29803</v>
      </c>
      <c r="J4304">
        <v>27762</v>
      </c>
    </row>
    <row r="4305" spans="1:10" x14ac:dyDescent="0.3">
      <c r="A4305" t="s">
        <v>4432</v>
      </c>
      <c r="B4305" s="1">
        <v>45958</v>
      </c>
      <c r="C4305" t="s">
        <v>66</v>
      </c>
      <c r="D4305">
        <v>44</v>
      </c>
      <c r="E4305" t="s">
        <v>24</v>
      </c>
      <c r="F4305" t="s">
        <v>43</v>
      </c>
      <c r="G4305" t="s">
        <v>326</v>
      </c>
      <c r="H4305" t="s">
        <v>157</v>
      </c>
      <c r="I4305">
        <v>28748</v>
      </c>
      <c r="J4305">
        <v>25217</v>
      </c>
    </row>
    <row r="4306" spans="1:10" x14ac:dyDescent="0.3">
      <c r="A4306" t="s">
        <v>4433</v>
      </c>
      <c r="B4306" s="1">
        <v>45765</v>
      </c>
      <c r="C4306" t="s">
        <v>86</v>
      </c>
      <c r="D4306">
        <v>16</v>
      </c>
      <c r="E4306" t="s">
        <v>12</v>
      </c>
      <c r="F4306" t="s">
        <v>78</v>
      </c>
      <c r="G4306" t="s">
        <v>145</v>
      </c>
      <c r="H4306" t="s">
        <v>68</v>
      </c>
      <c r="I4306">
        <v>35068</v>
      </c>
      <c r="J4306">
        <v>36332</v>
      </c>
    </row>
    <row r="4307" spans="1:10" x14ac:dyDescent="0.3">
      <c r="A4307" t="s">
        <v>4434</v>
      </c>
      <c r="B4307" s="1">
        <v>45761</v>
      </c>
      <c r="C4307" t="s">
        <v>86</v>
      </c>
      <c r="D4307">
        <v>16</v>
      </c>
      <c r="E4307" t="s">
        <v>39</v>
      </c>
      <c r="F4307" t="s">
        <v>101</v>
      </c>
      <c r="G4307" t="s">
        <v>130</v>
      </c>
      <c r="H4307" t="s">
        <v>155</v>
      </c>
      <c r="I4307">
        <v>35729</v>
      </c>
      <c r="J4307">
        <v>44365</v>
      </c>
    </row>
    <row r="4308" spans="1:10" x14ac:dyDescent="0.3">
      <c r="A4308" t="s">
        <v>4435</v>
      </c>
      <c r="B4308" s="1">
        <v>45848</v>
      </c>
      <c r="C4308" t="s">
        <v>11</v>
      </c>
      <c r="D4308">
        <v>28</v>
      </c>
      <c r="E4308" t="s">
        <v>12</v>
      </c>
      <c r="F4308" t="s">
        <v>50</v>
      </c>
      <c r="G4308" t="s">
        <v>230</v>
      </c>
      <c r="H4308" t="s">
        <v>84</v>
      </c>
      <c r="I4308">
        <v>25665</v>
      </c>
      <c r="J4308">
        <v>24958</v>
      </c>
    </row>
    <row r="4309" spans="1:10" x14ac:dyDescent="0.3">
      <c r="A4309" t="s">
        <v>4436</v>
      </c>
      <c r="B4309" s="1">
        <v>45932</v>
      </c>
      <c r="C4309" t="s">
        <v>66</v>
      </c>
      <c r="D4309">
        <v>40</v>
      </c>
      <c r="E4309" t="s">
        <v>39</v>
      </c>
      <c r="F4309" t="s">
        <v>25</v>
      </c>
      <c r="G4309" t="s">
        <v>118</v>
      </c>
      <c r="H4309" t="s">
        <v>36</v>
      </c>
      <c r="I4309">
        <v>37282</v>
      </c>
      <c r="J4309">
        <v>44228</v>
      </c>
    </row>
    <row r="4310" spans="1:10" x14ac:dyDescent="0.3">
      <c r="A4310" t="s">
        <v>4437</v>
      </c>
      <c r="B4310" s="1">
        <v>45687</v>
      </c>
      <c r="C4310" t="s">
        <v>17</v>
      </c>
      <c r="D4310">
        <v>5</v>
      </c>
      <c r="E4310" t="s">
        <v>12</v>
      </c>
      <c r="F4310" t="s">
        <v>46</v>
      </c>
      <c r="G4310" t="s">
        <v>118</v>
      </c>
      <c r="H4310" t="s">
        <v>64</v>
      </c>
      <c r="I4310">
        <v>23477</v>
      </c>
      <c r="J4310">
        <v>22263</v>
      </c>
    </row>
    <row r="4311" spans="1:10" x14ac:dyDescent="0.3">
      <c r="A4311" t="s">
        <v>4438</v>
      </c>
      <c r="B4311" s="1">
        <v>45662</v>
      </c>
      <c r="C4311" t="s">
        <v>17</v>
      </c>
      <c r="D4311">
        <v>1</v>
      </c>
      <c r="E4311" t="s">
        <v>61</v>
      </c>
      <c r="F4311" t="s">
        <v>25</v>
      </c>
      <c r="G4311" t="s">
        <v>145</v>
      </c>
      <c r="H4311" t="s">
        <v>52</v>
      </c>
      <c r="I4311">
        <v>35919</v>
      </c>
      <c r="J4311">
        <v>37130</v>
      </c>
    </row>
    <row r="4312" spans="1:10" x14ac:dyDescent="0.3">
      <c r="A4312" t="s">
        <v>4439</v>
      </c>
      <c r="B4312" s="1">
        <v>45884</v>
      </c>
      <c r="C4312" t="s">
        <v>113</v>
      </c>
      <c r="D4312">
        <v>33</v>
      </c>
      <c r="E4312" t="s">
        <v>70</v>
      </c>
      <c r="F4312" t="s">
        <v>50</v>
      </c>
      <c r="G4312" t="s">
        <v>224</v>
      </c>
      <c r="H4312" t="s">
        <v>133</v>
      </c>
      <c r="I4312">
        <v>38513</v>
      </c>
      <c r="J4312">
        <v>37278</v>
      </c>
    </row>
    <row r="4313" spans="1:10" x14ac:dyDescent="0.3">
      <c r="A4313" t="s">
        <v>4440</v>
      </c>
      <c r="B4313" s="1">
        <v>45904</v>
      </c>
      <c r="C4313" t="s">
        <v>38</v>
      </c>
      <c r="D4313">
        <v>36</v>
      </c>
      <c r="E4313" t="s">
        <v>39</v>
      </c>
      <c r="F4313" t="s">
        <v>109</v>
      </c>
      <c r="G4313" t="s">
        <v>72</v>
      </c>
      <c r="H4313" t="s">
        <v>64</v>
      </c>
      <c r="I4313">
        <v>27938</v>
      </c>
      <c r="J4313">
        <v>25276</v>
      </c>
    </row>
    <row r="4314" spans="1:10" x14ac:dyDescent="0.3">
      <c r="A4314" t="s">
        <v>4441</v>
      </c>
      <c r="B4314" s="1">
        <v>45904</v>
      </c>
      <c r="C4314" t="s">
        <v>38</v>
      </c>
      <c r="D4314">
        <v>36</v>
      </c>
      <c r="E4314" t="s">
        <v>70</v>
      </c>
      <c r="F4314" t="s">
        <v>50</v>
      </c>
      <c r="G4314" t="s">
        <v>20</v>
      </c>
      <c r="H4314" t="s">
        <v>52</v>
      </c>
      <c r="I4314">
        <v>28364</v>
      </c>
      <c r="J4314">
        <v>33589</v>
      </c>
    </row>
    <row r="4315" spans="1:10" x14ac:dyDescent="0.3">
      <c r="A4315" t="s">
        <v>4442</v>
      </c>
      <c r="B4315" s="1">
        <v>45872</v>
      </c>
      <c r="C4315" t="s">
        <v>113</v>
      </c>
      <c r="D4315">
        <v>31</v>
      </c>
      <c r="E4315" t="s">
        <v>39</v>
      </c>
      <c r="F4315" t="s">
        <v>62</v>
      </c>
      <c r="G4315" t="s">
        <v>132</v>
      </c>
      <c r="H4315" t="s">
        <v>59</v>
      </c>
      <c r="I4315">
        <v>32979</v>
      </c>
      <c r="J4315">
        <v>42359</v>
      </c>
    </row>
    <row r="4316" spans="1:10" x14ac:dyDescent="0.3">
      <c r="A4316" t="s">
        <v>4443</v>
      </c>
      <c r="B4316" s="1">
        <v>45875</v>
      </c>
      <c r="C4316" t="s">
        <v>113</v>
      </c>
      <c r="D4316">
        <v>32</v>
      </c>
      <c r="E4316" t="s">
        <v>12</v>
      </c>
      <c r="F4316" t="s">
        <v>62</v>
      </c>
      <c r="G4316" t="s">
        <v>149</v>
      </c>
      <c r="H4316" t="s">
        <v>165</v>
      </c>
      <c r="I4316">
        <v>18182</v>
      </c>
      <c r="J4316">
        <v>12898</v>
      </c>
    </row>
    <row r="4317" spans="1:10" x14ac:dyDescent="0.3">
      <c r="A4317" t="s">
        <v>4444</v>
      </c>
      <c r="B4317" s="1">
        <v>45773</v>
      </c>
      <c r="C4317" t="s">
        <v>86</v>
      </c>
      <c r="D4317">
        <v>17</v>
      </c>
      <c r="E4317" t="s">
        <v>70</v>
      </c>
      <c r="F4317" t="s">
        <v>92</v>
      </c>
      <c r="G4317" t="s">
        <v>199</v>
      </c>
      <c r="H4317" t="s">
        <v>21</v>
      </c>
      <c r="I4317">
        <v>33001</v>
      </c>
      <c r="J4317">
        <v>28317</v>
      </c>
    </row>
    <row r="4318" spans="1:10" x14ac:dyDescent="0.3">
      <c r="A4318" t="s">
        <v>4445</v>
      </c>
      <c r="B4318" s="1">
        <v>45977</v>
      </c>
      <c r="C4318" t="s">
        <v>23</v>
      </c>
      <c r="D4318">
        <v>46</v>
      </c>
      <c r="E4318" t="s">
        <v>18</v>
      </c>
      <c r="F4318" t="s">
        <v>75</v>
      </c>
      <c r="G4318" t="s">
        <v>63</v>
      </c>
      <c r="H4318" t="s">
        <v>55</v>
      </c>
      <c r="I4318">
        <v>15252</v>
      </c>
      <c r="J4318">
        <v>16856</v>
      </c>
    </row>
    <row r="4319" spans="1:10" x14ac:dyDescent="0.3">
      <c r="A4319" t="s">
        <v>4446</v>
      </c>
      <c r="B4319" s="1">
        <v>45949</v>
      </c>
      <c r="C4319" t="s">
        <v>66</v>
      </c>
      <c r="D4319">
        <v>42</v>
      </c>
      <c r="E4319" t="s">
        <v>70</v>
      </c>
      <c r="F4319" t="s">
        <v>75</v>
      </c>
      <c r="G4319" t="s">
        <v>14</v>
      </c>
      <c r="H4319" t="s">
        <v>59</v>
      </c>
      <c r="I4319">
        <v>31715</v>
      </c>
      <c r="J4319">
        <v>31949</v>
      </c>
    </row>
    <row r="4320" spans="1:10" x14ac:dyDescent="0.3">
      <c r="A4320" t="s">
        <v>4447</v>
      </c>
      <c r="B4320" s="1">
        <v>45978</v>
      </c>
      <c r="C4320" t="s">
        <v>23</v>
      </c>
      <c r="D4320">
        <v>47</v>
      </c>
      <c r="E4320" t="s">
        <v>33</v>
      </c>
      <c r="F4320" t="s">
        <v>34</v>
      </c>
      <c r="G4320" t="s">
        <v>126</v>
      </c>
      <c r="H4320" t="s">
        <v>98</v>
      </c>
      <c r="I4320">
        <v>29323</v>
      </c>
      <c r="J4320">
        <v>37487</v>
      </c>
    </row>
    <row r="4321" spans="1:10" x14ac:dyDescent="0.3">
      <c r="A4321" t="s">
        <v>4448</v>
      </c>
      <c r="B4321" s="1">
        <v>45728</v>
      </c>
      <c r="C4321" t="s">
        <v>95</v>
      </c>
      <c r="D4321">
        <v>11</v>
      </c>
      <c r="E4321" t="s">
        <v>39</v>
      </c>
      <c r="F4321" t="s">
        <v>34</v>
      </c>
      <c r="G4321" t="s">
        <v>149</v>
      </c>
      <c r="H4321" t="s">
        <v>116</v>
      </c>
      <c r="I4321">
        <v>22636</v>
      </c>
      <c r="J4321">
        <v>16690</v>
      </c>
    </row>
    <row r="4322" spans="1:10" x14ac:dyDescent="0.3">
      <c r="A4322" t="s">
        <v>4449</v>
      </c>
      <c r="B4322" s="1">
        <v>45960</v>
      </c>
      <c r="C4322" t="s">
        <v>66</v>
      </c>
      <c r="D4322">
        <v>44</v>
      </c>
      <c r="E4322" t="s">
        <v>61</v>
      </c>
      <c r="F4322" t="s">
        <v>193</v>
      </c>
      <c r="G4322" t="s">
        <v>79</v>
      </c>
      <c r="H4322" t="s">
        <v>211</v>
      </c>
      <c r="I4322">
        <v>27286</v>
      </c>
      <c r="J4322">
        <v>35056</v>
      </c>
    </row>
    <row r="4323" spans="1:10" x14ac:dyDescent="0.3">
      <c r="A4323" t="s">
        <v>4450</v>
      </c>
      <c r="B4323" s="1">
        <v>45668</v>
      </c>
      <c r="C4323" t="s">
        <v>17</v>
      </c>
      <c r="D4323">
        <v>2</v>
      </c>
      <c r="E4323" t="s">
        <v>61</v>
      </c>
      <c r="F4323" t="s">
        <v>193</v>
      </c>
      <c r="G4323" t="s">
        <v>135</v>
      </c>
      <c r="H4323" t="s">
        <v>64</v>
      </c>
      <c r="I4323">
        <v>20628</v>
      </c>
      <c r="J4323">
        <v>25629</v>
      </c>
    </row>
    <row r="4324" spans="1:10" x14ac:dyDescent="0.3">
      <c r="A4324" t="s">
        <v>4451</v>
      </c>
      <c r="B4324" s="1">
        <v>45870</v>
      </c>
      <c r="C4324" t="s">
        <v>113</v>
      </c>
      <c r="D4324">
        <v>31</v>
      </c>
      <c r="E4324" t="s">
        <v>39</v>
      </c>
      <c r="F4324" t="s">
        <v>193</v>
      </c>
      <c r="G4324" t="s">
        <v>135</v>
      </c>
      <c r="H4324" t="s">
        <v>163</v>
      </c>
      <c r="I4324">
        <v>17562</v>
      </c>
      <c r="J4324">
        <v>21511</v>
      </c>
    </row>
    <row r="4325" spans="1:10" x14ac:dyDescent="0.3">
      <c r="A4325" t="s">
        <v>4452</v>
      </c>
      <c r="B4325" s="1">
        <v>46021</v>
      </c>
      <c r="C4325" t="s">
        <v>100</v>
      </c>
      <c r="D4325">
        <v>1</v>
      </c>
      <c r="E4325" t="s">
        <v>61</v>
      </c>
      <c r="F4325" t="s">
        <v>140</v>
      </c>
      <c r="G4325" t="s">
        <v>26</v>
      </c>
      <c r="H4325" t="s">
        <v>188</v>
      </c>
      <c r="I4325">
        <v>38677</v>
      </c>
      <c r="J4325">
        <v>42082</v>
      </c>
    </row>
    <row r="4326" spans="1:10" x14ac:dyDescent="0.3">
      <c r="A4326" t="s">
        <v>4453</v>
      </c>
      <c r="B4326" s="1">
        <v>45828</v>
      </c>
      <c r="C4326" t="s">
        <v>74</v>
      </c>
      <c r="D4326">
        <v>25</v>
      </c>
      <c r="E4326" t="s">
        <v>70</v>
      </c>
      <c r="F4326" t="s">
        <v>46</v>
      </c>
      <c r="G4326" t="s">
        <v>102</v>
      </c>
      <c r="H4326" t="s">
        <v>36</v>
      </c>
      <c r="I4326">
        <v>25471</v>
      </c>
      <c r="J4326">
        <v>20022</v>
      </c>
    </row>
    <row r="4327" spans="1:10" x14ac:dyDescent="0.3">
      <c r="A4327" t="s">
        <v>4454</v>
      </c>
      <c r="B4327" s="1">
        <v>45874</v>
      </c>
      <c r="C4327" t="s">
        <v>113</v>
      </c>
      <c r="D4327">
        <v>32</v>
      </c>
      <c r="E4327" t="s">
        <v>12</v>
      </c>
      <c r="F4327" t="s">
        <v>140</v>
      </c>
      <c r="G4327" t="s">
        <v>83</v>
      </c>
      <c r="H4327" t="s">
        <v>163</v>
      </c>
      <c r="I4327">
        <v>33716</v>
      </c>
      <c r="J4327">
        <v>33093</v>
      </c>
    </row>
    <row r="4328" spans="1:10" x14ac:dyDescent="0.3">
      <c r="A4328" t="s">
        <v>4455</v>
      </c>
      <c r="B4328" s="1">
        <v>45674</v>
      </c>
      <c r="C4328" t="s">
        <v>17</v>
      </c>
      <c r="D4328">
        <v>3</v>
      </c>
      <c r="E4328" t="s">
        <v>33</v>
      </c>
      <c r="F4328" t="s">
        <v>57</v>
      </c>
      <c r="G4328" t="s">
        <v>67</v>
      </c>
      <c r="H4328" t="s">
        <v>36</v>
      </c>
      <c r="I4328">
        <v>35958</v>
      </c>
      <c r="J4328">
        <v>34402</v>
      </c>
    </row>
    <row r="4329" spans="1:10" x14ac:dyDescent="0.3">
      <c r="A4329" t="s">
        <v>4456</v>
      </c>
      <c r="B4329" s="1">
        <v>45937</v>
      </c>
      <c r="C4329" t="s">
        <v>66</v>
      </c>
      <c r="D4329">
        <v>41</v>
      </c>
      <c r="E4329" t="s">
        <v>18</v>
      </c>
      <c r="F4329" t="s">
        <v>122</v>
      </c>
      <c r="G4329" t="s">
        <v>35</v>
      </c>
      <c r="H4329" t="s">
        <v>243</v>
      </c>
      <c r="I4329">
        <v>22913</v>
      </c>
      <c r="J4329">
        <v>22105</v>
      </c>
    </row>
    <row r="4330" spans="1:10" x14ac:dyDescent="0.3">
      <c r="A4330" t="s">
        <v>4457</v>
      </c>
      <c r="B4330" s="1">
        <v>45693</v>
      </c>
      <c r="C4330" t="s">
        <v>82</v>
      </c>
      <c r="D4330">
        <v>6</v>
      </c>
      <c r="E4330" t="s">
        <v>18</v>
      </c>
      <c r="F4330" t="s">
        <v>46</v>
      </c>
      <c r="G4330" t="s">
        <v>135</v>
      </c>
      <c r="H4330" t="s">
        <v>103</v>
      </c>
      <c r="I4330">
        <v>37061</v>
      </c>
      <c r="J4330">
        <v>48078</v>
      </c>
    </row>
    <row r="4331" spans="1:10" x14ac:dyDescent="0.3">
      <c r="A4331" t="s">
        <v>4458</v>
      </c>
      <c r="B4331" s="1">
        <v>45915</v>
      </c>
      <c r="C4331" t="s">
        <v>38</v>
      </c>
      <c r="D4331">
        <v>38</v>
      </c>
      <c r="E4331" t="s">
        <v>24</v>
      </c>
      <c r="F4331" t="s">
        <v>75</v>
      </c>
      <c r="G4331" t="s">
        <v>118</v>
      </c>
      <c r="H4331" t="s">
        <v>96</v>
      </c>
      <c r="I4331">
        <v>36361</v>
      </c>
      <c r="J4331">
        <v>26085</v>
      </c>
    </row>
    <row r="4332" spans="1:10" x14ac:dyDescent="0.3">
      <c r="A4332" t="s">
        <v>4459</v>
      </c>
      <c r="B4332" s="1">
        <v>45840</v>
      </c>
      <c r="C4332" t="s">
        <v>11</v>
      </c>
      <c r="D4332">
        <v>27</v>
      </c>
      <c r="E4332" t="s">
        <v>39</v>
      </c>
      <c r="F4332" t="s">
        <v>13</v>
      </c>
      <c r="G4332" t="s">
        <v>291</v>
      </c>
      <c r="H4332" t="s">
        <v>188</v>
      </c>
      <c r="I4332">
        <v>20162</v>
      </c>
      <c r="J4332">
        <v>15098</v>
      </c>
    </row>
    <row r="4333" spans="1:10" x14ac:dyDescent="0.3">
      <c r="A4333" t="s">
        <v>4460</v>
      </c>
      <c r="B4333" s="1">
        <v>45940</v>
      </c>
      <c r="C4333" t="s">
        <v>66</v>
      </c>
      <c r="D4333">
        <v>41</v>
      </c>
      <c r="E4333" t="s">
        <v>12</v>
      </c>
      <c r="F4333" t="s">
        <v>75</v>
      </c>
      <c r="G4333" t="s">
        <v>230</v>
      </c>
      <c r="H4333" t="s">
        <v>31</v>
      </c>
      <c r="I4333">
        <v>20699</v>
      </c>
      <c r="J4333">
        <v>18106</v>
      </c>
    </row>
    <row r="4334" spans="1:10" x14ac:dyDescent="0.3">
      <c r="A4334" t="s">
        <v>4461</v>
      </c>
      <c r="B4334" s="1">
        <v>45950</v>
      </c>
      <c r="C4334" t="s">
        <v>66</v>
      </c>
      <c r="D4334">
        <v>43</v>
      </c>
      <c r="E4334" t="s">
        <v>33</v>
      </c>
      <c r="F4334" t="s">
        <v>46</v>
      </c>
      <c r="G4334" t="s">
        <v>63</v>
      </c>
      <c r="H4334" t="s">
        <v>68</v>
      </c>
      <c r="I4334">
        <v>32821</v>
      </c>
      <c r="J4334">
        <v>38470</v>
      </c>
    </row>
    <row r="4335" spans="1:10" x14ac:dyDescent="0.3">
      <c r="A4335" t="s">
        <v>4462</v>
      </c>
      <c r="B4335" s="1">
        <v>45725</v>
      </c>
      <c r="C4335" t="s">
        <v>95</v>
      </c>
      <c r="D4335">
        <v>10</v>
      </c>
      <c r="E4335" t="s">
        <v>18</v>
      </c>
      <c r="F4335" t="s">
        <v>101</v>
      </c>
      <c r="G4335" t="s">
        <v>20</v>
      </c>
      <c r="H4335" t="s">
        <v>243</v>
      </c>
      <c r="I4335">
        <v>18557</v>
      </c>
      <c r="J4335">
        <v>14661</v>
      </c>
    </row>
    <row r="4336" spans="1:10" x14ac:dyDescent="0.3">
      <c r="A4336" t="s">
        <v>4463</v>
      </c>
      <c r="B4336" s="1">
        <v>45855</v>
      </c>
      <c r="C4336" t="s">
        <v>11</v>
      </c>
      <c r="D4336">
        <v>29</v>
      </c>
      <c r="E4336" t="s">
        <v>61</v>
      </c>
      <c r="F4336" t="s">
        <v>114</v>
      </c>
      <c r="G4336" t="s">
        <v>54</v>
      </c>
      <c r="H4336" t="s">
        <v>133</v>
      </c>
      <c r="I4336">
        <v>37527</v>
      </c>
      <c r="J4336">
        <v>42171</v>
      </c>
    </row>
    <row r="4337" spans="1:10" x14ac:dyDescent="0.3">
      <c r="A4337" t="s">
        <v>4464</v>
      </c>
      <c r="B4337" s="1">
        <v>45682</v>
      </c>
      <c r="C4337" t="s">
        <v>17</v>
      </c>
      <c r="D4337">
        <v>4</v>
      </c>
      <c r="E4337" t="s">
        <v>39</v>
      </c>
      <c r="F4337" t="s">
        <v>109</v>
      </c>
      <c r="G4337" t="s">
        <v>199</v>
      </c>
      <c r="H4337" t="s">
        <v>157</v>
      </c>
      <c r="I4337">
        <v>22200</v>
      </c>
      <c r="J4337">
        <v>23038</v>
      </c>
    </row>
    <row r="4338" spans="1:10" x14ac:dyDescent="0.3">
      <c r="A4338" t="s">
        <v>4465</v>
      </c>
      <c r="B4338" s="1">
        <v>45739</v>
      </c>
      <c r="C4338" t="s">
        <v>95</v>
      </c>
      <c r="D4338">
        <v>12</v>
      </c>
      <c r="E4338" t="s">
        <v>12</v>
      </c>
      <c r="F4338" t="s">
        <v>78</v>
      </c>
      <c r="G4338" t="s">
        <v>83</v>
      </c>
      <c r="H4338" t="s">
        <v>96</v>
      </c>
      <c r="I4338">
        <v>20880</v>
      </c>
      <c r="J4338">
        <v>18088</v>
      </c>
    </row>
    <row r="4339" spans="1:10" x14ac:dyDescent="0.3">
      <c r="A4339" t="s">
        <v>4466</v>
      </c>
      <c r="B4339" s="1">
        <v>46017</v>
      </c>
      <c r="C4339" t="s">
        <v>100</v>
      </c>
      <c r="D4339">
        <v>52</v>
      </c>
      <c r="E4339" t="s">
        <v>18</v>
      </c>
      <c r="F4339" t="s">
        <v>140</v>
      </c>
      <c r="G4339" t="s">
        <v>88</v>
      </c>
      <c r="H4339" t="s">
        <v>151</v>
      </c>
      <c r="I4339">
        <v>25822</v>
      </c>
      <c r="J4339">
        <v>18137</v>
      </c>
    </row>
    <row r="4340" spans="1:10" x14ac:dyDescent="0.3">
      <c r="A4340" t="s">
        <v>4467</v>
      </c>
      <c r="B4340" s="1">
        <v>45714</v>
      </c>
      <c r="C4340" t="s">
        <v>82</v>
      </c>
      <c r="D4340">
        <v>9</v>
      </c>
      <c r="E4340" t="s">
        <v>33</v>
      </c>
      <c r="F4340" t="s">
        <v>19</v>
      </c>
      <c r="G4340" t="s">
        <v>63</v>
      </c>
      <c r="H4340" t="s">
        <v>55</v>
      </c>
      <c r="I4340">
        <v>26036</v>
      </c>
      <c r="J4340">
        <v>28745</v>
      </c>
    </row>
    <row r="4341" spans="1:10" x14ac:dyDescent="0.3">
      <c r="A4341" t="s">
        <v>4468</v>
      </c>
      <c r="B4341" s="1">
        <v>45915</v>
      </c>
      <c r="C4341" t="s">
        <v>38</v>
      </c>
      <c r="D4341">
        <v>38</v>
      </c>
      <c r="E4341" t="s">
        <v>24</v>
      </c>
      <c r="F4341" t="s">
        <v>29</v>
      </c>
      <c r="G4341" t="s">
        <v>93</v>
      </c>
      <c r="H4341" t="s">
        <v>151</v>
      </c>
      <c r="I4341">
        <v>25647</v>
      </c>
      <c r="J4341">
        <v>22756</v>
      </c>
    </row>
    <row r="4342" spans="1:10" x14ac:dyDescent="0.3">
      <c r="A4342" t="s">
        <v>4469</v>
      </c>
      <c r="B4342" s="1">
        <v>45746</v>
      </c>
      <c r="C4342" t="s">
        <v>95</v>
      </c>
      <c r="D4342">
        <v>13</v>
      </c>
      <c r="E4342" t="s">
        <v>18</v>
      </c>
      <c r="F4342" t="s">
        <v>43</v>
      </c>
      <c r="G4342" t="s">
        <v>145</v>
      </c>
      <c r="H4342" t="s">
        <v>133</v>
      </c>
      <c r="I4342">
        <v>23980</v>
      </c>
      <c r="J4342">
        <v>25134</v>
      </c>
    </row>
    <row r="4343" spans="1:10" x14ac:dyDescent="0.3">
      <c r="A4343" t="s">
        <v>4470</v>
      </c>
      <c r="B4343" s="1">
        <v>45931</v>
      </c>
      <c r="C4343" t="s">
        <v>66</v>
      </c>
      <c r="D4343">
        <v>40</v>
      </c>
      <c r="E4343" t="s">
        <v>12</v>
      </c>
      <c r="F4343" t="s">
        <v>50</v>
      </c>
      <c r="G4343" t="s">
        <v>160</v>
      </c>
      <c r="H4343" t="s">
        <v>119</v>
      </c>
      <c r="I4343">
        <v>30806</v>
      </c>
      <c r="J4343">
        <v>37777</v>
      </c>
    </row>
    <row r="4344" spans="1:10" x14ac:dyDescent="0.3">
      <c r="A4344" t="s">
        <v>4471</v>
      </c>
      <c r="B4344" s="1">
        <v>45696</v>
      </c>
      <c r="C4344" t="s">
        <v>82</v>
      </c>
      <c r="D4344">
        <v>6</v>
      </c>
      <c r="E4344" t="s">
        <v>24</v>
      </c>
      <c r="F4344" t="s">
        <v>193</v>
      </c>
      <c r="G4344" t="s">
        <v>132</v>
      </c>
      <c r="H4344" t="s">
        <v>59</v>
      </c>
      <c r="I4344">
        <v>27817</v>
      </c>
      <c r="J4344">
        <v>36140</v>
      </c>
    </row>
    <row r="4345" spans="1:10" x14ac:dyDescent="0.3">
      <c r="A4345" t="s">
        <v>4472</v>
      </c>
      <c r="B4345" s="1">
        <v>45735</v>
      </c>
      <c r="C4345" t="s">
        <v>95</v>
      </c>
      <c r="D4345">
        <v>12</v>
      </c>
      <c r="E4345" t="s">
        <v>18</v>
      </c>
      <c r="F4345" t="s">
        <v>25</v>
      </c>
      <c r="G4345" t="s">
        <v>30</v>
      </c>
      <c r="H4345" t="s">
        <v>15</v>
      </c>
      <c r="I4345">
        <v>35191</v>
      </c>
      <c r="J4345">
        <v>40401</v>
      </c>
    </row>
    <row r="4346" spans="1:10" x14ac:dyDescent="0.3">
      <c r="A4346" t="s">
        <v>4473</v>
      </c>
      <c r="B4346" s="1">
        <v>45993</v>
      </c>
      <c r="C4346" t="s">
        <v>100</v>
      </c>
      <c r="D4346">
        <v>49</v>
      </c>
      <c r="E4346" t="s">
        <v>33</v>
      </c>
      <c r="F4346" t="s">
        <v>109</v>
      </c>
      <c r="G4346" t="s">
        <v>126</v>
      </c>
      <c r="H4346" t="s">
        <v>157</v>
      </c>
      <c r="I4346">
        <v>25685</v>
      </c>
      <c r="J4346">
        <v>20664</v>
      </c>
    </row>
    <row r="4347" spans="1:10" x14ac:dyDescent="0.3">
      <c r="A4347" t="s">
        <v>4474</v>
      </c>
      <c r="B4347" s="1">
        <v>45844</v>
      </c>
      <c r="C4347" t="s">
        <v>11</v>
      </c>
      <c r="D4347">
        <v>27</v>
      </c>
      <c r="E4347" t="s">
        <v>24</v>
      </c>
      <c r="F4347" t="s">
        <v>29</v>
      </c>
      <c r="G4347" t="s">
        <v>79</v>
      </c>
      <c r="H4347" t="s">
        <v>211</v>
      </c>
      <c r="I4347">
        <v>17775</v>
      </c>
      <c r="J4347">
        <v>21075</v>
      </c>
    </row>
    <row r="4348" spans="1:10" x14ac:dyDescent="0.3">
      <c r="A4348" t="s">
        <v>4475</v>
      </c>
      <c r="B4348" s="1">
        <v>46017</v>
      </c>
      <c r="C4348" t="s">
        <v>100</v>
      </c>
      <c r="D4348">
        <v>52</v>
      </c>
      <c r="E4348" t="s">
        <v>33</v>
      </c>
      <c r="F4348" t="s">
        <v>109</v>
      </c>
      <c r="G4348" t="s">
        <v>240</v>
      </c>
      <c r="H4348" t="s">
        <v>103</v>
      </c>
      <c r="I4348">
        <v>16956</v>
      </c>
      <c r="J4348">
        <v>19486</v>
      </c>
    </row>
    <row r="4349" spans="1:10" x14ac:dyDescent="0.3">
      <c r="A4349" t="s">
        <v>4476</v>
      </c>
      <c r="B4349" s="1">
        <v>45708</v>
      </c>
      <c r="C4349" t="s">
        <v>82</v>
      </c>
      <c r="D4349">
        <v>8</v>
      </c>
      <c r="E4349" t="s">
        <v>12</v>
      </c>
      <c r="F4349" t="s">
        <v>193</v>
      </c>
      <c r="G4349" t="s">
        <v>230</v>
      </c>
      <c r="H4349" t="s">
        <v>84</v>
      </c>
      <c r="I4349">
        <v>28093</v>
      </c>
      <c r="J4349">
        <v>25142</v>
      </c>
    </row>
    <row r="4350" spans="1:10" x14ac:dyDescent="0.3">
      <c r="A4350" t="s">
        <v>4477</v>
      </c>
      <c r="B4350" s="1">
        <v>45778</v>
      </c>
      <c r="C4350" t="s">
        <v>90</v>
      </c>
      <c r="D4350">
        <v>18</v>
      </c>
      <c r="E4350" t="s">
        <v>33</v>
      </c>
      <c r="F4350" t="s">
        <v>75</v>
      </c>
      <c r="G4350" t="s">
        <v>130</v>
      </c>
      <c r="H4350" t="s">
        <v>41</v>
      </c>
      <c r="I4350">
        <v>28911</v>
      </c>
      <c r="J4350">
        <v>23729</v>
      </c>
    </row>
    <row r="4351" spans="1:10" x14ac:dyDescent="0.3">
      <c r="A4351" t="s">
        <v>4478</v>
      </c>
      <c r="B4351" s="1">
        <v>45697</v>
      </c>
      <c r="C4351" t="s">
        <v>82</v>
      </c>
      <c r="D4351">
        <v>6</v>
      </c>
      <c r="E4351" t="s">
        <v>12</v>
      </c>
      <c r="F4351" t="s">
        <v>87</v>
      </c>
      <c r="G4351" t="s">
        <v>135</v>
      </c>
      <c r="H4351" t="s">
        <v>64</v>
      </c>
      <c r="I4351">
        <v>37526</v>
      </c>
      <c r="J4351">
        <v>31946</v>
      </c>
    </row>
    <row r="4352" spans="1:10" x14ac:dyDescent="0.3">
      <c r="A4352" t="s">
        <v>4479</v>
      </c>
      <c r="B4352" s="1">
        <v>45746</v>
      </c>
      <c r="C4352" t="s">
        <v>95</v>
      </c>
      <c r="D4352">
        <v>13</v>
      </c>
      <c r="E4352" t="s">
        <v>33</v>
      </c>
      <c r="F4352" t="s">
        <v>46</v>
      </c>
      <c r="G4352" t="s">
        <v>26</v>
      </c>
      <c r="H4352" t="s">
        <v>68</v>
      </c>
      <c r="I4352">
        <v>22649</v>
      </c>
      <c r="J4352">
        <v>28241</v>
      </c>
    </row>
    <row r="4353" spans="1:10" x14ac:dyDescent="0.3">
      <c r="A4353" t="s">
        <v>4480</v>
      </c>
      <c r="B4353" s="1">
        <v>45698</v>
      </c>
      <c r="C4353" t="s">
        <v>82</v>
      </c>
      <c r="D4353">
        <v>7</v>
      </c>
      <c r="E4353" t="s">
        <v>61</v>
      </c>
      <c r="F4353" t="s">
        <v>193</v>
      </c>
      <c r="G4353" t="s">
        <v>160</v>
      </c>
      <c r="H4353" t="s">
        <v>133</v>
      </c>
      <c r="I4353">
        <v>28909</v>
      </c>
      <c r="J4353">
        <v>36976</v>
      </c>
    </row>
    <row r="4354" spans="1:10" x14ac:dyDescent="0.3">
      <c r="A4354" t="s">
        <v>4481</v>
      </c>
      <c r="B4354" s="1">
        <v>45738</v>
      </c>
      <c r="C4354" t="s">
        <v>95</v>
      </c>
      <c r="D4354">
        <v>12</v>
      </c>
      <c r="E4354" t="s">
        <v>33</v>
      </c>
      <c r="F4354" t="s">
        <v>140</v>
      </c>
      <c r="G4354" t="s">
        <v>135</v>
      </c>
      <c r="H4354" t="s">
        <v>64</v>
      </c>
      <c r="I4354">
        <v>22559</v>
      </c>
      <c r="J4354">
        <v>19287</v>
      </c>
    </row>
    <row r="4355" spans="1:10" x14ac:dyDescent="0.3">
      <c r="A4355" t="s">
        <v>4482</v>
      </c>
      <c r="B4355" s="1">
        <v>45992</v>
      </c>
      <c r="C4355" t="s">
        <v>100</v>
      </c>
      <c r="D4355">
        <v>49</v>
      </c>
      <c r="E4355" t="s">
        <v>33</v>
      </c>
      <c r="F4355" t="s">
        <v>109</v>
      </c>
      <c r="G4355" t="s">
        <v>253</v>
      </c>
      <c r="H4355" t="s">
        <v>96</v>
      </c>
      <c r="I4355">
        <v>39512</v>
      </c>
      <c r="J4355">
        <v>50856</v>
      </c>
    </row>
    <row r="4356" spans="1:10" x14ac:dyDescent="0.3">
      <c r="A4356" t="s">
        <v>4483</v>
      </c>
      <c r="B4356" s="1">
        <v>45919</v>
      </c>
      <c r="C4356" t="s">
        <v>38</v>
      </c>
      <c r="D4356">
        <v>38</v>
      </c>
      <c r="E4356" t="s">
        <v>24</v>
      </c>
      <c r="F4356" t="s">
        <v>13</v>
      </c>
      <c r="G4356" t="s">
        <v>102</v>
      </c>
      <c r="H4356" t="s">
        <v>52</v>
      </c>
      <c r="I4356">
        <v>20744</v>
      </c>
      <c r="J4356">
        <v>15810</v>
      </c>
    </row>
    <row r="4357" spans="1:10" x14ac:dyDescent="0.3">
      <c r="A4357" t="s">
        <v>4484</v>
      </c>
      <c r="B4357" s="1">
        <v>45763</v>
      </c>
      <c r="C4357" t="s">
        <v>86</v>
      </c>
      <c r="D4357">
        <v>16</v>
      </c>
      <c r="E4357" t="s">
        <v>18</v>
      </c>
      <c r="F4357" t="s">
        <v>78</v>
      </c>
      <c r="G4357" t="s">
        <v>132</v>
      </c>
      <c r="H4357" t="s">
        <v>80</v>
      </c>
      <c r="I4357">
        <v>34316</v>
      </c>
      <c r="J4357">
        <v>43691</v>
      </c>
    </row>
    <row r="4358" spans="1:10" x14ac:dyDescent="0.3">
      <c r="A4358" t="s">
        <v>4485</v>
      </c>
      <c r="B4358" s="1">
        <v>45887</v>
      </c>
      <c r="C4358" t="s">
        <v>113</v>
      </c>
      <c r="D4358">
        <v>34</v>
      </c>
      <c r="E4358" t="s">
        <v>12</v>
      </c>
      <c r="F4358" t="s">
        <v>34</v>
      </c>
      <c r="G4358" t="s">
        <v>54</v>
      </c>
      <c r="H4358" t="s">
        <v>116</v>
      </c>
      <c r="I4358">
        <v>19211</v>
      </c>
      <c r="J4358">
        <v>23018</v>
      </c>
    </row>
    <row r="4359" spans="1:10" x14ac:dyDescent="0.3">
      <c r="A4359" t="s">
        <v>4486</v>
      </c>
      <c r="B4359" s="1">
        <v>45996</v>
      </c>
      <c r="C4359" t="s">
        <v>100</v>
      </c>
      <c r="D4359">
        <v>49</v>
      </c>
      <c r="E4359" t="s">
        <v>18</v>
      </c>
      <c r="F4359" t="s">
        <v>75</v>
      </c>
      <c r="G4359" t="s">
        <v>149</v>
      </c>
      <c r="H4359" t="s">
        <v>15</v>
      </c>
      <c r="I4359">
        <v>37384</v>
      </c>
      <c r="J4359">
        <v>42865</v>
      </c>
    </row>
    <row r="4360" spans="1:10" x14ac:dyDescent="0.3">
      <c r="A4360" t="s">
        <v>4487</v>
      </c>
      <c r="B4360" s="1">
        <v>45794</v>
      </c>
      <c r="C4360" t="s">
        <v>90</v>
      </c>
      <c r="D4360">
        <v>20</v>
      </c>
      <c r="E4360" t="s">
        <v>39</v>
      </c>
      <c r="F4360" t="s">
        <v>87</v>
      </c>
      <c r="G4360" t="s">
        <v>44</v>
      </c>
      <c r="H4360" t="s">
        <v>211</v>
      </c>
      <c r="I4360">
        <v>24799</v>
      </c>
      <c r="J4360">
        <v>19454</v>
      </c>
    </row>
    <row r="4361" spans="1:10" x14ac:dyDescent="0.3">
      <c r="A4361" t="s">
        <v>4488</v>
      </c>
      <c r="B4361" s="1">
        <v>45883</v>
      </c>
      <c r="C4361" t="s">
        <v>113</v>
      </c>
      <c r="D4361">
        <v>33</v>
      </c>
      <c r="E4361" t="s">
        <v>12</v>
      </c>
      <c r="F4361" t="s">
        <v>19</v>
      </c>
      <c r="G4361" t="s">
        <v>149</v>
      </c>
      <c r="H4361" t="s">
        <v>211</v>
      </c>
      <c r="I4361">
        <v>15294</v>
      </c>
      <c r="J4361">
        <v>12129</v>
      </c>
    </row>
    <row r="4362" spans="1:10" x14ac:dyDescent="0.3">
      <c r="A4362" t="s">
        <v>4489</v>
      </c>
      <c r="B4362" s="1">
        <v>45829</v>
      </c>
      <c r="C4362" t="s">
        <v>74</v>
      </c>
      <c r="D4362">
        <v>25</v>
      </c>
      <c r="E4362" t="s">
        <v>12</v>
      </c>
      <c r="F4362" t="s">
        <v>19</v>
      </c>
      <c r="G4362" t="s">
        <v>107</v>
      </c>
      <c r="H4362" t="s">
        <v>21</v>
      </c>
      <c r="I4362">
        <v>21601</v>
      </c>
      <c r="J4362">
        <v>26798</v>
      </c>
    </row>
    <row r="4363" spans="1:10" x14ac:dyDescent="0.3">
      <c r="A4363" t="s">
        <v>4490</v>
      </c>
      <c r="B4363" s="1">
        <v>45924</v>
      </c>
      <c r="C4363" t="s">
        <v>38</v>
      </c>
      <c r="D4363">
        <v>39</v>
      </c>
      <c r="E4363" t="s">
        <v>33</v>
      </c>
      <c r="F4363" t="s">
        <v>43</v>
      </c>
      <c r="G4363" t="s">
        <v>224</v>
      </c>
      <c r="H4363" t="s">
        <v>163</v>
      </c>
      <c r="I4363">
        <v>20281</v>
      </c>
      <c r="J4363">
        <v>20124</v>
      </c>
    </row>
    <row r="4364" spans="1:10" x14ac:dyDescent="0.3">
      <c r="A4364" t="s">
        <v>4491</v>
      </c>
      <c r="B4364" s="1">
        <v>46006</v>
      </c>
      <c r="C4364" t="s">
        <v>100</v>
      </c>
      <c r="D4364">
        <v>51</v>
      </c>
      <c r="E4364" t="s">
        <v>18</v>
      </c>
      <c r="F4364" t="s">
        <v>75</v>
      </c>
      <c r="G4364" t="s">
        <v>44</v>
      </c>
      <c r="H4364" t="s">
        <v>64</v>
      </c>
      <c r="I4364">
        <v>34981</v>
      </c>
      <c r="J4364">
        <v>27583</v>
      </c>
    </row>
    <row r="4365" spans="1:10" x14ac:dyDescent="0.3">
      <c r="A4365" t="s">
        <v>4492</v>
      </c>
      <c r="B4365" s="1">
        <v>45929</v>
      </c>
      <c r="C4365" t="s">
        <v>38</v>
      </c>
      <c r="D4365">
        <v>40</v>
      </c>
      <c r="E4365" t="s">
        <v>33</v>
      </c>
      <c r="F4365" t="s">
        <v>92</v>
      </c>
      <c r="G4365" t="s">
        <v>58</v>
      </c>
      <c r="H4365" t="s">
        <v>243</v>
      </c>
      <c r="I4365">
        <v>31648</v>
      </c>
      <c r="J4365">
        <v>30258</v>
      </c>
    </row>
    <row r="4366" spans="1:10" x14ac:dyDescent="0.3">
      <c r="A4366" t="s">
        <v>4493</v>
      </c>
      <c r="B4366" s="1">
        <v>45976</v>
      </c>
      <c r="C4366" t="s">
        <v>23</v>
      </c>
      <c r="D4366">
        <v>46</v>
      </c>
      <c r="E4366" t="s">
        <v>70</v>
      </c>
      <c r="F4366" t="s">
        <v>140</v>
      </c>
      <c r="G4366" t="s">
        <v>141</v>
      </c>
      <c r="H4366" t="s">
        <v>157</v>
      </c>
      <c r="I4366">
        <v>17942</v>
      </c>
      <c r="J4366">
        <v>23039</v>
      </c>
    </row>
    <row r="4367" spans="1:10" x14ac:dyDescent="0.3">
      <c r="A4367" t="s">
        <v>4494</v>
      </c>
      <c r="B4367" s="1">
        <v>45857</v>
      </c>
      <c r="C4367" t="s">
        <v>11</v>
      </c>
      <c r="D4367">
        <v>29</v>
      </c>
      <c r="E4367" t="s">
        <v>70</v>
      </c>
      <c r="F4367" t="s">
        <v>57</v>
      </c>
      <c r="G4367" t="s">
        <v>126</v>
      </c>
      <c r="H4367" t="s">
        <v>119</v>
      </c>
      <c r="I4367">
        <v>16268</v>
      </c>
      <c r="J4367">
        <v>13603</v>
      </c>
    </row>
    <row r="4368" spans="1:10" x14ac:dyDescent="0.3">
      <c r="A4368" t="s">
        <v>4495</v>
      </c>
      <c r="B4368" s="1">
        <v>45899</v>
      </c>
      <c r="C4368" t="s">
        <v>113</v>
      </c>
      <c r="D4368">
        <v>35</v>
      </c>
      <c r="E4368" t="s">
        <v>33</v>
      </c>
      <c r="F4368" t="s">
        <v>19</v>
      </c>
      <c r="G4368" t="s">
        <v>40</v>
      </c>
      <c r="H4368" t="s">
        <v>116</v>
      </c>
      <c r="I4368">
        <v>16595</v>
      </c>
      <c r="J4368">
        <v>18625</v>
      </c>
    </row>
    <row r="4369" spans="1:10" x14ac:dyDescent="0.3">
      <c r="A4369" t="s">
        <v>4496</v>
      </c>
      <c r="B4369" s="1">
        <v>45690</v>
      </c>
      <c r="C4369" t="s">
        <v>82</v>
      </c>
      <c r="D4369">
        <v>5</v>
      </c>
      <c r="E4369" t="s">
        <v>24</v>
      </c>
      <c r="F4369" t="s">
        <v>75</v>
      </c>
      <c r="G4369" t="s">
        <v>115</v>
      </c>
      <c r="H4369" t="s">
        <v>111</v>
      </c>
      <c r="I4369">
        <v>32985</v>
      </c>
      <c r="J4369">
        <v>31026</v>
      </c>
    </row>
    <row r="4370" spans="1:10" x14ac:dyDescent="0.3">
      <c r="A4370" t="s">
        <v>4497</v>
      </c>
      <c r="B4370" s="1">
        <v>45743</v>
      </c>
      <c r="C4370" t="s">
        <v>95</v>
      </c>
      <c r="D4370">
        <v>13</v>
      </c>
      <c r="E4370" t="s">
        <v>61</v>
      </c>
      <c r="F4370" t="s">
        <v>25</v>
      </c>
      <c r="G4370" t="s">
        <v>83</v>
      </c>
      <c r="H4370" t="s">
        <v>15</v>
      </c>
      <c r="I4370">
        <v>30245</v>
      </c>
      <c r="J4370">
        <v>35055</v>
      </c>
    </row>
    <row r="4371" spans="1:10" x14ac:dyDescent="0.3">
      <c r="A4371" t="s">
        <v>4498</v>
      </c>
      <c r="B4371" s="1">
        <v>45928</v>
      </c>
      <c r="C4371" t="s">
        <v>38</v>
      </c>
      <c r="D4371">
        <v>39</v>
      </c>
      <c r="E4371" t="s">
        <v>12</v>
      </c>
      <c r="F4371" t="s">
        <v>101</v>
      </c>
      <c r="G4371" t="s">
        <v>83</v>
      </c>
      <c r="H4371" t="s">
        <v>103</v>
      </c>
      <c r="I4371">
        <v>39800</v>
      </c>
      <c r="J4371">
        <v>46207</v>
      </c>
    </row>
    <row r="4372" spans="1:10" x14ac:dyDescent="0.3">
      <c r="A4372" t="s">
        <v>4499</v>
      </c>
      <c r="B4372" s="1">
        <v>45979</v>
      </c>
      <c r="C4372" t="s">
        <v>23</v>
      </c>
      <c r="D4372">
        <v>47</v>
      </c>
      <c r="E4372" t="s">
        <v>12</v>
      </c>
      <c r="F4372" t="s">
        <v>13</v>
      </c>
      <c r="G4372" t="s">
        <v>253</v>
      </c>
      <c r="H4372" t="s">
        <v>188</v>
      </c>
      <c r="I4372">
        <v>19253</v>
      </c>
      <c r="J4372">
        <v>19573</v>
      </c>
    </row>
    <row r="4373" spans="1:10" x14ac:dyDescent="0.3">
      <c r="A4373" t="s">
        <v>4500</v>
      </c>
      <c r="B4373" s="1">
        <v>45691</v>
      </c>
      <c r="C4373" t="s">
        <v>82</v>
      </c>
      <c r="D4373">
        <v>6</v>
      </c>
      <c r="E4373" t="s">
        <v>12</v>
      </c>
      <c r="F4373" t="s">
        <v>57</v>
      </c>
      <c r="G4373" t="s">
        <v>58</v>
      </c>
      <c r="H4373" t="s">
        <v>123</v>
      </c>
      <c r="I4373">
        <v>18946</v>
      </c>
      <c r="J4373">
        <v>18652</v>
      </c>
    </row>
    <row r="4374" spans="1:10" x14ac:dyDescent="0.3">
      <c r="A4374" t="s">
        <v>4501</v>
      </c>
      <c r="B4374" s="1">
        <v>45707</v>
      </c>
      <c r="C4374" t="s">
        <v>82</v>
      </c>
      <c r="D4374">
        <v>8</v>
      </c>
      <c r="E4374" t="s">
        <v>18</v>
      </c>
      <c r="F4374" t="s">
        <v>122</v>
      </c>
      <c r="G4374" t="s">
        <v>324</v>
      </c>
      <c r="H4374" t="s">
        <v>111</v>
      </c>
      <c r="I4374">
        <v>31857</v>
      </c>
      <c r="J4374">
        <v>27866</v>
      </c>
    </row>
    <row r="4375" spans="1:10" x14ac:dyDescent="0.3">
      <c r="A4375" t="s">
        <v>4502</v>
      </c>
      <c r="B4375" s="1">
        <v>45837</v>
      </c>
      <c r="C4375" t="s">
        <v>74</v>
      </c>
      <c r="D4375">
        <v>26</v>
      </c>
      <c r="E4375" t="s">
        <v>12</v>
      </c>
      <c r="F4375" t="s">
        <v>122</v>
      </c>
      <c r="G4375" t="s">
        <v>145</v>
      </c>
      <c r="H4375" t="s">
        <v>98</v>
      </c>
      <c r="I4375">
        <v>17370</v>
      </c>
      <c r="J4375">
        <v>18838</v>
      </c>
    </row>
    <row r="4376" spans="1:10" x14ac:dyDescent="0.3">
      <c r="A4376" t="s">
        <v>4503</v>
      </c>
      <c r="B4376" s="1">
        <v>45990</v>
      </c>
      <c r="C4376" t="s">
        <v>23</v>
      </c>
      <c r="D4376">
        <v>48</v>
      </c>
      <c r="E4376" t="s">
        <v>70</v>
      </c>
      <c r="F4376" t="s">
        <v>25</v>
      </c>
      <c r="G4376" t="s">
        <v>149</v>
      </c>
      <c r="H4376" t="s">
        <v>52</v>
      </c>
      <c r="I4376">
        <v>25670</v>
      </c>
      <c r="J4376">
        <v>27699</v>
      </c>
    </row>
    <row r="4377" spans="1:10" x14ac:dyDescent="0.3">
      <c r="A4377" t="s">
        <v>4504</v>
      </c>
      <c r="B4377" s="1">
        <v>46016</v>
      </c>
      <c r="C4377" t="s">
        <v>100</v>
      </c>
      <c r="D4377">
        <v>52</v>
      </c>
      <c r="E4377" t="s">
        <v>70</v>
      </c>
      <c r="F4377" t="s">
        <v>101</v>
      </c>
      <c r="G4377" t="s">
        <v>291</v>
      </c>
      <c r="H4377" t="s">
        <v>59</v>
      </c>
      <c r="I4377">
        <v>24191</v>
      </c>
      <c r="J4377">
        <v>23215</v>
      </c>
    </row>
    <row r="4378" spans="1:10" x14ac:dyDescent="0.3">
      <c r="A4378" t="s">
        <v>4505</v>
      </c>
      <c r="B4378" s="1">
        <v>45666</v>
      </c>
      <c r="C4378" t="s">
        <v>17</v>
      </c>
      <c r="D4378">
        <v>2</v>
      </c>
      <c r="E4378" t="s">
        <v>33</v>
      </c>
      <c r="F4378" t="s">
        <v>75</v>
      </c>
      <c r="G4378" t="s">
        <v>93</v>
      </c>
      <c r="H4378" t="s">
        <v>119</v>
      </c>
      <c r="I4378">
        <v>34795</v>
      </c>
      <c r="J4378">
        <v>40642</v>
      </c>
    </row>
    <row r="4379" spans="1:10" x14ac:dyDescent="0.3">
      <c r="A4379" t="s">
        <v>4506</v>
      </c>
      <c r="B4379" s="1">
        <v>45760</v>
      </c>
      <c r="C4379" t="s">
        <v>86</v>
      </c>
      <c r="D4379">
        <v>15</v>
      </c>
      <c r="E4379" t="s">
        <v>24</v>
      </c>
      <c r="F4379" t="s">
        <v>78</v>
      </c>
      <c r="G4379" t="s">
        <v>132</v>
      </c>
      <c r="H4379" t="s">
        <v>52</v>
      </c>
      <c r="I4379">
        <v>35478</v>
      </c>
      <c r="J4379">
        <v>38592</v>
      </c>
    </row>
    <row r="4380" spans="1:10" x14ac:dyDescent="0.3">
      <c r="A4380" t="s">
        <v>4507</v>
      </c>
      <c r="B4380" s="1">
        <v>45936</v>
      </c>
      <c r="C4380" t="s">
        <v>66</v>
      </c>
      <c r="D4380">
        <v>41</v>
      </c>
      <c r="E4380" t="s">
        <v>24</v>
      </c>
      <c r="F4380" t="s">
        <v>43</v>
      </c>
      <c r="G4380" t="s">
        <v>160</v>
      </c>
      <c r="H4380" t="s">
        <v>111</v>
      </c>
      <c r="I4380">
        <v>22067</v>
      </c>
      <c r="J4380">
        <v>15688</v>
      </c>
    </row>
    <row r="4381" spans="1:10" x14ac:dyDescent="0.3">
      <c r="A4381" t="s">
        <v>4508</v>
      </c>
      <c r="B4381" s="1">
        <v>46000</v>
      </c>
      <c r="C4381" t="s">
        <v>100</v>
      </c>
      <c r="D4381">
        <v>50</v>
      </c>
      <c r="E4381" t="s">
        <v>39</v>
      </c>
      <c r="F4381" t="s">
        <v>122</v>
      </c>
      <c r="G4381" t="s">
        <v>118</v>
      </c>
      <c r="H4381" t="s">
        <v>15</v>
      </c>
      <c r="I4381">
        <v>32740</v>
      </c>
      <c r="J4381">
        <v>34005</v>
      </c>
    </row>
    <row r="4382" spans="1:10" x14ac:dyDescent="0.3">
      <c r="A4382" t="s">
        <v>4509</v>
      </c>
      <c r="B4382" s="1">
        <v>45843</v>
      </c>
      <c r="C4382" t="s">
        <v>11</v>
      </c>
      <c r="D4382">
        <v>27</v>
      </c>
      <c r="E4382" t="s">
        <v>12</v>
      </c>
      <c r="F4382" t="s">
        <v>62</v>
      </c>
      <c r="G4382" t="s">
        <v>224</v>
      </c>
      <c r="H4382" t="s">
        <v>84</v>
      </c>
      <c r="I4382">
        <v>30073</v>
      </c>
      <c r="J4382">
        <v>38723</v>
      </c>
    </row>
    <row r="4383" spans="1:10" x14ac:dyDescent="0.3">
      <c r="A4383" t="s">
        <v>4510</v>
      </c>
      <c r="B4383" s="1">
        <v>45862</v>
      </c>
      <c r="C4383" t="s">
        <v>11</v>
      </c>
      <c r="D4383">
        <v>30</v>
      </c>
      <c r="E4383" t="s">
        <v>39</v>
      </c>
      <c r="F4383" t="s">
        <v>19</v>
      </c>
      <c r="G4383" t="s">
        <v>171</v>
      </c>
      <c r="H4383" t="s">
        <v>36</v>
      </c>
      <c r="I4383">
        <v>36809</v>
      </c>
      <c r="J4383">
        <v>45600</v>
      </c>
    </row>
    <row r="4384" spans="1:10" x14ac:dyDescent="0.3">
      <c r="A4384" t="s">
        <v>4511</v>
      </c>
      <c r="B4384" s="1">
        <v>45972</v>
      </c>
      <c r="C4384" t="s">
        <v>23</v>
      </c>
      <c r="D4384">
        <v>46</v>
      </c>
      <c r="E4384" t="s">
        <v>18</v>
      </c>
      <c r="F4384" t="s">
        <v>87</v>
      </c>
      <c r="G4384" t="s">
        <v>230</v>
      </c>
      <c r="H4384" t="s">
        <v>157</v>
      </c>
      <c r="I4384">
        <v>22330</v>
      </c>
      <c r="J4384">
        <v>23019</v>
      </c>
    </row>
    <row r="4385" spans="1:10" x14ac:dyDescent="0.3">
      <c r="A4385" t="s">
        <v>4512</v>
      </c>
      <c r="B4385" s="1">
        <v>45712</v>
      </c>
      <c r="C4385" t="s">
        <v>82</v>
      </c>
      <c r="D4385">
        <v>9</v>
      </c>
      <c r="E4385" t="s">
        <v>70</v>
      </c>
      <c r="F4385" t="s">
        <v>50</v>
      </c>
      <c r="G4385" t="s">
        <v>145</v>
      </c>
      <c r="H4385" t="s">
        <v>243</v>
      </c>
      <c r="I4385">
        <v>36289</v>
      </c>
      <c r="J4385">
        <v>43017</v>
      </c>
    </row>
    <row r="4386" spans="1:10" x14ac:dyDescent="0.3">
      <c r="A4386" t="s">
        <v>4513</v>
      </c>
      <c r="B4386" s="1">
        <v>45669</v>
      </c>
      <c r="C4386" t="s">
        <v>17</v>
      </c>
      <c r="D4386">
        <v>2</v>
      </c>
      <c r="E4386" t="s">
        <v>24</v>
      </c>
      <c r="F4386" t="s">
        <v>92</v>
      </c>
      <c r="G4386" t="s">
        <v>30</v>
      </c>
      <c r="H4386" t="s">
        <v>68</v>
      </c>
      <c r="I4386">
        <v>37723</v>
      </c>
      <c r="J4386">
        <v>43733</v>
      </c>
    </row>
    <row r="4387" spans="1:10" x14ac:dyDescent="0.3">
      <c r="A4387" t="s">
        <v>4514</v>
      </c>
      <c r="B4387" s="1">
        <v>45791</v>
      </c>
      <c r="C4387" t="s">
        <v>90</v>
      </c>
      <c r="D4387">
        <v>20</v>
      </c>
      <c r="E4387" t="s">
        <v>70</v>
      </c>
      <c r="F4387" t="s">
        <v>78</v>
      </c>
      <c r="G4387" t="s">
        <v>135</v>
      </c>
      <c r="H4387" t="s">
        <v>133</v>
      </c>
      <c r="I4387">
        <v>20984</v>
      </c>
      <c r="J4387">
        <v>26902</v>
      </c>
    </row>
    <row r="4388" spans="1:10" x14ac:dyDescent="0.3">
      <c r="A4388" t="s">
        <v>4515</v>
      </c>
      <c r="B4388" s="1">
        <v>45807</v>
      </c>
      <c r="C4388" t="s">
        <v>90</v>
      </c>
      <c r="D4388">
        <v>22</v>
      </c>
      <c r="E4388" t="s">
        <v>61</v>
      </c>
      <c r="F4388" t="s">
        <v>101</v>
      </c>
      <c r="G4388" t="s">
        <v>67</v>
      </c>
      <c r="H4388" t="s">
        <v>68</v>
      </c>
      <c r="I4388">
        <v>34423</v>
      </c>
      <c r="J4388">
        <v>28026</v>
      </c>
    </row>
    <row r="4389" spans="1:10" x14ac:dyDescent="0.3">
      <c r="A4389" t="s">
        <v>4516</v>
      </c>
      <c r="B4389" s="1">
        <v>45911</v>
      </c>
      <c r="C4389" t="s">
        <v>38</v>
      </c>
      <c r="D4389">
        <v>37</v>
      </c>
      <c r="E4389" t="s">
        <v>61</v>
      </c>
      <c r="F4389" t="s">
        <v>25</v>
      </c>
      <c r="G4389" t="s">
        <v>115</v>
      </c>
      <c r="H4389" t="s">
        <v>111</v>
      </c>
      <c r="I4389">
        <v>25325</v>
      </c>
      <c r="J4389">
        <v>26571</v>
      </c>
    </row>
    <row r="4390" spans="1:10" x14ac:dyDescent="0.3">
      <c r="A4390" t="s">
        <v>4517</v>
      </c>
      <c r="B4390" s="1">
        <v>45707</v>
      </c>
      <c r="C4390" t="s">
        <v>82</v>
      </c>
      <c r="D4390">
        <v>8</v>
      </c>
      <c r="E4390" t="s">
        <v>33</v>
      </c>
      <c r="F4390" t="s">
        <v>114</v>
      </c>
      <c r="G4390" t="s">
        <v>76</v>
      </c>
      <c r="H4390" t="s">
        <v>36</v>
      </c>
      <c r="I4390">
        <v>39004</v>
      </c>
      <c r="J4390">
        <v>29597</v>
      </c>
    </row>
    <row r="4391" spans="1:10" x14ac:dyDescent="0.3">
      <c r="A4391" t="s">
        <v>4518</v>
      </c>
      <c r="B4391" s="1">
        <v>45790</v>
      </c>
      <c r="C4391" t="s">
        <v>90</v>
      </c>
      <c r="D4391">
        <v>20</v>
      </c>
      <c r="E4391" t="s">
        <v>18</v>
      </c>
      <c r="F4391" t="s">
        <v>46</v>
      </c>
      <c r="G4391" t="s">
        <v>230</v>
      </c>
      <c r="H4391" t="s">
        <v>64</v>
      </c>
      <c r="I4391">
        <v>25040</v>
      </c>
      <c r="J4391">
        <v>29919</v>
      </c>
    </row>
    <row r="4392" spans="1:10" x14ac:dyDescent="0.3">
      <c r="A4392" t="s">
        <v>4519</v>
      </c>
      <c r="B4392" s="1">
        <v>45776</v>
      </c>
      <c r="C4392" t="s">
        <v>86</v>
      </c>
      <c r="D4392">
        <v>18</v>
      </c>
      <c r="E4392" t="s">
        <v>18</v>
      </c>
      <c r="F4392" t="s">
        <v>29</v>
      </c>
      <c r="G4392" t="s">
        <v>51</v>
      </c>
      <c r="H4392" t="s">
        <v>84</v>
      </c>
      <c r="I4392">
        <v>20649</v>
      </c>
      <c r="J4392">
        <v>15639</v>
      </c>
    </row>
    <row r="4393" spans="1:10" x14ac:dyDescent="0.3">
      <c r="A4393" t="s">
        <v>4520</v>
      </c>
      <c r="B4393" s="1">
        <v>46009</v>
      </c>
      <c r="C4393" t="s">
        <v>100</v>
      </c>
      <c r="D4393">
        <v>51</v>
      </c>
      <c r="E4393" t="s">
        <v>61</v>
      </c>
      <c r="F4393" t="s">
        <v>19</v>
      </c>
      <c r="G4393" t="s">
        <v>240</v>
      </c>
      <c r="H4393" t="s">
        <v>84</v>
      </c>
      <c r="I4393">
        <v>34126</v>
      </c>
      <c r="J4393">
        <v>28451</v>
      </c>
    </row>
    <row r="4394" spans="1:10" x14ac:dyDescent="0.3">
      <c r="A4394" t="s">
        <v>4521</v>
      </c>
      <c r="B4394" s="1">
        <v>46000</v>
      </c>
      <c r="C4394" t="s">
        <v>100</v>
      </c>
      <c r="D4394">
        <v>50</v>
      </c>
      <c r="E4394" t="s">
        <v>18</v>
      </c>
      <c r="F4394" t="s">
        <v>57</v>
      </c>
      <c r="G4394" t="s">
        <v>118</v>
      </c>
      <c r="H4394" t="s">
        <v>52</v>
      </c>
      <c r="I4394">
        <v>26881</v>
      </c>
      <c r="J4394">
        <v>26223</v>
      </c>
    </row>
    <row r="4395" spans="1:10" x14ac:dyDescent="0.3">
      <c r="A4395" t="s">
        <v>4522</v>
      </c>
      <c r="B4395" s="1">
        <v>45681</v>
      </c>
      <c r="C4395" t="s">
        <v>17</v>
      </c>
      <c r="D4395">
        <v>4</v>
      </c>
      <c r="E4395" t="s">
        <v>33</v>
      </c>
      <c r="F4395" t="s">
        <v>62</v>
      </c>
      <c r="G4395" t="s">
        <v>234</v>
      </c>
      <c r="H4395" t="s">
        <v>123</v>
      </c>
      <c r="I4395">
        <v>17447</v>
      </c>
      <c r="J4395">
        <v>14220</v>
      </c>
    </row>
    <row r="4396" spans="1:10" x14ac:dyDescent="0.3">
      <c r="A4396" t="s">
        <v>4523</v>
      </c>
      <c r="B4396" s="1">
        <v>45709</v>
      </c>
      <c r="C4396" t="s">
        <v>82</v>
      </c>
      <c r="D4396">
        <v>8</v>
      </c>
      <c r="E4396" t="s">
        <v>70</v>
      </c>
      <c r="F4396" t="s">
        <v>101</v>
      </c>
      <c r="G4396" t="s">
        <v>230</v>
      </c>
      <c r="H4396" t="s">
        <v>151</v>
      </c>
      <c r="I4396">
        <v>39790</v>
      </c>
      <c r="J4396">
        <v>43315</v>
      </c>
    </row>
    <row r="4397" spans="1:10" x14ac:dyDescent="0.3">
      <c r="A4397" t="s">
        <v>4524</v>
      </c>
      <c r="B4397" s="1">
        <v>45950</v>
      </c>
      <c r="C4397" t="s">
        <v>66</v>
      </c>
      <c r="D4397">
        <v>43</v>
      </c>
      <c r="E4397" t="s">
        <v>24</v>
      </c>
      <c r="F4397" t="s">
        <v>29</v>
      </c>
      <c r="G4397" t="s">
        <v>234</v>
      </c>
      <c r="H4397" t="s">
        <v>55</v>
      </c>
      <c r="I4397">
        <v>15732</v>
      </c>
      <c r="J4397">
        <v>19168</v>
      </c>
    </row>
    <row r="4398" spans="1:10" x14ac:dyDescent="0.3">
      <c r="A4398" t="s">
        <v>4525</v>
      </c>
      <c r="B4398" s="1">
        <v>45887</v>
      </c>
      <c r="C4398" t="s">
        <v>113</v>
      </c>
      <c r="D4398">
        <v>34</v>
      </c>
      <c r="E4398" t="s">
        <v>18</v>
      </c>
      <c r="F4398" t="s">
        <v>50</v>
      </c>
      <c r="G4398" t="s">
        <v>20</v>
      </c>
      <c r="H4398" t="s">
        <v>243</v>
      </c>
      <c r="I4398">
        <v>38556</v>
      </c>
      <c r="J4398">
        <v>47818</v>
      </c>
    </row>
    <row r="4399" spans="1:10" x14ac:dyDescent="0.3">
      <c r="A4399" t="s">
        <v>4526</v>
      </c>
      <c r="B4399" s="1">
        <v>45785</v>
      </c>
      <c r="C4399" t="s">
        <v>90</v>
      </c>
      <c r="D4399">
        <v>19</v>
      </c>
      <c r="E4399" t="s">
        <v>12</v>
      </c>
      <c r="F4399" t="s">
        <v>46</v>
      </c>
      <c r="G4399" t="s">
        <v>132</v>
      </c>
      <c r="H4399" t="s">
        <v>116</v>
      </c>
      <c r="I4399">
        <v>26768</v>
      </c>
      <c r="J4399">
        <v>32859</v>
      </c>
    </row>
    <row r="4400" spans="1:10" x14ac:dyDescent="0.3">
      <c r="A4400" t="s">
        <v>4527</v>
      </c>
      <c r="B4400" s="1">
        <v>46002</v>
      </c>
      <c r="C4400" t="s">
        <v>100</v>
      </c>
      <c r="D4400">
        <v>50</v>
      </c>
      <c r="E4400" t="s">
        <v>70</v>
      </c>
      <c r="F4400" t="s">
        <v>13</v>
      </c>
      <c r="G4400" t="s">
        <v>182</v>
      </c>
      <c r="H4400" t="s">
        <v>116</v>
      </c>
      <c r="I4400">
        <v>17297</v>
      </c>
      <c r="J4400">
        <v>19658</v>
      </c>
    </row>
    <row r="4401" spans="1:10" x14ac:dyDescent="0.3">
      <c r="A4401" t="s">
        <v>4528</v>
      </c>
      <c r="B4401" s="1">
        <v>45976</v>
      </c>
      <c r="C4401" t="s">
        <v>23</v>
      </c>
      <c r="D4401">
        <v>46</v>
      </c>
      <c r="E4401" t="s">
        <v>39</v>
      </c>
      <c r="F4401" t="s">
        <v>50</v>
      </c>
      <c r="G4401" t="s">
        <v>93</v>
      </c>
      <c r="H4401" t="s">
        <v>119</v>
      </c>
      <c r="I4401">
        <v>34028</v>
      </c>
      <c r="J4401">
        <v>43933</v>
      </c>
    </row>
    <row r="4402" spans="1:10" x14ac:dyDescent="0.3">
      <c r="A4402" t="s">
        <v>4529</v>
      </c>
      <c r="B4402" s="1">
        <v>45996</v>
      </c>
      <c r="C4402" t="s">
        <v>100</v>
      </c>
      <c r="D4402">
        <v>49</v>
      </c>
      <c r="E4402" t="s">
        <v>12</v>
      </c>
      <c r="F4402" t="s">
        <v>13</v>
      </c>
      <c r="G4402" t="s">
        <v>20</v>
      </c>
      <c r="H4402" t="s">
        <v>133</v>
      </c>
      <c r="I4402">
        <v>16206</v>
      </c>
      <c r="J4402">
        <v>13660</v>
      </c>
    </row>
    <row r="4403" spans="1:10" x14ac:dyDescent="0.3">
      <c r="A4403" t="s">
        <v>4530</v>
      </c>
      <c r="B4403" s="1">
        <v>45727</v>
      </c>
      <c r="C4403" t="s">
        <v>95</v>
      </c>
      <c r="D4403">
        <v>11</v>
      </c>
      <c r="E4403" t="s">
        <v>39</v>
      </c>
      <c r="F4403" t="s">
        <v>50</v>
      </c>
      <c r="G4403" t="s">
        <v>201</v>
      </c>
      <c r="H4403" t="s">
        <v>163</v>
      </c>
      <c r="I4403">
        <v>32276</v>
      </c>
      <c r="J4403">
        <v>29017</v>
      </c>
    </row>
    <row r="4404" spans="1:10" x14ac:dyDescent="0.3">
      <c r="A4404" t="s">
        <v>4531</v>
      </c>
      <c r="B4404" s="1">
        <v>46020</v>
      </c>
      <c r="C4404" t="s">
        <v>100</v>
      </c>
      <c r="D4404">
        <v>1</v>
      </c>
      <c r="E4404" t="s">
        <v>33</v>
      </c>
      <c r="F4404" t="s">
        <v>25</v>
      </c>
      <c r="G4404" t="s">
        <v>191</v>
      </c>
      <c r="H4404" t="s">
        <v>123</v>
      </c>
      <c r="I4404">
        <v>37847</v>
      </c>
      <c r="J4404">
        <v>44148</v>
      </c>
    </row>
    <row r="4405" spans="1:10" x14ac:dyDescent="0.3">
      <c r="A4405" t="s">
        <v>4532</v>
      </c>
      <c r="B4405" s="1">
        <v>45753</v>
      </c>
      <c r="C4405" t="s">
        <v>86</v>
      </c>
      <c r="D4405">
        <v>14</v>
      </c>
      <c r="E4405" t="s">
        <v>33</v>
      </c>
      <c r="F4405" t="s">
        <v>140</v>
      </c>
      <c r="G4405" t="s">
        <v>199</v>
      </c>
      <c r="H4405" t="s">
        <v>36</v>
      </c>
      <c r="I4405">
        <v>31168</v>
      </c>
      <c r="J4405">
        <v>26967</v>
      </c>
    </row>
    <row r="4406" spans="1:10" x14ac:dyDescent="0.3">
      <c r="A4406" t="s">
        <v>4533</v>
      </c>
      <c r="B4406" s="1">
        <v>45801</v>
      </c>
      <c r="C4406" t="s">
        <v>90</v>
      </c>
      <c r="D4406">
        <v>21</v>
      </c>
      <c r="E4406" t="s">
        <v>61</v>
      </c>
      <c r="F4406" t="s">
        <v>92</v>
      </c>
      <c r="G4406" t="s">
        <v>63</v>
      </c>
      <c r="H4406" t="s">
        <v>55</v>
      </c>
      <c r="I4406">
        <v>18982</v>
      </c>
      <c r="J4406">
        <v>20757</v>
      </c>
    </row>
    <row r="4407" spans="1:10" x14ac:dyDescent="0.3">
      <c r="A4407" t="s">
        <v>4534</v>
      </c>
      <c r="B4407" s="1">
        <v>45972</v>
      </c>
      <c r="C4407" t="s">
        <v>23</v>
      </c>
      <c r="D4407">
        <v>46</v>
      </c>
      <c r="E4407" t="s">
        <v>61</v>
      </c>
      <c r="F4407" t="s">
        <v>25</v>
      </c>
      <c r="G4407" t="s">
        <v>326</v>
      </c>
      <c r="H4407" t="s">
        <v>123</v>
      </c>
      <c r="I4407">
        <v>39329</v>
      </c>
      <c r="J4407">
        <v>36771</v>
      </c>
    </row>
    <row r="4408" spans="1:10" x14ac:dyDescent="0.3">
      <c r="A4408" t="s">
        <v>4535</v>
      </c>
      <c r="B4408" s="1">
        <v>45918</v>
      </c>
      <c r="C4408" t="s">
        <v>38</v>
      </c>
      <c r="D4408">
        <v>38</v>
      </c>
      <c r="E4408" t="s">
        <v>24</v>
      </c>
      <c r="F4408" t="s">
        <v>140</v>
      </c>
      <c r="G4408" t="s">
        <v>115</v>
      </c>
      <c r="H4408" t="s">
        <v>96</v>
      </c>
      <c r="I4408">
        <v>35554</v>
      </c>
      <c r="J4408">
        <v>41665</v>
      </c>
    </row>
    <row r="4409" spans="1:10" x14ac:dyDescent="0.3">
      <c r="A4409" t="s">
        <v>4536</v>
      </c>
      <c r="B4409" s="1">
        <v>45673</v>
      </c>
      <c r="C4409" t="s">
        <v>17</v>
      </c>
      <c r="D4409">
        <v>3</v>
      </c>
      <c r="E4409" t="s">
        <v>18</v>
      </c>
      <c r="F4409" t="s">
        <v>92</v>
      </c>
      <c r="G4409" t="s">
        <v>115</v>
      </c>
      <c r="H4409" t="s">
        <v>151</v>
      </c>
      <c r="I4409">
        <v>21135</v>
      </c>
      <c r="J4409">
        <v>22954</v>
      </c>
    </row>
    <row r="4410" spans="1:10" x14ac:dyDescent="0.3">
      <c r="A4410" t="s">
        <v>4537</v>
      </c>
      <c r="B4410" s="1">
        <v>45798</v>
      </c>
      <c r="C4410" t="s">
        <v>90</v>
      </c>
      <c r="D4410">
        <v>21</v>
      </c>
      <c r="E4410" t="s">
        <v>61</v>
      </c>
      <c r="F4410" t="s">
        <v>101</v>
      </c>
      <c r="G4410" t="s">
        <v>149</v>
      </c>
      <c r="H4410" t="s">
        <v>188</v>
      </c>
      <c r="I4410">
        <v>23950</v>
      </c>
      <c r="J4410">
        <v>19451</v>
      </c>
    </row>
    <row r="4411" spans="1:10" x14ac:dyDescent="0.3">
      <c r="A4411" t="s">
        <v>4538</v>
      </c>
      <c r="B4411" s="1">
        <v>45959</v>
      </c>
      <c r="C4411" t="s">
        <v>66</v>
      </c>
      <c r="D4411">
        <v>44</v>
      </c>
      <c r="E4411" t="s">
        <v>33</v>
      </c>
      <c r="F4411" t="s">
        <v>87</v>
      </c>
      <c r="G4411" t="s">
        <v>126</v>
      </c>
      <c r="H4411" t="s">
        <v>59</v>
      </c>
      <c r="I4411">
        <v>23893</v>
      </c>
      <c r="J4411">
        <v>27000</v>
      </c>
    </row>
    <row r="4412" spans="1:10" x14ac:dyDescent="0.3">
      <c r="A4412" t="s">
        <v>4539</v>
      </c>
      <c r="B4412" s="1">
        <v>45660</v>
      </c>
      <c r="C4412" t="s">
        <v>17</v>
      </c>
      <c r="D4412">
        <v>1</v>
      </c>
      <c r="E4412" t="s">
        <v>12</v>
      </c>
      <c r="F4412" t="s">
        <v>101</v>
      </c>
      <c r="G4412" t="s">
        <v>126</v>
      </c>
      <c r="H4412" t="s">
        <v>55</v>
      </c>
      <c r="I4412">
        <v>32932</v>
      </c>
      <c r="J4412">
        <v>30056</v>
      </c>
    </row>
    <row r="4413" spans="1:10" x14ac:dyDescent="0.3">
      <c r="A4413" t="s">
        <v>4540</v>
      </c>
      <c r="B4413" s="1">
        <v>45758</v>
      </c>
      <c r="C4413" t="s">
        <v>86</v>
      </c>
      <c r="D4413">
        <v>15</v>
      </c>
      <c r="E4413" t="s">
        <v>18</v>
      </c>
      <c r="F4413" t="s">
        <v>140</v>
      </c>
      <c r="G4413" t="s">
        <v>130</v>
      </c>
      <c r="H4413" t="s">
        <v>116</v>
      </c>
      <c r="I4413">
        <v>39768</v>
      </c>
      <c r="J4413">
        <v>38183</v>
      </c>
    </row>
    <row r="4414" spans="1:10" x14ac:dyDescent="0.3">
      <c r="A4414" t="s">
        <v>4541</v>
      </c>
      <c r="B4414" s="1">
        <v>45727</v>
      </c>
      <c r="C4414" t="s">
        <v>95</v>
      </c>
      <c r="D4414">
        <v>11</v>
      </c>
      <c r="E4414" t="s">
        <v>24</v>
      </c>
      <c r="F4414" t="s">
        <v>193</v>
      </c>
      <c r="G4414" t="s">
        <v>14</v>
      </c>
      <c r="H4414" t="s">
        <v>155</v>
      </c>
      <c r="I4414">
        <v>15573</v>
      </c>
      <c r="J4414">
        <v>19304</v>
      </c>
    </row>
    <row r="4415" spans="1:10" x14ac:dyDescent="0.3">
      <c r="A4415" t="s">
        <v>4542</v>
      </c>
      <c r="B4415" s="1">
        <v>45663</v>
      </c>
      <c r="C4415" t="s">
        <v>17</v>
      </c>
      <c r="D4415">
        <v>2</v>
      </c>
      <c r="E4415" t="s">
        <v>33</v>
      </c>
      <c r="F4415" t="s">
        <v>34</v>
      </c>
      <c r="G4415" t="s">
        <v>291</v>
      </c>
      <c r="H4415" t="s">
        <v>163</v>
      </c>
      <c r="I4415">
        <v>38695</v>
      </c>
      <c r="J4415">
        <v>31796</v>
      </c>
    </row>
    <row r="4416" spans="1:10" x14ac:dyDescent="0.3">
      <c r="A4416" t="s">
        <v>4543</v>
      </c>
      <c r="B4416" s="1">
        <v>45893</v>
      </c>
      <c r="C4416" t="s">
        <v>113</v>
      </c>
      <c r="D4416">
        <v>34</v>
      </c>
      <c r="E4416" t="s">
        <v>70</v>
      </c>
      <c r="F4416" t="s">
        <v>193</v>
      </c>
      <c r="G4416" t="s">
        <v>79</v>
      </c>
      <c r="H4416" t="s">
        <v>64</v>
      </c>
      <c r="I4416">
        <v>33733</v>
      </c>
      <c r="J4416">
        <v>24749</v>
      </c>
    </row>
    <row r="4417" spans="1:10" x14ac:dyDescent="0.3">
      <c r="A4417" t="s">
        <v>4544</v>
      </c>
      <c r="B4417" s="1">
        <v>45877</v>
      </c>
      <c r="C4417" t="s">
        <v>113</v>
      </c>
      <c r="D4417">
        <v>32</v>
      </c>
      <c r="E4417" t="s">
        <v>70</v>
      </c>
      <c r="F4417" t="s">
        <v>114</v>
      </c>
      <c r="G4417" t="s">
        <v>54</v>
      </c>
      <c r="H4417" t="s">
        <v>36</v>
      </c>
      <c r="I4417">
        <v>29289</v>
      </c>
      <c r="J4417">
        <v>32881</v>
      </c>
    </row>
    <row r="4418" spans="1:10" x14ac:dyDescent="0.3">
      <c r="A4418" t="s">
        <v>4545</v>
      </c>
      <c r="B4418" s="1">
        <v>45793</v>
      </c>
      <c r="C4418" t="s">
        <v>90</v>
      </c>
      <c r="D4418">
        <v>20</v>
      </c>
      <c r="E4418" t="s">
        <v>33</v>
      </c>
      <c r="F4418" t="s">
        <v>109</v>
      </c>
      <c r="G4418" t="s">
        <v>141</v>
      </c>
      <c r="H4418" t="s">
        <v>59</v>
      </c>
      <c r="I4418">
        <v>16666</v>
      </c>
      <c r="J4418">
        <v>21441</v>
      </c>
    </row>
    <row r="4419" spans="1:10" x14ac:dyDescent="0.3">
      <c r="A4419" t="s">
        <v>4546</v>
      </c>
      <c r="B4419" s="1">
        <v>45854</v>
      </c>
      <c r="C4419" t="s">
        <v>11</v>
      </c>
      <c r="D4419">
        <v>29</v>
      </c>
      <c r="E4419" t="s">
        <v>39</v>
      </c>
      <c r="F4419" t="s">
        <v>78</v>
      </c>
      <c r="G4419" t="s">
        <v>51</v>
      </c>
      <c r="H4419" t="s">
        <v>48</v>
      </c>
      <c r="I4419">
        <v>25767</v>
      </c>
      <c r="J4419">
        <v>19955</v>
      </c>
    </row>
    <row r="4420" spans="1:10" x14ac:dyDescent="0.3">
      <c r="A4420" t="s">
        <v>4547</v>
      </c>
      <c r="B4420" s="1">
        <v>45862</v>
      </c>
      <c r="C4420" t="s">
        <v>11</v>
      </c>
      <c r="D4420">
        <v>30</v>
      </c>
      <c r="E4420" t="s">
        <v>70</v>
      </c>
      <c r="F4420" t="s">
        <v>78</v>
      </c>
      <c r="G4420" t="s">
        <v>76</v>
      </c>
      <c r="H4420" t="s">
        <v>84</v>
      </c>
      <c r="I4420">
        <v>17856</v>
      </c>
      <c r="J4420">
        <v>18056</v>
      </c>
    </row>
    <row r="4421" spans="1:10" x14ac:dyDescent="0.3">
      <c r="A4421" t="s">
        <v>4548</v>
      </c>
      <c r="B4421" s="1">
        <v>45806</v>
      </c>
      <c r="C4421" t="s">
        <v>90</v>
      </c>
      <c r="D4421">
        <v>22</v>
      </c>
      <c r="E4421" t="s">
        <v>33</v>
      </c>
      <c r="F4421" t="s">
        <v>109</v>
      </c>
      <c r="G4421" t="s">
        <v>83</v>
      </c>
      <c r="H4421" t="s">
        <v>41</v>
      </c>
      <c r="I4421">
        <v>38513</v>
      </c>
      <c r="J4421">
        <v>46687</v>
      </c>
    </row>
    <row r="4422" spans="1:10" x14ac:dyDescent="0.3">
      <c r="A4422" t="s">
        <v>4549</v>
      </c>
      <c r="B4422" s="1">
        <v>45803</v>
      </c>
      <c r="C4422" t="s">
        <v>90</v>
      </c>
      <c r="D4422">
        <v>22</v>
      </c>
      <c r="E4422" t="s">
        <v>33</v>
      </c>
      <c r="F4422" t="s">
        <v>92</v>
      </c>
      <c r="G4422" t="s">
        <v>324</v>
      </c>
      <c r="H4422" t="s">
        <v>84</v>
      </c>
      <c r="I4422">
        <v>33730</v>
      </c>
      <c r="J4422">
        <v>37951</v>
      </c>
    </row>
    <row r="4423" spans="1:10" x14ac:dyDescent="0.3">
      <c r="A4423" t="s">
        <v>4550</v>
      </c>
      <c r="B4423" s="1">
        <v>45778</v>
      </c>
      <c r="C4423" t="s">
        <v>90</v>
      </c>
      <c r="D4423">
        <v>18</v>
      </c>
      <c r="E4423" t="s">
        <v>70</v>
      </c>
      <c r="F4423" t="s">
        <v>87</v>
      </c>
      <c r="G4423" t="s">
        <v>83</v>
      </c>
      <c r="H4423" t="s">
        <v>165</v>
      </c>
      <c r="I4423">
        <v>30334</v>
      </c>
      <c r="J4423">
        <v>25307</v>
      </c>
    </row>
    <row r="4424" spans="1:10" x14ac:dyDescent="0.3">
      <c r="A4424" t="s">
        <v>4551</v>
      </c>
      <c r="B4424" s="1">
        <v>45922</v>
      </c>
      <c r="C4424" t="s">
        <v>38</v>
      </c>
      <c r="D4424">
        <v>39</v>
      </c>
      <c r="E4424" t="s">
        <v>61</v>
      </c>
      <c r="F4424" t="s">
        <v>50</v>
      </c>
      <c r="G4424" t="s">
        <v>266</v>
      </c>
      <c r="H4424" t="s">
        <v>111</v>
      </c>
      <c r="I4424">
        <v>27274</v>
      </c>
      <c r="J4424">
        <v>30587</v>
      </c>
    </row>
    <row r="4425" spans="1:10" x14ac:dyDescent="0.3">
      <c r="A4425" t="s">
        <v>4552</v>
      </c>
      <c r="B4425" s="1">
        <v>45733</v>
      </c>
      <c r="C4425" t="s">
        <v>95</v>
      </c>
      <c r="D4425">
        <v>12</v>
      </c>
      <c r="E4425" t="s">
        <v>24</v>
      </c>
      <c r="F4425" t="s">
        <v>87</v>
      </c>
      <c r="G4425" t="s">
        <v>171</v>
      </c>
      <c r="H4425" t="s">
        <v>123</v>
      </c>
      <c r="I4425">
        <v>39822</v>
      </c>
      <c r="J4425">
        <v>34127</v>
      </c>
    </row>
    <row r="4426" spans="1:10" x14ac:dyDescent="0.3">
      <c r="A4426" t="s">
        <v>4553</v>
      </c>
      <c r="B4426" s="1">
        <v>45931</v>
      </c>
      <c r="C4426" t="s">
        <v>66</v>
      </c>
      <c r="D4426">
        <v>40</v>
      </c>
      <c r="E4426" t="s">
        <v>33</v>
      </c>
      <c r="F4426" t="s">
        <v>57</v>
      </c>
      <c r="G4426" t="s">
        <v>145</v>
      </c>
      <c r="H4426" t="s">
        <v>111</v>
      </c>
      <c r="I4426">
        <v>32536</v>
      </c>
      <c r="J4426">
        <v>41230</v>
      </c>
    </row>
    <row r="4427" spans="1:10" x14ac:dyDescent="0.3">
      <c r="A4427" t="s">
        <v>4554</v>
      </c>
      <c r="B4427" s="1">
        <v>45878</v>
      </c>
      <c r="C4427" t="s">
        <v>113</v>
      </c>
      <c r="D4427">
        <v>32</v>
      </c>
      <c r="E4427" t="s">
        <v>12</v>
      </c>
      <c r="F4427" t="s">
        <v>62</v>
      </c>
      <c r="G4427" t="s">
        <v>206</v>
      </c>
      <c r="H4427" t="s">
        <v>98</v>
      </c>
      <c r="I4427">
        <v>31732</v>
      </c>
      <c r="J4427">
        <v>25328</v>
      </c>
    </row>
    <row r="4428" spans="1:10" x14ac:dyDescent="0.3">
      <c r="A4428" t="s">
        <v>4555</v>
      </c>
      <c r="B4428" s="1">
        <v>45829</v>
      </c>
      <c r="C4428" t="s">
        <v>74</v>
      </c>
      <c r="D4428">
        <v>25</v>
      </c>
      <c r="E4428" t="s">
        <v>61</v>
      </c>
      <c r="F4428" t="s">
        <v>92</v>
      </c>
      <c r="G4428" t="s">
        <v>110</v>
      </c>
      <c r="H4428" t="s">
        <v>188</v>
      </c>
      <c r="I4428">
        <v>37602</v>
      </c>
      <c r="J4428">
        <v>42022</v>
      </c>
    </row>
    <row r="4429" spans="1:10" x14ac:dyDescent="0.3">
      <c r="A4429" t="s">
        <v>4556</v>
      </c>
      <c r="B4429" s="1">
        <v>45897</v>
      </c>
      <c r="C4429" t="s">
        <v>113</v>
      </c>
      <c r="D4429">
        <v>35</v>
      </c>
      <c r="E4429" t="s">
        <v>70</v>
      </c>
      <c r="F4429" t="s">
        <v>101</v>
      </c>
      <c r="G4429" t="s">
        <v>206</v>
      </c>
      <c r="H4429" t="s">
        <v>52</v>
      </c>
      <c r="I4429">
        <v>29221</v>
      </c>
      <c r="J4429">
        <v>37163</v>
      </c>
    </row>
    <row r="4430" spans="1:10" x14ac:dyDescent="0.3">
      <c r="A4430" t="s">
        <v>4557</v>
      </c>
      <c r="B4430" s="1">
        <v>45731</v>
      </c>
      <c r="C4430" t="s">
        <v>95</v>
      </c>
      <c r="D4430">
        <v>11</v>
      </c>
      <c r="E4430" t="s">
        <v>24</v>
      </c>
      <c r="F4430" t="s">
        <v>122</v>
      </c>
      <c r="G4430" t="s">
        <v>182</v>
      </c>
      <c r="H4430" t="s">
        <v>52</v>
      </c>
      <c r="I4430">
        <v>15564</v>
      </c>
      <c r="J4430">
        <v>12999</v>
      </c>
    </row>
    <row r="4431" spans="1:10" x14ac:dyDescent="0.3">
      <c r="A4431" t="s">
        <v>4558</v>
      </c>
      <c r="B4431" s="1">
        <v>45801</v>
      </c>
      <c r="C4431" t="s">
        <v>90</v>
      </c>
      <c r="D4431">
        <v>21</v>
      </c>
      <c r="E4431" t="s">
        <v>12</v>
      </c>
      <c r="F4431" t="s">
        <v>78</v>
      </c>
      <c r="G4431" t="s">
        <v>26</v>
      </c>
      <c r="H4431" t="s">
        <v>98</v>
      </c>
      <c r="I4431">
        <v>24203</v>
      </c>
      <c r="J4431">
        <v>30268</v>
      </c>
    </row>
    <row r="4432" spans="1:10" x14ac:dyDescent="0.3">
      <c r="A4432" t="s">
        <v>4559</v>
      </c>
      <c r="B4432" s="1">
        <v>45733</v>
      </c>
      <c r="C4432" t="s">
        <v>95</v>
      </c>
      <c r="D4432">
        <v>12</v>
      </c>
      <c r="E4432" t="s">
        <v>70</v>
      </c>
      <c r="F4432" t="s">
        <v>109</v>
      </c>
      <c r="G4432" t="s">
        <v>171</v>
      </c>
      <c r="H4432" t="s">
        <v>151</v>
      </c>
      <c r="I4432">
        <v>25506</v>
      </c>
      <c r="J4432">
        <v>32190</v>
      </c>
    </row>
    <row r="4433" spans="1:10" x14ac:dyDescent="0.3">
      <c r="A4433" t="s">
        <v>4560</v>
      </c>
      <c r="B4433" s="1">
        <v>45706</v>
      </c>
      <c r="C4433" t="s">
        <v>82</v>
      </c>
      <c r="D4433">
        <v>8</v>
      </c>
      <c r="E4433" t="s">
        <v>18</v>
      </c>
      <c r="F4433" t="s">
        <v>50</v>
      </c>
      <c r="G4433" t="s">
        <v>54</v>
      </c>
      <c r="H4433" t="s">
        <v>163</v>
      </c>
      <c r="I4433">
        <v>16072</v>
      </c>
      <c r="J4433">
        <v>13260</v>
      </c>
    </row>
    <row r="4434" spans="1:10" x14ac:dyDescent="0.3">
      <c r="A4434" t="s">
        <v>4561</v>
      </c>
      <c r="B4434" s="1">
        <v>45760</v>
      </c>
      <c r="C4434" t="s">
        <v>86</v>
      </c>
      <c r="D4434">
        <v>15</v>
      </c>
      <c r="E4434" t="s">
        <v>61</v>
      </c>
      <c r="F4434" t="s">
        <v>50</v>
      </c>
      <c r="G4434" t="s">
        <v>14</v>
      </c>
      <c r="H4434" t="s">
        <v>165</v>
      </c>
      <c r="I4434">
        <v>27803</v>
      </c>
      <c r="J4434">
        <v>27841</v>
      </c>
    </row>
    <row r="4435" spans="1:10" x14ac:dyDescent="0.3">
      <c r="A4435" t="s">
        <v>4562</v>
      </c>
      <c r="B4435" s="1">
        <v>45967</v>
      </c>
      <c r="C4435" t="s">
        <v>23</v>
      </c>
      <c r="D4435">
        <v>45</v>
      </c>
      <c r="E4435" t="s">
        <v>18</v>
      </c>
      <c r="F4435" t="s">
        <v>13</v>
      </c>
      <c r="G4435" t="s">
        <v>107</v>
      </c>
      <c r="H4435" t="s">
        <v>243</v>
      </c>
      <c r="I4435">
        <v>15383</v>
      </c>
      <c r="J4435">
        <v>14263</v>
      </c>
    </row>
    <row r="4436" spans="1:10" x14ac:dyDescent="0.3">
      <c r="A4436" t="s">
        <v>4563</v>
      </c>
      <c r="B4436" s="1">
        <v>45870</v>
      </c>
      <c r="C4436" t="s">
        <v>113</v>
      </c>
      <c r="D4436">
        <v>31</v>
      </c>
      <c r="E4436" t="s">
        <v>33</v>
      </c>
      <c r="F4436" t="s">
        <v>109</v>
      </c>
      <c r="G4436" t="s">
        <v>20</v>
      </c>
      <c r="H4436" t="s">
        <v>155</v>
      </c>
      <c r="I4436">
        <v>36272</v>
      </c>
      <c r="J4436">
        <v>38109</v>
      </c>
    </row>
    <row r="4437" spans="1:10" x14ac:dyDescent="0.3">
      <c r="A4437" t="s">
        <v>4564</v>
      </c>
      <c r="B4437" s="1">
        <v>45824</v>
      </c>
      <c r="C4437" t="s">
        <v>74</v>
      </c>
      <c r="D4437">
        <v>25</v>
      </c>
      <c r="E4437" t="s">
        <v>61</v>
      </c>
      <c r="F4437" t="s">
        <v>46</v>
      </c>
      <c r="G4437" t="s">
        <v>199</v>
      </c>
      <c r="H4437" t="s">
        <v>133</v>
      </c>
      <c r="I4437">
        <v>29995</v>
      </c>
      <c r="J4437">
        <v>32650</v>
      </c>
    </row>
    <row r="4438" spans="1:10" x14ac:dyDescent="0.3">
      <c r="A4438" t="s">
        <v>4565</v>
      </c>
      <c r="B4438" s="1">
        <v>45767</v>
      </c>
      <c r="C4438" t="s">
        <v>86</v>
      </c>
      <c r="D4438">
        <v>16</v>
      </c>
      <c r="E4438" t="s">
        <v>70</v>
      </c>
      <c r="F4438" t="s">
        <v>34</v>
      </c>
      <c r="G4438" t="s">
        <v>201</v>
      </c>
      <c r="H4438" t="s">
        <v>119</v>
      </c>
      <c r="I4438">
        <v>20871</v>
      </c>
      <c r="J4438">
        <v>15136</v>
      </c>
    </row>
    <row r="4439" spans="1:10" x14ac:dyDescent="0.3">
      <c r="A4439" t="s">
        <v>4566</v>
      </c>
      <c r="B4439" s="1">
        <v>45882</v>
      </c>
      <c r="C4439" t="s">
        <v>113</v>
      </c>
      <c r="D4439">
        <v>33</v>
      </c>
      <c r="E4439" t="s">
        <v>61</v>
      </c>
      <c r="F4439" t="s">
        <v>193</v>
      </c>
      <c r="G4439" t="s">
        <v>160</v>
      </c>
      <c r="H4439" t="s">
        <v>243</v>
      </c>
      <c r="I4439">
        <v>30211</v>
      </c>
      <c r="J4439">
        <v>31885</v>
      </c>
    </row>
    <row r="4440" spans="1:10" x14ac:dyDescent="0.3">
      <c r="A4440" t="s">
        <v>4567</v>
      </c>
      <c r="B4440" s="1">
        <v>45730</v>
      </c>
      <c r="C4440" t="s">
        <v>95</v>
      </c>
      <c r="D4440">
        <v>11</v>
      </c>
      <c r="E4440" t="s">
        <v>61</v>
      </c>
      <c r="F4440" t="s">
        <v>62</v>
      </c>
      <c r="G4440" t="s">
        <v>72</v>
      </c>
      <c r="H4440" t="s">
        <v>68</v>
      </c>
      <c r="I4440">
        <v>31265</v>
      </c>
      <c r="J4440">
        <v>24256</v>
      </c>
    </row>
    <row r="4441" spans="1:10" x14ac:dyDescent="0.3">
      <c r="A4441" t="s">
        <v>4568</v>
      </c>
      <c r="B4441" s="1">
        <v>45740</v>
      </c>
      <c r="C4441" t="s">
        <v>95</v>
      </c>
      <c r="D4441">
        <v>13</v>
      </c>
      <c r="E4441" t="s">
        <v>12</v>
      </c>
      <c r="F4441" t="s">
        <v>78</v>
      </c>
      <c r="G4441" t="s">
        <v>67</v>
      </c>
      <c r="H4441" t="s">
        <v>155</v>
      </c>
      <c r="I4441">
        <v>15001</v>
      </c>
      <c r="J4441">
        <v>11026</v>
      </c>
    </row>
    <row r="4442" spans="1:10" x14ac:dyDescent="0.3">
      <c r="A4442" t="s">
        <v>4569</v>
      </c>
      <c r="B4442" s="1">
        <v>45919</v>
      </c>
      <c r="C4442" t="s">
        <v>38</v>
      </c>
      <c r="D4442">
        <v>38</v>
      </c>
      <c r="E4442" t="s">
        <v>24</v>
      </c>
      <c r="F4442" t="s">
        <v>50</v>
      </c>
      <c r="G4442" t="s">
        <v>201</v>
      </c>
      <c r="H4442" t="s">
        <v>15</v>
      </c>
      <c r="I4442">
        <v>22227</v>
      </c>
      <c r="J4442">
        <v>19298</v>
      </c>
    </row>
    <row r="4443" spans="1:10" x14ac:dyDescent="0.3">
      <c r="A4443" t="s">
        <v>4570</v>
      </c>
      <c r="B4443" s="1">
        <v>45942</v>
      </c>
      <c r="C4443" t="s">
        <v>66</v>
      </c>
      <c r="D4443">
        <v>41</v>
      </c>
      <c r="E4443" t="s">
        <v>18</v>
      </c>
      <c r="F4443" t="s">
        <v>13</v>
      </c>
      <c r="G4443" t="s">
        <v>118</v>
      </c>
      <c r="H4443" t="s">
        <v>48</v>
      </c>
      <c r="I4443">
        <v>35228</v>
      </c>
      <c r="J4443">
        <v>34786</v>
      </c>
    </row>
    <row r="4444" spans="1:10" x14ac:dyDescent="0.3">
      <c r="A4444" t="s">
        <v>4571</v>
      </c>
      <c r="B4444" s="1">
        <v>45953</v>
      </c>
      <c r="C4444" t="s">
        <v>66</v>
      </c>
      <c r="D4444">
        <v>43</v>
      </c>
      <c r="E4444" t="s">
        <v>12</v>
      </c>
      <c r="F4444" t="s">
        <v>193</v>
      </c>
      <c r="G4444" t="s">
        <v>324</v>
      </c>
      <c r="H4444" t="s">
        <v>80</v>
      </c>
      <c r="I4444">
        <v>18118</v>
      </c>
      <c r="J4444">
        <v>22113</v>
      </c>
    </row>
    <row r="4445" spans="1:10" x14ac:dyDescent="0.3">
      <c r="A4445" t="s">
        <v>4572</v>
      </c>
      <c r="B4445" s="1">
        <v>45790</v>
      </c>
      <c r="C4445" t="s">
        <v>90</v>
      </c>
      <c r="D4445">
        <v>20</v>
      </c>
      <c r="E4445" t="s">
        <v>24</v>
      </c>
      <c r="F4445" t="s">
        <v>46</v>
      </c>
      <c r="G4445" t="s">
        <v>79</v>
      </c>
      <c r="H4445" t="s">
        <v>111</v>
      </c>
      <c r="I4445">
        <v>25482</v>
      </c>
      <c r="J4445">
        <v>30933</v>
      </c>
    </row>
    <row r="4446" spans="1:10" x14ac:dyDescent="0.3">
      <c r="A4446" t="s">
        <v>4573</v>
      </c>
      <c r="B4446" s="1">
        <v>45919</v>
      </c>
      <c r="C4446" t="s">
        <v>38</v>
      </c>
      <c r="D4446">
        <v>38</v>
      </c>
      <c r="E4446" t="s">
        <v>33</v>
      </c>
      <c r="F4446" t="s">
        <v>101</v>
      </c>
      <c r="G4446" t="s">
        <v>326</v>
      </c>
      <c r="H4446" t="s">
        <v>52</v>
      </c>
      <c r="I4446">
        <v>34378</v>
      </c>
      <c r="J4446">
        <v>30423</v>
      </c>
    </row>
    <row r="4447" spans="1:10" x14ac:dyDescent="0.3">
      <c r="A4447" t="s">
        <v>4574</v>
      </c>
      <c r="B4447" s="1">
        <v>45844</v>
      </c>
      <c r="C4447" t="s">
        <v>11</v>
      </c>
      <c r="D4447">
        <v>27</v>
      </c>
      <c r="E4447" t="s">
        <v>12</v>
      </c>
      <c r="F4447" t="s">
        <v>122</v>
      </c>
      <c r="G4447" t="s">
        <v>326</v>
      </c>
      <c r="H4447" t="s">
        <v>157</v>
      </c>
      <c r="I4447">
        <v>19399</v>
      </c>
      <c r="J4447">
        <v>24334</v>
      </c>
    </row>
    <row r="4448" spans="1:10" x14ac:dyDescent="0.3">
      <c r="A4448" t="s">
        <v>4575</v>
      </c>
      <c r="B4448" s="1">
        <v>45904</v>
      </c>
      <c r="C4448" t="s">
        <v>38</v>
      </c>
      <c r="D4448">
        <v>36</v>
      </c>
      <c r="E4448" t="s">
        <v>33</v>
      </c>
      <c r="F4448" t="s">
        <v>46</v>
      </c>
      <c r="G4448" t="s">
        <v>20</v>
      </c>
      <c r="H4448" t="s">
        <v>155</v>
      </c>
      <c r="I4448">
        <v>38066</v>
      </c>
      <c r="J4448">
        <v>34308</v>
      </c>
    </row>
    <row r="4449" spans="1:10" x14ac:dyDescent="0.3">
      <c r="A4449" t="s">
        <v>4576</v>
      </c>
      <c r="B4449" s="1">
        <v>45834</v>
      </c>
      <c r="C4449" t="s">
        <v>74</v>
      </c>
      <c r="D4449">
        <v>26</v>
      </c>
      <c r="E4449" t="s">
        <v>39</v>
      </c>
      <c r="F4449" t="s">
        <v>109</v>
      </c>
      <c r="G4449" t="s">
        <v>93</v>
      </c>
      <c r="H4449" t="s">
        <v>123</v>
      </c>
      <c r="I4449">
        <v>37536</v>
      </c>
      <c r="J4449">
        <v>34810</v>
      </c>
    </row>
    <row r="4450" spans="1:10" x14ac:dyDescent="0.3">
      <c r="A4450" t="s">
        <v>4577</v>
      </c>
      <c r="B4450" s="1">
        <v>45923</v>
      </c>
      <c r="C4450" t="s">
        <v>38</v>
      </c>
      <c r="D4450">
        <v>39</v>
      </c>
      <c r="E4450" t="s">
        <v>61</v>
      </c>
      <c r="F4450" t="s">
        <v>57</v>
      </c>
      <c r="G4450" t="s">
        <v>137</v>
      </c>
      <c r="H4450" t="s">
        <v>15</v>
      </c>
      <c r="I4450">
        <v>26993</v>
      </c>
      <c r="J4450">
        <v>26675</v>
      </c>
    </row>
    <row r="4451" spans="1:10" x14ac:dyDescent="0.3">
      <c r="A4451" t="s">
        <v>4578</v>
      </c>
      <c r="B4451" s="1">
        <v>45951</v>
      </c>
      <c r="C4451" t="s">
        <v>66</v>
      </c>
      <c r="D4451">
        <v>43</v>
      </c>
      <c r="E4451" t="s">
        <v>39</v>
      </c>
      <c r="F4451" t="s">
        <v>19</v>
      </c>
      <c r="G4451" t="s">
        <v>130</v>
      </c>
      <c r="H4451" t="s">
        <v>21</v>
      </c>
      <c r="I4451">
        <v>33526</v>
      </c>
      <c r="J4451">
        <v>39890</v>
      </c>
    </row>
    <row r="4452" spans="1:10" x14ac:dyDescent="0.3">
      <c r="A4452" t="s">
        <v>4579</v>
      </c>
      <c r="B4452" s="1">
        <v>45948</v>
      </c>
      <c r="C4452" t="s">
        <v>66</v>
      </c>
      <c r="D4452">
        <v>42</v>
      </c>
      <c r="E4452" t="s">
        <v>24</v>
      </c>
      <c r="F4452" t="s">
        <v>92</v>
      </c>
      <c r="G4452" t="s">
        <v>234</v>
      </c>
      <c r="H4452" t="s">
        <v>151</v>
      </c>
      <c r="I4452">
        <v>38343</v>
      </c>
      <c r="J4452">
        <v>46547</v>
      </c>
    </row>
    <row r="4453" spans="1:10" x14ac:dyDescent="0.3">
      <c r="A4453" t="s">
        <v>4580</v>
      </c>
      <c r="B4453" s="1">
        <v>45730</v>
      </c>
      <c r="C4453" t="s">
        <v>95</v>
      </c>
      <c r="D4453">
        <v>11</v>
      </c>
      <c r="E4453" t="s">
        <v>18</v>
      </c>
      <c r="F4453" t="s">
        <v>78</v>
      </c>
      <c r="G4453" t="s">
        <v>35</v>
      </c>
      <c r="H4453" t="s">
        <v>36</v>
      </c>
      <c r="I4453">
        <v>32406</v>
      </c>
      <c r="J4453">
        <v>22867</v>
      </c>
    </row>
    <row r="4454" spans="1:10" x14ac:dyDescent="0.3">
      <c r="A4454" t="s">
        <v>4581</v>
      </c>
      <c r="B4454" s="1">
        <v>45692</v>
      </c>
      <c r="C4454" t="s">
        <v>82</v>
      </c>
      <c r="D4454">
        <v>6</v>
      </c>
      <c r="E4454" t="s">
        <v>70</v>
      </c>
      <c r="F4454" t="s">
        <v>75</v>
      </c>
      <c r="G4454" t="s">
        <v>137</v>
      </c>
      <c r="H4454" t="s">
        <v>155</v>
      </c>
      <c r="I4454">
        <v>24976</v>
      </c>
      <c r="J4454">
        <v>29550</v>
      </c>
    </row>
    <row r="4455" spans="1:10" x14ac:dyDescent="0.3">
      <c r="A4455" t="s">
        <v>4582</v>
      </c>
      <c r="B4455" s="1">
        <v>45952</v>
      </c>
      <c r="C4455" t="s">
        <v>66</v>
      </c>
      <c r="D4455">
        <v>43</v>
      </c>
      <c r="E4455" t="s">
        <v>12</v>
      </c>
      <c r="F4455" t="s">
        <v>193</v>
      </c>
      <c r="G4455" t="s">
        <v>253</v>
      </c>
      <c r="H4455" t="s">
        <v>119</v>
      </c>
      <c r="I4455">
        <v>30052</v>
      </c>
      <c r="J4455">
        <v>23309</v>
      </c>
    </row>
    <row r="4456" spans="1:10" x14ac:dyDescent="0.3">
      <c r="A4456" t="s">
        <v>4583</v>
      </c>
      <c r="B4456" s="1">
        <v>45682</v>
      </c>
      <c r="C4456" t="s">
        <v>17</v>
      </c>
      <c r="D4456">
        <v>4</v>
      </c>
      <c r="E4456" t="s">
        <v>61</v>
      </c>
      <c r="F4456" t="s">
        <v>114</v>
      </c>
      <c r="G4456" t="s">
        <v>20</v>
      </c>
      <c r="H4456" t="s">
        <v>151</v>
      </c>
      <c r="I4456">
        <v>30774</v>
      </c>
      <c r="J4456">
        <v>25659</v>
      </c>
    </row>
    <row r="4457" spans="1:10" x14ac:dyDescent="0.3">
      <c r="A4457" t="s">
        <v>4584</v>
      </c>
      <c r="B4457" s="1">
        <v>45973</v>
      </c>
      <c r="C4457" t="s">
        <v>23</v>
      </c>
      <c r="D4457">
        <v>46</v>
      </c>
      <c r="E4457" t="s">
        <v>18</v>
      </c>
      <c r="F4457" t="s">
        <v>57</v>
      </c>
      <c r="G4457" t="s">
        <v>130</v>
      </c>
      <c r="H4457" t="s">
        <v>80</v>
      </c>
      <c r="I4457">
        <v>36036</v>
      </c>
      <c r="J4457">
        <v>45939</v>
      </c>
    </row>
    <row r="4458" spans="1:10" x14ac:dyDescent="0.3">
      <c r="A4458" t="s">
        <v>4585</v>
      </c>
      <c r="B4458" s="1">
        <v>46018</v>
      </c>
      <c r="C4458" t="s">
        <v>100</v>
      </c>
      <c r="D4458">
        <v>52</v>
      </c>
      <c r="E4458" t="s">
        <v>18</v>
      </c>
      <c r="F4458" t="s">
        <v>43</v>
      </c>
      <c r="G4458" t="s">
        <v>63</v>
      </c>
      <c r="H4458" t="s">
        <v>157</v>
      </c>
      <c r="I4458">
        <v>18586</v>
      </c>
      <c r="J4458">
        <v>15909</v>
      </c>
    </row>
    <row r="4459" spans="1:10" x14ac:dyDescent="0.3">
      <c r="A4459" t="s">
        <v>4586</v>
      </c>
      <c r="B4459" s="1">
        <v>45907</v>
      </c>
      <c r="C4459" t="s">
        <v>38</v>
      </c>
      <c r="D4459">
        <v>36</v>
      </c>
      <c r="E4459" t="s">
        <v>12</v>
      </c>
      <c r="F4459" t="s">
        <v>78</v>
      </c>
      <c r="G4459" t="s">
        <v>230</v>
      </c>
      <c r="H4459" t="s">
        <v>96</v>
      </c>
      <c r="I4459">
        <v>27519</v>
      </c>
      <c r="J4459">
        <v>21504</v>
      </c>
    </row>
    <row r="4460" spans="1:10" x14ac:dyDescent="0.3">
      <c r="A4460" t="s">
        <v>4587</v>
      </c>
      <c r="B4460" s="1">
        <v>45785</v>
      </c>
      <c r="C4460" t="s">
        <v>90</v>
      </c>
      <c r="D4460">
        <v>19</v>
      </c>
      <c r="E4460" t="s">
        <v>70</v>
      </c>
      <c r="F4460" t="s">
        <v>140</v>
      </c>
      <c r="G4460" t="s">
        <v>234</v>
      </c>
      <c r="H4460" t="s">
        <v>119</v>
      </c>
      <c r="I4460">
        <v>31685</v>
      </c>
      <c r="J4460">
        <v>38943</v>
      </c>
    </row>
    <row r="4461" spans="1:10" x14ac:dyDescent="0.3">
      <c r="A4461" t="s">
        <v>4588</v>
      </c>
      <c r="B4461" s="1">
        <v>45751</v>
      </c>
      <c r="C4461" t="s">
        <v>86</v>
      </c>
      <c r="D4461">
        <v>14</v>
      </c>
      <c r="E4461" t="s">
        <v>18</v>
      </c>
      <c r="F4461" t="s">
        <v>62</v>
      </c>
      <c r="G4461" t="s">
        <v>240</v>
      </c>
      <c r="H4461" t="s">
        <v>157</v>
      </c>
      <c r="I4461">
        <v>26557</v>
      </c>
      <c r="J4461">
        <v>32582</v>
      </c>
    </row>
    <row r="4462" spans="1:10" x14ac:dyDescent="0.3">
      <c r="A4462" t="s">
        <v>4589</v>
      </c>
      <c r="B4462" s="1">
        <v>45809</v>
      </c>
      <c r="C4462" t="s">
        <v>74</v>
      </c>
      <c r="D4462">
        <v>22</v>
      </c>
      <c r="E4462" t="s">
        <v>24</v>
      </c>
      <c r="F4462" t="s">
        <v>13</v>
      </c>
      <c r="G4462" t="s">
        <v>132</v>
      </c>
      <c r="H4462" t="s">
        <v>48</v>
      </c>
      <c r="I4462">
        <v>23326</v>
      </c>
      <c r="J4462">
        <v>21750</v>
      </c>
    </row>
    <row r="4463" spans="1:10" x14ac:dyDescent="0.3">
      <c r="A4463" t="s">
        <v>4590</v>
      </c>
      <c r="B4463" s="1">
        <v>45799</v>
      </c>
      <c r="C4463" t="s">
        <v>90</v>
      </c>
      <c r="D4463">
        <v>21</v>
      </c>
      <c r="E4463" t="s">
        <v>39</v>
      </c>
      <c r="F4463" t="s">
        <v>43</v>
      </c>
      <c r="G4463" t="s">
        <v>88</v>
      </c>
      <c r="H4463" t="s">
        <v>163</v>
      </c>
      <c r="I4463">
        <v>36841</v>
      </c>
      <c r="J4463">
        <v>44863</v>
      </c>
    </row>
    <row r="4464" spans="1:10" x14ac:dyDescent="0.3">
      <c r="A4464" t="s">
        <v>4591</v>
      </c>
      <c r="B4464" s="1">
        <v>45898</v>
      </c>
      <c r="C4464" t="s">
        <v>113</v>
      </c>
      <c r="D4464">
        <v>35</v>
      </c>
      <c r="E4464" t="s">
        <v>12</v>
      </c>
      <c r="F4464" t="s">
        <v>50</v>
      </c>
      <c r="G4464" t="s">
        <v>234</v>
      </c>
      <c r="H4464" t="s">
        <v>155</v>
      </c>
      <c r="I4464">
        <v>20791</v>
      </c>
      <c r="J4464">
        <v>19162</v>
      </c>
    </row>
    <row r="4465" spans="1:10" x14ac:dyDescent="0.3">
      <c r="A4465" t="s">
        <v>4592</v>
      </c>
      <c r="B4465" s="1">
        <v>45843</v>
      </c>
      <c r="C4465" t="s">
        <v>11</v>
      </c>
      <c r="D4465">
        <v>27</v>
      </c>
      <c r="E4465" t="s">
        <v>61</v>
      </c>
      <c r="F4465" t="s">
        <v>78</v>
      </c>
      <c r="G4465" t="s">
        <v>234</v>
      </c>
      <c r="H4465" t="s">
        <v>211</v>
      </c>
      <c r="I4465">
        <v>15466</v>
      </c>
      <c r="J4465">
        <v>19953</v>
      </c>
    </row>
    <row r="4466" spans="1:10" x14ac:dyDescent="0.3">
      <c r="A4466" t="s">
        <v>4593</v>
      </c>
      <c r="B4466" s="1">
        <v>45873</v>
      </c>
      <c r="C4466" t="s">
        <v>113</v>
      </c>
      <c r="D4466">
        <v>32</v>
      </c>
      <c r="E4466" t="s">
        <v>18</v>
      </c>
      <c r="F4466" t="s">
        <v>114</v>
      </c>
      <c r="G4466" t="s">
        <v>145</v>
      </c>
      <c r="H4466" t="s">
        <v>27</v>
      </c>
      <c r="I4466">
        <v>29243</v>
      </c>
      <c r="J4466">
        <v>29517</v>
      </c>
    </row>
    <row r="4467" spans="1:10" x14ac:dyDescent="0.3">
      <c r="A4467" t="s">
        <v>4594</v>
      </c>
      <c r="B4467" s="1">
        <v>46016</v>
      </c>
      <c r="C4467" t="s">
        <v>100</v>
      </c>
      <c r="D4467">
        <v>52</v>
      </c>
      <c r="E4467" t="s">
        <v>24</v>
      </c>
      <c r="F4467" t="s">
        <v>25</v>
      </c>
      <c r="G4467" t="s">
        <v>191</v>
      </c>
      <c r="H4467" t="s">
        <v>59</v>
      </c>
      <c r="I4467">
        <v>17950</v>
      </c>
      <c r="J4467">
        <v>16261</v>
      </c>
    </row>
    <row r="4468" spans="1:10" x14ac:dyDescent="0.3">
      <c r="A4468" t="s">
        <v>4595</v>
      </c>
      <c r="B4468" s="1">
        <v>46004</v>
      </c>
      <c r="C4468" t="s">
        <v>100</v>
      </c>
      <c r="D4468">
        <v>50</v>
      </c>
      <c r="E4468" t="s">
        <v>12</v>
      </c>
      <c r="F4468" t="s">
        <v>78</v>
      </c>
      <c r="G4468" t="s">
        <v>147</v>
      </c>
      <c r="H4468" t="s">
        <v>84</v>
      </c>
      <c r="I4468">
        <v>23885</v>
      </c>
      <c r="J4468">
        <v>30425</v>
      </c>
    </row>
    <row r="4469" spans="1:10" x14ac:dyDescent="0.3">
      <c r="A4469" t="s">
        <v>4596</v>
      </c>
      <c r="B4469" s="1">
        <v>45924</v>
      </c>
      <c r="C4469" t="s">
        <v>38</v>
      </c>
      <c r="D4469">
        <v>39</v>
      </c>
      <c r="E4469" t="s">
        <v>24</v>
      </c>
      <c r="F4469" t="s">
        <v>78</v>
      </c>
      <c r="G4469" t="s">
        <v>40</v>
      </c>
      <c r="H4469" t="s">
        <v>151</v>
      </c>
      <c r="I4469">
        <v>17297</v>
      </c>
      <c r="J4469">
        <v>15675</v>
      </c>
    </row>
    <row r="4470" spans="1:10" x14ac:dyDescent="0.3">
      <c r="A4470" t="s">
        <v>4597</v>
      </c>
      <c r="B4470" s="1">
        <v>45952</v>
      </c>
      <c r="C4470" t="s">
        <v>66</v>
      </c>
      <c r="D4470">
        <v>43</v>
      </c>
      <c r="E4470" t="s">
        <v>18</v>
      </c>
      <c r="F4470" t="s">
        <v>13</v>
      </c>
      <c r="G4470" t="s">
        <v>102</v>
      </c>
      <c r="H4470" t="s">
        <v>243</v>
      </c>
      <c r="I4470">
        <v>15433</v>
      </c>
      <c r="J4470">
        <v>12543</v>
      </c>
    </row>
    <row r="4471" spans="1:10" x14ac:dyDescent="0.3">
      <c r="A4471" t="s">
        <v>4598</v>
      </c>
      <c r="B4471" s="1">
        <v>45748</v>
      </c>
      <c r="C4471" t="s">
        <v>86</v>
      </c>
      <c r="D4471">
        <v>14</v>
      </c>
      <c r="E4471" t="s">
        <v>12</v>
      </c>
      <c r="F4471" t="s">
        <v>50</v>
      </c>
      <c r="G4471" t="s">
        <v>58</v>
      </c>
      <c r="H4471" t="s">
        <v>155</v>
      </c>
      <c r="I4471">
        <v>29535</v>
      </c>
      <c r="J4471">
        <v>29611</v>
      </c>
    </row>
    <row r="4472" spans="1:10" x14ac:dyDescent="0.3">
      <c r="A4472" t="s">
        <v>4599</v>
      </c>
      <c r="B4472" s="1">
        <v>45912</v>
      </c>
      <c r="C4472" t="s">
        <v>38</v>
      </c>
      <c r="D4472">
        <v>37</v>
      </c>
      <c r="E4472" t="s">
        <v>39</v>
      </c>
      <c r="F4472" t="s">
        <v>101</v>
      </c>
      <c r="G4472" t="s">
        <v>324</v>
      </c>
      <c r="H4472" t="s">
        <v>55</v>
      </c>
      <c r="I4472">
        <v>18556</v>
      </c>
      <c r="J4472">
        <v>24119</v>
      </c>
    </row>
    <row r="4473" spans="1:10" x14ac:dyDescent="0.3">
      <c r="A4473" t="s">
        <v>4600</v>
      </c>
      <c r="B4473" s="1">
        <v>45816</v>
      </c>
      <c r="C4473" t="s">
        <v>74</v>
      </c>
      <c r="D4473">
        <v>23</v>
      </c>
      <c r="E4473" t="s">
        <v>24</v>
      </c>
      <c r="F4473" t="s">
        <v>50</v>
      </c>
      <c r="G4473" t="s">
        <v>67</v>
      </c>
      <c r="H4473" t="s">
        <v>211</v>
      </c>
      <c r="I4473">
        <v>39811</v>
      </c>
      <c r="J4473">
        <v>35902</v>
      </c>
    </row>
    <row r="4474" spans="1:10" x14ac:dyDescent="0.3">
      <c r="A4474" t="s">
        <v>4601</v>
      </c>
      <c r="B4474" s="1">
        <v>45732</v>
      </c>
      <c r="C4474" t="s">
        <v>95</v>
      </c>
      <c r="D4474">
        <v>11</v>
      </c>
      <c r="E4474" t="s">
        <v>12</v>
      </c>
      <c r="F4474" t="s">
        <v>19</v>
      </c>
      <c r="G4474" t="s">
        <v>234</v>
      </c>
      <c r="H4474" t="s">
        <v>163</v>
      </c>
      <c r="I4474">
        <v>27870</v>
      </c>
      <c r="J4474">
        <v>32821</v>
      </c>
    </row>
    <row r="4475" spans="1:10" x14ac:dyDescent="0.3">
      <c r="A4475" t="s">
        <v>4602</v>
      </c>
      <c r="B4475" s="1">
        <v>46009</v>
      </c>
      <c r="C4475" t="s">
        <v>100</v>
      </c>
      <c r="D4475">
        <v>51</v>
      </c>
      <c r="E4475" t="s">
        <v>24</v>
      </c>
      <c r="F4475" t="s">
        <v>50</v>
      </c>
      <c r="G4475" t="s">
        <v>145</v>
      </c>
      <c r="H4475" t="s">
        <v>80</v>
      </c>
      <c r="I4475">
        <v>26103</v>
      </c>
      <c r="J4475">
        <v>31520</v>
      </c>
    </row>
    <row r="4476" spans="1:10" x14ac:dyDescent="0.3">
      <c r="A4476" t="s">
        <v>4603</v>
      </c>
      <c r="B4476" s="1">
        <v>45893</v>
      </c>
      <c r="C4476" t="s">
        <v>113</v>
      </c>
      <c r="D4476">
        <v>34</v>
      </c>
      <c r="E4476" t="s">
        <v>61</v>
      </c>
      <c r="F4476" t="s">
        <v>29</v>
      </c>
      <c r="G4476" t="s">
        <v>115</v>
      </c>
      <c r="H4476" t="s">
        <v>116</v>
      </c>
      <c r="I4476">
        <v>18297</v>
      </c>
      <c r="J4476">
        <v>23676</v>
      </c>
    </row>
    <row r="4477" spans="1:10" x14ac:dyDescent="0.3">
      <c r="A4477" t="s">
        <v>4604</v>
      </c>
      <c r="B4477" s="1">
        <v>45808</v>
      </c>
      <c r="C4477" t="s">
        <v>90</v>
      </c>
      <c r="D4477">
        <v>22</v>
      </c>
      <c r="E4477" t="s">
        <v>61</v>
      </c>
      <c r="F4477" t="s">
        <v>13</v>
      </c>
      <c r="G4477" t="s">
        <v>191</v>
      </c>
      <c r="H4477" t="s">
        <v>165</v>
      </c>
      <c r="I4477">
        <v>31676</v>
      </c>
      <c r="J4477">
        <v>35815</v>
      </c>
    </row>
    <row r="4478" spans="1:10" x14ac:dyDescent="0.3">
      <c r="A4478" t="s">
        <v>4605</v>
      </c>
      <c r="B4478" s="1">
        <v>45991</v>
      </c>
      <c r="C4478" t="s">
        <v>23</v>
      </c>
      <c r="D4478">
        <v>48</v>
      </c>
      <c r="E4478" t="s">
        <v>70</v>
      </c>
      <c r="F4478" t="s">
        <v>101</v>
      </c>
      <c r="G4478" t="s">
        <v>63</v>
      </c>
      <c r="H4478" t="s">
        <v>165</v>
      </c>
      <c r="I4478">
        <v>21259</v>
      </c>
      <c r="J4478">
        <v>25918</v>
      </c>
    </row>
    <row r="4479" spans="1:10" x14ac:dyDescent="0.3">
      <c r="A4479" t="s">
        <v>4606</v>
      </c>
      <c r="B4479" s="1">
        <v>45852</v>
      </c>
      <c r="C4479" t="s">
        <v>11</v>
      </c>
      <c r="D4479">
        <v>29</v>
      </c>
      <c r="E4479" t="s">
        <v>39</v>
      </c>
      <c r="F4479" t="s">
        <v>57</v>
      </c>
      <c r="G4479" t="s">
        <v>54</v>
      </c>
      <c r="H4479" t="s">
        <v>103</v>
      </c>
      <c r="I4479">
        <v>16931</v>
      </c>
      <c r="J4479">
        <v>12370</v>
      </c>
    </row>
    <row r="4480" spans="1:10" x14ac:dyDescent="0.3">
      <c r="A4480" t="s">
        <v>4607</v>
      </c>
      <c r="B4480" s="1">
        <v>45775</v>
      </c>
      <c r="C4480" t="s">
        <v>86</v>
      </c>
      <c r="D4480">
        <v>18</v>
      </c>
      <c r="E4480" t="s">
        <v>39</v>
      </c>
      <c r="F4480" t="s">
        <v>101</v>
      </c>
      <c r="G4480" t="s">
        <v>326</v>
      </c>
      <c r="H4480" t="s">
        <v>41</v>
      </c>
      <c r="I4480">
        <v>26564</v>
      </c>
      <c r="J4480">
        <v>24289</v>
      </c>
    </row>
    <row r="4481" spans="1:10" x14ac:dyDescent="0.3">
      <c r="A4481" t="s">
        <v>4608</v>
      </c>
      <c r="B4481" s="1">
        <v>45714</v>
      </c>
      <c r="C4481" t="s">
        <v>82</v>
      </c>
      <c r="D4481">
        <v>9</v>
      </c>
      <c r="E4481" t="s">
        <v>12</v>
      </c>
      <c r="F4481" t="s">
        <v>19</v>
      </c>
      <c r="G4481" t="s">
        <v>160</v>
      </c>
      <c r="H4481" t="s">
        <v>41</v>
      </c>
      <c r="I4481">
        <v>19792</v>
      </c>
      <c r="J4481">
        <v>18363</v>
      </c>
    </row>
    <row r="4482" spans="1:10" x14ac:dyDescent="0.3">
      <c r="A4482" t="s">
        <v>4609</v>
      </c>
      <c r="B4482" s="1">
        <v>45742</v>
      </c>
      <c r="C4482" t="s">
        <v>95</v>
      </c>
      <c r="D4482">
        <v>13</v>
      </c>
      <c r="E4482" t="s">
        <v>12</v>
      </c>
      <c r="F4482" t="s">
        <v>92</v>
      </c>
      <c r="G4482" t="s">
        <v>224</v>
      </c>
      <c r="H4482" t="s">
        <v>211</v>
      </c>
      <c r="I4482">
        <v>28176</v>
      </c>
      <c r="J4482">
        <v>23232</v>
      </c>
    </row>
    <row r="4483" spans="1:10" x14ac:dyDescent="0.3">
      <c r="A4483" t="s">
        <v>4610</v>
      </c>
      <c r="B4483" s="1">
        <v>45788</v>
      </c>
      <c r="C4483" t="s">
        <v>90</v>
      </c>
      <c r="D4483">
        <v>19</v>
      </c>
      <c r="E4483" t="s">
        <v>24</v>
      </c>
      <c r="F4483" t="s">
        <v>29</v>
      </c>
      <c r="G4483" t="s">
        <v>145</v>
      </c>
      <c r="H4483" t="s">
        <v>165</v>
      </c>
      <c r="I4483">
        <v>33247</v>
      </c>
      <c r="J4483">
        <v>38687</v>
      </c>
    </row>
    <row r="4484" spans="1:10" x14ac:dyDescent="0.3">
      <c r="A4484" t="s">
        <v>4611</v>
      </c>
      <c r="B4484" s="1">
        <v>45792</v>
      </c>
      <c r="C4484" t="s">
        <v>90</v>
      </c>
      <c r="D4484">
        <v>20</v>
      </c>
      <c r="E4484" t="s">
        <v>39</v>
      </c>
      <c r="F4484" t="s">
        <v>140</v>
      </c>
      <c r="G4484" t="s">
        <v>132</v>
      </c>
      <c r="H4484" t="s">
        <v>123</v>
      </c>
      <c r="I4484">
        <v>15758</v>
      </c>
      <c r="J4484">
        <v>12481</v>
      </c>
    </row>
    <row r="4485" spans="1:10" x14ac:dyDescent="0.3">
      <c r="A4485" t="s">
        <v>4612</v>
      </c>
      <c r="B4485" s="1">
        <v>45992</v>
      </c>
      <c r="C4485" t="s">
        <v>100</v>
      </c>
      <c r="D4485">
        <v>49</v>
      </c>
      <c r="E4485" t="s">
        <v>18</v>
      </c>
      <c r="F4485" t="s">
        <v>43</v>
      </c>
      <c r="G4485" t="s">
        <v>14</v>
      </c>
      <c r="H4485" t="s">
        <v>188</v>
      </c>
      <c r="I4485">
        <v>15066</v>
      </c>
      <c r="J4485">
        <v>13715</v>
      </c>
    </row>
    <row r="4486" spans="1:10" x14ac:dyDescent="0.3">
      <c r="A4486" t="s">
        <v>4613</v>
      </c>
      <c r="B4486" s="1">
        <v>45992</v>
      </c>
      <c r="C4486" t="s">
        <v>100</v>
      </c>
      <c r="D4486">
        <v>49</v>
      </c>
      <c r="E4486" t="s">
        <v>70</v>
      </c>
      <c r="F4486" t="s">
        <v>87</v>
      </c>
      <c r="G4486" t="s">
        <v>128</v>
      </c>
      <c r="H4486" t="s">
        <v>41</v>
      </c>
      <c r="I4486">
        <v>24929</v>
      </c>
      <c r="J4486">
        <v>20272</v>
      </c>
    </row>
    <row r="4487" spans="1:10" x14ac:dyDescent="0.3">
      <c r="A4487" t="s">
        <v>4614</v>
      </c>
      <c r="B4487" s="1">
        <v>45807</v>
      </c>
      <c r="C4487" t="s">
        <v>90</v>
      </c>
      <c r="D4487">
        <v>22</v>
      </c>
      <c r="E4487" t="s">
        <v>61</v>
      </c>
      <c r="F4487" t="s">
        <v>25</v>
      </c>
      <c r="G4487" t="s">
        <v>230</v>
      </c>
      <c r="H4487" t="s">
        <v>116</v>
      </c>
      <c r="I4487">
        <v>27532</v>
      </c>
      <c r="J4487">
        <v>34368</v>
      </c>
    </row>
    <row r="4488" spans="1:10" x14ac:dyDescent="0.3">
      <c r="A4488" t="s">
        <v>4615</v>
      </c>
      <c r="B4488" s="1">
        <v>45697</v>
      </c>
      <c r="C4488" t="s">
        <v>82</v>
      </c>
      <c r="D4488">
        <v>6</v>
      </c>
      <c r="E4488" t="s">
        <v>18</v>
      </c>
      <c r="F4488" t="s">
        <v>92</v>
      </c>
      <c r="G4488" t="s">
        <v>102</v>
      </c>
      <c r="H4488" t="s">
        <v>21</v>
      </c>
      <c r="I4488">
        <v>27839</v>
      </c>
      <c r="J4488">
        <v>32127</v>
      </c>
    </row>
    <row r="4489" spans="1:10" x14ac:dyDescent="0.3">
      <c r="A4489" t="s">
        <v>4616</v>
      </c>
      <c r="B4489" s="1">
        <v>45831</v>
      </c>
      <c r="C4489" t="s">
        <v>74</v>
      </c>
      <c r="D4489">
        <v>26</v>
      </c>
      <c r="E4489" t="s">
        <v>70</v>
      </c>
      <c r="F4489" t="s">
        <v>43</v>
      </c>
      <c r="G4489" t="s">
        <v>72</v>
      </c>
      <c r="H4489" t="s">
        <v>48</v>
      </c>
      <c r="I4489">
        <v>20214</v>
      </c>
      <c r="J4489">
        <v>25670</v>
      </c>
    </row>
    <row r="4490" spans="1:10" x14ac:dyDescent="0.3">
      <c r="A4490" t="s">
        <v>4617</v>
      </c>
      <c r="B4490" s="1">
        <v>45846</v>
      </c>
      <c r="C4490" t="s">
        <v>11</v>
      </c>
      <c r="D4490">
        <v>28</v>
      </c>
      <c r="E4490" t="s">
        <v>39</v>
      </c>
      <c r="F4490" t="s">
        <v>46</v>
      </c>
      <c r="G4490" t="s">
        <v>206</v>
      </c>
      <c r="H4490" t="s">
        <v>98</v>
      </c>
      <c r="I4490">
        <v>23439</v>
      </c>
      <c r="J4490">
        <v>20174</v>
      </c>
    </row>
    <row r="4491" spans="1:10" x14ac:dyDescent="0.3">
      <c r="A4491" t="s">
        <v>4618</v>
      </c>
      <c r="B4491" s="1">
        <v>45739</v>
      </c>
      <c r="C4491" t="s">
        <v>95</v>
      </c>
      <c r="D4491">
        <v>12</v>
      </c>
      <c r="E4491" t="s">
        <v>24</v>
      </c>
      <c r="F4491" t="s">
        <v>29</v>
      </c>
      <c r="G4491" t="s">
        <v>47</v>
      </c>
      <c r="H4491" t="s">
        <v>163</v>
      </c>
      <c r="I4491">
        <v>38683</v>
      </c>
      <c r="J4491">
        <v>48571</v>
      </c>
    </row>
    <row r="4492" spans="1:10" x14ac:dyDescent="0.3">
      <c r="A4492" t="s">
        <v>4619</v>
      </c>
      <c r="B4492" s="1">
        <v>46015</v>
      </c>
      <c r="C4492" t="s">
        <v>100</v>
      </c>
      <c r="D4492">
        <v>52</v>
      </c>
      <c r="E4492" t="s">
        <v>18</v>
      </c>
      <c r="F4492" t="s">
        <v>43</v>
      </c>
      <c r="G4492" t="s">
        <v>145</v>
      </c>
      <c r="H4492" t="s">
        <v>41</v>
      </c>
      <c r="I4492">
        <v>25041</v>
      </c>
      <c r="J4492">
        <v>25010</v>
      </c>
    </row>
    <row r="4493" spans="1:10" x14ac:dyDescent="0.3">
      <c r="A4493" t="s">
        <v>4620</v>
      </c>
      <c r="B4493" s="1">
        <v>45930</v>
      </c>
      <c r="C4493" t="s">
        <v>38</v>
      </c>
      <c r="D4493">
        <v>40</v>
      </c>
      <c r="E4493" t="s">
        <v>18</v>
      </c>
      <c r="F4493" t="s">
        <v>29</v>
      </c>
      <c r="G4493" t="s">
        <v>88</v>
      </c>
      <c r="H4493" t="s">
        <v>165</v>
      </c>
      <c r="I4493">
        <v>30142</v>
      </c>
      <c r="J4493">
        <v>35468</v>
      </c>
    </row>
    <row r="4494" spans="1:10" x14ac:dyDescent="0.3">
      <c r="A4494" t="s">
        <v>4621</v>
      </c>
      <c r="B4494" s="1">
        <v>45751</v>
      </c>
      <c r="C4494" t="s">
        <v>86</v>
      </c>
      <c r="D4494">
        <v>14</v>
      </c>
      <c r="E4494" t="s">
        <v>33</v>
      </c>
      <c r="F4494" t="s">
        <v>114</v>
      </c>
      <c r="G4494" t="s">
        <v>26</v>
      </c>
      <c r="H4494" t="s">
        <v>55</v>
      </c>
      <c r="I4494">
        <v>29162</v>
      </c>
      <c r="J4494">
        <v>34333</v>
      </c>
    </row>
    <row r="4495" spans="1:10" x14ac:dyDescent="0.3">
      <c r="A4495" t="s">
        <v>4622</v>
      </c>
      <c r="B4495" s="1">
        <v>45777</v>
      </c>
      <c r="C4495" t="s">
        <v>86</v>
      </c>
      <c r="D4495">
        <v>18</v>
      </c>
      <c r="E4495" t="s">
        <v>18</v>
      </c>
      <c r="F4495" t="s">
        <v>78</v>
      </c>
      <c r="G4495" t="s">
        <v>132</v>
      </c>
      <c r="H4495" t="s">
        <v>84</v>
      </c>
      <c r="I4495">
        <v>27317</v>
      </c>
      <c r="J4495">
        <v>34172</v>
      </c>
    </row>
    <row r="4496" spans="1:10" x14ac:dyDescent="0.3">
      <c r="A4496" t="s">
        <v>4623</v>
      </c>
      <c r="B4496" s="1">
        <v>46021</v>
      </c>
      <c r="C4496" t="s">
        <v>100</v>
      </c>
      <c r="D4496">
        <v>1</v>
      </c>
      <c r="E4496" t="s">
        <v>24</v>
      </c>
      <c r="F4496" t="s">
        <v>101</v>
      </c>
      <c r="G4496" t="s">
        <v>132</v>
      </c>
      <c r="H4496" t="s">
        <v>27</v>
      </c>
      <c r="I4496">
        <v>30417</v>
      </c>
      <c r="J4496">
        <v>27478</v>
      </c>
    </row>
    <row r="4497" spans="1:10" x14ac:dyDescent="0.3">
      <c r="A4497" t="s">
        <v>4624</v>
      </c>
      <c r="B4497" s="1">
        <v>45964</v>
      </c>
      <c r="C4497" t="s">
        <v>23</v>
      </c>
      <c r="D4497">
        <v>45</v>
      </c>
      <c r="E4497" t="s">
        <v>33</v>
      </c>
      <c r="F4497" t="s">
        <v>114</v>
      </c>
      <c r="G4497" t="s">
        <v>160</v>
      </c>
      <c r="H4497" t="s">
        <v>151</v>
      </c>
      <c r="I4497">
        <v>28670</v>
      </c>
      <c r="J4497">
        <v>29845</v>
      </c>
    </row>
    <row r="4498" spans="1:10" x14ac:dyDescent="0.3">
      <c r="A4498" t="s">
        <v>4625</v>
      </c>
      <c r="B4498" s="1">
        <v>45773</v>
      </c>
      <c r="C4498" t="s">
        <v>86</v>
      </c>
      <c r="D4498">
        <v>17</v>
      </c>
      <c r="E4498" t="s">
        <v>61</v>
      </c>
      <c r="F4498" t="s">
        <v>109</v>
      </c>
      <c r="G4498" t="s">
        <v>240</v>
      </c>
      <c r="H4498" t="s">
        <v>111</v>
      </c>
      <c r="I4498">
        <v>32841</v>
      </c>
      <c r="J4498">
        <v>42170</v>
      </c>
    </row>
    <row r="4499" spans="1:10" x14ac:dyDescent="0.3">
      <c r="A4499" t="s">
        <v>4626</v>
      </c>
      <c r="B4499" s="1">
        <v>45877</v>
      </c>
      <c r="C4499" t="s">
        <v>113</v>
      </c>
      <c r="D4499">
        <v>32</v>
      </c>
      <c r="E4499" t="s">
        <v>33</v>
      </c>
      <c r="F4499" t="s">
        <v>57</v>
      </c>
      <c r="G4499" t="s">
        <v>47</v>
      </c>
      <c r="H4499" t="s">
        <v>64</v>
      </c>
      <c r="I4499">
        <v>37995</v>
      </c>
      <c r="J4499">
        <v>31805</v>
      </c>
    </row>
    <row r="4500" spans="1:10" x14ac:dyDescent="0.3">
      <c r="A4500" t="s">
        <v>4627</v>
      </c>
      <c r="B4500" s="1">
        <v>45877</v>
      </c>
      <c r="C4500" t="s">
        <v>113</v>
      </c>
      <c r="D4500">
        <v>32</v>
      </c>
      <c r="E4500" t="s">
        <v>61</v>
      </c>
      <c r="F4500" t="s">
        <v>29</v>
      </c>
      <c r="G4500" t="s">
        <v>326</v>
      </c>
      <c r="H4500" t="s">
        <v>243</v>
      </c>
      <c r="I4500">
        <v>29673</v>
      </c>
      <c r="J4500">
        <v>29526</v>
      </c>
    </row>
    <row r="4501" spans="1:10" x14ac:dyDescent="0.3">
      <c r="A4501" t="s">
        <v>4628</v>
      </c>
      <c r="B4501" s="1">
        <v>46003</v>
      </c>
      <c r="C4501" t="s">
        <v>100</v>
      </c>
      <c r="D4501">
        <v>50</v>
      </c>
      <c r="E4501" t="s">
        <v>39</v>
      </c>
      <c r="F4501" t="s">
        <v>57</v>
      </c>
      <c r="G4501" t="s">
        <v>110</v>
      </c>
      <c r="H4501" t="s">
        <v>243</v>
      </c>
      <c r="I4501">
        <v>25930</v>
      </c>
      <c r="J4501">
        <v>24068</v>
      </c>
    </row>
    <row r="4502" spans="1:10" x14ac:dyDescent="0.3">
      <c r="A4502" t="s">
        <v>4629</v>
      </c>
      <c r="B4502" s="1">
        <v>45941</v>
      </c>
      <c r="C4502" t="s">
        <v>66</v>
      </c>
      <c r="D4502">
        <v>41</v>
      </c>
      <c r="E4502" t="s">
        <v>18</v>
      </c>
      <c r="F4502" t="s">
        <v>87</v>
      </c>
      <c r="G4502" t="s">
        <v>26</v>
      </c>
      <c r="H4502" t="s">
        <v>163</v>
      </c>
      <c r="I4502">
        <v>30114</v>
      </c>
      <c r="J4502">
        <v>30507</v>
      </c>
    </row>
    <row r="4503" spans="1:10" x14ac:dyDescent="0.3">
      <c r="A4503" t="s">
        <v>4630</v>
      </c>
      <c r="B4503" s="1">
        <v>45932</v>
      </c>
      <c r="C4503" t="s">
        <v>66</v>
      </c>
      <c r="D4503">
        <v>40</v>
      </c>
      <c r="E4503" t="s">
        <v>12</v>
      </c>
      <c r="F4503" t="s">
        <v>43</v>
      </c>
      <c r="G4503" t="s">
        <v>130</v>
      </c>
      <c r="H4503" t="s">
        <v>163</v>
      </c>
      <c r="I4503">
        <v>18556</v>
      </c>
      <c r="J4503">
        <v>14427</v>
      </c>
    </row>
    <row r="4504" spans="1:10" x14ac:dyDescent="0.3">
      <c r="A4504" t="s">
        <v>4631</v>
      </c>
      <c r="B4504" s="1">
        <v>45961</v>
      </c>
      <c r="C4504" t="s">
        <v>66</v>
      </c>
      <c r="D4504">
        <v>44</v>
      </c>
      <c r="E4504" t="s">
        <v>18</v>
      </c>
      <c r="F4504" t="s">
        <v>43</v>
      </c>
      <c r="G4504" t="s">
        <v>147</v>
      </c>
      <c r="H4504" t="s">
        <v>243</v>
      </c>
      <c r="I4504">
        <v>26023</v>
      </c>
      <c r="J4504">
        <v>19490</v>
      </c>
    </row>
    <row r="4505" spans="1:10" x14ac:dyDescent="0.3">
      <c r="A4505" t="s">
        <v>4632</v>
      </c>
      <c r="B4505" s="1">
        <v>45872</v>
      </c>
      <c r="C4505" t="s">
        <v>113</v>
      </c>
      <c r="D4505">
        <v>31</v>
      </c>
      <c r="E4505" t="s">
        <v>70</v>
      </c>
      <c r="F4505" t="s">
        <v>46</v>
      </c>
      <c r="G4505" t="s">
        <v>107</v>
      </c>
      <c r="H4505" t="s">
        <v>48</v>
      </c>
      <c r="I4505">
        <v>31196</v>
      </c>
      <c r="J4505">
        <v>37438</v>
      </c>
    </row>
    <row r="4506" spans="1:10" x14ac:dyDescent="0.3">
      <c r="A4506" t="s">
        <v>4633</v>
      </c>
      <c r="B4506" s="1">
        <v>45761</v>
      </c>
      <c r="C4506" t="s">
        <v>86</v>
      </c>
      <c r="D4506">
        <v>16</v>
      </c>
      <c r="E4506" t="s">
        <v>39</v>
      </c>
      <c r="F4506" t="s">
        <v>78</v>
      </c>
      <c r="G4506" t="s">
        <v>88</v>
      </c>
      <c r="H4506" t="s">
        <v>36</v>
      </c>
      <c r="I4506">
        <v>21219</v>
      </c>
      <c r="J4506">
        <v>15066</v>
      </c>
    </row>
    <row r="4507" spans="1:10" x14ac:dyDescent="0.3">
      <c r="A4507" t="s">
        <v>4634</v>
      </c>
      <c r="B4507" s="1">
        <v>45799</v>
      </c>
      <c r="C4507" t="s">
        <v>90</v>
      </c>
      <c r="D4507">
        <v>21</v>
      </c>
      <c r="E4507" t="s">
        <v>12</v>
      </c>
      <c r="F4507" t="s">
        <v>75</v>
      </c>
      <c r="G4507" t="s">
        <v>20</v>
      </c>
      <c r="H4507" t="s">
        <v>59</v>
      </c>
      <c r="I4507">
        <v>39308</v>
      </c>
      <c r="J4507">
        <v>49037</v>
      </c>
    </row>
    <row r="4508" spans="1:10" x14ac:dyDescent="0.3">
      <c r="A4508" t="s">
        <v>4635</v>
      </c>
      <c r="B4508" s="1">
        <v>45986</v>
      </c>
      <c r="C4508" t="s">
        <v>23</v>
      </c>
      <c r="D4508">
        <v>48</v>
      </c>
      <c r="E4508" t="s">
        <v>12</v>
      </c>
      <c r="F4508" t="s">
        <v>75</v>
      </c>
      <c r="G4508" t="s">
        <v>240</v>
      </c>
      <c r="H4508" t="s">
        <v>133</v>
      </c>
      <c r="I4508">
        <v>15537</v>
      </c>
      <c r="J4508">
        <v>14319</v>
      </c>
    </row>
    <row r="4509" spans="1:10" x14ac:dyDescent="0.3">
      <c r="A4509" t="s">
        <v>4636</v>
      </c>
      <c r="B4509" s="1">
        <v>45904</v>
      </c>
      <c r="C4509" t="s">
        <v>38</v>
      </c>
      <c r="D4509">
        <v>36</v>
      </c>
      <c r="E4509" t="s">
        <v>70</v>
      </c>
      <c r="F4509" t="s">
        <v>62</v>
      </c>
      <c r="G4509" t="s">
        <v>191</v>
      </c>
      <c r="H4509" t="s">
        <v>80</v>
      </c>
      <c r="I4509">
        <v>23197</v>
      </c>
      <c r="J4509">
        <v>16928</v>
      </c>
    </row>
    <row r="4510" spans="1:10" x14ac:dyDescent="0.3">
      <c r="A4510" t="s">
        <v>4637</v>
      </c>
      <c r="B4510" s="1">
        <v>45914</v>
      </c>
      <c r="C4510" t="s">
        <v>38</v>
      </c>
      <c r="D4510">
        <v>37</v>
      </c>
      <c r="E4510" t="s">
        <v>24</v>
      </c>
      <c r="F4510" t="s">
        <v>19</v>
      </c>
      <c r="G4510" t="s">
        <v>79</v>
      </c>
      <c r="H4510" t="s">
        <v>68</v>
      </c>
      <c r="I4510">
        <v>25860</v>
      </c>
      <c r="J4510">
        <v>27128</v>
      </c>
    </row>
    <row r="4511" spans="1:10" x14ac:dyDescent="0.3">
      <c r="A4511" t="s">
        <v>4638</v>
      </c>
      <c r="B4511" s="1">
        <v>45796</v>
      </c>
      <c r="C4511" t="s">
        <v>90</v>
      </c>
      <c r="D4511">
        <v>21</v>
      </c>
      <c r="E4511" t="s">
        <v>39</v>
      </c>
      <c r="F4511" t="s">
        <v>122</v>
      </c>
      <c r="G4511" t="s">
        <v>130</v>
      </c>
      <c r="H4511" t="s">
        <v>84</v>
      </c>
      <c r="I4511">
        <v>18057</v>
      </c>
      <c r="J4511">
        <v>12991</v>
      </c>
    </row>
    <row r="4512" spans="1:10" x14ac:dyDescent="0.3">
      <c r="A4512" t="s">
        <v>4639</v>
      </c>
      <c r="B4512" s="1">
        <v>45909</v>
      </c>
      <c r="C4512" t="s">
        <v>38</v>
      </c>
      <c r="D4512">
        <v>37</v>
      </c>
      <c r="E4512" t="s">
        <v>33</v>
      </c>
      <c r="F4512" t="s">
        <v>19</v>
      </c>
      <c r="G4512" t="s">
        <v>201</v>
      </c>
      <c r="H4512" t="s">
        <v>243</v>
      </c>
      <c r="I4512">
        <v>38283</v>
      </c>
      <c r="J4512">
        <v>45059</v>
      </c>
    </row>
    <row r="4513" spans="1:10" x14ac:dyDescent="0.3">
      <c r="A4513" t="s">
        <v>4640</v>
      </c>
      <c r="B4513" s="1">
        <v>45967</v>
      </c>
      <c r="C4513" t="s">
        <v>23</v>
      </c>
      <c r="D4513">
        <v>45</v>
      </c>
      <c r="E4513" t="s">
        <v>70</v>
      </c>
      <c r="F4513" t="s">
        <v>13</v>
      </c>
      <c r="G4513" t="s">
        <v>230</v>
      </c>
      <c r="H4513" t="s">
        <v>163</v>
      </c>
      <c r="I4513">
        <v>38225</v>
      </c>
      <c r="J4513">
        <v>28176</v>
      </c>
    </row>
    <row r="4514" spans="1:10" x14ac:dyDescent="0.3">
      <c r="A4514" t="s">
        <v>4641</v>
      </c>
      <c r="B4514" s="1">
        <v>45672</v>
      </c>
      <c r="C4514" t="s">
        <v>17</v>
      </c>
      <c r="D4514">
        <v>3</v>
      </c>
      <c r="E4514" t="s">
        <v>12</v>
      </c>
      <c r="F4514" t="s">
        <v>122</v>
      </c>
      <c r="G4514" t="s">
        <v>79</v>
      </c>
      <c r="H4514" t="s">
        <v>48</v>
      </c>
      <c r="I4514">
        <v>15809</v>
      </c>
      <c r="J4514">
        <v>18272</v>
      </c>
    </row>
    <row r="4515" spans="1:10" x14ac:dyDescent="0.3">
      <c r="A4515" t="s">
        <v>4642</v>
      </c>
      <c r="B4515" s="1">
        <v>45833</v>
      </c>
      <c r="C4515" t="s">
        <v>74</v>
      </c>
      <c r="D4515">
        <v>26</v>
      </c>
      <c r="E4515" t="s">
        <v>70</v>
      </c>
      <c r="F4515" t="s">
        <v>43</v>
      </c>
      <c r="G4515" t="s">
        <v>115</v>
      </c>
      <c r="H4515" t="s">
        <v>59</v>
      </c>
      <c r="I4515">
        <v>25193</v>
      </c>
      <c r="J4515">
        <v>31930</v>
      </c>
    </row>
    <row r="4516" spans="1:10" x14ac:dyDescent="0.3">
      <c r="A4516" t="s">
        <v>4643</v>
      </c>
      <c r="B4516" s="1">
        <v>45972</v>
      </c>
      <c r="C4516" t="s">
        <v>23</v>
      </c>
      <c r="D4516">
        <v>46</v>
      </c>
      <c r="E4516" t="s">
        <v>33</v>
      </c>
      <c r="F4516" t="s">
        <v>46</v>
      </c>
      <c r="G4516" t="s">
        <v>40</v>
      </c>
      <c r="H4516" t="s">
        <v>116</v>
      </c>
      <c r="I4516">
        <v>32478</v>
      </c>
      <c r="J4516">
        <v>38259</v>
      </c>
    </row>
    <row r="4517" spans="1:10" x14ac:dyDescent="0.3">
      <c r="A4517" t="s">
        <v>4644</v>
      </c>
      <c r="B4517" s="1">
        <v>45881</v>
      </c>
      <c r="C4517" t="s">
        <v>113</v>
      </c>
      <c r="D4517">
        <v>33</v>
      </c>
      <c r="E4517" t="s">
        <v>24</v>
      </c>
      <c r="F4517" t="s">
        <v>140</v>
      </c>
      <c r="G4517" t="s">
        <v>110</v>
      </c>
      <c r="H4517" t="s">
        <v>155</v>
      </c>
      <c r="I4517">
        <v>22126</v>
      </c>
      <c r="J4517">
        <v>22220</v>
      </c>
    </row>
    <row r="4518" spans="1:10" x14ac:dyDescent="0.3">
      <c r="A4518" t="s">
        <v>4645</v>
      </c>
      <c r="B4518" s="1">
        <v>46018</v>
      </c>
      <c r="C4518" t="s">
        <v>100</v>
      </c>
      <c r="D4518">
        <v>52</v>
      </c>
      <c r="E4518" t="s">
        <v>70</v>
      </c>
      <c r="F4518" t="s">
        <v>13</v>
      </c>
      <c r="G4518" t="s">
        <v>326</v>
      </c>
      <c r="H4518" t="s">
        <v>21</v>
      </c>
      <c r="I4518">
        <v>29554</v>
      </c>
      <c r="J4518">
        <v>28044</v>
      </c>
    </row>
    <row r="4519" spans="1:10" x14ac:dyDescent="0.3">
      <c r="A4519" t="s">
        <v>4646</v>
      </c>
      <c r="B4519" s="1">
        <v>45665</v>
      </c>
      <c r="C4519" t="s">
        <v>17</v>
      </c>
      <c r="D4519">
        <v>2</v>
      </c>
      <c r="E4519" t="s">
        <v>12</v>
      </c>
      <c r="F4519" t="s">
        <v>140</v>
      </c>
      <c r="G4519" t="s">
        <v>63</v>
      </c>
      <c r="H4519" t="s">
        <v>163</v>
      </c>
      <c r="I4519">
        <v>30211</v>
      </c>
      <c r="J4519">
        <v>30620</v>
      </c>
    </row>
    <row r="4520" spans="1:10" x14ac:dyDescent="0.3">
      <c r="A4520" t="s">
        <v>4647</v>
      </c>
      <c r="B4520" s="1">
        <v>45716</v>
      </c>
      <c r="C4520" t="s">
        <v>82</v>
      </c>
      <c r="D4520">
        <v>9</v>
      </c>
      <c r="E4520" t="s">
        <v>39</v>
      </c>
      <c r="F4520" t="s">
        <v>46</v>
      </c>
      <c r="G4520" t="s">
        <v>147</v>
      </c>
      <c r="H4520" t="s">
        <v>64</v>
      </c>
      <c r="I4520">
        <v>21373</v>
      </c>
      <c r="J4520">
        <v>27207</v>
      </c>
    </row>
    <row r="4521" spans="1:10" x14ac:dyDescent="0.3">
      <c r="A4521" t="s">
        <v>4648</v>
      </c>
      <c r="B4521" s="1">
        <v>45990</v>
      </c>
      <c r="C4521" t="s">
        <v>23</v>
      </c>
      <c r="D4521">
        <v>48</v>
      </c>
      <c r="E4521" t="s">
        <v>24</v>
      </c>
      <c r="F4521" t="s">
        <v>75</v>
      </c>
      <c r="G4521" t="s">
        <v>149</v>
      </c>
      <c r="H4521" t="s">
        <v>155</v>
      </c>
      <c r="I4521">
        <v>20791</v>
      </c>
      <c r="J4521">
        <v>16251</v>
      </c>
    </row>
    <row r="4522" spans="1:10" x14ac:dyDescent="0.3">
      <c r="A4522" t="s">
        <v>4649</v>
      </c>
      <c r="B4522" s="1">
        <v>45816</v>
      </c>
      <c r="C4522" t="s">
        <v>74</v>
      </c>
      <c r="D4522">
        <v>23</v>
      </c>
      <c r="E4522" t="s">
        <v>24</v>
      </c>
      <c r="F4522" t="s">
        <v>92</v>
      </c>
      <c r="G4522" t="s">
        <v>102</v>
      </c>
      <c r="H4522" t="s">
        <v>31</v>
      </c>
      <c r="I4522">
        <v>17773</v>
      </c>
      <c r="J4522">
        <v>16544</v>
      </c>
    </row>
    <row r="4523" spans="1:10" x14ac:dyDescent="0.3">
      <c r="A4523" t="s">
        <v>4650</v>
      </c>
      <c r="B4523" s="1">
        <v>45762</v>
      </c>
      <c r="C4523" t="s">
        <v>86</v>
      </c>
      <c r="D4523">
        <v>16</v>
      </c>
      <c r="E4523" t="s">
        <v>12</v>
      </c>
      <c r="F4523" t="s">
        <v>13</v>
      </c>
      <c r="G4523" t="s">
        <v>72</v>
      </c>
      <c r="H4523" t="s">
        <v>151</v>
      </c>
      <c r="I4523">
        <v>23961</v>
      </c>
      <c r="J4523">
        <v>25833</v>
      </c>
    </row>
    <row r="4524" spans="1:10" x14ac:dyDescent="0.3">
      <c r="A4524" t="s">
        <v>4651</v>
      </c>
      <c r="B4524" s="1">
        <v>45908</v>
      </c>
      <c r="C4524" t="s">
        <v>38</v>
      </c>
      <c r="D4524">
        <v>37</v>
      </c>
      <c r="E4524" t="s">
        <v>24</v>
      </c>
      <c r="F4524" t="s">
        <v>140</v>
      </c>
      <c r="G4524" t="s">
        <v>102</v>
      </c>
      <c r="H4524" t="s">
        <v>64</v>
      </c>
      <c r="I4524">
        <v>21757</v>
      </c>
      <c r="J4524">
        <v>23470</v>
      </c>
    </row>
    <row r="4525" spans="1:10" x14ac:dyDescent="0.3">
      <c r="A4525" t="s">
        <v>4652</v>
      </c>
      <c r="B4525" s="1">
        <v>45704</v>
      </c>
      <c r="C4525" t="s">
        <v>82</v>
      </c>
      <c r="D4525">
        <v>7</v>
      </c>
      <c r="E4525" t="s">
        <v>70</v>
      </c>
      <c r="F4525" t="s">
        <v>140</v>
      </c>
      <c r="G4525" t="s">
        <v>135</v>
      </c>
      <c r="H4525" t="s">
        <v>80</v>
      </c>
      <c r="I4525">
        <v>34340</v>
      </c>
      <c r="J4525">
        <v>28497</v>
      </c>
    </row>
    <row r="4526" spans="1:10" x14ac:dyDescent="0.3">
      <c r="A4526" t="s">
        <v>4653</v>
      </c>
      <c r="B4526" s="1">
        <v>45715</v>
      </c>
      <c r="C4526" t="s">
        <v>82</v>
      </c>
      <c r="D4526">
        <v>9</v>
      </c>
      <c r="E4526" t="s">
        <v>12</v>
      </c>
      <c r="F4526" t="s">
        <v>34</v>
      </c>
      <c r="G4526" t="s">
        <v>230</v>
      </c>
      <c r="H4526" t="s">
        <v>64</v>
      </c>
      <c r="I4526">
        <v>24919</v>
      </c>
      <c r="J4526">
        <v>23588</v>
      </c>
    </row>
    <row r="4527" spans="1:10" x14ac:dyDescent="0.3">
      <c r="A4527" t="s">
        <v>4654</v>
      </c>
      <c r="B4527" s="1">
        <v>45976</v>
      </c>
      <c r="C4527" t="s">
        <v>23</v>
      </c>
      <c r="D4527">
        <v>46</v>
      </c>
      <c r="E4527" t="s">
        <v>61</v>
      </c>
      <c r="F4527" t="s">
        <v>34</v>
      </c>
      <c r="G4527" t="s">
        <v>171</v>
      </c>
      <c r="H4527" t="s">
        <v>119</v>
      </c>
      <c r="I4527">
        <v>22417</v>
      </c>
      <c r="J4527">
        <v>24647</v>
      </c>
    </row>
    <row r="4528" spans="1:10" x14ac:dyDescent="0.3">
      <c r="A4528" t="s">
        <v>4655</v>
      </c>
      <c r="B4528" s="1">
        <v>45855</v>
      </c>
      <c r="C4528" t="s">
        <v>11</v>
      </c>
      <c r="D4528">
        <v>29</v>
      </c>
      <c r="E4528" t="s">
        <v>39</v>
      </c>
      <c r="F4528" t="s">
        <v>19</v>
      </c>
      <c r="G4528" t="s">
        <v>145</v>
      </c>
      <c r="H4528" t="s">
        <v>21</v>
      </c>
      <c r="I4528">
        <v>29908</v>
      </c>
      <c r="J4528">
        <v>21477</v>
      </c>
    </row>
    <row r="4529" spans="1:10" x14ac:dyDescent="0.3">
      <c r="A4529" t="s">
        <v>4656</v>
      </c>
      <c r="B4529" s="1">
        <v>45972</v>
      </c>
      <c r="C4529" t="s">
        <v>23</v>
      </c>
      <c r="D4529">
        <v>46</v>
      </c>
      <c r="E4529" t="s">
        <v>18</v>
      </c>
      <c r="F4529" t="s">
        <v>78</v>
      </c>
      <c r="G4529" t="s">
        <v>58</v>
      </c>
      <c r="H4529" t="s">
        <v>111</v>
      </c>
      <c r="I4529">
        <v>30835</v>
      </c>
      <c r="J4529">
        <v>31268</v>
      </c>
    </row>
    <row r="4530" spans="1:10" x14ac:dyDescent="0.3">
      <c r="A4530" t="s">
        <v>4657</v>
      </c>
      <c r="B4530" s="1">
        <v>46001</v>
      </c>
      <c r="C4530" t="s">
        <v>100</v>
      </c>
      <c r="D4530">
        <v>50</v>
      </c>
      <c r="E4530" t="s">
        <v>12</v>
      </c>
      <c r="F4530" t="s">
        <v>13</v>
      </c>
      <c r="G4530" t="s">
        <v>76</v>
      </c>
      <c r="H4530" t="s">
        <v>84</v>
      </c>
      <c r="I4530">
        <v>34024</v>
      </c>
      <c r="J4530">
        <v>40493</v>
      </c>
    </row>
    <row r="4531" spans="1:10" x14ac:dyDescent="0.3">
      <c r="A4531" t="s">
        <v>4658</v>
      </c>
      <c r="B4531" s="1">
        <v>45783</v>
      </c>
      <c r="C4531" t="s">
        <v>90</v>
      </c>
      <c r="D4531">
        <v>19</v>
      </c>
      <c r="E4531" t="s">
        <v>70</v>
      </c>
      <c r="F4531" t="s">
        <v>50</v>
      </c>
      <c r="G4531" t="s">
        <v>40</v>
      </c>
      <c r="H4531" t="s">
        <v>15</v>
      </c>
      <c r="I4531">
        <v>19555</v>
      </c>
      <c r="J4531">
        <v>21292</v>
      </c>
    </row>
    <row r="4532" spans="1:10" x14ac:dyDescent="0.3">
      <c r="A4532" t="s">
        <v>4659</v>
      </c>
      <c r="B4532" s="1">
        <v>45964</v>
      </c>
      <c r="C4532" t="s">
        <v>23</v>
      </c>
      <c r="D4532">
        <v>45</v>
      </c>
      <c r="E4532" t="s">
        <v>39</v>
      </c>
      <c r="F4532" t="s">
        <v>19</v>
      </c>
      <c r="G4532" t="s">
        <v>107</v>
      </c>
      <c r="H4532" t="s">
        <v>155</v>
      </c>
      <c r="I4532">
        <v>26662</v>
      </c>
      <c r="J4532">
        <v>33172</v>
      </c>
    </row>
    <row r="4533" spans="1:10" x14ac:dyDescent="0.3">
      <c r="A4533" t="s">
        <v>4660</v>
      </c>
      <c r="B4533" s="1">
        <v>45799</v>
      </c>
      <c r="C4533" t="s">
        <v>90</v>
      </c>
      <c r="D4533">
        <v>21</v>
      </c>
      <c r="E4533" t="s">
        <v>61</v>
      </c>
      <c r="F4533" t="s">
        <v>25</v>
      </c>
      <c r="G4533" t="s">
        <v>47</v>
      </c>
      <c r="H4533" t="s">
        <v>133</v>
      </c>
      <c r="I4533">
        <v>15721</v>
      </c>
      <c r="J4533">
        <v>20156</v>
      </c>
    </row>
    <row r="4534" spans="1:10" x14ac:dyDescent="0.3">
      <c r="A4534" t="s">
        <v>4661</v>
      </c>
      <c r="B4534" s="1">
        <v>45911</v>
      </c>
      <c r="C4534" t="s">
        <v>38</v>
      </c>
      <c r="D4534">
        <v>37</v>
      </c>
      <c r="E4534" t="s">
        <v>39</v>
      </c>
      <c r="F4534" t="s">
        <v>78</v>
      </c>
      <c r="G4534" t="s">
        <v>126</v>
      </c>
      <c r="H4534" t="s">
        <v>84</v>
      </c>
      <c r="I4534">
        <v>18244</v>
      </c>
      <c r="J4534">
        <v>14648</v>
      </c>
    </row>
    <row r="4535" spans="1:10" x14ac:dyDescent="0.3">
      <c r="A4535" t="s">
        <v>4662</v>
      </c>
      <c r="B4535" s="1">
        <v>45918</v>
      </c>
      <c r="C4535" t="s">
        <v>38</v>
      </c>
      <c r="D4535">
        <v>38</v>
      </c>
      <c r="E4535" t="s">
        <v>33</v>
      </c>
      <c r="F4535" t="s">
        <v>78</v>
      </c>
      <c r="G4535" t="s">
        <v>40</v>
      </c>
      <c r="H4535" t="s">
        <v>123</v>
      </c>
      <c r="I4535">
        <v>19287</v>
      </c>
      <c r="J4535">
        <v>23905</v>
      </c>
    </row>
    <row r="4536" spans="1:10" x14ac:dyDescent="0.3">
      <c r="A4536" t="s">
        <v>4663</v>
      </c>
      <c r="B4536" s="1">
        <v>45922</v>
      </c>
      <c r="C4536" t="s">
        <v>38</v>
      </c>
      <c r="D4536">
        <v>39</v>
      </c>
      <c r="E4536" t="s">
        <v>39</v>
      </c>
      <c r="F4536" t="s">
        <v>34</v>
      </c>
      <c r="G4536" t="s">
        <v>201</v>
      </c>
      <c r="H4536" t="s">
        <v>123</v>
      </c>
      <c r="I4536">
        <v>33396</v>
      </c>
      <c r="J4536">
        <v>28882</v>
      </c>
    </row>
    <row r="4537" spans="1:10" x14ac:dyDescent="0.3">
      <c r="A4537" t="s">
        <v>4664</v>
      </c>
      <c r="B4537" s="1">
        <v>45837</v>
      </c>
      <c r="C4537" t="s">
        <v>74</v>
      </c>
      <c r="D4537">
        <v>26</v>
      </c>
      <c r="E4537" t="s">
        <v>70</v>
      </c>
      <c r="F4537" t="s">
        <v>109</v>
      </c>
      <c r="G4537" t="s">
        <v>63</v>
      </c>
      <c r="H4537" t="s">
        <v>68</v>
      </c>
      <c r="I4537">
        <v>28827</v>
      </c>
      <c r="J4537">
        <v>25430</v>
      </c>
    </row>
    <row r="4538" spans="1:10" x14ac:dyDescent="0.3">
      <c r="A4538" t="s">
        <v>4665</v>
      </c>
      <c r="B4538" s="1">
        <v>45717</v>
      </c>
      <c r="C4538" t="s">
        <v>95</v>
      </c>
      <c r="D4538">
        <v>9</v>
      </c>
      <c r="E4538" t="s">
        <v>18</v>
      </c>
      <c r="F4538" t="s">
        <v>92</v>
      </c>
      <c r="G4538" t="s">
        <v>160</v>
      </c>
      <c r="H4538" t="s">
        <v>52</v>
      </c>
      <c r="I4538">
        <v>30960</v>
      </c>
      <c r="J4538">
        <v>27543</v>
      </c>
    </row>
    <row r="4539" spans="1:10" x14ac:dyDescent="0.3">
      <c r="A4539" t="s">
        <v>4666</v>
      </c>
      <c r="B4539" s="1">
        <v>45836</v>
      </c>
      <c r="C4539" t="s">
        <v>74</v>
      </c>
      <c r="D4539">
        <v>26</v>
      </c>
      <c r="E4539" t="s">
        <v>39</v>
      </c>
      <c r="F4539" t="s">
        <v>29</v>
      </c>
      <c r="G4539" t="s">
        <v>240</v>
      </c>
      <c r="H4539" t="s">
        <v>111</v>
      </c>
      <c r="I4539">
        <v>15668</v>
      </c>
      <c r="J4539">
        <v>18106</v>
      </c>
    </row>
    <row r="4540" spans="1:10" x14ac:dyDescent="0.3">
      <c r="A4540" t="s">
        <v>4667</v>
      </c>
      <c r="B4540" s="1">
        <v>45969</v>
      </c>
      <c r="C4540" t="s">
        <v>23</v>
      </c>
      <c r="D4540">
        <v>45</v>
      </c>
      <c r="E4540" t="s">
        <v>61</v>
      </c>
      <c r="F4540" t="s">
        <v>13</v>
      </c>
      <c r="G4540" t="s">
        <v>107</v>
      </c>
      <c r="H4540" t="s">
        <v>55</v>
      </c>
      <c r="I4540">
        <v>17658</v>
      </c>
      <c r="J4540">
        <v>12690</v>
      </c>
    </row>
    <row r="4541" spans="1:10" x14ac:dyDescent="0.3">
      <c r="A4541" t="s">
        <v>4668</v>
      </c>
      <c r="B4541" s="1">
        <v>45817</v>
      </c>
      <c r="C4541" t="s">
        <v>74</v>
      </c>
      <c r="D4541">
        <v>24</v>
      </c>
      <c r="E4541" t="s">
        <v>61</v>
      </c>
      <c r="F4541" t="s">
        <v>43</v>
      </c>
      <c r="G4541" t="s">
        <v>93</v>
      </c>
      <c r="H4541" t="s">
        <v>52</v>
      </c>
      <c r="I4541">
        <v>23506</v>
      </c>
      <c r="J4541">
        <v>23310</v>
      </c>
    </row>
    <row r="4542" spans="1:10" x14ac:dyDescent="0.3">
      <c r="A4542" t="s">
        <v>4669</v>
      </c>
      <c r="B4542" s="1">
        <v>45913</v>
      </c>
      <c r="C4542" t="s">
        <v>38</v>
      </c>
      <c r="D4542">
        <v>37</v>
      </c>
      <c r="E4542" t="s">
        <v>24</v>
      </c>
      <c r="F4542" t="s">
        <v>19</v>
      </c>
      <c r="G4542" t="s">
        <v>83</v>
      </c>
      <c r="H4542" t="s">
        <v>27</v>
      </c>
      <c r="I4542">
        <v>17191</v>
      </c>
      <c r="J4542">
        <v>17713</v>
      </c>
    </row>
    <row r="4543" spans="1:10" x14ac:dyDescent="0.3">
      <c r="A4543" t="s">
        <v>4670</v>
      </c>
      <c r="B4543" s="1">
        <v>46020</v>
      </c>
      <c r="C4543" t="s">
        <v>100</v>
      </c>
      <c r="D4543">
        <v>1</v>
      </c>
      <c r="E4543" t="s">
        <v>33</v>
      </c>
      <c r="F4543" t="s">
        <v>62</v>
      </c>
      <c r="G4543" t="s">
        <v>266</v>
      </c>
      <c r="H4543" t="s">
        <v>21</v>
      </c>
      <c r="I4543">
        <v>31916</v>
      </c>
      <c r="J4543">
        <v>27948</v>
      </c>
    </row>
    <row r="4544" spans="1:10" x14ac:dyDescent="0.3">
      <c r="A4544" t="s">
        <v>4671</v>
      </c>
      <c r="B4544" s="1">
        <v>45789</v>
      </c>
      <c r="C4544" t="s">
        <v>90</v>
      </c>
      <c r="D4544">
        <v>20</v>
      </c>
      <c r="E4544" t="s">
        <v>33</v>
      </c>
      <c r="F4544" t="s">
        <v>101</v>
      </c>
      <c r="G4544" t="s">
        <v>135</v>
      </c>
      <c r="H4544" t="s">
        <v>80</v>
      </c>
      <c r="I4544">
        <v>27170</v>
      </c>
      <c r="J4544">
        <v>27914</v>
      </c>
    </row>
    <row r="4545" spans="1:10" x14ac:dyDescent="0.3">
      <c r="A4545" t="s">
        <v>4672</v>
      </c>
      <c r="B4545" s="1">
        <v>45699</v>
      </c>
      <c r="C4545" t="s">
        <v>82</v>
      </c>
      <c r="D4545">
        <v>7</v>
      </c>
      <c r="E4545" t="s">
        <v>12</v>
      </c>
      <c r="F4545" t="s">
        <v>122</v>
      </c>
      <c r="G4545" t="s">
        <v>201</v>
      </c>
      <c r="H4545" t="s">
        <v>68</v>
      </c>
      <c r="I4545">
        <v>17679</v>
      </c>
      <c r="J4545">
        <v>22480</v>
      </c>
    </row>
    <row r="4546" spans="1:10" x14ac:dyDescent="0.3">
      <c r="A4546" t="s">
        <v>4673</v>
      </c>
      <c r="B4546" s="1">
        <v>45750</v>
      </c>
      <c r="C4546" t="s">
        <v>86</v>
      </c>
      <c r="D4546">
        <v>14</v>
      </c>
      <c r="E4546" t="s">
        <v>33</v>
      </c>
      <c r="F4546" t="s">
        <v>57</v>
      </c>
      <c r="G4546" t="s">
        <v>206</v>
      </c>
      <c r="H4546" t="s">
        <v>59</v>
      </c>
      <c r="I4546">
        <v>19801</v>
      </c>
      <c r="J4546">
        <v>18997</v>
      </c>
    </row>
    <row r="4547" spans="1:10" x14ac:dyDescent="0.3">
      <c r="A4547" t="s">
        <v>4674</v>
      </c>
      <c r="B4547" s="1">
        <v>45968</v>
      </c>
      <c r="C4547" t="s">
        <v>23</v>
      </c>
      <c r="D4547">
        <v>45</v>
      </c>
      <c r="E4547" t="s">
        <v>12</v>
      </c>
      <c r="F4547" t="s">
        <v>34</v>
      </c>
      <c r="G4547" t="s">
        <v>58</v>
      </c>
      <c r="H4547" t="s">
        <v>59</v>
      </c>
      <c r="I4547">
        <v>23078</v>
      </c>
      <c r="J4547">
        <v>22552</v>
      </c>
    </row>
    <row r="4548" spans="1:10" x14ac:dyDescent="0.3">
      <c r="A4548" t="s">
        <v>4675</v>
      </c>
      <c r="B4548" s="1">
        <v>45800</v>
      </c>
      <c r="C4548" t="s">
        <v>90</v>
      </c>
      <c r="D4548">
        <v>21</v>
      </c>
      <c r="E4548" t="s">
        <v>61</v>
      </c>
      <c r="F4548" t="s">
        <v>19</v>
      </c>
      <c r="G4548" t="s">
        <v>266</v>
      </c>
      <c r="H4548" t="s">
        <v>119</v>
      </c>
      <c r="I4548">
        <v>24518</v>
      </c>
      <c r="J4548">
        <v>18907</v>
      </c>
    </row>
    <row r="4549" spans="1:10" x14ac:dyDescent="0.3">
      <c r="A4549" t="s">
        <v>4676</v>
      </c>
      <c r="B4549" s="1">
        <v>45943</v>
      </c>
      <c r="C4549" t="s">
        <v>66</v>
      </c>
      <c r="D4549">
        <v>42</v>
      </c>
      <c r="E4549" t="s">
        <v>12</v>
      </c>
      <c r="F4549" t="s">
        <v>87</v>
      </c>
      <c r="G4549" t="s">
        <v>54</v>
      </c>
      <c r="H4549" t="s">
        <v>96</v>
      </c>
      <c r="I4549">
        <v>22647</v>
      </c>
      <c r="J4549">
        <v>22052</v>
      </c>
    </row>
    <row r="4550" spans="1:10" x14ac:dyDescent="0.3">
      <c r="A4550" t="s">
        <v>4677</v>
      </c>
      <c r="B4550" s="1">
        <v>45939</v>
      </c>
      <c r="C4550" t="s">
        <v>66</v>
      </c>
      <c r="D4550">
        <v>41</v>
      </c>
      <c r="E4550" t="s">
        <v>33</v>
      </c>
      <c r="F4550" t="s">
        <v>193</v>
      </c>
      <c r="G4550" t="s">
        <v>149</v>
      </c>
      <c r="H4550" t="s">
        <v>31</v>
      </c>
      <c r="I4550">
        <v>15590</v>
      </c>
      <c r="J4550">
        <v>11512</v>
      </c>
    </row>
    <row r="4551" spans="1:10" x14ac:dyDescent="0.3">
      <c r="A4551" t="s">
        <v>4678</v>
      </c>
      <c r="B4551" s="1">
        <v>45746</v>
      </c>
      <c r="C4551" t="s">
        <v>95</v>
      </c>
      <c r="D4551">
        <v>13</v>
      </c>
      <c r="E4551" t="s">
        <v>18</v>
      </c>
      <c r="F4551" t="s">
        <v>43</v>
      </c>
      <c r="G4551" t="s">
        <v>83</v>
      </c>
      <c r="H4551" t="s">
        <v>27</v>
      </c>
      <c r="I4551">
        <v>19444</v>
      </c>
      <c r="J4551">
        <v>17143</v>
      </c>
    </row>
    <row r="4552" spans="1:10" x14ac:dyDescent="0.3">
      <c r="A4552" t="s">
        <v>4679</v>
      </c>
      <c r="B4552" s="1">
        <v>45694</v>
      </c>
      <c r="C4552" t="s">
        <v>82</v>
      </c>
      <c r="D4552">
        <v>6</v>
      </c>
      <c r="E4552" t="s">
        <v>33</v>
      </c>
      <c r="F4552" t="s">
        <v>43</v>
      </c>
      <c r="G4552" t="s">
        <v>132</v>
      </c>
      <c r="H4552" t="s">
        <v>103</v>
      </c>
      <c r="I4552">
        <v>25233</v>
      </c>
      <c r="J4552">
        <v>18024</v>
      </c>
    </row>
    <row r="4553" spans="1:10" x14ac:dyDescent="0.3">
      <c r="A4553" t="s">
        <v>4680</v>
      </c>
      <c r="B4553" s="1">
        <v>45711</v>
      </c>
      <c r="C4553" t="s">
        <v>82</v>
      </c>
      <c r="D4553">
        <v>8</v>
      </c>
      <c r="E4553" t="s">
        <v>33</v>
      </c>
      <c r="F4553" t="s">
        <v>109</v>
      </c>
      <c r="G4553" t="s">
        <v>147</v>
      </c>
      <c r="H4553" t="s">
        <v>68</v>
      </c>
      <c r="I4553">
        <v>17034</v>
      </c>
      <c r="J4553">
        <v>15737</v>
      </c>
    </row>
    <row r="4554" spans="1:10" x14ac:dyDescent="0.3">
      <c r="A4554" t="s">
        <v>4681</v>
      </c>
      <c r="B4554" s="1">
        <v>45914</v>
      </c>
      <c r="C4554" t="s">
        <v>38</v>
      </c>
      <c r="D4554">
        <v>37</v>
      </c>
      <c r="E4554" t="s">
        <v>61</v>
      </c>
      <c r="F4554" t="s">
        <v>109</v>
      </c>
      <c r="G4554" t="s">
        <v>51</v>
      </c>
      <c r="H4554" t="s">
        <v>103</v>
      </c>
      <c r="I4554">
        <v>39647</v>
      </c>
      <c r="J4554">
        <v>48562</v>
      </c>
    </row>
    <row r="4555" spans="1:10" x14ac:dyDescent="0.3">
      <c r="A4555" t="s">
        <v>4682</v>
      </c>
      <c r="B4555" s="1">
        <v>45966</v>
      </c>
      <c r="C4555" t="s">
        <v>23</v>
      </c>
      <c r="D4555">
        <v>45</v>
      </c>
      <c r="E4555" t="s">
        <v>12</v>
      </c>
      <c r="F4555" t="s">
        <v>62</v>
      </c>
      <c r="G4555" t="s">
        <v>160</v>
      </c>
      <c r="H4555" t="s">
        <v>15</v>
      </c>
      <c r="I4555">
        <v>18275</v>
      </c>
      <c r="J4555">
        <v>17776</v>
      </c>
    </row>
    <row r="4556" spans="1:10" x14ac:dyDescent="0.3">
      <c r="A4556" t="s">
        <v>4683</v>
      </c>
      <c r="B4556" s="1">
        <v>45887</v>
      </c>
      <c r="C4556" t="s">
        <v>113</v>
      </c>
      <c r="D4556">
        <v>34</v>
      </c>
      <c r="E4556" t="s">
        <v>33</v>
      </c>
      <c r="F4556" t="s">
        <v>13</v>
      </c>
      <c r="G4556" t="s">
        <v>160</v>
      </c>
      <c r="H4556" t="s">
        <v>155</v>
      </c>
      <c r="I4556">
        <v>38743</v>
      </c>
      <c r="J4556">
        <v>42218</v>
      </c>
    </row>
    <row r="4557" spans="1:10" x14ac:dyDescent="0.3">
      <c r="A4557" t="s">
        <v>4684</v>
      </c>
      <c r="B4557" s="1">
        <v>45902</v>
      </c>
      <c r="C4557" t="s">
        <v>38</v>
      </c>
      <c r="D4557">
        <v>36</v>
      </c>
      <c r="E4557" t="s">
        <v>12</v>
      </c>
      <c r="F4557" t="s">
        <v>193</v>
      </c>
      <c r="G4557" t="s">
        <v>115</v>
      </c>
      <c r="H4557" t="s">
        <v>80</v>
      </c>
      <c r="I4557">
        <v>22895</v>
      </c>
      <c r="J4557">
        <v>26452</v>
      </c>
    </row>
    <row r="4558" spans="1:10" x14ac:dyDescent="0.3">
      <c r="A4558" t="s">
        <v>4685</v>
      </c>
      <c r="B4558" s="1">
        <v>46007</v>
      </c>
      <c r="C4558" t="s">
        <v>100</v>
      </c>
      <c r="D4558">
        <v>51</v>
      </c>
      <c r="E4558" t="s">
        <v>61</v>
      </c>
      <c r="F4558" t="s">
        <v>50</v>
      </c>
      <c r="G4558" t="s">
        <v>132</v>
      </c>
      <c r="H4558" t="s">
        <v>98</v>
      </c>
      <c r="I4558">
        <v>27464</v>
      </c>
      <c r="J4558">
        <v>19994</v>
      </c>
    </row>
    <row r="4559" spans="1:10" x14ac:dyDescent="0.3">
      <c r="A4559" t="s">
        <v>4686</v>
      </c>
      <c r="B4559" s="1">
        <v>45724</v>
      </c>
      <c r="C4559" t="s">
        <v>95</v>
      </c>
      <c r="D4559">
        <v>10</v>
      </c>
      <c r="E4559" t="s">
        <v>12</v>
      </c>
      <c r="F4559" t="s">
        <v>43</v>
      </c>
      <c r="G4559" t="s">
        <v>132</v>
      </c>
      <c r="H4559" t="s">
        <v>155</v>
      </c>
      <c r="I4559">
        <v>25984</v>
      </c>
      <c r="J4559">
        <v>18593</v>
      </c>
    </row>
    <row r="4560" spans="1:10" x14ac:dyDescent="0.3">
      <c r="A4560" t="s">
        <v>4687</v>
      </c>
      <c r="B4560" s="1">
        <v>45898</v>
      </c>
      <c r="C4560" t="s">
        <v>113</v>
      </c>
      <c r="D4560">
        <v>35</v>
      </c>
      <c r="E4560" t="s">
        <v>70</v>
      </c>
      <c r="F4560" t="s">
        <v>75</v>
      </c>
      <c r="G4560" t="s">
        <v>201</v>
      </c>
      <c r="H4560" t="s">
        <v>48</v>
      </c>
      <c r="I4560">
        <v>27521</v>
      </c>
      <c r="J4560">
        <v>29532</v>
      </c>
    </row>
    <row r="4561" spans="1:10" x14ac:dyDescent="0.3">
      <c r="A4561" t="s">
        <v>4688</v>
      </c>
      <c r="B4561" s="1">
        <v>45875</v>
      </c>
      <c r="C4561" t="s">
        <v>113</v>
      </c>
      <c r="D4561">
        <v>32</v>
      </c>
      <c r="E4561" t="s">
        <v>18</v>
      </c>
      <c r="F4561" t="s">
        <v>13</v>
      </c>
      <c r="G4561" t="s">
        <v>230</v>
      </c>
      <c r="H4561" t="s">
        <v>211</v>
      </c>
      <c r="I4561">
        <v>16192</v>
      </c>
      <c r="J4561">
        <v>19290</v>
      </c>
    </row>
    <row r="4562" spans="1:10" x14ac:dyDescent="0.3">
      <c r="A4562" t="s">
        <v>4689</v>
      </c>
      <c r="B4562" s="1">
        <v>45747</v>
      </c>
      <c r="C4562" t="s">
        <v>95</v>
      </c>
      <c r="D4562">
        <v>14</v>
      </c>
      <c r="E4562" t="s">
        <v>18</v>
      </c>
      <c r="F4562" t="s">
        <v>25</v>
      </c>
      <c r="G4562" t="s">
        <v>160</v>
      </c>
      <c r="H4562" t="s">
        <v>96</v>
      </c>
      <c r="I4562">
        <v>38191</v>
      </c>
      <c r="J4562">
        <v>39106</v>
      </c>
    </row>
    <row r="4563" spans="1:10" x14ac:dyDescent="0.3">
      <c r="A4563" t="s">
        <v>4690</v>
      </c>
      <c r="B4563" s="1">
        <v>45679</v>
      </c>
      <c r="C4563" t="s">
        <v>17</v>
      </c>
      <c r="D4563">
        <v>4</v>
      </c>
      <c r="E4563" t="s">
        <v>24</v>
      </c>
      <c r="F4563" t="s">
        <v>29</v>
      </c>
      <c r="G4563" t="s">
        <v>93</v>
      </c>
      <c r="H4563" t="s">
        <v>211</v>
      </c>
      <c r="I4563">
        <v>34760</v>
      </c>
      <c r="J4563">
        <v>39545</v>
      </c>
    </row>
    <row r="4564" spans="1:10" x14ac:dyDescent="0.3">
      <c r="A4564" t="s">
        <v>4691</v>
      </c>
      <c r="B4564" s="1">
        <v>46000</v>
      </c>
      <c r="C4564" t="s">
        <v>100</v>
      </c>
      <c r="D4564">
        <v>50</v>
      </c>
      <c r="E4564" t="s">
        <v>33</v>
      </c>
      <c r="F4564" t="s">
        <v>25</v>
      </c>
      <c r="G4564" t="s">
        <v>14</v>
      </c>
      <c r="H4564" t="s">
        <v>21</v>
      </c>
      <c r="I4564">
        <v>39948</v>
      </c>
      <c r="J4564">
        <v>32323</v>
      </c>
    </row>
    <row r="4565" spans="1:10" x14ac:dyDescent="0.3">
      <c r="A4565" t="s">
        <v>4692</v>
      </c>
      <c r="B4565" s="1">
        <v>45663</v>
      </c>
      <c r="C4565" t="s">
        <v>17</v>
      </c>
      <c r="D4565">
        <v>2</v>
      </c>
      <c r="E4565" t="s">
        <v>24</v>
      </c>
      <c r="F4565" t="s">
        <v>75</v>
      </c>
      <c r="G4565" t="s">
        <v>149</v>
      </c>
      <c r="H4565" t="s">
        <v>151</v>
      </c>
      <c r="I4565">
        <v>18383</v>
      </c>
      <c r="J4565">
        <v>14987</v>
      </c>
    </row>
    <row r="4566" spans="1:10" x14ac:dyDescent="0.3">
      <c r="A4566" t="s">
        <v>4693</v>
      </c>
      <c r="B4566" s="1">
        <v>45670</v>
      </c>
      <c r="C4566" t="s">
        <v>17</v>
      </c>
      <c r="D4566">
        <v>3</v>
      </c>
      <c r="E4566" t="s">
        <v>39</v>
      </c>
      <c r="F4566" t="s">
        <v>101</v>
      </c>
      <c r="G4566" t="s">
        <v>58</v>
      </c>
      <c r="H4566" t="s">
        <v>96</v>
      </c>
      <c r="I4566">
        <v>29848</v>
      </c>
      <c r="J4566">
        <v>32954</v>
      </c>
    </row>
    <row r="4567" spans="1:10" x14ac:dyDescent="0.3">
      <c r="A4567" t="s">
        <v>4694</v>
      </c>
      <c r="B4567" s="1">
        <v>45873</v>
      </c>
      <c r="C4567" t="s">
        <v>113</v>
      </c>
      <c r="D4567">
        <v>32</v>
      </c>
      <c r="E4567" t="s">
        <v>18</v>
      </c>
      <c r="F4567" t="s">
        <v>114</v>
      </c>
      <c r="G4567" t="s">
        <v>115</v>
      </c>
      <c r="H4567" t="s">
        <v>52</v>
      </c>
      <c r="I4567">
        <v>33385</v>
      </c>
      <c r="J4567">
        <v>40708</v>
      </c>
    </row>
    <row r="4568" spans="1:10" x14ac:dyDescent="0.3">
      <c r="A4568" t="s">
        <v>4695</v>
      </c>
      <c r="B4568" s="1">
        <v>45754</v>
      </c>
      <c r="C4568" t="s">
        <v>86</v>
      </c>
      <c r="D4568">
        <v>15</v>
      </c>
      <c r="E4568" t="s">
        <v>18</v>
      </c>
      <c r="F4568" t="s">
        <v>13</v>
      </c>
      <c r="G4568" t="s">
        <v>72</v>
      </c>
      <c r="H4568" t="s">
        <v>27</v>
      </c>
      <c r="I4568">
        <v>27658</v>
      </c>
      <c r="J4568">
        <v>30269</v>
      </c>
    </row>
    <row r="4569" spans="1:10" x14ac:dyDescent="0.3">
      <c r="A4569" t="s">
        <v>4696</v>
      </c>
      <c r="B4569" s="1">
        <v>45880</v>
      </c>
      <c r="C4569" t="s">
        <v>113</v>
      </c>
      <c r="D4569">
        <v>33</v>
      </c>
      <c r="E4569" t="s">
        <v>61</v>
      </c>
      <c r="F4569" t="s">
        <v>140</v>
      </c>
      <c r="G4569" t="s">
        <v>72</v>
      </c>
      <c r="H4569" t="s">
        <v>55</v>
      </c>
      <c r="I4569">
        <v>32502</v>
      </c>
      <c r="J4569">
        <v>32401</v>
      </c>
    </row>
    <row r="4570" spans="1:10" x14ac:dyDescent="0.3">
      <c r="A4570" t="s">
        <v>4697</v>
      </c>
      <c r="B4570" s="1">
        <v>45718</v>
      </c>
      <c r="C4570" t="s">
        <v>95</v>
      </c>
      <c r="D4570">
        <v>9</v>
      </c>
      <c r="E4570" t="s">
        <v>39</v>
      </c>
      <c r="F4570" t="s">
        <v>43</v>
      </c>
      <c r="G4570" t="s">
        <v>291</v>
      </c>
      <c r="H4570" t="s">
        <v>103</v>
      </c>
      <c r="I4570">
        <v>33112</v>
      </c>
      <c r="J4570">
        <v>35834</v>
      </c>
    </row>
    <row r="4571" spans="1:10" x14ac:dyDescent="0.3">
      <c r="A4571" t="s">
        <v>4698</v>
      </c>
      <c r="B4571" s="1">
        <v>45704</v>
      </c>
      <c r="C4571" t="s">
        <v>82</v>
      </c>
      <c r="D4571">
        <v>7</v>
      </c>
      <c r="E4571" t="s">
        <v>70</v>
      </c>
      <c r="F4571" t="s">
        <v>43</v>
      </c>
      <c r="G4571" t="s">
        <v>234</v>
      </c>
      <c r="H4571" t="s">
        <v>98</v>
      </c>
      <c r="I4571">
        <v>35706</v>
      </c>
      <c r="J4571">
        <v>33416</v>
      </c>
    </row>
    <row r="4572" spans="1:10" x14ac:dyDescent="0.3">
      <c r="A4572" t="s">
        <v>4699</v>
      </c>
      <c r="B4572" s="1">
        <v>45950</v>
      </c>
      <c r="C4572" t="s">
        <v>66</v>
      </c>
      <c r="D4572">
        <v>43</v>
      </c>
      <c r="E4572" t="s">
        <v>12</v>
      </c>
      <c r="F4572" t="s">
        <v>62</v>
      </c>
      <c r="G4572" t="s">
        <v>110</v>
      </c>
      <c r="H4572" t="s">
        <v>84</v>
      </c>
      <c r="I4572">
        <v>29437</v>
      </c>
      <c r="J4572">
        <v>21346</v>
      </c>
    </row>
    <row r="4573" spans="1:10" x14ac:dyDescent="0.3">
      <c r="A4573" t="s">
        <v>4700</v>
      </c>
      <c r="B4573" s="1">
        <v>46021</v>
      </c>
      <c r="C4573" t="s">
        <v>100</v>
      </c>
      <c r="D4573">
        <v>1</v>
      </c>
      <c r="E4573" t="s">
        <v>33</v>
      </c>
      <c r="F4573" t="s">
        <v>140</v>
      </c>
      <c r="G4573" t="s">
        <v>35</v>
      </c>
      <c r="H4573" t="s">
        <v>157</v>
      </c>
      <c r="I4573">
        <v>37274</v>
      </c>
      <c r="J4573">
        <v>42569</v>
      </c>
    </row>
    <row r="4574" spans="1:10" x14ac:dyDescent="0.3">
      <c r="A4574" t="s">
        <v>4701</v>
      </c>
      <c r="B4574" s="1">
        <v>45708</v>
      </c>
      <c r="C4574" t="s">
        <v>82</v>
      </c>
      <c r="D4574">
        <v>8</v>
      </c>
      <c r="E4574" t="s">
        <v>39</v>
      </c>
      <c r="F4574" t="s">
        <v>62</v>
      </c>
      <c r="G4574" t="s">
        <v>20</v>
      </c>
      <c r="H4574" t="s">
        <v>96</v>
      </c>
      <c r="I4574">
        <v>37764</v>
      </c>
      <c r="J4574">
        <v>27295</v>
      </c>
    </row>
    <row r="4575" spans="1:10" x14ac:dyDescent="0.3">
      <c r="A4575" t="s">
        <v>4702</v>
      </c>
      <c r="B4575" s="1">
        <v>45744</v>
      </c>
      <c r="C4575" t="s">
        <v>95</v>
      </c>
      <c r="D4575">
        <v>13</v>
      </c>
      <c r="E4575" t="s">
        <v>24</v>
      </c>
      <c r="F4575" t="s">
        <v>114</v>
      </c>
      <c r="G4575" t="s">
        <v>115</v>
      </c>
      <c r="H4575" t="s">
        <v>103</v>
      </c>
      <c r="I4575">
        <v>38567</v>
      </c>
      <c r="J4575">
        <v>32075</v>
      </c>
    </row>
    <row r="4576" spans="1:10" x14ac:dyDescent="0.3">
      <c r="A4576" t="s">
        <v>4703</v>
      </c>
      <c r="B4576" s="1">
        <v>45988</v>
      </c>
      <c r="C4576" t="s">
        <v>23</v>
      </c>
      <c r="D4576">
        <v>48</v>
      </c>
      <c r="E4576" t="s">
        <v>24</v>
      </c>
      <c r="F4576" t="s">
        <v>114</v>
      </c>
      <c r="G4576" t="s">
        <v>132</v>
      </c>
      <c r="H4576" t="s">
        <v>116</v>
      </c>
      <c r="I4576">
        <v>26309</v>
      </c>
      <c r="J4576">
        <v>18475</v>
      </c>
    </row>
    <row r="4577" spans="1:10" x14ac:dyDescent="0.3">
      <c r="A4577" t="s">
        <v>4704</v>
      </c>
      <c r="B4577" s="1">
        <v>45923</v>
      </c>
      <c r="C4577" t="s">
        <v>38</v>
      </c>
      <c r="D4577">
        <v>39</v>
      </c>
      <c r="E4577" t="s">
        <v>61</v>
      </c>
      <c r="F4577" t="s">
        <v>122</v>
      </c>
      <c r="G4577" t="s">
        <v>230</v>
      </c>
      <c r="H4577" t="s">
        <v>68</v>
      </c>
      <c r="I4577">
        <v>39112</v>
      </c>
      <c r="J4577">
        <v>40395</v>
      </c>
    </row>
    <row r="4578" spans="1:10" x14ac:dyDescent="0.3">
      <c r="A4578" t="s">
        <v>4705</v>
      </c>
      <c r="B4578" s="1">
        <v>46003</v>
      </c>
      <c r="C4578" t="s">
        <v>100</v>
      </c>
      <c r="D4578">
        <v>50</v>
      </c>
      <c r="E4578" t="s">
        <v>12</v>
      </c>
      <c r="F4578" t="s">
        <v>109</v>
      </c>
      <c r="G4578" t="s">
        <v>126</v>
      </c>
      <c r="H4578" t="s">
        <v>68</v>
      </c>
      <c r="I4578">
        <v>25085</v>
      </c>
      <c r="J4578">
        <v>28153</v>
      </c>
    </row>
    <row r="4579" spans="1:10" x14ac:dyDescent="0.3">
      <c r="A4579" t="s">
        <v>4706</v>
      </c>
      <c r="B4579" s="1">
        <v>45766</v>
      </c>
      <c r="C4579" t="s">
        <v>86</v>
      </c>
      <c r="D4579">
        <v>16</v>
      </c>
      <c r="E4579" t="s">
        <v>18</v>
      </c>
      <c r="F4579" t="s">
        <v>101</v>
      </c>
      <c r="G4579" t="s">
        <v>201</v>
      </c>
      <c r="H4579" t="s">
        <v>68</v>
      </c>
      <c r="I4579">
        <v>15741</v>
      </c>
      <c r="J4579">
        <v>18892</v>
      </c>
    </row>
    <row r="4580" spans="1:10" x14ac:dyDescent="0.3">
      <c r="A4580" t="s">
        <v>4707</v>
      </c>
      <c r="B4580" s="1">
        <v>45951</v>
      </c>
      <c r="C4580" t="s">
        <v>66</v>
      </c>
      <c r="D4580">
        <v>43</v>
      </c>
      <c r="E4580" t="s">
        <v>39</v>
      </c>
      <c r="F4580" t="s">
        <v>75</v>
      </c>
      <c r="G4580" t="s">
        <v>20</v>
      </c>
      <c r="H4580" t="s">
        <v>96</v>
      </c>
      <c r="I4580">
        <v>23090</v>
      </c>
      <c r="J4580">
        <v>27751</v>
      </c>
    </row>
    <row r="4581" spans="1:10" x14ac:dyDescent="0.3">
      <c r="A4581" t="s">
        <v>4708</v>
      </c>
      <c r="B4581" s="1">
        <v>45680</v>
      </c>
      <c r="C4581" t="s">
        <v>17</v>
      </c>
      <c r="D4581">
        <v>4</v>
      </c>
      <c r="E4581" t="s">
        <v>12</v>
      </c>
      <c r="F4581" t="s">
        <v>62</v>
      </c>
      <c r="G4581" t="s">
        <v>199</v>
      </c>
      <c r="H4581" t="s">
        <v>52</v>
      </c>
      <c r="I4581">
        <v>23866</v>
      </c>
      <c r="J4581">
        <v>29140</v>
      </c>
    </row>
    <row r="4582" spans="1:10" x14ac:dyDescent="0.3">
      <c r="A4582" t="s">
        <v>4709</v>
      </c>
      <c r="B4582" s="1">
        <v>45723</v>
      </c>
      <c r="C4582" t="s">
        <v>95</v>
      </c>
      <c r="D4582">
        <v>10</v>
      </c>
      <c r="E4582" t="s">
        <v>61</v>
      </c>
      <c r="F4582" t="s">
        <v>29</v>
      </c>
      <c r="G4582" t="s">
        <v>171</v>
      </c>
      <c r="H4582" t="s">
        <v>96</v>
      </c>
      <c r="I4582">
        <v>35488</v>
      </c>
      <c r="J4582">
        <v>32973</v>
      </c>
    </row>
    <row r="4583" spans="1:10" x14ac:dyDescent="0.3">
      <c r="A4583" t="s">
        <v>4710</v>
      </c>
      <c r="B4583" s="1">
        <v>45953</v>
      </c>
      <c r="C4583" t="s">
        <v>66</v>
      </c>
      <c r="D4583">
        <v>43</v>
      </c>
      <c r="E4583" t="s">
        <v>70</v>
      </c>
      <c r="F4583" t="s">
        <v>19</v>
      </c>
      <c r="G4583" t="s">
        <v>191</v>
      </c>
      <c r="H4583" t="s">
        <v>59</v>
      </c>
      <c r="I4583">
        <v>19374</v>
      </c>
      <c r="J4583">
        <v>14015</v>
      </c>
    </row>
    <row r="4584" spans="1:10" x14ac:dyDescent="0.3">
      <c r="A4584" t="s">
        <v>4711</v>
      </c>
      <c r="B4584" s="1">
        <v>45876</v>
      </c>
      <c r="C4584" t="s">
        <v>113</v>
      </c>
      <c r="D4584">
        <v>32</v>
      </c>
      <c r="E4584" t="s">
        <v>39</v>
      </c>
      <c r="F4584" t="s">
        <v>13</v>
      </c>
      <c r="G4584" t="s">
        <v>253</v>
      </c>
      <c r="H4584" t="s">
        <v>188</v>
      </c>
      <c r="I4584">
        <v>17922</v>
      </c>
      <c r="J4584">
        <v>18156</v>
      </c>
    </row>
    <row r="4585" spans="1:10" x14ac:dyDescent="0.3">
      <c r="A4585" t="s">
        <v>4712</v>
      </c>
      <c r="B4585" s="1">
        <v>45930</v>
      </c>
      <c r="C4585" t="s">
        <v>38</v>
      </c>
      <c r="D4585">
        <v>40</v>
      </c>
      <c r="E4585" t="s">
        <v>24</v>
      </c>
      <c r="F4585" t="s">
        <v>57</v>
      </c>
      <c r="G4585" t="s">
        <v>130</v>
      </c>
      <c r="H4585" t="s">
        <v>41</v>
      </c>
      <c r="I4585">
        <v>32401</v>
      </c>
      <c r="J4585">
        <v>29836</v>
      </c>
    </row>
    <row r="4586" spans="1:10" x14ac:dyDescent="0.3">
      <c r="A4586" t="s">
        <v>4713</v>
      </c>
      <c r="B4586" s="1">
        <v>45983</v>
      </c>
      <c r="C4586" t="s">
        <v>23</v>
      </c>
      <c r="D4586">
        <v>47</v>
      </c>
      <c r="E4586" t="s">
        <v>70</v>
      </c>
      <c r="F4586" t="s">
        <v>114</v>
      </c>
      <c r="G4586" t="s">
        <v>83</v>
      </c>
      <c r="H4586" t="s">
        <v>165</v>
      </c>
      <c r="I4586">
        <v>18991</v>
      </c>
      <c r="J4586">
        <v>22223</v>
      </c>
    </row>
    <row r="4587" spans="1:10" x14ac:dyDescent="0.3">
      <c r="A4587" t="s">
        <v>4714</v>
      </c>
      <c r="B4587" s="1">
        <v>45687</v>
      </c>
      <c r="C4587" t="s">
        <v>17</v>
      </c>
      <c r="D4587">
        <v>5</v>
      </c>
      <c r="E4587" t="s">
        <v>33</v>
      </c>
      <c r="F4587" t="s">
        <v>193</v>
      </c>
      <c r="G4587" t="s">
        <v>234</v>
      </c>
      <c r="H4587" t="s">
        <v>64</v>
      </c>
      <c r="I4587">
        <v>29515</v>
      </c>
      <c r="J4587">
        <v>37018</v>
      </c>
    </row>
    <row r="4588" spans="1:10" x14ac:dyDescent="0.3">
      <c r="A4588" t="s">
        <v>4715</v>
      </c>
      <c r="B4588" s="1">
        <v>46010</v>
      </c>
      <c r="C4588" t="s">
        <v>100</v>
      </c>
      <c r="D4588">
        <v>51</v>
      </c>
      <c r="E4588" t="s">
        <v>24</v>
      </c>
      <c r="F4588" t="s">
        <v>62</v>
      </c>
      <c r="G4588" t="s">
        <v>40</v>
      </c>
      <c r="H4588" t="s">
        <v>27</v>
      </c>
      <c r="I4588">
        <v>19617</v>
      </c>
      <c r="J4588">
        <v>18828</v>
      </c>
    </row>
    <row r="4589" spans="1:10" x14ac:dyDescent="0.3">
      <c r="A4589" t="s">
        <v>4716</v>
      </c>
      <c r="B4589" s="1">
        <v>45682</v>
      </c>
      <c r="C4589" t="s">
        <v>17</v>
      </c>
      <c r="D4589">
        <v>4</v>
      </c>
      <c r="E4589" t="s">
        <v>12</v>
      </c>
      <c r="F4589" t="s">
        <v>87</v>
      </c>
      <c r="G4589" t="s">
        <v>47</v>
      </c>
      <c r="H4589" t="s">
        <v>243</v>
      </c>
      <c r="I4589">
        <v>18120</v>
      </c>
      <c r="J4589">
        <v>19590</v>
      </c>
    </row>
    <row r="4590" spans="1:10" x14ac:dyDescent="0.3">
      <c r="A4590" t="s">
        <v>4717</v>
      </c>
      <c r="B4590" s="1">
        <v>45769</v>
      </c>
      <c r="C4590" t="s">
        <v>86</v>
      </c>
      <c r="D4590">
        <v>17</v>
      </c>
      <c r="E4590" t="s">
        <v>33</v>
      </c>
      <c r="F4590" t="s">
        <v>193</v>
      </c>
      <c r="G4590" t="s">
        <v>191</v>
      </c>
      <c r="H4590" t="s">
        <v>165</v>
      </c>
      <c r="I4590">
        <v>22100</v>
      </c>
      <c r="J4590">
        <v>28670</v>
      </c>
    </row>
    <row r="4591" spans="1:10" x14ac:dyDescent="0.3">
      <c r="A4591" t="s">
        <v>4718</v>
      </c>
      <c r="B4591" s="1">
        <v>45894</v>
      </c>
      <c r="C4591" t="s">
        <v>113</v>
      </c>
      <c r="D4591">
        <v>35</v>
      </c>
      <c r="E4591" t="s">
        <v>24</v>
      </c>
      <c r="F4591" t="s">
        <v>78</v>
      </c>
      <c r="G4591" t="s">
        <v>147</v>
      </c>
      <c r="H4591" t="s">
        <v>211</v>
      </c>
      <c r="I4591">
        <v>26460</v>
      </c>
      <c r="J4591">
        <v>32275</v>
      </c>
    </row>
    <row r="4592" spans="1:10" x14ac:dyDescent="0.3">
      <c r="A4592" t="s">
        <v>4719</v>
      </c>
      <c r="B4592" s="1">
        <v>46011</v>
      </c>
      <c r="C4592" t="s">
        <v>100</v>
      </c>
      <c r="D4592">
        <v>51</v>
      </c>
      <c r="E4592" t="s">
        <v>33</v>
      </c>
      <c r="F4592" t="s">
        <v>46</v>
      </c>
      <c r="G4592" t="s">
        <v>47</v>
      </c>
      <c r="H4592" t="s">
        <v>84</v>
      </c>
      <c r="I4592">
        <v>31322</v>
      </c>
      <c r="J4592">
        <v>24564</v>
      </c>
    </row>
    <row r="4593" spans="1:10" x14ac:dyDescent="0.3">
      <c r="A4593" t="s">
        <v>4720</v>
      </c>
      <c r="B4593" s="1">
        <v>45819</v>
      </c>
      <c r="C4593" t="s">
        <v>74</v>
      </c>
      <c r="D4593">
        <v>24</v>
      </c>
      <c r="E4593" t="s">
        <v>18</v>
      </c>
      <c r="F4593" t="s">
        <v>87</v>
      </c>
      <c r="G4593" t="s">
        <v>206</v>
      </c>
      <c r="H4593" t="s">
        <v>211</v>
      </c>
      <c r="I4593">
        <v>27628</v>
      </c>
      <c r="J4593">
        <v>35534</v>
      </c>
    </row>
    <row r="4594" spans="1:10" x14ac:dyDescent="0.3">
      <c r="A4594" t="s">
        <v>4721</v>
      </c>
      <c r="B4594" s="1">
        <v>45898</v>
      </c>
      <c r="C4594" t="s">
        <v>113</v>
      </c>
      <c r="D4594">
        <v>35</v>
      </c>
      <c r="E4594" t="s">
        <v>18</v>
      </c>
      <c r="F4594" t="s">
        <v>101</v>
      </c>
      <c r="G4594" t="s">
        <v>132</v>
      </c>
      <c r="H4594" t="s">
        <v>111</v>
      </c>
      <c r="I4594">
        <v>16148</v>
      </c>
      <c r="J4594">
        <v>14343</v>
      </c>
    </row>
    <row r="4595" spans="1:10" x14ac:dyDescent="0.3">
      <c r="A4595" t="s">
        <v>4722</v>
      </c>
      <c r="B4595" s="1">
        <v>45896</v>
      </c>
      <c r="C4595" t="s">
        <v>113</v>
      </c>
      <c r="D4595">
        <v>35</v>
      </c>
      <c r="E4595" t="s">
        <v>70</v>
      </c>
      <c r="F4595" t="s">
        <v>13</v>
      </c>
      <c r="G4595" t="s">
        <v>130</v>
      </c>
      <c r="H4595" t="s">
        <v>123</v>
      </c>
      <c r="I4595">
        <v>38288</v>
      </c>
      <c r="J4595">
        <v>41769</v>
      </c>
    </row>
    <row r="4596" spans="1:10" x14ac:dyDescent="0.3">
      <c r="A4596" t="s">
        <v>4723</v>
      </c>
      <c r="B4596" s="1">
        <v>45813</v>
      </c>
      <c r="C4596" t="s">
        <v>74</v>
      </c>
      <c r="D4596">
        <v>23</v>
      </c>
      <c r="E4596" t="s">
        <v>12</v>
      </c>
      <c r="F4596" t="s">
        <v>140</v>
      </c>
      <c r="G4596" t="s">
        <v>79</v>
      </c>
      <c r="H4596" t="s">
        <v>188</v>
      </c>
      <c r="I4596">
        <v>37624</v>
      </c>
      <c r="J4596">
        <v>31028</v>
      </c>
    </row>
    <row r="4597" spans="1:10" x14ac:dyDescent="0.3">
      <c r="A4597" t="s">
        <v>4724</v>
      </c>
      <c r="B4597" s="1">
        <v>45976</v>
      </c>
      <c r="C4597" t="s">
        <v>23</v>
      </c>
      <c r="D4597">
        <v>46</v>
      </c>
      <c r="E4597" t="s">
        <v>24</v>
      </c>
      <c r="F4597" t="s">
        <v>122</v>
      </c>
      <c r="G4597" t="s">
        <v>324</v>
      </c>
      <c r="H4597" t="s">
        <v>21</v>
      </c>
      <c r="I4597">
        <v>35351</v>
      </c>
      <c r="J4597">
        <v>26362</v>
      </c>
    </row>
    <row r="4598" spans="1:10" x14ac:dyDescent="0.3">
      <c r="A4598" t="s">
        <v>4725</v>
      </c>
      <c r="B4598" s="1">
        <v>45992</v>
      </c>
      <c r="C4598" t="s">
        <v>100</v>
      </c>
      <c r="D4598">
        <v>49</v>
      </c>
      <c r="E4598" t="s">
        <v>12</v>
      </c>
      <c r="F4598" t="s">
        <v>46</v>
      </c>
      <c r="G4598" t="s">
        <v>201</v>
      </c>
      <c r="H4598" t="s">
        <v>116</v>
      </c>
      <c r="I4598">
        <v>34581</v>
      </c>
      <c r="J4598">
        <v>31707</v>
      </c>
    </row>
    <row r="4599" spans="1:10" x14ac:dyDescent="0.3">
      <c r="A4599" t="s">
        <v>4726</v>
      </c>
      <c r="B4599" s="1">
        <v>45849</v>
      </c>
      <c r="C4599" t="s">
        <v>11</v>
      </c>
      <c r="D4599">
        <v>28</v>
      </c>
      <c r="E4599" t="s">
        <v>12</v>
      </c>
      <c r="F4599" t="s">
        <v>92</v>
      </c>
      <c r="G4599" t="s">
        <v>266</v>
      </c>
      <c r="H4599" t="s">
        <v>211</v>
      </c>
      <c r="I4599">
        <v>16639</v>
      </c>
      <c r="J4599">
        <v>14267</v>
      </c>
    </row>
    <row r="4600" spans="1:10" x14ac:dyDescent="0.3">
      <c r="A4600" t="s">
        <v>4727</v>
      </c>
      <c r="B4600" s="1">
        <v>45862</v>
      </c>
      <c r="C4600" t="s">
        <v>11</v>
      </c>
      <c r="D4600">
        <v>30</v>
      </c>
      <c r="E4600" t="s">
        <v>12</v>
      </c>
      <c r="F4600" t="s">
        <v>50</v>
      </c>
      <c r="G4600" t="s">
        <v>51</v>
      </c>
      <c r="H4600" t="s">
        <v>188</v>
      </c>
      <c r="I4600">
        <v>23213</v>
      </c>
      <c r="J4600">
        <v>27403</v>
      </c>
    </row>
    <row r="4601" spans="1:10" x14ac:dyDescent="0.3">
      <c r="A4601" t="s">
        <v>4728</v>
      </c>
      <c r="B4601" s="1">
        <v>45671</v>
      </c>
      <c r="C4601" t="s">
        <v>17</v>
      </c>
      <c r="D4601">
        <v>3</v>
      </c>
      <c r="E4601" t="s">
        <v>70</v>
      </c>
      <c r="F4601" t="s">
        <v>87</v>
      </c>
      <c r="G4601" t="s">
        <v>20</v>
      </c>
      <c r="H4601" t="s">
        <v>31</v>
      </c>
      <c r="I4601">
        <v>38282</v>
      </c>
      <c r="J4601">
        <v>48529</v>
      </c>
    </row>
    <row r="4602" spans="1:10" x14ac:dyDescent="0.3">
      <c r="A4602" t="s">
        <v>4729</v>
      </c>
      <c r="B4602" s="1">
        <v>45972</v>
      </c>
      <c r="C4602" t="s">
        <v>23</v>
      </c>
      <c r="D4602">
        <v>46</v>
      </c>
      <c r="E4602" t="s">
        <v>33</v>
      </c>
      <c r="F4602" t="s">
        <v>57</v>
      </c>
      <c r="G4602" t="s">
        <v>201</v>
      </c>
      <c r="H4602" t="s">
        <v>165</v>
      </c>
      <c r="I4602">
        <v>22550</v>
      </c>
      <c r="J4602">
        <v>23749</v>
      </c>
    </row>
    <row r="4603" spans="1:10" x14ac:dyDescent="0.3">
      <c r="A4603" t="s">
        <v>4730</v>
      </c>
      <c r="B4603" s="1">
        <v>45794</v>
      </c>
      <c r="C4603" t="s">
        <v>90</v>
      </c>
      <c r="D4603">
        <v>20</v>
      </c>
      <c r="E4603" t="s">
        <v>18</v>
      </c>
      <c r="F4603" t="s">
        <v>75</v>
      </c>
      <c r="G4603" t="s">
        <v>35</v>
      </c>
      <c r="H4603" t="s">
        <v>116</v>
      </c>
      <c r="I4603">
        <v>32162</v>
      </c>
      <c r="J4603">
        <v>38208</v>
      </c>
    </row>
    <row r="4604" spans="1:10" x14ac:dyDescent="0.3">
      <c r="A4604" t="s">
        <v>4731</v>
      </c>
      <c r="B4604" s="1">
        <v>45660</v>
      </c>
      <c r="C4604" t="s">
        <v>17</v>
      </c>
      <c r="D4604">
        <v>1</v>
      </c>
      <c r="E4604" t="s">
        <v>24</v>
      </c>
      <c r="F4604" t="s">
        <v>78</v>
      </c>
      <c r="G4604" t="s">
        <v>137</v>
      </c>
      <c r="H4604" t="s">
        <v>48</v>
      </c>
      <c r="I4604">
        <v>20375</v>
      </c>
      <c r="J4604">
        <v>20345</v>
      </c>
    </row>
    <row r="4605" spans="1:10" x14ac:dyDescent="0.3">
      <c r="A4605" t="s">
        <v>4732</v>
      </c>
      <c r="B4605" s="1">
        <v>45834</v>
      </c>
      <c r="C4605" t="s">
        <v>74</v>
      </c>
      <c r="D4605">
        <v>26</v>
      </c>
      <c r="E4605" t="s">
        <v>61</v>
      </c>
      <c r="F4605" t="s">
        <v>62</v>
      </c>
      <c r="G4605" t="s">
        <v>137</v>
      </c>
      <c r="H4605" t="s">
        <v>155</v>
      </c>
      <c r="I4605">
        <v>20317</v>
      </c>
      <c r="J4605">
        <v>24137</v>
      </c>
    </row>
    <row r="4606" spans="1:10" x14ac:dyDescent="0.3">
      <c r="A4606" t="s">
        <v>4733</v>
      </c>
      <c r="B4606" s="1">
        <v>45786</v>
      </c>
      <c r="C4606" t="s">
        <v>90</v>
      </c>
      <c r="D4606">
        <v>19</v>
      </c>
      <c r="E4606" t="s">
        <v>61</v>
      </c>
      <c r="F4606" t="s">
        <v>13</v>
      </c>
      <c r="G4606" t="s">
        <v>266</v>
      </c>
      <c r="H4606" t="s">
        <v>157</v>
      </c>
      <c r="I4606">
        <v>25994</v>
      </c>
      <c r="J4606">
        <v>28524</v>
      </c>
    </row>
    <row r="4607" spans="1:10" x14ac:dyDescent="0.3">
      <c r="A4607" t="s">
        <v>4734</v>
      </c>
      <c r="B4607" s="1">
        <v>45926</v>
      </c>
      <c r="C4607" t="s">
        <v>38</v>
      </c>
      <c r="D4607">
        <v>39</v>
      </c>
      <c r="E4607" t="s">
        <v>39</v>
      </c>
      <c r="F4607" t="s">
        <v>62</v>
      </c>
      <c r="G4607" t="s">
        <v>147</v>
      </c>
      <c r="H4607" t="s">
        <v>103</v>
      </c>
      <c r="I4607">
        <v>28234</v>
      </c>
      <c r="J4607">
        <v>24333</v>
      </c>
    </row>
    <row r="4608" spans="1:10" x14ac:dyDescent="0.3">
      <c r="A4608" t="s">
        <v>4735</v>
      </c>
      <c r="B4608" s="1">
        <v>45782</v>
      </c>
      <c r="C4608" t="s">
        <v>90</v>
      </c>
      <c r="D4608">
        <v>19</v>
      </c>
      <c r="E4608" t="s">
        <v>18</v>
      </c>
      <c r="F4608" t="s">
        <v>87</v>
      </c>
      <c r="G4608" t="s">
        <v>141</v>
      </c>
      <c r="H4608" t="s">
        <v>59</v>
      </c>
      <c r="I4608">
        <v>39202</v>
      </c>
      <c r="J4608">
        <v>49374</v>
      </c>
    </row>
    <row r="4609" spans="1:10" x14ac:dyDescent="0.3">
      <c r="A4609" t="s">
        <v>4736</v>
      </c>
      <c r="B4609" s="1">
        <v>45767</v>
      </c>
      <c r="C4609" t="s">
        <v>86</v>
      </c>
      <c r="D4609">
        <v>16</v>
      </c>
      <c r="E4609" t="s">
        <v>24</v>
      </c>
      <c r="F4609" t="s">
        <v>114</v>
      </c>
      <c r="G4609" t="s">
        <v>79</v>
      </c>
      <c r="H4609" t="s">
        <v>151</v>
      </c>
      <c r="I4609">
        <v>21461</v>
      </c>
      <c r="J4609">
        <v>23454</v>
      </c>
    </row>
    <row r="4610" spans="1:10" x14ac:dyDescent="0.3">
      <c r="A4610" t="s">
        <v>4737</v>
      </c>
      <c r="B4610" s="1">
        <v>45910</v>
      </c>
      <c r="C4610" t="s">
        <v>38</v>
      </c>
      <c r="D4610">
        <v>37</v>
      </c>
      <c r="E4610" t="s">
        <v>61</v>
      </c>
      <c r="F4610" t="s">
        <v>57</v>
      </c>
      <c r="G4610" t="s">
        <v>58</v>
      </c>
      <c r="H4610" t="s">
        <v>36</v>
      </c>
      <c r="I4610">
        <v>37568</v>
      </c>
      <c r="J4610">
        <v>30626</v>
      </c>
    </row>
    <row r="4611" spans="1:10" x14ac:dyDescent="0.3">
      <c r="A4611" t="s">
        <v>4738</v>
      </c>
      <c r="B4611" s="1">
        <v>45867</v>
      </c>
      <c r="C4611" t="s">
        <v>11</v>
      </c>
      <c r="D4611">
        <v>31</v>
      </c>
      <c r="E4611" t="s">
        <v>24</v>
      </c>
      <c r="F4611" t="s">
        <v>140</v>
      </c>
      <c r="G4611" t="s">
        <v>230</v>
      </c>
      <c r="H4611" t="s">
        <v>59</v>
      </c>
      <c r="I4611">
        <v>22651</v>
      </c>
      <c r="J4611">
        <v>27461</v>
      </c>
    </row>
    <row r="4612" spans="1:10" x14ac:dyDescent="0.3">
      <c r="A4612" t="s">
        <v>4739</v>
      </c>
      <c r="B4612" s="1">
        <v>45661</v>
      </c>
      <c r="C4612" t="s">
        <v>17</v>
      </c>
      <c r="D4612">
        <v>1</v>
      </c>
      <c r="E4612" t="s">
        <v>12</v>
      </c>
      <c r="F4612" t="s">
        <v>75</v>
      </c>
      <c r="G4612" t="s">
        <v>128</v>
      </c>
      <c r="H4612" t="s">
        <v>80</v>
      </c>
      <c r="I4612">
        <v>22182</v>
      </c>
      <c r="J4612">
        <v>16237</v>
      </c>
    </row>
    <row r="4613" spans="1:10" x14ac:dyDescent="0.3">
      <c r="A4613" t="s">
        <v>4740</v>
      </c>
      <c r="B4613" s="1">
        <v>45765</v>
      </c>
      <c r="C4613" t="s">
        <v>86</v>
      </c>
      <c r="D4613">
        <v>16</v>
      </c>
      <c r="E4613" t="s">
        <v>18</v>
      </c>
      <c r="F4613" t="s">
        <v>75</v>
      </c>
      <c r="G4613" t="s">
        <v>206</v>
      </c>
      <c r="H4613" t="s">
        <v>111</v>
      </c>
      <c r="I4613">
        <v>20178</v>
      </c>
      <c r="J4613">
        <v>24551</v>
      </c>
    </row>
    <row r="4614" spans="1:10" x14ac:dyDescent="0.3">
      <c r="A4614" t="s">
        <v>4741</v>
      </c>
      <c r="B4614" s="1">
        <v>45819</v>
      </c>
      <c r="C4614" t="s">
        <v>74</v>
      </c>
      <c r="D4614">
        <v>24</v>
      </c>
      <c r="E4614" t="s">
        <v>39</v>
      </c>
      <c r="F4614" t="s">
        <v>114</v>
      </c>
      <c r="G4614" t="s">
        <v>47</v>
      </c>
      <c r="H4614" t="s">
        <v>27</v>
      </c>
      <c r="I4614">
        <v>20981</v>
      </c>
      <c r="J4614">
        <v>19931</v>
      </c>
    </row>
    <row r="4615" spans="1:10" x14ac:dyDescent="0.3">
      <c r="A4615" t="s">
        <v>4742</v>
      </c>
      <c r="B4615" s="1">
        <v>45973</v>
      </c>
      <c r="C4615" t="s">
        <v>23</v>
      </c>
      <c r="D4615">
        <v>46</v>
      </c>
      <c r="E4615" t="s">
        <v>24</v>
      </c>
      <c r="F4615" t="s">
        <v>34</v>
      </c>
      <c r="G4615" t="s">
        <v>102</v>
      </c>
      <c r="H4615" t="s">
        <v>36</v>
      </c>
      <c r="I4615">
        <v>30250</v>
      </c>
      <c r="J4615">
        <v>26321</v>
      </c>
    </row>
    <row r="4616" spans="1:10" x14ac:dyDescent="0.3">
      <c r="A4616" t="s">
        <v>4743</v>
      </c>
      <c r="B4616" s="1">
        <v>45995</v>
      </c>
      <c r="C4616" t="s">
        <v>100</v>
      </c>
      <c r="D4616">
        <v>49</v>
      </c>
      <c r="E4616" t="s">
        <v>61</v>
      </c>
      <c r="F4616" t="s">
        <v>193</v>
      </c>
      <c r="G4616" t="s">
        <v>324</v>
      </c>
      <c r="H4616" t="s">
        <v>151</v>
      </c>
      <c r="I4616">
        <v>36963</v>
      </c>
      <c r="J4616">
        <v>39510</v>
      </c>
    </row>
    <row r="4617" spans="1:10" x14ac:dyDescent="0.3">
      <c r="A4617" t="s">
        <v>4744</v>
      </c>
      <c r="B4617" s="1">
        <v>46009</v>
      </c>
      <c r="C4617" t="s">
        <v>100</v>
      </c>
      <c r="D4617">
        <v>51</v>
      </c>
      <c r="E4617" t="s">
        <v>18</v>
      </c>
      <c r="F4617" t="s">
        <v>19</v>
      </c>
      <c r="G4617" t="s">
        <v>30</v>
      </c>
      <c r="H4617" t="s">
        <v>68</v>
      </c>
      <c r="I4617">
        <v>38887</v>
      </c>
      <c r="J4617">
        <v>44442</v>
      </c>
    </row>
    <row r="4618" spans="1:10" x14ac:dyDescent="0.3">
      <c r="A4618" t="s">
        <v>4745</v>
      </c>
      <c r="B4618" s="1">
        <v>45795</v>
      </c>
      <c r="C4618" t="s">
        <v>90</v>
      </c>
      <c r="D4618">
        <v>20</v>
      </c>
      <c r="E4618" t="s">
        <v>70</v>
      </c>
      <c r="F4618" t="s">
        <v>122</v>
      </c>
      <c r="G4618" t="s">
        <v>76</v>
      </c>
      <c r="H4618" t="s">
        <v>133</v>
      </c>
      <c r="I4618">
        <v>25646</v>
      </c>
      <c r="J4618">
        <v>19231</v>
      </c>
    </row>
    <row r="4619" spans="1:10" x14ac:dyDescent="0.3">
      <c r="A4619" t="s">
        <v>4746</v>
      </c>
      <c r="B4619" s="1">
        <v>45888</v>
      </c>
      <c r="C4619" t="s">
        <v>113</v>
      </c>
      <c r="D4619">
        <v>34</v>
      </c>
      <c r="E4619" t="s">
        <v>12</v>
      </c>
      <c r="F4619" t="s">
        <v>62</v>
      </c>
      <c r="G4619" t="s">
        <v>63</v>
      </c>
      <c r="H4619" t="s">
        <v>96</v>
      </c>
      <c r="I4619">
        <v>21833</v>
      </c>
      <c r="J4619">
        <v>16441</v>
      </c>
    </row>
    <row r="4620" spans="1:10" x14ac:dyDescent="0.3">
      <c r="A4620" t="s">
        <v>4747</v>
      </c>
      <c r="B4620" s="1">
        <v>45801</v>
      </c>
      <c r="C4620" t="s">
        <v>90</v>
      </c>
      <c r="D4620">
        <v>21</v>
      </c>
      <c r="E4620" t="s">
        <v>24</v>
      </c>
      <c r="F4620" t="s">
        <v>92</v>
      </c>
      <c r="G4620" t="s">
        <v>40</v>
      </c>
      <c r="H4620" t="s">
        <v>188</v>
      </c>
      <c r="I4620">
        <v>29211</v>
      </c>
      <c r="J4620">
        <v>33027</v>
      </c>
    </row>
    <row r="4621" spans="1:10" x14ac:dyDescent="0.3">
      <c r="A4621" t="s">
        <v>4748</v>
      </c>
      <c r="B4621" s="1">
        <v>45944</v>
      </c>
      <c r="C4621" t="s">
        <v>66</v>
      </c>
      <c r="D4621">
        <v>42</v>
      </c>
      <c r="E4621" t="s">
        <v>70</v>
      </c>
      <c r="F4621" t="s">
        <v>92</v>
      </c>
      <c r="G4621" t="s">
        <v>253</v>
      </c>
      <c r="H4621" t="s">
        <v>52</v>
      </c>
      <c r="I4621">
        <v>24668</v>
      </c>
      <c r="J4621">
        <v>19625</v>
      </c>
    </row>
    <row r="4622" spans="1:10" x14ac:dyDescent="0.3">
      <c r="A4622" t="s">
        <v>4749</v>
      </c>
      <c r="B4622" s="1">
        <v>45933</v>
      </c>
      <c r="C4622" t="s">
        <v>66</v>
      </c>
      <c r="D4622">
        <v>40</v>
      </c>
      <c r="E4622" t="s">
        <v>70</v>
      </c>
      <c r="F4622" t="s">
        <v>57</v>
      </c>
      <c r="G4622" t="s">
        <v>126</v>
      </c>
      <c r="H4622" t="s">
        <v>119</v>
      </c>
      <c r="I4622">
        <v>29447</v>
      </c>
      <c r="J4622">
        <v>30017</v>
      </c>
    </row>
    <row r="4623" spans="1:10" x14ac:dyDescent="0.3">
      <c r="A4623" t="s">
        <v>4750</v>
      </c>
      <c r="B4623" s="1">
        <v>45772</v>
      </c>
      <c r="C4623" t="s">
        <v>86</v>
      </c>
      <c r="D4623">
        <v>17</v>
      </c>
      <c r="E4623" t="s">
        <v>70</v>
      </c>
      <c r="F4623" t="s">
        <v>25</v>
      </c>
      <c r="G4623" t="s">
        <v>54</v>
      </c>
      <c r="H4623" t="s">
        <v>80</v>
      </c>
      <c r="I4623">
        <v>34233</v>
      </c>
      <c r="J4623">
        <v>25122</v>
      </c>
    </row>
    <row r="4624" spans="1:10" x14ac:dyDescent="0.3">
      <c r="A4624" t="s">
        <v>4751</v>
      </c>
      <c r="B4624" s="1">
        <v>45721</v>
      </c>
      <c r="C4624" t="s">
        <v>95</v>
      </c>
      <c r="D4624">
        <v>10</v>
      </c>
      <c r="E4624" t="s">
        <v>61</v>
      </c>
      <c r="F4624" t="s">
        <v>43</v>
      </c>
      <c r="G4624" t="s">
        <v>126</v>
      </c>
      <c r="H4624" t="s">
        <v>188</v>
      </c>
      <c r="I4624">
        <v>15183</v>
      </c>
      <c r="J4624">
        <v>15357</v>
      </c>
    </row>
    <row r="4625" spans="1:10" x14ac:dyDescent="0.3">
      <c r="A4625" t="s">
        <v>4752</v>
      </c>
      <c r="B4625" s="1">
        <v>45878</v>
      </c>
      <c r="C4625" t="s">
        <v>113</v>
      </c>
      <c r="D4625">
        <v>32</v>
      </c>
      <c r="E4625" t="s">
        <v>24</v>
      </c>
      <c r="F4625" t="s">
        <v>122</v>
      </c>
      <c r="G4625" t="s">
        <v>110</v>
      </c>
      <c r="H4625" t="s">
        <v>111</v>
      </c>
      <c r="I4625">
        <v>29347</v>
      </c>
      <c r="J4625">
        <v>27655</v>
      </c>
    </row>
    <row r="4626" spans="1:10" x14ac:dyDescent="0.3">
      <c r="A4626" t="s">
        <v>4753</v>
      </c>
      <c r="B4626" s="1">
        <v>45946</v>
      </c>
      <c r="C4626" t="s">
        <v>66</v>
      </c>
      <c r="D4626">
        <v>42</v>
      </c>
      <c r="E4626" t="s">
        <v>39</v>
      </c>
      <c r="F4626" t="s">
        <v>25</v>
      </c>
      <c r="G4626" t="s">
        <v>149</v>
      </c>
      <c r="H4626" t="s">
        <v>68</v>
      </c>
      <c r="I4626">
        <v>26831</v>
      </c>
      <c r="J4626">
        <v>29835</v>
      </c>
    </row>
    <row r="4627" spans="1:10" x14ac:dyDescent="0.3">
      <c r="A4627" t="s">
        <v>4754</v>
      </c>
      <c r="B4627" s="1">
        <v>46009</v>
      </c>
      <c r="C4627" t="s">
        <v>100</v>
      </c>
      <c r="D4627">
        <v>51</v>
      </c>
      <c r="E4627" t="s">
        <v>39</v>
      </c>
      <c r="F4627" t="s">
        <v>50</v>
      </c>
      <c r="G4627" t="s">
        <v>47</v>
      </c>
      <c r="H4627" t="s">
        <v>123</v>
      </c>
      <c r="I4627">
        <v>24166</v>
      </c>
      <c r="J4627">
        <v>28777</v>
      </c>
    </row>
    <row r="4628" spans="1:10" x14ac:dyDescent="0.3">
      <c r="A4628" t="s">
        <v>4755</v>
      </c>
      <c r="B4628" s="1">
        <v>45988</v>
      </c>
      <c r="C4628" t="s">
        <v>23</v>
      </c>
      <c r="D4628">
        <v>48</v>
      </c>
      <c r="E4628" t="s">
        <v>61</v>
      </c>
      <c r="F4628" t="s">
        <v>109</v>
      </c>
      <c r="G4628" t="s">
        <v>137</v>
      </c>
      <c r="H4628" t="s">
        <v>188</v>
      </c>
      <c r="I4628">
        <v>31936</v>
      </c>
      <c r="J4628">
        <v>34861</v>
      </c>
    </row>
    <row r="4629" spans="1:10" x14ac:dyDescent="0.3">
      <c r="A4629" t="s">
        <v>4756</v>
      </c>
      <c r="B4629" s="1">
        <v>45737</v>
      </c>
      <c r="C4629" t="s">
        <v>95</v>
      </c>
      <c r="D4629">
        <v>12</v>
      </c>
      <c r="E4629" t="s">
        <v>12</v>
      </c>
      <c r="F4629" t="s">
        <v>34</v>
      </c>
      <c r="G4629" t="s">
        <v>191</v>
      </c>
      <c r="H4629" t="s">
        <v>80</v>
      </c>
      <c r="I4629">
        <v>33214</v>
      </c>
      <c r="J4629">
        <v>38511</v>
      </c>
    </row>
    <row r="4630" spans="1:10" x14ac:dyDescent="0.3">
      <c r="A4630" t="s">
        <v>4757</v>
      </c>
      <c r="B4630" s="1">
        <v>45711</v>
      </c>
      <c r="C4630" t="s">
        <v>82</v>
      </c>
      <c r="D4630">
        <v>8</v>
      </c>
      <c r="E4630" t="s">
        <v>39</v>
      </c>
      <c r="F4630" t="s">
        <v>101</v>
      </c>
      <c r="G4630" t="s">
        <v>79</v>
      </c>
      <c r="H4630" t="s">
        <v>165</v>
      </c>
      <c r="I4630">
        <v>38096</v>
      </c>
      <c r="J4630">
        <v>45687</v>
      </c>
    </row>
    <row r="4631" spans="1:10" x14ac:dyDescent="0.3">
      <c r="A4631" t="s">
        <v>4758</v>
      </c>
      <c r="B4631" s="1">
        <v>45984</v>
      </c>
      <c r="C4631" t="s">
        <v>23</v>
      </c>
      <c r="D4631">
        <v>47</v>
      </c>
      <c r="E4631" t="s">
        <v>39</v>
      </c>
      <c r="F4631" t="s">
        <v>34</v>
      </c>
      <c r="G4631" t="s">
        <v>102</v>
      </c>
      <c r="H4631" t="s">
        <v>163</v>
      </c>
      <c r="I4631">
        <v>16573</v>
      </c>
      <c r="J4631">
        <v>21516</v>
      </c>
    </row>
    <row r="4632" spans="1:10" x14ac:dyDescent="0.3">
      <c r="A4632" t="s">
        <v>4759</v>
      </c>
      <c r="B4632" s="1">
        <v>45937</v>
      </c>
      <c r="C4632" t="s">
        <v>66</v>
      </c>
      <c r="D4632">
        <v>41</v>
      </c>
      <c r="E4632" t="s">
        <v>12</v>
      </c>
      <c r="F4632" t="s">
        <v>29</v>
      </c>
      <c r="G4632" t="s">
        <v>234</v>
      </c>
      <c r="H4632" t="s">
        <v>52</v>
      </c>
      <c r="I4632">
        <v>29675</v>
      </c>
      <c r="J4632">
        <v>34982</v>
      </c>
    </row>
    <row r="4633" spans="1:10" x14ac:dyDescent="0.3">
      <c r="A4633" t="s">
        <v>4760</v>
      </c>
      <c r="B4633" s="1">
        <v>45926</v>
      </c>
      <c r="C4633" t="s">
        <v>38</v>
      </c>
      <c r="D4633">
        <v>39</v>
      </c>
      <c r="E4633" t="s">
        <v>18</v>
      </c>
      <c r="F4633" t="s">
        <v>29</v>
      </c>
      <c r="G4633" t="s">
        <v>191</v>
      </c>
      <c r="H4633" t="s">
        <v>27</v>
      </c>
      <c r="I4633">
        <v>29970</v>
      </c>
      <c r="J4633">
        <v>23335</v>
      </c>
    </row>
    <row r="4634" spans="1:10" x14ac:dyDescent="0.3">
      <c r="A4634" t="s">
        <v>4761</v>
      </c>
      <c r="B4634" s="1">
        <v>46005</v>
      </c>
      <c r="C4634" t="s">
        <v>100</v>
      </c>
      <c r="D4634">
        <v>50</v>
      </c>
      <c r="E4634" t="s">
        <v>33</v>
      </c>
      <c r="F4634" t="s">
        <v>46</v>
      </c>
      <c r="G4634" t="s">
        <v>230</v>
      </c>
      <c r="H4634" t="s">
        <v>155</v>
      </c>
      <c r="I4634">
        <v>37869</v>
      </c>
      <c r="J4634">
        <v>34145</v>
      </c>
    </row>
    <row r="4635" spans="1:10" x14ac:dyDescent="0.3">
      <c r="A4635" t="s">
        <v>4762</v>
      </c>
      <c r="B4635" s="1">
        <v>45687</v>
      </c>
      <c r="C4635" t="s">
        <v>17</v>
      </c>
      <c r="D4635">
        <v>5</v>
      </c>
      <c r="E4635" t="s">
        <v>24</v>
      </c>
      <c r="F4635" t="s">
        <v>193</v>
      </c>
      <c r="G4635" t="s">
        <v>126</v>
      </c>
      <c r="H4635" t="s">
        <v>111</v>
      </c>
      <c r="I4635">
        <v>24067</v>
      </c>
      <c r="J4635">
        <v>21918</v>
      </c>
    </row>
    <row r="4636" spans="1:10" x14ac:dyDescent="0.3">
      <c r="A4636" t="s">
        <v>4763</v>
      </c>
      <c r="B4636" s="1">
        <v>45915</v>
      </c>
      <c r="C4636" t="s">
        <v>38</v>
      </c>
      <c r="D4636">
        <v>38</v>
      </c>
      <c r="E4636" t="s">
        <v>24</v>
      </c>
      <c r="F4636" t="s">
        <v>122</v>
      </c>
      <c r="G4636" t="s">
        <v>93</v>
      </c>
      <c r="H4636" t="s">
        <v>52</v>
      </c>
      <c r="I4636">
        <v>18618</v>
      </c>
      <c r="J4636">
        <v>20627</v>
      </c>
    </row>
    <row r="4637" spans="1:10" x14ac:dyDescent="0.3">
      <c r="A4637" t="s">
        <v>4764</v>
      </c>
      <c r="B4637" s="1">
        <v>45886</v>
      </c>
      <c r="C4637" t="s">
        <v>113</v>
      </c>
      <c r="D4637">
        <v>33</v>
      </c>
      <c r="E4637" t="s">
        <v>70</v>
      </c>
      <c r="F4637" t="s">
        <v>140</v>
      </c>
      <c r="G4637" t="s">
        <v>145</v>
      </c>
      <c r="H4637" t="s">
        <v>80</v>
      </c>
      <c r="I4637">
        <v>32615</v>
      </c>
      <c r="J4637">
        <v>30962</v>
      </c>
    </row>
    <row r="4638" spans="1:10" x14ac:dyDescent="0.3">
      <c r="A4638" t="s">
        <v>4765</v>
      </c>
      <c r="B4638" s="1">
        <v>45892</v>
      </c>
      <c r="C4638" t="s">
        <v>113</v>
      </c>
      <c r="D4638">
        <v>34</v>
      </c>
      <c r="E4638" t="s">
        <v>12</v>
      </c>
      <c r="F4638" t="s">
        <v>122</v>
      </c>
      <c r="G4638" t="s">
        <v>253</v>
      </c>
      <c r="H4638" t="s">
        <v>15</v>
      </c>
      <c r="I4638">
        <v>33296</v>
      </c>
      <c r="J4638">
        <v>33061</v>
      </c>
    </row>
    <row r="4639" spans="1:10" x14ac:dyDescent="0.3">
      <c r="A4639" t="s">
        <v>4766</v>
      </c>
      <c r="B4639" s="1">
        <v>45979</v>
      </c>
      <c r="C4639" t="s">
        <v>23</v>
      </c>
      <c r="D4639">
        <v>47</v>
      </c>
      <c r="E4639" t="s">
        <v>39</v>
      </c>
      <c r="F4639" t="s">
        <v>50</v>
      </c>
      <c r="G4639" t="s">
        <v>76</v>
      </c>
      <c r="H4639" t="s">
        <v>188</v>
      </c>
      <c r="I4639">
        <v>33621</v>
      </c>
      <c r="J4639">
        <v>33352</v>
      </c>
    </row>
    <row r="4640" spans="1:10" x14ac:dyDescent="0.3">
      <c r="A4640" t="s">
        <v>4767</v>
      </c>
      <c r="B4640" s="1">
        <v>45895</v>
      </c>
      <c r="C4640" t="s">
        <v>113</v>
      </c>
      <c r="D4640">
        <v>35</v>
      </c>
      <c r="E4640" t="s">
        <v>70</v>
      </c>
      <c r="F4640" t="s">
        <v>140</v>
      </c>
      <c r="G4640" t="s">
        <v>118</v>
      </c>
      <c r="H4640" t="s">
        <v>48</v>
      </c>
      <c r="I4640">
        <v>30067</v>
      </c>
      <c r="J4640">
        <v>24677</v>
      </c>
    </row>
    <row r="4641" spans="1:10" x14ac:dyDescent="0.3">
      <c r="A4641" t="s">
        <v>4768</v>
      </c>
      <c r="B4641" s="1">
        <v>45674</v>
      </c>
      <c r="C4641" t="s">
        <v>17</v>
      </c>
      <c r="D4641">
        <v>3</v>
      </c>
      <c r="E4641" t="s">
        <v>70</v>
      </c>
      <c r="F4641" t="s">
        <v>43</v>
      </c>
      <c r="G4641" t="s">
        <v>199</v>
      </c>
      <c r="H4641" t="s">
        <v>211</v>
      </c>
      <c r="I4641">
        <v>27523</v>
      </c>
      <c r="J4641">
        <v>30294</v>
      </c>
    </row>
    <row r="4642" spans="1:10" x14ac:dyDescent="0.3">
      <c r="A4642" t="s">
        <v>4769</v>
      </c>
      <c r="B4642" s="1">
        <v>45664</v>
      </c>
      <c r="C4642" t="s">
        <v>17</v>
      </c>
      <c r="D4642">
        <v>2</v>
      </c>
      <c r="E4642" t="s">
        <v>33</v>
      </c>
      <c r="F4642" t="s">
        <v>193</v>
      </c>
      <c r="G4642" t="s">
        <v>240</v>
      </c>
      <c r="H4642" t="s">
        <v>188</v>
      </c>
      <c r="I4642">
        <v>19394</v>
      </c>
      <c r="J4642">
        <v>15422</v>
      </c>
    </row>
    <row r="4643" spans="1:10" x14ac:dyDescent="0.3">
      <c r="A4643" t="s">
        <v>4770</v>
      </c>
      <c r="B4643" s="1">
        <v>45992</v>
      </c>
      <c r="C4643" t="s">
        <v>100</v>
      </c>
      <c r="D4643">
        <v>49</v>
      </c>
      <c r="E4643" t="s">
        <v>39</v>
      </c>
      <c r="F4643" t="s">
        <v>78</v>
      </c>
      <c r="G4643" t="s">
        <v>88</v>
      </c>
      <c r="H4643" t="s">
        <v>96</v>
      </c>
      <c r="I4643">
        <v>23017</v>
      </c>
      <c r="J4643">
        <v>26416</v>
      </c>
    </row>
    <row r="4644" spans="1:10" x14ac:dyDescent="0.3">
      <c r="A4644" t="s">
        <v>4771</v>
      </c>
      <c r="B4644" s="1">
        <v>45722</v>
      </c>
      <c r="C4644" t="s">
        <v>95</v>
      </c>
      <c r="D4644">
        <v>10</v>
      </c>
      <c r="E4644" t="s">
        <v>18</v>
      </c>
      <c r="F4644" t="s">
        <v>62</v>
      </c>
      <c r="G4644" t="s">
        <v>160</v>
      </c>
      <c r="H4644" t="s">
        <v>163</v>
      </c>
      <c r="I4644">
        <v>27369</v>
      </c>
      <c r="J4644">
        <v>28764</v>
      </c>
    </row>
    <row r="4645" spans="1:10" x14ac:dyDescent="0.3">
      <c r="A4645" t="s">
        <v>4772</v>
      </c>
      <c r="B4645" s="1">
        <v>45691</v>
      </c>
      <c r="C4645" t="s">
        <v>82</v>
      </c>
      <c r="D4645">
        <v>6</v>
      </c>
      <c r="E4645" t="s">
        <v>70</v>
      </c>
      <c r="F4645" t="s">
        <v>43</v>
      </c>
      <c r="G4645" t="s">
        <v>326</v>
      </c>
      <c r="H4645" t="s">
        <v>151</v>
      </c>
      <c r="I4645">
        <v>25247</v>
      </c>
      <c r="J4645">
        <v>30676</v>
      </c>
    </row>
    <row r="4646" spans="1:10" x14ac:dyDescent="0.3">
      <c r="A4646" t="s">
        <v>4773</v>
      </c>
      <c r="B4646" s="1">
        <v>45998</v>
      </c>
      <c r="C4646" t="s">
        <v>100</v>
      </c>
      <c r="D4646">
        <v>49</v>
      </c>
      <c r="E4646" t="s">
        <v>24</v>
      </c>
      <c r="F4646" t="s">
        <v>13</v>
      </c>
      <c r="G4646" t="s">
        <v>115</v>
      </c>
      <c r="H4646" t="s">
        <v>151</v>
      </c>
      <c r="I4646">
        <v>30755</v>
      </c>
      <c r="J4646">
        <v>37215</v>
      </c>
    </row>
    <row r="4647" spans="1:10" x14ac:dyDescent="0.3">
      <c r="A4647" t="s">
        <v>4774</v>
      </c>
      <c r="B4647" s="1">
        <v>45814</v>
      </c>
      <c r="C4647" t="s">
        <v>74</v>
      </c>
      <c r="D4647">
        <v>23</v>
      </c>
      <c r="E4647" t="s">
        <v>70</v>
      </c>
      <c r="F4647" t="s">
        <v>19</v>
      </c>
      <c r="G4647" t="s">
        <v>107</v>
      </c>
      <c r="H4647" t="s">
        <v>163</v>
      </c>
      <c r="I4647">
        <v>36546</v>
      </c>
      <c r="J4647">
        <v>29742</v>
      </c>
    </row>
    <row r="4648" spans="1:10" x14ac:dyDescent="0.3">
      <c r="A4648" t="s">
        <v>4775</v>
      </c>
      <c r="B4648" s="1">
        <v>45830</v>
      </c>
      <c r="C4648" t="s">
        <v>74</v>
      </c>
      <c r="D4648">
        <v>25</v>
      </c>
      <c r="E4648" t="s">
        <v>24</v>
      </c>
      <c r="F4648" t="s">
        <v>109</v>
      </c>
      <c r="G4648" t="s">
        <v>30</v>
      </c>
      <c r="H4648" t="s">
        <v>15</v>
      </c>
      <c r="I4648">
        <v>33372</v>
      </c>
      <c r="J4648">
        <v>30075</v>
      </c>
    </row>
    <row r="4649" spans="1:10" x14ac:dyDescent="0.3">
      <c r="A4649" t="s">
        <v>4776</v>
      </c>
      <c r="B4649" s="1">
        <v>45722</v>
      </c>
      <c r="C4649" t="s">
        <v>95</v>
      </c>
      <c r="D4649">
        <v>10</v>
      </c>
      <c r="E4649" t="s">
        <v>12</v>
      </c>
      <c r="F4649" t="s">
        <v>193</v>
      </c>
      <c r="G4649" t="s">
        <v>67</v>
      </c>
      <c r="H4649" t="s">
        <v>59</v>
      </c>
      <c r="I4649">
        <v>35641</v>
      </c>
      <c r="J4649">
        <v>34852</v>
      </c>
    </row>
    <row r="4650" spans="1:10" x14ac:dyDescent="0.3">
      <c r="A4650" t="s">
        <v>4777</v>
      </c>
      <c r="B4650" s="1">
        <v>45697</v>
      </c>
      <c r="C4650" t="s">
        <v>82</v>
      </c>
      <c r="D4650">
        <v>6</v>
      </c>
      <c r="E4650" t="s">
        <v>39</v>
      </c>
      <c r="F4650" t="s">
        <v>62</v>
      </c>
      <c r="G4650" t="s">
        <v>141</v>
      </c>
      <c r="H4650" t="s">
        <v>123</v>
      </c>
      <c r="I4650">
        <v>18022</v>
      </c>
      <c r="J4650">
        <v>20303</v>
      </c>
    </row>
    <row r="4651" spans="1:10" x14ac:dyDescent="0.3">
      <c r="A4651" t="s">
        <v>4778</v>
      </c>
      <c r="B4651" s="1">
        <v>45715</v>
      </c>
      <c r="C4651" t="s">
        <v>82</v>
      </c>
      <c r="D4651">
        <v>9</v>
      </c>
      <c r="E4651" t="s">
        <v>18</v>
      </c>
      <c r="F4651" t="s">
        <v>29</v>
      </c>
      <c r="G4651" t="s">
        <v>40</v>
      </c>
      <c r="H4651" t="s">
        <v>59</v>
      </c>
      <c r="I4651">
        <v>31382</v>
      </c>
      <c r="J4651">
        <v>40061</v>
      </c>
    </row>
    <row r="4652" spans="1:10" x14ac:dyDescent="0.3">
      <c r="A4652" t="s">
        <v>4779</v>
      </c>
      <c r="B4652" s="1">
        <v>45808</v>
      </c>
      <c r="C4652" t="s">
        <v>90</v>
      </c>
      <c r="D4652">
        <v>22</v>
      </c>
      <c r="E4652" t="s">
        <v>39</v>
      </c>
      <c r="F4652" t="s">
        <v>46</v>
      </c>
      <c r="G4652" t="s">
        <v>240</v>
      </c>
      <c r="H4652" t="s">
        <v>80</v>
      </c>
      <c r="I4652">
        <v>39755</v>
      </c>
      <c r="J4652">
        <v>31278</v>
      </c>
    </row>
    <row r="4653" spans="1:10" x14ac:dyDescent="0.3">
      <c r="A4653" t="s">
        <v>4780</v>
      </c>
      <c r="B4653" s="1">
        <v>45856</v>
      </c>
      <c r="C4653" t="s">
        <v>11</v>
      </c>
      <c r="D4653">
        <v>29</v>
      </c>
      <c r="E4653" t="s">
        <v>24</v>
      </c>
      <c r="F4653" t="s">
        <v>87</v>
      </c>
      <c r="G4653" t="s">
        <v>224</v>
      </c>
      <c r="H4653" t="s">
        <v>119</v>
      </c>
      <c r="I4653">
        <v>32770</v>
      </c>
      <c r="J4653">
        <v>42490</v>
      </c>
    </row>
    <row r="4654" spans="1:10" x14ac:dyDescent="0.3">
      <c r="A4654" t="s">
        <v>4781</v>
      </c>
      <c r="B4654" s="1">
        <v>45922</v>
      </c>
      <c r="C4654" t="s">
        <v>38</v>
      </c>
      <c r="D4654">
        <v>39</v>
      </c>
      <c r="E4654" t="s">
        <v>18</v>
      </c>
      <c r="F4654" t="s">
        <v>114</v>
      </c>
      <c r="G4654" t="s">
        <v>191</v>
      </c>
      <c r="H4654" t="s">
        <v>119</v>
      </c>
      <c r="I4654">
        <v>29331</v>
      </c>
      <c r="J4654">
        <v>29059</v>
      </c>
    </row>
    <row r="4655" spans="1:10" x14ac:dyDescent="0.3">
      <c r="A4655" t="s">
        <v>4782</v>
      </c>
      <c r="B4655" s="1">
        <v>45696</v>
      </c>
      <c r="C4655" t="s">
        <v>82</v>
      </c>
      <c r="D4655">
        <v>6</v>
      </c>
      <c r="E4655" t="s">
        <v>18</v>
      </c>
      <c r="F4655" t="s">
        <v>29</v>
      </c>
      <c r="G4655" t="s">
        <v>14</v>
      </c>
      <c r="H4655" t="s">
        <v>98</v>
      </c>
      <c r="I4655">
        <v>15858</v>
      </c>
      <c r="J4655">
        <v>17890</v>
      </c>
    </row>
    <row r="4656" spans="1:10" x14ac:dyDescent="0.3">
      <c r="A4656" t="s">
        <v>4783</v>
      </c>
      <c r="B4656" s="1">
        <v>45784</v>
      </c>
      <c r="C4656" t="s">
        <v>90</v>
      </c>
      <c r="D4656">
        <v>19</v>
      </c>
      <c r="E4656" t="s">
        <v>18</v>
      </c>
      <c r="F4656" t="s">
        <v>57</v>
      </c>
      <c r="G4656" t="s">
        <v>110</v>
      </c>
      <c r="H4656" t="s">
        <v>123</v>
      </c>
      <c r="I4656">
        <v>39824</v>
      </c>
      <c r="J4656">
        <v>35674</v>
      </c>
    </row>
    <row r="4657" spans="1:10" x14ac:dyDescent="0.3">
      <c r="A4657" t="s">
        <v>4784</v>
      </c>
      <c r="B4657" s="1">
        <v>45694</v>
      </c>
      <c r="C4657" t="s">
        <v>82</v>
      </c>
      <c r="D4657">
        <v>6</v>
      </c>
      <c r="E4657" t="s">
        <v>18</v>
      </c>
      <c r="F4657" t="s">
        <v>13</v>
      </c>
      <c r="G4657" t="s">
        <v>30</v>
      </c>
      <c r="H4657" t="s">
        <v>96</v>
      </c>
      <c r="I4657">
        <v>31295</v>
      </c>
      <c r="J4657">
        <v>40488</v>
      </c>
    </row>
    <row r="4658" spans="1:10" x14ac:dyDescent="0.3">
      <c r="A4658" t="s">
        <v>4785</v>
      </c>
      <c r="B4658" s="1">
        <v>45830</v>
      </c>
      <c r="C4658" t="s">
        <v>74</v>
      </c>
      <c r="D4658">
        <v>25</v>
      </c>
      <c r="E4658" t="s">
        <v>70</v>
      </c>
      <c r="F4658" t="s">
        <v>62</v>
      </c>
      <c r="G4658" t="s">
        <v>145</v>
      </c>
      <c r="H4658" t="s">
        <v>21</v>
      </c>
      <c r="I4658">
        <v>28883</v>
      </c>
      <c r="J4658">
        <v>23082</v>
      </c>
    </row>
    <row r="4659" spans="1:10" x14ac:dyDescent="0.3">
      <c r="A4659" t="s">
        <v>4786</v>
      </c>
      <c r="B4659" s="1">
        <v>45705</v>
      </c>
      <c r="C4659" t="s">
        <v>82</v>
      </c>
      <c r="D4659">
        <v>8</v>
      </c>
      <c r="E4659" t="s">
        <v>61</v>
      </c>
      <c r="F4659" t="s">
        <v>140</v>
      </c>
      <c r="G4659" t="s">
        <v>206</v>
      </c>
      <c r="H4659" t="s">
        <v>243</v>
      </c>
      <c r="I4659">
        <v>33701</v>
      </c>
      <c r="J4659">
        <v>34334</v>
      </c>
    </row>
    <row r="4660" spans="1:10" x14ac:dyDescent="0.3">
      <c r="A4660" t="s">
        <v>4787</v>
      </c>
      <c r="B4660" s="1">
        <v>45729</v>
      </c>
      <c r="C4660" t="s">
        <v>95</v>
      </c>
      <c r="D4660">
        <v>11</v>
      </c>
      <c r="E4660" t="s">
        <v>12</v>
      </c>
      <c r="F4660" t="s">
        <v>46</v>
      </c>
      <c r="G4660" t="s">
        <v>118</v>
      </c>
      <c r="H4660" t="s">
        <v>27</v>
      </c>
      <c r="I4660">
        <v>39851</v>
      </c>
      <c r="J4660">
        <v>29592</v>
      </c>
    </row>
    <row r="4661" spans="1:10" x14ac:dyDescent="0.3">
      <c r="A4661" t="s">
        <v>4788</v>
      </c>
      <c r="B4661" s="1">
        <v>45935</v>
      </c>
      <c r="C4661" t="s">
        <v>66</v>
      </c>
      <c r="D4661">
        <v>40</v>
      </c>
      <c r="E4661" t="s">
        <v>24</v>
      </c>
      <c r="F4661" t="s">
        <v>87</v>
      </c>
      <c r="G4661" t="s">
        <v>40</v>
      </c>
      <c r="H4661" t="s">
        <v>119</v>
      </c>
      <c r="I4661">
        <v>32261</v>
      </c>
      <c r="J4661">
        <v>32506</v>
      </c>
    </row>
    <row r="4662" spans="1:10" x14ac:dyDescent="0.3">
      <c r="A4662" t="s">
        <v>4789</v>
      </c>
      <c r="B4662" s="1">
        <v>45747</v>
      </c>
      <c r="C4662" t="s">
        <v>95</v>
      </c>
      <c r="D4662">
        <v>14</v>
      </c>
      <c r="E4662" t="s">
        <v>33</v>
      </c>
      <c r="F4662" t="s">
        <v>62</v>
      </c>
      <c r="G4662" t="s">
        <v>137</v>
      </c>
      <c r="H4662" t="s">
        <v>188</v>
      </c>
      <c r="I4662">
        <v>38489</v>
      </c>
      <c r="J4662">
        <v>34208</v>
      </c>
    </row>
    <row r="4663" spans="1:10" x14ac:dyDescent="0.3">
      <c r="A4663" t="s">
        <v>4790</v>
      </c>
      <c r="B4663" s="1">
        <v>45929</v>
      </c>
      <c r="C4663" t="s">
        <v>38</v>
      </c>
      <c r="D4663">
        <v>40</v>
      </c>
      <c r="E4663" t="s">
        <v>33</v>
      </c>
      <c r="F4663" t="s">
        <v>114</v>
      </c>
      <c r="G4663" t="s">
        <v>201</v>
      </c>
      <c r="H4663" t="s">
        <v>52</v>
      </c>
      <c r="I4663">
        <v>39482</v>
      </c>
      <c r="J4663">
        <v>51271</v>
      </c>
    </row>
    <row r="4664" spans="1:10" x14ac:dyDescent="0.3">
      <c r="A4664" t="s">
        <v>4791</v>
      </c>
      <c r="B4664" s="1">
        <v>45824</v>
      </c>
      <c r="C4664" t="s">
        <v>74</v>
      </c>
      <c r="D4664">
        <v>25</v>
      </c>
      <c r="E4664" t="s">
        <v>12</v>
      </c>
      <c r="F4664" t="s">
        <v>57</v>
      </c>
      <c r="G4664" t="s">
        <v>54</v>
      </c>
      <c r="H4664" t="s">
        <v>103</v>
      </c>
      <c r="I4664">
        <v>20628</v>
      </c>
      <c r="J4664">
        <v>19571</v>
      </c>
    </row>
    <row r="4665" spans="1:10" x14ac:dyDescent="0.3">
      <c r="A4665" t="s">
        <v>4792</v>
      </c>
      <c r="B4665" s="1">
        <v>45922</v>
      </c>
      <c r="C4665" t="s">
        <v>38</v>
      </c>
      <c r="D4665">
        <v>39</v>
      </c>
      <c r="E4665" t="s">
        <v>61</v>
      </c>
      <c r="F4665" t="s">
        <v>140</v>
      </c>
      <c r="G4665" t="s">
        <v>199</v>
      </c>
      <c r="H4665" t="s">
        <v>111</v>
      </c>
      <c r="I4665">
        <v>25189</v>
      </c>
      <c r="J4665">
        <v>17691</v>
      </c>
    </row>
    <row r="4666" spans="1:10" x14ac:dyDescent="0.3">
      <c r="A4666" t="s">
        <v>4793</v>
      </c>
      <c r="B4666" s="1">
        <v>46001</v>
      </c>
      <c r="C4666" t="s">
        <v>100</v>
      </c>
      <c r="D4666">
        <v>50</v>
      </c>
      <c r="E4666" t="s">
        <v>39</v>
      </c>
      <c r="F4666" t="s">
        <v>87</v>
      </c>
      <c r="G4666" t="s">
        <v>201</v>
      </c>
      <c r="H4666" t="s">
        <v>36</v>
      </c>
      <c r="I4666">
        <v>38419</v>
      </c>
      <c r="J4666">
        <v>39639</v>
      </c>
    </row>
    <row r="4667" spans="1:10" x14ac:dyDescent="0.3">
      <c r="A4667" t="s">
        <v>4794</v>
      </c>
      <c r="B4667" s="1">
        <v>45845</v>
      </c>
      <c r="C4667" t="s">
        <v>11</v>
      </c>
      <c r="D4667">
        <v>28</v>
      </c>
      <c r="E4667" t="s">
        <v>61</v>
      </c>
      <c r="F4667" t="s">
        <v>140</v>
      </c>
      <c r="G4667" t="s">
        <v>137</v>
      </c>
      <c r="H4667" t="s">
        <v>64</v>
      </c>
      <c r="I4667">
        <v>22068</v>
      </c>
      <c r="J4667">
        <v>20042</v>
      </c>
    </row>
    <row r="4668" spans="1:10" x14ac:dyDescent="0.3">
      <c r="A4668" t="s">
        <v>4795</v>
      </c>
      <c r="B4668" s="1">
        <v>45685</v>
      </c>
      <c r="C4668" t="s">
        <v>17</v>
      </c>
      <c r="D4668">
        <v>5</v>
      </c>
      <c r="E4668" t="s">
        <v>61</v>
      </c>
      <c r="F4668" t="s">
        <v>109</v>
      </c>
      <c r="G4668" t="s">
        <v>266</v>
      </c>
      <c r="H4668" t="s">
        <v>98</v>
      </c>
      <c r="I4668">
        <v>24840</v>
      </c>
      <c r="J4668">
        <v>26256</v>
      </c>
    </row>
    <row r="4669" spans="1:10" x14ac:dyDescent="0.3">
      <c r="A4669" t="s">
        <v>4796</v>
      </c>
      <c r="B4669" s="1">
        <v>45886</v>
      </c>
      <c r="C4669" t="s">
        <v>113</v>
      </c>
      <c r="D4669">
        <v>33</v>
      </c>
      <c r="E4669" t="s">
        <v>70</v>
      </c>
      <c r="F4669" t="s">
        <v>140</v>
      </c>
      <c r="G4669" t="s">
        <v>118</v>
      </c>
      <c r="H4669" t="s">
        <v>103</v>
      </c>
      <c r="I4669">
        <v>26515</v>
      </c>
      <c r="J4669">
        <v>28474</v>
      </c>
    </row>
    <row r="4670" spans="1:10" x14ac:dyDescent="0.3">
      <c r="A4670" t="s">
        <v>4797</v>
      </c>
      <c r="B4670" s="1">
        <v>45899</v>
      </c>
      <c r="C4670" t="s">
        <v>113</v>
      </c>
      <c r="D4670">
        <v>35</v>
      </c>
      <c r="E4670" t="s">
        <v>24</v>
      </c>
      <c r="F4670" t="s">
        <v>62</v>
      </c>
      <c r="G4670" t="s">
        <v>58</v>
      </c>
      <c r="H4670" t="s">
        <v>165</v>
      </c>
      <c r="I4670">
        <v>39241</v>
      </c>
      <c r="J4670">
        <v>50927</v>
      </c>
    </row>
    <row r="4671" spans="1:10" x14ac:dyDescent="0.3">
      <c r="A4671" t="s">
        <v>4798</v>
      </c>
      <c r="B4671" s="1">
        <v>45674</v>
      </c>
      <c r="C4671" t="s">
        <v>17</v>
      </c>
      <c r="D4671">
        <v>3</v>
      </c>
      <c r="E4671" t="s">
        <v>24</v>
      </c>
      <c r="F4671" t="s">
        <v>122</v>
      </c>
      <c r="G4671" t="s">
        <v>234</v>
      </c>
      <c r="H4671" t="s">
        <v>98</v>
      </c>
      <c r="I4671">
        <v>17382</v>
      </c>
      <c r="J4671">
        <v>21441</v>
      </c>
    </row>
    <row r="4672" spans="1:10" x14ac:dyDescent="0.3">
      <c r="A4672" t="s">
        <v>4799</v>
      </c>
      <c r="B4672" s="1">
        <v>45842</v>
      </c>
      <c r="C4672" t="s">
        <v>11</v>
      </c>
      <c r="D4672">
        <v>27</v>
      </c>
      <c r="E4672" t="s">
        <v>24</v>
      </c>
      <c r="F4672" t="s">
        <v>50</v>
      </c>
      <c r="G4672" t="s">
        <v>44</v>
      </c>
      <c r="H4672" t="s">
        <v>155</v>
      </c>
      <c r="I4672">
        <v>25901</v>
      </c>
      <c r="J4672">
        <v>29371</v>
      </c>
    </row>
    <row r="4673" spans="1:10" x14ac:dyDescent="0.3">
      <c r="A4673" t="s">
        <v>4800</v>
      </c>
      <c r="B4673" s="1">
        <v>45666</v>
      </c>
      <c r="C4673" t="s">
        <v>17</v>
      </c>
      <c r="D4673">
        <v>2</v>
      </c>
      <c r="E4673" t="s">
        <v>39</v>
      </c>
      <c r="F4673" t="s">
        <v>92</v>
      </c>
      <c r="G4673" t="s">
        <v>107</v>
      </c>
      <c r="H4673" t="s">
        <v>55</v>
      </c>
      <c r="I4673">
        <v>19912</v>
      </c>
      <c r="J4673">
        <v>22325</v>
      </c>
    </row>
    <row r="4674" spans="1:10" x14ac:dyDescent="0.3">
      <c r="A4674" t="s">
        <v>4801</v>
      </c>
      <c r="B4674" s="1">
        <v>45995</v>
      </c>
      <c r="C4674" t="s">
        <v>100</v>
      </c>
      <c r="D4674">
        <v>49</v>
      </c>
      <c r="E4674" t="s">
        <v>12</v>
      </c>
      <c r="F4674" t="s">
        <v>92</v>
      </c>
      <c r="G4674" t="s">
        <v>149</v>
      </c>
      <c r="H4674" t="s">
        <v>31</v>
      </c>
      <c r="I4674">
        <v>33836</v>
      </c>
      <c r="J4674">
        <v>43565</v>
      </c>
    </row>
    <row r="4675" spans="1:10" x14ac:dyDescent="0.3">
      <c r="A4675" t="s">
        <v>4802</v>
      </c>
      <c r="B4675" s="1">
        <v>45876</v>
      </c>
      <c r="C4675" t="s">
        <v>113</v>
      </c>
      <c r="D4675">
        <v>32</v>
      </c>
      <c r="E4675" t="s">
        <v>70</v>
      </c>
      <c r="F4675" t="s">
        <v>75</v>
      </c>
      <c r="G4675" t="s">
        <v>30</v>
      </c>
      <c r="H4675" t="s">
        <v>123</v>
      </c>
      <c r="I4675">
        <v>17225</v>
      </c>
      <c r="J4675">
        <v>18696</v>
      </c>
    </row>
    <row r="4676" spans="1:10" x14ac:dyDescent="0.3">
      <c r="A4676" t="s">
        <v>4803</v>
      </c>
      <c r="B4676" s="1">
        <v>45879</v>
      </c>
      <c r="C4676" t="s">
        <v>113</v>
      </c>
      <c r="D4676">
        <v>32</v>
      </c>
      <c r="E4676" t="s">
        <v>70</v>
      </c>
      <c r="F4676" t="s">
        <v>50</v>
      </c>
      <c r="G4676" t="s">
        <v>72</v>
      </c>
      <c r="H4676" t="s">
        <v>64</v>
      </c>
      <c r="I4676">
        <v>29994</v>
      </c>
      <c r="J4676">
        <v>27481</v>
      </c>
    </row>
    <row r="4677" spans="1:10" x14ac:dyDescent="0.3">
      <c r="A4677" t="s">
        <v>4804</v>
      </c>
      <c r="B4677" s="1">
        <v>45985</v>
      </c>
      <c r="C4677" t="s">
        <v>23</v>
      </c>
      <c r="D4677">
        <v>48</v>
      </c>
      <c r="E4677" t="s">
        <v>70</v>
      </c>
      <c r="F4677" t="s">
        <v>46</v>
      </c>
      <c r="G4677" t="s">
        <v>79</v>
      </c>
      <c r="H4677" t="s">
        <v>165</v>
      </c>
      <c r="I4677">
        <v>34807</v>
      </c>
      <c r="J4677">
        <v>30028</v>
      </c>
    </row>
    <row r="4678" spans="1:10" x14ac:dyDescent="0.3">
      <c r="A4678" t="s">
        <v>4805</v>
      </c>
      <c r="B4678" s="1">
        <v>45731</v>
      </c>
      <c r="C4678" t="s">
        <v>95</v>
      </c>
      <c r="D4678">
        <v>11</v>
      </c>
      <c r="E4678" t="s">
        <v>33</v>
      </c>
      <c r="F4678" t="s">
        <v>19</v>
      </c>
      <c r="G4678" t="s">
        <v>67</v>
      </c>
      <c r="H4678" t="s">
        <v>96</v>
      </c>
      <c r="I4678">
        <v>25578</v>
      </c>
      <c r="J4678">
        <v>23086</v>
      </c>
    </row>
    <row r="4679" spans="1:10" x14ac:dyDescent="0.3">
      <c r="A4679" t="s">
        <v>4806</v>
      </c>
      <c r="B4679" s="1">
        <v>45953</v>
      </c>
      <c r="C4679" t="s">
        <v>66</v>
      </c>
      <c r="D4679">
        <v>43</v>
      </c>
      <c r="E4679" t="s">
        <v>70</v>
      </c>
      <c r="F4679" t="s">
        <v>101</v>
      </c>
      <c r="G4679" t="s">
        <v>54</v>
      </c>
      <c r="H4679" t="s">
        <v>96</v>
      </c>
      <c r="I4679">
        <v>28419</v>
      </c>
      <c r="J4679">
        <v>34754</v>
      </c>
    </row>
    <row r="4680" spans="1:10" x14ac:dyDescent="0.3">
      <c r="A4680" t="s">
        <v>4807</v>
      </c>
      <c r="B4680" s="1">
        <v>45693</v>
      </c>
      <c r="C4680" t="s">
        <v>82</v>
      </c>
      <c r="D4680">
        <v>6</v>
      </c>
      <c r="E4680" t="s">
        <v>24</v>
      </c>
      <c r="F4680" t="s">
        <v>193</v>
      </c>
      <c r="G4680" t="s">
        <v>58</v>
      </c>
      <c r="H4680" t="s">
        <v>116</v>
      </c>
      <c r="I4680">
        <v>34355</v>
      </c>
      <c r="J4680">
        <v>29534</v>
      </c>
    </row>
    <row r="4681" spans="1:10" x14ac:dyDescent="0.3">
      <c r="A4681" t="s">
        <v>4808</v>
      </c>
      <c r="B4681" s="1">
        <v>45808</v>
      </c>
      <c r="C4681" t="s">
        <v>90</v>
      </c>
      <c r="D4681">
        <v>22</v>
      </c>
      <c r="E4681" t="s">
        <v>24</v>
      </c>
      <c r="F4681" t="s">
        <v>114</v>
      </c>
      <c r="G4681" t="s">
        <v>47</v>
      </c>
      <c r="H4681" t="s">
        <v>52</v>
      </c>
      <c r="I4681">
        <v>27152</v>
      </c>
      <c r="J4681">
        <v>21545</v>
      </c>
    </row>
    <row r="4682" spans="1:10" x14ac:dyDescent="0.3">
      <c r="A4682" t="s">
        <v>4809</v>
      </c>
      <c r="B4682" s="1">
        <v>45736</v>
      </c>
      <c r="C4682" t="s">
        <v>95</v>
      </c>
      <c r="D4682">
        <v>12</v>
      </c>
      <c r="E4682" t="s">
        <v>18</v>
      </c>
      <c r="F4682" t="s">
        <v>19</v>
      </c>
      <c r="G4682" t="s">
        <v>147</v>
      </c>
      <c r="H4682" t="s">
        <v>41</v>
      </c>
      <c r="I4682">
        <v>23853</v>
      </c>
      <c r="J4682">
        <v>28323</v>
      </c>
    </row>
    <row r="4683" spans="1:10" x14ac:dyDescent="0.3">
      <c r="A4683" t="s">
        <v>4810</v>
      </c>
      <c r="B4683" s="1">
        <v>46009</v>
      </c>
      <c r="C4683" t="s">
        <v>100</v>
      </c>
      <c r="D4683">
        <v>51</v>
      </c>
      <c r="E4683" t="s">
        <v>12</v>
      </c>
      <c r="F4683" t="s">
        <v>13</v>
      </c>
      <c r="G4683" t="s">
        <v>110</v>
      </c>
      <c r="H4683" t="s">
        <v>163</v>
      </c>
      <c r="I4683">
        <v>23902</v>
      </c>
      <c r="J4683">
        <v>26527</v>
      </c>
    </row>
    <row r="4684" spans="1:10" x14ac:dyDescent="0.3">
      <c r="A4684" t="s">
        <v>4811</v>
      </c>
      <c r="B4684" s="1">
        <v>45856</v>
      </c>
      <c r="C4684" t="s">
        <v>11</v>
      </c>
      <c r="D4684">
        <v>29</v>
      </c>
      <c r="E4684" t="s">
        <v>18</v>
      </c>
      <c r="F4684" t="s">
        <v>29</v>
      </c>
      <c r="G4684" t="s">
        <v>26</v>
      </c>
      <c r="H4684" t="s">
        <v>188</v>
      </c>
      <c r="I4684">
        <v>21895</v>
      </c>
      <c r="J4684">
        <v>18614</v>
      </c>
    </row>
    <row r="4685" spans="1:10" x14ac:dyDescent="0.3">
      <c r="A4685" t="s">
        <v>4812</v>
      </c>
      <c r="B4685" s="1">
        <v>45945</v>
      </c>
      <c r="C4685" t="s">
        <v>66</v>
      </c>
      <c r="D4685">
        <v>42</v>
      </c>
      <c r="E4685" t="s">
        <v>70</v>
      </c>
      <c r="F4685" t="s">
        <v>101</v>
      </c>
      <c r="G4685" t="s">
        <v>224</v>
      </c>
      <c r="H4685" t="s">
        <v>21</v>
      </c>
      <c r="I4685">
        <v>18473</v>
      </c>
      <c r="J4685">
        <v>22941</v>
      </c>
    </row>
    <row r="4686" spans="1:10" x14ac:dyDescent="0.3">
      <c r="A4686" t="s">
        <v>4813</v>
      </c>
      <c r="B4686" s="1">
        <v>45875</v>
      </c>
      <c r="C4686" t="s">
        <v>113</v>
      </c>
      <c r="D4686">
        <v>32</v>
      </c>
      <c r="E4686" t="s">
        <v>24</v>
      </c>
      <c r="F4686" t="s">
        <v>46</v>
      </c>
      <c r="G4686" t="s">
        <v>182</v>
      </c>
      <c r="H4686" t="s">
        <v>55</v>
      </c>
      <c r="I4686">
        <v>31835</v>
      </c>
      <c r="J4686">
        <v>24339</v>
      </c>
    </row>
    <row r="4687" spans="1:10" x14ac:dyDescent="0.3">
      <c r="A4687" t="s">
        <v>4814</v>
      </c>
      <c r="B4687" s="1">
        <v>46016</v>
      </c>
      <c r="C4687" t="s">
        <v>100</v>
      </c>
      <c r="D4687">
        <v>52</v>
      </c>
      <c r="E4687" t="s">
        <v>39</v>
      </c>
      <c r="F4687" t="s">
        <v>114</v>
      </c>
      <c r="G4687" t="s">
        <v>206</v>
      </c>
      <c r="H4687" t="s">
        <v>96</v>
      </c>
      <c r="I4687">
        <v>21468</v>
      </c>
      <c r="J4687">
        <v>23489</v>
      </c>
    </row>
    <row r="4688" spans="1:10" x14ac:dyDescent="0.3">
      <c r="A4688" t="s">
        <v>4815</v>
      </c>
      <c r="B4688" s="1">
        <v>45680</v>
      </c>
      <c r="C4688" t="s">
        <v>17</v>
      </c>
      <c r="D4688">
        <v>4</v>
      </c>
      <c r="E4688" t="s">
        <v>61</v>
      </c>
      <c r="F4688" t="s">
        <v>193</v>
      </c>
      <c r="G4688" t="s">
        <v>118</v>
      </c>
      <c r="H4688" t="s">
        <v>41</v>
      </c>
      <c r="I4688">
        <v>36088</v>
      </c>
      <c r="J4688">
        <v>30876</v>
      </c>
    </row>
    <row r="4689" spans="1:10" x14ac:dyDescent="0.3">
      <c r="A4689" t="s">
        <v>4816</v>
      </c>
      <c r="B4689" s="1">
        <v>45671</v>
      </c>
      <c r="C4689" t="s">
        <v>17</v>
      </c>
      <c r="D4689">
        <v>3</v>
      </c>
      <c r="E4689" t="s">
        <v>18</v>
      </c>
      <c r="F4689" t="s">
        <v>109</v>
      </c>
      <c r="G4689" t="s">
        <v>47</v>
      </c>
      <c r="H4689" t="s">
        <v>80</v>
      </c>
      <c r="I4689">
        <v>34768</v>
      </c>
      <c r="J4689">
        <v>27527</v>
      </c>
    </row>
    <row r="4690" spans="1:10" x14ac:dyDescent="0.3">
      <c r="A4690" t="s">
        <v>4817</v>
      </c>
      <c r="B4690" s="1">
        <v>45956</v>
      </c>
      <c r="C4690" t="s">
        <v>66</v>
      </c>
      <c r="D4690">
        <v>43</v>
      </c>
      <c r="E4690" t="s">
        <v>12</v>
      </c>
      <c r="F4690" t="s">
        <v>50</v>
      </c>
      <c r="G4690" t="s">
        <v>137</v>
      </c>
      <c r="H4690" t="s">
        <v>155</v>
      </c>
      <c r="I4690">
        <v>35009</v>
      </c>
      <c r="J4690">
        <v>31844</v>
      </c>
    </row>
    <row r="4691" spans="1:10" x14ac:dyDescent="0.3">
      <c r="A4691" t="s">
        <v>4818</v>
      </c>
      <c r="B4691" s="1">
        <v>46009</v>
      </c>
      <c r="C4691" t="s">
        <v>100</v>
      </c>
      <c r="D4691">
        <v>51</v>
      </c>
      <c r="E4691" t="s">
        <v>33</v>
      </c>
      <c r="F4691" t="s">
        <v>50</v>
      </c>
      <c r="G4691" t="s">
        <v>88</v>
      </c>
      <c r="H4691" t="s">
        <v>52</v>
      </c>
      <c r="I4691">
        <v>26575</v>
      </c>
      <c r="J4691">
        <v>31888</v>
      </c>
    </row>
    <row r="4692" spans="1:10" x14ac:dyDescent="0.3">
      <c r="A4692" t="s">
        <v>4819</v>
      </c>
      <c r="B4692" s="1">
        <v>45770</v>
      </c>
      <c r="C4692" t="s">
        <v>86</v>
      </c>
      <c r="D4692">
        <v>17</v>
      </c>
      <c r="E4692" t="s">
        <v>61</v>
      </c>
      <c r="F4692" t="s">
        <v>34</v>
      </c>
      <c r="G4692" t="s">
        <v>47</v>
      </c>
      <c r="H4692" t="s">
        <v>111</v>
      </c>
      <c r="I4692">
        <v>33969</v>
      </c>
      <c r="J4692">
        <v>28469</v>
      </c>
    </row>
    <row r="4693" spans="1:10" x14ac:dyDescent="0.3">
      <c r="A4693" t="s">
        <v>4820</v>
      </c>
      <c r="B4693" s="1">
        <v>45749</v>
      </c>
      <c r="C4693" t="s">
        <v>86</v>
      </c>
      <c r="D4693">
        <v>14</v>
      </c>
      <c r="E4693" t="s">
        <v>24</v>
      </c>
      <c r="F4693" t="s">
        <v>122</v>
      </c>
      <c r="G4693" t="s">
        <v>128</v>
      </c>
      <c r="H4693" t="s">
        <v>59</v>
      </c>
      <c r="I4693">
        <v>27239</v>
      </c>
      <c r="J4693">
        <v>28230</v>
      </c>
    </row>
    <row r="4694" spans="1:10" x14ac:dyDescent="0.3">
      <c r="A4694" t="s">
        <v>4821</v>
      </c>
      <c r="B4694" s="1">
        <v>45906</v>
      </c>
      <c r="C4694" t="s">
        <v>38</v>
      </c>
      <c r="D4694">
        <v>36</v>
      </c>
      <c r="E4694" t="s">
        <v>70</v>
      </c>
      <c r="F4694" t="s">
        <v>43</v>
      </c>
      <c r="G4694" t="s">
        <v>135</v>
      </c>
      <c r="H4694" t="s">
        <v>103</v>
      </c>
      <c r="I4694">
        <v>20476</v>
      </c>
      <c r="J4694">
        <v>23673</v>
      </c>
    </row>
    <row r="4695" spans="1:10" x14ac:dyDescent="0.3">
      <c r="A4695" t="s">
        <v>4822</v>
      </c>
      <c r="B4695" s="1">
        <v>45782</v>
      </c>
      <c r="C4695" t="s">
        <v>90</v>
      </c>
      <c r="D4695">
        <v>19</v>
      </c>
      <c r="E4695" t="s">
        <v>61</v>
      </c>
      <c r="F4695" t="s">
        <v>13</v>
      </c>
      <c r="G4695" t="s">
        <v>88</v>
      </c>
      <c r="H4695" t="s">
        <v>123</v>
      </c>
      <c r="I4695">
        <v>32782</v>
      </c>
      <c r="J4695">
        <v>40640</v>
      </c>
    </row>
    <row r="4696" spans="1:10" x14ac:dyDescent="0.3">
      <c r="A4696" t="s">
        <v>4823</v>
      </c>
      <c r="B4696" s="1">
        <v>45839</v>
      </c>
      <c r="C4696" t="s">
        <v>11</v>
      </c>
      <c r="D4696">
        <v>27</v>
      </c>
      <c r="E4696" t="s">
        <v>33</v>
      </c>
      <c r="F4696" t="s">
        <v>140</v>
      </c>
      <c r="G4696" t="s">
        <v>72</v>
      </c>
      <c r="H4696" t="s">
        <v>188</v>
      </c>
      <c r="I4696">
        <v>33711</v>
      </c>
      <c r="J4696">
        <v>36718</v>
      </c>
    </row>
    <row r="4697" spans="1:10" x14ac:dyDescent="0.3">
      <c r="A4697" t="s">
        <v>4824</v>
      </c>
      <c r="B4697" s="1">
        <v>45716</v>
      </c>
      <c r="C4697" t="s">
        <v>82</v>
      </c>
      <c r="D4697">
        <v>9</v>
      </c>
      <c r="E4697" t="s">
        <v>70</v>
      </c>
      <c r="F4697" t="s">
        <v>101</v>
      </c>
      <c r="G4697" t="s">
        <v>266</v>
      </c>
      <c r="H4697" t="s">
        <v>211</v>
      </c>
      <c r="I4697">
        <v>25841</v>
      </c>
      <c r="J4697">
        <v>29681</v>
      </c>
    </row>
    <row r="4698" spans="1:10" x14ac:dyDescent="0.3">
      <c r="A4698" t="s">
        <v>4825</v>
      </c>
      <c r="B4698" s="1">
        <v>46017</v>
      </c>
      <c r="C4698" t="s">
        <v>100</v>
      </c>
      <c r="D4698">
        <v>52</v>
      </c>
      <c r="E4698" t="s">
        <v>18</v>
      </c>
      <c r="F4698" t="s">
        <v>46</v>
      </c>
      <c r="G4698" t="s">
        <v>182</v>
      </c>
      <c r="H4698" t="s">
        <v>155</v>
      </c>
      <c r="I4698">
        <v>35987</v>
      </c>
      <c r="J4698">
        <v>38262</v>
      </c>
    </row>
    <row r="4699" spans="1:10" x14ac:dyDescent="0.3">
      <c r="A4699" t="s">
        <v>4826</v>
      </c>
      <c r="B4699" s="1">
        <v>45982</v>
      </c>
      <c r="C4699" t="s">
        <v>23</v>
      </c>
      <c r="D4699">
        <v>47</v>
      </c>
      <c r="E4699" t="s">
        <v>12</v>
      </c>
      <c r="F4699" t="s">
        <v>25</v>
      </c>
      <c r="G4699" t="s">
        <v>20</v>
      </c>
      <c r="H4699" t="s">
        <v>80</v>
      </c>
      <c r="I4699">
        <v>17814</v>
      </c>
      <c r="J4699">
        <v>13604</v>
      </c>
    </row>
    <row r="4700" spans="1:10" x14ac:dyDescent="0.3">
      <c r="A4700" t="s">
        <v>4827</v>
      </c>
      <c r="B4700" s="1">
        <v>45904</v>
      </c>
      <c r="C4700" t="s">
        <v>38</v>
      </c>
      <c r="D4700">
        <v>36</v>
      </c>
      <c r="E4700" t="s">
        <v>70</v>
      </c>
      <c r="F4700" t="s">
        <v>50</v>
      </c>
      <c r="G4700" t="s">
        <v>206</v>
      </c>
      <c r="H4700" t="s">
        <v>111</v>
      </c>
      <c r="I4700">
        <v>24128</v>
      </c>
      <c r="J4700">
        <v>17910</v>
      </c>
    </row>
    <row r="4701" spans="1:10" x14ac:dyDescent="0.3">
      <c r="A4701" t="s">
        <v>4828</v>
      </c>
      <c r="B4701" s="1">
        <v>45718</v>
      </c>
      <c r="C4701" t="s">
        <v>95</v>
      </c>
      <c r="D4701">
        <v>9</v>
      </c>
      <c r="E4701" t="s">
        <v>61</v>
      </c>
      <c r="F4701" t="s">
        <v>50</v>
      </c>
      <c r="G4701" t="s">
        <v>44</v>
      </c>
      <c r="H4701" t="s">
        <v>48</v>
      </c>
      <c r="I4701">
        <v>17157</v>
      </c>
      <c r="J4701">
        <v>13834</v>
      </c>
    </row>
    <row r="4702" spans="1:10" x14ac:dyDescent="0.3">
      <c r="A4702" t="s">
        <v>4829</v>
      </c>
      <c r="B4702" s="1">
        <v>45889</v>
      </c>
      <c r="C4702" t="s">
        <v>113</v>
      </c>
      <c r="D4702">
        <v>34</v>
      </c>
      <c r="E4702" t="s">
        <v>12</v>
      </c>
      <c r="F4702" t="s">
        <v>25</v>
      </c>
      <c r="G4702" t="s">
        <v>102</v>
      </c>
      <c r="H4702" t="s">
        <v>98</v>
      </c>
      <c r="I4702">
        <v>19952</v>
      </c>
      <c r="J4702">
        <v>22532</v>
      </c>
    </row>
    <row r="4703" spans="1:10" x14ac:dyDescent="0.3">
      <c r="A4703" t="s">
        <v>4830</v>
      </c>
      <c r="B4703" s="1">
        <v>45978</v>
      </c>
      <c r="C4703" t="s">
        <v>23</v>
      </c>
      <c r="D4703">
        <v>47</v>
      </c>
      <c r="E4703" t="s">
        <v>33</v>
      </c>
      <c r="F4703" t="s">
        <v>57</v>
      </c>
      <c r="G4703" t="s">
        <v>266</v>
      </c>
      <c r="H4703" t="s">
        <v>68</v>
      </c>
      <c r="I4703">
        <v>26800</v>
      </c>
      <c r="J4703">
        <v>24433</v>
      </c>
    </row>
    <row r="4704" spans="1:10" x14ac:dyDescent="0.3">
      <c r="A4704" t="s">
        <v>4831</v>
      </c>
      <c r="B4704" s="1">
        <v>45895</v>
      </c>
      <c r="C4704" t="s">
        <v>113</v>
      </c>
      <c r="D4704">
        <v>35</v>
      </c>
      <c r="E4704" t="s">
        <v>18</v>
      </c>
      <c r="F4704" t="s">
        <v>114</v>
      </c>
      <c r="G4704" t="s">
        <v>224</v>
      </c>
      <c r="H4704" t="s">
        <v>133</v>
      </c>
      <c r="I4704">
        <v>33076</v>
      </c>
      <c r="J4704">
        <v>34214</v>
      </c>
    </row>
    <row r="4705" spans="1:10" x14ac:dyDescent="0.3">
      <c r="A4705" t="s">
        <v>4832</v>
      </c>
      <c r="B4705" s="1">
        <v>45958</v>
      </c>
      <c r="C4705" t="s">
        <v>66</v>
      </c>
      <c r="D4705">
        <v>44</v>
      </c>
      <c r="E4705" t="s">
        <v>12</v>
      </c>
      <c r="F4705" t="s">
        <v>29</v>
      </c>
      <c r="G4705" t="s">
        <v>83</v>
      </c>
      <c r="H4705" t="s">
        <v>84</v>
      </c>
      <c r="I4705">
        <v>15820</v>
      </c>
      <c r="J4705">
        <v>11293</v>
      </c>
    </row>
    <row r="4706" spans="1:10" x14ac:dyDescent="0.3">
      <c r="A4706" t="s">
        <v>4833</v>
      </c>
      <c r="B4706" s="1">
        <v>45977</v>
      </c>
      <c r="C4706" t="s">
        <v>23</v>
      </c>
      <c r="D4706">
        <v>46</v>
      </c>
      <c r="E4706" t="s">
        <v>33</v>
      </c>
      <c r="F4706" t="s">
        <v>57</v>
      </c>
      <c r="G4706" t="s">
        <v>126</v>
      </c>
      <c r="H4706" t="s">
        <v>151</v>
      </c>
      <c r="I4706">
        <v>23567</v>
      </c>
      <c r="J4706">
        <v>26803</v>
      </c>
    </row>
    <row r="4707" spans="1:10" x14ac:dyDescent="0.3">
      <c r="A4707" t="s">
        <v>4834</v>
      </c>
      <c r="B4707" s="1">
        <v>45857</v>
      </c>
      <c r="C4707" t="s">
        <v>11</v>
      </c>
      <c r="D4707">
        <v>29</v>
      </c>
      <c r="E4707" t="s">
        <v>33</v>
      </c>
      <c r="F4707" t="s">
        <v>87</v>
      </c>
      <c r="G4707" t="s">
        <v>324</v>
      </c>
      <c r="H4707" t="s">
        <v>31</v>
      </c>
      <c r="I4707">
        <v>23129</v>
      </c>
      <c r="J4707">
        <v>18214</v>
      </c>
    </row>
    <row r="4708" spans="1:10" x14ac:dyDescent="0.3">
      <c r="A4708" t="s">
        <v>4835</v>
      </c>
      <c r="B4708" s="1">
        <v>45833</v>
      </c>
      <c r="C4708" t="s">
        <v>74</v>
      </c>
      <c r="D4708">
        <v>26</v>
      </c>
      <c r="E4708" t="s">
        <v>33</v>
      </c>
      <c r="F4708" t="s">
        <v>109</v>
      </c>
      <c r="G4708" t="s">
        <v>47</v>
      </c>
      <c r="H4708" t="s">
        <v>41</v>
      </c>
      <c r="I4708">
        <v>21020</v>
      </c>
      <c r="J4708">
        <v>25842</v>
      </c>
    </row>
    <row r="4709" spans="1:10" x14ac:dyDescent="0.3">
      <c r="A4709" t="s">
        <v>4836</v>
      </c>
      <c r="B4709" s="1">
        <v>45994</v>
      </c>
      <c r="C4709" t="s">
        <v>100</v>
      </c>
      <c r="D4709">
        <v>49</v>
      </c>
      <c r="E4709" t="s">
        <v>39</v>
      </c>
      <c r="F4709" t="s">
        <v>25</v>
      </c>
      <c r="G4709" t="s">
        <v>72</v>
      </c>
      <c r="H4709" t="s">
        <v>243</v>
      </c>
      <c r="I4709">
        <v>24501</v>
      </c>
      <c r="J4709">
        <v>18758</v>
      </c>
    </row>
    <row r="4710" spans="1:10" x14ac:dyDescent="0.3">
      <c r="A4710" t="s">
        <v>4837</v>
      </c>
      <c r="B4710" s="1">
        <v>46011</v>
      </c>
      <c r="C4710" t="s">
        <v>100</v>
      </c>
      <c r="D4710">
        <v>51</v>
      </c>
      <c r="E4710" t="s">
        <v>12</v>
      </c>
      <c r="F4710" t="s">
        <v>19</v>
      </c>
      <c r="G4710" t="s">
        <v>141</v>
      </c>
      <c r="H4710" t="s">
        <v>15</v>
      </c>
      <c r="I4710">
        <v>17453</v>
      </c>
      <c r="J4710">
        <v>21216</v>
      </c>
    </row>
    <row r="4711" spans="1:10" x14ac:dyDescent="0.3">
      <c r="A4711" t="s">
        <v>4838</v>
      </c>
      <c r="B4711" s="1">
        <v>45891</v>
      </c>
      <c r="C4711" t="s">
        <v>113</v>
      </c>
      <c r="D4711">
        <v>34</v>
      </c>
      <c r="E4711" t="s">
        <v>39</v>
      </c>
      <c r="F4711" t="s">
        <v>114</v>
      </c>
      <c r="G4711" t="s">
        <v>147</v>
      </c>
      <c r="H4711" t="s">
        <v>80</v>
      </c>
      <c r="I4711">
        <v>24222</v>
      </c>
      <c r="J4711">
        <v>23069</v>
      </c>
    </row>
    <row r="4712" spans="1:10" x14ac:dyDescent="0.3">
      <c r="A4712" t="s">
        <v>4839</v>
      </c>
      <c r="B4712" s="1">
        <v>46017</v>
      </c>
      <c r="C4712" t="s">
        <v>100</v>
      </c>
      <c r="D4712">
        <v>52</v>
      </c>
      <c r="E4712" t="s">
        <v>61</v>
      </c>
      <c r="F4712" t="s">
        <v>140</v>
      </c>
      <c r="G4712" t="s">
        <v>83</v>
      </c>
      <c r="H4712" t="s">
        <v>98</v>
      </c>
      <c r="I4712">
        <v>28161</v>
      </c>
      <c r="J4712">
        <v>22255</v>
      </c>
    </row>
    <row r="4713" spans="1:10" x14ac:dyDescent="0.3">
      <c r="A4713" t="s">
        <v>4840</v>
      </c>
      <c r="B4713" s="1">
        <v>45790</v>
      </c>
      <c r="C4713" t="s">
        <v>90</v>
      </c>
      <c r="D4713">
        <v>20</v>
      </c>
      <c r="E4713" t="s">
        <v>70</v>
      </c>
      <c r="F4713" t="s">
        <v>46</v>
      </c>
      <c r="G4713" t="s">
        <v>40</v>
      </c>
      <c r="H4713" t="s">
        <v>123</v>
      </c>
      <c r="I4713">
        <v>33172</v>
      </c>
      <c r="J4713">
        <v>27127</v>
      </c>
    </row>
    <row r="4714" spans="1:10" x14ac:dyDescent="0.3">
      <c r="A4714" t="s">
        <v>4841</v>
      </c>
      <c r="B4714" s="1">
        <v>45715</v>
      </c>
      <c r="C4714" t="s">
        <v>82</v>
      </c>
      <c r="D4714">
        <v>9</v>
      </c>
      <c r="E4714" t="s">
        <v>12</v>
      </c>
      <c r="F4714" t="s">
        <v>92</v>
      </c>
      <c r="G4714" t="s">
        <v>182</v>
      </c>
      <c r="H4714" t="s">
        <v>36</v>
      </c>
      <c r="I4714">
        <v>17478</v>
      </c>
      <c r="J4714">
        <v>21182</v>
      </c>
    </row>
    <row r="4715" spans="1:10" x14ac:dyDescent="0.3">
      <c r="A4715" t="s">
        <v>4842</v>
      </c>
      <c r="B4715" s="1">
        <v>45717</v>
      </c>
      <c r="C4715" t="s">
        <v>95</v>
      </c>
      <c r="D4715">
        <v>9</v>
      </c>
      <c r="E4715" t="s">
        <v>39</v>
      </c>
      <c r="F4715" t="s">
        <v>92</v>
      </c>
      <c r="G4715" t="s">
        <v>83</v>
      </c>
      <c r="H4715" t="s">
        <v>80</v>
      </c>
      <c r="I4715">
        <v>26849</v>
      </c>
      <c r="J4715">
        <v>29530</v>
      </c>
    </row>
    <row r="4716" spans="1:10" x14ac:dyDescent="0.3">
      <c r="A4716" t="s">
        <v>4843</v>
      </c>
      <c r="B4716" s="1">
        <v>46021</v>
      </c>
      <c r="C4716" t="s">
        <v>100</v>
      </c>
      <c r="D4716">
        <v>1</v>
      </c>
      <c r="E4716" t="s">
        <v>12</v>
      </c>
      <c r="F4716" t="s">
        <v>57</v>
      </c>
      <c r="G4716" t="s">
        <v>88</v>
      </c>
      <c r="H4716" t="s">
        <v>27</v>
      </c>
      <c r="I4716">
        <v>22121</v>
      </c>
      <c r="J4716">
        <v>25815</v>
      </c>
    </row>
    <row r="4717" spans="1:10" x14ac:dyDescent="0.3">
      <c r="A4717" t="s">
        <v>4844</v>
      </c>
      <c r="B4717" s="1">
        <v>45673</v>
      </c>
      <c r="C4717" t="s">
        <v>17</v>
      </c>
      <c r="D4717">
        <v>3</v>
      </c>
      <c r="E4717" t="s">
        <v>18</v>
      </c>
      <c r="F4717" t="s">
        <v>34</v>
      </c>
      <c r="G4717" t="s">
        <v>47</v>
      </c>
      <c r="H4717" t="s">
        <v>84</v>
      </c>
      <c r="I4717">
        <v>28337</v>
      </c>
      <c r="J4717">
        <v>24957</v>
      </c>
    </row>
    <row r="4718" spans="1:10" x14ac:dyDescent="0.3">
      <c r="A4718" t="s">
        <v>4845</v>
      </c>
      <c r="B4718" s="1">
        <v>45809</v>
      </c>
      <c r="C4718" t="s">
        <v>74</v>
      </c>
      <c r="D4718">
        <v>22</v>
      </c>
      <c r="E4718" t="s">
        <v>39</v>
      </c>
      <c r="F4718" t="s">
        <v>34</v>
      </c>
      <c r="G4718" t="s">
        <v>230</v>
      </c>
      <c r="H4718" t="s">
        <v>243</v>
      </c>
      <c r="I4718">
        <v>17865</v>
      </c>
      <c r="J4718">
        <v>21347</v>
      </c>
    </row>
    <row r="4719" spans="1:10" x14ac:dyDescent="0.3">
      <c r="A4719" t="s">
        <v>4846</v>
      </c>
      <c r="B4719" s="1">
        <v>45726</v>
      </c>
      <c r="C4719" t="s">
        <v>95</v>
      </c>
      <c r="D4719">
        <v>11</v>
      </c>
      <c r="E4719" t="s">
        <v>70</v>
      </c>
      <c r="F4719" t="s">
        <v>50</v>
      </c>
      <c r="G4719" t="s">
        <v>51</v>
      </c>
      <c r="H4719" t="s">
        <v>15</v>
      </c>
      <c r="I4719">
        <v>33828</v>
      </c>
      <c r="J4719">
        <v>33720</v>
      </c>
    </row>
    <row r="4720" spans="1:10" x14ac:dyDescent="0.3">
      <c r="A4720" t="s">
        <v>4847</v>
      </c>
      <c r="B4720" s="1">
        <v>46008</v>
      </c>
      <c r="C4720" t="s">
        <v>100</v>
      </c>
      <c r="D4720">
        <v>51</v>
      </c>
      <c r="E4720" t="s">
        <v>24</v>
      </c>
      <c r="F4720" t="s">
        <v>193</v>
      </c>
      <c r="G4720" t="s">
        <v>67</v>
      </c>
      <c r="H4720" t="s">
        <v>80</v>
      </c>
      <c r="I4720">
        <v>19047</v>
      </c>
      <c r="J4720">
        <v>22553</v>
      </c>
    </row>
    <row r="4721" spans="1:10" x14ac:dyDescent="0.3">
      <c r="A4721" t="s">
        <v>4848</v>
      </c>
      <c r="B4721" s="1">
        <v>45968</v>
      </c>
      <c r="C4721" t="s">
        <v>23</v>
      </c>
      <c r="D4721">
        <v>45</v>
      </c>
      <c r="E4721" t="s">
        <v>33</v>
      </c>
      <c r="F4721" t="s">
        <v>29</v>
      </c>
      <c r="G4721" t="s">
        <v>102</v>
      </c>
      <c r="H4721" t="s">
        <v>151</v>
      </c>
      <c r="I4721">
        <v>27296</v>
      </c>
      <c r="J4721">
        <v>28638</v>
      </c>
    </row>
    <row r="4722" spans="1:10" x14ac:dyDescent="0.3">
      <c r="A4722" t="s">
        <v>4849</v>
      </c>
      <c r="B4722" s="1">
        <v>45811</v>
      </c>
      <c r="C4722" t="s">
        <v>74</v>
      </c>
      <c r="D4722">
        <v>23</v>
      </c>
      <c r="E4722" t="s">
        <v>39</v>
      </c>
      <c r="F4722" t="s">
        <v>78</v>
      </c>
      <c r="G4722" t="s">
        <v>126</v>
      </c>
      <c r="H4722" t="s">
        <v>80</v>
      </c>
      <c r="I4722">
        <v>36142</v>
      </c>
      <c r="J4722">
        <v>34924</v>
      </c>
    </row>
    <row r="4723" spans="1:10" x14ac:dyDescent="0.3">
      <c r="A4723" t="s">
        <v>4850</v>
      </c>
      <c r="B4723" s="1">
        <v>45820</v>
      </c>
      <c r="C4723" t="s">
        <v>74</v>
      </c>
      <c r="D4723">
        <v>24</v>
      </c>
      <c r="E4723" t="s">
        <v>12</v>
      </c>
      <c r="F4723" t="s">
        <v>92</v>
      </c>
      <c r="G4723" t="s">
        <v>253</v>
      </c>
      <c r="H4723" t="s">
        <v>119</v>
      </c>
      <c r="I4723">
        <v>15016</v>
      </c>
      <c r="J4723">
        <v>13476</v>
      </c>
    </row>
    <row r="4724" spans="1:10" x14ac:dyDescent="0.3">
      <c r="A4724" t="s">
        <v>4851</v>
      </c>
      <c r="B4724" s="1">
        <v>45659</v>
      </c>
      <c r="C4724" t="s">
        <v>17</v>
      </c>
      <c r="D4724">
        <v>1</v>
      </c>
      <c r="E4724" t="s">
        <v>12</v>
      </c>
      <c r="F4724" t="s">
        <v>50</v>
      </c>
      <c r="G4724" t="s">
        <v>110</v>
      </c>
      <c r="H4724" t="s">
        <v>211</v>
      </c>
      <c r="I4724">
        <v>39956</v>
      </c>
      <c r="J4724">
        <v>28750</v>
      </c>
    </row>
    <row r="4725" spans="1:10" x14ac:dyDescent="0.3">
      <c r="A4725" t="s">
        <v>4852</v>
      </c>
      <c r="B4725" s="1">
        <v>45765</v>
      </c>
      <c r="C4725" t="s">
        <v>86</v>
      </c>
      <c r="D4725">
        <v>16</v>
      </c>
      <c r="E4725" t="s">
        <v>39</v>
      </c>
      <c r="F4725" t="s">
        <v>92</v>
      </c>
      <c r="G4725" t="s">
        <v>102</v>
      </c>
      <c r="H4725" t="s">
        <v>123</v>
      </c>
      <c r="I4725">
        <v>19921</v>
      </c>
      <c r="J4725">
        <v>17845</v>
      </c>
    </row>
    <row r="4726" spans="1:10" x14ac:dyDescent="0.3">
      <c r="A4726" t="s">
        <v>4853</v>
      </c>
      <c r="B4726" s="1">
        <v>45923</v>
      </c>
      <c r="C4726" t="s">
        <v>38</v>
      </c>
      <c r="D4726">
        <v>39</v>
      </c>
      <c r="E4726" t="s">
        <v>33</v>
      </c>
      <c r="F4726" t="s">
        <v>75</v>
      </c>
      <c r="G4726" t="s">
        <v>93</v>
      </c>
      <c r="H4726" t="s">
        <v>59</v>
      </c>
      <c r="I4726">
        <v>20395</v>
      </c>
      <c r="J4726">
        <v>21319</v>
      </c>
    </row>
    <row r="4727" spans="1:10" x14ac:dyDescent="0.3">
      <c r="A4727" t="s">
        <v>4854</v>
      </c>
      <c r="B4727" s="1">
        <v>45976</v>
      </c>
      <c r="C4727" t="s">
        <v>23</v>
      </c>
      <c r="D4727">
        <v>46</v>
      </c>
      <c r="E4727" t="s">
        <v>24</v>
      </c>
      <c r="F4727" t="s">
        <v>43</v>
      </c>
      <c r="G4727" t="s">
        <v>88</v>
      </c>
      <c r="H4727" t="s">
        <v>103</v>
      </c>
      <c r="I4727">
        <v>32476</v>
      </c>
      <c r="J4727">
        <v>24042</v>
      </c>
    </row>
    <row r="4728" spans="1:10" x14ac:dyDescent="0.3">
      <c r="A4728" t="s">
        <v>4855</v>
      </c>
      <c r="B4728" s="1">
        <v>45682</v>
      </c>
      <c r="C4728" t="s">
        <v>17</v>
      </c>
      <c r="D4728">
        <v>4</v>
      </c>
      <c r="E4728" t="s">
        <v>33</v>
      </c>
      <c r="F4728" t="s">
        <v>109</v>
      </c>
      <c r="G4728" t="s">
        <v>115</v>
      </c>
      <c r="H4728" t="s">
        <v>31</v>
      </c>
      <c r="I4728">
        <v>39590</v>
      </c>
      <c r="J4728">
        <v>41442</v>
      </c>
    </row>
    <row r="4729" spans="1:10" x14ac:dyDescent="0.3">
      <c r="A4729" t="s">
        <v>4856</v>
      </c>
      <c r="B4729" s="1">
        <v>45848</v>
      </c>
      <c r="C4729" t="s">
        <v>11</v>
      </c>
      <c r="D4729">
        <v>28</v>
      </c>
      <c r="E4729" t="s">
        <v>39</v>
      </c>
      <c r="F4729" t="s">
        <v>114</v>
      </c>
      <c r="G4729" t="s">
        <v>79</v>
      </c>
      <c r="H4729" t="s">
        <v>36</v>
      </c>
      <c r="I4729">
        <v>34832</v>
      </c>
      <c r="J4729">
        <v>39392</v>
      </c>
    </row>
    <row r="4730" spans="1:10" x14ac:dyDescent="0.3">
      <c r="A4730" t="s">
        <v>4857</v>
      </c>
      <c r="B4730" s="1">
        <v>45898</v>
      </c>
      <c r="C4730" t="s">
        <v>113</v>
      </c>
      <c r="D4730">
        <v>35</v>
      </c>
      <c r="E4730" t="s">
        <v>33</v>
      </c>
      <c r="F4730" t="s">
        <v>140</v>
      </c>
      <c r="G4730" t="s">
        <v>47</v>
      </c>
      <c r="H4730" t="s">
        <v>84</v>
      </c>
      <c r="I4730">
        <v>27629</v>
      </c>
      <c r="J4730">
        <v>21978</v>
      </c>
    </row>
    <row r="4731" spans="1:10" x14ac:dyDescent="0.3">
      <c r="A4731" t="s">
        <v>4858</v>
      </c>
      <c r="B4731" s="1">
        <v>45747</v>
      </c>
      <c r="C4731" t="s">
        <v>95</v>
      </c>
      <c r="D4731">
        <v>14</v>
      </c>
      <c r="E4731" t="s">
        <v>18</v>
      </c>
      <c r="F4731" t="s">
        <v>62</v>
      </c>
      <c r="G4731" t="s">
        <v>149</v>
      </c>
      <c r="H4731" t="s">
        <v>48</v>
      </c>
      <c r="I4731">
        <v>22107</v>
      </c>
      <c r="J4731">
        <v>26633</v>
      </c>
    </row>
    <row r="4732" spans="1:10" x14ac:dyDescent="0.3">
      <c r="A4732" t="s">
        <v>4859</v>
      </c>
      <c r="B4732" s="1">
        <v>45840</v>
      </c>
      <c r="C4732" t="s">
        <v>11</v>
      </c>
      <c r="D4732">
        <v>27</v>
      </c>
      <c r="E4732" t="s">
        <v>39</v>
      </c>
      <c r="F4732" t="s">
        <v>46</v>
      </c>
      <c r="G4732" t="s">
        <v>118</v>
      </c>
      <c r="H4732" t="s">
        <v>103</v>
      </c>
      <c r="I4732">
        <v>34961</v>
      </c>
      <c r="J4732">
        <v>25671</v>
      </c>
    </row>
    <row r="4733" spans="1:10" x14ac:dyDescent="0.3">
      <c r="A4733" t="s">
        <v>4860</v>
      </c>
      <c r="B4733" s="1">
        <v>45714</v>
      </c>
      <c r="C4733" t="s">
        <v>82</v>
      </c>
      <c r="D4733">
        <v>9</v>
      </c>
      <c r="E4733" t="s">
        <v>70</v>
      </c>
      <c r="F4733" t="s">
        <v>140</v>
      </c>
      <c r="G4733" t="s">
        <v>240</v>
      </c>
      <c r="H4733" t="s">
        <v>84</v>
      </c>
      <c r="I4733">
        <v>22893</v>
      </c>
      <c r="J4733">
        <v>18787</v>
      </c>
    </row>
    <row r="4734" spans="1:10" x14ac:dyDescent="0.3">
      <c r="A4734" t="s">
        <v>4861</v>
      </c>
      <c r="B4734" s="1">
        <v>45730</v>
      </c>
      <c r="C4734" t="s">
        <v>95</v>
      </c>
      <c r="D4734">
        <v>11</v>
      </c>
      <c r="E4734" t="s">
        <v>18</v>
      </c>
      <c r="F4734" t="s">
        <v>57</v>
      </c>
      <c r="G4734" t="s">
        <v>234</v>
      </c>
      <c r="H4734" t="s">
        <v>188</v>
      </c>
      <c r="I4734">
        <v>16865</v>
      </c>
      <c r="J4734">
        <v>16101</v>
      </c>
    </row>
    <row r="4735" spans="1:10" x14ac:dyDescent="0.3">
      <c r="A4735" t="s">
        <v>4862</v>
      </c>
      <c r="B4735" s="1">
        <v>45826</v>
      </c>
      <c r="C4735" t="s">
        <v>74</v>
      </c>
      <c r="D4735">
        <v>25</v>
      </c>
      <c r="E4735" t="s">
        <v>70</v>
      </c>
      <c r="F4735" t="s">
        <v>25</v>
      </c>
      <c r="G4735" t="s">
        <v>118</v>
      </c>
      <c r="H4735" t="s">
        <v>188</v>
      </c>
      <c r="I4735">
        <v>15395</v>
      </c>
      <c r="J4735">
        <v>18123</v>
      </c>
    </row>
    <row r="4736" spans="1:10" x14ac:dyDescent="0.3">
      <c r="A4736" t="s">
        <v>4863</v>
      </c>
      <c r="B4736" s="1">
        <v>45803</v>
      </c>
      <c r="C4736" t="s">
        <v>90</v>
      </c>
      <c r="D4736">
        <v>22</v>
      </c>
      <c r="E4736" t="s">
        <v>24</v>
      </c>
      <c r="F4736" t="s">
        <v>62</v>
      </c>
      <c r="G4736" t="s">
        <v>224</v>
      </c>
      <c r="H4736" t="s">
        <v>84</v>
      </c>
      <c r="I4736">
        <v>31855</v>
      </c>
      <c r="J4736">
        <v>26518</v>
      </c>
    </row>
    <row r="4737" spans="1:10" x14ac:dyDescent="0.3">
      <c r="A4737" t="s">
        <v>4864</v>
      </c>
      <c r="B4737" s="1">
        <v>45839</v>
      </c>
      <c r="C4737" t="s">
        <v>11</v>
      </c>
      <c r="D4737">
        <v>27</v>
      </c>
      <c r="E4737" t="s">
        <v>61</v>
      </c>
      <c r="F4737" t="s">
        <v>92</v>
      </c>
      <c r="G4737" t="s">
        <v>160</v>
      </c>
      <c r="H4737" t="s">
        <v>55</v>
      </c>
      <c r="I4737">
        <v>17771</v>
      </c>
      <c r="J4737">
        <v>17301</v>
      </c>
    </row>
    <row r="4738" spans="1:10" x14ac:dyDescent="0.3">
      <c r="A4738" t="s">
        <v>4865</v>
      </c>
      <c r="B4738" s="1">
        <v>45685</v>
      </c>
      <c r="C4738" t="s">
        <v>17</v>
      </c>
      <c r="D4738">
        <v>5</v>
      </c>
      <c r="E4738" t="s">
        <v>33</v>
      </c>
      <c r="F4738" t="s">
        <v>25</v>
      </c>
      <c r="G4738" t="s">
        <v>135</v>
      </c>
      <c r="H4738" t="s">
        <v>15</v>
      </c>
      <c r="I4738">
        <v>22878</v>
      </c>
      <c r="J4738">
        <v>16858</v>
      </c>
    </row>
    <row r="4739" spans="1:10" x14ac:dyDescent="0.3">
      <c r="A4739" t="s">
        <v>4866</v>
      </c>
      <c r="B4739" s="1">
        <v>45672</v>
      </c>
      <c r="C4739" t="s">
        <v>17</v>
      </c>
      <c r="D4739">
        <v>3</v>
      </c>
      <c r="E4739" t="s">
        <v>18</v>
      </c>
      <c r="F4739" t="s">
        <v>87</v>
      </c>
      <c r="G4739" t="s">
        <v>67</v>
      </c>
      <c r="H4739" t="s">
        <v>64</v>
      </c>
      <c r="I4739">
        <v>35800</v>
      </c>
      <c r="J4739">
        <v>46494</v>
      </c>
    </row>
    <row r="4740" spans="1:10" x14ac:dyDescent="0.3">
      <c r="A4740" t="s">
        <v>4867</v>
      </c>
      <c r="B4740" s="1">
        <v>45862</v>
      </c>
      <c r="C4740" t="s">
        <v>11</v>
      </c>
      <c r="D4740">
        <v>30</v>
      </c>
      <c r="E4740" t="s">
        <v>12</v>
      </c>
      <c r="F4740" t="s">
        <v>13</v>
      </c>
      <c r="G4740" t="s">
        <v>63</v>
      </c>
      <c r="H4740" t="s">
        <v>96</v>
      </c>
      <c r="I4740">
        <v>18510</v>
      </c>
      <c r="J4740">
        <v>23311</v>
      </c>
    </row>
    <row r="4741" spans="1:10" x14ac:dyDescent="0.3">
      <c r="A4741" t="s">
        <v>4868</v>
      </c>
      <c r="B4741" s="1">
        <v>45692</v>
      </c>
      <c r="C4741" t="s">
        <v>82</v>
      </c>
      <c r="D4741">
        <v>6</v>
      </c>
      <c r="E4741" t="s">
        <v>70</v>
      </c>
      <c r="F4741" t="s">
        <v>114</v>
      </c>
      <c r="G4741" t="s">
        <v>130</v>
      </c>
      <c r="H4741" t="s">
        <v>15</v>
      </c>
      <c r="I4741">
        <v>26658</v>
      </c>
      <c r="J4741">
        <v>30950</v>
      </c>
    </row>
    <row r="4742" spans="1:10" x14ac:dyDescent="0.3">
      <c r="A4742" t="s">
        <v>4869</v>
      </c>
      <c r="B4742" s="1">
        <v>45810</v>
      </c>
      <c r="C4742" t="s">
        <v>74</v>
      </c>
      <c r="D4742">
        <v>23</v>
      </c>
      <c r="E4742" t="s">
        <v>12</v>
      </c>
      <c r="F4742" t="s">
        <v>50</v>
      </c>
      <c r="G4742" t="s">
        <v>145</v>
      </c>
      <c r="H4742" t="s">
        <v>111</v>
      </c>
      <c r="I4742">
        <v>27142</v>
      </c>
      <c r="J4742">
        <v>29168</v>
      </c>
    </row>
    <row r="4743" spans="1:10" x14ac:dyDescent="0.3">
      <c r="A4743" t="s">
        <v>4870</v>
      </c>
      <c r="B4743" s="1">
        <v>45881</v>
      </c>
      <c r="C4743" t="s">
        <v>113</v>
      </c>
      <c r="D4743">
        <v>33</v>
      </c>
      <c r="E4743" t="s">
        <v>24</v>
      </c>
      <c r="F4743" t="s">
        <v>50</v>
      </c>
      <c r="G4743" t="s">
        <v>14</v>
      </c>
      <c r="H4743" t="s">
        <v>165</v>
      </c>
      <c r="I4743">
        <v>35927</v>
      </c>
      <c r="J4743">
        <v>34799</v>
      </c>
    </row>
    <row r="4744" spans="1:10" x14ac:dyDescent="0.3">
      <c r="A4744" t="s">
        <v>4871</v>
      </c>
      <c r="B4744" s="1">
        <v>45832</v>
      </c>
      <c r="C4744" t="s">
        <v>74</v>
      </c>
      <c r="D4744">
        <v>26</v>
      </c>
      <c r="E4744" t="s">
        <v>18</v>
      </c>
      <c r="F4744" t="s">
        <v>92</v>
      </c>
      <c r="G4744" t="s">
        <v>266</v>
      </c>
      <c r="H4744" t="s">
        <v>116</v>
      </c>
      <c r="I4744">
        <v>38809</v>
      </c>
      <c r="J4744">
        <v>41805</v>
      </c>
    </row>
    <row r="4745" spans="1:10" x14ac:dyDescent="0.3">
      <c r="A4745" t="s">
        <v>4872</v>
      </c>
      <c r="B4745" s="1">
        <v>45856</v>
      </c>
      <c r="C4745" t="s">
        <v>11</v>
      </c>
      <c r="D4745">
        <v>29</v>
      </c>
      <c r="E4745" t="s">
        <v>18</v>
      </c>
      <c r="F4745" t="s">
        <v>101</v>
      </c>
      <c r="G4745" t="s">
        <v>224</v>
      </c>
      <c r="H4745" t="s">
        <v>211</v>
      </c>
      <c r="I4745">
        <v>16099</v>
      </c>
      <c r="J4745">
        <v>18792</v>
      </c>
    </row>
    <row r="4746" spans="1:10" x14ac:dyDescent="0.3">
      <c r="A4746" t="s">
        <v>4873</v>
      </c>
      <c r="B4746" s="1">
        <v>45901</v>
      </c>
      <c r="C4746" t="s">
        <v>38</v>
      </c>
      <c r="D4746">
        <v>36</v>
      </c>
      <c r="E4746" t="s">
        <v>70</v>
      </c>
      <c r="F4746" t="s">
        <v>140</v>
      </c>
      <c r="G4746" t="s">
        <v>141</v>
      </c>
      <c r="H4746" t="s">
        <v>243</v>
      </c>
      <c r="I4746">
        <v>37524</v>
      </c>
      <c r="J4746">
        <v>45628</v>
      </c>
    </row>
    <row r="4747" spans="1:10" x14ac:dyDescent="0.3">
      <c r="A4747" t="s">
        <v>4874</v>
      </c>
      <c r="B4747" s="1">
        <v>45767</v>
      </c>
      <c r="C4747" t="s">
        <v>86</v>
      </c>
      <c r="D4747">
        <v>16</v>
      </c>
      <c r="E4747" t="s">
        <v>70</v>
      </c>
      <c r="F4747" t="s">
        <v>34</v>
      </c>
      <c r="G4747" t="s">
        <v>54</v>
      </c>
      <c r="H4747" t="s">
        <v>98</v>
      </c>
      <c r="I4747">
        <v>39009</v>
      </c>
      <c r="J4747">
        <v>28491</v>
      </c>
    </row>
    <row r="4748" spans="1:10" x14ac:dyDescent="0.3">
      <c r="A4748" t="s">
        <v>4875</v>
      </c>
      <c r="B4748" s="1">
        <v>45707</v>
      </c>
      <c r="C4748" t="s">
        <v>82</v>
      </c>
      <c r="D4748">
        <v>8</v>
      </c>
      <c r="E4748" t="s">
        <v>39</v>
      </c>
      <c r="F4748" t="s">
        <v>101</v>
      </c>
      <c r="G4748" t="s">
        <v>14</v>
      </c>
      <c r="H4748" t="s">
        <v>96</v>
      </c>
      <c r="I4748">
        <v>24372</v>
      </c>
      <c r="J4748">
        <v>29360</v>
      </c>
    </row>
    <row r="4749" spans="1:10" x14ac:dyDescent="0.3">
      <c r="A4749" t="s">
        <v>4876</v>
      </c>
      <c r="B4749" s="1">
        <v>45975</v>
      </c>
      <c r="C4749" t="s">
        <v>23</v>
      </c>
      <c r="D4749">
        <v>46</v>
      </c>
      <c r="E4749" t="s">
        <v>33</v>
      </c>
      <c r="F4749" t="s">
        <v>122</v>
      </c>
      <c r="G4749" t="s">
        <v>54</v>
      </c>
      <c r="H4749" t="s">
        <v>80</v>
      </c>
      <c r="I4749">
        <v>17555</v>
      </c>
      <c r="J4749">
        <v>13380</v>
      </c>
    </row>
    <row r="4750" spans="1:10" x14ac:dyDescent="0.3">
      <c r="A4750" t="s">
        <v>4877</v>
      </c>
      <c r="B4750" s="1">
        <v>45924</v>
      </c>
      <c r="C4750" t="s">
        <v>38</v>
      </c>
      <c r="D4750">
        <v>39</v>
      </c>
      <c r="E4750" t="s">
        <v>39</v>
      </c>
      <c r="F4750" t="s">
        <v>25</v>
      </c>
      <c r="G4750" t="s">
        <v>230</v>
      </c>
      <c r="H4750" t="s">
        <v>188</v>
      </c>
      <c r="I4750">
        <v>18135</v>
      </c>
      <c r="J4750">
        <v>13362</v>
      </c>
    </row>
    <row r="4751" spans="1:10" x14ac:dyDescent="0.3">
      <c r="A4751" t="s">
        <v>4878</v>
      </c>
      <c r="B4751" s="1">
        <v>45775</v>
      </c>
      <c r="C4751" t="s">
        <v>86</v>
      </c>
      <c r="D4751">
        <v>18</v>
      </c>
      <c r="E4751" t="s">
        <v>18</v>
      </c>
      <c r="F4751" t="s">
        <v>19</v>
      </c>
      <c r="G4751" t="s">
        <v>107</v>
      </c>
      <c r="H4751" t="s">
        <v>119</v>
      </c>
      <c r="I4751">
        <v>22967</v>
      </c>
      <c r="J4751">
        <v>18989</v>
      </c>
    </row>
    <row r="4752" spans="1:10" x14ac:dyDescent="0.3">
      <c r="A4752" t="s">
        <v>4879</v>
      </c>
      <c r="B4752" s="1">
        <v>45921</v>
      </c>
      <c r="C4752" t="s">
        <v>38</v>
      </c>
      <c r="D4752">
        <v>38</v>
      </c>
      <c r="E4752" t="s">
        <v>70</v>
      </c>
      <c r="F4752" t="s">
        <v>29</v>
      </c>
      <c r="G4752" t="s">
        <v>93</v>
      </c>
      <c r="H4752" t="s">
        <v>52</v>
      </c>
      <c r="I4752">
        <v>17645</v>
      </c>
      <c r="J4752">
        <v>19008</v>
      </c>
    </row>
    <row r="4753" spans="1:10" x14ac:dyDescent="0.3">
      <c r="A4753" t="s">
        <v>4880</v>
      </c>
      <c r="B4753" s="1">
        <v>45832</v>
      </c>
      <c r="C4753" t="s">
        <v>74</v>
      </c>
      <c r="D4753">
        <v>26</v>
      </c>
      <c r="E4753" t="s">
        <v>33</v>
      </c>
      <c r="F4753" t="s">
        <v>114</v>
      </c>
      <c r="G4753" t="s">
        <v>72</v>
      </c>
      <c r="H4753" t="s">
        <v>163</v>
      </c>
      <c r="I4753">
        <v>20139</v>
      </c>
      <c r="J4753">
        <v>23878</v>
      </c>
    </row>
    <row r="4754" spans="1:10" x14ac:dyDescent="0.3">
      <c r="A4754" t="s">
        <v>4881</v>
      </c>
      <c r="B4754" s="1">
        <v>46017</v>
      </c>
      <c r="C4754" t="s">
        <v>100</v>
      </c>
      <c r="D4754">
        <v>52</v>
      </c>
      <c r="E4754" t="s">
        <v>18</v>
      </c>
      <c r="F4754" t="s">
        <v>50</v>
      </c>
      <c r="G4754" t="s">
        <v>240</v>
      </c>
      <c r="H4754" t="s">
        <v>64</v>
      </c>
      <c r="I4754">
        <v>31002</v>
      </c>
      <c r="J4754">
        <v>29920</v>
      </c>
    </row>
    <row r="4755" spans="1:10" x14ac:dyDescent="0.3">
      <c r="A4755" t="s">
        <v>4882</v>
      </c>
      <c r="B4755" s="1">
        <v>45801</v>
      </c>
      <c r="C4755" t="s">
        <v>90</v>
      </c>
      <c r="D4755">
        <v>21</v>
      </c>
      <c r="E4755" t="s">
        <v>24</v>
      </c>
      <c r="F4755" t="s">
        <v>57</v>
      </c>
      <c r="G4755" t="s">
        <v>201</v>
      </c>
      <c r="H4755" t="s">
        <v>80</v>
      </c>
      <c r="I4755">
        <v>29708</v>
      </c>
      <c r="J4755">
        <v>35577</v>
      </c>
    </row>
    <row r="4756" spans="1:10" x14ac:dyDescent="0.3">
      <c r="A4756" t="s">
        <v>4883</v>
      </c>
      <c r="B4756" s="1">
        <v>45885</v>
      </c>
      <c r="C4756" t="s">
        <v>113</v>
      </c>
      <c r="D4756">
        <v>33</v>
      </c>
      <c r="E4756" t="s">
        <v>12</v>
      </c>
      <c r="F4756" t="s">
        <v>29</v>
      </c>
      <c r="G4756" t="s">
        <v>93</v>
      </c>
      <c r="H4756" t="s">
        <v>96</v>
      </c>
      <c r="I4756">
        <v>31430</v>
      </c>
      <c r="J4756">
        <v>23912</v>
      </c>
    </row>
    <row r="4757" spans="1:10" x14ac:dyDescent="0.3">
      <c r="A4757" t="s">
        <v>4884</v>
      </c>
      <c r="B4757" s="1">
        <v>45964</v>
      </c>
      <c r="C4757" t="s">
        <v>23</v>
      </c>
      <c r="D4757">
        <v>45</v>
      </c>
      <c r="E4757" t="s">
        <v>24</v>
      </c>
      <c r="F4757" t="s">
        <v>87</v>
      </c>
      <c r="G4757" t="s">
        <v>240</v>
      </c>
      <c r="H4757" t="s">
        <v>96</v>
      </c>
      <c r="I4757">
        <v>25274</v>
      </c>
      <c r="J4757">
        <v>18104</v>
      </c>
    </row>
    <row r="4758" spans="1:10" x14ac:dyDescent="0.3">
      <c r="A4758" t="s">
        <v>4885</v>
      </c>
      <c r="B4758" s="1">
        <v>45855</v>
      </c>
      <c r="C4758" t="s">
        <v>11</v>
      </c>
      <c r="D4758">
        <v>29</v>
      </c>
      <c r="E4758" t="s">
        <v>33</v>
      </c>
      <c r="F4758" t="s">
        <v>193</v>
      </c>
      <c r="G4758" t="s">
        <v>253</v>
      </c>
      <c r="H4758" t="s">
        <v>111</v>
      </c>
      <c r="I4758">
        <v>23691</v>
      </c>
      <c r="J4758">
        <v>20352</v>
      </c>
    </row>
    <row r="4759" spans="1:10" x14ac:dyDescent="0.3">
      <c r="A4759" t="s">
        <v>4886</v>
      </c>
      <c r="B4759" s="1">
        <v>45976</v>
      </c>
      <c r="C4759" t="s">
        <v>23</v>
      </c>
      <c r="D4759">
        <v>46</v>
      </c>
      <c r="E4759" t="s">
        <v>39</v>
      </c>
      <c r="F4759" t="s">
        <v>140</v>
      </c>
      <c r="G4759" t="s">
        <v>93</v>
      </c>
      <c r="H4759" t="s">
        <v>157</v>
      </c>
      <c r="I4759">
        <v>16554</v>
      </c>
      <c r="J4759">
        <v>12612</v>
      </c>
    </row>
    <row r="4760" spans="1:10" x14ac:dyDescent="0.3">
      <c r="A4760" t="s">
        <v>4887</v>
      </c>
      <c r="B4760" s="1">
        <v>45825</v>
      </c>
      <c r="C4760" t="s">
        <v>74</v>
      </c>
      <c r="D4760">
        <v>25</v>
      </c>
      <c r="E4760" t="s">
        <v>70</v>
      </c>
      <c r="F4760" t="s">
        <v>13</v>
      </c>
      <c r="G4760" t="s">
        <v>47</v>
      </c>
      <c r="H4760" t="s">
        <v>41</v>
      </c>
      <c r="I4760">
        <v>31424</v>
      </c>
      <c r="J4760">
        <v>37495</v>
      </c>
    </row>
    <row r="4761" spans="1:10" x14ac:dyDescent="0.3">
      <c r="A4761" t="s">
        <v>4888</v>
      </c>
      <c r="B4761" s="1">
        <v>45786</v>
      </c>
      <c r="C4761" t="s">
        <v>90</v>
      </c>
      <c r="D4761">
        <v>19</v>
      </c>
      <c r="E4761" t="s">
        <v>24</v>
      </c>
      <c r="F4761" t="s">
        <v>50</v>
      </c>
      <c r="G4761" t="s">
        <v>240</v>
      </c>
      <c r="H4761" t="s">
        <v>103</v>
      </c>
      <c r="I4761">
        <v>16155</v>
      </c>
      <c r="J4761">
        <v>17604</v>
      </c>
    </row>
    <row r="4762" spans="1:10" x14ac:dyDescent="0.3">
      <c r="A4762" t="s">
        <v>4889</v>
      </c>
      <c r="B4762" s="1">
        <v>45997</v>
      </c>
      <c r="C4762" t="s">
        <v>100</v>
      </c>
      <c r="D4762">
        <v>49</v>
      </c>
      <c r="E4762" t="s">
        <v>70</v>
      </c>
      <c r="F4762" t="s">
        <v>34</v>
      </c>
      <c r="G4762" t="s">
        <v>149</v>
      </c>
      <c r="H4762" t="s">
        <v>151</v>
      </c>
      <c r="I4762">
        <v>26748</v>
      </c>
      <c r="J4762">
        <v>20557</v>
      </c>
    </row>
    <row r="4763" spans="1:10" x14ac:dyDescent="0.3">
      <c r="A4763" t="s">
        <v>4890</v>
      </c>
      <c r="B4763" s="1">
        <v>45932</v>
      </c>
      <c r="C4763" t="s">
        <v>66</v>
      </c>
      <c r="D4763">
        <v>40</v>
      </c>
      <c r="E4763" t="s">
        <v>61</v>
      </c>
      <c r="F4763" t="s">
        <v>92</v>
      </c>
      <c r="G4763" t="s">
        <v>14</v>
      </c>
      <c r="H4763" t="s">
        <v>98</v>
      </c>
      <c r="I4763">
        <v>16400</v>
      </c>
      <c r="J4763">
        <v>17855</v>
      </c>
    </row>
    <row r="4764" spans="1:10" x14ac:dyDescent="0.3">
      <c r="A4764" t="s">
        <v>4891</v>
      </c>
      <c r="B4764" s="1">
        <v>45664</v>
      </c>
      <c r="C4764" t="s">
        <v>17</v>
      </c>
      <c r="D4764">
        <v>2</v>
      </c>
      <c r="E4764" t="s">
        <v>12</v>
      </c>
      <c r="F4764" t="s">
        <v>43</v>
      </c>
      <c r="G4764" t="s">
        <v>126</v>
      </c>
      <c r="H4764" t="s">
        <v>165</v>
      </c>
      <c r="I4764">
        <v>39930</v>
      </c>
      <c r="J4764">
        <v>35593</v>
      </c>
    </row>
    <row r="4765" spans="1:10" x14ac:dyDescent="0.3">
      <c r="A4765" t="s">
        <v>4892</v>
      </c>
      <c r="B4765" s="1">
        <v>45737</v>
      </c>
      <c r="C4765" t="s">
        <v>95</v>
      </c>
      <c r="D4765">
        <v>12</v>
      </c>
      <c r="E4765" t="s">
        <v>39</v>
      </c>
      <c r="F4765" t="s">
        <v>140</v>
      </c>
      <c r="G4765" t="s">
        <v>206</v>
      </c>
      <c r="H4765" t="s">
        <v>151</v>
      </c>
      <c r="I4765">
        <v>31433</v>
      </c>
      <c r="J4765">
        <v>33520</v>
      </c>
    </row>
    <row r="4766" spans="1:10" x14ac:dyDescent="0.3">
      <c r="A4766" t="s">
        <v>4893</v>
      </c>
      <c r="B4766" s="1">
        <v>45769</v>
      </c>
      <c r="C4766" t="s">
        <v>86</v>
      </c>
      <c r="D4766">
        <v>17</v>
      </c>
      <c r="E4766" t="s">
        <v>18</v>
      </c>
      <c r="F4766" t="s">
        <v>92</v>
      </c>
      <c r="G4766" t="s">
        <v>201</v>
      </c>
      <c r="H4766" t="s">
        <v>84</v>
      </c>
      <c r="I4766">
        <v>28865</v>
      </c>
      <c r="J4766">
        <v>30309</v>
      </c>
    </row>
    <row r="4767" spans="1:10" x14ac:dyDescent="0.3">
      <c r="A4767" t="s">
        <v>4894</v>
      </c>
      <c r="B4767" s="1">
        <v>45983</v>
      </c>
      <c r="C4767" t="s">
        <v>23</v>
      </c>
      <c r="D4767">
        <v>47</v>
      </c>
      <c r="E4767" t="s">
        <v>70</v>
      </c>
      <c r="F4767" t="s">
        <v>101</v>
      </c>
      <c r="G4767" t="s">
        <v>201</v>
      </c>
      <c r="H4767" t="s">
        <v>84</v>
      </c>
      <c r="I4767">
        <v>20813</v>
      </c>
      <c r="J4767">
        <v>22008</v>
      </c>
    </row>
    <row r="4768" spans="1:10" x14ac:dyDescent="0.3">
      <c r="A4768" t="s">
        <v>4895</v>
      </c>
      <c r="B4768" s="1">
        <v>45987</v>
      </c>
      <c r="C4768" t="s">
        <v>23</v>
      </c>
      <c r="D4768">
        <v>48</v>
      </c>
      <c r="E4768" t="s">
        <v>70</v>
      </c>
      <c r="F4768" t="s">
        <v>25</v>
      </c>
      <c r="G4768" t="s">
        <v>115</v>
      </c>
      <c r="H4768" t="s">
        <v>188</v>
      </c>
      <c r="I4768">
        <v>26277</v>
      </c>
      <c r="J4768">
        <v>20334</v>
      </c>
    </row>
    <row r="4769" spans="1:10" x14ac:dyDescent="0.3">
      <c r="A4769" t="s">
        <v>4896</v>
      </c>
      <c r="B4769" s="1">
        <v>45815</v>
      </c>
      <c r="C4769" t="s">
        <v>74</v>
      </c>
      <c r="D4769">
        <v>23</v>
      </c>
      <c r="E4769" t="s">
        <v>70</v>
      </c>
      <c r="F4769" t="s">
        <v>34</v>
      </c>
      <c r="G4769" t="s">
        <v>115</v>
      </c>
      <c r="H4769" t="s">
        <v>123</v>
      </c>
      <c r="I4769">
        <v>22600</v>
      </c>
      <c r="J4769">
        <v>28513</v>
      </c>
    </row>
    <row r="4770" spans="1:10" x14ac:dyDescent="0.3">
      <c r="A4770" t="s">
        <v>4897</v>
      </c>
      <c r="B4770" s="1">
        <v>45762</v>
      </c>
      <c r="C4770" t="s">
        <v>86</v>
      </c>
      <c r="D4770">
        <v>16</v>
      </c>
      <c r="E4770" t="s">
        <v>61</v>
      </c>
      <c r="F4770" t="s">
        <v>43</v>
      </c>
      <c r="G4770" t="s">
        <v>40</v>
      </c>
      <c r="H4770" t="s">
        <v>133</v>
      </c>
      <c r="I4770">
        <v>22019</v>
      </c>
      <c r="J4770">
        <v>25960</v>
      </c>
    </row>
    <row r="4771" spans="1:10" x14ac:dyDescent="0.3">
      <c r="A4771" t="s">
        <v>4898</v>
      </c>
      <c r="B4771" s="1">
        <v>45686</v>
      </c>
      <c r="C4771" t="s">
        <v>17</v>
      </c>
      <c r="D4771">
        <v>5</v>
      </c>
      <c r="E4771" t="s">
        <v>12</v>
      </c>
      <c r="F4771" t="s">
        <v>122</v>
      </c>
      <c r="G4771" t="s">
        <v>147</v>
      </c>
      <c r="H4771" t="s">
        <v>111</v>
      </c>
      <c r="I4771">
        <v>34380</v>
      </c>
      <c r="J4771">
        <v>33469</v>
      </c>
    </row>
    <row r="4772" spans="1:10" x14ac:dyDescent="0.3">
      <c r="A4772" t="s">
        <v>4899</v>
      </c>
      <c r="B4772" s="1">
        <v>45827</v>
      </c>
      <c r="C4772" t="s">
        <v>74</v>
      </c>
      <c r="D4772">
        <v>25</v>
      </c>
      <c r="E4772" t="s">
        <v>33</v>
      </c>
      <c r="F4772" t="s">
        <v>140</v>
      </c>
      <c r="G4772" t="s">
        <v>14</v>
      </c>
      <c r="H4772" t="s">
        <v>68</v>
      </c>
      <c r="I4772">
        <v>25795</v>
      </c>
      <c r="J4772">
        <v>30422</v>
      </c>
    </row>
    <row r="4773" spans="1:10" x14ac:dyDescent="0.3">
      <c r="A4773" t="s">
        <v>4900</v>
      </c>
      <c r="B4773" s="1">
        <v>45710</v>
      </c>
      <c r="C4773" t="s">
        <v>82</v>
      </c>
      <c r="D4773">
        <v>8</v>
      </c>
      <c r="E4773" t="s">
        <v>33</v>
      </c>
      <c r="F4773" t="s">
        <v>87</v>
      </c>
      <c r="G4773" t="s">
        <v>266</v>
      </c>
      <c r="H4773" t="s">
        <v>165</v>
      </c>
      <c r="I4773">
        <v>33602</v>
      </c>
      <c r="J4773">
        <v>29157</v>
      </c>
    </row>
    <row r="4774" spans="1:10" x14ac:dyDescent="0.3">
      <c r="A4774" t="s">
        <v>4901</v>
      </c>
      <c r="B4774" s="1">
        <v>45855</v>
      </c>
      <c r="C4774" t="s">
        <v>11</v>
      </c>
      <c r="D4774">
        <v>29</v>
      </c>
      <c r="E4774" t="s">
        <v>61</v>
      </c>
      <c r="F4774" t="s">
        <v>87</v>
      </c>
      <c r="G4774" t="s">
        <v>44</v>
      </c>
      <c r="H4774" t="s">
        <v>116</v>
      </c>
      <c r="I4774">
        <v>30753</v>
      </c>
      <c r="J4774">
        <v>24095</v>
      </c>
    </row>
    <row r="4775" spans="1:10" x14ac:dyDescent="0.3">
      <c r="A4775" t="s">
        <v>4902</v>
      </c>
      <c r="B4775" s="1">
        <v>45952</v>
      </c>
      <c r="C4775" t="s">
        <v>66</v>
      </c>
      <c r="D4775">
        <v>43</v>
      </c>
      <c r="E4775" t="s">
        <v>18</v>
      </c>
      <c r="F4775" t="s">
        <v>43</v>
      </c>
      <c r="G4775" t="s">
        <v>20</v>
      </c>
      <c r="H4775" t="s">
        <v>211</v>
      </c>
      <c r="I4775">
        <v>24902</v>
      </c>
      <c r="J4775">
        <v>30877</v>
      </c>
    </row>
    <row r="4776" spans="1:10" x14ac:dyDescent="0.3">
      <c r="A4776" t="s">
        <v>4903</v>
      </c>
      <c r="B4776" s="1">
        <v>45901</v>
      </c>
      <c r="C4776" t="s">
        <v>38</v>
      </c>
      <c r="D4776">
        <v>36</v>
      </c>
      <c r="E4776" t="s">
        <v>24</v>
      </c>
      <c r="F4776" t="s">
        <v>25</v>
      </c>
      <c r="G4776" t="s">
        <v>326</v>
      </c>
      <c r="H4776" t="s">
        <v>116</v>
      </c>
      <c r="I4776">
        <v>33268</v>
      </c>
      <c r="J4776">
        <v>39711</v>
      </c>
    </row>
    <row r="4777" spans="1:10" x14ac:dyDescent="0.3">
      <c r="A4777" t="s">
        <v>4904</v>
      </c>
      <c r="B4777" s="1">
        <v>45761</v>
      </c>
      <c r="C4777" t="s">
        <v>86</v>
      </c>
      <c r="D4777">
        <v>16</v>
      </c>
      <c r="E4777" t="s">
        <v>70</v>
      </c>
      <c r="F4777" t="s">
        <v>25</v>
      </c>
      <c r="G4777" t="s">
        <v>199</v>
      </c>
      <c r="H4777" t="s">
        <v>98</v>
      </c>
      <c r="I4777">
        <v>18911</v>
      </c>
      <c r="J4777">
        <v>19716</v>
      </c>
    </row>
    <row r="4778" spans="1:10" x14ac:dyDescent="0.3">
      <c r="A4778" t="s">
        <v>4905</v>
      </c>
      <c r="B4778" s="1">
        <v>45964</v>
      </c>
      <c r="C4778" t="s">
        <v>23</v>
      </c>
      <c r="D4778">
        <v>45</v>
      </c>
      <c r="E4778" t="s">
        <v>12</v>
      </c>
      <c r="F4778" t="s">
        <v>75</v>
      </c>
      <c r="G4778" t="s">
        <v>137</v>
      </c>
      <c r="H4778" t="s">
        <v>27</v>
      </c>
      <c r="I4778">
        <v>35628</v>
      </c>
      <c r="J4778">
        <v>29262</v>
      </c>
    </row>
    <row r="4779" spans="1:10" x14ac:dyDescent="0.3">
      <c r="A4779" t="s">
        <v>4906</v>
      </c>
      <c r="B4779" s="1">
        <v>45900</v>
      </c>
      <c r="C4779" t="s">
        <v>113</v>
      </c>
      <c r="D4779">
        <v>35</v>
      </c>
      <c r="E4779" t="s">
        <v>33</v>
      </c>
      <c r="F4779" t="s">
        <v>19</v>
      </c>
      <c r="G4779" t="s">
        <v>135</v>
      </c>
      <c r="H4779" t="s">
        <v>151</v>
      </c>
      <c r="I4779">
        <v>36185</v>
      </c>
      <c r="J4779">
        <v>26909</v>
      </c>
    </row>
    <row r="4780" spans="1:10" x14ac:dyDescent="0.3">
      <c r="A4780" t="s">
        <v>4907</v>
      </c>
      <c r="B4780" s="1">
        <v>45998</v>
      </c>
      <c r="C4780" t="s">
        <v>100</v>
      </c>
      <c r="D4780">
        <v>49</v>
      </c>
      <c r="E4780" t="s">
        <v>61</v>
      </c>
      <c r="F4780" t="s">
        <v>50</v>
      </c>
      <c r="G4780" t="s">
        <v>93</v>
      </c>
      <c r="H4780" t="s">
        <v>80</v>
      </c>
      <c r="I4780">
        <v>22027</v>
      </c>
      <c r="J4780">
        <v>20529</v>
      </c>
    </row>
    <row r="4781" spans="1:10" x14ac:dyDescent="0.3">
      <c r="A4781" t="s">
        <v>4908</v>
      </c>
      <c r="B4781" s="1">
        <v>45964</v>
      </c>
      <c r="C4781" t="s">
        <v>23</v>
      </c>
      <c r="D4781">
        <v>45</v>
      </c>
      <c r="E4781" t="s">
        <v>33</v>
      </c>
      <c r="F4781" t="s">
        <v>78</v>
      </c>
      <c r="G4781" t="s">
        <v>182</v>
      </c>
      <c r="H4781" t="s">
        <v>96</v>
      </c>
      <c r="I4781">
        <v>20039</v>
      </c>
      <c r="J4781">
        <v>15109</v>
      </c>
    </row>
    <row r="4782" spans="1:10" x14ac:dyDescent="0.3">
      <c r="A4782" t="s">
        <v>4909</v>
      </c>
      <c r="B4782" s="1">
        <v>45835</v>
      </c>
      <c r="C4782" t="s">
        <v>74</v>
      </c>
      <c r="D4782">
        <v>26</v>
      </c>
      <c r="E4782" t="s">
        <v>33</v>
      </c>
      <c r="F4782" t="s">
        <v>19</v>
      </c>
      <c r="G4782" t="s">
        <v>47</v>
      </c>
      <c r="H4782" t="s">
        <v>155</v>
      </c>
      <c r="I4782">
        <v>22687</v>
      </c>
      <c r="J4782">
        <v>22580</v>
      </c>
    </row>
    <row r="4783" spans="1:10" x14ac:dyDescent="0.3">
      <c r="A4783" t="s">
        <v>4910</v>
      </c>
      <c r="B4783" s="1">
        <v>45995</v>
      </c>
      <c r="C4783" t="s">
        <v>100</v>
      </c>
      <c r="D4783">
        <v>49</v>
      </c>
      <c r="E4783" t="s">
        <v>39</v>
      </c>
      <c r="F4783" t="s">
        <v>101</v>
      </c>
      <c r="G4783" t="s">
        <v>58</v>
      </c>
      <c r="H4783" t="s">
        <v>98</v>
      </c>
      <c r="I4783">
        <v>25338</v>
      </c>
      <c r="J4783">
        <v>17952</v>
      </c>
    </row>
    <row r="4784" spans="1:10" x14ac:dyDescent="0.3">
      <c r="A4784" t="s">
        <v>4911</v>
      </c>
      <c r="B4784" s="1">
        <v>45675</v>
      </c>
      <c r="C4784" t="s">
        <v>17</v>
      </c>
      <c r="D4784">
        <v>3</v>
      </c>
      <c r="E4784" t="s">
        <v>39</v>
      </c>
      <c r="F4784" t="s">
        <v>34</v>
      </c>
      <c r="G4784" t="s">
        <v>130</v>
      </c>
      <c r="H4784" t="s">
        <v>133</v>
      </c>
      <c r="I4784">
        <v>34000</v>
      </c>
      <c r="J4784">
        <v>26578</v>
      </c>
    </row>
    <row r="4785" spans="1:10" x14ac:dyDescent="0.3">
      <c r="A4785" t="s">
        <v>4912</v>
      </c>
      <c r="B4785" s="1">
        <v>45811</v>
      </c>
      <c r="C4785" t="s">
        <v>74</v>
      </c>
      <c r="D4785">
        <v>23</v>
      </c>
      <c r="E4785" t="s">
        <v>39</v>
      </c>
      <c r="F4785" t="s">
        <v>46</v>
      </c>
      <c r="G4785" t="s">
        <v>88</v>
      </c>
      <c r="H4785" t="s">
        <v>111</v>
      </c>
      <c r="I4785">
        <v>17528</v>
      </c>
      <c r="J4785">
        <v>13643</v>
      </c>
    </row>
    <row r="4786" spans="1:10" x14ac:dyDescent="0.3">
      <c r="A4786" t="s">
        <v>4913</v>
      </c>
      <c r="B4786" s="1">
        <v>45908</v>
      </c>
      <c r="C4786" t="s">
        <v>38</v>
      </c>
      <c r="D4786">
        <v>37</v>
      </c>
      <c r="E4786" t="s">
        <v>12</v>
      </c>
      <c r="F4786" t="s">
        <v>25</v>
      </c>
      <c r="G4786" t="s">
        <v>234</v>
      </c>
      <c r="H4786" t="s">
        <v>84</v>
      </c>
      <c r="I4786">
        <v>17386</v>
      </c>
      <c r="J4786">
        <v>12238</v>
      </c>
    </row>
    <row r="4787" spans="1:10" x14ac:dyDescent="0.3">
      <c r="A4787" t="s">
        <v>4914</v>
      </c>
      <c r="B4787" s="1">
        <v>45852</v>
      </c>
      <c r="C4787" t="s">
        <v>11</v>
      </c>
      <c r="D4787">
        <v>29</v>
      </c>
      <c r="E4787" t="s">
        <v>18</v>
      </c>
      <c r="F4787" t="s">
        <v>122</v>
      </c>
      <c r="G4787" t="s">
        <v>240</v>
      </c>
      <c r="H4787" t="s">
        <v>64</v>
      </c>
      <c r="I4787">
        <v>37299</v>
      </c>
      <c r="J4787">
        <v>43593</v>
      </c>
    </row>
    <row r="4788" spans="1:10" x14ac:dyDescent="0.3">
      <c r="A4788" t="s">
        <v>4915</v>
      </c>
      <c r="B4788" s="1">
        <v>45939</v>
      </c>
      <c r="C4788" t="s">
        <v>66</v>
      </c>
      <c r="D4788">
        <v>41</v>
      </c>
      <c r="E4788" t="s">
        <v>33</v>
      </c>
      <c r="F4788" t="s">
        <v>78</v>
      </c>
      <c r="G4788" t="s">
        <v>191</v>
      </c>
      <c r="H4788" t="s">
        <v>80</v>
      </c>
      <c r="I4788">
        <v>39633</v>
      </c>
      <c r="J4788">
        <v>33126</v>
      </c>
    </row>
    <row r="4789" spans="1:10" x14ac:dyDescent="0.3">
      <c r="A4789" t="s">
        <v>4916</v>
      </c>
      <c r="B4789" s="1">
        <v>45833</v>
      </c>
      <c r="C4789" t="s">
        <v>74</v>
      </c>
      <c r="D4789">
        <v>26</v>
      </c>
      <c r="E4789" t="s">
        <v>24</v>
      </c>
      <c r="F4789" t="s">
        <v>43</v>
      </c>
      <c r="G4789" t="s">
        <v>126</v>
      </c>
      <c r="H4789" t="s">
        <v>151</v>
      </c>
      <c r="I4789">
        <v>21813</v>
      </c>
      <c r="J4789">
        <v>24137</v>
      </c>
    </row>
    <row r="4790" spans="1:10" x14ac:dyDescent="0.3">
      <c r="A4790" t="s">
        <v>4917</v>
      </c>
      <c r="B4790" s="1">
        <v>45721</v>
      </c>
      <c r="C4790" t="s">
        <v>95</v>
      </c>
      <c r="D4790">
        <v>10</v>
      </c>
      <c r="E4790" t="s">
        <v>12</v>
      </c>
      <c r="F4790" t="s">
        <v>25</v>
      </c>
      <c r="G4790" t="s">
        <v>291</v>
      </c>
      <c r="H4790" t="s">
        <v>151</v>
      </c>
      <c r="I4790">
        <v>33429</v>
      </c>
      <c r="J4790">
        <v>37155</v>
      </c>
    </row>
    <row r="4791" spans="1:10" x14ac:dyDescent="0.3">
      <c r="A4791" t="s">
        <v>4918</v>
      </c>
      <c r="B4791" s="1">
        <v>45673</v>
      </c>
      <c r="C4791" t="s">
        <v>17</v>
      </c>
      <c r="D4791">
        <v>3</v>
      </c>
      <c r="E4791" t="s">
        <v>24</v>
      </c>
      <c r="F4791" t="s">
        <v>101</v>
      </c>
      <c r="G4791" t="s">
        <v>79</v>
      </c>
      <c r="H4791" t="s">
        <v>157</v>
      </c>
      <c r="I4791">
        <v>33510</v>
      </c>
      <c r="J4791">
        <v>23499</v>
      </c>
    </row>
    <row r="4792" spans="1:10" x14ac:dyDescent="0.3">
      <c r="A4792" t="s">
        <v>4919</v>
      </c>
      <c r="B4792" s="1">
        <v>46005</v>
      </c>
      <c r="C4792" t="s">
        <v>100</v>
      </c>
      <c r="D4792">
        <v>50</v>
      </c>
      <c r="E4792" t="s">
        <v>18</v>
      </c>
      <c r="F4792" t="s">
        <v>78</v>
      </c>
      <c r="G4792" t="s">
        <v>76</v>
      </c>
      <c r="H4792" t="s">
        <v>119</v>
      </c>
      <c r="I4792">
        <v>23341</v>
      </c>
      <c r="J4792">
        <v>16423</v>
      </c>
    </row>
    <row r="4793" spans="1:10" x14ac:dyDescent="0.3">
      <c r="A4793" t="s">
        <v>4920</v>
      </c>
      <c r="B4793" s="1">
        <v>45853</v>
      </c>
      <c r="C4793" t="s">
        <v>11</v>
      </c>
      <c r="D4793">
        <v>29</v>
      </c>
      <c r="E4793" t="s">
        <v>39</v>
      </c>
      <c r="F4793" t="s">
        <v>25</v>
      </c>
      <c r="G4793" t="s">
        <v>182</v>
      </c>
      <c r="H4793" t="s">
        <v>98</v>
      </c>
      <c r="I4793">
        <v>35576</v>
      </c>
      <c r="J4793">
        <v>43242</v>
      </c>
    </row>
    <row r="4794" spans="1:10" x14ac:dyDescent="0.3">
      <c r="A4794" t="s">
        <v>4921</v>
      </c>
      <c r="B4794" s="1">
        <v>45723</v>
      </c>
      <c r="C4794" t="s">
        <v>95</v>
      </c>
      <c r="D4794">
        <v>10</v>
      </c>
      <c r="E4794" t="s">
        <v>33</v>
      </c>
      <c r="F4794" t="s">
        <v>78</v>
      </c>
      <c r="G4794" t="s">
        <v>110</v>
      </c>
      <c r="H4794" t="s">
        <v>41</v>
      </c>
      <c r="I4794">
        <v>20231</v>
      </c>
      <c r="J4794">
        <v>20205</v>
      </c>
    </row>
    <row r="4795" spans="1:10" x14ac:dyDescent="0.3">
      <c r="A4795" t="s">
        <v>4922</v>
      </c>
      <c r="B4795" s="1">
        <v>45843</v>
      </c>
      <c r="C4795" t="s">
        <v>11</v>
      </c>
      <c r="D4795">
        <v>27</v>
      </c>
      <c r="E4795" t="s">
        <v>18</v>
      </c>
      <c r="F4795" t="s">
        <v>13</v>
      </c>
      <c r="G4795" t="s">
        <v>132</v>
      </c>
      <c r="H4795" t="s">
        <v>96</v>
      </c>
      <c r="I4795">
        <v>38107</v>
      </c>
      <c r="J4795">
        <v>33607</v>
      </c>
    </row>
    <row r="4796" spans="1:10" x14ac:dyDescent="0.3">
      <c r="A4796" t="s">
        <v>4923</v>
      </c>
      <c r="B4796" s="1">
        <v>45783</v>
      </c>
      <c r="C4796" t="s">
        <v>90</v>
      </c>
      <c r="D4796">
        <v>19</v>
      </c>
      <c r="E4796" t="s">
        <v>24</v>
      </c>
      <c r="F4796" t="s">
        <v>122</v>
      </c>
      <c r="G4796" t="s">
        <v>67</v>
      </c>
      <c r="H4796" t="s">
        <v>52</v>
      </c>
      <c r="I4796">
        <v>39356</v>
      </c>
      <c r="J4796">
        <v>42236</v>
      </c>
    </row>
    <row r="4797" spans="1:10" x14ac:dyDescent="0.3">
      <c r="A4797" t="s">
        <v>4924</v>
      </c>
      <c r="B4797" s="1">
        <v>45974</v>
      </c>
      <c r="C4797" t="s">
        <v>23</v>
      </c>
      <c r="D4797">
        <v>46</v>
      </c>
      <c r="E4797" t="s">
        <v>12</v>
      </c>
      <c r="F4797" t="s">
        <v>122</v>
      </c>
      <c r="G4797" t="s">
        <v>326</v>
      </c>
      <c r="H4797" t="s">
        <v>15</v>
      </c>
      <c r="I4797">
        <v>16246</v>
      </c>
      <c r="J4797">
        <v>18701</v>
      </c>
    </row>
    <row r="4798" spans="1:10" x14ac:dyDescent="0.3">
      <c r="A4798" t="s">
        <v>4925</v>
      </c>
      <c r="B4798" s="1">
        <v>46012</v>
      </c>
      <c r="C4798" t="s">
        <v>100</v>
      </c>
      <c r="D4798">
        <v>51</v>
      </c>
      <c r="E4798" t="s">
        <v>24</v>
      </c>
      <c r="F4798" t="s">
        <v>109</v>
      </c>
      <c r="G4798" t="s">
        <v>47</v>
      </c>
      <c r="H4798" t="s">
        <v>188</v>
      </c>
      <c r="I4798">
        <v>32038</v>
      </c>
      <c r="J4798">
        <v>39249</v>
      </c>
    </row>
    <row r="4799" spans="1:10" x14ac:dyDescent="0.3">
      <c r="A4799" t="s">
        <v>4926</v>
      </c>
      <c r="B4799" s="1">
        <v>45974</v>
      </c>
      <c r="C4799" t="s">
        <v>23</v>
      </c>
      <c r="D4799">
        <v>46</v>
      </c>
      <c r="E4799" t="s">
        <v>12</v>
      </c>
      <c r="F4799" t="s">
        <v>122</v>
      </c>
      <c r="G4799" t="s">
        <v>230</v>
      </c>
      <c r="H4799" t="s">
        <v>119</v>
      </c>
      <c r="I4799">
        <v>17915</v>
      </c>
      <c r="J4799">
        <v>15017</v>
      </c>
    </row>
    <row r="4800" spans="1:10" x14ac:dyDescent="0.3">
      <c r="A4800" t="s">
        <v>4927</v>
      </c>
      <c r="B4800" s="1">
        <v>45820</v>
      </c>
      <c r="C4800" t="s">
        <v>74</v>
      </c>
      <c r="D4800">
        <v>24</v>
      </c>
      <c r="E4800" t="s">
        <v>61</v>
      </c>
      <c r="F4800" t="s">
        <v>92</v>
      </c>
      <c r="G4800" t="s">
        <v>160</v>
      </c>
      <c r="H4800" t="s">
        <v>165</v>
      </c>
      <c r="I4800">
        <v>20727</v>
      </c>
      <c r="J4800">
        <v>16891</v>
      </c>
    </row>
    <row r="4801" spans="1:10" x14ac:dyDescent="0.3">
      <c r="A4801" t="s">
        <v>4928</v>
      </c>
      <c r="B4801" s="1">
        <v>45751</v>
      </c>
      <c r="C4801" t="s">
        <v>86</v>
      </c>
      <c r="D4801">
        <v>14</v>
      </c>
      <c r="E4801" t="s">
        <v>18</v>
      </c>
      <c r="F4801" t="s">
        <v>50</v>
      </c>
      <c r="G4801" t="s">
        <v>201</v>
      </c>
      <c r="H4801" t="s">
        <v>165</v>
      </c>
      <c r="I4801">
        <v>32028</v>
      </c>
      <c r="J4801">
        <v>29887</v>
      </c>
    </row>
    <row r="4802" spans="1:10" x14ac:dyDescent="0.3">
      <c r="A4802" t="s">
        <v>4929</v>
      </c>
      <c r="B4802" s="1">
        <v>45678</v>
      </c>
      <c r="C4802" t="s">
        <v>17</v>
      </c>
      <c r="D4802">
        <v>4</v>
      </c>
      <c r="E4802" t="s">
        <v>18</v>
      </c>
      <c r="F4802" t="s">
        <v>75</v>
      </c>
      <c r="G4802" t="s">
        <v>76</v>
      </c>
      <c r="H4802" t="s">
        <v>111</v>
      </c>
      <c r="I4802">
        <v>24528</v>
      </c>
      <c r="J4802">
        <v>18682</v>
      </c>
    </row>
    <row r="4803" spans="1:10" x14ac:dyDescent="0.3">
      <c r="A4803" t="s">
        <v>4930</v>
      </c>
      <c r="B4803" s="1">
        <v>45856</v>
      </c>
      <c r="C4803" t="s">
        <v>11</v>
      </c>
      <c r="D4803">
        <v>29</v>
      </c>
      <c r="E4803" t="s">
        <v>24</v>
      </c>
      <c r="F4803" t="s">
        <v>25</v>
      </c>
      <c r="G4803" t="s">
        <v>145</v>
      </c>
      <c r="H4803" t="s">
        <v>31</v>
      </c>
      <c r="I4803">
        <v>29063</v>
      </c>
      <c r="J4803">
        <v>34040</v>
      </c>
    </row>
    <row r="4804" spans="1:10" x14ac:dyDescent="0.3">
      <c r="A4804" t="s">
        <v>4931</v>
      </c>
      <c r="B4804" s="1">
        <v>45872</v>
      </c>
      <c r="C4804" t="s">
        <v>113</v>
      </c>
      <c r="D4804">
        <v>31</v>
      </c>
      <c r="E4804" t="s">
        <v>39</v>
      </c>
      <c r="F4804" t="s">
        <v>109</v>
      </c>
      <c r="G4804" t="s">
        <v>47</v>
      </c>
      <c r="H4804" t="s">
        <v>116</v>
      </c>
      <c r="I4804">
        <v>38815</v>
      </c>
      <c r="J4804">
        <v>33271</v>
      </c>
    </row>
    <row r="4805" spans="1:10" x14ac:dyDescent="0.3">
      <c r="A4805" t="s">
        <v>4932</v>
      </c>
      <c r="B4805" s="1">
        <v>45771</v>
      </c>
      <c r="C4805" t="s">
        <v>86</v>
      </c>
      <c r="D4805">
        <v>17</v>
      </c>
      <c r="E4805" t="s">
        <v>70</v>
      </c>
      <c r="F4805" t="s">
        <v>87</v>
      </c>
      <c r="G4805" t="s">
        <v>83</v>
      </c>
      <c r="H4805" t="s">
        <v>157</v>
      </c>
      <c r="I4805">
        <v>35812</v>
      </c>
      <c r="J4805">
        <v>41825</v>
      </c>
    </row>
    <row r="4806" spans="1:10" x14ac:dyDescent="0.3">
      <c r="A4806" t="s">
        <v>4933</v>
      </c>
      <c r="B4806" s="1">
        <v>45765</v>
      </c>
      <c r="C4806" t="s">
        <v>86</v>
      </c>
      <c r="D4806">
        <v>16</v>
      </c>
      <c r="E4806" t="s">
        <v>33</v>
      </c>
      <c r="F4806" t="s">
        <v>57</v>
      </c>
      <c r="G4806" t="s">
        <v>141</v>
      </c>
      <c r="H4806" t="s">
        <v>52</v>
      </c>
      <c r="I4806">
        <v>26682</v>
      </c>
      <c r="J4806">
        <v>22728</v>
      </c>
    </row>
    <row r="4807" spans="1:10" x14ac:dyDescent="0.3">
      <c r="A4807" t="s">
        <v>4934</v>
      </c>
      <c r="B4807" s="1">
        <v>45912</v>
      </c>
      <c r="C4807" t="s">
        <v>38</v>
      </c>
      <c r="D4807">
        <v>37</v>
      </c>
      <c r="E4807" t="s">
        <v>12</v>
      </c>
      <c r="F4807" t="s">
        <v>50</v>
      </c>
      <c r="G4807" t="s">
        <v>253</v>
      </c>
      <c r="H4807" t="s">
        <v>151</v>
      </c>
      <c r="I4807">
        <v>36955</v>
      </c>
      <c r="J4807">
        <v>30435</v>
      </c>
    </row>
    <row r="4808" spans="1:10" x14ac:dyDescent="0.3">
      <c r="A4808" t="s">
        <v>4935</v>
      </c>
      <c r="B4808" s="1">
        <v>45706</v>
      </c>
      <c r="C4808" t="s">
        <v>82</v>
      </c>
      <c r="D4808">
        <v>8</v>
      </c>
      <c r="E4808" t="s">
        <v>39</v>
      </c>
      <c r="F4808" t="s">
        <v>43</v>
      </c>
      <c r="G4808" t="s">
        <v>115</v>
      </c>
      <c r="H4808" t="s">
        <v>119</v>
      </c>
      <c r="I4808">
        <v>24028</v>
      </c>
      <c r="J4808">
        <v>27304</v>
      </c>
    </row>
    <row r="4809" spans="1:10" x14ac:dyDescent="0.3">
      <c r="A4809" t="s">
        <v>4936</v>
      </c>
      <c r="B4809" s="1">
        <v>45738</v>
      </c>
      <c r="C4809" t="s">
        <v>95</v>
      </c>
      <c r="D4809">
        <v>12</v>
      </c>
      <c r="E4809" t="s">
        <v>18</v>
      </c>
      <c r="F4809" t="s">
        <v>13</v>
      </c>
      <c r="G4809" t="s">
        <v>83</v>
      </c>
      <c r="H4809" t="s">
        <v>188</v>
      </c>
      <c r="I4809">
        <v>28735</v>
      </c>
      <c r="J4809">
        <v>22492</v>
      </c>
    </row>
    <row r="4810" spans="1:10" x14ac:dyDescent="0.3">
      <c r="A4810" t="s">
        <v>4937</v>
      </c>
      <c r="B4810" s="1">
        <v>46014</v>
      </c>
      <c r="C4810" t="s">
        <v>100</v>
      </c>
      <c r="D4810">
        <v>52</v>
      </c>
      <c r="E4810" t="s">
        <v>39</v>
      </c>
      <c r="F4810" t="s">
        <v>92</v>
      </c>
      <c r="G4810" t="s">
        <v>206</v>
      </c>
      <c r="H4810" t="s">
        <v>41</v>
      </c>
      <c r="I4810">
        <v>32137</v>
      </c>
      <c r="J4810">
        <v>32694</v>
      </c>
    </row>
    <row r="4811" spans="1:10" x14ac:dyDescent="0.3">
      <c r="A4811" t="s">
        <v>4938</v>
      </c>
      <c r="B4811" s="1">
        <v>45877</v>
      </c>
      <c r="C4811" t="s">
        <v>113</v>
      </c>
      <c r="D4811">
        <v>32</v>
      </c>
      <c r="E4811" t="s">
        <v>61</v>
      </c>
      <c r="F4811" t="s">
        <v>19</v>
      </c>
      <c r="G4811" t="s">
        <v>199</v>
      </c>
      <c r="H4811" t="s">
        <v>36</v>
      </c>
      <c r="I4811">
        <v>21237</v>
      </c>
      <c r="J4811">
        <v>16326</v>
      </c>
    </row>
    <row r="4812" spans="1:10" x14ac:dyDescent="0.3">
      <c r="A4812" t="s">
        <v>4939</v>
      </c>
      <c r="B4812" s="1">
        <v>45759</v>
      </c>
      <c r="C4812" t="s">
        <v>86</v>
      </c>
      <c r="D4812">
        <v>15</v>
      </c>
      <c r="E4812" t="s">
        <v>61</v>
      </c>
      <c r="F4812" t="s">
        <v>114</v>
      </c>
      <c r="G4812" t="s">
        <v>291</v>
      </c>
      <c r="H4812" t="s">
        <v>59</v>
      </c>
      <c r="I4812">
        <v>17144</v>
      </c>
      <c r="J4812">
        <v>16161</v>
      </c>
    </row>
    <row r="4813" spans="1:10" x14ac:dyDescent="0.3">
      <c r="A4813" t="s">
        <v>4940</v>
      </c>
      <c r="B4813" s="1">
        <v>45930</v>
      </c>
      <c r="C4813" t="s">
        <v>38</v>
      </c>
      <c r="D4813">
        <v>40</v>
      </c>
      <c r="E4813" t="s">
        <v>70</v>
      </c>
      <c r="F4813" t="s">
        <v>34</v>
      </c>
      <c r="G4813" t="s">
        <v>51</v>
      </c>
      <c r="H4813" t="s">
        <v>41</v>
      </c>
      <c r="I4813">
        <v>31989</v>
      </c>
      <c r="J4813">
        <v>22451</v>
      </c>
    </row>
    <row r="4814" spans="1:10" x14ac:dyDescent="0.3">
      <c r="A4814" t="s">
        <v>4941</v>
      </c>
      <c r="B4814" s="1">
        <v>45973</v>
      </c>
      <c r="C4814" t="s">
        <v>23</v>
      </c>
      <c r="D4814">
        <v>46</v>
      </c>
      <c r="E4814" t="s">
        <v>70</v>
      </c>
      <c r="F4814" t="s">
        <v>140</v>
      </c>
      <c r="G4814" t="s">
        <v>126</v>
      </c>
      <c r="H4814" t="s">
        <v>157</v>
      </c>
      <c r="I4814">
        <v>16216</v>
      </c>
      <c r="J4814">
        <v>12629</v>
      </c>
    </row>
    <row r="4815" spans="1:10" x14ac:dyDescent="0.3">
      <c r="A4815" t="s">
        <v>4942</v>
      </c>
      <c r="B4815" s="1">
        <v>45737</v>
      </c>
      <c r="C4815" t="s">
        <v>95</v>
      </c>
      <c r="D4815">
        <v>12</v>
      </c>
      <c r="E4815" t="s">
        <v>18</v>
      </c>
      <c r="F4815" t="s">
        <v>50</v>
      </c>
      <c r="G4815" t="s">
        <v>51</v>
      </c>
      <c r="H4815" t="s">
        <v>41</v>
      </c>
      <c r="I4815">
        <v>38893</v>
      </c>
      <c r="J4815">
        <v>33315</v>
      </c>
    </row>
    <row r="4816" spans="1:10" x14ac:dyDescent="0.3">
      <c r="A4816" t="s">
        <v>4943</v>
      </c>
      <c r="B4816" s="1">
        <v>45702</v>
      </c>
      <c r="C4816" t="s">
        <v>82</v>
      </c>
      <c r="D4816">
        <v>7</v>
      </c>
      <c r="E4816" t="s">
        <v>24</v>
      </c>
      <c r="F4816" t="s">
        <v>109</v>
      </c>
      <c r="G4816" t="s">
        <v>102</v>
      </c>
      <c r="H4816" t="s">
        <v>80</v>
      </c>
      <c r="I4816">
        <v>16436</v>
      </c>
      <c r="J4816">
        <v>16642</v>
      </c>
    </row>
    <row r="4817" spans="1:10" x14ac:dyDescent="0.3">
      <c r="A4817" t="s">
        <v>4944</v>
      </c>
      <c r="B4817" s="1">
        <v>45907</v>
      </c>
      <c r="C4817" t="s">
        <v>38</v>
      </c>
      <c r="D4817">
        <v>36</v>
      </c>
      <c r="E4817" t="s">
        <v>70</v>
      </c>
      <c r="F4817" t="s">
        <v>101</v>
      </c>
      <c r="G4817" t="s">
        <v>54</v>
      </c>
      <c r="H4817" t="s">
        <v>27</v>
      </c>
      <c r="I4817">
        <v>36306</v>
      </c>
      <c r="J4817">
        <v>41413</v>
      </c>
    </row>
    <row r="4818" spans="1:10" x14ac:dyDescent="0.3">
      <c r="A4818" t="s">
        <v>4945</v>
      </c>
      <c r="B4818" s="1">
        <v>45882</v>
      </c>
      <c r="C4818" t="s">
        <v>113</v>
      </c>
      <c r="D4818">
        <v>33</v>
      </c>
      <c r="E4818" t="s">
        <v>12</v>
      </c>
      <c r="F4818" t="s">
        <v>57</v>
      </c>
      <c r="G4818" t="s">
        <v>240</v>
      </c>
      <c r="H4818" t="s">
        <v>111</v>
      </c>
      <c r="I4818">
        <v>35489</v>
      </c>
      <c r="J4818">
        <v>29406</v>
      </c>
    </row>
    <row r="4819" spans="1:10" x14ac:dyDescent="0.3">
      <c r="A4819" t="s">
        <v>4946</v>
      </c>
      <c r="B4819" s="1">
        <v>45967</v>
      </c>
      <c r="C4819" t="s">
        <v>23</v>
      </c>
      <c r="D4819">
        <v>45</v>
      </c>
      <c r="E4819" t="s">
        <v>18</v>
      </c>
      <c r="F4819" t="s">
        <v>114</v>
      </c>
      <c r="G4819" t="s">
        <v>160</v>
      </c>
      <c r="H4819" t="s">
        <v>163</v>
      </c>
      <c r="I4819">
        <v>22790</v>
      </c>
      <c r="J4819">
        <v>18060</v>
      </c>
    </row>
    <row r="4820" spans="1:10" x14ac:dyDescent="0.3">
      <c r="A4820" t="s">
        <v>4947</v>
      </c>
      <c r="B4820" s="1">
        <v>45892</v>
      </c>
      <c r="C4820" t="s">
        <v>113</v>
      </c>
      <c r="D4820">
        <v>34</v>
      </c>
      <c r="E4820" t="s">
        <v>61</v>
      </c>
      <c r="F4820" t="s">
        <v>50</v>
      </c>
      <c r="G4820" t="s">
        <v>230</v>
      </c>
      <c r="H4820" t="s">
        <v>15</v>
      </c>
      <c r="I4820">
        <v>25159</v>
      </c>
      <c r="J4820">
        <v>31440</v>
      </c>
    </row>
    <row r="4821" spans="1:10" x14ac:dyDescent="0.3">
      <c r="A4821" t="s">
        <v>4948</v>
      </c>
      <c r="B4821" s="1">
        <v>45929</v>
      </c>
      <c r="C4821" t="s">
        <v>38</v>
      </c>
      <c r="D4821">
        <v>40</v>
      </c>
      <c r="E4821" t="s">
        <v>24</v>
      </c>
      <c r="F4821" t="s">
        <v>43</v>
      </c>
      <c r="G4821" t="s">
        <v>47</v>
      </c>
      <c r="H4821" t="s">
        <v>123</v>
      </c>
      <c r="I4821">
        <v>25538</v>
      </c>
      <c r="J4821">
        <v>30480</v>
      </c>
    </row>
    <row r="4822" spans="1:10" x14ac:dyDescent="0.3">
      <c r="A4822" t="s">
        <v>4949</v>
      </c>
      <c r="B4822" s="1">
        <v>45934</v>
      </c>
      <c r="C4822" t="s">
        <v>66</v>
      </c>
      <c r="D4822">
        <v>40</v>
      </c>
      <c r="E4822" t="s">
        <v>18</v>
      </c>
      <c r="F4822" t="s">
        <v>50</v>
      </c>
      <c r="G4822" t="s">
        <v>147</v>
      </c>
      <c r="H4822" t="s">
        <v>155</v>
      </c>
      <c r="I4822">
        <v>32852</v>
      </c>
      <c r="J4822">
        <v>25618</v>
      </c>
    </row>
    <row r="4823" spans="1:10" x14ac:dyDescent="0.3">
      <c r="A4823" t="s">
        <v>4950</v>
      </c>
      <c r="B4823" s="1">
        <v>45892</v>
      </c>
      <c r="C4823" t="s">
        <v>113</v>
      </c>
      <c r="D4823">
        <v>34</v>
      </c>
      <c r="E4823" t="s">
        <v>24</v>
      </c>
      <c r="F4823" t="s">
        <v>13</v>
      </c>
      <c r="G4823" t="s">
        <v>58</v>
      </c>
      <c r="H4823" t="s">
        <v>133</v>
      </c>
      <c r="I4823">
        <v>15352</v>
      </c>
      <c r="J4823">
        <v>19921</v>
      </c>
    </row>
    <row r="4824" spans="1:10" x14ac:dyDescent="0.3">
      <c r="A4824" t="s">
        <v>4951</v>
      </c>
      <c r="B4824" s="1">
        <v>45802</v>
      </c>
      <c r="C4824" t="s">
        <v>90</v>
      </c>
      <c r="D4824">
        <v>21</v>
      </c>
      <c r="E4824" t="s">
        <v>12</v>
      </c>
      <c r="F4824" t="s">
        <v>25</v>
      </c>
      <c r="G4824" t="s">
        <v>206</v>
      </c>
      <c r="H4824" t="s">
        <v>188</v>
      </c>
      <c r="I4824">
        <v>36369</v>
      </c>
      <c r="J4824">
        <v>40506</v>
      </c>
    </row>
    <row r="4825" spans="1:10" x14ac:dyDescent="0.3">
      <c r="A4825" t="s">
        <v>4952</v>
      </c>
      <c r="B4825" s="1">
        <v>45844</v>
      </c>
      <c r="C4825" t="s">
        <v>11</v>
      </c>
      <c r="D4825">
        <v>27</v>
      </c>
      <c r="E4825" t="s">
        <v>39</v>
      </c>
      <c r="F4825" t="s">
        <v>87</v>
      </c>
      <c r="G4825" t="s">
        <v>130</v>
      </c>
      <c r="H4825" t="s">
        <v>68</v>
      </c>
      <c r="I4825">
        <v>22299</v>
      </c>
      <c r="J4825">
        <v>17389</v>
      </c>
    </row>
    <row r="4826" spans="1:10" x14ac:dyDescent="0.3">
      <c r="A4826" t="s">
        <v>4953</v>
      </c>
      <c r="B4826" s="1">
        <v>45737</v>
      </c>
      <c r="C4826" t="s">
        <v>95</v>
      </c>
      <c r="D4826">
        <v>12</v>
      </c>
      <c r="E4826" t="s">
        <v>33</v>
      </c>
      <c r="F4826" t="s">
        <v>25</v>
      </c>
      <c r="G4826" t="s">
        <v>88</v>
      </c>
      <c r="H4826" t="s">
        <v>165</v>
      </c>
      <c r="I4826">
        <v>38528</v>
      </c>
      <c r="J4826">
        <v>35072</v>
      </c>
    </row>
    <row r="4827" spans="1:10" x14ac:dyDescent="0.3">
      <c r="A4827" t="s">
        <v>4954</v>
      </c>
      <c r="B4827" s="1">
        <v>45670</v>
      </c>
      <c r="C4827" t="s">
        <v>17</v>
      </c>
      <c r="D4827">
        <v>3</v>
      </c>
      <c r="E4827" t="s">
        <v>39</v>
      </c>
      <c r="F4827" t="s">
        <v>114</v>
      </c>
      <c r="G4827" t="s">
        <v>44</v>
      </c>
      <c r="H4827" t="s">
        <v>21</v>
      </c>
      <c r="I4827">
        <v>19756</v>
      </c>
      <c r="J4827">
        <v>19970</v>
      </c>
    </row>
    <row r="4828" spans="1:10" x14ac:dyDescent="0.3">
      <c r="A4828" t="s">
        <v>4955</v>
      </c>
      <c r="B4828" s="1">
        <v>45956</v>
      </c>
      <c r="C4828" t="s">
        <v>66</v>
      </c>
      <c r="D4828">
        <v>43</v>
      </c>
      <c r="E4828" t="s">
        <v>70</v>
      </c>
      <c r="F4828" t="s">
        <v>57</v>
      </c>
      <c r="G4828" t="s">
        <v>88</v>
      </c>
      <c r="H4828" t="s">
        <v>64</v>
      </c>
      <c r="I4828">
        <v>31941</v>
      </c>
      <c r="J4828">
        <v>25982</v>
      </c>
    </row>
    <row r="4829" spans="1:10" x14ac:dyDescent="0.3">
      <c r="A4829" t="s">
        <v>4956</v>
      </c>
      <c r="B4829" s="1">
        <v>45916</v>
      </c>
      <c r="C4829" t="s">
        <v>38</v>
      </c>
      <c r="D4829">
        <v>38</v>
      </c>
      <c r="E4829" t="s">
        <v>33</v>
      </c>
      <c r="F4829" t="s">
        <v>25</v>
      </c>
      <c r="G4829" t="s">
        <v>128</v>
      </c>
      <c r="H4829" t="s">
        <v>84</v>
      </c>
      <c r="I4829">
        <v>19551</v>
      </c>
      <c r="J4829">
        <v>14578</v>
      </c>
    </row>
    <row r="4830" spans="1:10" x14ac:dyDescent="0.3">
      <c r="A4830" t="s">
        <v>4957</v>
      </c>
      <c r="B4830" s="1">
        <v>45855</v>
      </c>
      <c r="C4830" t="s">
        <v>11</v>
      </c>
      <c r="D4830">
        <v>29</v>
      </c>
      <c r="E4830" t="s">
        <v>70</v>
      </c>
      <c r="F4830" t="s">
        <v>140</v>
      </c>
      <c r="G4830" t="s">
        <v>63</v>
      </c>
      <c r="H4830" t="s">
        <v>27</v>
      </c>
      <c r="I4830">
        <v>37634</v>
      </c>
      <c r="J4830">
        <v>28240</v>
      </c>
    </row>
    <row r="4831" spans="1:10" x14ac:dyDescent="0.3">
      <c r="A4831" t="s">
        <v>4958</v>
      </c>
      <c r="B4831" s="1">
        <v>45945</v>
      </c>
      <c r="C4831" t="s">
        <v>66</v>
      </c>
      <c r="D4831">
        <v>42</v>
      </c>
      <c r="E4831" t="s">
        <v>12</v>
      </c>
      <c r="F4831" t="s">
        <v>50</v>
      </c>
      <c r="G4831" t="s">
        <v>93</v>
      </c>
      <c r="H4831" t="s">
        <v>243</v>
      </c>
      <c r="I4831">
        <v>29564</v>
      </c>
      <c r="J4831">
        <v>37729</v>
      </c>
    </row>
    <row r="4832" spans="1:10" x14ac:dyDescent="0.3">
      <c r="A4832" t="s">
        <v>4959</v>
      </c>
      <c r="B4832" s="1">
        <v>45762</v>
      </c>
      <c r="C4832" t="s">
        <v>86</v>
      </c>
      <c r="D4832">
        <v>16</v>
      </c>
      <c r="E4832" t="s">
        <v>61</v>
      </c>
      <c r="F4832" t="s">
        <v>75</v>
      </c>
      <c r="G4832" t="s">
        <v>224</v>
      </c>
      <c r="H4832" t="s">
        <v>41</v>
      </c>
      <c r="I4832">
        <v>38060</v>
      </c>
      <c r="J4832">
        <v>37395</v>
      </c>
    </row>
    <row r="4833" spans="1:10" x14ac:dyDescent="0.3">
      <c r="A4833" t="s">
        <v>4960</v>
      </c>
      <c r="B4833" s="1">
        <v>45964</v>
      </c>
      <c r="C4833" t="s">
        <v>23</v>
      </c>
      <c r="D4833">
        <v>45</v>
      </c>
      <c r="E4833" t="s">
        <v>61</v>
      </c>
      <c r="F4833" t="s">
        <v>114</v>
      </c>
      <c r="G4833" t="s">
        <v>30</v>
      </c>
      <c r="H4833" t="s">
        <v>48</v>
      </c>
      <c r="I4833">
        <v>26411</v>
      </c>
      <c r="J4833">
        <v>21659</v>
      </c>
    </row>
    <row r="4834" spans="1:10" x14ac:dyDescent="0.3">
      <c r="A4834" t="s">
        <v>4961</v>
      </c>
      <c r="B4834" s="1">
        <v>45728</v>
      </c>
      <c r="C4834" t="s">
        <v>95</v>
      </c>
      <c r="D4834">
        <v>11</v>
      </c>
      <c r="E4834" t="s">
        <v>18</v>
      </c>
      <c r="F4834" t="s">
        <v>62</v>
      </c>
      <c r="G4834" t="s">
        <v>201</v>
      </c>
      <c r="H4834" t="s">
        <v>98</v>
      </c>
      <c r="I4834">
        <v>26062</v>
      </c>
      <c r="J4834">
        <v>32006</v>
      </c>
    </row>
    <row r="4835" spans="1:10" x14ac:dyDescent="0.3">
      <c r="A4835" t="s">
        <v>4962</v>
      </c>
      <c r="B4835" s="1">
        <v>45810</v>
      </c>
      <c r="C4835" t="s">
        <v>74</v>
      </c>
      <c r="D4835">
        <v>23</v>
      </c>
      <c r="E4835" t="s">
        <v>24</v>
      </c>
      <c r="F4835" t="s">
        <v>114</v>
      </c>
      <c r="G4835" t="s">
        <v>72</v>
      </c>
      <c r="H4835" t="s">
        <v>84</v>
      </c>
      <c r="I4835">
        <v>37919</v>
      </c>
      <c r="J4835">
        <v>42310</v>
      </c>
    </row>
    <row r="4836" spans="1:10" x14ac:dyDescent="0.3">
      <c r="A4836" t="s">
        <v>4963</v>
      </c>
      <c r="B4836" s="1">
        <v>45976</v>
      </c>
      <c r="C4836" t="s">
        <v>23</v>
      </c>
      <c r="D4836">
        <v>46</v>
      </c>
      <c r="E4836" t="s">
        <v>39</v>
      </c>
      <c r="F4836" t="s">
        <v>122</v>
      </c>
      <c r="G4836" t="s">
        <v>132</v>
      </c>
      <c r="H4836" t="s">
        <v>36</v>
      </c>
      <c r="I4836">
        <v>23102</v>
      </c>
      <c r="J4836">
        <v>20793</v>
      </c>
    </row>
    <row r="4837" spans="1:10" x14ac:dyDescent="0.3">
      <c r="A4837" t="s">
        <v>4964</v>
      </c>
      <c r="B4837" s="1">
        <v>45868</v>
      </c>
      <c r="C4837" t="s">
        <v>11</v>
      </c>
      <c r="D4837">
        <v>31</v>
      </c>
      <c r="E4837" t="s">
        <v>61</v>
      </c>
      <c r="F4837" t="s">
        <v>19</v>
      </c>
      <c r="G4837" t="s">
        <v>266</v>
      </c>
      <c r="H4837" t="s">
        <v>119</v>
      </c>
      <c r="I4837">
        <v>39655</v>
      </c>
      <c r="J4837">
        <v>39655</v>
      </c>
    </row>
    <row r="4838" spans="1:10" x14ac:dyDescent="0.3">
      <c r="A4838" t="s">
        <v>4965</v>
      </c>
      <c r="B4838" s="1">
        <v>45661</v>
      </c>
      <c r="C4838" t="s">
        <v>17</v>
      </c>
      <c r="D4838">
        <v>1</v>
      </c>
      <c r="E4838" t="s">
        <v>70</v>
      </c>
      <c r="F4838" t="s">
        <v>140</v>
      </c>
      <c r="G4838" t="s">
        <v>63</v>
      </c>
      <c r="H4838" t="s">
        <v>163</v>
      </c>
      <c r="I4838">
        <v>16020</v>
      </c>
      <c r="J4838">
        <v>18582</v>
      </c>
    </row>
    <row r="4839" spans="1:10" x14ac:dyDescent="0.3">
      <c r="A4839" t="s">
        <v>4966</v>
      </c>
      <c r="B4839" s="1">
        <v>45971</v>
      </c>
      <c r="C4839" t="s">
        <v>23</v>
      </c>
      <c r="D4839">
        <v>46</v>
      </c>
      <c r="E4839" t="s">
        <v>24</v>
      </c>
      <c r="F4839" t="s">
        <v>92</v>
      </c>
      <c r="G4839" t="s">
        <v>47</v>
      </c>
      <c r="H4839" t="s">
        <v>31</v>
      </c>
      <c r="I4839">
        <v>36663</v>
      </c>
      <c r="J4839">
        <v>39417</v>
      </c>
    </row>
    <row r="4840" spans="1:10" x14ac:dyDescent="0.3">
      <c r="A4840" t="s">
        <v>4967</v>
      </c>
      <c r="B4840" s="1">
        <v>45897</v>
      </c>
      <c r="C4840" t="s">
        <v>113</v>
      </c>
      <c r="D4840">
        <v>35</v>
      </c>
      <c r="E4840" t="s">
        <v>70</v>
      </c>
      <c r="F4840" t="s">
        <v>114</v>
      </c>
      <c r="G4840" t="s">
        <v>76</v>
      </c>
      <c r="H4840" t="s">
        <v>52</v>
      </c>
      <c r="I4840">
        <v>15036</v>
      </c>
      <c r="J4840">
        <v>19291</v>
      </c>
    </row>
    <row r="4841" spans="1:10" x14ac:dyDescent="0.3">
      <c r="A4841" t="s">
        <v>4968</v>
      </c>
      <c r="B4841" s="1">
        <v>45821</v>
      </c>
      <c r="C4841" t="s">
        <v>74</v>
      </c>
      <c r="D4841">
        <v>24</v>
      </c>
      <c r="E4841" t="s">
        <v>70</v>
      </c>
      <c r="F4841" t="s">
        <v>87</v>
      </c>
      <c r="G4841" t="s">
        <v>201</v>
      </c>
      <c r="H4841" t="s">
        <v>27</v>
      </c>
      <c r="I4841">
        <v>18292</v>
      </c>
      <c r="J4841">
        <v>14224</v>
      </c>
    </row>
    <row r="4842" spans="1:10" x14ac:dyDescent="0.3">
      <c r="A4842" t="s">
        <v>4969</v>
      </c>
      <c r="B4842" s="1">
        <v>45956</v>
      </c>
      <c r="C4842" t="s">
        <v>66</v>
      </c>
      <c r="D4842">
        <v>43</v>
      </c>
      <c r="E4842" t="s">
        <v>18</v>
      </c>
      <c r="F4842" t="s">
        <v>13</v>
      </c>
      <c r="G4842" t="s">
        <v>118</v>
      </c>
      <c r="H4842" t="s">
        <v>68</v>
      </c>
      <c r="I4842">
        <v>19833</v>
      </c>
      <c r="J4842">
        <v>16445</v>
      </c>
    </row>
    <row r="4843" spans="1:10" x14ac:dyDescent="0.3">
      <c r="A4843" t="s">
        <v>4970</v>
      </c>
      <c r="B4843" s="1">
        <v>45858</v>
      </c>
      <c r="C4843" t="s">
        <v>11</v>
      </c>
      <c r="D4843">
        <v>29</v>
      </c>
      <c r="E4843" t="s">
        <v>70</v>
      </c>
      <c r="F4843" t="s">
        <v>50</v>
      </c>
      <c r="G4843" t="s">
        <v>88</v>
      </c>
      <c r="H4843" t="s">
        <v>68</v>
      </c>
      <c r="I4843">
        <v>21817</v>
      </c>
      <c r="J4843">
        <v>22180</v>
      </c>
    </row>
    <row r="4844" spans="1:10" x14ac:dyDescent="0.3">
      <c r="A4844" t="s">
        <v>4971</v>
      </c>
      <c r="B4844" s="1">
        <v>45989</v>
      </c>
      <c r="C4844" t="s">
        <v>23</v>
      </c>
      <c r="D4844">
        <v>48</v>
      </c>
      <c r="E4844" t="s">
        <v>18</v>
      </c>
      <c r="F4844" t="s">
        <v>92</v>
      </c>
      <c r="G4844" t="s">
        <v>266</v>
      </c>
      <c r="H4844" t="s">
        <v>48</v>
      </c>
      <c r="I4844">
        <v>18828</v>
      </c>
      <c r="J4844">
        <v>14052</v>
      </c>
    </row>
    <row r="4845" spans="1:10" x14ac:dyDescent="0.3">
      <c r="A4845" t="s">
        <v>4972</v>
      </c>
      <c r="B4845" s="1">
        <v>45730</v>
      </c>
      <c r="C4845" t="s">
        <v>95</v>
      </c>
      <c r="D4845">
        <v>11</v>
      </c>
      <c r="E4845" t="s">
        <v>70</v>
      </c>
      <c r="F4845" t="s">
        <v>78</v>
      </c>
      <c r="G4845" t="s">
        <v>199</v>
      </c>
      <c r="H4845" t="s">
        <v>36</v>
      </c>
      <c r="I4845">
        <v>25526</v>
      </c>
      <c r="J4845">
        <v>28326</v>
      </c>
    </row>
    <row r="4846" spans="1:10" x14ac:dyDescent="0.3">
      <c r="A4846" t="s">
        <v>4973</v>
      </c>
      <c r="B4846" s="1">
        <v>45828</v>
      </c>
      <c r="C4846" t="s">
        <v>74</v>
      </c>
      <c r="D4846">
        <v>25</v>
      </c>
      <c r="E4846" t="s">
        <v>70</v>
      </c>
      <c r="F4846" t="s">
        <v>25</v>
      </c>
      <c r="G4846" t="s">
        <v>147</v>
      </c>
      <c r="H4846" t="s">
        <v>84</v>
      </c>
      <c r="I4846">
        <v>26544</v>
      </c>
      <c r="J4846">
        <v>21155</v>
      </c>
    </row>
    <row r="4847" spans="1:10" x14ac:dyDescent="0.3">
      <c r="A4847" t="s">
        <v>4974</v>
      </c>
      <c r="B4847" s="1">
        <v>45946</v>
      </c>
      <c r="C4847" t="s">
        <v>66</v>
      </c>
      <c r="D4847">
        <v>42</v>
      </c>
      <c r="E4847" t="s">
        <v>18</v>
      </c>
      <c r="F4847" t="s">
        <v>87</v>
      </c>
      <c r="G4847" t="s">
        <v>135</v>
      </c>
      <c r="H4847" t="s">
        <v>68</v>
      </c>
      <c r="I4847">
        <v>23569</v>
      </c>
      <c r="J4847">
        <v>27782</v>
      </c>
    </row>
    <row r="4848" spans="1:10" x14ac:dyDescent="0.3">
      <c r="A4848" t="s">
        <v>4975</v>
      </c>
      <c r="B4848" s="1">
        <v>45834</v>
      </c>
      <c r="C4848" t="s">
        <v>74</v>
      </c>
      <c r="D4848">
        <v>26</v>
      </c>
      <c r="E4848" t="s">
        <v>18</v>
      </c>
      <c r="F4848" t="s">
        <v>29</v>
      </c>
      <c r="G4848" t="s">
        <v>79</v>
      </c>
      <c r="H4848" t="s">
        <v>116</v>
      </c>
      <c r="I4848">
        <v>23412</v>
      </c>
      <c r="J4848">
        <v>23741</v>
      </c>
    </row>
    <row r="4849" spans="1:10" x14ac:dyDescent="0.3">
      <c r="A4849" t="s">
        <v>4976</v>
      </c>
      <c r="B4849" s="1">
        <v>45673</v>
      </c>
      <c r="C4849" t="s">
        <v>17</v>
      </c>
      <c r="D4849">
        <v>3</v>
      </c>
      <c r="E4849" t="s">
        <v>18</v>
      </c>
      <c r="F4849" t="s">
        <v>50</v>
      </c>
      <c r="G4849" t="s">
        <v>76</v>
      </c>
      <c r="H4849" t="s">
        <v>111</v>
      </c>
      <c r="I4849">
        <v>25735</v>
      </c>
      <c r="J4849">
        <v>29763</v>
      </c>
    </row>
    <row r="4850" spans="1:10" x14ac:dyDescent="0.3">
      <c r="A4850" t="s">
        <v>4977</v>
      </c>
      <c r="B4850" s="1">
        <v>45941</v>
      </c>
      <c r="C4850" t="s">
        <v>66</v>
      </c>
      <c r="D4850">
        <v>41</v>
      </c>
      <c r="E4850" t="s">
        <v>39</v>
      </c>
      <c r="F4850" t="s">
        <v>114</v>
      </c>
      <c r="G4850" t="s">
        <v>145</v>
      </c>
      <c r="H4850" t="s">
        <v>41</v>
      </c>
      <c r="I4850">
        <v>24926</v>
      </c>
      <c r="J4850">
        <v>19052</v>
      </c>
    </row>
    <row r="4851" spans="1:10" x14ac:dyDescent="0.3">
      <c r="A4851" t="s">
        <v>4978</v>
      </c>
      <c r="B4851" s="1">
        <v>45687</v>
      </c>
      <c r="C4851" t="s">
        <v>17</v>
      </c>
      <c r="D4851">
        <v>5</v>
      </c>
      <c r="E4851" t="s">
        <v>18</v>
      </c>
      <c r="F4851" t="s">
        <v>13</v>
      </c>
      <c r="G4851" t="s">
        <v>171</v>
      </c>
      <c r="H4851" t="s">
        <v>103</v>
      </c>
      <c r="I4851">
        <v>36368</v>
      </c>
      <c r="J4851">
        <v>46495</v>
      </c>
    </row>
    <row r="4852" spans="1:10" x14ac:dyDescent="0.3">
      <c r="A4852" t="s">
        <v>4979</v>
      </c>
      <c r="B4852" s="1">
        <v>45949</v>
      </c>
      <c r="C4852" t="s">
        <v>66</v>
      </c>
      <c r="D4852">
        <v>42</v>
      </c>
      <c r="E4852" t="s">
        <v>24</v>
      </c>
      <c r="F4852" t="s">
        <v>114</v>
      </c>
      <c r="G4852" t="s">
        <v>199</v>
      </c>
      <c r="H4852" t="s">
        <v>80</v>
      </c>
      <c r="I4852">
        <v>39703</v>
      </c>
      <c r="J4852">
        <v>49476</v>
      </c>
    </row>
    <row r="4853" spans="1:10" x14ac:dyDescent="0.3">
      <c r="A4853" t="s">
        <v>4980</v>
      </c>
      <c r="B4853" s="1">
        <v>45686</v>
      </c>
      <c r="C4853" t="s">
        <v>17</v>
      </c>
      <c r="D4853">
        <v>5</v>
      </c>
      <c r="E4853" t="s">
        <v>18</v>
      </c>
      <c r="F4853" t="s">
        <v>43</v>
      </c>
      <c r="G4853" t="s">
        <v>67</v>
      </c>
      <c r="H4853" t="s">
        <v>155</v>
      </c>
      <c r="I4853">
        <v>39848</v>
      </c>
      <c r="J4853">
        <v>36642</v>
      </c>
    </row>
    <row r="4854" spans="1:10" x14ac:dyDescent="0.3">
      <c r="A4854" t="s">
        <v>4981</v>
      </c>
      <c r="B4854" s="1">
        <v>45803</v>
      </c>
      <c r="C4854" t="s">
        <v>90</v>
      </c>
      <c r="D4854">
        <v>22</v>
      </c>
      <c r="E4854" t="s">
        <v>12</v>
      </c>
      <c r="F4854" t="s">
        <v>92</v>
      </c>
      <c r="G4854" t="s">
        <v>324</v>
      </c>
      <c r="H4854" t="s">
        <v>243</v>
      </c>
      <c r="I4854">
        <v>36258</v>
      </c>
      <c r="J4854">
        <v>43856</v>
      </c>
    </row>
    <row r="4855" spans="1:10" x14ac:dyDescent="0.3">
      <c r="A4855" t="s">
        <v>4982</v>
      </c>
      <c r="B4855" s="1">
        <v>45957</v>
      </c>
      <c r="C4855" t="s">
        <v>66</v>
      </c>
      <c r="D4855">
        <v>44</v>
      </c>
      <c r="E4855" t="s">
        <v>12</v>
      </c>
      <c r="F4855" t="s">
        <v>140</v>
      </c>
      <c r="G4855" t="s">
        <v>141</v>
      </c>
      <c r="H4855" t="s">
        <v>80</v>
      </c>
      <c r="I4855">
        <v>22829</v>
      </c>
      <c r="J4855">
        <v>17387</v>
      </c>
    </row>
    <row r="4856" spans="1:10" x14ac:dyDescent="0.3">
      <c r="A4856" t="s">
        <v>4983</v>
      </c>
      <c r="B4856" s="1">
        <v>45989</v>
      </c>
      <c r="C4856" t="s">
        <v>23</v>
      </c>
      <c r="D4856">
        <v>48</v>
      </c>
      <c r="E4856" t="s">
        <v>18</v>
      </c>
      <c r="F4856" t="s">
        <v>34</v>
      </c>
      <c r="G4856" t="s">
        <v>76</v>
      </c>
      <c r="H4856" t="s">
        <v>15</v>
      </c>
      <c r="I4856">
        <v>38212</v>
      </c>
      <c r="J4856">
        <v>40457</v>
      </c>
    </row>
    <row r="4857" spans="1:10" x14ac:dyDescent="0.3">
      <c r="A4857" t="s">
        <v>4984</v>
      </c>
      <c r="B4857" s="1">
        <v>45686</v>
      </c>
      <c r="C4857" t="s">
        <v>17</v>
      </c>
      <c r="D4857">
        <v>5</v>
      </c>
      <c r="E4857" t="s">
        <v>33</v>
      </c>
      <c r="F4857" t="s">
        <v>29</v>
      </c>
      <c r="G4857" t="s">
        <v>47</v>
      </c>
      <c r="H4857" t="s">
        <v>96</v>
      </c>
      <c r="I4857">
        <v>21281</v>
      </c>
      <c r="J4857">
        <v>17600</v>
      </c>
    </row>
    <row r="4858" spans="1:10" x14ac:dyDescent="0.3">
      <c r="A4858" t="s">
        <v>4985</v>
      </c>
      <c r="B4858" s="1">
        <v>45839</v>
      </c>
      <c r="C4858" t="s">
        <v>11</v>
      </c>
      <c r="D4858">
        <v>27</v>
      </c>
      <c r="E4858" t="s">
        <v>70</v>
      </c>
      <c r="F4858" t="s">
        <v>87</v>
      </c>
      <c r="G4858" t="s">
        <v>182</v>
      </c>
      <c r="H4858" t="s">
        <v>15</v>
      </c>
      <c r="I4858">
        <v>34490</v>
      </c>
      <c r="J4858">
        <v>42368</v>
      </c>
    </row>
    <row r="4859" spans="1:10" x14ac:dyDescent="0.3">
      <c r="A4859" t="s">
        <v>4986</v>
      </c>
      <c r="B4859" s="1">
        <v>45936</v>
      </c>
      <c r="C4859" t="s">
        <v>66</v>
      </c>
      <c r="D4859">
        <v>41</v>
      </c>
      <c r="E4859" t="s">
        <v>24</v>
      </c>
      <c r="F4859" t="s">
        <v>57</v>
      </c>
      <c r="G4859" t="s">
        <v>40</v>
      </c>
      <c r="H4859" t="s">
        <v>133</v>
      </c>
      <c r="I4859">
        <v>28581</v>
      </c>
      <c r="J4859">
        <v>25502</v>
      </c>
    </row>
    <row r="4860" spans="1:10" x14ac:dyDescent="0.3">
      <c r="A4860" t="s">
        <v>4987</v>
      </c>
      <c r="B4860" s="1">
        <v>45918</v>
      </c>
      <c r="C4860" t="s">
        <v>38</v>
      </c>
      <c r="D4860">
        <v>38</v>
      </c>
      <c r="E4860" t="s">
        <v>39</v>
      </c>
      <c r="F4860" t="s">
        <v>62</v>
      </c>
      <c r="G4860" t="s">
        <v>128</v>
      </c>
      <c r="H4860" t="s">
        <v>103</v>
      </c>
      <c r="I4860">
        <v>15494</v>
      </c>
      <c r="J4860">
        <v>12104</v>
      </c>
    </row>
    <row r="4861" spans="1:10" x14ac:dyDescent="0.3">
      <c r="A4861" t="s">
        <v>4988</v>
      </c>
      <c r="B4861" s="1">
        <v>45696</v>
      </c>
      <c r="C4861" t="s">
        <v>82</v>
      </c>
      <c r="D4861">
        <v>6</v>
      </c>
      <c r="E4861" t="s">
        <v>39</v>
      </c>
      <c r="F4861" t="s">
        <v>25</v>
      </c>
      <c r="G4861" t="s">
        <v>324</v>
      </c>
      <c r="H4861" t="s">
        <v>211</v>
      </c>
      <c r="I4861">
        <v>32745</v>
      </c>
      <c r="J4861">
        <v>28153</v>
      </c>
    </row>
    <row r="4862" spans="1:10" x14ac:dyDescent="0.3">
      <c r="A4862" t="s">
        <v>4989</v>
      </c>
      <c r="B4862" s="1">
        <v>45901</v>
      </c>
      <c r="C4862" t="s">
        <v>38</v>
      </c>
      <c r="D4862">
        <v>36</v>
      </c>
      <c r="E4862" t="s">
        <v>18</v>
      </c>
      <c r="F4862" t="s">
        <v>62</v>
      </c>
      <c r="G4862" t="s">
        <v>26</v>
      </c>
      <c r="H4862" t="s">
        <v>157</v>
      </c>
      <c r="I4862">
        <v>35645</v>
      </c>
      <c r="J4862">
        <v>28471</v>
      </c>
    </row>
    <row r="4863" spans="1:10" x14ac:dyDescent="0.3">
      <c r="A4863" t="s">
        <v>4990</v>
      </c>
      <c r="B4863" s="1">
        <v>45797</v>
      </c>
      <c r="C4863" t="s">
        <v>90</v>
      </c>
      <c r="D4863">
        <v>21</v>
      </c>
      <c r="E4863" t="s">
        <v>61</v>
      </c>
      <c r="F4863" t="s">
        <v>19</v>
      </c>
      <c r="G4863" t="s">
        <v>182</v>
      </c>
      <c r="H4863" t="s">
        <v>243</v>
      </c>
      <c r="I4863">
        <v>32397</v>
      </c>
      <c r="J4863">
        <v>35038</v>
      </c>
    </row>
    <row r="4864" spans="1:10" x14ac:dyDescent="0.3">
      <c r="A4864" t="s">
        <v>4991</v>
      </c>
      <c r="B4864" s="1">
        <v>45674</v>
      </c>
      <c r="C4864" t="s">
        <v>17</v>
      </c>
      <c r="D4864">
        <v>3</v>
      </c>
      <c r="E4864" t="s">
        <v>61</v>
      </c>
      <c r="F4864" t="s">
        <v>50</v>
      </c>
      <c r="G4864" t="s">
        <v>224</v>
      </c>
      <c r="H4864" t="s">
        <v>119</v>
      </c>
      <c r="I4864">
        <v>25963</v>
      </c>
      <c r="J4864">
        <v>32684</v>
      </c>
    </row>
    <row r="4865" spans="1:10" x14ac:dyDescent="0.3">
      <c r="A4865" t="s">
        <v>4992</v>
      </c>
      <c r="B4865" s="1">
        <v>45733</v>
      </c>
      <c r="C4865" t="s">
        <v>95</v>
      </c>
      <c r="D4865">
        <v>12</v>
      </c>
      <c r="E4865" t="s">
        <v>33</v>
      </c>
      <c r="F4865" t="s">
        <v>46</v>
      </c>
      <c r="G4865" t="s">
        <v>234</v>
      </c>
      <c r="H4865" t="s">
        <v>151</v>
      </c>
      <c r="I4865">
        <v>28460</v>
      </c>
      <c r="J4865">
        <v>27994</v>
      </c>
    </row>
    <row r="4866" spans="1:10" x14ac:dyDescent="0.3">
      <c r="A4866" t="s">
        <v>4993</v>
      </c>
      <c r="B4866" s="1">
        <v>45819</v>
      </c>
      <c r="C4866" t="s">
        <v>74</v>
      </c>
      <c r="D4866">
        <v>24</v>
      </c>
      <c r="E4866" t="s">
        <v>70</v>
      </c>
      <c r="F4866" t="s">
        <v>25</v>
      </c>
      <c r="G4866" t="s">
        <v>253</v>
      </c>
      <c r="H4866" t="s">
        <v>243</v>
      </c>
      <c r="I4866">
        <v>21781</v>
      </c>
      <c r="J4866">
        <v>21460</v>
      </c>
    </row>
    <row r="4867" spans="1:10" x14ac:dyDescent="0.3">
      <c r="A4867" t="s">
        <v>4994</v>
      </c>
      <c r="B4867" s="1">
        <v>45714</v>
      </c>
      <c r="C4867" t="s">
        <v>82</v>
      </c>
      <c r="D4867">
        <v>9</v>
      </c>
      <c r="E4867" t="s">
        <v>12</v>
      </c>
      <c r="F4867" t="s">
        <v>43</v>
      </c>
      <c r="G4867" t="s">
        <v>326</v>
      </c>
      <c r="H4867" t="s">
        <v>68</v>
      </c>
      <c r="I4867">
        <v>37797</v>
      </c>
      <c r="J4867">
        <v>32512</v>
      </c>
    </row>
    <row r="4868" spans="1:10" x14ac:dyDescent="0.3">
      <c r="A4868" t="s">
        <v>4995</v>
      </c>
      <c r="B4868" s="1">
        <v>45949</v>
      </c>
      <c r="C4868" t="s">
        <v>66</v>
      </c>
      <c r="D4868">
        <v>42</v>
      </c>
      <c r="E4868" t="s">
        <v>12</v>
      </c>
      <c r="F4868" t="s">
        <v>62</v>
      </c>
      <c r="G4868" t="s">
        <v>44</v>
      </c>
      <c r="H4868" t="s">
        <v>64</v>
      </c>
      <c r="I4868">
        <v>23711</v>
      </c>
      <c r="J4868">
        <v>29307</v>
      </c>
    </row>
    <row r="4869" spans="1:10" x14ac:dyDescent="0.3">
      <c r="A4869" t="s">
        <v>4996</v>
      </c>
      <c r="B4869" s="1">
        <v>45874</v>
      </c>
      <c r="C4869" t="s">
        <v>113</v>
      </c>
      <c r="D4869">
        <v>32</v>
      </c>
      <c r="E4869" t="s">
        <v>70</v>
      </c>
      <c r="F4869" t="s">
        <v>101</v>
      </c>
      <c r="G4869" t="s">
        <v>35</v>
      </c>
      <c r="H4869" t="s">
        <v>103</v>
      </c>
      <c r="I4869">
        <v>18907</v>
      </c>
      <c r="J4869">
        <v>19452</v>
      </c>
    </row>
    <row r="4870" spans="1:10" x14ac:dyDescent="0.3">
      <c r="A4870" t="s">
        <v>4997</v>
      </c>
      <c r="B4870" s="1">
        <v>45872</v>
      </c>
      <c r="C4870" t="s">
        <v>113</v>
      </c>
      <c r="D4870">
        <v>31</v>
      </c>
      <c r="E4870" t="s">
        <v>24</v>
      </c>
      <c r="F4870" t="s">
        <v>114</v>
      </c>
      <c r="G4870" t="s">
        <v>182</v>
      </c>
      <c r="H4870" t="s">
        <v>84</v>
      </c>
      <c r="I4870">
        <v>28458</v>
      </c>
      <c r="J4870">
        <v>30483</v>
      </c>
    </row>
    <row r="4871" spans="1:10" x14ac:dyDescent="0.3">
      <c r="A4871" t="s">
        <v>4998</v>
      </c>
      <c r="B4871" s="1">
        <v>45930</v>
      </c>
      <c r="C4871" t="s">
        <v>38</v>
      </c>
      <c r="D4871">
        <v>40</v>
      </c>
      <c r="E4871" t="s">
        <v>12</v>
      </c>
      <c r="F4871" t="s">
        <v>140</v>
      </c>
      <c r="G4871" t="s">
        <v>201</v>
      </c>
      <c r="H4871" t="s">
        <v>155</v>
      </c>
      <c r="I4871">
        <v>37433</v>
      </c>
      <c r="J4871">
        <v>36978</v>
      </c>
    </row>
    <row r="4872" spans="1:10" x14ac:dyDescent="0.3">
      <c r="A4872" t="s">
        <v>4999</v>
      </c>
      <c r="B4872" s="1">
        <v>45986</v>
      </c>
      <c r="C4872" t="s">
        <v>23</v>
      </c>
      <c r="D4872">
        <v>48</v>
      </c>
      <c r="E4872" t="s">
        <v>33</v>
      </c>
      <c r="F4872" t="s">
        <v>114</v>
      </c>
      <c r="G4872" t="s">
        <v>58</v>
      </c>
      <c r="H4872" t="s">
        <v>155</v>
      </c>
      <c r="I4872">
        <v>39984</v>
      </c>
      <c r="J4872">
        <v>50420</v>
      </c>
    </row>
    <row r="4873" spans="1:10" x14ac:dyDescent="0.3">
      <c r="A4873" t="s">
        <v>5000</v>
      </c>
      <c r="B4873" s="1">
        <v>45948</v>
      </c>
      <c r="C4873" t="s">
        <v>66</v>
      </c>
      <c r="D4873">
        <v>42</v>
      </c>
      <c r="E4873" t="s">
        <v>70</v>
      </c>
      <c r="F4873" t="s">
        <v>46</v>
      </c>
      <c r="G4873" t="s">
        <v>234</v>
      </c>
      <c r="H4873" t="s">
        <v>55</v>
      </c>
      <c r="I4873">
        <v>34829</v>
      </c>
      <c r="J4873">
        <v>24832</v>
      </c>
    </row>
    <row r="4874" spans="1:10" x14ac:dyDescent="0.3">
      <c r="A4874" t="s">
        <v>5001</v>
      </c>
      <c r="B4874" s="1">
        <v>45825</v>
      </c>
      <c r="C4874" t="s">
        <v>74</v>
      </c>
      <c r="D4874">
        <v>25</v>
      </c>
      <c r="E4874" t="s">
        <v>39</v>
      </c>
      <c r="F4874" t="s">
        <v>62</v>
      </c>
      <c r="G4874" t="s">
        <v>206</v>
      </c>
      <c r="H4874" t="s">
        <v>111</v>
      </c>
      <c r="I4874">
        <v>35537</v>
      </c>
      <c r="J4874">
        <v>27989</v>
      </c>
    </row>
    <row r="4875" spans="1:10" x14ac:dyDescent="0.3">
      <c r="A4875" t="s">
        <v>5002</v>
      </c>
      <c r="B4875" s="1">
        <v>45944</v>
      </c>
      <c r="C4875" t="s">
        <v>66</v>
      </c>
      <c r="D4875">
        <v>42</v>
      </c>
      <c r="E4875" t="s">
        <v>33</v>
      </c>
      <c r="F4875" t="s">
        <v>140</v>
      </c>
      <c r="G4875" t="s">
        <v>51</v>
      </c>
      <c r="H4875" t="s">
        <v>55</v>
      </c>
      <c r="I4875">
        <v>36180</v>
      </c>
      <c r="J4875">
        <v>34285</v>
      </c>
    </row>
    <row r="4876" spans="1:10" x14ac:dyDescent="0.3">
      <c r="A4876" t="s">
        <v>5003</v>
      </c>
      <c r="B4876" s="1">
        <v>45819</v>
      </c>
      <c r="C4876" t="s">
        <v>74</v>
      </c>
      <c r="D4876">
        <v>24</v>
      </c>
      <c r="E4876" t="s">
        <v>61</v>
      </c>
      <c r="F4876" t="s">
        <v>122</v>
      </c>
      <c r="G4876" t="s">
        <v>54</v>
      </c>
      <c r="H4876" t="s">
        <v>165</v>
      </c>
      <c r="I4876">
        <v>15520</v>
      </c>
      <c r="J4876">
        <v>17603</v>
      </c>
    </row>
    <row r="4877" spans="1:10" x14ac:dyDescent="0.3">
      <c r="A4877" t="s">
        <v>5004</v>
      </c>
      <c r="B4877" s="1">
        <v>45982</v>
      </c>
      <c r="C4877" t="s">
        <v>23</v>
      </c>
      <c r="D4877">
        <v>47</v>
      </c>
      <c r="E4877" t="s">
        <v>70</v>
      </c>
      <c r="F4877" t="s">
        <v>19</v>
      </c>
      <c r="G4877" t="s">
        <v>40</v>
      </c>
      <c r="H4877" t="s">
        <v>155</v>
      </c>
      <c r="I4877">
        <v>28118</v>
      </c>
      <c r="J4877">
        <v>22211</v>
      </c>
    </row>
    <row r="4878" spans="1:10" x14ac:dyDescent="0.3">
      <c r="A4878" t="s">
        <v>5005</v>
      </c>
      <c r="B4878" s="1">
        <v>46018</v>
      </c>
      <c r="C4878" t="s">
        <v>100</v>
      </c>
      <c r="D4878">
        <v>52</v>
      </c>
      <c r="E4878" t="s">
        <v>12</v>
      </c>
      <c r="F4878" t="s">
        <v>114</v>
      </c>
      <c r="G4878" t="s">
        <v>67</v>
      </c>
      <c r="H4878" t="s">
        <v>119</v>
      </c>
      <c r="I4878">
        <v>17949</v>
      </c>
      <c r="J4878">
        <v>16994</v>
      </c>
    </row>
    <row r="4879" spans="1:10" x14ac:dyDescent="0.3">
      <c r="A4879" t="s">
        <v>5006</v>
      </c>
      <c r="B4879" s="1">
        <v>45818</v>
      </c>
      <c r="C4879" t="s">
        <v>74</v>
      </c>
      <c r="D4879">
        <v>24</v>
      </c>
      <c r="E4879" t="s">
        <v>70</v>
      </c>
      <c r="F4879" t="s">
        <v>62</v>
      </c>
      <c r="G4879" t="s">
        <v>224</v>
      </c>
      <c r="H4879" t="s">
        <v>111</v>
      </c>
      <c r="I4879">
        <v>38654</v>
      </c>
      <c r="J4879">
        <v>32106</v>
      </c>
    </row>
    <row r="4880" spans="1:10" x14ac:dyDescent="0.3">
      <c r="A4880" t="s">
        <v>5007</v>
      </c>
      <c r="B4880" s="1">
        <v>45712</v>
      </c>
      <c r="C4880" t="s">
        <v>82</v>
      </c>
      <c r="D4880">
        <v>9</v>
      </c>
      <c r="E4880" t="s">
        <v>24</v>
      </c>
      <c r="F4880" t="s">
        <v>29</v>
      </c>
      <c r="G4880" t="s">
        <v>118</v>
      </c>
      <c r="H4880" t="s">
        <v>31</v>
      </c>
      <c r="I4880">
        <v>22555</v>
      </c>
      <c r="J4880">
        <v>23575</v>
      </c>
    </row>
    <row r="4881" spans="1:10" x14ac:dyDescent="0.3">
      <c r="A4881" t="s">
        <v>5008</v>
      </c>
      <c r="B4881" s="1">
        <v>45771</v>
      </c>
      <c r="C4881" t="s">
        <v>86</v>
      </c>
      <c r="D4881">
        <v>17</v>
      </c>
      <c r="E4881" t="s">
        <v>24</v>
      </c>
      <c r="F4881" t="s">
        <v>19</v>
      </c>
      <c r="G4881" t="s">
        <v>206</v>
      </c>
      <c r="H4881" t="s">
        <v>123</v>
      </c>
      <c r="I4881">
        <v>22641</v>
      </c>
      <c r="J4881">
        <v>18805</v>
      </c>
    </row>
    <row r="4882" spans="1:10" x14ac:dyDescent="0.3">
      <c r="A4882" t="s">
        <v>5009</v>
      </c>
      <c r="B4882" s="1">
        <v>46000</v>
      </c>
      <c r="C4882" t="s">
        <v>100</v>
      </c>
      <c r="D4882">
        <v>50</v>
      </c>
      <c r="E4882" t="s">
        <v>12</v>
      </c>
      <c r="F4882" t="s">
        <v>57</v>
      </c>
      <c r="G4882" t="s">
        <v>88</v>
      </c>
      <c r="H4882" t="s">
        <v>116</v>
      </c>
      <c r="I4882">
        <v>27566</v>
      </c>
      <c r="J4882">
        <v>28286</v>
      </c>
    </row>
    <row r="4883" spans="1:10" x14ac:dyDescent="0.3">
      <c r="A4883" t="s">
        <v>5010</v>
      </c>
      <c r="B4883" s="1">
        <v>45985</v>
      </c>
      <c r="C4883" t="s">
        <v>23</v>
      </c>
      <c r="D4883">
        <v>48</v>
      </c>
      <c r="E4883" t="s">
        <v>33</v>
      </c>
      <c r="F4883" t="s">
        <v>57</v>
      </c>
      <c r="G4883" t="s">
        <v>149</v>
      </c>
      <c r="H4883" t="s">
        <v>111</v>
      </c>
      <c r="I4883">
        <v>18390</v>
      </c>
      <c r="J4883">
        <v>21505</v>
      </c>
    </row>
    <row r="4884" spans="1:10" x14ac:dyDescent="0.3">
      <c r="A4884" t="s">
        <v>5011</v>
      </c>
      <c r="B4884" s="1">
        <v>45931</v>
      </c>
      <c r="C4884" t="s">
        <v>66</v>
      </c>
      <c r="D4884">
        <v>40</v>
      </c>
      <c r="E4884" t="s">
        <v>24</v>
      </c>
      <c r="F4884" t="s">
        <v>75</v>
      </c>
      <c r="G4884" t="s">
        <v>266</v>
      </c>
      <c r="H4884" t="s">
        <v>157</v>
      </c>
      <c r="I4884">
        <v>19989</v>
      </c>
      <c r="J4884">
        <v>14134</v>
      </c>
    </row>
    <row r="4885" spans="1:10" x14ac:dyDescent="0.3">
      <c r="A4885" t="s">
        <v>5012</v>
      </c>
      <c r="B4885" s="1">
        <v>45752</v>
      </c>
      <c r="C4885" t="s">
        <v>86</v>
      </c>
      <c r="D4885">
        <v>14</v>
      </c>
      <c r="E4885" t="s">
        <v>18</v>
      </c>
      <c r="F4885" t="s">
        <v>109</v>
      </c>
      <c r="G4885" t="s">
        <v>88</v>
      </c>
      <c r="H4885" t="s">
        <v>21</v>
      </c>
      <c r="I4885">
        <v>37752</v>
      </c>
      <c r="J4885">
        <v>39247</v>
      </c>
    </row>
    <row r="4886" spans="1:10" x14ac:dyDescent="0.3">
      <c r="A4886" t="s">
        <v>5013</v>
      </c>
      <c r="B4886" s="1">
        <v>45962</v>
      </c>
      <c r="C4886" t="s">
        <v>23</v>
      </c>
      <c r="D4886">
        <v>44</v>
      </c>
      <c r="E4886" t="s">
        <v>12</v>
      </c>
      <c r="F4886" t="s">
        <v>25</v>
      </c>
      <c r="G4886" t="s">
        <v>141</v>
      </c>
      <c r="H4886" t="s">
        <v>27</v>
      </c>
      <c r="I4886">
        <v>30074</v>
      </c>
      <c r="J4886">
        <v>25385</v>
      </c>
    </row>
    <row r="4887" spans="1:10" x14ac:dyDescent="0.3">
      <c r="A4887" t="s">
        <v>5014</v>
      </c>
      <c r="B4887" s="1">
        <v>46003</v>
      </c>
      <c r="C4887" t="s">
        <v>100</v>
      </c>
      <c r="D4887">
        <v>50</v>
      </c>
      <c r="E4887" t="s">
        <v>39</v>
      </c>
      <c r="F4887" t="s">
        <v>25</v>
      </c>
      <c r="G4887" t="s">
        <v>132</v>
      </c>
      <c r="H4887" t="s">
        <v>36</v>
      </c>
      <c r="I4887">
        <v>16052</v>
      </c>
      <c r="J4887">
        <v>18713</v>
      </c>
    </row>
    <row r="4888" spans="1:10" x14ac:dyDescent="0.3">
      <c r="A4888" t="s">
        <v>5015</v>
      </c>
      <c r="B4888" s="1">
        <v>45909</v>
      </c>
      <c r="C4888" t="s">
        <v>38</v>
      </c>
      <c r="D4888">
        <v>37</v>
      </c>
      <c r="E4888" t="s">
        <v>70</v>
      </c>
      <c r="F4888" t="s">
        <v>140</v>
      </c>
      <c r="G4888" t="s">
        <v>128</v>
      </c>
      <c r="H4888" t="s">
        <v>27</v>
      </c>
      <c r="I4888">
        <v>21570</v>
      </c>
      <c r="J4888">
        <v>15922</v>
      </c>
    </row>
    <row r="4889" spans="1:10" x14ac:dyDescent="0.3">
      <c r="A4889" t="s">
        <v>5016</v>
      </c>
      <c r="B4889" s="1">
        <v>45980</v>
      </c>
      <c r="C4889" t="s">
        <v>23</v>
      </c>
      <c r="D4889">
        <v>47</v>
      </c>
      <c r="E4889" t="s">
        <v>61</v>
      </c>
      <c r="F4889" t="s">
        <v>43</v>
      </c>
      <c r="G4889" t="s">
        <v>20</v>
      </c>
      <c r="H4889" t="s">
        <v>21</v>
      </c>
      <c r="I4889">
        <v>30871</v>
      </c>
      <c r="J4889">
        <v>22722</v>
      </c>
    </row>
    <row r="4890" spans="1:10" x14ac:dyDescent="0.3">
      <c r="A4890" t="s">
        <v>5017</v>
      </c>
      <c r="B4890" s="1">
        <v>45813</v>
      </c>
      <c r="C4890" t="s">
        <v>74</v>
      </c>
      <c r="D4890">
        <v>23</v>
      </c>
      <c r="E4890" t="s">
        <v>61</v>
      </c>
      <c r="F4890" t="s">
        <v>114</v>
      </c>
      <c r="G4890" t="s">
        <v>110</v>
      </c>
      <c r="H4890" t="s">
        <v>165</v>
      </c>
      <c r="I4890">
        <v>20213</v>
      </c>
      <c r="J4890">
        <v>21834</v>
      </c>
    </row>
    <row r="4891" spans="1:10" x14ac:dyDescent="0.3">
      <c r="A4891" t="s">
        <v>5018</v>
      </c>
      <c r="B4891" s="1">
        <v>45720</v>
      </c>
      <c r="C4891" t="s">
        <v>95</v>
      </c>
      <c r="D4891">
        <v>10</v>
      </c>
      <c r="E4891" t="s">
        <v>33</v>
      </c>
      <c r="F4891" t="s">
        <v>109</v>
      </c>
      <c r="G4891" t="s">
        <v>88</v>
      </c>
      <c r="H4891" t="s">
        <v>157</v>
      </c>
      <c r="I4891">
        <v>30635</v>
      </c>
      <c r="J4891">
        <v>38410</v>
      </c>
    </row>
    <row r="4892" spans="1:10" x14ac:dyDescent="0.3">
      <c r="A4892" t="s">
        <v>5019</v>
      </c>
      <c r="B4892" s="1">
        <v>45715</v>
      </c>
      <c r="C4892" t="s">
        <v>82</v>
      </c>
      <c r="D4892">
        <v>9</v>
      </c>
      <c r="E4892" t="s">
        <v>61</v>
      </c>
      <c r="F4892" t="s">
        <v>50</v>
      </c>
      <c r="G4892" t="s">
        <v>30</v>
      </c>
      <c r="H4892" t="s">
        <v>55</v>
      </c>
      <c r="I4892">
        <v>28379</v>
      </c>
      <c r="J4892">
        <v>22275</v>
      </c>
    </row>
    <row r="4893" spans="1:10" x14ac:dyDescent="0.3">
      <c r="A4893" t="s">
        <v>5020</v>
      </c>
      <c r="B4893" s="1">
        <v>45699</v>
      </c>
      <c r="C4893" t="s">
        <v>82</v>
      </c>
      <c r="D4893">
        <v>7</v>
      </c>
      <c r="E4893" t="s">
        <v>12</v>
      </c>
      <c r="F4893" t="s">
        <v>43</v>
      </c>
      <c r="G4893" t="s">
        <v>102</v>
      </c>
      <c r="H4893" t="s">
        <v>163</v>
      </c>
      <c r="I4893">
        <v>31710</v>
      </c>
      <c r="J4893">
        <v>38983</v>
      </c>
    </row>
    <row r="4894" spans="1:10" x14ac:dyDescent="0.3">
      <c r="A4894" t="s">
        <v>5021</v>
      </c>
      <c r="B4894" s="1">
        <v>45904</v>
      </c>
      <c r="C4894" t="s">
        <v>38</v>
      </c>
      <c r="D4894">
        <v>36</v>
      </c>
      <c r="E4894" t="s">
        <v>39</v>
      </c>
      <c r="F4894" t="s">
        <v>87</v>
      </c>
      <c r="G4894" t="s">
        <v>72</v>
      </c>
      <c r="H4894" t="s">
        <v>123</v>
      </c>
      <c r="I4894">
        <v>37429</v>
      </c>
      <c r="J4894">
        <v>46389</v>
      </c>
    </row>
    <row r="4895" spans="1:10" x14ac:dyDescent="0.3">
      <c r="A4895" t="s">
        <v>5022</v>
      </c>
      <c r="B4895" s="1">
        <v>45869</v>
      </c>
      <c r="C4895" t="s">
        <v>11</v>
      </c>
      <c r="D4895">
        <v>31</v>
      </c>
      <c r="E4895" t="s">
        <v>18</v>
      </c>
      <c r="F4895" t="s">
        <v>50</v>
      </c>
      <c r="G4895" t="s">
        <v>191</v>
      </c>
      <c r="H4895" t="s">
        <v>151</v>
      </c>
      <c r="I4895">
        <v>24101</v>
      </c>
      <c r="J4895">
        <v>27852</v>
      </c>
    </row>
    <row r="4896" spans="1:10" x14ac:dyDescent="0.3">
      <c r="A4896" t="s">
        <v>5023</v>
      </c>
      <c r="B4896" s="1">
        <v>45835</v>
      </c>
      <c r="C4896" t="s">
        <v>74</v>
      </c>
      <c r="D4896">
        <v>26</v>
      </c>
      <c r="E4896" t="s">
        <v>33</v>
      </c>
      <c r="F4896" t="s">
        <v>101</v>
      </c>
      <c r="G4896" t="s">
        <v>40</v>
      </c>
      <c r="H4896" t="s">
        <v>123</v>
      </c>
      <c r="I4896">
        <v>19118</v>
      </c>
      <c r="J4896">
        <v>14190</v>
      </c>
    </row>
    <row r="4897" spans="1:10" x14ac:dyDescent="0.3">
      <c r="A4897" t="s">
        <v>5024</v>
      </c>
      <c r="B4897" s="1">
        <v>45815</v>
      </c>
      <c r="C4897" t="s">
        <v>74</v>
      </c>
      <c r="D4897">
        <v>23</v>
      </c>
      <c r="E4897" t="s">
        <v>70</v>
      </c>
      <c r="F4897" t="s">
        <v>122</v>
      </c>
      <c r="G4897" t="s">
        <v>253</v>
      </c>
      <c r="H4897" t="s">
        <v>243</v>
      </c>
      <c r="I4897">
        <v>34668</v>
      </c>
      <c r="J4897">
        <v>42851</v>
      </c>
    </row>
    <row r="4898" spans="1:10" x14ac:dyDescent="0.3">
      <c r="A4898" t="s">
        <v>5025</v>
      </c>
      <c r="B4898" s="1">
        <v>45722</v>
      </c>
      <c r="C4898" t="s">
        <v>95</v>
      </c>
      <c r="D4898">
        <v>10</v>
      </c>
      <c r="E4898" t="s">
        <v>61</v>
      </c>
      <c r="F4898" t="s">
        <v>29</v>
      </c>
      <c r="G4898" t="s">
        <v>132</v>
      </c>
      <c r="H4898" t="s">
        <v>188</v>
      </c>
      <c r="I4898">
        <v>25734</v>
      </c>
      <c r="J4898">
        <v>19193</v>
      </c>
    </row>
    <row r="4899" spans="1:10" x14ac:dyDescent="0.3">
      <c r="A4899" t="s">
        <v>5026</v>
      </c>
      <c r="B4899" s="1">
        <v>45936</v>
      </c>
      <c r="C4899" t="s">
        <v>66</v>
      </c>
      <c r="D4899">
        <v>41</v>
      </c>
      <c r="E4899" t="s">
        <v>39</v>
      </c>
      <c r="F4899" t="s">
        <v>122</v>
      </c>
      <c r="G4899" t="s">
        <v>149</v>
      </c>
      <c r="H4899" t="s">
        <v>55</v>
      </c>
      <c r="I4899">
        <v>35576</v>
      </c>
      <c r="J4899">
        <v>27727</v>
      </c>
    </row>
    <row r="4900" spans="1:10" x14ac:dyDescent="0.3">
      <c r="A4900" t="s">
        <v>5027</v>
      </c>
      <c r="B4900" s="1">
        <v>45700</v>
      </c>
      <c r="C4900" t="s">
        <v>82</v>
      </c>
      <c r="D4900">
        <v>7</v>
      </c>
      <c r="E4900" t="s">
        <v>12</v>
      </c>
      <c r="F4900" t="s">
        <v>50</v>
      </c>
      <c r="G4900" t="s">
        <v>88</v>
      </c>
      <c r="H4900" t="s">
        <v>27</v>
      </c>
      <c r="I4900">
        <v>18784</v>
      </c>
      <c r="J4900">
        <v>21233</v>
      </c>
    </row>
    <row r="4901" spans="1:10" x14ac:dyDescent="0.3">
      <c r="A4901" t="s">
        <v>5028</v>
      </c>
      <c r="B4901" s="1">
        <v>45731</v>
      </c>
      <c r="C4901" t="s">
        <v>95</v>
      </c>
      <c r="D4901">
        <v>11</v>
      </c>
      <c r="E4901" t="s">
        <v>70</v>
      </c>
      <c r="F4901" t="s">
        <v>92</v>
      </c>
      <c r="G4901" t="s">
        <v>291</v>
      </c>
      <c r="H4901" t="s">
        <v>52</v>
      </c>
      <c r="I4901">
        <v>28667</v>
      </c>
      <c r="J4901">
        <v>36262</v>
      </c>
    </row>
    <row r="4902" spans="1:10" x14ac:dyDescent="0.3">
      <c r="A4902" t="s">
        <v>5029</v>
      </c>
      <c r="B4902" s="1">
        <v>45870</v>
      </c>
      <c r="C4902" t="s">
        <v>113</v>
      </c>
      <c r="D4902">
        <v>31</v>
      </c>
      <c r="E4902" t="s">
        <v>61</v>
      </c>
      <c r="F4902" t="s">
        <v>62</v>
      </c>
      <c r="G4902" t="s">
        <v>141</v>
      </c>
      <c r="H4902" t="s">
        <v>52</v>
      </c>
      <c r="I4902">
        <v>35702</v>
      </c>
      <c r="J4902">
        <v>45973</v>
      </c>
    </row>
    <row r="4903" spans="1:10" x14ac:dyDescent="0.3">
      <c r="A4903" t="s">
        <v>5030</v>
      </c>
      <c r="B4903" s="1">
        <v>45703</v>
      </c>
      <c r="C4903" t="s">
        <v>82</v>
      </c>
      <c r="D4903">
        <v>7</v>
      </c>
      <c r="E4903" t="s">
        <v>61</v>
      </c>
      <c r="F4903" t="s">
        <v>50</v>
      </c>
      <c r="G4903" t="s">
        <v>149</v>
      </c>
      <c r="H4903" t="s">
        <v>52</v>
      </c>
      <c r="I4903">
        <v>22973</v>
      </c>
      <c r="J4903">
        <v>27780</v>
      </c>
    </row>
    <row r="4904" spans="1:10" x14ac:dyDescent="0.3">
      <c r="A4904" t="s">
        <v>5031</v>
      </c>
      <c r="B4904" s="1">
        <v>45897</v>
      </c>
      <c r="C4904" t="s">
        <v>113</v>
      </c>
      <c r="D4904">
        <v>35</v>
      </c>
      <c r="E4904" t="s">
        <v>24</v>
      </c>
      <c r="F4904" t="s">
        <v>109</v>
      </c>
      <c r="G4904" t="s">
        <v>44</v>
      </c>
      <c r="H4904" t="s">
        <v>55</v>
      </c>
      <c r="I4904">
        <v>31015</v>
      </c>
      <c r="J4904">
        <v>24154</v>
      </c>
    </row>
    <row r="4905" spans="1:10" x14ac:dyDescent="0.3">
      <c r="A4905" t="s">
        <v>5032</v>
      </c>
      <c r="B4905" s="1">
        <v>45928</v>
      </c>
      <c r="C4905" t="s">
        <v>38</v>
      </c>
      <c r="D4905">
        <v>39</v>
      </c>
      <c r="E4905" t="s">
        <v>24</v>
      </c>
      <c r="F4905" t="s">
        <v>114</v>
      </c>
      <c r="G4905" t="s">
        <v>234</v>
      </c>
      <c r="H4905" t="s">
        <v>48</v>
      </c>
      <c r="I4905">
        <v>19557</v>
      </c>
      <c r="J4905">
        <v>18441</v>
      </c>
    </row>
    <row r="4906" spans="1:10" x14ac:dyDescent="0.3">
      <c r="A4906" t="s">
        <v>5033</v>
      </c>
      <c r="B4906" s="1">
        <v>45809</v>
      </c>
      <c r="C4906" t="s">
        <v>74</v>
      </c>
      <c r="D4906">
        <v>22</v>
      </c>
      <c r="E4906" t="s">
        <v>39</v>
      </c>
      <c r="F4906" t="s">
        <v>75</v>
      </c>
      <c r="G4906" t="s">
        <v>83</v>
      </c>
      <c r="H4906" t="s">
        <v>84</v>
      </c>
      <c r="I4906">
        <v>35884</v>
      </c>
      <c r="J4906">
        <v>46501</v>
      </c>
    </row>
    <row r="4907" spans="1:10" x14ac:dyDescent="0.3">
      <c r="A4907" t="s">
        <v>5034</v>
      </c>
      <c r="B4907" s="1">
        <v>45849</v>
      </c>
      <c r="C4907" t="s">
        <v>11</v>
      </c>
      <c r="D4907">
        <v>28</v>
      </c>
      <c r="E4907" t="s">
        <v>33</v>
      </c>
      <c r="F4907" t="s">
        <v>46</v>
      </c>
      <c r="G4907" t="s">
        <v>230</v>
      </c>
      <c r="H4907" t="s">
        <v>48</v>
      </c>
      <c r="I4907">
        <v>26485</v>
      </c>
      <c r="J4907">
        <v>31296</v>
      </c>
    </row>
    <row r="4908" spans="1:10" x14ac:dyDescent="0.3">
      <c r="A4908" t="s">
        <v>5035</v>
      </c>
      <c r="B4908" s="1">
        <v>45896</v>
      </c>
      <c r="C4908" t="s">
        <v>113</v>
      </c>
      <c r="D4908">
        <v>35</v>
      </c>
      <c r="E4908" t="s">
        <v>24</v>
      </c>
      <c r="F4908" t="s">
        <v>46</v>
      </c>
      <c r="G4908" t="s">
        <v>326</v>
      </c>
      <c r="H4908" t="s">
        <v>157</v>
      </c>
      <c r="I4908">
        <v>34928</v>
      </c>
      <c r="J4908">
        <v>36137</v>
      </c>
    </row>
    <row r="4909" spans="1:10" x14ac:dyDescent="0.3">
      <c r="A4909" t="s">
        <v>5036</v>
      </c>
      <c r="B4909" s="1">
        <v>45846</v>
      </c>
      <c r="C4909" t="s">
        <v>11</v>
      </c>
      <c r="D4909">
        <v>28</v>
      </c>
      <c r="E4909" t="s">
        <v>24</v>
      </c>
      <c r="F4909" t="s">
        <v>62</v>
      </c>
      <c r="G4909" t="s">
        <v>141</v>
      </c>
      <c r="H4909" t="s">
        <v>123</v>
      </c>
      <c r="I4909">
        <v>24343</v>
      </c>
      <c r="J4909">
        <v>18171</v>
      </c>
    </row>
    <row r="4910" spans="1:10" x14ac:dyDescent="0.3">
      <c r="A4910" t="s">
        <v>5037</v>
      </c>
      <c r="B4910" s="1">
        <v>45896</v>
      </c>
      <c r="C4910" t="s">
        <v>113</v>
      </c>
      <c r="D4910">
        <v>35</v>
      </c>
      <c r="E4910" t="s">
        <v>39</v>
      </c>
      <c r="F4910" t="s">
        <v>62</v>
      </c>
      <c r="G4910" t="s">
        <v>326</v>
      </c>
      <c r="H4910" t="s">
        <v>84</v>
      </c>
      <c r="I4910">
        <v>33001</v>
      </c>
      <c r="J4910">
        <v>33814</v>
      </c>
    </row>
    <row r="4911" spans="1:10" x14ac:dyDescent="0.3">
      <c r="A4911" t="s">
        <v>5038</v>
      </c>
      <c r="B4911" s="1">
        <v>45817</v>
      </c>
      <c r="C4911" t="s">
        <v>74</v>
      </c>
      <c r="D4911">
        <v>24</v>
      </c>
      <c r="E4911" t="s">
        <v>70</v>
      </c>
      <c r="F4911" t="s">
        <v>25</v>
      </c>
      <c r="G4911" t="s">
        <v>160</v>
      </c>
      <c r="H4911" t="s">
        <v>21</v>
      </c>
      <c r="I4911">
        <v>26063</v>
      </c>
      <c r="J4911">
        <v>29464</v>
      </c>
    </row>
    <row r="4912" spans="1:10" x14ac:dyDescent="0.3">
      <c r="A4912" t="s">
        <v>5039</v>
      </c>
      <c r="B4912" s="1">
        <v>45893</v>
      </c>
      <c r="C4912" t="s">
        <v>113</v>
      </c>
      <c r="D4912">
        <v>34</v>
      </c>
      <c r="E4912" t="s">
        <v>39</v>
      </c>
      <c r="F4912" t="s">
        <v>34</v>
      </c>
      <c r="G4912" t="s">
        <v>93</v>
      </c>
      <c r="H4912" t="s">
        <v>96</v>
      </c>
      <c r="I4912">
        <v>39408</v>
      </c>
      <c r="J4912">
        <v>42667</v>
      </c>
    </row>
    <row r="4913" spans="1:10" x14ac:dyDescent="0.3">
      <c r="A4913" t="s">
        <v>5040</v>
      </c>
      <c r="B4913" s="1">
        <v>45733</v>
      </c>
      <c r="C4913" t="s">
        <v>95</v>
      </c>
      <c r="D4913">
        <v>12</v>
      </c>
      <c r="E4913" t="s">
        <v>70</v>
      </c>
      <c r="F4913" t="s">
        <v>92</v>
      </c>
      <c r="G4913" t="s">
        <v>14</v>
      </c>
      <c r="H4913" t="s">
        <v>96</v>
      </c>
      <c r="I4913">
        <v>31109</v>
      </c>
      <c r="J4913">
        <v>38738</v>
      </c>
    </row>
    <row r="4914" spans="1:10" x14ac:dyDescent="0.3">
      <c r="A4914" t="s">
        <v>5041</v>
      </c>
      <c r="B4914" s="1">
        <v>45938</v>
      </c>
      <c r="C4914" t="s">
        <v>66</v>
      </c>
      <c r="D4914">
        <v>41</v>
      </c>
      <c r="E4914" t="s">
        <v>18</v>
      </c>
      <c r="F4914" t="s">
        <v>13</v>
      </c>
      <c r="G4914" t="s">
        <v>102</v>
      </c>
      <c r="H4914" t="s">
        <v>21</v>
      </c>
      <c r="I4914">
        <v>16246</v>
      </c>
      <c r="J4914">
        <v>19492</v>
      </c>
    </row>
    <row r="4915" spans="1:10" x14ac:dyDescent="0.3">
      <c r="A4915" t="s">
        <v>5042</v>
      </c>
      <c r="B4915" s="1">
        <v>45838</v>
      </c>
      <c r="C4915" t="s">
        <v>74</v>
      </c>
      <c r="D4915">
        <v>27</v>
      </c>
      <c r="E4915" t="s">
        <v>18</v>
      </c>
      <c r="F4915" t="s">
        <v>75</v>
      </c>
      <c r="G4915" t="s">
        <v>54</v>
      </c>
      <c r="H4915" t="s">
        <v>163</v>
      </c>
      <c r="I4915">
        <v>25057</v>
      </c>
      <c r="J4915">
        <v>31440</v>
      </c>
    </row>
    <row r="4916" spans="1:10" x14ac:dyDescent="0.3">
      <c r="A4916" t="s">
        <v>5043</v>
      </c>
      <c r="B4916" s="1">
        <v>45863</v>
      </c>
      <c r="C4916" t="s">
        <v>11</v>
      </c>
      <c r="D4916">
        <v>30</v>
      </c>
      <c r="E4916" t="s">
        <v>33</v>
      </c>
      <c r="F4916" t="s">
        <v>101</v>
      </c>
      <c r="G4916" t="s">
        <v>67</v>
      </c>
      <c r="H4916" t="s">
        <v>163</v>
      </c>
      <c r="I4916">
        <v>17612</v>
      </c>
      <c r="J4916">
        <v>22673</v>
      </c>
    </row>
    <row r="4917" spans="1:10" x14ac:dyDescent="0.3">
      <c r="A4917" t="s">
        <v>5044</v>
      </c>
      <c r="B4917" s="1">
        <v>45736</v>
      </c>
      <c r="C4917" t="s">
        <v>95</v>
      </c>
      <c r="D4917">
        <v>12</v>
      </c>
      <c r="E4917" t="s">
        <v>33</v>
      </c>
      <c r="F4917" t="s">
        <v>50</v>
      </c>
      <c r="G4917" t="s">
        <v>253</v>
      </c>
      <c r="H4917" t="s">
        <v>80</v>
      </c>
      <c r="I4917">
        <v>26173</v>
      </c>
      <c r="J4917">
        <v>27722</v>
      </c>
    </row>
    <row r="4918" spans="1:10" x14ac:dyDescent="0.3">
      <c r="A4918" t="s">
        <v>5045</v>
      </c>
      <c r="B4918" s="1">
        <v>45820</v>
      </c>
      <c r="C4918" t="s">
        <v>74</v>
      </c>
      <c r="D4918">
        <v>24</v>
      </c>
      <c r="E4918" t="s">
        <v>18</v>
      </c>
      <c r="F4918" t="s">
        <v>92</v>
      </c>
      <c r="G4918" t="s">
        <v>118</v>
      </c>
      <c r="H4918" t="s">
        <v>80</v>
      </c>
      <c r="I4918">
        <v>37580</v>
      </c>
      <c r="J4918">
        <v>33002</v>
      </c>
    </row>
    <row r="4919" spans="1:10" x14ac:dyDescent="0.3">
      <c r="A4919" t="s">
        <v>5046</v>
      </c>
      <c r="B4919" s="1">
        <v>45720</v>
      </c>
      <c r="C4919" t="s">
        <v>95</v>
      </c>
      <c r="D4919">
        <v>10</v>
      </c>
      <c r="E4919" t="s">
        <v>61</v>
      </c>
      <c r="F4919" t="s">
        <v>19</v>
      </c>
      <c r="G4919" t="s">
        <v>160</v>
      </c>
      <c r="H4919" t="s">
        <v>68</v>
      </c>
      <c r="I4919">
        <v>35300</v>
      </c>
      <c r="J4919">
        <v>43629</v>
      </c>
    </row>
    <row r="4920" spans="1:10" x14ac:dyDescent="0.3">
      <c r="A4920" t="s">
        <v>5047</v>
      </c>
      <c r="B4920" s="1">
        <v>45988</v>
      </c>
      <c r="C4920" t="s">
        <v>23</v>
      </c>
      <c r="D4920">
        <v>48</v>
      </c>
      <c r="E4920" t="s">
        <v>39</v>
      </c>
      <c r="F4920" t="s">
        <v>62</v>
      </c>
      <c r="G4920" t="s">
        <v>107</v>
      </c>
      <c r="H4920" t="s">
        <v>80</v>
      </c>
      <c r="I4920">
        <v>25838</v>
      </c>
      <c r="J4920">
        <v>24871</v>
      </c>
    </row>
    <row r="4921" spans="1:10" x14ac:dyDescent="0.3">
      <c r="A4921" t="s">
        <v>5048</v>
      </c>
      <c r="B4921" s="1">
        <v>45924</v>
      </c>
      <c r="C4921" t="s">
        <v>38</v>
      </c>
      <c r="D4921">
        <v>39</v>
      </c>
      <c r="E4921" t="s">
        <v>24</v>
      </c>
      <c r="F4921" t="s">
        <v>13</v>
      </c>
      <c r="G4921" t="s">
        <v>253</v>
      </c>
      <c r="H4921" t="s">
        <v>103</v>
      </c>
      <c r="I4921">
        <v>33708</v>
      </c>
      <c r="J4921">
        <v>40256</v>
      </c>
    </row>
    <row r="4922" spans="1:10" x14ac:dyDescent="0.3">
      <c r="A4922" t="s">
        <v>5049</v>
      </c>
      <c r="B4922" s="1">
        <v>45911</v>
      </c>
      <c r="C4922" t="s">
        <v>38</v>
      </c>
      <c r="D4922">
        <v>37</v>
      </c>
      <c r="E4922" t="s">
        <v>61</v>
      </c>
      <c r="F4922" t="s">
        <v>13</v>
      </c>
      <c r="G4922" t="s">
        <v>128</v>
      </c>
      <c r="H4922" t="s">
        <v>80</v>
      </c>
      <c r="I4922">
        <v>18489</v>
      </c>
      <c r="J4922">
        <v>20789</v>
      </c>
    </row>
    <row r="4923" spans="1:10" x14ac:dyDescent="0.3">
      <c r="A4923" t="s">
        <v>5050</v>
      </c>
      <c r="B4923" s="1">
        <v>45718</v>
      </c>
      <c r="C4923" t="s">
        <v>95</v>
      </c>
      <c r="D4923">
        <v>9</v>
      </c>
      <c r="E4923" t="s">
        <v>33</v>
      </c>
      <c r="F4923" t="s">
        <v>122</v>
      </c>
      <c r="G4923" t="s">
        <v>141</v>
      </c>
      <c r="H4923" t="s">
        <v>188</v>
      </c>
      <c r="I4923">
        <v>24553</v>
      </c>
      <c r="J4923">
        <v>31815</v>
      </c>
    </row>
    <row r="4924" spans="1:10" x14ac:dyDescent="0.3">
      <c r="A4924" t="s">
        <v>5051</v>
      </c>
      <c r="B4924" s="1">
        <v>45705</v>
      </c>
      <c r="C4924" t="s">
        <v>82</v>
      </c>
      <c r="D4924">
        <v>8</v>
      </c>
      <c r="E4924" t="s">
        <v>18</v>
      </c>
      <c r="F4924" t="s">
        <v>101</v>
      </c>
      <c r="G4924" t="s">
        <v>130</v>
      </c>
      <c r="H4924" t="s">
        <v>133</v>
      </c>
      <c r="I4924">
        <v>34299</v>
      </c>
      <c r="J4924">
        <v>34591</v>
      </c>
    </row>
    <row r="4925" spans="1:10" x14ac:dyDescent="0.3">
      <c r="A4925" t="s">
        <v>5052</v>
      </c>
      <c r="B4925" s="1">
        <v>45959</v>
      </c>
      <c r="C4925" t="s">
        <v>66</v>
      </c>
      <c r="D4925">
        <v>44</v>
      </c>
      <c r="E4925" t="s">
        <v>18</v>
      </c>
      <c r="F4925" t="s">
        <v>109</v>
      </c>
      <c r="G4925" t="s">
        <v>201</v>
      </c>
      <c r="H4925" t="s">
        <v>211</v>
      </c>
      <c r="I4925">
        <v>23846</v>
      </c>
      <c r="J4925">
        <v>27131</v>
      </c>
    </row>
    <row r="4926" spans="1:10" x14ac:dyDescent="0.3">
      <c r="A4926" t="s">
        <v>5053</v>
      </c>
      <c r="B4926" s="1">
        <v>45738</v>
      </c>
      <c r="C4926" t="s">
        <v>95</v>
      </c>
      <c r="D4926">
        <v>12</v>
      </c>
      <c r="E4926" t="s">
        <v>70</v>
      </c>
      <c r="F4926" t="s">
        <v>62</v>
      </c>
      <c r="G4926" t="s">
        <v>58</v>
      </c>
      <c r="H4926" t="s">
        <v>111</v>
      </c>
      <c r="I4926">
        <v>24945</v>
      </c>
      <c r="J4926">
        <v>26561</v>
      </c>
    </row>
    <row r="4927" spans="1:10" x14ac:dyDescent="0.3">
      <c r="A4927" t="s">
        <v>5054</v>
      </c>
      <c r="B4927" s="1">
        <v>45837</v>
      </c>
      <c r="C4927" t="s">
        <v>74</v>
      </c>
      <c r="D4927">
        <v>26</v>
      </c>
      <c r="E4927" t="s">
        <v>61</v>
      </c>
      <c r="F4927" t="s">
        <v>50</v>
      </c>
      <c r="G4927" t="s">
        <v>93</v>
      </c>
      <c r="H4927" t="s">
        <v>27</v>
      </c>
      <c r="I4927">
        <v>25109</v>
      </c>
      <c r="J4927">
        <v>30215</v>
      </c>
    </row>
    <row r="4928" spans="1:10" x14ac:dyDescent="0.3">
      <c r="A4928" t="s">
        <v>5055</v>
      </c>
      <c r="B4928" s="1">
        <v>45717</v>
      </c>
      <c r="C4928" t="s">
        <v>95</v>
      </c>
      <c r="D4928">
        <v>9</v>
      </c>
      <c r="E4928" t="s">
        <v>12</v>
      </c>
      <c r="F4928" t="s">
        <v>101</v>
      </c>
      <c r="G4928" t="s">
        <v>58</v>
      </c>
      <c r="H4928" t="s">
        <v>155</v>
      </c>
      <c r="I4928">
        <v>30533</v>
      </c>
      <c r="J4928">
        <v>24444</v>
      </c>
    </row>
    <row r="4929" spans="1:10" x14ac:dyDescent="0.3">
      <c r="A4929" t="s">
        <v>5056</v>
      </c>
      <c r="B4929" s="1">
        <v>45914</v>
      </c>
      <c r="C4929" t="s">
        <v>38</v>
      </c>
      <c r="D4929">
        <v>37</v>
      </c>
      <c r="E4929" t="s">
        <v>39</v>
      </c>
      <c r="F4929" t="s">
        <v>109</v>
      </c>
      <c r="G4929" t="s">
        <v>14</v>
      </c>
      <c r="H4929" t="s">
        <v>64</v>
      </c>
      <c r="I4929">
        <v>39186</v>
      </c>
      <c r="J4929">
        <v>30228</v>
      </c>
    </row>
    <row r="4930" spans="1:10" x14ac:dyDescent="0.3">
      <c r="A4930" t="s">
        <v>5057</v>
      </c>
      <c r="B4930" s="1">
        <v>45826</v>
      </c>
      <c r="C4930" t="s">
        <v>74</v>
      </c>
      <c r="D4930">
        <v>25</v>
      </c>
      <c r="E4930" t="s">
        <v>61</v>
      </c>
      <c r="F4930" t="s">
        <v>114</v>
      </c>
      <c r="G4930" t="s">
        <v>149</v>
      </c>
      <c r="H4930" t="s">
        <v>188</v>
      </c>
      <c r="I4930">
        <v>35110</v>
      </c>
      <c r="J4930">
        <v>42803</v>
      </c>
    </row>
    <row r="4931" spans="1:10" x14ac:dyDescent="0.3">
      <c r="A4931" t="s">
        <v>5058</v>
      </c>
      <c r="B4931" s="1">
        <v>45892</v>
      </c>
      <c r="C4931" t="s">
        <v>113</v>
      </c>
      <c r="D4931">
        <v>34</v>
      </c>
      <c r="E4931" t="s">
        <v>70</v>
      </c>
      <c r="F4931" t="s">
        <v>13</v>
      </c>
      <c r="G4931" t="s">
        <v>145</v>
      </c>
      <c r="H4931" t="s">
        <v>188</v>
      </c>
      <c r="I4931">
        <v>34374</v>
      </c>
      <c r="J4931">
        <v>28121</v>
      </c>
    </row>
    <row r="4932" spans="1:10" x14ac:dyDescent="0.3">
      <c r="A4932" t="s">
        <v>5059</v>
      </c>
      <c r="B4932" s="1">
        <v>45813</v>
      </c>
      <c r="C4932" t="s">
        <v>74</v>
      </c>
      <c r="D4932">
        <v>23</v>
      </c>
      <c r="E4932" t="s">
        <v>18</v>
      </c>
      <c r="F4932" t="s">
        <v>19</v>
      </c>
      <c r="G4932" t="s">
        <v>58</v>
      </c>
      <c r="H4932" t="s">
        <v>52</v>
      </c>
      <c r="I4932">
        <v>29601</v>
      </c>
      <c r="J4932">
        <v>27103</v>
      </c>
    </row>
    <row r="4933" spans="1:10" x14ac:dyDescent="0.3">
      <c r="A4933" t="s">
        <v>5060</v>
      </c>
      <c r="B4933" s="1">
        <v>45943</v>
      </c>
      <c r="C4933" t="s">
        <v>66</v>
      </c>
      <c r="D4933">
        <v>42</v>
      </c>
      <c r="E4933" t="s">
        <v>33</v>
      </c>
      <c r="F4933" t="s">
        <v>78</v>
      </c>
      <c r="G4933" t="s">
        <v>93</v>
      </c>
      <c r="H4933" t="s">
        <v>103</v>
      </c>
      <c r="I4933">
        <v>37065</v>
      </c>
      <c r="J4933">
        <v>32477</v>
      </c>
    </row>
    <row r="4934" spans="1:10" x14ac:dyDescent="0.3">
      <c r="A4934" t="s">
        <v>5061</v>
      </c>
      <c r="B4934" s="1">
        <v>45692</v>
      </c>
      <c r="C4934" t="s">
        <v>82</v>
      </c>
      <c r="D4934">
        <v>6</v>
      </c>
      <c r="E4934" t="s">
        <v>18</v>
      </c>
      <c r="F4934" t="s">
        <v>13</v>
      </c>
      <c r="G4934" t="s">
        <v>326</v>
      </c>
      <c r="H4934" t="s">
        <v>111</v>
      </c>
      <c r="I4934">
        <v>33125</v>
      </c>
      <c r="J4934">
        <v>25518</v>
      </c>
    </row>
    <row r="4935" spans="1:10" x14ac:dyDescent="0.3">
      <c r="A4935" t="s">
        <v>5062</v>
      </c>
      <c r="B4935" s="1">
        <v>45683</v>
      </c>
      <c r="C4935" t="s">
        <v>17</v>
      </c>
      <c r="D4935">
        <v>4</v>
      </c>
      <c r="E4935" t="s">
        <v>18</v>
      </c>
      <c r="F4935" t="s">
        <v>29</v>
      </c>
      <c r="G4935" t="s">
        <v>58</v>
      </c>
      <c r="H4935" t="s">
        <v>68</v>
      </c>
      <c r="I4935">
        <v>34408</v>
      </c>
      <c r="J4935">
        <v>42225</v>
      </c>
    </row>
    <row r="4936" spans="1:10" x14ac:dyDescent="0.3">
      <c r="A4936" t="s">
        <v>5063</v>
      </c>
      <c r="B4936" s="1">
        <v>45693</v>
      </c>
      <c r="C4936" t="s">
        <v>82</v>
      </c>
      <c r="D4936">
        <v>6</v>
      </c>
      <c r="E4936" t="s">
        <v>24</v>
      </c>
      <c r="F4936" t="s">
        <v>122</v>
      </c>
      <c r="G4936" t="s">
        <v>115</v>
      </c>
      <c r="H4936" t="s">
        <v>52</v>
      </c>
      <c r="I4936">
        <v>39333</v>
      </c>
      <c r="J4936">
        <v>38091</v>
      </c>
    </row>
    <row r="4937" spans="1:10" x14ac:dyDescent="0.3">
      <c r="A4937" t="s">
        <v>5064</v>
      </c>
      <c r="B4937" s="1">
        <v>45681</v>
      </c>
      <c r="C4937" t="s">
        <v>17</v>
      </c>
      <c r="D4937">
        <v>4</v>
      </c>
      <c r="E4937" t="s">
        <v>39</v>
      </c>
      <c r="F4937" t="s">
        <v>34</v>
      </c>
      <c r="G4937" t="s">
        <v>324</v>
      </c>
      <c r="H4937" t="s">
        <v>188</v>
      </c>
      <c r="I4937">
        <v>29167</v>
      </c>
      <c r="J4937">
        <v>21280</v>
      </c>
    </row>
    <row r="4938" spans="1:10" x14ac:dyDescent="0.3">
      <c r="A4938" t="s">
        <v>5065</v>
      </c>
      <c r="B4938" s="1">
        <v>45885</v>
      </c>
      <c r="C4938" t="s">
        <v>113</v>
      </c>
      <c r="D4938">
        <v>33</v>
      </c>
      <c r="E4938" t="s">
        <v>70</v>
      </c>
      <c r="F4938" t="s">
        <v>34</v>
      </c>
      <c r="G4938" t="s">
        <v>130</v>
      </c>
      <c r="H4938" t="s">
        <v>98</v>
      </c>
      <c r="I4938">
        <v>34698</v>
      </c>
      <c r="J4938">
        <v>29800</v>
      </c>
    </row>
    <row r="4939" spans="1:10" x14ac:dyDescent="0.3">
      <c r="A4939" t="s">
        <v>5066</v>
      </c>
      <c r="B4939" s="1">
        <v>45718</v>
      </c>
      <c r="C4939" t="s">
        <v>95</v>
      </c>
      <c r="D4939">
        <v>9</v>
      </c>
      <c r="E4939" t="s">
        <v>61</v>
      </c>
      <c r="F4939" t="s">
        <v>109</v>
      </c>
      <c r="G4939" t="s">
        <v>110</v>
      </c>
      <c r="H4939" t="s">
        <v>155</v>
      </c>
      <c r="I4939">
        <v>31013</v>
      </c>
      <c r="J4939">
        <v>39293</v>
      </c>
    </row>
    <row r="4940" spans="1:10" x14ac:dyDescent="0.3">
      <c r="A4940" t="s">
        <v>5067</v>
      </c>
      <c r="B4940" s="1">
        <v>45776</v>
      </c>
      <c r="C4940" t="s">
        <v>86</v>
      </c>
      <c r="D4940">
        <v>18</v>
      </c>
      <c r="E4940" t="s">
        <v>61</v>
      </c>
      <c r="F4940" t="s">
        <v>46</v>
      </c>
      <c r="G4940" t="s">
        <v>291</v>
      </c>
      <c r="H4940" t="s">
        <v>96</v>
      </c>
      <c r="I4940">
        <v>16907</v>
      </c>
      <c r="J4940">
        <v>19119</v>
      </c>
    </row>
    <row r="4941" spans="1:10" x14ac:dyDescent="0.3">
      <c r="A4941" t="s">
        <v>5068</v>
      </c>
      <c r="B4941" s="1">
        <v>46004</v>
      </c>
      <c r="C4941" t="s">
        <v>100</v>
      </c>
      <c r="D4941">
        <v>50</v>
      </c>
      <c r="E4941" t="s">
        <v>33</v>
      </c>
      <c r="F4941" t="s">
        <v>122</v>
      </c>
      <c r="G4941" t="s">
        <v>20</v>
      </c>
      <c r="H4941" t="s">
        <v>243</v>
      </c>
      <c r="I4941">
        <v>25545</v>
      </c>
      <c r="J4941">
        <v>29279</v>
      </c>
    </row>
    <row r="4942" spans="1:10" x14ac:dyDescent="0.3">
      <c r="A4942" t="s">
        <v>5069</v>
      </c>
      <c r="B4942" s="1">
        <v>45969</v>
      </c>
      <c r="C4942" t="s">
        <v>23</v>
      </c>
      <c r="D4942">
        <v>45</v>
      </c>
      <c r="E4942" t="s">
        <v>33</v>
      </c>
      <c r="F4942" t="s">
        <v>46</v>
      </c>
      <c r="G4942" t="s">
        <v>149</v>
      </c>
      <c r="H4942" t="s">
        <v>165</v>
      </c>
      <c r="I4942">
        <v>38978</v>
      </c>
      <c r="J4942">
        <v>44062</v>
      </c>
    </row>
    <row r="4943" spans="1:10" x14ac:dyDescent="0.3">
      <c r="A4943" t="s">
        <v>5070</v>
      </c>
      <c r="B4943" s="1">
        <v>45684</v>
      </c>
      <c r="C4943" t="s">
        <v>17</v>
      </c>
      <c r="D4943">
        <v>5</v>
      </c>
      <c r="E4943" t="s">
        <v>33</v>
      </c>
      <c r="F4943" t="s">
        <v>19</v>
      </c>
      <c r="G4943" t="s">
        <v>147</v>
      </c>
      <c r="H4943" t="s">
        <v>98</v>
      </c>
      <c r="I4943">
        <v>30831</v>
      </c>
      <c r="J4943">
        <v>25965</v>
      </c>
    </row>
    <row r="4944" spans="1:10" x14ac:dyDescent="0.3">
      <c r="A4944" t="s">
        <v>5071</v>
      </c>
      <c r="B4944" s="1">
        <v>45862</v>
      </c>
      <c r="C4944" t="s">
        <v>11</v>
      </c>
      <c r="D4944">
        <v>30</v>
      </c>
      <c r="E4944" t="s">
        <v>61</v>
      </c>
      <c r="F4944" t="s">
        <v>46</v>
      </c>
      <c r="G4944" t="s">
        <v>206</v>
      </c>
      <c r="H4944" t="s">
        <v>163</v>
      </c>
      <c r="I4944">
        <v>20382</v>
      </c>
      <c r="J4944">
        <v>20259</v>
      </c>
    </row>
    <row r="4945" spans="1:10" x14ac:dyDescent="0.3">
      <c r="A4945" t="s">
        <v>5072</v>
      </c>
      <c r="B4945" s="1">
        <v>45965</v>
      </c>
      <c r="C4945" t="s">
        <v>23</v>
      </c>
      <c r="D4945">
        <v>45</v>
      </c>
      <c r="E4945" t="s">
        <v>39</v>
      </c>
      <c r="F4945" t="s">
        <v>29</v>
      </c>
      <c r="G4945" t="s">
        <v>40</v>
      </c>
      <c r="H4945" t="s">
        <v>31</v>
      </c>
      <c r="I4945">
        <v>29287</v>
      </c>
      <c r="J4945">
        <v>30070</v>
      </c>
    </row>
    <row r="4946" spans="1:10" x14ac:dyDescent="0.3">
      <c r="A4946" t="s">
        <v>5073</v>
      </c>
      <c r="B4946" s="1">
        <v>45794</v>
      </c>
      <c r="C4946" t="s">
        <v>90</v>
      </c>
      <c r="D4946">
        <v>20</v>
      </c>
      <c r="E4946" t="s">
        <v>61</v>
      </c>
      <c r="F4946" t="s">
        <v>140</v>
      </c>
      <c r="G4946" t="s">
        <v>182</v>
      </c>
      <c r="H4946" t="s">
        <v>133</v>
      </c>
      <c r="I4946">
        <v>17455</v>
      </c>
      <c r="J4946">
        <v>16908</v>
      </c>
    </row>
    <row r="4947" spans="1:10" x14ac:dyDescent="0.3">
      <c r="A4947" t="s">
        <v>5074</v>
      </c>
      <c r="B4947" s="1">
        <v>45660</v>
      </c>
      <c r="C4947" t="s">
        <v>17</v>
      </c>
      <c r="D4947">
        <v>1</v>
      </c>
      <c r="E4947" t="s">
        <v>61</v>
      </c>
      <c r="F4947" t="s">
        <v>78</v>
      </c>
      <c r="G4947" t="s">
        <v>72</v>
      </c>
      <c r="H4947" t="s">
        <v>96</v>
      </c>
      <c r="I4947">
        <v>26460</v>
      </c>
      <c r="J4947">
        <v>28369</v>
      </c>
    </row>
    <row r="4948" spans="1:10" x14ac:dyDescent="0.3">
      <c r="A4948" t="s">
        <v>5075</v>
      </c>
      <c r="B4948" s="1">
        <v>45795</v>
      </c>
      <c r="C4948" t="s">
        <v>90</v>
      </c>
      <c r="D4948">
        <v>20</v>
      </c>
      <c r="E4948" t="s">
        <v>24</v>
      </c>
      <c r="F4948" t="s">
        <v>19</v>
      </c>
      <c r="G4948" t="s">
        <v>137</v>
      </c>
      <c r="H4948" t="s">
        <v>36</v>
      </c>
      <c r="I4948">
        <v>27244</v>
      </c>
      <c r="J4948">
        <v>30049</v>
      </c>
    </row>
    <row r="4949" spans="1:10" x14ac:dyDescent="0.3">
      <c r="A4949" t="s">
        <v>5076</v>
      </c>
      <c r="B4949" s="1">
        <v>45917</v>
      </c>
      <c r="C4949" t="s">
        <v>38</v>
      </c>
      <c r="D4949">
        <v>38</v>
      </c>
      <c r="E4949" t="s">
        <v>12</v>
      </c>
      <c r="F4949" t="s">
        <v>193</v>
      </c>
      <c r="G4949" t="s">
        <v>40</v>
      </c>
      <c r="H4949" t="s">
        <v>116</v>
      </c>
      <c r="I4949">
        <v>23897</v>
      </c>
      <c r="J4949">
        <v>19526</v>
      </c>
    </row>
    <row r="4950" spans="1:10" x14ac:dyDescent="0.3">
      <c r="A4950" t="s">
        <v>5077</v>
      </c>
      <c r="B4950" s="1">
        <v>45814</v>
      </c>
      <c r="C4950" t="s">
        <v>74</v>
      </c>
      <c r="D4950">
        <v>23</v>
      </c>
      <c r="E4950" t="s">
        <v>39</v>
      </c>
      <c r="F4950" t="s">
        <v>46</v>
      </c>
      <c r="G4950" t="s">
        <v>20</v>
      </c>
      <c r="H4950" t="s">
        <v>36</v>
      </c>
      <c r="I4950">
        <v>27562</v>
      </c>
      <c r="J4950">
        <v>35758</v>
      </c>
    </row>
    <row r="4951" spans="1:10" x14ac:dyDescent="0.3">
      <c r="A4951" t="s">
        <v>5078</v>
      </c>
      <c r="B4951" s="1">
        <v>45919</v>
      </c>
      <c r="C4951" t="s">
        <v>38</v>
      </c>
      <c r="D4951">
        <v>38</v>
      </c>
      <c r="E4951" t="s">
        <v>33</v>
      </c>
      <c r="F4951" t="s">
        <v>114</v>
      </c>
      <c r="G4951" t="s">
        <v>230</v>
      </c>
      <c r="H4951" t="s">
        <v>52</v>
      </c>
      <c r="I4951">
        <v>22709</v>
      </c>
      <c r="J4951">
        <v>20756</v>
      </c>
    </row>
    <row r="4952" spans="1:10" x14ac:dyDescent="0.3">
      <c r="A4952" t="s">
        <v>5079</v>
      </c>
      <c r="B4952" s="1">
        <v>45790</v>
      </c>
      <c r="C4952" t="s">
        <v>90</v>
      </c>
      <c r="D4952">
        <v>20</v>
      </c>
      <c r="E4952" t="s">
        <v>61</v>
      </c>
      <c r="F4952" t="s">
        <v>29</v>
      </c>
      <c r="G4952" t="s">
        <v>160</v>
      </c>
      <c r="H4952" t="s">
        <v>133</v>
      </c>
      <c r="I4952">
        <v>36773</v>
      </c>
      <c r="J4952">
        <v>40413</v>
      </c>
    </row>
    <row r="4953" spans="1:10" x14ac:dyDescent="0.3">
      <c r="A4953" t="s">
        <v>5080</v>
      </c>
      <c r="B4953" s="1">
        <v>45807</v>
      </c>
      <c r="C4953" t="s">
        <v>90</v>
      </c>
      <c r="D4953">
        <v>22</v>
      </c>
      <c r="E4953" t="s">
        <v>70</v>
      </c>
      <c r="F4953" t="s">
        <v>78</v>
      </c>
      <c r="G4953" t="s">
        <v>291</v>
      </c>
      <c r="H4953" t="s">
        <v>165</v>
      </c>
      <c r="I4953">
        <v>38067</v>
      </c>
      <c r="J4953">
        <v>47843</v>
      </c>
    </row>
    <row r="4954" spans="1:10" x14ac:dyDescent="0.3">
      <c r="A4954" t="s">
        <v>5081</v>
      </c>
      <c r="B4954" s="1">
        <v>45839</v>
      </c>
      <c r="C4954" t="s">
        <v>11</v>
      </c>
      <c r="D4954">
        <v>27</v>
      </c>
      <c r="E4954" t="s">
        <v>70</v>
      </c>
      <c r="F4954" t="s">
        <v>114</v>
      </c>
      <c r="G4954" t="s">
        <v>149</v>
      </c>
      <c r="H4954" t="s">
        <v>211</v>
      </c>
      <c r="I4954">
        <v>16473</v>
      </c>
      <c r="J4954">
        <v>17601</v>
      </c>
    </row>
    <row r="4955" spans="1:10" x14ac:dyDescent="0.3">
      <c r="A4955" t="s">
        <v>5082</v>
      </c>
      <c r="B4955" s="1">
        <v>45730</v>
      </c>
      <c r="C4955" t="s">
        <v>95</v>
      </c>
      <c r="D4955">
        <v>11</v>
      </c>
      <c r="E4955" t="s">
        <v>61</v>
      </c>
      <c r="F4955" t="s">
        <v>109</v>
      </c>
      <c r="G4955" t="s">
        <v>132</v>
      </c>
      <c r="H4955" t="s">
        <v>157</v>
      </c>
      <c r="I4955">
        <v>38220</v>
      </c>
      <c r="J4955">
        <v>33951</v>
      </c>
    </row>
    <row r="4956" spans="1:10" x14ac:dyDescent="0.3">
      <c r="A4956" t="s">
        <v>5083</v>
      </c>
      <c r="B4956" s="1">
        <v>45719</v>
      </c>
      <c r="C4956" t="s">
        <v>95</v>
      </c>
      <c r="D4956">
        <v>10</v>
      </c>
      <c r="E4956" t="s">
        <v>24</v>
      </c>
      <c r="F4956" t="s">
        <v>92</v>
      </c>
      <c r="G4956" t="s">
        <v>110</v>
      </c>
      <c r="H4956" t="s">
        <v>119</v>
      </c>
      <c r="I4956">
        <v>18167</v>
      </c>
      <c r="J4956">
        <v>21401</v>
      </c>
    </row>
    <row r="4957" spans="1:10" x14ac:dyDescent="0.3">
      <c r="A4957" t="s">
        <v>5084</v>
      </c>
      <c r="B4957" s="1">
        <v>45790</v>
      </c>
      <c r="C4957" t="s">
        <v>90</v>
      </c>
      <c r="D4957">
        <v>20</v>
      </c>
      <c r="E4957" t="s">
        <v>39</v>
      </c>
      <c r="F4957" t="s">
        <v>75</v>
      </c>
      <c r="G4957" t="s">
        <v>110</v>
      </c>
      <c r="H4957" t="s">
        <v>15</v>
      </c>
      <c r="I4957">
        <v>30163</v>
      </c>
      <c r="J4957">
        <v>25140</v>
      </c>
    </row>
    <row r="4958" spans="1:10" x14ac:dyDescent="0.3">
      <c r="A4958" t="s">
        <v>5085</v>
      </c>
      <c r="B4958" s="1">
        <v>45681</v>
      </c>
      <c r="C4958" t="s">
        <v>17</v>
      </c>
      <c r="D4958">
        <v>4</v>
      </c>
      <c r="E4958" t="s">
        <v>12</v>
      </c>
      <c r="F4958" t="s">
        <v>62</v>
      </c>
      <c r="G4958" t="s">
        <v>40</v>
      </c>
      <c r="H4958" t="s">
        <v>116</v>
      </c>
      <c r="I4958">
        <v>32337</v>
      </c>
      <c r="J4958">
        <v>30763</v>
      </c>
    </row>
    <row r="4959" spans="1:10" x14ac:dyDescent="0.3">
      <c r="A4959" t="s">
        <v>5086</v>
      </c>
      <c r="B4959" s="1">
        <v>45704</v>
      </c>
      <c r="C4959" t="s">
        <v>82</v>
      </c>
      <c r="D4959">
        <v>7</v>
      </c>
      <c r="E4959" t="s">
        <v>24</v>
      </c>
      <c r="F4959" t="s">
        <v>193</v>
      </c>
      <c r="G4959" t="s">
        <v>266</v>
      </c>
      <c r="H4959" t="s">
        <v>123</v>
      </c>
      <c r="I4959">
        <v>37211</v>
      </c>
      <c r="J4959">
        <v>30677</v>
      </c>
    </row>
    <row r="4960" spans="1:10" x14ac:dyDescent="0.3">
      <c r="A4960" t="s">
        <v>5087</v>
      </c>
      <c r="B4960" s="1">
        <v>45906</v>
      </c>
      <c r="C4960" t="s">
        <v>38</v>
      </c>
      <c r="D4960">
        <v>36</v>
      </c>
      <c r="E4960" t="s">
        <v>12</v>
      </c>
      <c r="F4960" t="s">
        <v>78</v>
      </c>
      <c r="G4960" t="s">
        <v>171</v>
      </c>
      <c r="H4960" t="s">
        <v>80</v>
      </c>
      <c r="I4960">
        <v>28267</v>
      </c>
      <c r="J4960">
        <v>32902</v>
      </c>
    </row>
    <row r="4961" spans="1:10" x14ac:dyDescent="0.3">
      <c r="A4961" t="s">
        <v>5088</v>
      </c>
      <c r="B4961" s="1">
        <v>45773</v>
      </c>
      <c r="C4961" t="s">
        <v>86</v>
      </c>
      <c r="D4961">
        <v>17</v>
      </c>
      <c r="E4961" t="s">
        <v>61</v>
      </c>
      <c r="F4961" t="s">
        <v>29</v>
      </c>
      <c r="G4961" t="s">
        <v>118</v>
      </c>
      <c r="H4961" t="s">
        <v>64</v>
      </c>
      <c r="I4961">
        <v>38976</v>
      </c>
      <c r="J4961">
        <v>33234</v>
      </c>
    </row>
    <row r="4962" spans="1:10" x14ac:dyDescent="0.3">
      <c r="A4962" t="s">
        <v>5089</v>
      </c>
      <c r="B4962" s="1">
        <v>45668</v>
      </c>
      <c r="C4962" t="s">
        <v>17</v>
      </c>
      <c r="D4962">
        <v>2</v>
      </c>
      <c r="E4962" t="s">
        <v>70</v>
      </c>
      <c r="F4962" t="s">
        <v>34</v>
      </c>
      <c r="G4962" t="s">
        <v>130</v>
      </c>
      <c r="H4962" t="s">
        <v>55</v>
      </c>
      <c r="I4962">
        <v>26146</v>
      </c>
      <c r="J4962">
        <v>28331</v>
      </c>
    </row>
    <row r="4963" spans="1:10" x14ac:dyDescent="0.3">
      <c r="A4963" t="s">
        <v>5090</v>
      </c>
      <c r="B4963" s="1">
        <v>45932</v>
      </c>
      <c r="C4963" t="s">
        <v>66</v>
      </c>
      <c r="D4963">
        <v>40</v>
      </c>
      <c r="E4963" t="s">
        <v>70</v>
      </c>
      <c r="F4963" t="s">
        <v>57</v>
      </c>
      <c r="G4963" t="s">
        <v>110</v>
      </c>
      <c r="H4963" t="s">
        <v>15</v>
      </c>
      <c r="I4963">
        <v>18512</v>
      </c>
      <c r="J4963">
        <v>21432</v>
      </c>
    </row>
    <row r="4964" spans="1:10" x14ac:dyDescent="0.3">
      <c r="A4964" t="s">
        <v>5091</v>
      </c>
      <c r="B4964" s="1">
        <v>45790</v>
      </c>
      <c r="C4964" t="s">
        <v>90</v>
      </c>
      <c r="D4964">
        <v>20</v>
      </c>
      <c r="E4964" t="s">
        <v>39</v>
      </c>
      <c r="F4964" t="s">
        <v>13</v>
      </c>
      <c r="G4964" t="s">
        <v>47</v>
      </c>
      <c r="H4964" t="s">
        <v>123</v>
      </c>
      <c r="I4964">
        <v>35737</v>
      </c>
      <c r="J4964">
        <v>37929</v>
      </c>
    </row>
    <row r="4965" spans="1:10" x14ac:dyDescent="0.3">
      <c r="A4965" t="s">
        <v>5092</v>
      </c>
      <c r="B4965" s="1">
        <v>45781</v>
      </c>
      <c r="C4965" t="s">
        <v>90</v>
      </c>
      <c r="D4965">
        <v>18</v>
      </c>
      <c r="E4965" t="s">
        <v>24</v>
      </c>
      <c r="F4965" t="s">
        <v>109</v>
      </c>
      <c r="G4965" t="s">
        <v>83</v>
      </c>
      <c r="H4965" t="s">
        <v>27</v>
      </c>
      <c r="I4965">
        <v>36060</v>
      </c>
      <c r="J4965">
        <v>42723</v>
      </c>
    </row>
    <row r="4966" spans="1:10" x14ac:dyDescent="0.3">
      <c r="A4966" t="s">
        <v>5093</v>
      </c>
      <c r="B4966" s="1">
        <v>45910</v>
      </c>
      <c r="C4966" t="s">
        <v>38</v>
      </c>
      <c r="D4966">
        <v>37</v>
      </c>
      <c r="E4966" t="s">
        <v>12</v>
      </c>
      <c r="F4966" t="s">
        <v>25</v>
      </c>
      <c r="G4966" t="s">
        <v>141</v>
      </c>
      <c r="H4966" t="s">
        <v>119</v>
      </c>
      <c r="I4966">
        <v>15919</v>
      </c>
      <c r="J4966">
        <v>16489</v>
      </c>
    </row>
    <row r="4967" spans="1:10" x14ac:dyDescent="0.3">
      <c r="A4967" t="s">
        <v>5094</v>
      </c>
      <c r="B4967" s="1">
        <v>45995</v>
      </c>
      <c r="C4967" t="s">
        <v>100</v>
      </c>
      <c r="D4967">
        <v>49</v>
      </c>
      <c r="E4967" t="s">
        <v>39</v>
      </c>
      <c r="F4967" t="s">
        <v>122</v>
      </c>
      <c r="G4967" t="s">
        <v>79</v>
      </c>
      <c r="H4967" t="s">
        <v>52</v>
      </c>
      <c r="I4967">
        <v>26664</v>
      </c>
      <c r="J4967">
        <v>26008</v>
      </c>
    </row>
    <row r="4968" spans="1:10" x14ac:dyDescent="0.3">
      <c r="A4968" t="s">
        <v>5095</v>
      </c>
      <c r="B4968" s="1">
        <v>45670</v>
      </c>
      <c r="C4968" t="s">
        <v>17</v>
      </c>
      <c r="D4968">
        <v>3</v>
      </c>
      <c r="E4968" t="s">
        <v>18</v>
      </c>
      <c r="F4968" t="s">
        <v>140</v>
      </c>
      <c r="G4968" t="s">
        <v>137</v>
      </c>
      <c r="H4968" t="s">
        <v>116</v>
      </c>
      <c r="I4968">
        <v>26449</v>
      </c>
      <c r="J4968">
        <v>21482</v>
      </c>
    </row>
    <row r="4969" spans="1:10" x14ac:dyDescent="0.3">
      <c r="A4969" t="s">
        <v>5096</v>
      </c>
      <c r="B4969" s="1">
        <v>45773</v>
      </c>
      <c r="C4969" t="s">
        <v>86</v>
      </c>
      <c r="D4969">
        <v>17</v>
      </c>
      <c r="E4969" t="s">
        <v>61</v>
      </c>
      <c r="F4969" t="s">
        <v>193</v>
      </c>
      <c r="G4969" t="s">
        <v>35</v>
      </c>
      <c r="H4969" t="s">
        <v>165</v>
      </c>
      <c r="I4969">
        <v>34476</v>
      </c>
      <c r="J4969">
        <v>27597</v>
      </c>
    </row>
    <row r="4970" spans="1:10" x14ac:dyDescent="0.3">
      <c r="A4970" t="s">
        <v>5097</v>
      </c>
      <c r="B4970" s="1">
        <v>45953</v>
      </c>
      <c r="C4970" t="s">
        <v>66</v>
      </c>
      <c r="D4970">
        <v>43</v>
      </c>
      <c r="E4970" t="s">
        <v>18</v>
      </c>
      <c r="F4970" t="s">
        <v>122</v>
      </c>
      <c r="G4970" t="s">
        <v>44</v>
      </c>
      <c r="H4970" t="s">
        <v>157</v>
      </c>
      <c r="I4970">
        <v>28667</v>
      </c>
      <c r="J4970">
        <v>30111</v>
      </c>
    </row>
    <row r="4971" spans="1:10" x14ac:dyDescent="0.3">
      <c r="A4971" t="s">
        <v>5098</v>
      </c>
      <c r="B4971" s="1">
        <v>45778</v>
      </c>
      <c r="C4971" t="s">
        <v>90</v>
      </c>
      <c r="D4971">
        <v>18</v>
      </c>
      <c r="E4971" t="s">
        <v>61</v>
      </c>
      <c r="F4971" t="s">
        <v>50</v>
      </c>
      <c r="G4971" t="s">
        <v>160</v>
      </c>
      <c r="H4971" t="s">
        <v>41</v>
      </c>
      <c r="I4971">
        <v>30518</v>
      </c>
      <c r="J4971">
        <v>26263</v>
      </c>
    </row>
    <row r="4972" spans="1:10" x14ac:dyDescent="0.3">
      <c r="A4972" t="s">
        <v>5099</v>
      </c>
      <c r="B4972" s="1">
        <v>45754</v>
      </c>
      <c r="C4972" t="s">
        <v>86</v>
      </c>
      <c r="D4972">
        <v>15</v>
      </c>
      <c r="E4972" t="s">
        <v>39</v>
      </c>
      <c r="F4972" t="s">
        <v>122</v>
      </c>
      <c r="G4972" t="s">
        <v>88</v>
      </c>
      <c r="H4972" t="s">
        <v>119</v>
      </c>
      <c r="I4972">
        <v>25442</v>
      </c>
      <c r="J4972">
        <v>32563</v>
      </c>
    </row>
    <row r="4973" spans="1:10" x14ac:dyDescent="0.3">
      <c r="A4973" t="s">
        <v>5100</v>
      </c>
      <c r="B4973" s="1">
        <v>45773</v>
      </c>
      <c r="C4973" t="s">
        <v>86</v>
      </c>
      <c r="D4973">
        <v>17</v>
      </c>
      <c r="E4973" t="s">
        <v>12</v>
      </c>
      <c r="F4973" t="s">
        <v>43</v>
      </c>
      <c r="G4973" t="s">
        <v>126</v>
      </c>
      <c r="H4973" t="s">
        <v>165</v>
      </c>
      <c r="I4973">
        <v>30435</v>
      </c>
      <c r="J4973">
        <v>34163</v>
      </c>
    </row>
    <row r="4974" spans="1:10" x14ac:dyDescent="0.3">
      <c r="A4974" t="s">
        <v>5101</v>
      </c>
      <c r="B4974" s="1">
        <v>46020</v>
      </c>
      <c r="C4974" t="s">
        <v>100</v>
      </c>
      <c r="D4974">
        <v>1</v>
      </c>
      <c r="E4974" t="s">
        <v>70</v>
      </c>
      <c r="F4974" t="s">
        <v>25</v>
      </c>
      <c r="G4974" t="s">
        <v>47</v>
      </c>
      <c r="H4974" t="s">
        <v>243</v>
      </c>
      <c r="I4974">
        <v>19746</v>
      </c>
      <c r="J4974">
        <v>17351</v>
      </c>
    </row>
    <row r="4975" spans="1:10" x14ac:dyDescent="0.3">
      <c r="A4975" t="s">
        <v>5102</v>
      </c>
      <c r="B4975" s="1">
        <v>45795</v>
      </c>
      <c r="C4975" t="s">
        <v>90</v>
      </c>
      <c r="D4975">
        <v>20</v>
      </c>
      <c r="E4975" t="s">
        <v>70</v>
      </c>
      <c r="F4975" t="s">
        <v>114</v>
      </c>
      <c r="G4975" t="s">
        <v>132</v>
      </c>
      <c r="H4975" t="s">
        <v>98</v>
      </c>
      <c r="I4975">
        <v>26560</v>
      </c>
      <c r="J4975">
        <v>22680</v>
      </c>
    </row>
    <row r="4976" spans="1:10" x14ac:dyDescent="0.3">
      <c r="A4976" t="s">
        <v>5103</v>
      </c>
      <c r="B4976" s="1">
        <v>45860</v>
      </c>
      <c r="C4976" t="s">
        <v>11</v>
      </c>
      <c r="D4976">
        <v>30</v>
      </c>
      <c r="E4976" t="s">
        <v>61</v>
      </c>
      <c r="F4976" t="s">
        <v>109</v>
      </c>
      <c r="G4976" t="s">
        <v>141</v>
      </c>
      <c r="H4976" t="s">
        <v>27</v>
      </c>
      <c r="I4976">
        <v>31256</v>
      </c>
      <c r="J4976">
        <v>35817</v>
      </c>
    </row>
    <row r="4977" spans="1:10" x14ac:dyDescent="0.3">
      <c r="A4977" t="s">
        <v>5104</v>
      </c>
      <c r="B4977" s="1">
        <v>45763</v>
      </c>
      <c r="C4977" t="s">
        <v>86</v>
      </c>
      <c r="D4977">
        <v>16</v>
      </c>
      <c r="E4977" t="s">
        <v>39</v>
      </c>
      <c r="F4977" t="s">
        <v>19</v>
      </c>
      <c r="G4977" t="s">
        <v>76</v>
      </c>
      <c r="H4977" t="s">
        <v>31</v>
      </c>
      <c r="I4977">
        <v>33480</v>
      </c>
      <c r="J4977">
        <v>31698</v>
      </c>
    </row>
    <row r="4978" spans="1:10" x14ac:dyDescent="0.3">
      <c r="A4978" t="s">
        <v>5105</v>
      </c>
      <c r="B4978" s="1">
        <v>45852</v>
      </c>
      <c r="C4978" t="s">
        <v>11</v>
      </c>
      <c r="D4978">
        <v>29</v>
      </c>
      <c r="E4978" t="s">
        <v>18</v>
      </c>
      <c r="F4978" t="s">
        <v>50</v>
      </c>
      <c r="G4978" t="s">
        <v>118</v>
      </c>
      <c r="H4978" t="s">
        <v>151</v>
      </c>
      <c r="I4978">
        <v>36804</v>
      </c>
      <c r="J4978">
        <v>38548</v>
      </c>
    </row>
    <row r="4979" spans="1:10" x14ac:dyDescent="0.3">
      <c r="A4979" t="s">
        <v>5106</v>
      </c>
      <c r="B4979" s="1">
        <v>45719</v>
      </c>
      <c r="C4979" t="s">
        <v>95</v>
      </c>
      <c r="D4979">
        <v>10</v>
      </c>
      <c r="E4979" t="s">
        <v>61</v>
      </c>
      <c r="F4979" t="s">
        <v>75</v>
      </c>
      <c r="G4979" t="s">
        <v>291</v>
      </c>
      <c r="H4979" t="s">
        <v>188</v>
      </c>
      <c r="I4979">
        <v>21235</v>
      </c>
      <c r="J4979">
        <v>17461</v>
      </c>
    </row>
    <row r="4980" spans="1:10" x14ac:dyDescent="0.3">
      <c r="A4980" t="s">
        <v>5107</v>
      </c>
      <c r="B4980" s="1">
        <v>45720</v>
      </c>
      <c r="C4980" t="s">
        <v>95</v>
      </c>
      <c r="D4980">
        <v>10</v>
      </c>
      <c r="E4980" t="s">
        <v>61</v>
      </c>
      <c r="F4980" t="s">
        <v>78</v>
      </c>
      <c r="G4980" t="s">
        <v>253</v>
      </c>
      <c r="H4980" t="s">
        <v>15</v>
      </c>
      <c r="I4980">
        <v>26778</v>
      </c>
      <c r="J4980">
        <v>32427</v>
      </c>
    </row>
    <row r="4981" spans="1:10" x14ac:dyDescent="0.3">
      <c r="A4981" t="s">
        <v>5108</v>
      </c>
      <c r="B4981" s="1">
        <v>45861</v>
      </c>
      <c r="C4981" t="s">
        <v>11</v>
      </c>
      <c r="D4981">
        <v>30</v>
      </c>
      <c r="E4981" t="s">
        <v>39</v>
      </c>
      <c r="F4981" t="s">
        <v>109</v>
      </c>
      <c r="G4981" t="s">
        <v>206</v>
      </c>
      <c r="H4981" t="s">
        <v>155</v>
      </c>
      <c r="I4981">
        <v>16391</v>
      </c>
      <c r="J4981">
        <v>12069</v>
      </c>
    </row>
    <row r="4982" spans="1:10" x14ac:dyDescent="0.3">
      <c r="A4982" t="s">
        <v>5109</v>
      </c>
      <c r="B4982" s="1">
        <v>45727</v>
      </c>
      <c r="C4982" t="s">
        <v>95</v>
      </c>
      <c r="D4982">
        <v>11</v>
      </c>
      <c r="E4982" t="s">
        <v>12</v>
      </c>
      <c r="F4982" t="s">
        <v>29</v>
      </c>
      <c r="G4982" t="s">
        <v>224</v>
      </c>
      <c r="H4982" t="s">
        <v>55</v>
      </c>
      <c r="I4982">
        <v>20633</v>
      </c>
      <c r="J4982">
        <v>22879</v>
      </c>
    </row>
    <row r="4983" spans="1:10" x14ac:dyDescent="0.3">
      <c r="A4983" t="s">
        <v>5110</v>
      </c>
      <c r="B4983" s="1">
        <v>45756</v>
      </c>
      <c r="C4983" t="s">
        <v>86</v>
      </c>
      <c r="D4983">
        <v>15</v>
      </c>
      <c r="E4983" t="s">
        <v>39</v>
      </c>
      <c r="F4983" t="s">
        <v>87</v>
      </c>
      <c r="G4983" t="s">
        <v>201</v>
      </c>
      <c r="H4983" t="s">
        <v>133</v>
      </c>
      <c r="I4983">
        <v>38846</v>
      </c>
      <c r="J4983">
        <v>46404</v>
      </c>
    </row>
    <row r="4984" spans="1:10" x14ac:dyDescent="0.3">
      <c r="A4984" t="s">
        <v>5111</v>
      </c>
      <c r="B4984" s="1">
        <v>45783</v>
      </c>
      <c r="C4984" t="s">
        <v>90</v>
      </c>
      <c r="D4984">
        <v>19</v>
      </c>
      <c r="E4984" t="s">
        <v>12</v>
      </c>
      <c r="F4984" t="s">
        <v>92</v>
      </c>
      <c r="G4984" t="s">
        <v>93</v>
      </c>
      <c r="H4984" t="s">
        <v>155</v>
      </c>
      <c r="I4984">
        <v>34391</v>
      </c>
      <c r="J4984">
        <v>28913</v>
      </c>
    </row>
    <row r="4985" spans="1:10" x14ac:dyDescent="0.3">
      <c r="A4985" t="s">
        <v>5112</v>
      </c>
      <c r="B4985" s="1">
        <v>45794</v>
      </c>
      <c r="C4985" t="s">
        <v>90</v>
      </c>
      <c r="D4985">
        <v>20</v>
      </c>
      <c r="E4985" t="s">
        <v>24</v>
      </c>
      <c r="F4985" t="s">
        <v>46</v>
      </c>
      <c r="G4985" t="s">
        <v>67</v>
      </c>
      <c r="H4985" t="s">
        <v>98</v>
      </c>
      <c r="I4985">
        <v>22849</v>
      </c>
      <c r="J4985">
        <v>23872</v>
      </c>
    </row>
    <row r="4986" spans="1:10" x14ac:dyDescent="0.3">
      <c r="A4986" t="s">
        <v>5113</v>
      </c>
      <c r="B4986" s="1">
        <v>45851</v>
      </c>
      <c r="C4986" t="s">
        <v>11</v>
      </c>
      <c r="D4986">
        <v>28</v>
      </c>
      <c r="E4986" t="s">
        <v>18</v>
      </c>
      <c r="F4986" t="s">
        <v>78</v>
      </c>
      <c r="G4986" t="s">
        <v>253</v>
      </c>
      <c r="H4986" t="s">
        <v>116</v>
      </c>
      <c r="I4986">
        <v>33526</v>
      </c>
      <c r="J4986">
        <v>23578</v>
      </c>
    </row>
    <row r="4987" spans="1:10" x14ac:dyDescent="0.3">
      <c r="A4987" t="s">
        <v>5114</v>
      </c>
      <c r="B4987" s="1">
        <v>45792</v>
      </c>
      <c r="C4987" t="s">
        <v>90</v>
      </c>
      <c r="D4987">
        <v>20</v>
      </c>
      <c r="E4987" t="s">
        <v>33</v>
      </c>
      <c r="F4987" t="s">
        <v>43</v>
      </c>
      <c r="G4987" t="s">
        <v>191</v>
      </c>
      <c r="H4987" t="s">
        <v>157</v>
      </c>
      <c r="I4987">
        <v>27442</v>
      </c>
      <c r="J4987">
        <v>24950</v>
      </c>
    </row>
    <row r="4988" spans="1:10" x14ac:dyDescent="0.3">
      <c r="A4988" t="s">
        <v>5115</v>
      </c>
      <c r="B4988" s="1">
        <v>45915</v>
      </c>
      <c r="C4988" t="s">
        <v>38</v>
      </c>
      <c r="D4988">
        <v>38</v>
      </c>
      <c r="E4988" t="s">
        <v>70</v>
      </c>
      <c r="F4988" t="s">
        <v>46</v>
      </c>
      <c r="G4988" t="s">
        <v>230</v>
      </c>
      <c r="H4988" t="s">
        <v>155</v>
      </c>
      <c r="I4988">
        <v>28535</v>
      </c>
      <c r="J4988">
        <v>35487</v>
      </c>
    </row>
    <row r="4989" spans="1:10" x14ac:dyDescent="0.3">
      <c r="A4989" t="s">
        <v>5116</v>
      </c>
      <c r="B4989" s="1">
        <v>45955</v>
      </c>
      <c r="C4989" t="s">
        <v>66</v>
      </c>
      <c r="D4989">
        <v>43</v>
      </c>
      <c r="E4989" t="s">
        <v>70</v>
      </c>
      <c r="F4989" t="s">
        <v>75</v>
      </c>
      <c r="G4989" t="s">
        <v>224</v>
      </c>
      <c r="H4989" t="s">
        <v>211</v>
      </c>
      <c r="I4989">
        <v>21416</v>
      </c>
      <c r="J4989">
        <v>21575</v>
      </c>
    </row>
    <row r="4990" spans="1:10" x14ac:dyDescent="0.3">
      <c r="A4990" t="s">
        <v>5117</v>
      </c>
      <c r="B4990" s="1">
        <v>45853</v>
      </c>
      <c r="C4990" t="s">
        <v>11</v>
      </c>
      <c r="D4990">
        <v>29</v>
      </c>
      <c r="E4990" t="s">
        <v>18</v>
      </c>
      <c r="F4990" t="s">
        <v>19</v>
      </c>
      <c r="G4990" t="s">
        <v>132</v>
      </c>
      <c r="H4990" t="s">
        <v>96</v>
      </c>
      <c r="I4990">
        <v>20309</v>
      </c>
      <c r="J4990">
        <v>22472</v>
      </c>
    </row>
    <row r="4991" spans="1:10" x14ac:dyDescent="0.3">
      <c r="A4991" t="s">
        <v>5118</v>
      </c>
      <c r="B4991" s="1">
        <v>45775</v>
      </c>
      <c r="C4991" t="s">
        <v>86</v>
      </c>
      <c r="D4991">
        <v>18</v>
      </c>
      <c r="E4991" t="s">
        <v>33</v>
      </c>
      <c r="F4991" t="s">
        <v>19</v>
      </c>
      <c r="G4991" t="s">
        <v>240</v>
      </c>
      <c r="H4991" t="s">
        <v>157</v>
      </c>
      <c r="I4991">
        <v>30256</v>
      </c>
      <c r="J4991">
        <v>26197</v>
      </c>
    </row>
    <row r="4992" spans="1:10" x14ac:dyDescent="0.3">
      <c r="A4992" t="s">
        <v>5119</v>
      </c>
      <c r="B4992" s="1">
        <v>45733</v>
      </c>
      <c r="C4992" t="s">
        <v>95</v>
      </c>
      <c r="D4992">
        <v>12</v>
      </c>
      <c r="E4992" t="s">
        <v>33</v>
      </c>
      <c r="F4992" t="s">
        <v>101</v>
      </c>
      <c r="G4992" t="s">
        <v>130</v>
      </c>
      <c r="H4992" t="s">
        <v>243</v>
      </c>
      <c r="I4992">
        <v>30517</v>
      </c>
      <c r="J4992">
        <v>24293</v>
      </c>
    </row>
    <row r="4993" spans="1:10" x14ac:dyDescent="0.3">
      <c r="A4993" t="s">
        <v>5120</v>
      </c>
      <c r="B4993" s="1">
        <v>45852</v>
      </c>
      <c r="C4993" t="s">
        <v>11</v>
      </c>
      <c r="D4993">
        <v>29</v>
      </c>
      <c r="E4993" t="s">
        <v>39</v>
      </c>
      <c r="F4993" t="s">
        <v>50</v>
      </c>
      <c r="G4993" t="s">
        <v>93</v>
      </c>
      <c r="H4993" t="s">
        <v>133</v>
      </c>
      <c r="I4993">
        <v>26349</v>
      </c>
      <c r="J4993">
        <v>32336</v>
      </c>
    </row>
    <row r="4994" spans="1:10" x14ac:dyDescent="0.3">
      <c r="A4994" t="s">
        <v>5121</v>
      </c>
      <c r="B4994" s="1">
        <v>45964</v>
      </c>
      <c r="C4994" t="s">
        <v>23</v>
      </c>
      <c r="D4994">
        <v>45</v>
      </c>
      <c r="E4994" t="s">
        <v>12</v>
      </c>
      <c r="F4994" t="s">
        <v>34</v>
      </c>
      <c r="G4994" t="s">
        <v>126</v>
      </c>
      <c r="H4994" t="s">
        <v>48</v>
      </c>
      <c r="I4994">
        <v>20516</v>
      </c>
      <c r="J4994">
        <v>25357</v>
      </c>
    </row>
    <row r="4995" spans="1:10" x14ac:dyDescent="0.3">
      <c r="A4995" t="s">
        <v>5122</v>
      </c>
      <c r="B4995" s="1">
        <v>45680</v>
      </c>
      <c r="C4995" t="s">
        <v>17</v>
      </c>
      <c r="D4995">
        <v>4</v>
      </c>
      <c r="E4995" t="s">
        <v>70</v>
      </c>
      <c r="F4995" t="s">
        <v>78</v>
      </c>
      <c r="G4995" t="s">
        <v>93</v>
      </c>
      <c r="H4995" t="s">
        <v>31</v>
      </c>
      <c r="I4995">
        <v>39883</v>
      </c>
      <c r="J4995">
        <v>41550</v>
      </c>
    </row>
    <row r="4996" spans="1:10" x14ac:dyDescent="0.3">
      <c r="A4996" t="s">
        <v>5123</v>
      </c>
      <c r="B4996" s="1">
        <v>45733</v>
      </c>
      <c r="C4996" t="s">
        <v>95</v>
      </c>
      <c r="D4996">
        <v>12</v>
      </c>
      <c r="E4996" t="s">
        <v>70</v>
      </c>
      <c r="F4996" t="s">
        <v>101</v>
      </c>
      <c r="G4996" t="s">
        <v>326</v>
      </c>
      <c r="H4996" t="s">
        <v>68</v>
      </c>
      <c r="I4996">
        <v>29254</v>
      </c>
      <c r="J4996">
        <v>26578</v>
      </c>
    </row>
    <row r="4997" spans="1:10" x14ac:dyDescent="0.3">
      <c r="A4997" t="s">
        <v>5124</v>
      </c>
      <c r="B4997" s="1">
        <v>45695</v>
      </c>
      <c r="C4997" t="s">
        <v>82</v>
      </c>
      <c r="D4997">
        <v>6</v>
      </c>
      <c r="E4997" t="s">
        <v>12</v>
      </c>
      <c r="F4997" t="s">
        <v>43</v>
      </c>
      <c r="G4997" t="s">
        <v>182</v>
      </c>
      <c r="H4997" t="s">
        <v>165</v>
      </c>
      <c r="I4997">
        <v>19982</v>
      </c>
      <c r="J4997">
        <v>15733</v>
      </c>
    </row>
    <row r="4998" spans="1:10" x14ac:dyDescent="0.3">
      <c r="A4998" t="s">
        <v>5125</v>
      </c>
      <c r="B4998" s="1">
        <v>45987</v>
      </c>
      <c r="C4998" t="s">
        <v>23</v>
      </c>
      <c r="D4998">
        <v>48</v>
      </c>
      <c r="E4998" t="s">
        <v>24</v>
      </c>
      <c r="F4998" t="s">
        <v>25</v>
      </c>
      <c r="G4998" t="s">
        <v>88</v>
      </c>
      <c r="H4998" t="s">
        <v>123</v>
      </c>
      <c r="I4998">
        <v>28425</v>
      </c>
      <c r="J4998">
        <v>33534</v>
      </c>
    </row>
    <row r="4999" spans="1:10" x14ac:dyDescent="0.3">
      <c r="A4999" t="s">
        <v>5126</v>
      </c>
      <c r="B4999" s="1">
        <v>45737</v>
      </c>
      <c r="C4999" t="s">
        <v>95</v>
      </c>
      <c r="D4999">
        <v>12</v>
      </c>
      <c r="E4999" t="s">
        <v>24</v>
      </c>
      <c r="F4999" t="s">
        <v>29</v>
      </c>
      <c r="G4999" t="s">
        <v>40</v>
      </c>
      <c r="H4999" t="s">
        <v>165</v>
      </c>
      <c r="I4999">
        <v>27651</v>
      </c>
      <c r="J4999">
        <v>32218</v>
      </c>
    </row>
    <row r="5000" spans="1:10" x14ac:dyDescent="0.3">
      <c r="A5000" t="s">
        <v>5127</v>
      </c>
      <c r="B5000" s="1">
        <v>45897</v>
      </c>
      <c r="C5000" t="s">
        <v>113</v>
      </c>
      <c r="D5000">
        <v>35</v>
      </c>
      <c r="E5000" t="s">
        <v>12</v>
      </c>
      <c r="F5000" t="s">
        <v>101</v>
      </c>
      <c r="G5000" t="s">
        <v>79</v>
      </c>
      <c r="H5000" t="s">
        <v>116</v>
      </c>
      <c r="I5000">
        <v>24117</v>
      </c>
      <c r="J5000">
        <v>29257</v>
      </c>
    </row>
    <row r="5001" spans="1:10" x14ac:dyDescent="0.3">
      <c r="A5001" t="s">
        <v>5128</v>
      </c>
      <c r="B5001" s="1">
        <v>45697</v>
      </c>
      <c r="C5001" t="s">
        <v>82</v>
      </c>
      <c r="D5001">
        <v>6</v>
      </c>
      <c r="E5001" t="s">
        <v>33</v>
      </c>
      <c r="F5001" t="s">
        <v>75</v>
      </c>
      <c r="G5001" t="s">
        <v>253</v>
      </c>
      <c r="H5001" t="s">
        <v>31</v>
      </c>
      <c r="I5001">
        <v>16143</v>
      </c>
      <c r="J5001">
        <v>12256</v>
      </c>
    </row>
    <row r="5002" spans="1:10" x14ac:dyDescent="0.3">
      <c r="A5002" t="s">
        <v>5129</v>
      </c>
      <c r="B5002" s="1">
        <v>45688</v>
      </c>
      <c r="C5002" t="s">
        <v>17</v>
      </c>
      <c r="D5002">
        <v>5</v>
      </c>
      <c r="E5002" t="s">
        <v>61</v>
      </c>
      <c r="F5002" t="s">
        <v>78</v>
      </c>
      <c r="G5002" t="s">
        <v>72</v>
      </c>
      <c r="H5002" t="s">
        <v>55</v>
      </c>
      <c r="I5002">
        <v>15053</v>
      </c>
      <c r="J5002">
        <v>11362</v>
      </c>
    </row>
    <row r="5003" spans="1:10" x14ac:dyDescent="0.3">
      <c r="A5003" t="s">
        <v>5130</v>
      </c>
      <c r="B5003" s="1">
        <v>45664</v>
      </c>
      <c r="C5003" t="s">
        <v>17</v>
      </c>
      <c r="D5003">
        <v>2</v>
      </c>
      <c r="E5003" t="s">
        <v>39</v>
      </c>
      <c r="F5003" t="s">
        <v>140</v>
      </c>
      <c r="G5003" t="s">
        <v>118</v>
      </c>
      <c r="H5003" t="s">
        <v>84</v>
      </c>
      <c r="I5003">
        <v>15544</v>
      </c>
      <c r="J5003">
        <v>14662</v>
      </c>
    </row>
    <row r="5004" spans="1:10" x14ac:dyDescent="0.3">
      <c r="A5004" t="s">
        <v>5131</v>
      </c>
      <c r="B5004" s="1">
        <v>45661</v>
      </c>
      <c r="C5004" t="s">
        <v>17</v>
      </c>
      <c r="D5004">
        <v>1</v>
      </c>
      <c r="E5004" t="s">
        <v>24</v>
      </c>
      <c r="F5004" t="s">
        <v>114</v>
      </c>
      <c r="G5004" t="s">
        <v>102</v>
      </c>
      <c r="H5004" t="s">
        <v>84</v>
      </c>
      <c r="I5004">
        <v>26056</v>
      </c>
      <c r="J5004">
        <v>23483</v>
      </c>
    </row>
    <row r="5005" spans="1:10" x14ac:dyDescent="0.3">
      <c r="A5005" t="s">
        <v>5132</v>
      </c>
      <c r="B5005" s="1">
        <v>45721</v>
      </c>
      <c r="C5005" t="s">
        <v>95</v>
      </c>
      <c r="D5005">
        <v>10</v>
      </c>
      <c r="E5005" t="s">
        <v>33</v>
      </c>
      <c r="F5005" t="s">
        <v>13</v>
      </c>
      <c r="G5005" t="s">
        <v>206</v>
      </c>
      <c r="H5005" t="s">
        <v>36</v>
      </c>
      <c r="I5005">
        <v>16393</v>
      </c>
      <c r="J5005">
        <v>20086</v>
      </c>
    </row>
    <row r="5006" spans="1:10" x14ac:dyDescent="0.3">
      <c r="A5006" t="s">
        <v>5133</v>
      </c>
      <c r="B5006" s="1">
        <v>45702</v>
      </c>
      <c r="C5006" t="s">
        <v>82</v>
      </c>
      <c r="D5006">
        <v>7</v>
      </c>
      <c r="E5006" t="s">
        <v>24</v>
      </c>
      <c r="F5006" t="s">
        <v>193</v>
      </c>
      <c r="G5006" t="s">
        <v>182</v>
      </c>
      <c r="H5006" t="s">
        <v>31</v>
      </c>
      <c r="I5006">
        <v>27808</v>
      </c>
      <c r="J5006">
        <v>27491</v>
      </c>
    </row>
    <row r="5007" spans="1:10" x14ac:dyDescent="0.3">
      <c r="A5007" t="s">
        <v>5134</v>
      </c>
      <c r="B5007" s="1">
        <v>45678</v>
      </c>
      <c r="C5007" t="s">
        <v>17</v>
      </c>
      <c r="D5007">
        <v>4</v>
      </c>
      <c r="E5007" t="s">
        <v>33</v>
      </c>
      <c r="F5007" t="s">
        <v>140</v>
      </c>
      <c r="G5007" t="s">
        <v>26</v>
      </c>
      <c r="H5007" t="s">
        <v>21</v>
      </c>
      <c r="I5007">
        <v>19110</v>
      </c>
      <c r="J5007">
        <v>17112</v>
      </c>
    </row>
    <row r="5008" spans="1:10" x14ac:dyDescent="0.3">
      <c r="A5008" t="s">
        <v>5135</v>
      </c>
      <c r="B5008" s="1">
        <v>45731</v>
      </c>
      <c r="C5008" t="s">
        <v>95</v>
      </c>
      <c r="D5008">
        <v>11</v>
      </c>
      <c r="E5008" t="s">
        <v>33</v>
      </c>
      <c r="F5008" t="s">
        <v>122</v>
      </c>
      <c r="G5008" t="s">
        <v>115</v>
      </c>
      <c r="H5008" t="s">
        <v>119</v>
      </c>
      <c r="I5008">
        <v>36599</v>
      </c>
      <c r="J5008">
        <v>46836</v>
      </c>
    </row>
    <row r="5009" spans="1:10" x14ac:dyDescent="0.3">
      <c r="A5009" t="s">
        <v>5136</v>
      </c>
      <c r="B5009" s="1">
        <v>45902</v>
      </c>
      <c r="C5009" t="s">
        <v>38</v>
      </c>
      <c r="D5009">
        <v>36</v>
      </c>
      <c r="E5009" t="s">
        <v>33</v>
      </c>
      <c r="F5009" t="s">
        <v>62</v>
      </c>
      <c r="G5009" t="s">
        <v>324</v>
      </c>
      <c r="H5009" t="s">
        <v>48</v>
      </c>
      <c r="I5009">
        <v>32167</v>
      </c>
      <c r="J5009">
        <v>40964</v>
      </c>
    </row>
    <row r="5010" spans="1:10" x14ac:dyDescent="0.3">
      <c r="A5010" t="s">
        <v>5137</v>
      </c>
      <c r="B5010" s="1">
        <v>45807</v>
      </c>
      <c r="C5010" t="s">
        <v>90</v>
      </c>
      <c r="D5010">
        <v>22</v>
      </c>
      <c r="E5010" t="s">
        <v>12</v>
      </c>
      <c r="F5010" t="s">
        <v>13</v>
      </c>
      <c r="G5010" t="s">
        <v>79</v>
      </c>
      <c r="H5010" t="s">
        <v>48</v>
      </c>
      <c r="I5010">
        <v>35592</v>
      </c>
      <c r="J5010">
        <v>45220</v>
      </c>
    </row>
    <row r="5011" spans="1:10" x14ac:dyDescent="0.3">
      <c r="A5011" t="s">
        <v>5138</v>
      </c>
      <c r="B5011" s="1">
        <v>45874</v>
      </c>
      <c r="C5011" t="s">
        <v>113</v>
      </c>
      <c r="D5011">
        <v>32</v>
      </c>
      <c r="E5011" t="s">
        <v>61</v>
      </c>
      <c r="F5011" t="s">
        <v>122</v>
      </c>
      <c r="G5011" t="s">
        <v>79</v>
      </c>
      <c r="H5011" t="s">
        <v>123</v>
      </c>
      <c r="I5011">
        <v>37805</v>
      </c>
      <c r="J5011">
        <v>35501</v>
      </c>
    </row>
    <row r="5012" spans="1:10" x14ac:dyDescent="0.3">
      <c r="A5012" t="s">
        <v>5139</v>
      </c>
      <c r="B5012" s="1">
        <v>45718</v>
      </c>
      <c r="C5012" t="s">
        <v>95</v>
      </c>
      <c r="D5012">
        <v>9</v>
      </c>
      <c r="E5012" t="s">
        <v>61</v>
      </c>
      <c r="F5012" t="s">
        <v>75</v>
      </c>
      <c r="G5012" t="s">
        <v>88</v>
      </c>
      <c r="H5012" t="s">
        <v>31</v>
      </c>
      <c r="I5012">
        <v>35773</v>
      </c>
      <c r="J5012">
        <v>40161</v>
      </c>
    </row>
    <row r="5013" spans="1:10" x14ac:dyDescent="0.3">
      <c r="A5013" t="s">
        <v>5140</v>
      </c>
      <c r="B5013" s="1">
        <v>45881</v>
      </c>
      <c r="C5013" t="s">
        <v>113</v>
      </c>
      <c r="D5013">
        <v>33</v>
      </c>
      <c r="E5013" t="s">
        <v>18</v>
      </c>
      <c r="F5013" t="s">
        <v>25</v>
      </c>
      <c r="G5013" t="s">
        <v>102</v>
      </c>
      <c r="H5013" t="s">
        <v>21</v>
      </c>
      <c r="I5013">
        <v>25873</v>
      </c>
      <c r="J5013">
        <v>31350</v>
      </c>
    </row>
    <row r="5014" spans="1:10" x14ac:dyDescent="0.3">
      <c r="A5014" t="s">
        <v>5141</v>
      </c>
      <c r="B5014" s="1">
        <v>45723</v>
      </c>
      <c r="C5014" t="s">
        <v>95</v>
      </c>
      <c r="D5014">
        <v>10</v>
      </c>
      <c r="E5014" t="s">
        <v>70</v>
      </c>
      <c r="F5014" t="s">
        <v>122</v>
      </c>
      <c r="G5014" t="s">
        <v>147</v>
      </c>
      <c r="H5014" t="s">
        <v>123</v>
      </c>
      <c r="I5014">
        <v>15641</v>
      </c>
      <c r="J5014">
        <v>14714</v>
      </c>
    </row>
    <row r="5015" spans="1:10" x14ac:dyDescent="0.3">
      <c r="A5015" t="s">
        <v>5142</v>
      </c>
      <c r="B5015" s="1">
        <v>45760</v>
      </c>
      <c r="C5015" t="s">
        <v>86</v>
      </c>
      <c r="D5015">
        <v>15</v>
      </c>
      <c r="E5015" t="s">
        <v>24</v>
      </c>
      <c r="F5015" t="s">
        <v>57</v>
      </c>
      <c r="G5015" t="s">
        <v>79</v>
      </c>
      <c r="H5015" t="s">
        <v>48</v>
      </c>
      <c r="I5015">
        <v>38904</v>
      </c>
      <c r="J5015">
        <v>38572</v>
      </c>
    </row>
    <row r="5016" spans="1:10" x14ac:dyDescent="0.3">
      <c r="A5016" t="s">
        <v>5143</v>
      </c>
      <c r="B5016" s="1">
        <v>46009</v>
      </c>
      <c r="C5016" t="s">
        <v>100</v>
      </c>
      <c r="D5016">
        <v>51</v>
      </c>
      <c r="E5016" t="s">
        <v>24</v>
      </c>
      <c r="F5016" t="s">
        <v>193</v>
      </c>
      <c r="G5016" t="s">
        <v>115</v>
      </c>
      <c r="H5016" t="s">
        <v>52</v>
      </c>
      <c r="I5016">
        <v>31610</v>
      </c>
      <c r="J5016">
        <v>29839</v>
      </c>
    </row>
    <row r="5017" spans="1:10" x14ac:dyDescent="0.3">
      <c r="A5017" t="s">
        <v>5144</v>
      </c>
      <c r="B5017" s="1">
        <v>45675</v>
      </c>
      <c r="C5017" t="s">
        <v>17</v>
      </c>
      <c r="D5017">
        <v>3</v>
      </c>
      <c r="E5017" t="s">
        <v>24</v>
      </c>
      <c r="F5017" t="s">
        <v>13</v>
      </c>
      <c r="G5017" t="s">
        <v>171</v>
      </c>
      <c r="H5017" t="s">
        <v>96</v>
      </c>
      <c r="I5017">
        <v>29378</v>
      </c>
      <c r="J5017">
        <v>30196</v>
      </c>
    </row>
    <row r="5018" spans="1:10" x14ac:dyDescent="0.3">
      <c r="A5018" t="s">
        <v>5145</v>
      </c>
      <c r="B5018" s="1">
        <v>45806</v>
      </c>
      <c r="C5018" t="s">
        <v>90</v>
      </c>
      <c r="D5018">
        <v>22</v>
      </c>
      <c r="E5018" t="s">
        <v>70</v>
      </c>
      <c r="F5018" t="s">
        <v>13</v>
      </c>
      <c r="G5018" t="s">
        <v>20</v>
      </c>
      <c r="H5018" t="s">
        <v>119</v>
      </c>
      <c r="I5018">
        <v>16166</v>
      </c>
      <c r="J5018">
        <v>20800</v>
      </c>
    </row>
    <row r="5019" spans="1:10" x14ac:dyDescent="0.3">
      <c r="A5019" t="s">
        <v>5146</v>
      </c>
      <c r="B5019" s="1">
        <v>45740</v>
      </c>
      <c r="C5019" t="s">
        <v>95</v>
      </c>
      <c r="D5019">
        <v>13</v>
      </c>
      <c r="E5019" t="s">
        <v>33</v>
      </c>
      <c r="F5019" t="s">
        <v>101</v>
      </c>
      <c r="G5019" t="s">
        <v>199</v>
      </c>
      <c r="H5019" t="s">
        <v>59</v>
      </c>
      <c r="I5019">
        <v>16109</v>
      </c>
      <c r="J5019">
        <v>12108</v>
      </c>
    </row>
    <row r="5020" spans="1:10" x14ac:dyDescent="0.3">
      <c r="A5020" t="s">
        <v>5147</v>
      </c>
      <c r="B5020" s="1">
        <v>45831</v>
      </c>
      <c r="C5020" t="s">
        <v>74</v>
      </c>
      <c r="D5020">
        <v>26</v>
      </c>
      <c r="E5020" t="s">
        <v>24</v>
      </c>
      <c r="F5020" t="s">
        <v>19</v>
      </c>
      <c r="G5020" t="s">
        <v>147</v>
      </c>
      <c r="H5020" t="s">
        <v>64</v>
      </c>
      <c r="I5020">
        <v>37702</v>
      </c>
      <c r="J5020">
        <v>32112</v>
      </c>
    </row>
    <row r="5021" spans="1:10" x14ac:dyDescent="0.3">
      <c r="A5021" t="s">
        <v>5148</v>
      </c>
      <c r="B5021" s="1">
        <v>45658</v>
      </c>
      <c r="C5021" t="s">
        <v>17</v>
      </c>
      <c r="D5021">
        <v>1</v>
      </c>
      <c r="E5021" t="s">
        <v>12</v>
      </c>
      <c r="F5021" t="s">
        <v>114</v>
      </c>
      <c r="G5021" t="s">
        <v>199</v>
      </c>
      <c r="H5021" t="s">
        <v>96</v>
      </c>
      <c r="I5021">
        <v>27130</v>
      </c>
      <c r="J5021">
        <v>27422</v>
      </c>
    </row>
    <row r="5022" spans="1:10" x14ac:dyDescent="0.3">
      <c r="A5022" t="s">
        <v>5149</v>
      </c>
      <c r="B5022" s="1">
        <v>45989</v>
      </c>
      <c r="C5022" t="s">
        <v>23</v>
      </c>
      <c r="D5022">
        <v>48</v>
      </c>
      <c r="E5022" t="s">
        <v>70</v>
      </c>
      <c r="F5022" t="s">
        <v>101</v>
      </c>
      <c r="G5022" t="s">
        <v>182</v>
      </c>
      <c r="H5022" t="s">
        <v>27</v>
      </c>
      <c r="I5022">
        <v>35676</v>
      </c>
      <c r="J5022">
        <v>28577</v>
      </c>
    </row>
    <row r="5023" spans="1:10" x14ac:dyDescent="0.3">
      <c r="A5023" t="s">
        <v>5150</v>
      </c>
      <c r="B5023" s="1">
        <v>45779</v>
      </c>
      <c r="C5023" t="s">
        <v>90</v>
      </c>
      <c r="D5023">
        <v>18</v>
      </c>
      <c r="E5023" t="s">
        <v>33</v>
      </c>
      <c r="F5023" t="s">
        <v>92</v>
      </c>
      <c r="G5023" t="s">
        <v>160</v>
      </c>
      <c r="H5023" t="s">
        <v>103</v>
      </c>
      <c r="I5023">
        <v>17935</v>
      </c>
      <c r="J5023">
        <v>15794</v>
      </c>
    </row>
    <row r="5024" spans="1:10" x14ac:dyDescent="0.3">
      <c r="A5024" t="s">
        <v>5151</v>
      </c>
      <c r="B5024" s="1">
        <v>45682</v>
      </c>
      <c r="C5024" t="s">
        <v>17</v>
      </c>
      <c r="D5024">
        <v>4</v>
      </c>
      <c r="E5024" t="s">
        <v>12</v>
      </c>
      <c r="F5024" t="s">
        <v>25</v>
      </c>
      <c r="G5024" t="s">
        <v>147</v>
      </c>
      <c r="H5024" t="s">
        <v>31</v>
      </c>
      <c r="I5024">
        <v>22059</v>
      </c>
      <c r="J5024">
        <v>24756</v>
      </c>
    </row>
    <row r="5025" spans="1:10" x14ac:dyDescent="0.3">
      <c r="A5025" t="s">
        <v>5152</v>
      </c>
      <c r="B5025" s="1">
        <v>45975</v>
      </c>
      <c r="C5025" t="s">
        <v>23</v>
      </c>
      <c r="D5025">
        <v>46</v>
      </c>
      <c r="E5025" t="s">
        <v>70</v>
      </c>
      <c r="F5025" t="s">
        <v>140</v>
      </c>
      <c r="G5025" t="s">
        <v>26</v>
      </c>
      <c r="H5025" t="s">
        <v>163</v>
      </c>
      <c r="I5025">
        <v>17095</v>
      </c>
      <c r="J5025">
        <v>22149</v>
      </c>
    </row>
    <row r="5026" spans="1:10" x14ac:dyDescent="0.3">
      <c r="A5026" t="s">
        <v>5153</v>
      </c>
      <c r="B5026" s="1">
        <v>45844</v>
      </c>
      <c r="C5026" t="s">
        <v>11</v>
      </c>
      <c r="D5026">
        <v>27</v>
      </c>
      <c r="E5026" t="s">
        <v>18</v>
      </c>
      <c r="F5026" t="s">
        <v>62</v>
      </c>
      <c r="G5026" t="s">
        <v>126</v>
      </c>
      <c r="H5026" t="s">
        <v>155</v>
      </c>
      <c r="I5026">
        <v>29396</v>
      </c>
      <c r="J5026">
        <v>30702</v>
      </c>
    </row>
    <row r="5027" spans="1:10" x14ac:dyDescent="0.3">
      <c r="A5027" t="s">
        <v>5154</v>
      </c>
      <c r="B5027" s="1">
        <v>45668</v>
      </c>
      <c r="C5027" t="s">
        <v>17</v>
      </c>
      <c r="D5027">
        <v>2</v>
      </c>
      <c r="E5027" t="s">
        <v>18</v>
      </c>
      <c r="F5027" t="s">
        <v>19</v>
      </c>
      <c r="G5027" t="s">
        <v>137</v>
      </c>
      <c r="H5027" t="s">
        <v>52</v>
      </c>
      <c r="I5027">
        <v>18078</v>
      </c>
      <c r="J5027">
        <v>17035</v>
      </c>
    </row>
    <row r="5028" spans="1:10" x14ac:dyDescent="0.3">
      <c r="A5028" t="s">
        <v>5155</v>
      </c>
      <c r="B5028" s="1">
        <v>45887</v>
      </c>
      <c r="C5028" t="s">
        <v>113</v>
      </c>
      <c r="D5028">
        <v>34</v>
      </c>
      <c r="E5028" t="s">
        <v>24</v>
      </c>
      <c r="F5028" t="s">
        <v>29</v>
      </c>
      <c r="G5028" t="s">
        <v>115</v>
      </c>
      <c r="H5028" t="s">
        <v>123</v>
      </c>
      <c r="I5028">
        <v>39377</v>
      </c>
      <c r="J5028">
        <v>45533</v>
      </c>
    </row>
    <row r="5029" spans="1:10" x14ac:dyDescent="0.3">
      <c r="A5029" t="s">
        <v>5156</v>
      </c>
      <c r="B5029" s="1">
        <v>46012</v>
      </c>
      <c r="C5029" t="s">
        <v>100</v>
      </c>
      <c r="D5029">
        <v>51</v>
      </c>
      <c r="E5029" t="s">
        <v>70</v>
      </c>
      <c r="F5029" t="s">
        <v>122</v>
      </c>
      <c r="G5029" t="s">
        <v>63</v>
      </c>
      <c r="H5029" t="s">
        <v>98</v>
      </c>
      <c r="I5029">
        <v>26316</v>
      </c>
      <c r="J5029">
        <v>30448</v>
      </c>
    </row>
    <row r="5030" spans="1:10" x14ac:dyDescent="0.3">
      <c r="A5030" t="s">
        <v>5157</v>
      </c>
      <c r="B5030" s="1">
        <v>45906</v>
      </c>
      <c r="C5030" t="s">
        <v>38</v>
      </c>
      <c r="D5030">
        <v>36</v>
      </c>
      <c r="E5030" t="s">
        <v>12</v>
      </c>
      <c r="F5030" t="s">
        <v>57</v>
      </c>
      <c r="G5030" t="s">
        <v>253</v>
      </c>
      <c r="H5030" t="s">
        <v>48</v>
      </c>
      <c r="I5030">
        <v>23547</v>
      </c>
      <c r="J5030">
        <v>20927</v>
      </c>
    </row>
    <row r="5031" spans="1:10" x14ac:dyDescent="0.3">
      <c r="A5031" t="s">
        <v>5158</v>
      </c>
      <c r="B5031" s="1">
        <v>45974</v>
      </c>
      <c r="C5031" t="s">
        <v>23</v>
      </c>
      <c r="D5031">
        <v>46</v>
      </c>
      <c r="E5031" t="s">
        <v>39</v>
      </c>
      <c r="F5031" t="s">
        <v>87</v>
      </c>
      <c r="G5031" t="s">
        <v>83</v>
      </c>
      <c r="H5031" t="s">
        <v>96</v>
      </c>
      <c r="I5031">
        <v>29743</v>
      </c>
      <c r="J5031">
        <v>23947</v>
      </c>
    </row>
    <row r="5032" spans="1:10" x14ac:dyDescent="0.3">
      <c r="A5032" t="s">
        <v>5159</v>
      </c>
      <c r="B5032" s="1">
        <v>45962</v>
      </c>
      <c r="C5032" t="s">
        <v>23</v>
      </c>
      <c r="D5032">
        <v>44</v>
      </c>
      <c r="E5032" t="s">
        <v>18</v>
      </c>
      <c r="F5032" t="s">
        <v>25</v>
      </c>
      <c r="G5032" t="s">
        <v>291</v>
      </c>
      <c r="H5032" t="s">
        <v>155</v>
      </c>
      <c r="I5032">
        <v>26439</v>
      </c>
      <c r="J5032">
        <v>30681</v>
      </c>
    </row>
    <row r="5033" spans="1:10" x14ac:dyDescent="0.3">
      <c r="A5033" t="s">
        <v>5160</v>
      </c>
      <c r="B5033" s="1">
        <v>45961</v>
      </c>
      <c r="C5033" t="s">
        <v>66</v>
      </c>
      <c r="D5033">
        <v>44</v>
      </c>
      <c r="E5033" t="s">
        <v>39</v>
      </c>
      <c r="F5033" t="s">
        <v>19</v>
      </c>
      <c r="G5033" t="s">
        <v>63</v>
      </c>
      <c r="H5033" t="s">
        <v>55</v>
      </c>
      <c r="I5033">
        <v>33062</v>
      </c>
      <c r="J5033">
        <v>31789</v>
      </c>
    </row>
    <row r="5034" spans="1:10" x14ac:dyDescent="0.3">
      <c r="A5034" t="s">
        <v>5161</v>
      </c>
      <c r="B5034" s="1">
        <v>45661</v>
      </c>
      <c r="C5034" t="s">
        <v>17</v>
      </c>
      <c r="D5034">
        <v>1</v>
      </c>
      <c r="E5034" t="s">
        <v>70</v>
      </c>
      <c r="F5034" t="s">
        <v>193</v>
      </c>
      <c r="G5034" t="s">
        <v>54</v>
      </c>
      <c r="H5034" t="s">
        <v>15</v>
      </c>
      <c r="I5034">
        <v>37233</v>
      </c>
      <c r="J5034">
        <v>27887</v>
      </c>
    </row>
    <row r="5035" spans="1:10" x14ac:dyDescent="0.3">
      <c r="A5035" t="s">
        <v>5162</v>
      </c>
      <c r="B5035" s="1">
        <v>45663</v>
      </c>
      <c r="C5035" t="s">
        <v>17</v>
      </c>
      <c r="D5035">
        <v>2</v>
      </c>
      <c r="E5035" t="s">
        <v>39</v>
      </c>
      <c r="F5035" t="s">
        <v>13</v>
      </c>
      <c r="G5035" t="s">
        <v>130</v>
      </c>
      <c r="H5035" t="s">
        <v>15</v>
      </c>
      <c r="I5035">
        <v>39780</v>
      </c>
      <c r="J5035">
        <v>47740</v>
      </c>
    </row>
    <row r="5036" spans="1:10" x14ac:dyDescent="0.3">
      <c r="A5036" t="s">
        <v>5163</v>
      </c>
      <c r="B5036" s="1">
        <v>45914</v>
      </c>
      <c r="C5036" t="s">
        <v>38</v>
      </c>
      <c r="D5036">
        <v>37</v>
      </c>
      <c r="E5036" t="s">
        <v>70</v>
      </c>
      <c r="F5036" t="s">
        <v>114</v>
      </c>
      <c r="G5036" t="s">
        <v>115</v>
      </c>
      <c r="H5036" t="s">
        <v>111</v>
      </c>
      <c r="I5036">
        <v>34971</v>
      </c>
      <c r="J5036">
        <v>37705</v>
      </c>
    </row>
    <row r="5037" spans="1:10" x14ac:dyDescent="0.3">
      <c r="A5037" t="s">
        <v>5164</v>
      </c>
      <c r="B5037" s="1">
        <v>45910</v>
      </c>
      <c r="C5037" t="s">
        <v>38</v>
      </c>
      <c r="D5037">
        <v>37</v>
      </c>
      <c r="E5037" t="s">
        <v>39</v>
      </c>
      <c r="F5037" t="s">
        <v>57</v>
      </c>
      <c r="G5037" t="s">
        <v>234</v>
      </c>
      <c r="H5037" t="s">
        <v>211</v>
      </c>
      <c r="I5037">
        <v>38035</v>
      </c>
      <c r="J5037">
        <v>48808</v>
      </c>
    </row>
    <row r="5038" spans="1:10" x14ac:dyDescent="0.3">
      <c r="A5038" t="s">
        <v>5165</v>
      </c>
      <c r="B5038" s="1">
        <v>45658</v>
      </c>
      <c r="C5038" t="s">
        <v>17</v>
      </c>
      <c r="D5038">
        <v>1</v>
      </c>
      <c r="E5038" t="s">
        <v>61</v>
      </c>
      <c r="F5038" t="s">
        <v>92</v>
      </c>
      <c r="G5038" t="s">
        <v>291</v>
      </c>
      <c r="H5038" t="s">
        <v>111</v>
      </c>
      <c r="I5038">
        <v>19567</v>
      </c>
      <c r="J5038">
        <v>22594</v>
      </c>
    </row>
    <row r="5039" spans="1:10" x14ac:dyDescent="0.3">
      <c r="A5039" t="s">
        <v>5166</v>
      </c>
      <c r="B5039" s="1">
        <v>45839</v>
      </c>
      <c r="C5039" t="s">
        <v>11</v>
      </c>
      <c r="D5039">
        <v>27</v>
      </c>
      <c r="E5039" t="s">
        <v>39</v>
      </c>
      <c r="F5039" t="s">
        <v>29</v>
      </c>
      <c r="G5039" t="s">
        <v>201</v>
      </c>
      <c r="H5039" t="s">
        <v>163</v>
      </c>
      <c r="I5039">
        <v>27028</v>
      </c>
      <c r="J5039">
        <v>35006</v>
      </c>
    </row>
    <row r="5040" spans="1:10" x14ac:dyDescent="0.3">
      <c r="A5040" t="s">
        <v>5167</v>
      </c>
      <c r="B5040" s="1">
        <v>46010</v>
      </c>
      <c r="C5040" t="s">
        <v>100</v>
      </c>
      <c r="D5040">
        <v>51</v>
      </c>
      <c r="E5040" t="s">
        <v>12</v>
      </c>
      <c r="F5040" t="s">
        <v>75</v>
      </c>
      <c r="G5040" t="s">
        <v>72</v>
      </c>
      <c r="H5040" t="s">
        <v>155</v>
      </c>
      <c r="I5040">
        <v>31210</v>
      </c>
      <c r="J5040">
        <v>22838</v>
      </c>
    </row>
    <row r="5041" spans="1:10" x14ac:dyDescent="0.3">
      <c r="A5041" t="s">
        <v>5168</v>
      </c>
      <c r="B5041" s="1">
        <v>45716</v>
      </c>
      <c r="C5041" t="s">
        <v>82</v>
      </c>
      <c r="D5041">
        <v>9</v>
      </c>
      <c r="E5041" t="s">
        <v>12</v>
      </c>
      <c r="F5041" t="s">
        <v>62</v>
      </c>
      <c r="G5041" t="s">
        <v>135</v>
      </c>
      <c r="H5041" t="s">
        <v>116</v>
      </c>
      <c r="I5041">
        <v>39787</v>
      </c>
      <c r="J5041">
        <v>41384</v>
      </c>
    </row>
    <row r="5042" spans="1:10" x14ac:dyDescent="0.3">
      <c r="A5042" t="s">
        <v>5169</v>
      </c>
      <c r="B5042" s="1">
        <v>45756</v>
      </c>
      <c r="C5042" t="s">
        <v>86</v>
      </c>
      <c r="D5042">
        <v>15</v>
      </c>
      <c r="E5042" t="s">
        <v>12</v>
      </c>
      <c r="F5042" t="s">
        <v>140</v>
      </c>
      <c r="G5042" t="s">
        <v>115</v>
      </c>
      <c r="H5042" t="s">
        <v>157</v>
      </c>
      <c r="I5042">
        <v>31955</v>
      </c>
      <c r="J5042">
        <v>36857</v>
      </c>
    </row>
    <row r="5043" spans="1:10" x14ac:dyDescent="0.3">
      <c r="A5043" t="s">
        <v>5170</v>
      </c>
      <c r="B5043" s="1">
        <v>45711</v>
      </c>
      <c r="C5043" t="s">
        <v>82</v>
      </c>
      <c r="D5043">
        <v>8</v>
      </c>
      <c r="E5043" t="s">
        <v>12</v>
      </c>
      <c r="F5043" t="s">
        <v>25</v>
      </c>
      <c r="G5043" t="s">
        <v>182</v>
      </c>
      <c r="H5043" t="s">
        <v>123</v>
      </c>
      <c r="I5043">
        <v>25652</v>
      </c>
      <c r="J5043">
        <v>26967</v>
      </c>
    </row>
    <row r="5044" spans="1:10" x14ac:dyDescent="0.3">
      <c r="A5044" t="s">
        <v>5171</v>
      </c>
      <c r="B5044" s="1">
        <v>45688</v>
      </c>
      <c r="C5044" t="s">
        <v>17</v>
      </c>
      <c r="D5044">
        <v>5</v>
      </c>
      <c r="E5044" t="s">
        <v>12</v>
      </c>
      <c r="F5044" t="s">
        <v>114</v>
      </c>
      <c r="G5044" t="s">
        <v>63</v>
      </c>
      <c r="H5044" t="s">
        <v>133</v>
      </c>
      <c r="I5044">
        <v>30196</v>
      </c>
      <c r="J5044">
        <v>28500</v>
      </c>
    </row>
    <row r="5045" spans="1:10" x14ac:dyDescent="0.3">
      <c r="A5045" t="s">
        <v>5172</v>
      </c>
      <c r="B5045" s="1">
        <v>45804</v>
      </c>
      <c r="C5045" t="s">
        <v>90</v>
      </c>
      <c r="D5045">
        <v>22</v>
      </c>
      <c r="E5045" t="s">
        <v>24</v>
      </c>
      <c r="F5045" t="s">
        <v>78</v>
      </c>
      <c r="G5045" t="s">
        <v>14</v>
      </c>
      <c r="H5045" t="s">
        <v>123</v>
      </c>
      <c r="I5045">
        <v>23626</v>
      </c>
      <c r="J5045">
        <v>30540</v>
      </c>
    </row>
    <row r="5046" spans="1:10" x14ac:dyDescent="0.3">
      <c r="A5046" t="s">
        <v>5173</v>
      </c>
      <c r="B5046" s="1">
        <v>45764</v>
      </c>
      <c r="C5046" t="s">
        <v>86</v>
      </c>
      <c r="D5046">
        <v>16</v>
      </c>
      <c r="E5046" t="s">
        <v>33</v>
      </c>
      <c r="F5046" t="s">
        <v>25</v>
      </c>
      <c r="G5046" t="s">
        <v>115</v>
      </c>
      <c r="H5046" t="s">
        <v>52</v>
      </c>
      <c r="I5046">
        <v>26031</v>
      </c>
      <c r="J5046">
        <v>19776</v>
      </c>
    </row>
    <row r="5047" spans="1:10" x14ac:dyDescent="0.3">
      <c r="A5047" t="s">
        <v>5174</v>
      </c>
      <c r="B5047" s="1">
        <v>45958</v>
      </c>
      <c r="C5047" t="s">
        <v>66</v>
      </c>
      <c r="D5047">
        <v>44</v>
      </c>
      <c r="E5047" t="s">
        <v>39</v>
      </c>
      <c r="F5047" t="s">
        <v>92</v>
      </c>
      <c r="G5047" t="s">
        <v>63</v>
      </c>
      <c r="H5047" t="s">
        <v>21</v>
      </c>
      <c r="I5047">
        <v>32640</v>
      </c>
      <c r="J5047">
        <v>33833</v>
      </c>
    </row>
    <row r="5048" spans="1:10" x14ac:dyDescent="0.3">
      <c r="A5048" t="s">
        <v>5175</v>
      </c>
      <c r="B5048" s="1">
        <v>45918</v>
      </c>
      <c r="C5048" t="s">
        <v>38</v>
      </c>
      <c r="D5048">
        <v>38</v>
      </c>
      <c r="E5048" t="s">
        <v>24</v>
      </c>
      <c r="F5048" t="s">
        <v>114</v>
      </c>
      <c r="G5048" t="s">
        <v>128</v>
      </c>
      <c r="H5048" t="s">
        <v>80</v>
      </c>
      <c r="I5048">
        <v>16225</v>
      </c>
      <c r="J5048">
        <v>13150</v>
      </c>
    </row>
    <row r="5049" spans="1:10" x14ac:dyDescent="0.3">
      <c r="A5049" t="s">
        <v>5176</v>
      </c>
      <c r="B5049" s="1">
        <v>45785</v>
      </c>
      <c r="C5049" t="s">
        <v>90</v>
      </c>
      <c r="D5049">
        <v>19</v>
      </c>
      <c r="E5049" t="s">
        <v>61</v>
      </c>
      <c r="F5049" t="s">
        <v>92</v>
      </c>
      <c r="G5049" t="s">
        <v>26</v>
      </c>
      <c r="H5049" t="s">
        <v>15</v>
      </c>
      <c r="I5049">
        <v>17983</v>
      </c>
      <c r="J5049">
        <v>16724</v>
      </c>
    </row>
    <row r="5050" spans="1:10" x14ac:dyDescent="0.3">
      <c r="A5050" t="s">
        <v>5177</v>
      </c>
      <c r="B5050" s="1">
        <v>45899</v>
      </c>
      <c r="C5050" t="s">
        <v>113</v>
      </c>
      <c r="D5050">
        <v>35</v>
      </c>
      <c r="E5050" t="s">
        <v>61</v>
      </c>
      <c r="F5050" t="s">
        <v>78</v>
      </c>
      <c r="G5050" t="s">
        <v>63</v>
      </c>
      <c r="H5050" t="s">
        <v>165</v>
      </c>
      <c r="I5050">
        <v>17520</v>
      </c>
      <c r="J5050">
        <v>19598</v>
      </c>
    </row>
    <row r="5051" spans="1:10" x14ac:dyDescent="0.3">
      <c r="A5051" t="s">
        <v>5178</v>
      </c>
      <c r="B5051" s="1">
        <v>46007</v>
      </c>
      <c r="C5051" t="s">
        <v>100</v>
      </c>
      <c r="D5051">
        <v>51</v>
      </c>
      <c r="E5051" t="s">
        <v>12</v>
      </c>
      <c r="F5051" t="s">
        <v>46</v>
      </c>
      <c r="G5051" t="s">
        <v>51</v>
      </c>
      <c r="H5051" t="s">
        <v>84</v>
      </c>
      <c r="I5051">
        <v>36457</v>
      </c>
      <c r="J5051">
        <v>28462</v>
      </c>
    </row>
    <row r="5052" spans="1:10" x14ac:dyDescent="0.3">
      <c r="A5052" t="s">
        <v>5179</v>
      </c>
      <c r="B5052" s="1">
        <v>45976</v>
      </c>
      <c r="C5052" t="s">
        <v>23</v>
      </c>
      <c r="D5052">
        <v>46</v>
      </c>
      <c r="E5052" t="s">
        <v>61</v>
      </c>
      <c r="F5052" t="s">
        <v>114</v>
      </c>
      <c r="G5052" t="s">
        <v>76</v>
      </c>
      <c r="H5052" t="s">
        <v>36</v>
      </c>
      <c r="I5052">
        <v>28786</v>
      </c>
      <c r="J5052">
        <v>34693</v>
      </c>
    </row>
    <row r="5053" spans="1:10" x14ac:dyDescent="0.3">
      <c r="A5053" t="s">
        <v>5180</v>
      </c>
      <c r="B5053" s="1">
        <v>45865</v>
      </c>
      <c r="C5053" t="s">
        <v>11</v>
      </c>
      <c r="D5053">
        <v>30</v>
      </c>
      <c r="E5053" t="s">
        <v>61</v>
      </c>
      <c r="F5053" t="s">
        <v>75</v>
      </c>
      <c r="G5053" t="s">
        <v>149</v>
      </c>
      <c r="H5053" t="s">
        <v>119</v>
      </c>
      <c r="I5053">
        <v>17312</v>
      </c>
      <c r="J5053">
        <v>14718</v>
      </c>
    </row>
    <row r="5054" spans="1:10" x14ac:dyDescent="0.3">
      <c r="A5054" t="s">
        <v>5181</v>
      </c>
      <c r="B5054" s="1">
        <v>45690</v>
      </c>
      <c r="C5054" t="s">
        <v>82</v>
      </c>
      <c r="D5054">
        <v>5</v>
      </c>
      <c r="E5054" t="s">
        <v>70</v>
      </c>
      <c r="F5054" t="s">
        <v>29</v>
      </c>
      <c r="G5054" t="s">
        <v>20</v>
      </c>
      <c r="H5054" t="s">
        <v>116</v>
      </c>
      <c r="I5054">
        <v>31204</v>
      </c>
      <c r="J5054">
        <v>38688</v>
      </c>
    </row>
    <row r="5055" spans="1:10" x14ac:dyDescent="0.3">
      <c r="A5055" t="s">
        <v>5182</v>
      </c>
      <c r="B5055" s="1">
        <v>45899</v>
      </c>
      <c r="C5055" t="s">
        <v>113</v>
      </c>
      <c r="D5055">
        <v>35</v>
      </c>
      <c r="E5055" t="s">
        <v>39</v>
      </c>
      <c r="F5055" t="s">
        <v>193</v>
      </c>
      <c r="G5055" t="s">
        <v>234</v>
      </c>
      <c r="H5055" t="s">
        <v>155</v>
      </c>
      <c r="I5055">
        <v>21239</v>
      </c>
      <c r="J5055">
        <v>25054</v>
      </c>
    </row>
    <row r="5056" spans="1:10" x14ac:dyDescent="0.3">
      <c r="A5056" t="s">
        <v>5183</v>
      </c>
      <c r="B5056" s="1">
        <v>46005</v>
      </c>
      <c r="C5056" t="s">
        <v>100</v>
      </c>
      <c r="D5056">
        <v>50</v>
      </c>
      <c r="E5056" t="s">
        <v>24</v>
      </c>
      <c r="F5056" t="s">
        <v>57</v>
      </c>
      <c r="G5056" t="s">
        <v>51</v>
      </c>
      <c r="H5056" t="s">
        <v>151</v>
      </c>
      <c r="I5056">
        <v>23508</v>
      </c>
      <c r="J5056">
        <v>28083</v>
      </c>
    </row>
    <row r="5057" spans="1:10" x14ac:dyDescent="0.3">
      <c r="A5057" t="s">
        <v>5184</v>
      </c>
      <c r="B5057" s="1">
        <v>45917</v>
      </c>
      <c r="C5057" t="s">
        <v>38</v>
      </c>
      <c r="D5057">
        <v>38</v>
      </c>
      <c r="E5057" t="s">
        <v>12</v>
      </c>
      <c r="F5057" t="s">
        <v>19</v>
      </c>
      <c r="G5057" t="s">
        <v>110</v>
      </c>
      <c r="H5057" t="s">
        <v>48</v>
      </c>
      <c r="I5057">
        <v>17045</v>
      </c>
      <c r="J5057">
        <v>21231</v>
      </c>
    </row>
    <row r="5058" spans="1:10" x14ac:dyDescent="0.3">
      <c r="A5058" t="s">
        <v>5185</v>
      </c>
      <c r="B5058" s="1">
        <v>46004</v>
      </c>
      <c r="C5058" t="s">
        <v>100</v>
      </c>
      <c r="D5058">
        <v>50</v>
      </c>
      <c r="E5058" t="s">
        <v>33</v>
      </c>
      <c r="F5058" t="s">
        <v>57</v>
      </c>
      <c r="G5058" t="s">
        <v>191</v>
      </c>
      <c r="H5058" t="s">
        <v>165</v>
      </c>
      <c r="I5058">
        <v>21771</v>
      </c>
      <c r="J5058">
        <v>18801</v>
      </c>
    </row>
    <row r="5059" spans="1:10" x14ac:dyDescent="0.3">
      <c r="A5059" t="s">
        <v>5186</v>
      </c>
      <c r="B5059" s="1">
        <v>45952</v>
      </c>
      <c r="C5059" t="s">
        <v>66</v>
      </c>
      <c r="D5059">
        <v>43</v>
      </c>
      <c r="E5059" t="s">
        <v>33</v>
      </c>
      <c r="F5059" t="s">
        <v>43</v>
      </c>
      <c r="G5059" t="s">
        <v>93</v>
      </c>
      <c r="H5059" t="s">
        <v>133</v>
      </c>
      <c r="I5059">
        <v>37772</v>
      </c>
      <c r="J5059">
        <v>26724</v>
      </c>
    </row>
    <row r="5060" spans="1:10" x14ac:dyDescent="0.3">
      <c r="A5060" t="s">
        <v>5187</v>
      </c>
      <c r="B5060" s="1">
        <v>45856</v>
      </c>
      <c r="C5060" t="s">
        <v>11</v>
      </c>
      <c r="D5060">
        <v>29</v>
      </c>
      <c r="E5060" t="s">
        <v>33</v>
      </c>
      <c r="F5060" t="s">
        <v>78</v>
      </c>
      <c r="G5060" t="s">
        <v>266</v>
      </c>
      <c r="H5060" t="s">
        <v>123</v>
      </c>
      <c r="I5060">
        <v>17420</v>
      </c>
      <c r="J5060">
        <v>15660</v>
      </c>
    </row>
    <row r="5061" spans="1:10" x14ac:dyDescent="0.3">
      <c r="A5061" t="s">
        <v>5188</v>
      </c>
      <c r="B5061" s="1">
        <v>45715</v>
      </c>
      <c r="C5061" t="s">
        <v>82</v>
      </c>
      <c r="D5061">
        <v>9</v>
      </c>
      <c r="E5061" t="s">
        <v>18</v>
      </c>
      <c r="F5061" t="s">
        <v>62</v>
      </c>
      <c r="G5061" t="s">
        <v>76</v>
      </c>
      <c r="H5061" t="s">
        <v>27</v>
      </c>
      <c r="I5061">
        <v>34590</v>
      </c>
      <c r="J5061">
        <v>43212</v>
      </c>
    </row>
    <row r="5062" spans="1:10" x14ac:dyDescent="0.3">
      <c r="A5062" t="s">
        <v>5189</v>
      </c>
      <c r="B5062" s="1">
        <v>45720</v>
      </c>
      <c r="C5062" t="s">
        <v>95</v>
      </c>
      <c r="D5062">
        <v>10</v>
      </c>
      <c r="E5062" t="s">
        <v>70</v>
      </c>
      <c r="F5062" t="s">
        <v>109</v>
      </c>
      <c r="G5062" t="s">
        <v>126</v>
      </c>
      <c r="H5062" t="s">
        <v>48</v>
      </c>
      <c r="I5062">
        <v>25821</v>
      </c>
      <c r="J5062">
        <v>31829</v>
      </c>
    </row>
    <row r="5063" spans="1:10" x14ac:dyDescent="0.3">
      <c r="A5063" t="s">
        <v>5190</v>
      </c>
      <c r="B5063" s="1">
        <v>45663</v>
      </c>
      <c r="C5063" t="s">
        <v>17</v>
      </c>
      <c r="D5063">
        <v>2</v>
      </c>
      <c r="E5063" t="s">
        <v>33</v>
      </c>
      <c r="F5063" t="s">
        <v>193</v>
      </c>
      <c r="G5063" t="s">
        <v>171</v>
      </c>
      <c r="H5063" t="s">
        <v>155</v>
      </c>
      <c r="I5063">
        <v>24113</v>
      </c>
      <c r="J5063">
        <v>20217</v>
      </c>
    </row>
    <row r="5064" spans="1:10" x14ac:dyDescent="0.3">
      <c r="A5064" t="s">
        <v>5191</v>
      </c>
      <c r="B5064" s="1">
        <v>45877</v>
      </c>
      <c r="C5064" t="s">
        <v>113</v>
      </c>
      <c r="D5064">
        <v>32</v>
      </c>
      <c r="E5064" t="s">
        <v>18</v>
      </c>
      <c r="F5064" t="s">
        <v>13</v>
      </c>
      <c r="G5064" t="s">
        <v>137</v>
      </c>
      <c r="H5064" t="s">
        <v>41</v>
      </c>
      <c r="I5064">
        <v>15446</v>
      </c>
      <c r="J5064">
        <v>12204</v>
      </c>
    </row>
    <row r="5065" spans="1:10" x14ac:dyDescent="0.3">
      <c r="A5065" t="s">
        <v>5192</v>
      </c>
      <c r="B5065" s="1">
        <v>45867</v>
      </c>
      <c r="C5065" t="s">
        <v>11</v>
      </c>
      <c r="D5065">
        <v>31</v>
      </c>
      <c r="E5065" t="s">
        <v>18</v>
      </c>
      <c r="F5065" t="s">
        <v>109</v>
      </c>
      <c r="G5065" t="s">
        <v>26</v>
      </c>
      <c r="H5065" t="s">
        <v>98</v>
      </c>
      <c r="I5065">
        <v>18145</v>
      </c>
      <c r="J5065">
        <v>13662</v>
      </c>
    </row>
    <row r="5066" spans="1:10" x14ac:dyDescent="0.3">
      <c r="A5066" t="s">
        <v>5193</v>
      </c>
      <c r="B5066" s="1">
        <v>45780</v>
      </c>
      <c r="C5066" t="s">
        <v>90</v>
      </c>
      <c r="D5066">
        <v>18</v>
      </c>
      <c r="E5066" t="s">
        <v>18</v>
      </c>
      <c r="F5066" t="s">
        <v>34</v>
      </c>
      <c r="G5066" t="s">
        <v>102</v>
      </c>
      <c r="H5066" t="s">
        <v>55</v>
      </c>
      <c r="I5066">
        <v>35929</v>
      </c>
      <c r="J5066">
        <v>37923</v>
      </c>
    </row>
    <row r="5067" spans="1:10" x14ac:dyDescent="0.3">
      <c r="A5067" t="s">
        <v>5194</v>
      </c>
      <c r="B5067" s="1">
        <v>45863</v>
      </c>
      <c r="C5067" t="s">
        <v>11</v>
      </c>
      <c r="D5067">
        <v>30</v>
      </c>
      <c r="E5067" t="s">
        <v>39</v>
      </c>
      <c r="F5067" t="s">
        <v>122</v>
      </c>
      <c r="G5067" t="s">
        <v>51</v>
      </c>
      <c r="H5067" t="s">
        <v>15</v>
      </c>
      <c r="I5067">
        <v>30686</v>
      </c>
      <c r="J5067">
        <v>29905</v>
      </c>
    </row>
    <row r="5068" spans="1:10" x14ac:dyDescent="0.3">
      <c r="A5068" t="s">
        <v>5195</v>
      </c>
      <c r="B5068" s="1">
        <v>45723</v>
      </c>
      <c r="C5068" t="s">
        <v>95</v>
      </c>
      <c r="D5068">
        <v>10</v>
      </c>
      <c r="E5068" t="s">
        <v>24</v>
      </c>
      <c r="F5068" t="s">
        <v>140</v>
      </c>
      <c r="G5068" t="s">
        <v>137</v>
      </c>
      <c r="H5068" t="s">
        <v>243</v>
      </c>
      <c r="I5068">
        <v>39420</v>
      </c>
      <c r="J5068">
        <v>45939</v>
      </c>
    </row>
    <row r="5069" spans="1:10" x14ac:dyDescent="0.3">
      <c r="A5069" t="s">
        <v>5196</v>
      </c>
      <c r="B5069" s="1">
        <v>45705</v>
      </c>
      <c r="C5069" t="s">
        <v>82</v>
      </c>
      <c r="D5069">
        <v>8</v>
      </c>
      <c r="E5069" t="s">
        <v>24</v>
      </c>
      <c r="F5069" t="s">
        <v>75</v>
      </c>
      <c r="G5069" t="s">
        <v>110</v>
      </c>
      <c r="H5069" t="s">
        <v>123</v>
      </c>
      <c r="I5069">
        <v>36085</v>
      </c>
      <c r="J5069">
        <v>33099</v>
      </c>
    </row>
    <row r="5070" spans="1:10" x14ac:dyDescent="0.3">
      <c r="A5070" t="s">
        <v>5197</v>
      </c>
      <c r="B5070" s="1">
        <v>45668</v>
      </c>
      <c r="C5070" t="s">
        <v>17</v>
      </c>
      <c r="D5070">
        <v>2</v>
      </c>
      <c r="E5070" t="s">
        <v>33</v>
      </c>
      <c r="F5070" t="s">
        <v>19</v>
      </c>
      <c r="G5070" t="s">
        <v>291</v>
      </c>
      <c r="H5070" t="s">
        <v>96</v>
      </c>
      <c r="I5070">
        <v>22451</v>
      </c>
      <c r="J5070">
        <v>23518</v>
      </c>
    </row>
    <row r="5071" spans="1:10" x14ac:dyDescent="0.3">
      <c r="A5071" t="s">
        <v>5198</v>
      </c>
      <c r="B5071" s="1">
        <v>45845</v>
      </c>
      <c r="C5071" t="s">
        <v>11</v>
      </c>
      <c r="D5071">
        <v>28</v>
      </c>
      <c r="E5071" t="s">
        <v>61</v>
      </c>
      <c r="F5071" t="s">
        <v>50</v>
      </c>
      <c r="G5071" t="s">
        <v>93</v>
      </c>
      <c r="H5071" t="s">
        <v>123</v>
      </c>
      <c r="I5071">
        <v>36538</v>
      </c>
      <c r="J5071">
        <v>37470</v>
      </c>
    </row>
    <row r="5072" spans="1:10" x14ac:dyDescent="0.3">
      <c r="A5072" t="s">
        <v>5199</v>
      </c>
      <c r="B5072" s="1">
        <v>46007</v>
      </c>
      <c r="C5072" t="s">
        <v>100</v>
      </c>
      <c r="D5072">
        <v>51</v>
      </c>
      <c r="E5072" t="s">
        <v>61</v>
      </c>
      <c r="F5072" t="s">
        <v>140</v>
      </c>
      <c r="G5072" t="s">
        <v>14</v>
      </c>
      <c r="H5072" t="s">
        <v>163</v>
      </c>
      <c r="I5072">
        <v>16075</v>
      </c>
      <c r="J5072">
        <v>20395</v>
      </c>
    </row>
    <row r="5073" spans="1:10" x14ac:dyDescent="0.3">
      <c r="A5073" t="s">
        <v>5200</v>
      </c>
      <c r="B5073" s="1">
        <v>45751</v>
      </c>
      <c r="C5073" t="s">
        <v>86</v>
      </c>
      <c r="D5073">
        <v>14</v>
      </c>
      <c r="E5073" t="s">
        <v>24</v>
      </c>
      <c r="F5073" t="s">
        <v>13</v>
      </c>
      <c r="G5073" t="s">
        <v>266</v>
      </c>
      <c r="H5073" t="s">
        <v>31</v>
      </c>
      <c r="I5073">
        <v>22017</v>
      </c>
      <c r="J5073">
        <v>21386</v>
      </c>
    </row>
    <row r="5074" spans="1:10" x14ac:dyDescent="0.3">
      <c r="A5074" t="s">
        <v>5201</v>
      </c>
      <c r="B5074" s="1">
        <v>45901</v>
      </c>
      <c r="C5074" t="s">
        <v>38</v>
      </c>
      <c r="D5074">
        <v>36</v>
      </c>
      <c r="E5074" t="s">
        <v>61</v>
      </c>
      <c r="F5074" t="s">
        <v>101</v>
      </c>
      <c r="G5074" t="s">
        <v>102</v>
      </c>
      <c r="H5074" t="s">
        <v>36</v>
      </c>
      <c r="I5074">
        <v>23036</v>
      </c>
      <c r="J5074">
        <v>24483</v>
      </c>
    </row>
    <row r="5075" spans="1:10" x14ac:dyDescent="0.3">
      <c r="A5075" t="s">
        <v>5202</v>
      </c>
      <c r="B5075" s="1">
        <v>45921</v>
      </c>
      <c r="C5075" t="s">
        <v>38</v>
      </c>
      <c r="D5075">
        <v>38</v>
      </c>
      <c r="E5075" t="s">
        <v>12</v>
      </c>
      <c r="F5075" t="s">
        <v>50</v>
      </c>
      <c r="G5075" t="s">
        <v>115</v>
      </c>
      <c r="H5075" t="s">
        <v>163</v>
      </c>
      <c r="I5075">
        <v>29345</v>
      </c>
      <c r="J5075">
        <v>24202</v>
      </c>
    </row>
    <row r="5076" spans="1:10" x14ac:dyDescent="0.3">
      <c r="A5076" t="s">
        <v>5203</v>
      </c>
      <c r="B5076" s="1">
        <v>45845</v>
      </c>
      <c r="C5076" t="s">
        <v>11</v>
      </c>
      <c r="D5076">
        <v>28</v>
      </c>
      <c r="E5076" t="s">
        <v>18</v>
      </c>
      <c r="F5076" t="s">
        <v>78</v>
      </c>
      <c r="G5076" t="s">
        <v>47</v>
      </c>
      <c r="H5076" t="s">
        <v>188</v>
      </c>
      <c r="I5076">
        <v>21038</v>
      </c>
      <c r="J5076">
        <v>23910</v>
      </c>
    </row>
    <row r="5077" spans="1:10" x14ac:dyDescent="0.3">
      <c r="A5077" t="s">
        <v>5204</v>
      </c>
      <c r="B5077" s="1">
        <v>45788</v>
      </c>
      <c r="C5077" t="s">
        <v>90</v>
      </c>
      <c r="D5077">
        <v>19</v>
      </c>
      <c r="E5077" t="s">
        <v>18</v>
      </c>
      <c r="F5077" t="s">
        <v>78</v>
      </c>
      <c r="G5077" t="s">
        <v>67</v>
      </c>
      <c r="H5077" t="s">
        <v>163</v>
      </c>
      <c r="I5077">
        <v>28059</v>
      </c>
      <c r="J5077">
        <v>25695</v>
      </c>
    </row>
    <row r="5078" spans="1:10" x14ac:dyDescent="0.3">
      <c r="A5078" t="s">
        <v>5205</v>
      </c>
      <c r="B5078" s="1">
        <v>45974</v>
      </c>
      <c r="C5078" t="s">
        <v>23</v>
      </c>
      <c r="D5078">
        <v>46</v>
      </c>
      <c r="E5078" t="s">
        <v>33</v>
      </c>
      <c r="F5078" t="s">
        <v>13</v>
      </c>
      <c r="G5078" t="s">
        <v>266</v>
      </c>
      <c r="H5078" t="s">
        <v>31</v>
      </c>
      <c r="I5078">
        <v>29341</v>
      </c>
      <c r="J5078">
        <v>36478</v>
      </c>
    </row>
    <row r="5079" spans="1:10" x14ac:dyDescent="0.3">
      <c r="A5079" t="s">
        <v>5206</v>
      </c>
      <c r="B5079" s="1">
        <v>45665</v>
      </c>
      <c r="C5079" t="s">
        <v>17</v>
      </c>
      <c r="D5079">
        <v>2</v>
      </c>
      <c r="E5079" t="s">
        <v>39</v>
      </c>
      <c r="F5079" t="s">
        <v>46</v>
      </c>
      <c r="G5079" t="s">
        <v>132</v>
      </c>
      <c r="H5079" t="s">
        <v>52</v>
      </c>
      <c r="I5079">
        <v>15902</v>
      </c>
      <c r="J5079">
        <v>20482</v>
      </c>
    </row>
    <row r="5080" spans="1:10" x14ac:dyDescent="0.3">
      <c r="A5080" t="s">
        <v>5207</v>
      </c>
      <c r="B5080" s="1">
        <v>45970</v>
      </c>
      <c r="C5080" t="s">
        <v>23</v>
      </c>
      <c r="D5080">
        <v>45</v>
      </c>
      <c r="E5080" t="s">
        <v>24</v>
      </c>
      <c r="F5080" t="s">
        <v>87</v>
      </c>
      <c r="G5080" t="s">
        <v>83</v>
      </c>
      <c r="H5080" t="s">
        <v>157</v>
      </c>
      <c r="I5080">
        <v>36574</v>
      </c>
      <c r="J5080">
        <v>44634</v>
      </c>
    </row>
    <row r="5081" spans="1:10" x14ac:dyDescent="0.3">
      <c r="A5081" t="s">
        <v>5208</v>
      </c>
      <c r="B5081" s="1">
        <v>45672</v>
      </c>
      <c r="C5081" t="s">
        <v>17</v>
      </c>
      <c r="D5081">
        <v>3</v>
      </c>
      <c r="E5081" t="s">
        <v>12</v>
      </c>
      <c r="F5081" t="s">
        <v>114</v>
      </c>
      <c r="G5081" t="s">
        <v>115</v>
      </c>
      <c r="H5081" t="s">
        <v>163</v>
      </c>
      <c r="I5081">
        <v>28516</v>
      </c>
      <c r="J5081">
        <v>36783</v>
      </c>
    </row>
    <row r="5082" spans="1:10" x14ac:dyDescent="0.3">
      <c r="A5082" t="s">
        <v>5209</v>
      </c>
      <c r="B5082" s="1">
        <v>45952</v>
      </c>
      <c r="C5082" t="s">
        <v>66</v>
      </c>
      <c r="D5082">
        <v>43</v>
      </c>
      <c r="E5082" t="s">
        <v>61</v>
      </c>
      <c r="F5082" t="s">
        <v>78</v>
      </c>
      <c r="G5082" t="s">
        <v>132</v>
      </c>
      <c r="H5082" t="s">
        <v>48</v>
      </c>
      <c r="I5082">
        <v>19845</v>
      </c>
      <c r="J5082">
        <v>15437</v>
      </c>
    </row>
    <row r="5083" spans="1:10" x14ac:dyDescent="0.3">
      <c r="A5083" t="s">
        <v>5210</v>
      </c>
      <c r="B5083" s="1">
        <v>45757</v>
      </c>
      <c r="C5083" t="s">
        <v>86</v>
      </c>
      <c r="D5083">
        <v>15</v>
      </c>
      <c r="E5083" t="s">
        <v>39</v>
      </c>
      <c r="F5083" t="s">
        <v>87</v>
      </c>
      <c r="G5083" t="s">
        <v>324</v>
      </c>
      <c r="H5083" t="s">
        <v>41</v>
      </c>
      <c r="I5083">
        <v>32545</v>
      </c>
      <c r="J5083">
        <v>30377</v>
      </c>
    </row>
    <row r="5084" spans="1:10" x14ac:dyDescent="0.3">
      <c r="A5084" t="s">
        <v>5211</v>
      </c>
      <c r="B5084" s="1">
        <v>45874</v>
      </c>
      <c r="C5084" t="s">
        <v>113</v>
      </c>
      <c r="D5084">
        <v>32</v>
      </c>
      <c r="E5084" t="s">
        <v>39</v>
      </c>
      <c r="F5084" t="s">
        <v>87</v>
      </c>
      <c r="G5084" t="s">
        <v>102</v>
      </c>
      <c r="H5084" t="s">
        <v>151</v>
      </c>
      <c r="I5084">
        <v>17428</v>
      </c>
      <c r="J5084">
        <v>14243</v>
      </c>
    </row>
    <row r="5085" spans="1:10" x14ac:dyDescent="0.3">
      <c r="A5085" t="s">
        <v>5212</v>
      </c>
      <c r="B5085" s="1">
        <v>45781</v>
      </c>
      <c r="C5085" t="s">
        <v>90</v>
      </c>
      <c r="D5085">
        <v>18</v>
      </c>
      <c r="E5085" t="s">
        <v>61</v>
      </c>
      <c r="F5085" t="s">
        <v>50</v>
      </c>
      <c r="G5085" t="s">
        <v>14</v>
      </c>
      <c r="H5085" t="s">
        <v>80</v>
      </c>
      <c r="I5085">
        <v>16539</v>
      </c>
      <c r="J5085">
        <v>19798</v>
      </c>
    </row>
    <row r="5086" spans="1:10" x14ac:dyDescent="0.3">
      <c r="A5086" t="s">
        <v>5213</v>
      </c>
      <c r="B5086" s="1">
        <v>45935</v>
      </c>
      <c r="C5086" t="s">
        <v>66</v>
      </c>
      <c r="D5086">
        <v>40</v>
      </c>
      <c r="E5086" t="s">
        <v>61</v>
      </c>
      <c r="F5086" t="s">
        <v>92</v>
      </c>
      <c r="G5086" t="s">
        <v>63</v>
      </c>
      <c r="H5086" t="s">
        <v>103</v>
      </c>
      <c r="I5086">
        <v>30288</v>
      </c>
      <c r="J5086">
        <v>38653</v>
      </c>
    </row>
    <row r="5087" spans="1:10" x14ac:dyDescent="0.3">
      <c r="A5087" t="s">
        <v>5214</v>
      </c>
      <c r="B5087" s="1">
        <v>45800</v>
      </c>
      <c r="C5087" t="s">
        <v>90</v>
      </c>
      <c r="D5087">
        <v>21</v>
      </c>
      <c r="E5087" t="s">
        <v>33</v>
      </c>
      <c r="F5087" t="s">
        <v>78</v>
      </c>
      <c r="G5087" t="s">
        <v>30</v>
      </c>
      <c r="H5087" t="s">
        <v>55</v>
      </c>
      <c r="I5087">
        <v>24254</v>
      </c>
      <c r="J5087">
        <v>23107</v>
      </c>
    </row>
    <row r="5088" spans="1:10" x14ac:dyDescent="0.3">
      <c r="A5088" t="s">
        <v>5215</v>
      </c>
      <c r="B5088" s="1">
        <v>45686</v>
      </c>
      <c r="C5088" t="s">
        <v>17</v>
      </c>
      <c r="D5088">
        <v>5</v>
      </c>
      <c r="E5088" t="s">
        <v>24</v>
      </c>
      <c r="F5088" t="s">
        <v>25</v>
      </c>
      <c r="G5088" t="s">
        <v>76</v>
      </c>
      <c r="H5088" t="s">
        <v>80</v>
      </c>
      <c r="I5088">
        <v>37528</v>
      </c>
      <c r="J5088">
        <v>29635</v>
      </c>
    </row>
    <row r="5089" spans="1:10" x14ac:dyDescent="0.3">
      <c r="A5089" t="s">
        <v>5216</v>
      </c>
      <c r="B5089" s="1">
        <v>45838</v>
      </c>
      <c r="C5089" t="s">
        <v>74</v>
      </c>
      <c r="D5089">
        <v>27</v>
      </c>
      <c r="E5089" t="s">
        <v>70</v>
      </c>
      <c r="F5089" t="s">
        <v>101</v>
      </c>
      <c r="G5089" t="s">
        <v>26</v>
      </c>
      <c r="H5089" t="s">
        <v>68</v>
      </c>
      <c r="I5089">
        <v>30737</v>
      </c>
      <c r="J5089">
        <v>31599</v>
      </c>
    </row>
    <row r="5090" spans="1:10" x14ac:dyDescent="0.3">
      <c r="A5090" t="s">
        <v>5217</v>
      </c>
      <c r="B5090" s="1">
        <v>45977</v>
      </c>
      <c r="C5090" t="s">
        <v>23</v>
      </c>
      <c r="D5090">
        <v>46</v>
      </c>
      <c r="E5090" t="s">
        <v>18</v>
      </c>
      <c r="F5090" t="s">
        <v>75</v>
      </c>
      <c r="G5090" t="s">
        <v>83</v>
      </c>
      <c r="H5090" t="s">
        <v>98</v>
      </c>
      <c r="I5090">
        <v>26328</v>
      </c>
      <c r="J5090">
        <v>27633</v>
      </c>
    </row>
    <row r="5091" spans="1:10" x14ac:dyDescent="0.3">
      <c r="A5091" t="s">
        <v>5218</v>
      </c>
      <c r="B5091" s="1">
        <v>45743</v>
      </c>
      <c r="C5091" t="s">
        <v>95</v>
      </c>
      <c r="D5091">
        <v>13</v>
      </c>
      <c r="E5091" t="s">
        <v>33</v>
      </c>
      <c r="F5091" t="s">
        <v>29</v>
      </c>
      <c r="G5091" t="s">
        <v>115</v>
      </c>
      <c r="H5091" t="s">
        <v>31</v>
      </c>
      <c r="I5091">
        <v>29135</v>
      </c>
      <c r="J5091">
        <v>21599</v>
      </c>
    </row>
    <row r="5092" spans="1:10" x14ac:dyDescent="0.3">
      <c r="A5092" t="s">
        <v>5219</v>
      </c>
      <c r="B5092" s="1">
        <v>45946</v>
      </c>
      <c r="C5092" t="s">
        <v>66</v>
      </c>
      <c r="D5092">
        <v>42</v>
      </c>
      <c r="E5092" t="s">
        <v>61</v>
      </c>
      <c r="F5092" t="s">
        <v>75</v>
      </c>
      <c r="G5092" t="s">
        <v>79</v>
      </c>
      <c r="H5092" t="s">
        <v>151</v>
      </c>
      <c r="I5092">
        <v>28355</v>
      </c>
      <c r="J5092">
        <v>31626</v>
      </c>
    </row>
    <row r="5093" spans="1:10" x14ac:dyDescent="0.3">
      <c r="A5093" t="s">
        <v>5220</v>
      </c>
      <c r="B5093" s="1">
        <v>45855</v>
      </c>
      <c r="C5093" t="s">
        <v>11</v>
      </c>
      <c r="D5093">
        <v>29</v>
      </c>
      <c r="E5093" t="s">
        <v>61</v>
      </c>
      <c r="F5093" t="s">
        <v>122</v>
      </c>
      <c r="G5093" t="s">
        <v>206</v>
      </c>
      <c r="H5093" t="s">
        <v>31</v>
      </c>
      <c r="I5093">
        <v>18056</v>
      </c>
      <c r="J5093">
        <v>16441</v>
      </c>
    </row>
    <row r="5094" spans="1:10" x14ac:dyDescent="0.3">
      <c r="A5094" t="s">
        <v>5221</v>
      </c>
      <c r="B5094" s="1">
        <v>45862</v>
      </c>
      <c r="C5094" t="s">
        <v>11</v>
      </c>
      <c r="D5094">
        <v>30</v>
      </c>
      <c r="E5094" t="s">
        <v>39</v>
      </c>
      <c r="F5094" t="s">
        <v>109</v>
      </c>
      <c r="G5094" t="s">
        <v>182</v>
      </c>
      <c r="H5094" t="s">
        <v>36</v>
      </c>
      <c r="I5094">
        <v>31940</v>
      </c>
      <c r="J5094">
        <v>26839</v>
      </c>
    </row>
    <row r="5095" spans="1:10" x14ac:dyDescent="0.3">
      <c r="A5095" t="s">
        <v>5222</v>
      </c>
      <c r="B5095" s="1">
        <v>46001</v>
      </c>
      <c r="C5095" t="s">
        <v>100</v>
      </c>
      <c r="D5095">
        <v>50</v>
      </c>
      <c r="E5095" t="s">
        <v>39</v>
      </c>
      <c r="F5095" t="s">
        <v>29</v>
      </c>
      <c r="G5095" t="s">
        <v>130</v>
      </c>
      <c r="H5095" t="s">
        <v>188</v>
      </c>
      <c r="I5095">
        <v>25074</v>
      </c>
      <c r="J5095">
        <v>20109</v>
      </c>
    </row>
    <row r="5096" spans="1:10" x14ac:dyDescent="0.3">
      <c r="A5096" t="s">
        <v>5223</v>
      </c>
      <c r="B5096" s="1">
        <v>45661</v>
      </c>
      <c r="C5096" t="s">
        <v>17</v>
      </c>
      <c r="D5096">
        <v>1</v>
      </c>
      <c r="E5096" t="s">
        <v>33</v>
      </c>
      <c r="F5096" t="s">
        <v>50</v>
      </c>
      <c r="G5096" t="s">
        <v>63</v>
      </c>
      <c r="H5096" t="s">
        <v>55</v>
      </c>
      <c r="I5096">
        <v>38744</v>
      </c>
      <c r="J5096">
        <v>30353</v>
      </c>
    </row>
    <row r="5097" spans="1:10" x14ac:dyDescent="0.3">
      <c r="A5097" t="s">
        <v>5224</v>
      </c>
      <c r="B5097" s="1">
        <v>45975</v>
      </c>
      <c r="C5097" t="s">
        <v>23</v>
      </c>
      <c r="D5097">
        <v>46</v>
      </c>
      <c r="E5097" t="s">
        <v>18</v>
      </c>
      <c r="F5097" t="s">
        <v>193</v>
      </c>
      <c r="G5097" t="s">
        <v>26</v>
      </c>
      <c r="H5097" t="s">
        <v>31</v>
      </c>
      <c r="I5097">
        <v>37336</v>
      </c>
      <c r="J5097">
        <v>27859</v>
      </c>
    </row>
    <row r="5098" spans="1:10" x14ac:dyDescent="0.3">
      <c r="A5098" t="s">
        <v>5225</v>
      </c>
      <c r="B5098" s="1">
        <v>45816</v>
      </c>
      <c r="C5098" t="s">
        <v>74</v>
      </c>
      <c r="D5098">
        <v>23</v>
      </c>
      <c r="E5098" t="s">
        <v>18</v>
      </c>
      <c r="F5098" t="s">
        <v>13</v>
      </c>
      <c r="G5098" t="s">
        <v>67</v>
      </c>
      <c r="H5098" t="s">
        <v>64</v>
      </c>
      <c r="I5098">
        <v>37531</v>
      </c>
      <c r="J5098">
        <v>46928</v>
      </c>
    </row>
    <row r="5099" spans="1:10" x14ac:dyDescent="0.3">
      <c r="A5099" t="s">
        <v>5226</v>
      </c>
      <c r="B5099" s="1">
        <v>45740</v>
      </c>
      <c r="C5099" t="s">
        <v>95</v>
      </c>
      <c r="D5099">
        <v>13</v>
      </c>
      <c r="E5099" t="s">
        <v>61</v>
      </c>
      <c r="F5099" t="s">
        <v>193</v>
      </c>
      <c r="G5099" t="s">
        <v>83</v>
      </c>
      <c r="H5099" t="s">
        <v>188</v>
      </c>
      <c r="I5099">
        <v>28107</v>
      </c>
      <c r="J5099">
        <v>21742</v>
      </c>
    </row>
    <row r="5100" spans="1:10" x14ac:dyDescent="0.3">
      <c r="A5100" t="s">
        <v>5227</v>
      </c>
      <c r="B5100" s="1">
        <v>45762</v>
      </c>
      <c r="C5100" t="s">
        <v>86</v>
      </c>
      <c r="D5100">
        <v>16</v>
      </c>
      <c r="E5100" t="s">
        <v>39</v>
      </c>
      <c r="F5100" t="s">
        <v>87</v>
      </c>
      <c r="G5100" t="s">
        <v>58</v>
      </c>
      <c r="H5100" t="s">
        <v>211</v>
      </c>
      <c r="I5100">
        <v>31328</v>
      </c>
      <c r="J5100">
        <v>23745</v>
      </c>
    </row>
    <row r="5101" spans="1:10" x14ac:dyDescent="0.3">
      <c r="A5101" t="s">
        <v>5228</v>
      </c>
      <c r="B5101" s="1">
        <v>45670</v>
      </c>
      <c r="C5101" t="s">
        <v>17</v>
      </c>
      <c r="D5101">
        <v>3</v>
      </c>
      <c r="E5101" t="s">
        <v>61</v>
      </c>
      <c r="F5101" t="s">
        <v>193</v>
      </c>
      <c r="G5101" t="s">
        <v>266</v>
      </c>
      <c r="H5101" t="s">
        <v>80</v>
      </c>
      <c r="I5101">
        <v>39060</v>
      </c>
      <c r="J5101">
        <v>36918</v>
      </c>
    </row>
    <row r="5102" spans="1:10" x14ac:dyDescent="0.3">
      <c r="A5102" t="s">
        <v>5229</v>
      </c>
      <c r="B5102" s="1">
        <v>45791</v>
      </c>
      <c r="C5102" t="s">
        <v>90</v>
      </c>
      <c r="D5102">
        <v>20</v>
      </c>
      <c r="E5102" t="s">
        <v>18</v>
      </c>
      <c r="F5102" t="s">
        <v>25</v>
      </c>
      <c r="G5102" t="s">
        <v>67</v>
      </c>
      <c r="H5102" t="s">
        <v>165</v>
      </c>
      <c r="I5102">
        <v>22065</v>
      </c>
      <c r="J5102">
        <v>28028</v>
      </c>
    </row>
    <row r="5103" spans="1:10" x14ac:dyDescent="0.3">
      <c r="A5103" t="s">
        <v>5230</v>
      </c>
      <c r="B5103" s="1">
        <v>45981</v>
      </c>
      <c r="C5103" t="s">
        <v>23</v>
      </c>
      <c r="D5103">
        <v>47</v>
      </c>
      <c r="E5103" t="s">
        <v>70</v>
      </c>
      <c r="F5103" t="s">
        <v>19</v>
      </c>
      <c r="G5103" t="s">
        <v>240</v>
      </c>
      <c r="H5103" t="s">
        <v>163</v>
      </c>
      <c r="I5103">
        <v>39249</v>
      </c>
      <c r="J5103">
        <v>47942</v>
      </c>
    </row>
    <row r="5104" spans="1:10" x14ac:dyDescent="0.3">
      <c r="A5104" t="s">
        <v>5231</v>
      </c>
      <c r="B5104" s="1">
        <v>45800</v>
      </c>
      <c r="C5104" t="s">
        <v>90</v>
      </c>
      <c r="D5104">
        <v>21</v>
      </c>
      <c r="E5104" t="s">
        <v>61</v>
      </c>
      <c r="F5104" t="s">
        <v>57</v>
      </c>
      <c r="G5104" t="s">
        <v>234</v>
      </c>
      <c r="H5104" t="s">
        <v>119</v>
      </c>
      <c r="I5104">
        <v>15510</v>
      </c>
      <c r="J5104">
        <v>19975</v>
      </c>
    </row>
    <row r="5105" spans="1:10" x14ac:dyDescent="0.3">
      <c r="A5105" t="s">
        <v>5232</v>
      </c>
      <c r="B5105" s="1">
        <v>45830</v>
      </c>
      <c r="C5105" t="s">
        <v>74</v>
      </c>
      <c r="D5105">
        <v>25</v>
      </c>
      <c r="E5105" t="s">
        <v>70</v>
      </c>
      <c r="F5105" t="s">
        <v>13</v>
      </c>
      <c r="G5105" t="s">
        <v>102</v>
      </c>
      <c r="H5105" t="s">
        <v>103</v>
      </c>
      <c r="I5105">
        <v>39086</v>
      </c>
      <c r="J5105">
        <v>37597</v>
      </c>
    </row>
    <row r="5106" spans="1:10" x14ac:dyDescent="0.3">
      <c r="A5106" t="s">
        <v>5233</v>
      </c>
      <c r="B5106" s="1">
        <v>45826</v>
      </c>
      <c r="C5106" t="s">
        <v>74</v>
      </c>
      <c r="D5106">
        <v>25</v>
      </c>
      <c r="E5106" t="s">
        <v>12</v>
      </c>
      <c r="F5106" t="s">
        <v>78</v>
      </c>
      <c r="G5106" t="s">
        <v>40</v>
      </c>
      <c r="H5106" t="s">
        <v>80</v>
      </c>
      <c r="I5106">
        <v>19032</v>
      </c>
      <c r="J5106">
        <v>18119</v>
      </c>
    </row>
    <row r="5107" spans="1:10" x14ac:dyDescent="0.3">
      <c r="A5107" t="s">
        <v>5234</v>
      </c>
      <c r="B5107" s="1">
        <v>45733</v>
      </c>
      <c r="C5107" t="s">
        <v>95</v>
      </c>
      <c r="D5107">
        <v>12</v>
      </c>
      <c r="E5107" t="s">
        <v>70</v>
      </c>
      <c r="F5107" t="s">
        <v>62</v>
      </c>
      <c r="G5107" t="s">
        <v>26</v>
      </c>
      <c r="H5107" t="s">
        <v>155</v>
      </c>
      <c r="I5107">
        <v>17648</v>
      </c>
      <c r="J5107">
        <v>17897</v>
      </c>
    </row>
    <row r="5108" spans="1:10" x14ac:dyDescent="0.3">
      <c r="A5108" t="s">
        <v>5235</v>
      </c>
      <c r="B5108" s="1">
        <v>45834</v>
      </c>
      <c r="C5108" t="s">
        <v>74</v>
      </c>
      <c r="D5108">
        <v>26</v>
      </c>
      <c r="E5108" t="s">
        <v>39</v>
      </c>
      <c r="F5108" t="s">
        <v>29</v>
      </c>
      <c r="G5108" t="s">
        <v>128</v>
      </c>
      <c r="H5108" t="s">
        <v>111</v>
      </c>
      <c r="I5108">
        <v>18370</v>
      </c>
      <c r="J5108">
        <v>16563</v>
      </c>
    </row>
    <row r="5109" spans="1:10" x14ac:dyDescent="0.3">
      <c r="A5109" t="s">
        <v>5236</v>
      </c>
      <c r="B5109" s="1">
        <v>45976</v>
      </c>
      <c r="C5109" t="s">
        <v>23</v>
      </c>
      <c r="D5109">
        <v>46</v>
      </c>
      <c r="E5109" t="s">
        <v>70</v>
      </c>
      <c r="F5109" t="s">
        <v>75</v>
      </c>
      <c r="G5109" t="s">
        <v>83</v>
      </c>
      <c r="H5109" t="s">
        <v>48</v>
      </c>
      <c r="I5109">
        <v>31372</v>
      </c>
      <c r="J5109">
        <v>23662</v>
      </c>
    </row>
    <row r="5110" spans="1:10" x14ac:dyDescent="0.3">
      <c r="A5110" t="s">
        <v>5237</v>
      </c>
      <c r="B5110" s="1">
        <v>45870</v>
      </c>
      <c r="C5110" t="s">
        <v>113</v>
      </c>
      <c r="D5110">
        <v>31</v>
      </c>
      <c r="E5110" t="s">
        <v>61</v>
      </c>
      <c r="F5110" t="s">
        <v>193</v>
      </c>
      <c r="G5110" t="s">
        <v>118</v>
      </c>
      <c r="H5110" t="s">
        <v>165</v>
      </c>
      <c r="I5110">
        <v>26202</v>
      </c>
      <c r="J5110">
        <v>20145</v>
      </c>
    </row>
    <row r="5111" spans="1:10" x14ac:dyDescent="0.3">
      <c r="A5111" t="s">
        <v>5238</v>
      </c>
      <c r="B5111" s="1">
        <v>45993</v>
      </c>
      <c r="C5111" t="s">
        <v>100</v>
      </c>
      <c r="D5111">
        <v>49</v>
      </c>
      <c r="E5111" t="s">
        <v>18</v>
      </c>
      <c r="F5111" t="s">
        <v>75</v>
      </c>
      <c r="G5111" t="s">
        <v>171</v>
      </c>
      <c r="H5111" t="s">
        <v>151</v>
      </c>
      <c r="I5111">
        <v>19129</v>
      </c>
      <c r="J5111">
        <v>18642</v>
      </c>
    </row>
    <row r="5112" spans="1:10" x14ac:dyDescent="0.3">
      <c r="A5112" t="s">
        <v>5239</v>
      </c>
      <c r="B5112" s="1">
        <v>45976</v>
      </c>
      <c r="C5112" t="s">
        <v>23</v>
      </c>
      <c r="D5112">
        <v>46</v>
      </c>
      <c r="E5112" t="s">
        <v>61</v>
      </c>
      <c r="F5112" t="s">
        <v>13</v>
      </c>
      <c r="G5112" t="s">
        <v>58</v>
      </c>
      <c r="H5112" t="s">
        <v>55</v>
      </c>
      <c r="I5112">
        <v>39740</v>
      </c>
      <c r="J5112">
        <v>35317</v>
      </c>
    </row>
    <row r="5113" spans="1:10" x14ac:dyDescent="0.3">
      <c r="A5113" t="s">
        <v>5240</v>
      </c>
      <c r="B5113" s="1">
        <v>45716</v>
      </c>
      <c r="C5113" t="s">
        <v>82</v>
      </c>
      <c r="D5113">
        <v>9</v>
      </c>
      <c r="E5113" t="s">
        <v>70</v>
      </c>
      <c r="F5113" t="s">
        <v>87</v>
      </c>
      <c r="G5113" t="s">
        <v>102</v>
      </c>
      <c r="H5113" t="s">
        <v>123</v>
      </c>
      <c r="I5113">
        <v>27913</v>
      </c>
      <c r="J5113">
        <v>19968</v>
      </c>
    </row>
    <row r="5114" spans="1:10" x14ac:dyDescent="0.3">
      <c r="A5114" t="s">
        <v>5241</v>
      </c>
      <c r="B5114" s="1">
        <v>45973</v>
      </c>
      <c r="C5114" t="s">
        <v>23</v>
      </c>
      <c r="D5114">
        <v>46</v>
      </c>
      <c r="E5114" t="s">
        <v>12</v>
      </c>
      <c r="F5114" t="s">
        <v>34</v>
      </c>
      <c r="G5114" t="s">
        <v>266</v>
      </c>
      <c r="H5114" t="s">
        <v>103</v>
      </c>
      <c r="I5114">
        <v>33739</v>
      </c>
      <c r="J5114">
        <v>29698</v>
      </c>
    </row>
    <row r="5115" spans="1:10" x14ac:dyDescent="0.3">
      <c r="A5115" t="s">
        <v>5242</v>
      </c>
      <c r="B5115" s="1">
        <v>45899</v>
      </c>
      <c r="C5115" t="s">
        <v>113</v>
      </c>
      <c r="D5115">
        <v>35</v>
      </c>
      <c r="E5115" t="s">
        <v>39</v>
      </c>
      <c r="F5115" t="s">
        <v>46</v>
      </c>
      <c r="G5115" t="s">
        <v>326</v>
      </c>
      <c r="H5115" t="s">
        <v>211</v>
      </c>
      <c r="I5115">
        <v>28384</v>
      </c>
      <c r="J5115">
        <v>34184</v>
      </c>
    </row>
    <row r="5116" spans="1:10" x14ac:dyDescent="0.3">
      <c r="A5116" t="s">
        <v>5243</v>
      </c>
      <c r="B5116" s="1">
        <v>45715</v>
      </c>
      <c r="C5116" t="s">
        <v>82</v>
      </c>
      <c r="D5116">
        <v>9</v>
      </c>
      <c r="E5116" t="s">
        <v>70</v>
      </c>
      <c r="F5116" t="s">
        <v>101</v>
      </c>
      <c r="G5116" t="s">
        <v>199</v>
      </c>
      <c r="H5116" t="s">
        <v>96</v>
      </c>
      <c r="I5116">
        <v>21220</v>
      </c>
      <c r="J5116">
        <v>24558</v>
      </c>
    </row>
    <row r="5117" spans="1:10" x14ac:dyDescent="0.3">
      <c r="A5117" t="s">
        <v>5244</v>
      </c>
      <c r="B5117" s="1">
        <v>45754</v>
      </c>
      <c r="C5117" t="s">
        <v>86</v>
      </c>
      <c r="D5117">
        <v>15</v>
      </c>
      <c r="E5117" t="s">
        <v>39</v>
      </c>
      <c r="F5117" t="s">
        <v>92</v>
      </c>
      <c r="G5117" t="s">
        <v>132</v>
      </c>
      <c r="H5117" t="s">
        <v>59</v>
      </c>
      <c r="I5117">
        <v>38013</v>
      </c>
      <c r="J5117">
        <v>42694</v>
      </c>
    </row>
    <row r="5118" spans="1:10" x14ac:dyDescent="0.3">
      <c r="A5118" t="s">
        <v>5245</v>
      </c>
      <c r="B5118" s="1">
        <v>45761</v>
      </c>
      <c r="C5118" t="s">
        <v>86</v>
      </c>
      <c r="D5118">
        <v>16</v>
      </c>
      <c r="E5118" t="s">
        <v>61</v>
      </c>
      <c r="F5118" t="s">
        <v>46</v>
      </c>
      <c r="G5118" t="s">
        <v>291</v>
      </c>
      <c r="H5118" t="s">
        <v>123</v>
      </c>
      <c r="I5118">
        <v>19217</v>
      </c>
      <c r="J5118">
        <v>22063</v>
      </c>
    </row>
    <row r="5119" spans="1:10" x14ac:dyDescent="0.3">
      <c r="A5119" t="s">
        <v>5246</v>
      </c>
      <c r="B5119" s="1">
        <v>46012</v>
      </c>
      <c r="C5119" t="s">
        <v>100</v>
      </c>
      <c r="D5119">
        <v>51</v>
      </c>
      <c r="E5119" t="s">
        <v>61</v>
      </c>
      <c r="F5119" t="s">
        <v>13</v>
      </c>
      <c r="G5119" t="s">
        <v>14</v>
      </c>
      <c r="H5119" t="s">
        <v>96</v>
      </c>
      <c r="I5119">
        <v>30378</v>
      </c>
      <c r="J5119">
        <v>22064</v>
      </c>
    </row>
    <row r="5120" spans="1:10" x14ac:dyDescent="0.3">
      <c r="A5120" t="s">
        <v>5247</v>
      </c>
      <c r="B5120" s="1">
        <v>45729</v>
      </c>
      <c r="C5120" t="s">
        <v>95</v>
      </c>
      <c r="D5120">
        <v>11</v>
      </c>
      <c r="E5120" t="s">
        <v>24</v>
      </c>
      <c r="F5120" t="s">
        <v>78</v>
      </c>
      <c r="G5120" t="s">
        <v>130</v>
      </c>
      <c r="H5120" t="s">
        <v>59</v>
      </c>
      <c r="I5120">
        <v>30956</v>
      </c>
      <c r="J5120">
        <v>26453</v>
      </c>
    </row>
    <row r="5121" spans="1:10" x14ac:dyDescent="0.3">
      <c r="A5121" t="s">
        <v>5248</v>
      </c>
      <c r="B5121" s="1">
        <v>45984</v>
      </c>
      <c r="C5121" t="s">
        <v>23</v>
      </c>
      <c r="D5121">
        <v>47</v>
      </c>
      <c r="E5121" t="s">
        <v>61</v>
      </c>
      <c r="F5121" t="s">
        <v>29</v>
      </c>
      <c r="G5121" t="s">
        <v>44</v>
      </c>
      <c r="H5121" t="s">
        <v>36</v>
      </c>
      <c r="I5121">
        <v>15315</v>
      </c>
      <c r="J5121">
        <v>15644</v>
      </c>
    </row>
    <row r="5122" spans="1:10" x14ac:dyDescent="0.3">
      <c r="A5122" t="s">
        <v>5249</v>
      </c>
      <c r="B5122" s="1">
        <v>45994</v>
      </c>
      <c r="C5122" t="s">
        <v>100</v>
      </c>
      <c r="D5122">
        <v>49</v>
      </c>
      <c r="E5122" t="s">
        <v>18</v>
      </c>
      <c r="F5122" t="s">
        <v>57</v>
      </c>
      <c r="G5122" t="s">
        <v>79</v>
      </c>
      <c r="H5122" t="s">
        <v>133</v>
      </c>
      <c r="I5122">
        <v>16070</v>
      </c>
      <c r="J5122">
        <v>12060</v>
      </c>
    </row>
    <row r="5123" spans="1:10" x14ac:dyDescent="0.3">
      <c r="A5123" t="s">
        <v>5250</v>
      </c>
      <c r="B5123" s="1">
        <v>46022</v>
      </c>
      <c r="C5123" t="s">
        <v>100</v>
      </c>
      <c r="D5123">
        <v>1</v>
      </c>
      <c r="E5123" t="s">
        <v>18</v>
      </c>
      <c r="F5123" t="s">
        <v>19</v>
      </c>
      <c r="G5123" t="s">
        <v>234</v>
      </c>
      <c r="H5123" t="s">
        <v>116</v>
      </c>
      <c r="I5123">
        <v>23624</v>
      </c>
      <c r="J5123">
        <v>23082</v>
      </c>
    </row>
    <row r="5124" spans="1:10" x14ac:dyDescent="0.3">
      <c r="A5124" t="s">
        <v>5251</v>
      </c>
      <c r="B5124" s="1">
        <v>45767</v>
      </c>
      <c r="C5124" t="s">
        <v>86</v>
      </c>
      <c r="D5124">
        <v>16</v>
      </c>
      <c r="E5124" t="s">
        <v>12</v>
      </c>
      <c r="F5124" t="s">
        <v>193</v>
      </c>
      <c r="G5124" t="s">
        <v>76</v>
      </c>
      <c r="H5124" t="s">
        <v>116</v>
      </c>
      <c r="I5124">
        <v>35564</v>
      </c>
      <c r="J5124">
        <v>26886</v>
      </c>
    </row>
    <row r="5125" spans="1:10" x14ac:dyDescent="0.3">
      <c r="A5125" t="s">
        <v>5252</v>
      </c>
      <c r="B5125" s="1">
        <v>45976</v>
      </c>
      <c r="C5125" t="s">
        <v>23</v>
      </c>
      <c r="D5125">
        <v>46</v>
      </c>
      <c r="E5125" t="s">
        <v>18</v>
      </c>
      <c r="F5125" t="s">
        <v>193</v>
      </c>
      <c r="G5125" t="s">
        <v>102</v>
      </c>
      <c r="H5125" t="s">
        <v>36</v>
      </c>
      <c r="I5125">
        <v>15904</v>
      </c>
      <c r="J5125">
        <v>18500</v>
      </c>
    </row>
    <row r="5126" spans="1:10" x14ac:dyDescent="0.3">
      <c r="A5126" t="s">
        <v>5253</v>
      </c>
      <c r="B5126" s="1">
        <v>45992</v>
      </c>
      <c r="C5126" t="s">
        <v>100</v>
      </c>
      <c r="D5126">
        <v>49</v>
      </c>
      <c r="E5126" t="s">
        <v>39</v>
      </c>
      <c r="F5126" t="s">
        <v>87</v>
      </c>
      <c r="G5126" t="s">
        <v>88</v>
      </c>
      <c r="H5126" t="s">
        <v>165</v>
      </c>
      <c r="I5126">
        <v>34668</v>
      </c>
      <c r="J5126">
        <v>35432</v>
      </c>
    </row>
    <row r="5127" spans="1:10" x14ac:dyDescent="0.3">
      <c r="A5127" t="s">
        <v>5254</v>
      </c>
      <c r="B5127" s="1">
        <v>45698</v>
      </c>
      <c r="C5127" t="s">
        <v>82</v>
      </c>
      <c r="D5127">
        <v>7</v>
      </c>
      <c r="E5127" t="s">
        <v>18</v>
      </c>
      <c r="F5127" t="s">
        <v>13</v>
      </c>
      <c r="G5127" t="s">
        <v>132</v>
      </c>
      <c r="H5127" t="s">
        <v>165</v>
      </c>
      <c r="I5127">
        <v>32654</v>
      </c>
      <c r="J5127">
        <v>29220</v>
      </c>
    </row>
    <row r="5128" spans="1:10" x14ac:dyDescent="0.3">
      <c r="A5128" t="s">
        <v>5255</v>
      </c>
      <c r="B5128" s="1">
        <v>45916</v>
      </c>
      <c r="C5128" t="s">
        <v>38</v>
      </c>
      <c r="D5128">
        <v>38</v>
      </c>
      <c r="E5128" t="s">
        <v>61</v>
      </c>
      <c r="F5128" t="s">
        <v>62</v>
      </c>
      <c r="G5128" t="s">
        <v>149</v>
      </c>
      <c r="H5128" t="s">
        <v>48</v>
      </c>
      <c r="I5128">
        <v>20867</v>
      </c>
      <c r="J5128">
        <v>23978</v>
      </c>
    </row>
    <row r="5129" spans="1:10" x14ac:dyDescent="0.3">
      <c r="A5129" t="s">
        <v>5256</v>
      </c>
      <c r="B5129" s="1">
        <v>45955</v>
      </c>
      <c r="C5129" t="s">
        <v>66</v>
      </c>
      <c r="D5129">
        <v>43</v>
      </c>
      <c r="E5129" t="s">
        <v>70</v>
      </c>
      <c r="F5129" t="s">
        <v>140</v>
      </c>
      <c r="G5129" t="s">
        <v>115</v>
      </c>
      <c r="H5129" t="s">
        <v>116</v>
      </c>
      <c r="I5129">
        <v>33352</v>
      </c>
      <c r="J5129">
        <v>34387</v>
      </c>
    </row>
    <row r="5130" spans="1:10" x14ac:dyDescent="0.3">
      <c r="A5130" t="s">
        <v>5257</v>
      </c>
      <c r="B5130" s="1">
        <v>45696</v>
      </c>
      <c r="C5130" t="s">
        <v>82</v>
      </c>
      <c r="D5130">
        <v>6</v>
      </c>
      <c r="E5130" t="s">
        <v>24</v>
      </c>
      <c r="F5130" t="s">
        <v>122</v>
      </c>
      <c r="G5130" t="s">
        <v>132</v>
      </c>
      <c r="H5130" t="s">
        <v>68</v>
      </c>
      <c r="I5130">
        <v>31884</v>
      </c>
      <c r="J5130">
        <v>31728</v>
      </c>
    </row>
    <row r="5131" spans="1:10" x14ac:dyDescent="0.3">
      <c r="A5131" t="s">
        <v>5258</v>
      </c>
      <c r="B5131" s="1">
        <v>45853</v>
      </c>
      <c r="C5131" t="s">
        <v>11</v>
      </c>
      <c r="D5131">
        <v>29</v>
      </c>
      <c r="E5131" t="s">
        <v>61</v>
      </c>
      <c r="F5131" t="s">
        <v>34</v>
      </c>
      <c r="G5131" t="s">
        <v>145</v>
      </c>
      <c r="H5131" t="s">
        <v>27</v>
      </c>
      <c r="I5131">
        <v>19461</v>
      </c>
      <c r="J5131">
        <v>17795</v>
      </c>
    </row>
    <row r="5132" spans="1:10" x14ac:dyDescent="0.3">
      <c r="A5132" t="s">
        <v>5259</v>
      </c>
      <c r="B5132" s="1">
        <v>45708</v>
      </c>
      <c r="C5132" t="s">
        <v>82</v>
      </c>
      <c r="D5132">
        <v>8</v>
      </c>
      <c r="E5132" t="s">
        <v>61</v>
      </c>
      <c r="F5132" t="s">
        <v>122</v>
      </c>
      <c r="G5132" t="s">
        <v>326</v>
      </c>
      <c r="H5132" t="s">
        <v>103</v>
      </c>
      <c r="I5132">
        <v>31524</v>
      </c>
      <c r="J5132">
        <v>30320</v>
      </c>
    </row>
    <row r="5133" spans="1:10" x14ac:dyDescent="0.3">
      <c r="A5133" t="s">
        <v>5260</v>
      </c>
      <c r="B5133" s="1">
        <v>45933</v>
      </c>
      <c r="C5133" t="s">
        <v>66</v>
      </c>
      <c r="D5133">
        <v>40</v>
      </c>
      <c r="E5133" t="s">
        <v>12</v>
      </c>
      <c r="F5133" t="s">
        <v>92</v>
      </c>
      <c r="G5133" t="s">
        <v>128</v>
      </c>
      <c r="H5133" t="s">
        <v>84</v>
      </c>
      <c r="I5133">
        <v>21849</v>
      </c>
      <c r="J5133">
        <v>19980</v>
      </c>
    </row>
    <row r="5134" spans="1:10" x14ac:dyDescent="0.3">
      <c r="A5134" t="s">
        <v>5261</v>
      </c>
      <c r="B5134" s="1">
        <v>45750</v>
      </c>
      <c r="C5134" t="s">
        <v>86</v>
      </c>
      <c r="D5134">
        <v>14</v>
      </c>
      <c r="E5134" t="s">
        <v>61</v>
      </c>
      <c r="F5134" t="s">
        <v>13</v>
      </c>
      <c r="G5134" t="s">
        <v>14</v>
      </c>
      <c r="H5134" t="s">
        <v>21</v>
      </c>
      <c r="I5134">
        <v>36584</v>
      </c>
      <c r="J5134">
        <v>47328</v>
      </c>
    </row>
    <row r="5135" spans="1:10" x14ac:dyDescent="0.3">
      <c r="A5135" t="s">
        <v>5262</v>
      </c>
      <c r="B5135" s="1">
        <v>46014</v>
      </c>
      <c r="C5135" t="s">
        <v>100</v>
      </c>
      <c r="D5135">
        <v>52</v>
      </c>
      <c r="E5135" t="s">
        <v>70</v>
      </c>
      <c r="F5135" t="s">
        <v>25</v>
      </c>
      <c r="G5135" t="s">
        <v>191</v>
      </c>
      <c r="H5135" t="s">
        <v>36</v>
      </c>
      <c r="I5135">
        <v>31953</v>
      </c>
      <c r="J5135">
        <v>33901</v>
      </c>
    </row>
    <row r="5136" spans="1:10" x14ac:dyDescent="0.3">
      <c r="A5136" t="s">
        <v>5263</v>
      </c>
      <c r="B5136" s="1">
        <v>45860</v>
      </c>
      <c r="C5136" t="s">
        <v>11</v>
      </c>
      <c r="D5136">
        <v>30</v>
      </c>
      <c r="E5136" t="s">
        <v>70</v>
      </c>
      <c r="F5136" t="s">
        <v>193</v>
      </c>
      <c r="G5136" t="s">
        <v>126</v>
      </c>
      <c r="H5136" t="s">
        <v>157</v>
      </c>
      <c r="I5136">
        <v>15656</v>
      </c>
      <c r="J5136">
        <v>18942</v>
      </c>
    </row>
    <row r="5137" spans="1:10" x14ac:dyDescent="0.3">
      <c r="A5137" t="s">
        <v>5264</v>
      </c>
      <c r="B5137" s="1">
        <v>45768</v>
      </c>
      <c r="C5137" t="s">
        <v>86</v>
      </c>
      <c r="D5137">
        <v>17</v>
      </c>
      <c r="E5137" t="s">
        <v>70</v>
      </c>
      <c r="F5137" t="s">
        <v>13</v>
      </c>
      <c r="G5137" t="s">
        <v>224</v>
      </c>
      <c r="H5137" t="s">
        <v>243</v>
      </c>
      <c r="I5137">
        <v>20500</v>
      </c>
      <c r="J5137">
        <v>25821</v>
      </c>
    </row>
    <row r="5138" spans="1:10" x14ac:dyDescent="0.3">
      <c r="A5138" t="s">
        <v>5265</v>
      </c>
      <c r="B5138" s="1">
        <v>45705</v>
      </c>
      <c r="C5138" t="s">
        <v>82</v>
      </c>
      <c r="D5138">
        <v>8</v>
      </c>
      <c r="E5138" t="s">
        <v>39</v>
      </c>
      <c r="F5138" t="s">
        <v>122</v>
      </c>
      <c r="G5138" t="s">
        <v>141</v>
      </c>
      <c r="H5138" t="s">
        <v>84</v>
      </c>
      <c r="I5138">
        <v>19091</v>
      </c>
      <c r="J5138">
        <v>23168</v>
      </c>
    </row>
    <row r="5139" spans="1:10" x14ac:dyDescent="0.3">
      <c r="A5139" t="s">
        <v>5266</v>
      </c>
      <c r="B5139" s="1">
        <v>45879</v>
      </c>
      <c r="C5139" t="s">
        <v>113</v>
      </c>
      <c r="D5139">
        <v>32</v>
      </c>
      <c r="E5139" t="s">
        <v>33</v>
      </c>
      <c r="F5139" t="s">
        <v>25</v>
      </c>
      <c r="G5139" t="s">
        <v>182</v>
      </c>
      <c r="H5139" t="s">
        <v>111</v>
      </c>
      <c r="I5139">
        <v>35404</v>
      </c>
      <c r="J5139">
        <v>33433</v>
      </c>
    </row>
    <row r="5140" spans="1:10" x14ac:dyDescent="0.3">
      <c r="A5140" t="s">
        <v>5267</v>
      </c>
      <c r="B5140" s="1">
        <v>45909</v>
      </c>
      <c r="C5140" t="s">
        <v>38</v>
      </c>
      <c r="D5140">
        <v>37</v>
      </c>
      <c r="E5140" t="s">
        <v>33</v>
      </c>
      <c r="F5140" t="s">
        <v>46</v>
      </c>
      <c r="G5140" t="s">
        <v>88</v>
      </c>
      <c r="H5140" t="s">
        <v>119</v>
      </c>
      <c r="I5140">
        <v>30356</v>
      </c>
      <c r="J5140">
        <v>36301</v>
      </c>
    </row>
    <row r="5141" spans="1:10" x14ac:dyDescent="0.3">
      <c r="A5141" t="s">
        <v>5268</v>
      </c>
      <c r="B5141" s="1">
        <v>45792</v>
      </c>
      <c r="C5141" t="s">
        <v>90</v>
      </c>
      <c r="D5141">
        <v>20</v>
      </c>
      <c r="E5141" t="s">
        <v>70</v>
      </c>
      <c r="F5141" t="s">
        <v>75</v>
      </c>
      <c r="G5141" t="s">
        <v>35</v>
      </c>
      <c r="H5141" t="s">
        <v>64</v>
      </c>
      <c r="I5141">
        <v>26251</v>
      </c>
      <c r="J5141">
        <v>33949</v>
      </c>
    </row>
    <row r="5142" spans="1:10" x14ac:dyDescent="0.3">
      <c r="A5142" t="s">
        <v>5269</v>
      </c>
      <c r="B5142" s="1">
        <v>45773</v>
      </c>
      <c r="C5142" t="s">
        <v>86</v>
      </c>
      <c r="D5142">
        <v>17</v>
      </c>
      <c r="E5142" t="s">
        <v>70</v>
      </c>
      <c r="F5142" t="s">
        <v>13</v>
      </c>
      <c r="G5142" t="s">
        <v>72</v>
      </c>
      <c r="H5142" t="s">
        <v>80</v>
      </c>
      <c r="I5142">
        <v>17279</v>
      </c>
      <c r="J5142">
        <v>16230</v>
      </c>
    </row>
    <row r="5143" spans="1:10" x14ac:dyDescent="0.3">
      <c r="A5143" t="s">
        <v>5270</v>
      </c>
      <c r="B5143" s="1">
        <v>45761</v>
      </c>
      <c r="C5143" t="s">
        <v>86</v>
      </c>
      <c r="D5143">
        <v>16</v>
      </c>
      <c r="E5143" t="s">
        <v>18</v>
      </c>
      <c r="F5143" t="s">
        <v>101</v>
      </c>
      <c r="G5143" t="s">
        <v>20</v>
      </c>
      <c r="H5143" t="s">
        <v>41</v>
      </c>
      <c r="I5143">
        <v>17030</v>
      </c>
      <c r="J5143">
        <v>12564</v>
      </c>
    </row>
    <row r="5144" spans="1:10" x14ac:dyDescent="0.3">
      <c r="A5144" t="s">
        <v>5271</v>
      </c>
      <c r="B5144" s="1">
        <v>45939</v>
      </c>
      <c r="C5144" t="s">
        <v>66</v>
      </c>
      <c r="D5144">
        <v>41</v>
      </c>
      <c r="E5144" t="s">
        <v>33</v>
      </c>
      <c r="F5144" t="s">
        <v>46</v>
      </c>
      <c r="G5144" t="s">
        <v>160</v>
      </c>
      <c r="H5144" t="s">
        <v>80</v>
      </c>
      <c r="I5144">
        <v>19309</v>
      </c>
      <c r="J5144">
        <v>21808</v>
      </c>
    </row>
    <row r="5145" spans="1:10" x14ac:dyDescent="0.3">
      <c r="A5145" t="s">
        <v>5272</v>
      </c>
      <c r="B5145" s="1">
        <v>45819</v>
      </c>
      <c r="C5145" t="s">
        <v>74</v>
      </c>
      <c r="D5145">
        <v>24</v>
      </c>
      <c r="E5145" t="s">
        <v>61</v>
      </c>
      <c r="F5145" t="s">
        <v>29</v>
      </c>
      <c r="G5145" t="s">
        <v>291</v>
      </c>
      <c r="H5145" t="s">
        <v>157</v>
      </c>
      <c r="I5145">
        <v>21444</v>
      </c>
      <c r="J5145">
        <v>18198</v>
      </c>
    </row>
    <row r="5146" spans="1:10" x14ac:dyDescent="0.3">
      <c r="A5146" t="s">
        <v>5273</v>
      </c>
      <c r="B5146" s="1">
        <v>45897</v>
      </c>
      <c r="C5146" t="s">
        <v>113</v>
      </c>
      <c r="D5146">
        <v>35</v>
      </c>
      <c r="E5146" t="s">
        <v>12</v>
      </c>
      <c r="F5146" t="s">
        <v>50</v>
      </c>
      <c r="G5146" t="s">
        <v>182</v>
      </c>
      <c r="H5146" t="s">
        <v>21</v>
      </c>
      <c r="I5146">
        <v>29618</v>
      </c>
      <c r="J5146">
        <v>34565</v>
      </c>
    </row>
    <row r="5147" spans="1:10" x14ac:dyDescent="0.3">
      <c r="A5147" t="s">
        <v>5274</v>
      </c>
      <c r="B5147" s="1">
        <v>45744</v>
      </c>
      <c r="C5147" t="s">
        <v>95</v>
      </c>
      <c r="D5147">
        <v>13</v>
      </c>
      <c r="E5147" t="s">
        <v>61</v>
      </c>
      <c r="F5147" t="s">
        <v>25</v>
      </c>
      <c r="G5147" t="s">
        <v>145</v>
      </c>
      <c r="H5147" t="s">
        <v>211</v>
      </c>
      <c r="I5147">
        <v>31982</v>
      </c>
      <c r="J5147">
        <v>36654</v>
      </c>
    </row>
    <row r="5148" spans="1:10" x14ac:dyDescent="0.3">
      <c r="A5148" t="s">
        <v>5275</v>
      </c>
      <c r="B5148" s="1">
        <v>45680</v>
      </c>
      <c r="C5148" t="s">
        <v>17</v>
      </c>
      <c r="D5148">
        <v>4</v>
      </c>
      <c r="E5148" t="s">
        <v>33</v>
      </c>
      <c r="F5148" t="s">
        <v>57</v>
      </c>
      <c r="G5148" t="s">
        <v>326</v>
      </c>
      <c r="H5148" t="s">
        <v>98</v>
      </c>
      <c r="I5148">
        <v>26528</v>
      </c>
      <c r="J5148">
        <v>29323</v>
      </c>
    </row>
    <row r="5149" spans="1:10" x14ac:dyDescent="0.3">
      <c r="A5149" t="s">
        <v>5276</v>
      </c>
      <c r="B5149" s="1">
        <v>45736</v>
      </c>
      <c r="C5149" t="s">
        <v>95</v>
      </c>
      <c r="D5149">
        <v>12</v>
      </c>
      <c r="E5149" t="s">
        <v>12</v>
      </c>
      <c r="F5149" t="s">
        <v>62</v>
      </c>
      <c r="G5149" t="s">
        <v>102</v>
      </c>
      <c r="H5149" t="s">
        <v>116</v>
      </c>
      <c r="I5149">
        <v>28264</v>
      </c>
      <c r="J5149">
        <v>30437</v>
      </c>
    </row>
    <row r="5150" spans="1:10" x14ac:dyDescent="0.3">
      <c r="A5150" t="s">
        <v>5277</v>
      </c>
      <c r="B5150" s="1">
        <v>45855</v>
      </c>
      <c r="C5150" t="s">
        <v>11</v>
      </c>
      <c r="D5150">
        <v>29</v>
      </c>
      <c r="E5150" t="s">
        <v>39</v>
      </c>
      <c r="F5150" t="s">
        <v>193</v>
      </c>
      <c r="G5150" t="s">
        <v>130</v>
      </c>
      <c r="H5150" t="s">
        <v>119</v>
      </c>
      <c r="I5150">
        <v>29057</v>
      </c>
      <c r="J5150">
        <v>21267</v>
      </c>
    </row>
    <row r="5151" spans="1:10" x14ac:dyDescent="0.3">
      <c r="A5151" t="s">
        <v>5278</v>
      </c>
      <c r="B5151" s="1">
        <v>45877</v>
      </c>
      <c r="C5151" t="s">
        <v>113</v>
      </c>
      <c r="D5151">
        <v>32</v>
      </c>
      <c r="E5151" t="s">
        <v>39</v>
      </c>
      <c r="F5151" t="s">
        <v>92</v>
      </c>
      <c r="G5151" t="s">
        <v>171</v>
      </c>
      <c r="H5151" t="s">
        <v>111</v>
      </c>
      <c r="I5151">
        <v>32136</v>
      </c>
      <c r="J5151">
        <v>24255</v>
      </c>
    </row>
    <row r="5152" spans="1:10" x14ac:dyDescent="0.3">
      <c r="A5152" t="s">
        <v>5279</v>
      </c>
      <c r="B5152" s="1">
        <v>45937</v>
      </c>
      <c r="C5152" t="s">
        <v>66</v>
      </c>
      <c r="D5152">
        <v>41</v>
      </c>
      <c r="E5152" t="s">
        <v>18</v>
      </c>
      <c r="F5152" t="s">
        <v>109</v>
      </c>
      <c r="G5152" t="s">
        <v>14</v>
      </c>
      <c r="H5152" t="s">
        <v>68</v>
      </c>
      <c r="I5152">
        <v>21056</v>
      </c>
      <c r="J5152">
        <v>25449</v>
      </c>
    </row>
    <row r="5153" spans="1:10" x14ac:dyDescent="0.3">
      <c r="A5153" t="s">
        <v>5280</v>
      </c>
      <c r="B5153" s="1">
        <v>45736</v>
      </c>
      <c r="C5153" t="s">
        <v>95</v>
      </c>
      <c r="D5153">
        <v>12</v>
      </c>
      <c r="E5153" t="s">
        <v>39</v>
      </c>
      <c r="F5153" t="s">
        <v>43</v>
      </c>
      <c r="G5153" t="s">
        <v>51</v>
      </c>
      <c r="H5153" t="s">
        <v>155</v>
      </c>
      <c r="I5153">
        <v>33082</v>
      </c>
      <c r="J5153">
        <v>31622</v>
      </c>
    </row>
    <row r="5154" spans="1:10" x14ac:dyDescent="0.3">
      <c r="A5154" t="s">
        <v>5281</v>
      </c>
      <c r="B5154" s="1">
        <v>45933</v>
      </c>
      <c r="C5154" t="s">
        <v>66</v>
      </c>
      <c r="D5154">
        <v>40</v>
      </c>
      <c r="E5154" t="s">
        <v>18</v>
      </c>
      <c r="F5154" t="s">
        <v>13</v>
      </c>
      <c r="G5154" t="s">
        <v>63</v>
      </c>
      <c r="H5154" t="s">
        <v>80</v>
      </c>
      <c r="I5154">
        <v>39831</v>
      </c>
      <c r="J5154">
        <v>43058</v>
      </c>
    </row>
    <row r="5155" spans="1:10" x14ac:dyDescent="0.3">
      <c r="A5155" t="s">
        <v>5282</v>
      </c>
      <c r="B5155" s="1">
        <v>45718</v>
      </c>
      <c r="C5155" t="s">
        <v>95</v>
      </c>
      <c r="D5155">
        <v>9</v>
      </c>
      <c r="E5155" t="s">
        <v>33</v>
      </c>
      <c r="F5155" t="s">
        <v>43</v>
      </c>
      <c r="G5155" t="s">
        <v>79</v>
      </c>
      <c r="H5155" t="s">
        <v>27</v>
      </c>
      <c r="I5155">
        <v>17296</v>
      </c>
      <c r="J5155">
        <v>15732</v>
      </c>
    </row>
    <row r="5156" spans="1:10" x14ac:dyDescent="0.3">
      <c r="A5156" t="s">
        <v>5283</v>
      </c>
      <c r="B5156" s="1">
        <v>45703</v>
      </c>
      <c r="C5156" t="s">
        <v>82</v>
      </c>
      <c r="D5156">
        <v>7</v>
      </c>
      <c r="E5156" t="s">
        <v>12</v>
      </c>
      <c r="F5156" t="s">
        <v>34</v>
      </c>
      <c r="G5156" t="s">
        <v>141</v>
      </c>
      <c r="H5156" t="s">
        <v>155</v>
      </c>
      <c r="I5156">
        <v>30906</v>
      </c>
      <c r="J5156">
        <v>24628</v>
      </c>
    </row>
    <row r="5157" spans="1:10" x14ac:dyDescent="0.3">
      <c r="A5157" t="s">
        <v>5284</v>
      </c>
      <c r="B5157" s="1">
        <v>45994</v>
      </c>
      <c r="C5157" t="s">
        <v>100</v>
      </c>
      <c r="D5157">
        <v>49</v>
      </c>
      <c r="E5157" t="s">
        <v>18</v>
      </c>
      <c r="F5157" t="s">
        <v>140</v>
      </c>
      <c r="G5157" t="s">
        <v>171</v>
      </c>
      <c r="H5157" t="s">
        <v>151</v>
      </c>
      <c r="I5157">
        <v>18948</v>
      </c>
      <c r="J5157">
        <v>13286</v>
      </c>
    </row>
    <row r="5158" spans="1:10" x14ac:dyDescent="0.3">
      <c r="A5158" t="s">
        <v>5285</v>
      </c>
      <c r="B5158" s="1">
        <v>45872</v>
      </c>
      <c r="C5158" t="s">
        <v>113</v>
      </c>
      <c r="D5158">
        <v>31</v>
      </c>
      <c r="E5158" t="s">
        <v>18</v>
      </c>
      <c r="F5158" t="s">
        <v>92</v>
      </c>
      <c r="G5158" t="s">
        <v>147</v>
      </c>
      <c r="H5158" t="s">
        <v>41</v>
      </c>
      <c r="I5158">
        <v>36937</v>
      </c>
      <c r="J5158">
        <v>27136</v>
      </c>
    </row>
    <row r="5159" spans="1:10" x14ac:dyDescent="0.3">
      <c r="A5159" t="s">
        <v>5286</v>
      </c>
      <c r="B5159" s="1">
        <v>45820</v>
      </c>
      <c r="C5159" t="s">
        <v>74</v>
      </c>
      <c r="D5159">
        <v>24</v>
      </c>
      <c r="E5159" t="s">
        <v>18</v>
      </c>
      <c r="F5159" t="s">
        <v>122</v>
      </c>
      <c r="G5159" t="s">
        <v>40</v>
      </c>
      <c r="H5159" t="s">
        <v>155</v>
      </c>
      <c r="I5159">
        <v>24378</v>
      </c>
      <c r="J5159">
        <v>25716</v>
      </c>
    </row>
    <row r="5160" spans="1:10" x14ac:dyDescent="0.3">
      <c r="A5160" t="s">
        <v>5287</v>
      </c>
      <c r="B5160" s="1">
        <v>45978</v>
      </c>
      <c r="C5160" t="s">
        <v>23</v>
      </c>
      <c r="D5160">
        <v>47</v>
      </c>
      <c r="E5160" t="s">
        <v>18</v>
      </c>
      <c r="F5160" t="s">
        <v>87</v>
      </c>
      <c r="G5160" t="s">
        <v>93</v>
      </c>
      <c r="H5160" t="s">
        <v>55</v>
      </c>
      <c r="I5160">
        <v>19669</v>
      </c>
      <c r="J5160">
        <v>23665</v>
      </c>
    </row>
    <row r="5161" spans="1:10" x14ac:dyDescent="0.3">
      <c r="A5161" t="s">
        <v>5288</v>
      </c>
      <c r="B5161" s="1">
        <v>45919</v>
      </c>
      <c r="C5161" t="s">
        <v>38</v>
      </c>
      <c r="D5161">
        <v>38</v>
      </c>
      <c r="E5161" t="s">
        <v>12</v>
      </c>
      <c r="F5161" t="s">
        <v>78</v>
      </c>
      <c r="G5161" t="s">
        <v>326</v>
      </c>
      <c r="H5161" t="s">
        <v>211</v>
      </c>
      <c r="I5161">
        <v>22697</v>
      </c>
      <c r="J5161">
        <v>20679</v>
      </c>
    </row>
    <row r="5162" spans="1:10" x14ac:dyDescent="0.3">
      <c r="A5162" t="s">
        <v>5289</v>
      </c>
      <c r="B5162" s="1">
        <v>45986</v>
      </c>
      <c r="C5162" t="s">
        <v>23</v>
      </c>
      <c r="D5162">
        <v>48</v>
      </c>
      <c r="E5162" t="s">
        <v>12</v>
      </c>
      <c r="F5162" t="s">
        <v>193</v>
      </c>
      <c r="G5162" t="s">
        <v>266</v>
      </c>
      <c r="H5162" t="s">
        <v>119</v>
      </c>
      <c r="I5162">
        <v>39145</v>
      </c>
      <c r="J5162">
        <v>42946</v>
      </c>
    </row>
    <row r="5163" spans="1:10" x14ac:dyDescent="0.3">
      <c r="A5163" t="s">
        <v>5290</v>
      </c>
      <c r="B5163" s="1">
        <v>45666</v>
      </c>
      <c r="C5163" t="s">
        <v>17</v>
      </c>
      <c r="D5163">
        <v>2</v>
      </c>
      <c r="E5163" t="s">
        <v>24</v>
      </c>
      <c r="F5163" t="s">
        <v>122</v>
      </c>
      <c r="G5163" t="s">
        <v>63</v>
      </c>
      <c r="H5163" t="s">
        <v>103</v>
      </c>
      <c r="I5163">
        <v>30513</v>
      </c>
      <c r="J5163">
        <v>37153</v>
      </c>
    </row>
    <row r="5164" spans="1:10" x14ac:dyDescent="0.3">
      <c r="A5164" t="s">
        <v>5291</v>
      </c>
      <c r="B5164" s="1">
        <v>46002</v>
      </c>
      <c r="C5164" t="s">
        <v>100</v>
      </c>
      <c r="D5164">
        <v>50</v>
      </c>
      <c r="E5164" t="s">
        <v>39</v>
      </c>
      <c r="F5164" t="s">
        <v>78</v>
      </c>
      <c r="G5164" t="s">
        <v>234</v>
      </c>
      <c r="H5164" t="s">
        <v>68</v>
      </c>
      <c r="I5164">
        <v>29130</v>
      </c>
      <c r="J5164">
        <v>35121</v>
      </c>
    </row>
    <row r="5165" spans="1:10" x14ac:dyDescent="0.3">
      <c r="A5165" t="s">
        <v>5292</v>
      </c>
      <c r="B5165" s="1">
        <v>45741</v>
      </c>
      <c r="C5165" t="s">
        <v>95</v>
      </c>
      <c r="D5165">
        <v>13</v>
      </c>
      <c r="E5165" t="s">
        <v>18</v>
      </c>
      <c r="F5165" t="s">
        <v>109</v>
      </c>
      <c r="G5165" t="s">
        <v>72</v>
      </c>
      <c r="H5165" t="s">
        <v>80</v>
      </c>
      <c r="I5165">
        <v>38701</v>
      </c>
      <c r="J5165">
        <v>38650</v>
      </c>
    </row>
    <row r="5166" spans="1:10" x14ac:dyDescent="0.3">
      <c r="A5166" t="s">
        <v>5293</v>
      </c>
      <c r="B5166" s="1">
        <v>45684</v>
      </c>
      <c r="C5166" t="s">
        <v>17</v>
      </c>
      <c r="D5166">
        <v>5</v>
      </c>
      <c r="E5166" t="s">
        <v>61</v>
      </c>
      <c r="F5166" t="s">
        <v>43</v>
      </c>
      <c r="G5166" t="s">
        <v>102</v>
      </c>
      <c r="H5166" t="s">
        <v>243</v>
      </c>
      <c r="I5166">
        <v>15185</v>
      </c>
      <c r="J5166">
        <v>13636</v>
      </c>
    </row>
    <row r="5167" spans="1:10" x14ac:dyDescent="0.3">
      <c r="A5167" t="s">
        <v>5294</v>
      </c>
      <c r="B5167" s="1">
        <v>45779</v>
      </c>
      <c r="C5167" t="s">
        <v>90</v>
      </c>
      <c r="D5167">
        <v>18</v>
      </c>
      <c r="E5167" t="s">
        <v>12</v>
      </c>
      <c r="F5167" t="s">
        <v>57</v>
      </c>
      <c r="G5167" t="s">
        <v>191</v>
      </c>
      <c r="H5167" t="s">
        <v>155</v>
      </c>
      <c r="I5167">
        <v>39041</v>
      </c>
      <c r="J5167">
        <v>48328</v>
      </c>
    </row>
    <row r="5168" spans="1:10" x14ac:dyDescent="0.3">
      <c r="A5168" t="s">
        <v>5295</v>
      </c>
      <c r="B5168" s="1">
        <v>46021</v>
      </c>
      <c r="C5168" t="s">
        <v>100</v>
      </c>
      <c r="D5168">
        <v>1</v>
      </c>
      <c r="E5168" t="s">
        <v>70</v>
      </c>
      <c r="F5168" t="s">
        <v>101</v>
      </c>
      <c r="G5168" t="s">
        <v>324</v>
      </c>
      <c r="H5168" t="s">
        <v>96</v>
      </c>
      <c r="I5168">
        <v>33796</v>
      </c>
      <c r="J5168">
        <v>27020</v>
      </c>
    </row>
    <row r="5169" spans="1:10" x14ac:dyDescent="0.3">
      <c r="A5169" t="s">
        <v>5296</v>
      </c>
      <c r="B5169" s="1">
        <v>45772</v>
      </c>
      <c r="C5169" t="s">
        <v>86</v>
      </c>
      <c r="D5169">
        <v>17</v>
      </c>
      <c r="E5169" t="s">
        <v>33</v>
      </c>
      <c r="F5169" t="s">
        <v>19</v>
      </c>
      <c r="G5169" t="s">
        <v>224</v>
      </c>
      <c r="H5169" t="s">
        <v>111</v>
      </c>
      <c r="I5169">
        <v>34992</v>
      </c>
      <c r="J5169">
        <v>31932</v>
      </c>
    </row>
    <row r="5170" spans="1:10" x14ac:dyDescent="0.3">
      <c r="A5170" t="s">
        <v>5297</v>
      </c>
      <c r="B5170" s="1">
        <v>45667</v>
      </c>
      <c r="C5170" t="s">
        <v>17</v>
      </c>
      <c r="D5170">
        <v>2</v>
      </c>
      <c r="E5170" t="s">
        <v>24</v>
      </c>
      <c r="F5170" t="s">
        <v>46</v>
      </c>
      <c r="G5170" t="s">
        <v>147</v>
      </c>
      <c r="H5170" t="s">
        <v>84</v>
      </c>
      <c r="I5170">
        <v>33431</v>
      </c>
      <c r="J5170">
        <v>34167</v>
      </c>
    </row>
    <row r="5171" spans="1:10" x14ac:dyDescent="0.3">
      <c r="A5171" t="s">
        <v>5298</v>
      </c>
      <c r="B5171" s="1">
        <v>45741</v>
      </c>
      <c r="C5171" t="s">
        <v>95</v>
      </c>
      <c r="D5171">
        <v>13</v>
      </c>
      <c r="E5171" t="s">
        <v>39</v>
      </c>
      <c r="F5171" t="s">
        <v>140</v>
      </c>
      <c r="G5171" t="s">
        <v>20</v>
      </c>
      <c r="H5171" t="s">
        <v>111</v>
      </c>
      <c r="I5171">
        <v>27339</v>
      </c>
      <c r="J5171">
        <v>23733</v>
      </c>
    </row>
    <row r="5172" spans="1:10" x14ac:dyDescent="0.3">
      <c r="A5172" t="s">
        <v>5299</v>
      </c>
      <c r="B5172" s="1">
        <v>45896</v>
      </c>
      <c r="C5172" t="s">
        <v>113</v>
      </c>
      <c r="D5172">
        <v>35</v>
      </c>
      <c r="E5172" t="s">
        <v>61</v>
      </c>
      <c r="F5172" t="s">
        <v>87</v>
      </c>
      <c r="G5172" t="s">
        <v>88</v>
      </c>
      <c r="H5172" t="s">
        <v>133</v>
      </c>
      <c r="I5172">
        <v>20087</v>
      </c>
      <c r="J5172">
        <v>21449</v>
      </c>
    </row>
    <row r="5173" spans="1:10" x14ac:dyDescent="0.3">
      <c r="A5173" t="s">
        <v>5300</v>
      </c>
      <c r="B5173" s="1">
        <v>46012</v>
      </c>
      <c r="C5173" t="s">
        <v>100</v>
      </c>
      <c r="D5173">
        <v>51</v>
      </c>
      <c r="E5173" t="s">
        <v>61</v>
      </c>
      <c r="F5173" t="s">
        <v>62</v>
      </c>
      <c r="G5173" t="s">
        <v>115</v>
      </c>
      <c r="H5173" t="s">
        <v>84</v>
      </c>
      <c r="I5173">
        <v>23016</v>
      </c>
      <c r="J5173">
        <v>20157</v>
      </c>
    </row>
    <row r="5174" spans="1:10" x14ac:dyDescent="0.3">
      <c r="A5174" t="s">
        <v>5301</v>
      </c>
      <c r="B5174" s="1">
        <v>45774</v>
      </c>
      <c r="C5174" t="s">
        <v>86</v>
      </c>
      <c r="D5174">
        <v>17</v>
      </c>
      <c r="E5174" t="s">
        <v>24</v>
      </c>
      <c r="F5174" t="s">
        <v>19</v>
      </c>
      <c r="G5174" t="s">
        <v>102</v>
      </c>
      <c r="H5174" t="s">
        <v>48</v>
      </c>
      <c r="I5174">
        <v>38864</v>
      </c>
      <c r="J5174">
        <v>41144</v>
      </c>
    </row>
    <row r="5175" spans="1:10" x14ac:dyDescent="0.3">
      <c r="A5175" t="s">
        <v>5302</v>
      </c>
      <c r="B5175" s="1">
        <v>45777</v>
      </c>
      <c r="C5175" t="s">
        <v>86</v>
      </c>
      <c r="D5175">
        <v>18</v>
      </c>
      <c r="E5175" t="s">
        <v>24</v>
      </c>
      <c r="F5175" t="s">
        <v>75</v>
      </c>
      <c r="G5175" t="s">
        <v>20</v>
      </c>
      <c r="H5175" t="s">
        <v>68</v>
      </c>
      <c r="I5175">
        <v>35110</v>
      </c>
      <c r="J5175">
        <v>28830</v>
      </c>
    </row>
    <row r="5176" spans="1:10" x14ac:dyDescent="0.3">
      <c r="A5176" t="s">
        <v>5303</v>
      </c>
      <c r="B5176" s="1">
        <v>45659</v>
      </c>
      <c r="C5176" t="s">
        <v>17</v>
      </c>
      <c r="D5176">
        <v>1</v>
      </c>
      <c r="E5176" t="s">
        <v>70</v>
      </c>
      <c r="F5176" t="s">
        <v>92</v>
      </c>
      <c r="G5176" t="s">
        <v>20</v>
      </c>
      <c r="H5176" t="s">
        <v>68</v>
      </c>
      <c r="I5176">
        <v>19253</v>
      </c>
      <c r="J5176">
        <v>15969</v>
      </c>
    </row>
    <row r="5177" spans="1:10" x14ac:dyDescent="0.3">
      <c r="A5177" t="s">
        <v>5304</v>
      </c>
      <c r="B5177" s="1">
        <v>45669</v>
      </c>
      <c r="C5177" t="s">
        <v>17</v>
      </c>
      <c r="D5177">
        <v>2</v>
      </c>
      <c r="E5177" t="s">
        <v>24</v>
      </c>
      <c r="F5177" t="s">
        <v>29</v>
      </c>
      <c r="G5177" t="s">
        <v>234</v>
      </c>
      <c r="H5177" t="s">
        <v>21</v>
      </c>
      <c r="I5177">
        <v>39435</v>
      </c>
      <c r="J5177">
        <v>48768</v>
      </c>
    </row>
    <row r="5178" spans="1:10" x14ac:dyDescent="0.3">
      <c r="A5178" t="s">
        <v>5305</v>
      </c>
      <c r="B5178" s="1">
        <v>45795</v>
      </c>
      <c r="C5178" t="s">
        <v>90</v>
      </c>
      <c r="D5178">
        <v>20</v>
      </c>
      <c r="E5178" t="s">
        <v>24</v>
      </c>
      <c r="F5178" t="s">
        <v>46</v>
      </c>
      <c r="G5178" t="s">
        <v>26</v>
      </c>
      <c r="H5178" t="s">
        <v>48</v>
      </c>
      <c r="I5178">
        <v>35561</v>
      </c>
      <c r="J5178">
        <v>32592</v>
      </c>
    </row>
    <row r="5179" spans="1:10" x14ac:dyDescent="0.3">
      <c r="A5179" t="s">
        <v>5306</v>
      </c>
      <c r="B5179" s="1">
        <v>45929</v>
      </c>
      <c r="C5179" t="s">
        <v>38</v>
      </c>
      <c r="D5179">
        <v>40</v>
      </c>
      <c r="E5179" t="s">
        <v>39</v>
      </c>
      <c r="F5179" t="s">
        <v>114</v>
      </c>
      <c r="G5179" t="s">
        <v>171</v>
      </c>
      <c r="H5179" t="s">
        <v>151</v>
      </c>
      <c r="I5179">
        <v>23247</v>
      </c>
      <c r="J5179">
        <v>25238</v>
      </c>
    </row>
    <row r="5180" spans="1:10" x14ac:dyDescent="0.3">
      <c r="A5180" t="s">
        <v>5307</v>
      </c>
      <c r="B5180" s="1">
        <v>45937</v>
      </c>
      <c r="C5180" t="s">
        <v>66</v>
      </c>
      <c r="D5180">
        <v>41</v>
      </c>
      <c r="E5180" t="s">
        <v>70</v>
      </c>
      <c r="F5180" t="s">
        <v>46</v>
      </c>
      <c r="G5180" t="s">
        <v>230</v>
      </c>
      <c r="H5180" t="s">
        <v>15</v>
      </c>
      <c r="I5180">
        <v>24842</v>
      </c>
      <c r="J5180">
        <v>28961</v>
      </c>
    </row>
    <row r="5181" spans="1:10" x14ac:dyDescent="0.3">
      <c r="A5181" t="s">
        <v>5308</v>
      </c>
      <c r="B5181" s="1">
        <v>45880</v>
      </c>
      <c r="C5181" t="s">
        <v>113</v>
      </c>
      <c r="D5181">
        <v>33</v>
      </c>
      <c r="E5181" t="s">
        <v>18</v>
      </c>
      <c r="F5181" t="s">
        <v>193</v>
      </c>
      <c r="G5181" t="s">
        <v>160</v>
      </c>
      <c r="H5181" t="s">
        <v>157</v>
      </c>
      <c r="I5181">
        <v>26739</v>
      </c>
      <c r="J5181">
        <v>32678</v>
      </c>
    </row>
    <row r="5182" spans="1:10" x14ac:dyDescent="0.3">
      <c r="A5182" t="s">
        <v>5309</v>
      </c>
      <c r="B5182" s="1">
        <v>45737</v>
      </c>
      <c r="C5182" t="s">
        <v>95</v>
      </c>
      <c r="D5182">
        <v>12</v>
      </c>
      <c r="E5182" t="s">
        <v>24</v>
      </c>
      <c r="F5182" t="s">
        <v>50</v>
      </c>
      <c r="G5182" t="s">
        <v>118</v>
      </c>
      <c r="H5182" t="s">
        <v>119</v>
      </c>
      <c r="I5182">
        <v>26230</v>
      </c>
      <c r="J5182">
        <v>25224</v>
      </c>
    </row>
    <row r="5183" spans="1:10" x14ac:dyDescent="0.3">
      <c r="A5183" t="s">
        <v>5310</v>
      </c>
      <c r="B5183" s="1">
        <v>45977</v>
      </c>
      <c r="C5183" t="s">
        <v>23</v>
      </c>
      <c r="D5183">
        <v>46</v>
      </c>
      <c r="E5183" t="s">
        <v>39</v>
      </c>
      <c r="F5183" t="s">
        <v>29</v>
      </c>
      <c r="G5183" t="s">
        <v>171</v>
      </c>
      <c r="H5183" t="s">
        <v>157</v>
      </c>
      <c r="I5183">
        <v>28076</v>
      </c>
      <c r="J5183">
        <v>25420</v>
      </c>
    </row>
    <row r="5184" spans="1:10" x14ac:dyDescent="0.3">
      <c r="A5184" t="s">
        <v>5311</v>
      </c>
      <c r="B5184" s="1">
        <v>45793</v>
      </c>
      <c r="C5184" t="s">
        <v>90</v>
      </c>
      <c r="D5184">
        <v>20</v>
      </c>
      <c r="E5184" t="s">
        <v>24</v>
      </c>
      <c r="F5184" t="s">
        <v>19</v>
      </c>
      <c r="G5184" t="s">
        <v>35</v>
      </c>
      <c r="H5184" t="s">
        <v>52</v>
      </c>
      <c r="I5184">
        <v>16708</v>
      </c>
      <c r="J5184">
        <v>12616</v>
      </c>
    </row>
    <row r="5185" spans="1:10" x14ac:dyDescent="0.3">
      <c r="A5185" t="s">
        <v>5312</v>
      </c>
      <c r="B5185" s="1">
        <v>45888</v>
      </c>
      <c r="C5185" t="s">
        <v>113</v>
      </c>
      <c r="D5185">
        <v>34</v>
      </c>
      <c r="E5185" t="s">
        <v>70</v>
      </c>
      <c r="F5185" t="s">
        <v>78</v>
      </c>
      <c r="G5185" t="s">
        <v>145</v>
      </c>
      <c r="H5185" t="s">
        <v>211</v>
      </c>
      <c r="I5185">
        <v>24831</v>
      </c>
      <c r="J5185">
        <v>21735</v>
      </c>
    </row>
    <row r="5186" spans="1:10" x14ac:dyDescent="0.3">
      <c r="A5186" t="s">
        <v>5313</v>
      </c>
      <c r="B5186" s="1">
        <v>46000</v>
      </c>
      <c r="C5186" t="s">
        <v>100</v>
      </c>
      <c r="D5186">
        <v>50</v>
      </c>
      <c r="E5186" t="s">
        <v>12</v>
      </c>
      <c r="F5186" t="s">
        <v>101</v>
      </c>
      <c r="G5186" t="s">
        <v>230</v>
      </c>
      <c r="H5186" t="s">
        <v>98</v>
      </c>
      <c r="I5186">
        <v>38110</v>
      </c>
      <c r="J5186">
        <v>34249</v>
      </c>
    </row>
    <row r="5187" spans="1:10" x14ac:dyDescent="0.3">
      <c r="A5187" t="s">
        <v>5314</v>
      </c>
      <c r="B5187" s="1">
        <v>45973</v>
      </c>
      <c r="C5187" t="s">
        <v>23</v>
      </c>
      <c r="D5187">
        <v>46</v>
      </c>
      <c r="E5187" t="s">
        <v>33</v>
      </c>
      <c r="F5187" t="s">
        <v>140</v>
      </c>
      <c r="G5187" t="s">
        <v>324</v>
      </c>
      <c r="H5187" t="s">
        <v>188</v>
      </c>
      <c r="I5187">
        <v>20655</v>
      </c>
      <c r="J5187">
        <v>16592</v>
      </c>
    </row>
    <row r="5188" spans="1:10" x14ac:dyDescent="0.3">
      <c r="A5188" t="s">
        <v>5315</v>
      </c>
      <c r="B5188" s="1">
        <v>45731</v>
      </c>
      <c r="C5188" t="s">
        <v>95</v>
      </c>
      <c r="D5188">
        <v>11</v>
      </c>
      <c r="E5188" t="s">
        <v>18</v>
      </c>
      <c r="F5188" t="s">
        <v>57</v>
      </c>
      <c r="G5188" t="s">
        <v>110</v>
      </c>
      <c r="H5188" t="s">
        <v>116</v>
      </c>
      <c r="I5188">
        <v>33601</v>
      </c>
      <c r="J5188">
        <v>28637</v>
      </c>
    </row>
    <row r="5189" spans="1:10" x14ac:dyDescent="0.3">
      <c r="A5189" t="s">
        <v>5316</v>
      </c>
      <c r="B5189" s="1">
        <v>45858</v>
      </c>
      <c r="C5189" t="s">
        <v>11</v>
      </c>
      <c r="D5189">
        <v>29</v>
      </c>
      <c r="E5189" t="s">
        <v>39</v>
      </c>
      <c r="F5189" t="s">
        <v>34</v>
      </c>
      <c r="G5189" t="s">
        <v>201</v>
      </c>
      <c r="H5189" t="s">
        <v>116</v>
      </c>
      <c r="I5189">
        <v>26505</v>
      </c>
      <c r="J5189">
        <v>27416</v>
      </c>
    </row>
    <row r="5190" spans="1:10" x14ac:dyDescent="0.3">
      <c r="A5190" t="s">
        <v>5317</v>
      </c>
      <c r="B5190" s="1">
        <v>46009</v>
      </c>
      <c r="C5190" t="s">
        <v>100</v>
      </c>
      <c r="D5190">
        <v>51</v>
      </c>
      <c r="E5190" t="s">
        <v>33</v>
      </c>
      <c r="F5190" t="s">
        <v>13</v>
      </c>
      <c r="G5190" t="s">
        <v>128</v>
      </c>
      <c r="H5190" t="s">
        <v>27</v>
      </c>
      <c r="I5190">
        <v>34677</v>
      </c>
      <c r="J5190">
        <v>36167</v>
      </c>
    </row>
    <row r="5191" spans="1:10" x14ac:dyDescent="0.3">
      <c r="A5191" t="s">
        <v>5318</v>
      </c>
      <c r="B5191" s="1">
        <v>45766</v>
      </c>
      <c r="C5191" t="s">
        <v>86</v>
      </c>
      <c r="D5191">
        <v>16</v>
      </c>
      <c r="E5191" t="s">
        <v>61</v>
      </c>
      <c r="F5191" t="s">
        <v>19</v>
      </c>
      <c r="G5191" t="s">
        <v>291</v>
      </c>
      <c r="H5191" t="s">
        <v>151</v>
      </c>
      <c r="I5191">
        <v>27298</v>
      </c>
      <c r="J5191">
        <v>25345</v>
      </c>
    </row>
    <row r="5192" spans="1:10" x14ac:dyDescent="0.3">
      <c r="A5192" t="s">
        <v>5319</v>
      </c>
      <c r="B5192" s="1">
        <v>45830</v>
      </c>
      <c r="C5192" t="s">
        <v>74</v>
      </c>
      <c r="D5192">
        <v>25</v>
      </c>
      <c r="E5192" t="s">
        <v>18</v>
      </c>
      <c r="F5192" t="s">
        <v>78</v>
      </c>
      <c r="G5192" t="s">
        <v>107</v>
      </c>
      <c r="H5192" t="s">
        <v>163</v>
      </c>
      <c r="I5192">
        <v>18464</v>
      </c>
      <c r="J5192">
        <v>19319</v>
      </c>
    </row>
    <row r="5193" spans="1:10" x14ac:dyDescent="0.3">
      <c r="A5193" t="s">
        <v>5320</v>
      </c>
      <c r="B5193" s="1">
        <v>45676</v>
      </c>
      <c r="C5193" t="s">
        <v>17</v>
      </c>
      <c r="D5193">
        <v>3</v>
      </c>
      <c r="E5193" t="s">
        <v>39</v>
      </c>
      <c r="F5193" t="s">
        <v>43</v>
      </c>
      <c r="G5193" t="s">
        <v>145</v>
      </c>
      <c r="H5193" t="s">
        <v>21</v>
      </c>
      <c r="I5193">
        <v>34865</v>
      </c>
      <c r="J5193">
        <v>36322</v>
      </c>
    </row>
    <row r="5194" spans="1:10" x14ac:dyDescent="0.3">
      <c r="A5194" t="s">
        <v>5321</v>
      </c>
      <c r="B5194" s="1">
        <v>45941</v>
      </c>
      <c r="C5194" t="s">
        <v>66</v>
      </c>
      <c r="D5194">
        <v>41</v>
      </c>
      <c r="E5194" t="s">
        <v>24</v>
      </c>
      <c r="F5194" t="s">
        <v>34</v>
      </c>
      <c r="G5194" t="s">
        <v>135</v>
      </c>
      <c r="H5194" t="s">
        <v>15</v>
      </c>
      <c r="I5194">
        <v>23860</v>
      </c>
      <c r="J5194">
        <v>20591</v>
      </c>
    </row>
    <row r="5195" spans="1:10" x14ac:dyDescent="0.3">
      <c r="A5195" t="s">
        <v>5322</v>
      </c>
      <c r="B5195" s="1">
        <v>45939</v>
      </c>
      <c r="C5195" t="s">
        <v>66</v>
      </c>
      <c r="D5195">
        <v>41</v>
      </c>
      <c r="E5195" t="s">
        <v>12</v>
      </c>
      <c r="F5195" t="s">
        <v>101</v>
      </c>
      <c r="G5195" t="s">
        <v>58</v>
      </c>
      <c r="H5195" t="s">
        <v>211</v>
      </c>
      <c r="I5195">
        <v>26076</v>
      </c>
      <c r="J5195">
        <v>27401</v>
      </c>
    </row>
    <row r="5196" spans="1:10" x14ac:dyDescent="0.3">
      <c r="A5196" t="s">
        <v>5323</v>
      </c>
      <c r="B5196" s="1">
        <v>46007</v>
      </c>
      <c r="C5196" t="s">
        <v>100</v>
      </c>
      <c r="D5196">
        <v>51</v>
      </c>
      <c r="E5196" t="s">
        <v>61</v>
      </c>
      <c r="F5196" t="s">
        <v>101</v>
      </c>
      <c r="G5196" t="s">
        <v>291</v>
      </c>
      <c r="H5196" t="s">
        <v>55</v>
      </c>
      <c r="I5196">
        <v>20740</v>
      </c>
      <c r="J5196">
        <v>26473</v>
      </c>
    </row>
    <row r="5197" spans="1:10" x14ac:dyDescent="0.3">
      <c r="A5197" t="s">
        <v>5324</v>
      </c>
      <c r="B5197" s="1">
        <v>45968</v>
      </c>
      <c r="C5197" t="s">
        <v>23</v>
      </c>
      <c r="D5197">
        <v>45</v>
      </c>
      <c r="E5197" t="s">
        <v>12</v>
      </c>
      <c r="F5197" t="s">
        <v>25</v>
      </c>
      <c r="G5197" t="s">
        <v>47</v>
      </c>
      <c r="H5197" t="s">
        <v>84</v>
      </c>
      <c r="I5197">
        <v>37504</v>
      </c>
      <c r="J5197">
        <v>45693</v>
      </c>
    </row>
    <row r="5198" spans="1:10" x14ac:dyDescent="0.3">
      <c r="A5198" t="s">
        <v>5325</v>
      </c>
      <c r="B5198" s="1">
        <v>45808</v>
      </c>
      <c r="C5198" t="s">
        <v>90</v>
      </c>
      <c r="D5198">
        <v>22</v>
      </c>
      <c r="E5198" t="s">
        <v>70</v>
      </c>
      <c r="F5198" t="s">
        <v>109</v>
      </c>
      <c r="G5198" t="s">
        <v>47</v>
      </c>
      <c r="H5198" t="s">
        <v>165</v>
      </c>
      <c r="I5198">
        <v>30143</v>
      </c>
      <c r="J5198">
        <v>28734</v>
      </c>
    </row>
    <row r="5199" spans="1:10" x14ac:dyDescent="0.3">
      <c r="A5199" t="s">
        <v>5326</v>
      </c>
      <c r="B5199" s="1">
        <v>45963</v>
      </c>
      <c r="C5199" t="s">
        <v>23</v>
      </c>
      <c r="D5199">
        <v>44</v>
      </c>
      <c r="E5199" t="s">
        <v>33</v>
      </c>
      <c r="F5199" t="s">
        <v>19</v>
      </c>
      <c r="G5199" t="s">
        <v>253</v>
      </c>
      <c r="H5199" t="s">
        <v>243</v>
      </c>
      <c r="I5199">
        <v>21147</v>
      </c>
      <c r="J5199">
        <v>15324</v>
      </c>
    </row>
    <row r="5200" spans="1:10" x14ac:dyDescent="0.3">
      <c r="A5200" t="s">
        <v>5327</v>
      </c>
      <c r="B5200" s="1">
        <v>45989</v>
      </c>
      <c r="C5200" t="s">
        <v>23</v>
      </c>
      <c r="D5200">
        <v>48</v>
      </c>
      <c r="E5200" t="s">
        <v>61</v>
      </c>
      <c r="F5200" t="s">
        <v>122</v>
      </c>
      <c r="G5200" t="s">
        <v>72</v>
      </c>
      <c r="H5200" t="s">
        <v>36</v>
      </c>
      <c r="I5200">
        <v>28434</v>
      </c>
      <c r="J5200">
        <v>28187</v>
      </c>
    </row>
    <row r="5201" spans="1:10" x14ac:dyDescent="0.3">
      <c r="A5201" t="s">
        <v>5328</v>
      </c>
      <c r="B5201" s="1">
        <v>45889</v>
      </c>
      <c r="C5201" t="s">
        <v>113</v>
      </c>
      <c r="D5201">
        <v>34</v>
      </c>
      <c r="E5201" t="s">
        <v>61</v>
      </c>
      <c r="F5201" t="s">
        <v>62</v>
      </c>
      <c r="G5201" t="s">
        <v>147</v>
      </c>
      <c r="H5201" t="s">
        <v>119</v>
      </c>
      <c r="I5201">
        <v>31297</v>
      </c>
      <c r="J5201">
        <v>31311</v>
      </c>
    </row>
    <row r="5202" spans="1:10" x14ac:dyDescent="0.3">
      <c r="A5202" t="s">
        <v>5329</v>
      </c>
      <c r="B5202" s="1">
        <v>45924</v>
      </c>
      <c r="C5202" t="s">
        <v>38</v>
      </c>
      <c r="D5202">
        <v>39</v>
      </c>
      <c r="E5202" t="s">
        <v>12</v>
      </c>
      <c r="F5202" t="s">
        <v>114</v>
      </c>
      <c r="G5202" t="s">
        <v>93</v>
      </c>
      <c r="H5202" t="s">
        <v>98</v>
      </c>
      <c r="I5202">
        <v>29098</v>
      </c>
      <c r="J5202">
        <v>23840</v>
      </c>
    </row>
    <row r="5203" spans="1:10" x14ac:dyDescent="0.3">
      <c r="A5203" t="s">
        <v>5330</v>
      </c>
      <c r="B5203" s="1">
        <v>45939</v>
      </c>
      <c r="C5203" t="s">
        <v>66</v>
      </c>
      <c r="D5203">
        <v>41</v>
      </c>
      <c r="E5203" t="s">
        <v>18</v>
      </c>
      <c r="F5203" t="s">
        <v>19</v>
      </c>
      <c r="G5203" t="s">
        <v>72</v>
      </c>
      <c r="H5203" t="s">
        <v>163</v>
      </c>
      <c r="I5203">
        <v>15231</v>
      </c>
      <c r="J5203">
        <v>15153</v>
      </c>
    </row>
    <row r="5204" spans="1:10" x14ac:dyDescent="0.3">
      <c r="A5204" t="s">
        <v>5331</v>
      </c>
      <c r="B5204" s="1">
        <v>45925</v>
      </c>
      <c r="C5204" t="s">
        <v>38</v>
      </c>
      <c r="D5204">
        <v>39</v>
      </c>
      <c r="E5204" t="s">
        <v>61</v>
      </c>
      <c r="F5204" t="s">
        <v>114</v>
      </c>
      <c r="G5204" t="s">
        <v>72</v>
      </c>
      <c r="H5204" t="s">
        <v>133</v>
      </c>
      <c r="I5204">
        <v>27642</v>
      </c>
      <c r="J5204">
        <v>35159</v>
      </c>
    </row>
    <row r="5205" spans="1:10" x14ac:dyDescent="0.3">
      <c r="A5205" t="s">
        <v>5332</v>
      </c>
      <c r="B5205" s="1">
        <v>45680</v>
      </c>
      <c r="C5205" t="s">
        <v>17</v>
      </c>
      <c r="D5205">
        <v>4</v>
      </c>
      <c r="E5205" t="s">
        <v>61</v>
      </c>
      <c r="F5205" t="s">
        <v>87</v>
      </c>
      <c r="G5205" t="s">
        <v>130</v>
      </c>
      <c r="H5205" t="s">
        <v>163</v>
      </c>
      <c r="I5205">
        <v>23999</v>
      </c>
      <c r="J5205">
        <v>22201</v>
      </c>
    </row>
    <row r="5206" spans="1:10" x14ac:dyDescent="0.3">
      <c r="A5206" t="s">
        <v>5333</v>
      </c>
      <c r="B5206" s="1">
        <v>45920</v>
      </c>
      <c r="C5206" t="s">
        <v>38</v>
      </c>
      <c r="D5206">
        <v>38</v>
      </c>
      <c r="E5206" t="s">
        <v>61</v>
      </c>
      <c r="F5206" t="s">
        <v>25</v>
      </c>
      <c r="G5206" t="s">
        <v>149</v>
      </c>
      <c r="H5206" t="s">
        <v>133</v>
      </c>
      <c r="I5206">
        <v>33585</v>
      </c>
      <c r="J5206">
        <v>29776</v>
      </c>
    </row>
    <row r="5207" spans="1:10" x14ac:dyDescent="0.3">
      <c r="A5207" t="s">
        <v>5334</v>
      </c>
      <c r="B5207" s="1">
        <v>45774</v>
      </c>
      <c r="C5207" t="s">
        <v>86</v>
      </c>
      <c r="D5207">
        <v>17</v>
      </c>
      <c r="E5207" t="s">
        <v>18</v>
      </c>
      <c r="F5207" t="s">
        <v>109</v>
      </c>
      <c r="G5207" t="s">
        <v>44</v>
      </c>
      <c r="H5207" t="s">
        <v>96</v>
      </c>
      <c r="I5207">
        <v>35632</v>
      </c>
      <c r="J5207">
        <v>32749</v>
      </c>
    </row>
    <row r="5208" spans="1:10" x14ac:dyDescent="0.3">
      <c r="A5208" t="s">
        <v>5335</v>
      </c>
      <c r="B5208" s="1">
        <v>46021</v>
      </c>
      <c r="C5208" t="s">
        <v>100</v>
      </c>
      <c r="D5208">
        <v>1</v>
      </c>
      <c r="E5208" t="s">
        <v>61</v>
      </c>
      <c r="F5208" t="s">
        <v>25</v>
      </c>
      <c r="G5208" t="s">
        <v>130</v>
      </c>
      <c r="H5208" t="s">
        <v>211</v>
      </c>
      <c r="I5208">
        <v>19066</v>
      </c>
      <c r="J5208">
        <v>24704</v>
      </c>
    </row>
    <row r="5209" spans="1:10" x14ac:dyDescent="0.3">
      <c r="A5209" t="s">
        <v>5336</v>
      </c>
      <c r="B5209" s="1">
        <v>45681</v>
      </c>
      <c r="C5209" t="s">
        <v>17</v>
      </c>
      <c r="D5209">
        <v>4</v>
      </c>
      <c r="E5209" t="s">
        <v>18</v>
      </c>
      <c r="F5209" t="s">
        <v>87</v>
      </c>
      <c r="G5209" t="s">
        <v>102</v>
      </c>
      <c r="H5209" t="s">
        <v>163</v>
      </c>
      <c r="I5209">
        <v>25642</v>
      </c>
      <c r="J5209">
        <v>24712</v>
      </c>
    </row>
    <row r="5210" spans="1:10" x14ac:dyDescent="0.3">
      <c r="A5210" t="s">
        <v>5337</v>
      </c>
      <c r="B5210" s="1">
        <v>45901</v>
      </c>
      <c r="C5210" t="s">
        <v>38</v>
      </c>
      <c r="D5210">
        <v>36</v>
      </c>
      <c r="E5210" t="s">
        <v>70</v>
      </c>
      <c r="F5210" t="s">
        <v>29</v>
      </c>
      <c r="G5210" t="s">
        <v>35</v>
      </c>
      <c r="H5210" t="s">
        <v>68</v>
      </c>
      <c r="I5210">
        <v>17262</v>
      </c>
      <c r="J5210">
        <v>18675</v>
      </c>
    </row>
    <row r="5211" spans="1:10" x14ac:dyDescent="0.3">
      <c r="A5211" t="s">
        <v>5338</v>
      </c>
      <c r="B5211" s="1">
        <v>46003</v>
      </c>
      <c r="C5211" t="s">
        <v>100</v>
      </c>
      <c r="D5211">
        <v>50</v>
      </c>
      <c r="E5211" t="s">
        <v>70</v>
      </c>
      <c r="F5211" t="s">
        <v>87</v>
      </c>
      <c r="G5211" t="s">
        <v>20</v>
      </c>
      <c r="H5211" t="s">
        <v>163</v>
      </c>
      <c r="I5211">
        <v>22273</v>
      </c>
      <c r="J5211">
        <v>23334</v>
      </c>
    </row>
    <row r="5212" spans="1:10" x14ac:dyDescent="0.3">
      <c r="A5212" t="s">
        <v>5339</v>
      </c>
      <c r="B5212" s="1">
        <v>45694</v>
      </c>
      <c r="C5212" t="s">
        <v>82</v>
      </c>
      <c r="D5212">
        <v>6</v>
      </c>
      <c r="E5212" t="s">
        <v>70</v>
      </c>
      <c r="F5212" t="s">
        <v>62</v>
      </c>
      <c r="G5212" t="s">
        <v>191</v>
      </c>
      <c r="H5212" t="s">
        <v>116</v>
      </c>
      <c r="I5212">
        <v>27885</v>
      </c>
      <c r="J5212">
        <v>20773</v>
      </c>
    </row>
    <row r="5213" spans="1:10" x14ac:dyDescent="0.3">
      <c r="A5213" t="s">
        <v>5340</v>
      </c>
      <c r="B5213" s="1">
        <v>45837</v>
      </c>
      <c r="C5213" t="s">
        <v>74</v>
      </c>
      <c r="D5213">
        <v>26</v>
      </c>
      <c r="E5213" t="s">
        <v>33</v>
      </c>
      <c r="F5213" t="s">
        <v>25</v>
      </c>
      <c r="G5213" t="s">
        <v>160</v>
      </c>
      <c r="H5213" t="s">
        <v>98</v>
      </c>
      <c r="I5213">
        <v>19619</v>
      </c>
      <c r="J5213">
        <v>15708</v>
      </c>
    </row>
    <row r="5214" spans="1:10" x14ac:dyDescent="0.3">
      <c r="A5214" t="s">
        <v>5341</v>
      </c>
      <c r="B5214" s="1">
        <v>45800</v>
      </c>
      <c r="C5214" t="s">
        <v>90</v>
      </c>
      <c r="D5214">
        <v>21</v>
      </c>
      <c r="E5214" t="s">
        <v>18</v>
      </c>
      <c r="F5214" t="s">
        <v>25</v>
      </c>
      <c r="G5214" t="s">
        <v>128</v>
      </c>
      <c r="H5214" t="s">
        <v>68</v>
      </c>
      <c r="I5214">
        <v>19377</v>
      </c>
      <c r="J5214">
        <v>14671</v>
      </c>
    </row>
    <row r="5215" spans="1:10" x14ac:dyDescent="0.3">
      <c r="A5215" t="s">
        <v>5342</v>
      </c>
      <c r="B5215" s="1">
        <v>45971</v>
      </c>
      <c r="C5215" t="s">
        <v>23</v>
      </c>
      <c r="D5215">
        <v>46</v>
      </c>
      <c r="E5215" t="s">
        <v>33</v>
      </c>
      <c r="F5215" t="s">
        <v>13</v>
      </c>
      <c r="G5215" t="s">
        <v>102</v>
      </c>
      <c r="H5215" t="s">
        <v>41</v>
      </c>
      <c r="I5215">
        <v>30031</v>
      </c>
      <c r="J5215">
        <v>36529</v>
      </c>
    </row>
    <row r="5216" spans="1:10" x14ac:dyDescent="0.3">
      <c r="A5216" t="s">
        <v>5343</v>
      </c>
      <c r="B5216" s="1">
        <v>45868</v>
      </c>
      <c r="C5216" t="s">
        <v>11</v>
      </c>
      <c r="D5216">
        <v>31</v>
      </c>
      <c r="E5216" t="s">
        <v>12</v>
      </c>
      <c r="F5216" t="s">
        <v>114</v>
      </c>
      <c r="G5216" t="s">
        <v>72</v>
      </c>
      <c r="H5216" t="s">
        <v>211</v>
      </c>
      <c r="I5216">
        <v>28541</v>
      </c>
      <c r="J5216">
        <v>35605</v>
      </c>
    </row>
    <row r="5217" spans="1:10" x14ac:dyDescent="0.3">
      <c r="A5217" t="s">
        <v>5344</v>
      </c>
      <c r="B5217" s="1">
        <v>45992</v>
      </c>
      <c r="C5217" t="s">
        <v>100</v>
      </c>
      <c r="D5217">
        <v>49</v>
      </c>
      <c r="E5217" t="s">
        <v>61</v>
      </c>
      <c r="F5217" t="s">
        <v>101</v>
      </c>
      <c r="G5217" t="s">
        <v>182</v>
      </c>
      <c r="H5217" t="s">
        <v>84</v>
      </c>
      <c r="I5217">
        <v>19331</v>
      </c>
      <c r="J5217">
        <v>21981</v>
      </c>
    </row>
    <row r="5218" spans="1:10" x14ac:dyDescent="0.3">
      <c r="A5218" t="s">
        <v>5345</v>
      </c>
      <c r="B5218" s="1">
        <v>45974</v>
      </c>
      <c r="C5218" t="s">
        <v>23</v>
      </c>
      <c r="D5218">
        <v>46</v>
      </c>
      <c r="E5218" t="s">
        <v>12</v>
      </c>
      <c r="F5218" t="s">
        <v>114</v>
      </c>
      <c r="G5218" t="s">
        <v>324</v>
      </c>
      <c r="H5218" t="s">
        <v>31</v>
      </c>
      <c r="I5218">
        <v>34677</v>
      </c>
      <c r="J5218">
        <v>44777</v>
      </c>
    </row>
    <row r="5219" spans="1:10" x14ac:dyDescent="0.3">
      <c r="A5219" t="s">
        <v>5346</v>
      </c>
      <c r="B5219" s="1">
        <v>45830</v>
      </c>
      <c r="C5219" t="s">
        <v>74</v>
      </c>
      <c r="D5219">
        <v>25</v>
      </c>
      <c r="E5219" t="s">
        <v>70</v>
      </c>
      <c r="F5219" t="s">
        <v>101</v>
      </c>
      <c r="G5219" t="s">
        <v>58</v>
      </c>
      <c r="H5219" t="s">
        <v>52</v>
      </c>
      <c r="I5219">
        <v>33844</v>
      </c>
      <c r="J5219">
        <v>32795</v>
      </c>
    </row>
    <row r="5220" spans="1:10" x14ac:dyDescent="0.3">
      <c r="A5220" t="s">
        <v>5347</v>
      </c>
      <c r="B5220" s="1">
        <v>46000</v>
      </c>
      <c r="C5220" t="s">
        <v>100</v>
      </c>
      <c r="D5220">
        <v>50</v>
      </c>
      <c r="E5220" t="s">
        <v>33</v>
      </c>
      <c r="F5220" t="s">
        <v>62</v>
      </c>
      <c r="G5220" t="s">
        <v>240</v>
      </c>
      <c r="H5220" t="s">
        <v>55</v>
      </c>
      <c r="I5220">
        <v>25394</v>
      </c>
      <c r="J5220">
        <v>21601</v>
      </c>
    </row>
    <row r="5221" spans="1:10" x14ac:dyDescent="0.3">
      <c r="A5221" t="s">
        <v>5348</v>
      </c>
      <c r="B5221" s="1">
        <v>45921</v>
      </c>
      <c r="C5221" t="s">
        <v>38</v>
      </c>
      <c r="D5221">
        <v>38</v>
      </c>
      <c r="E5221" t="s">
        <v>33</v>
      </c>
      <c r="F5221" t="s">
        <v>109</v>
      </c>
      <c r="G5221" t="s">
        <v>199</v>
      </c>
      <c r="H5221" t="s">
        <v>165</v>
      </c>
      <c r="I5221">
        <v>30247</v>
      </c>
      <c r="J5221">
        <v>33180</v>
      </c>
    </row>
    <row r="5222" spans="1:10" x14ac:dyDescent="0.3">
      <c r="A5222" t="s">
        <v>5349</v>
      </c>
      <c r="B5222" s="1">
        <v>45723</v>
      </c>
      <c r="C5222" t="s">
        <v>95</v>
      </c>
      <c r="D5222">
        <v>10</v>
      </c>
      <c r="E5222" t="s">
        <v>61</v>
      </c>
      <c r="F5222" t="s">
        <v>43</v>
      </c>
      <c r="G5222" t="s">
        <v>20</v>
      </c>
      <c r="H5222" t="s">
        <v>52</v>
      </c>
      <c r="I5222">
        <v>21729</v>
      </c>
      <c r="J5222">
        <v>26524</v>
      </c>
    </row>
    <row r="5223" spans="1:10" x14ac:dyDescent="0.3">
      <c r="A5223" t="s">
        <v>5350</v>
      </c>
      <c r="B5223" s="1">
        <v>45842</v>
      </c>
      <c r="C5223" t="s">
        <v>11</v>
      </c>
      <c r="D5223">
        <v>27</v>
      </c>
      <c r="E5223" t="s">
        <v>24</v>
      </c>
      <c r="F5223" t="s">
        <v>101</v>
      </c>
      <c r="G5223" t="s">
        <v>149</v>
      </c>
      <c r="H5223" t="s">
        <v>68</v>
      </c>
      <c r="I5223">
        <v>22392</v>
      </c>
      <c r="J5223">
        <v>16444</v>
      </c>
    </row>
    <row r="5224" spans="1:10" x14ac:dyDescent="0.3">
      <c r="A5224" t="s">
        <v>5351</v>
      </c>
      <c r="B5224" s="1">
        <v>45891</v>
      </c>
      <c r="C5224" t="s">
        <v>113</v>
      </c>
      <c r="D5224">
        <v>34</v>
      </c>
      <c r="E5224" t="s">
        <v>61</v>
      </c>
      <c r="F5224" t="s">
        <v>25</v>
      </c>
      <c r="G5224" t="s">
        <v>35</v>
      </c>
      <c r="H5224" t="s">
        <v>96</v>
      </c>
      <c r="I5224">
        <v>26089</v>
      </c>
      <c r="J5224">
        <v>21711</v>
      </c>
    </row>
    <row r="5225" spans="1:10" x14ac:dyDescent="0.3">
      <c r="A5225" t="s">
        <v>5352</v>
      </c>
      <c r="B5225" s="1">
        <v>45892</v>
      </c>
      <c r="C5225" t="s">
        <v>113</v>
      </c>
      <c r="D5225">
        <v>34</v>
      </c>
      <c r="E5225" t="s">
        <v>12</v>
      </c>
      <c r="F5225" t="s">
        <v>25</v>
      </c>
      <c r="G5225" t="s">
        <v>147</v>
      </c>
      <c r="H5225" t="s">
        <v>64</v>
      </c>
      <c r="I5225">
        <v>24838</v>
      </c>
      <c r="J5225">
        <v>24721</v>
      </c>
    </row>
    <row r="5226" spans="1:10" x14ac:dyDescent="0.3">
      <c r="A5226" t="s">
        <v>5353</v>
      </c>
      <c r="B5226" s="1">
        <v>45853</v>
      </c>
      <c r="C5226" t="s">
        <v>11</v>
      </c>
      <c r="D5226">
        <v>29</v>
      </c>
      <c r="E5226" t="s">
        <v>33</v>
      </c>
      <c r="F5226" t="s">
        <v>109</v>
      </c>
      <c r="G5226" t="s">
        <v>115</v>
      </c>
      <c r="H5226" t="s">
        <v>211</v>
      </c>
      <c r="I5226">
        <v>38965</v>
      </c>
      <c r="J5226">
        <v>35732</v>
      </c>
    </row>
    <row r="5227" spans="1:10" x14ac:dyDescent="0.3">
      <c r="A5227" t="s">
        <v>5354</v>
      </c>
      <c r="B5227" s="1">
        <v>45891</v>
      </c>
      <c r="C5227" t="s">
        <v>113</v>
      </c>
      <c r="D5227">
        <v>34</v>
      </c>
      <c r="E5227" t="s">
        <v>61</v>
      </c>
      <c r="F5227" t="s">
        <v>50</v>
      </c>
      <c r="G5227" t="s">
        <v>132</v>
      </c>
      <c r="H5227" t="s">
        <v>21</v>
      </c>
      <c r="I5227">
        <v>32886</v>
      </c>
      <c r="J5227">
        <v>42361</v>
      </c>
    </row>
    <row r="5228" spans="1:10" x14ac:dyDescent="0.3">
      <c r="A5228" t="s">
        <v>5355</v>
      </c>
      <c r="B5228" s="1">
        <v>46015</v>
      </c>
      <c r="C5228" t="s">
        <v>100</v>
      </c>
      <c r="D5228">
        <v>52</v>
      </c>
      <c r="E5228" t="s">
        <v>12</v>
      </c>
      <c r="F5228" t="s">
        <v>92</v>
      </c>
      <c r="G5228" t="s">
        <v>326</v>
      </c>
      <c r="H5228" t="s">
        <v>68</v>
      </c>
      <c r="I5228">
        <v>26082</v>
      </c>
      <c r="J5228">
        <v>18328</v>
      </c>
    </row>
    <row r="5229" spans="1:10" x14ac:dyDescent="0.3">
      <c r="A5229" t="s">
        <v>5356</v>
      </c>
      <c r="B5229" s="1">
        <v>45855</v>
      </c>
      <c r="C5229" t="s">
        <v>11</v>
      </c>
      <c r="D5229">
        <v>29</v>
      </c>
      <c r="E5229" t="s">
        <v>61</v>
      </c>
      <c r="F5229" t="s">
        <v>114</v>
      </c>
      <c r="G5229" t="s">
        <v>126</v>
      </c>
      <c r="H5229" t="s">
        <v>64</v>
      </c>
      <c r="I5229">
        <v>39356</v>
      </c>
      <c r="J5229">
        <v>38347</v>
      </c>
    </row>
    <row r="5230" spans="1:10" x14ac:dyDescent="0.3">
      <c r="A5230" t="s">
        <v>5357</v>
      </c>
      <c r="B5230" s="1">
        <v>45697</v>
      </c>
      <c r="C5230" t="s">
        <v>82</v>
      </c>
      <c r="D5230">
        <v>6</v>
      </c>
      <c r="E5230" t="s">
        <v>70</v>
      </c>
      <c r="F5230" t="s">
        <v>87</v>
      </c>
      <c r="G5230" t="s">
        <v>115</v>
      </c>
      <c r="H5230" t="s">
        <v>15</v>
      </c>
      <c r="I5230">
        <v>33966</v>
      </c>
      <c r="J5230">
        <v>33136</v>
      </c>
    </row>
    <row r="5231" spans="1:10" x14ac:dyDescent="0.3">
      <c r="A5231" t="s">
        <v>5358</v>
      </c>
      <c r="B5231" s="1">
        <v>45973</v>
      </c>
      <c r="C5231" t="s">
        <v>23</v>
      </c>
      <c r="D5231">
        <v>46</v>
      </c>
      <c r="E5231" t="s">
        <v>70</v>
      </c>
      <c r="F5231" t="s">
        <v>140</v>
      </c>
      <c r="G5231" t="s">
        <v>40</v>
      </c>
      <c r="H5231" t="s">
        <v>36</v>
      </c>
      <c r="I5231">
        <v>24104</v>
      </c>
      <c r="J5231">
        <v>22761</v>
      </c>
    </row>
    <row r="5232" spans="1:10" x14ac:dyDescent="0.3">
      <c r="A5232" t="s">
        <v>5359</v>
      </c>
      <c r="B5232" s="1">
        <v>45891</v>
      </c>
      <c r="C5232" t="s">
        <v>113</v>
      </c>
      <c r="D5232">
        <v>34</v>
      </c>
      <c r="E5232" t="s">
        <v>12</v>
      </c>
      <c r="F5232" t="s">
        <v>13</v>
      </c>
      <c r="G5232" t="s">
        <v>171</v>
      </c>
      <c r="H5232" t="s">
        <v>111</v>
      </c>
      <c r="I5232">
        <v>28177</v>
      </c>
      <c r="J5232">
        <v>28102</v>
      </c>
    </row>
    <row r="5233" spans="1:10" x14ac:dyDescent="0.3">
      <c r="A5233" t="s">
        <v>5360</v>
      </c>
      <c r="B5233" s="1">
        <v>45887</v>
      </c>
      <c r="C5233" t="s">
        <v>113</v>
      </c>
      <c r="D5233">
        <v>34</v>
      </c>
      <c r="E5233" t="s">
        <v>24</v>
      </c>
      <c r="F5233" t="s">
        <v>193</v>
      </c>
      <c r="G5233" t="s">
        <v>44</v>
      </c>
      <c r="H5233" t="s">
        <v>157</v>
      </c>
      <c r="I5233">
        <v>22625</v>
      </c>
      <c r="J5233">
        <v>20458</v>
      </c>
    </row>
    <row r="5234" spans="1:10" x14ac:dyDescent="0.3">
      <c r="A5234" t="s">
        <v>5361</v>
      </c>
      <c r="B5234" s="1">
        <v>45899</v>
      </c>
      <c r="C5234" t="s">
        <v>113</v>
      </c>
      <c r="D5234">
        <v>35</v>
      </c>
      <c r="E5234" t="s">
        <v>61</v>
      </c>
      <c r="F5234" t="s">
        <v>122</v>
      </c>
      <c r="G5234" t="s">
        <v>145</v>
      </c>
      <c r="H5234" t="s">
        <v>15</v>
      </c>
      <c r="I5234">
        <v>27128</v>
      </c>
      <c r="J5234">
        <v>27714</v>
      </c>
    </row>
    <row r="5235" spans="1:10" x14ac:dyDescent="0.3">
      <c r="A5235" t="s">
        <v>5362</v>
      </c>
      <c r="B5235" s="1">
        <v>45822</v>
      </c>
      <c r="C5235" t="s">
        <v>74</v>
      </c>
      <c r="D5235">
        <v>24</v>
      </c>
      <c r="E5235" t="s">
        <v>12</v>
      </c>
      <c r="F5235" t="s">
        <v>57</v>
      </c>
      <c r="G5235" t="s">
        <v>182</v>
      </c>
      <c r="H5235" t="s">
        <v>119</v>
      </c>
      <c r="I5235">
        <v>25247</v>
      </c>
      <c r="J5235">
        <v>27000</v>
      </c>
    </row>
    <row r="5236" spans="1:10" x14ac:dyDescent="0.3">
      <c r="A5236" t="s">
        <v>5363</v>
      </c>
      <c r="B5236" s="1">
        <v>45686</v>
      </c>
      <c r="C5236" t="s">
        <v>17</v>
      </c>
      <c r="D5236">
        <v>5</v>
      </c>
      <c r="E5236" t="s">
        <v>61</v>
      </c>
      <c r="F5236" t="s">
        <v>87</v>
      </c>
      <c r="G5236" t="s">
        <v>201</v>
      </c>
      <c r="H5236" t="s">
        <v>64</v>
      </c>
      <c r="I5236">
        <v>27011</v>
      </c>
      <c r="J5236">
        <v>19597</v>
      </c>
    </row>
    <row r="5237" spans="1:10" x14ac:dyDescent="0.3">
      <c r="A5237" t="s">
        <v>5364</v>
      </c>
      <c r="B5237" s="1">
        <v>45733</v>
      </c>
      <c r="C5237" t="s">
        <v>95</v>
      </c>
      <c r="D5237">
        <v>12</v>
      </c>
      <c r="E5237" t="s">
        <v>39</v>
      </c>
      <c r="F5237" t="s">
        <v>29</v>
      </c>
      <c r="G5237" t="s">
        <v>83</v>
      </c>
      <c r="H5237" t="s">
        <v>98</v>
      </c>
      <c r="I5237">
        <v>39930</v>
      </c>
      <c r="J5237">
        <v>43700</v>
      </c>
    </row>
    <row r="5238" spans="1:10" x14ac:dyDescent="0.3">
      <c r="A5238" t="s">
        <v>5365</v>
      </c>
      <c r="B5238" s="1">
        <v>45785</v>
      </c>
      <c r="C5238" t="s">
        <v>90</v>
      </c>
      <c r="D5238">
        <v>19</v>
      </c>
      <c r="E5238" t="s">
        <v>70</v>
      </c>
      <c r="F5238" t="s">
        <v>46</v>
      </c>
      <c r="G5238" t="s">
        <v>191</v>
      </c>
      <c r="H5238" t="s">
        <v>21</v>
      </c>
      <c r="I5238">
        <v>24447</v>
      </c>
      <c r="J5238">
        <v>22780</v>
      </c>
    </row>
    <row r="5239" spans="1:10" x14ac:dyDescent="0.3">
      <c r="A5239" t="s">
        <v>5366</v>
      </c>
      <c r="B5239" s="1">
        <v>45726</v>
      </c>
      <c r="C5239" t="s">
        <v>95</v>
      </c>
      <c r="D5239">
        <v>11</v>
      </c>
      <c r="E5239" t="s">
        <v>18</v>
      </c>
      <c r="F5239" t="s">
        <v>43</v>
      </c>
      <c r="G5239" t="s">
        <v>51</v>
      </c>
      <c r="H5239" t="s">
        <v>111</v>
      </c>
      <c r="I5239">
        <v>37118</v>
      </c>
      <c r="J5239">
        <v>46238</v>
      </c>
    </row>
    <row r="5240" spans="1:10" x14ac:dyDescent="0.3">
      <c r="A5240" t="s">
        <v>5367</v>
      </c>
      <c r="B5240" s="1">
        <v>45774</v>
      </c>
      <c r="C5240" t="s">
        <v>86</v>
      </c>
      <c r="D5240">
        <v>17</v>
      </c>
      <c r="E5240" t="s">
        <v>18</v>
      </c>
      <c r="F5240" t="s">
        <v>29</v>
      </c>
      <c r="G5240" t="s">
        <v>224</v>
      </c>
      <c r="H5240" t="s">
        <v>55</v>
      </c>
      <c r="I5240">
        <v>18823</v>
      </c>
      <c r="J5240">
        <v>17443</v>
      </c>
    </row>
    <row r="5241" spans="1:10" x14ac:dyDescent="0.3">
      <c r="A5241" t="s">
        <v>5368</v>
      </c>
      <c r="B5241" s="1">
        <v>45802</v>
      </c>
      <c r="C5241" t="s">
        <v>90</v>
      </c>
      <c r="D5241">
        <v>21</v>
      </c>
      <c r="E5241" t="s">
        <v>33</v>
      </c>
      <c r="F5241" t="s">
        <v>46</v>
      </c>
      <c r="G5241" t="s">
        <v>20</v>
      </c>
      <c r="H5241" t="s">
        <v>119</v>
      </c>
      <c r="I5241">
        <v>24639</v>
      </c>
      <c r="J5241">
        <v>31463</v>
      </c>
    </row>
    <row r="5242" spans="1:10" x14ac:dyDescent="0.3">
      <c r="A5242" t="s">
        <v>5369</v>
      </c>
      <c r="B5242" s="1">
        <v>45806</v>
      </c>
      <c r="C5242" t="s">
        <v>90</v>
      </c>
      <c r="D5242">
        <v>22</v>
      </c>
      <c r="E5242" t="s">
        <v>18</v>
      </c>
      <c r="F5242" t="s">
        <v>92</v>
      </c>
      <c r="G5242" t="s">
        <v>224</v>
      </c>
      <c r="H5242" t="s">
        <v>48</v>
      </c>
      <c r="I5242">
        <v>32644</v>
      </c>
      <c r="J5242">
        <v>31011</v>
      </c>
    </row>
    <row r="5243" spans="1:10" x14ac:dyDescent="0.3">
      <c r="A5243" t="s">
        <v>5370</v>
      </c>
      <c r="B5243" s="1">
        <v>45826</v>
      </c>
      <c r="C5243" t="s">
        <v>74</v>
      </c>
      <c r="D5243">
        <v>25</v>
      </c>
      <c r="E5243" t="s">
        <v>33</v>
      </c>
      <c r="F5243" t="s">
        <v>101</v>
      </c>
      <c r="G5243" t="s">
        <v>107</v>
      </c>
      <c r="H5243" t="s">
        <v>80</v>
      </c>
      <c r="I5243">
        <v>26367</v>
      </c>
      <c r="J5243">
        <v>20466</v>
      </c>
    </row>
    <row r="5244" spans="1:10" x14ac:dyDescent="0.3">
      <c r="A5244" t="s">
        <v>5371</v>
      </c>
      <c r="B5244" s="1">
        <v>45724</v>
      </c>
      <c r="C5244" t="s">
        <v>95</v>
      </c>
      <c r="D5244">
        <v>10</v>
      </c>
      <c r="E5244" t="s">
        <v>61</v>
      </c>
      <c r="F5244" t="s">
        <v>50</v>
      </c>
      <c r="G5244" t="s">
        <v>191</v>
      </c>
      <c r="H5244" t="s">
        <v>31</v>
      </c>
      <c r="I5244">
        <v>27898</v>
      </c>
      <c r="J5244">
        <v>21933</v>
      </c>
    </row>
    <row r="5245" spans="1:10" x14ac:dyDescent="0.3">
      <c r="A5245" t="s">
        <v>5372</v>
      </c>
      <c r="B5245" s="1">
        <v>45889</v>
      </c>
      <c r="C5245" t="s">
        <v>113</v>
      </c>
      <c r="D5245">
        <v>34</v>
      </c>
      <c r="E5245" t="s">
        <v>33</v>
      </c>
      <c r="F5245" t="s">
        <v>13</v>
      </c>
      <c r="G5245" t="s">
        <v>199</v>
      </c>
      <c r="H5245" t="s">
        <v>68</v>
      </c>
      <c r="I5245">
        <v>22903</v>
      </c>
      <c r="J5245">
        <v>27673</v>
      </c>
    </row>
    <row r="5246" spans="1:10" x14ac:dyDescent="0.3">
      <c r="A5246" t="s">
        <v>5373</v>
      </c>
      <c r="B5246" s="1">
        <v>45898</v>
      </c>
      <c r="C5246" t="s">
        <v>113</v>
      </c>
      <c r="D5246">
        <v>35</v>
      </c>
      <c r="E5246" t="s">
        <v>61</v>
      </c>
      <c r="F5246" t="s">
        <v>140</v>
      </c>
      <c r="G5246" t="s">
        <v>234</v>
      </c>
      <c r="H5246" t="s">
        <v>48</v>
      </c>
      <c r="I5246">
        <v>35597</v>
      </c>
      <c r="J5246">
        <v>41316</v>
      </c>
    </row>
    <row r="5247" spans="1:10" x14ac:dyDescent="0.3">
      <c r="A5247" t="s">
        <v>5374</v>
      </c>
      <c r="B5247" s="1">
        <v>46012</v>
      </c>
      <c r="C5247" t="s">
        <v>100</v>
      </c>
      <c r="D5247">
        <v>51</v>
      </c>
      <c r="E5247" t="s">
        <v>12</v>
      </c>
      <c r="F5247" t="s">
        <v>140</v>
      </c>
      <c r="G5247" t="s">
        <v>326</v>
      </c>
      <c r="H5247" t="s">
        <v>116</v>
      </c>
      <c r="I5247">
        <v>33925</v>
      </c>
      <c r="J5247">
        <v>37316</v>
      </c>
    </row>
    <row r="5248" spans="1:10" x14ac:dyDescent="0.3">
      <c r="A5248" t="s">
        <v>5375</v>
      </c>
      <c r="B5248" s="1">
        <v>45819</v>
      </c>
      <c r="C5248" t="s">
        <v>74</v>
      </c>
      <c r="D5248">
        <v>24</v>
      </c>
      <c r="E5248" t="s">
        <v>70</v>
      </c>
      <c r="F5248" t="s">
        <v>122</v>
      </c>
      <c r="G5248" t="s">
        <v>224</v>
      </c>
      <c r="H5248" t="s">
        <v>155</v>
      </c>
      <c r="I5248">
        <v>30515</v>
      </c>
      <c r="J5248">
        <v>38144</v>
      </c>
    </row>
    <row r="5249" spans="1:10" x14ac:dyDescent="0.3">
      <c r="A5249" t="s">
        <v>5376</v>
      </c>
      <c r="B5249" s="1">
        <v>45880</v>
      </c>
      <c r="C5249" t="s">
        <v>113</v>
      </c>
      <c r="D5249">
        <v>33</v>
      </c>
      <c r="E5249" t="s">
        <v>61</v>
      </c>
      <c r="F5249" t="s">
        <v>101</v>
      </c>
      <c r="G5249" t="s">
        <v>128</v>
      </c>
      <c r="H5249" t="s">
        <v>157</v>
      </c>
      <c r="I5249">
        <v>33664</v>
      </c>
      <c r="J5249">
        <v>34829</v>
      </c>
    </row>
    <row r="5250" spans="1:10" x14ac:dyDescent="0.3">
      <c r="A5250" t="s">
        <v>5377</v>
      </c>
      <c r="B5250" s="1">
        <v>45780</v>
      </c>
      <c r="C5250" t="s">
        <v>90</v>
      </c>
      <c r="D5250">
        <v>18</v>
      </c>
      <c r="E5250" t="s">
        <v>61</v>
      </c>
      <c r="F5250" t="s">
        <v>43</v>
      </c>
      <c r="G5250" t="s">
        <v>40</v>
      </c>
      <c r="H5250" t="s">
        <v>133</v>
      </c>
      <c r="I5250">
        <v>22160</v>
      </c>
      <c r="J5250">
        <v>24354</v>
      </c>
    </row>
    <row r="5251" spans="1:10" x14ac:dyDescent="0.3">
      <c r="A5251" t="s">
        <v>5378</v>
      </c>
      <c r="B5251" s="1">
        <v>45772</v>
      </c>
      <c r="C5251" t="s">
        <v>86</v>
      </c>
      <c r="D5251">
        <v>17</v>
      </c>
      <c r="E5251" t="s">
        <v>70</v>
      </c>
      <c r="F5251" t="s">
        <v>19</v>
      </c>
      <c r="G5251" t="s">
        <v>44</v>
      </c>
      <c r="H5251" t="s">
        <v>165</v>
      </c>
      <c r="I5251">
        <v>18998</v>
      </c>
      <c r="J5251">
        <v>21909</v>
      </c>
    </row>
    <row r="5252" spans="1:10" x14ac:dyDescent="0.3">
      <c r="A5252" t="s">
        <v>5379</v>
      </c>
      <c r="B5252" s="1">
        <v>45979</v>
      </c>
      <c r="C5252" t="s">
        <v>23</v>
      </c>
      <c r="D5252">
        <v>47</v>
      </c>
      <c r="E5252" t="s">
        <v>70</v>
      </c>
      <c r="F5252" t="s">
        <v>122</v>
      </c>
      <c r="G5252" t="s">
        <v>47</v>
      </c>
      <c r="H5252" t="s">
        <v>41</v>
      </c>
      <c r="I5252">
        <v>31061</v>
      </c>
      <c r="J5252">
        <v>24713</v>
      </c>
    </row>
    <row r="5253" spans="1:10" x14ac:dyDescent="0.3">
      <c r="A5253" t="s">
        <v>5380</v>
      </c>
      <c r="B5253" s="1">
        <v>45873</v>
      </c>
      <c r="C5253" t="s">
        <v>113</v>
      </c>
      <c r="D5253">
        <v>32</v>
      </c>
      <c r="E5253" t="s">
        <v>39</v>
      </c>
      <c r="F5253" t="s">
        <v>114</v>
      </c>
      <c r="G5253" t="s">
        <v>206</v>
      </c>
      <c r="H5253" t="s">
        <v>243</v>
      </c>
      <c r="I5253">
        <v>29594</v>
      </c>
      <c r="J5253">
        <v>26686</v>
      </c>
    </row>
    <row r="5254" spans="1:10" x14ac:dyDescent="0.3">
      <c r="A5254" t="s">
        <v>5381</v>
      </c>
      <c r="B5254" s="1">
        <v>45807</v>
      </c>
      <c r="C5254" t="s">
        <v>90</v>
      </c>
      <c r="D5254">
        <v>22</v>
      </c>
      <c r="E5254" t="s">
        <v>24</v>
      </c>
      <c r="F5254" t="s">
        <v>43</v>
      </c>
      <c r="G5254" t="s">
        <v>54</v>
      </c>
      <c r="H5254" t="s">
        <v>55</v>
      </c>
      <c r="I5254">
        <v>27342</v>
      </c>
      <c r="J5254">
        <v>32582</v>
      </c>
    </row>
    <row r="5255" spans="1:10" x14ac:dyDescent="0.3">
      <c r="A5255" t="s">
        <v>5382</v>
      </c>
      <c r="B5255" s="1">
        <v>46003</v>
      </c>
      <c r="C5255" t="s">
        <v>100</v>
      </c>
      <c r="D5255">
        <v>50</v>
      </c>
      <c r="E5255" t="s">
        <v>70</v>
      </c>
      <c r="F5255" t="s">
        <v>75</v>
      </c>
      <c r="G5255" t="s">
        <v>326</v>
      </c>
      <c r="H5255" t="s">
        <v>84</v>
      </c>
      <c r="I5255">
        <v>24066</v>
      </c>
      <c r="J5255">
        <v>20049</v>
      </c>
    </row>
    <row r="5256" spans="1:10" x14ac:dyDescent="0.3">
      <c r="A5256" t="s">
        <v>5383</v>
      </c>
      <c r="B5256" s="1">
        <v>46013</v>
      </c>
      <c r="C5256" t="s">
        <v>100</v>
      </c>
      <c r="D5256">
        <v>52</v>
      </c>
      <c r="E5256" t="s">
        <v>18</v>
      </c>
      <c r="F5256" t="s">
        <v>114</v>
      </c>
      <c r="G5256" t="s">
        <v>115</v>
      </c>
      <c r="H5256" t="s">
        <v>96</v>
      </c>
      <c r="I5256">
        <v>28792</v>
      </c>
      <c r="J5256">
        <v>32291</v>
      </c>
    </row>
    <row r="5257" spans="1:10" x14ac:dyDescent="0.3">
      <c r="A5257" t="s">
        <v>5384</v>
      </c>
      <c r="B5257" s="1">
        <v>45742</v>
      </c>
      <c r="C5257" t="s">
        <v>95</v>
      </c>
      <c r="D5257">
        <v>13</v>
      </c>
      <c r="E5257" t="s">
        <v>18</v>
      </c>
      <c r="F5257" t="s">
        <v>50</v>
      </c>
      <c r="G5257" t="s">
        <v>20</v>
      </c>
      <c r="H5257" t="s">
        <v>151</v>
      </c>
      <c r="I5257">
        <v>15952</v>
      </c>
      <c r="J5257">
        <v>16527</v>
      </c>
    </row>
    <row r="5258" spans="1:10" x14ac:dyDescent="0.3">
      <c r="A5258" t="s">
        <v>5385</v>
      </c>
      <c r="B5258" s="1">
        <v>45920</v>
      </c>
      <c r="C5258" t="s">
        <v>38</v>
      </c>
      <c r="D5258">
        <v>38</v>
      </c>
      <c r="E5258" t="s">
        <v>18</v>
      </c>
      <c r="F5258" t="s">
        <v>29</v>
      </c>
      <c r="G5258" t="s">
        <v>253</v>
      </c>
      <c r="H5258" t="s">
        <v>68</v>
      </c>
      <c r="I5258">
        <v>34987</v>
      </c>
      <c r="J5258">
        <v>27036</v>
      </c>
    </row>
    <row r="5259" spans="1:10" x14ac:dyDescent="0.3">
      <c r="A5259" t="s">
        <v>5386</v>
      </c>
      <c r="B5259" s="1">
        <v>45996</v>
      </c>
      <c r="C5259" t="s">
        <v>100</v>
      </c>
      <c r="D5259">
        <v>49</v>
      </c>
      <c r="E5259" t="s">
        <v>61</v>
      </c>
      <c r="F5259" t="s">
        <v>25</v>
      </c>
      <c r="G5259" t="s">
        <v>47</v>
      </c>
      <c r="H5259" t="s">
        <v>55</v>
      </c>
      <c r="I5259">
        <v>25843</v>
      </c>
      <c r="J5259">
        <v>28452</v>
      </c>
    </row>
    <row r="5260" spans="1:10" x14ac:dyDescent="0.3">
      <c r="A5260" t="s">
        <v>5387</v>
      </c>
      <c r="B5260" s="1">
        <v>46016</v>
      </c>
      <c r="C5260" t="s">
        <v>100</v>
      </c>
      <c r="D5260">
        <v>52</v>
      </c>
      <c r="E5260" t="s">
        <v>33</v>
      </c>
      <c r="F5260" t="s">
        <v>114</v>
      </c>
      <c r="G5260" t="s">
        <v>291</v>
      </c>
      <c r="H5260" t="s">
        <v>155</v>
      </c>
      <c r="I5260">
        <v>35225</v>
      </c>
      <c r="J5260">
        <v>37892</v>
      </c>
    </row>
    <row r="5261" spans="1:10" x14ac:dyDescent="0.3">
      <c r="A5261" t="s">
        <v>5388</v>
      </c>
      <c r="B5261" s="1">
        <v>45893</v>
      </c>
      <c r="C5261" t="s">
        <v>113</v>
      </c>
      <c r="D5261">
        <v>34</v>
      </c>
      <c r="E5261" t="s">
        <v>12</v>
      </c>
      <c r="F5261" t="s">
        <v>114</v>
      </c>
      <c r="G5261" t="s">
        <v>79</v>
      </c>
      <c r="H5261" t="s">
        <v>133</v>
      </c>
      <c r="I5261">
        <v>25702</v>
      </c>
      <c r="J5261">
        <v>32136</v>
      </c>
    </row>
    <row r="5262" spans="1:10" x14ac:dyDescent="0.3">
      <c r="A5262" t="s">
        <v>5389</v>
      </c>
      <c r="B5262" s="1">
        <v>45825</v>
      </c>
      <c r="C5262" t="s">
        <v>74</v>
      </c>
      <c r="D5262">
        <v>25</v>
      </c>
      <c r="E5262" t="s">
        <v>24</v>
      </c>
      <c r="F5262" t="s">
        <v>13</v>
      </c>
      <c r="G5262" t="s">
        <v>58</v>
      </c>
      <c r="H5262" t="s">
        <v>64</v>
      </c>
      <c r="I5262">
        <v>27051</v>
      </c>
      <c r="J5262">
        <v>26906</v>
      </c>
    </row>
    <row r="5263" spans="1:10" x14ac:dyDescent="0.3">
      <c r="A5263" t="s">
        <v>5390</v>
      </c>
      <c r="B5263" s="1">
        <v>45679</v>
      </c>
      <c r="C5263" t="s">
        <v>17</v>
      </c>
      <c r="D5263">
        <v>4</v>
      </c>
      <c r="E5263" t="s">
        <v>39</v>
      </c>
      <c r="F5263" t="s">
        <v>13</v>
      </c>
      <c r="G5263" t="s">
        <v>145</v>
      </c>
      <c r="H5263" t="s">
        <v>59</v>
      </c>
      <c r="I5263">
        <v>15909</v>
      </c>
      <c r="J5263">
        <v>11719</v>
      </c>
    </row>
    <row r="5264" spans="1:10" x14ac:dyDescent="0.3">
      <c r="A5264" t="s">
        <v>5391</v>
      </c>
      <c r="B5264" s="1">
        <v>45805</v>
      </c>
      <c r="C5264" t="s">
        <v>90</v>
      </c>
      <c r="D5264">
        <v>22</v>
      </c>
      <c r="E5264" t="s">
        <v>61</v>
      </c>
      <c r="F5264" t="s">
        <v>29</v>
      </c>
      <c r="G5264" t="s">
        <v>67</v>
      </c>
      <c r="H5264" t="s">
        <v>103</v>
      </c>
      <c r="I5264">
        <v>22832</v>
      </c>
      <c r="J5264">
        <v>28523</v>
      </c>
    </row>
    <row r="5265" spans="1:10" x14ac:dyDescent="0.3">
      <c r="A5265" t="s">
        <v>5392</v>
      </c>
      <c r="B5265" s="1">
        <v>45712</v>
      </c>
      <c r="C5265" t="s">
        <v>82</v>
      </c>
      <c r="D5265">
        <v>9</v>
      </c>
      <c r="E5265" t="s">
        <v>70</v>
      </c>
      <c r="F5265" t="s">
        <v>114</v>
      </c>
      <c r="G5265" t="s">
        <v>63</v>
      </c>
      <c r="H5265" t="s">
        <v>111</v>
      </c>
      <c r="I5265">
        <v>18337</v>
      </c>
      <c r="J5265">
        <v>22842</v>
      </c>
    </row>
    <row r="5266" spans="1:10" x14ac:dyDescent="0.3">
      <c r="A5266" t="s">
        <v>5393</v>
      </c>
      <c r="B5266" s="1">
        <v>45980</v>
      </c>
      <c r="C5266" t="s">
        <v>23</v>
      </c>
      <c r="D5266">
        <v>47</v>
      </c>
      <c r="E5266" t="s">
        <v>70</v>
      </c>
      <c r="F5266" t="s">
        <v>43</v>
      </c>
      <c r="G5266" t="s">
        <v>147</v>
      </c>
      <c r="H5266" t="s">
        <v>151</v>
      </c>
      <c r="I5266">
        <v>19845</v>
      </c>
      <c r="J5266">
        <v>24373</v>
      </c>
    </row>
    <row r="5267" spans="1:10" x14ac:dyDescent="0.3">
      <c r="A5267" t="s">
        <v>5394</v>
      </c>
      <c r="B5267" s="1">
        <v>45845</v>
      </c>
      <c r="C5267" t="s">
        <v>11</v>
      </c>
      <c r="D5267">
        <v>28</v>
      </c>
      <c r="E5267" t="s">
        <v>18</v>
      </c>
      <c r="F5267" t="s">
        <v>46</v>
      </c>
      <c r="G5267" t="s">
        <v>30</v>
      </c>
      <c r="H5267" t="s">
        <v>59</v>
      </c>
      <c r="I5267">
        <v>15472</v>
      </c>
      <c r="J5267">
        <v>11603</v>
      </c>
    </row>
    <row r="5268" spans="1:10" x14ac:dyDescent="0.3">
      <c r="A5268" t="s">
        <v>5395</v>
      </c>
      <c r="B5268" s="1">
        <v>45984</v>
      </c>
      <c r="C5268" t="s">
        <v>23</v>
      </c>
      <c r="D5268">
        <v>47</v>
      </c>
      <c r="E5268" t="s">
        <v>12</v>
      </c>
      <c r="F5268" t="s">
        <v>50</v>
      </c>
      <c r="G5268" t="s">
        <v>14</v>
      </c>
      <c r="H5268" t="s">
        <v>59</v>
      </c>
      <c r="I5268">
        <v>25930</v>
      </c>
      <c r="J5268">
        <v>22047</v>
      </c>
    </row>
    <row r="5269" spans="1:10" x14ac:dyDescent="0.3">
      <c r="A5269" t="s">
        <v>5396</v>
      </c>
      <c r="B5269" s="1">
        <v>45962</v>
      </c>
      <c r="C5269" t="s">
        <v>23</v>
      </c>
      <c r="D5269">
        <v>44</v>
      </c>
      <c r="E5269" t="s">
        <v>70</v>
      </c>
      <c r="F5269" t="s">
        <v>109</v>
      </c>
      <c r="G5269" t="s">
        <v>35</v>
      </c>
      <c r="H5269" t="s">
        <v>151</v>
      </c>
      <c r="I5269">
        <v>17482</v>
      </c>
      <c r="J5269">
        <v>19976</v>
      </c>
    </row>
    <row r="5270" spans="1:10" x14ac:dyDescent="0.3">
      <c r="A5270" t="s">
        <v>5397</v>
      </c>
      <c r="B5270" s="1">
        <v>45832</v>
      </c>
      <c r="C5270" t="s">
        <v>74</v>
      </c>
      <c r="D5270">
        <v>26</v>
      </c>
      <c r="E5270" t="s">
        <v>12</v>
      </c>
      <c r="F5270" t="s">
        <v>140</v>
      </c>
      <c r="G5270" t="s">
        <v>88</v>
      </c>
      <c r="H5270" t="s">
        <v>123</v>
      </c>
      <c r="I5270">
        <v>27656</v>
      </c>
      <c r="J5270">
        <v>24033</v>
      </c>
    </row>
    <row r="5271" spans="1:10" x14ac:dyDescent="0.3">
      <c r="A5271" t="s">
        <v>5398</v>
      </c>
      <c r="B5271" s="1">
        <v>45680</v>
      </c>
      <c r="C5271" t="s">
        <v>17</v>
      </c>
      <c r="D5271">
        <v>4</v>
      </c>
      <c r="E5271" t="s">
        <v>24</v>
      </c>
      <c r="F5271" t="s">
        <v>87</v>
      </c>
      <c r="G5271" t="s">
        <v>132</v>
      </c>
      <c r="H5271" t="s">
        <v>123</v>
      </c>
      <c r="I5271">
        <v>23267</v>
      </c>
      <c r="J5271">
        <v>26851</v>
      </c>
    </row>
    <row r="5272" spans="1:10" x14ac:dyDescent="0.3">
      <c r="A5272" t="s">
        <v>5399</v>
      </c>
      <c r="B5272" s="1">
        <v>45988</v>
      </c>
      <c r="C5272" t="s">
        <v>23</v>
      </c>
      <c r="D5272">
        <v>48</v>
      </c>
      <c r="E5272" t="s">
        <v>18</v>
      </c>
      <c r="F5272" t="s">
        <v>140</v>
      </c>
      <c r="G5272" t="s">
        <v>137</v>
      </c>
      <c r="H5272" t="s">
        <v>243</v>
      </c>
      <c r="I5272">
        <v>17486</v>
      </c>
      <c r="J5272">
        <v>21305</v>
      </c>
    </row>
    <row r="5273" spans="1:10" x14ac:dyDescent="0.3">
      <c r="A5273" t="s">
        <v>5400</v>
      </c>
      <c r="B5273" s="1">
        <v>45664</v>
      </c>
      <c r="C5273" t="s">
        <v>17</v>
      </c>
      <c r="D5273">
        <v>2</v>
      </c>
      <c r="E5273" t="s">
        <v>61</v>
      </c>
      <c r="F5273" t="s">
        <v>34</v>
      </c>
      <c r="G5273" t="s">
        <v>118</v>
      </c>
      <c r="H5273" t="s">
        <v>116</v>
      </c>
      <c r="I5273">
        <v>19798</v>
      </c>
      <c r="J5273">
        <v>23534</v>
      </c>
    </row>
    <row r="5274" spans="1:10" x14ac:dyDescent="0.3">
      <c r="A5274" t="s">
        <v>5401</v>
      </c>
      <c r="B5274" s="1">
        <v>45718</v>
      </c>
      <c r="C5274" t="s">
        <v>95</v>
      </c>
      <c r="D5274">
        <v>9</v>
      </c>
      <c r="E5274" t="s">
        <v>33</v>
      </c>
      <c r="F5274" t="s">
        <v>122</v>
      </c>
      <c r="G5274" t="s">
        <v>234</v>
      </c>
      <c r="H5274" t="s">
        <v>36</v>
      </c>
      <c r="I5274">
        <v>18702</v>
      </c>
      <c r="J5274">
        <v>22711</v>
      </c>
    </row>
    <row r="5275" spans="1:10" x14ac:dyDescent="0.3">
      <c r="A5275" t="s">
        <v>5402</v>
      </c>
      <c r="B5275" s="1">
        <v>45745</v>
      </c>
      <c r="C5275" t="s">
        <v>95</v>
      </c>
      <c r="D5275">
        <v>13</v>
      </c>
      <c r="E5275" t="s">
        <v>39</v>
      </c>
      <c r="F5275" t="s">
        <v>19</v>
      </c>
      <c r="G5275" t="s">
        <v>253</v>
      </c>
      <c r="H5275" t="s">
        <v>163</v>
      </c>
      <c r="I5275">
        <v>18238</v>
      </c>
      <c r="J5275">
        <v>15216</v>
      </c>
    </row>
    <row r="5276" spans="1:10" x14ac:dyDescent="0.3">
      <c r="A5276" t="s">
        <v>5403</v>
      </c>
      <c r="B5276" s="1">
        <v>45982</v>
      </c>
      <c r="C5276" t="s">
        <v>23</v>
      </c>
      <c r="D5276">
        <v>47</v>
      </c>
      <c r="E5276" t="s">
        <v>33</v>
      </c>
      <c r="F5276" t="s">
        <v>78</v>
      </c>
      <c r="G5276" t="s">
        <v>130</v>
      </c>
      <c r="H5276" t="s">
        <v>133</v>
      </c>
      <c r="I5276">
        <v>19708</v>
      </c>
      <c r="J5276">
        <v>23384</v>
      </c>
    </row>
    <row r="5277" spans="1:10" x14ac:dyDescent="0.3">
      <c r="A5277" t="s">
        <v>5404</v>
      </c>
      <c r="B5277" s="1">
        <v>45710</v>
      </c>
      <c r="C5277" t="s">
        <v>82</v>
      </c>
      <c r="D5277">
        <v>8</v>
      </c>
      <c r="E5277" t="s">
        <v>61</v>
      </c>
      <c r="F5277" t="s">
        <v>62</v>
      </c>
      <c r="G5277" t="s">
        <v>130</v>
      </c>
      <c r="H5277" t="s">
        <v>155</v>
      </c>
      <c r="I5277">
        <v>20799</v>
      </c>
      <c r="J5277">
        <v>15303</v>
      </c>
    </row>
    <row r="5278" spans="1:10" x14ac:dyDescent="0.3">
      <c r="A5278" t="s">
        <v>5405</v>
      </c>
      <c r="B5278" s="1">
        <v>45889</v>
      </c>
      <c r="C5278" t="s">
        <v>113</v>
      </c>
      <c r="D5278">
        <v>34</v>
      </c>
      <c r="E5278" t="s">
        <v>70</v>
      </c>
      <c r="F5278" t="s">
        <v>75</v>
      </c>
      <c r="G5278" t="s">
        <v>44</v>
      </c>
      <c r="H5278" t="s">
        <v>96</v>
      </c>
      <c r="I5278">
        <v>36592</v>
      </c>
      <c r="J5278">
        <v>33278</v>
      </c>
    </row>
    <row r="5279" spans="1:10" x14ac:dyDescent="0.3">
      <c r="A5279" t="s">
        <v>5406</v>
      </c>
      <c r="B5279" s="1">
        <v>45796</v>
      </c>
      <c r="C5279" t="s">
        <v>90</v>
      </c>
      <c r="D5279">
        <v>21</v>
      </c>
      <c r="E5279" t="s">
        <v>39</v>
      </c>
      <c r="F5279" t="s">
        <v>19</v>
      </c>
      <c r="G5279" t="s">
        <v>135</v>
      </c>
      <c r="H5279" t="s">
        <v>243</v>
      </c>
      <c r="I5279">
        <v>32894</v>
      </c>
      <c r="J5279">
        <v>24898</v>
      </c>
    </row>
    <row r="5280" spans="1:10" x14ac:dyDescent="0.3">
      <c r="A5280" t="s">
        <v>5407</v>
      </c>
      <c r="B5280" s="1">
        <v>45922</v>
      </c>
      <c r="C5280" t="s">
        <v>38</v>
      </c>
      <c r="D5280">
        <v>39</v>
      </c>
      <c r="E5280" t="s">
        <v>24</v>
      </c>
      <c r="F5280" t="s">
        <v>109</v>
      </c>
      <c r="G5280" t="s">
        <v>126</v>
      </c>
      <c r="H5280" t="s">
        <v>48</v>
      </c>
      <c r="I5280">
        <v>21927</v>
      </c>
      <c r="J5280">
        <v>23303</v>
      </c>
    </row>
    <row r="5281" spans="1:10" x14ac:dyDescent="0.3">
      <c r="A5281" t="s">
        <v>5408</v>
      </c>
      <c r="B5281" s="1">
        <v>45929</v>
      </c>
      <c r="C5281" t="s">
        <v>38</v>
      </c>
      <c r="D5281">
        <v>40</v>
      </c>
      <c r="E5281" t="s">
        <v>70</v>
      </c>
      <c r="F5281" t="s">
        <v>101</v>
      </c>
      <c r="G5281" t="s">
        <v>324</v>
      </c>
      <c r="H5281" t="s">
        <v>243</v>
      </c>
      <c r="I5281">
        <v>19013</v>
      </c>
      <c r="J5281">
        <v>22439</v>
      </c>
    </row>
    <row r="5282" spans="1:10" x14ac:dyDescent="0.3">
      <c r="A5282" t="s">
        <v>5409</v>
      </c>
      <c r="B5282" s="1">
        <v>45952</v>
      </c>
      <c r="C5282" t="s">
        <v>66</v>
      </c>
      <c r="D5282">
        <v>43</v>
      </c>
      <c r="E5282" t="s">
        <v>24</v>
      </c>
      <c r="F5282" t="s">
        <v>62</v>
      </c>
      <c r="G5282" t="s">
        <v>291</v>
      </c>
      <c r="H5282" t="s">
        <v>155</v>
      </c>
      <c r="I5282">
        <v>20099</v>
      </c>
      <c r="J5282">
        <v>23024</v>
      </c>
    </row>
    <row r="5283" spans="1:10" x14ac:dyDescent="0.3">
      <c r="A5283" t="s">
        <v>5410</v>
      </c>
      <c r="B5283" s="1">
        <v>45785</v>
      </c>
      <c r="C5283" t="s">
        <v>90</v>
      </c>
      <c r="D5283">
        <v>19</v>
      </c>
      <c r="E5283" t="s">
        <v>24</v>
      </c>
      <c r="F5283" t="s">
        <v>87</v>
      </c>
      <c r="G5283" t="s">
        <v>35</v>
      </c>
      <c r="H5283" t="s">
        <v>55</v>
      </c>
      <c r="I5283">
        <v>26790</v>
      </c>
      <c r="J5283">
        <v>30578</v>
      </c>
    </row>
    <row r="5284" spans="1:10" x14ac:dyDescent="0.3">
      <c r="A5284" t="s">
        <v>5411</v>
      </c>
      <c r="B5284" s="1">
        <v>46011</v>
      </c>
      <c r="C5284" t="s">
        <v>100</v>
      </c>
      <c r="D5284">
        <v>51</v>
      </c>
      <c r="E5284" t="s">
        <v>70</v>
      </c>
      <c r="F5284" t="s">
        <v>34</v>
      </c>
      <c r="G5284" t="s">
        <v>240</v>
      </c>
      <c r="H5284" t="s">
        <v>155</v>
      </c>
      <c r="I5284">
        <v>18673</v>
      </c>
      <c r="J5284">
        <v>21993</v>
      </c>
    </row>
    <row r="5285" spans="1:10" x14ac:dyDescent="0.3">
      <c r="A5285" t="s">
        <v>5412</v>
      </c>
      <c r="B5285" s="1">
        <v>45895</v>
      </c>
      <c r="C5285" t="s">
        <v>113</v>
      </c>
      <c r="D5285">
        <v>35</v>
      </c>
      <c r="E5285" t="s">
        <v>24</v>
      </c>
      <c r="F5285" t="s">
        <v>109</v>
      </c>
      <c r="G5285" t="s">
        <v>118</v>
      </c>
      <c r="H5285" t="s">
        <v>15</v>
      </c>
      <c r="I5285">
        <v>31360</v>
      </c>
      <c r="J5285">
        <v>25100</v>
      </c>
    </row>
    <row r="5286" spans="1:10" x14ac:dyDescent="0.3">
      <c r="A5286" t="s">
        <v>5413</v>
      </c>
      <c r="B5286" s="1">
        <v>45752</v>
      </c>
      <c r="C5286" t="s">
        <v>86</v>
      </c>
      <c r="D5286">
        <v>14</v>
      </c>
      <c r="E5286" t="s">
        <v>70</v>
      </c>
      <c r="F5286" t="s">
        <v>13</v>
      </c>
      <c r="G5286" t="s">
        <v>147</v>
      </c>
      <c r="H5286" t="s">
        <v>41</v>
      </c>
      <c r="I5286">
        <v>26597</v>
      </c>
      <c r="J5286">
        <v>26258</v>
      </c>
    </row>
    <row r="5287" spans="1:10" x14ac:dyDescent="0.3">
      <c r="A5287" t="s">
        <v>5414</v>
      </c>
      <c r="B5287" s="1">
        <v>45661</v>
      </c>
      <c r="C5287" t="s">
        <v>17</v>
      </c>
      <c r="D5287">
        <v>1</v>
      </c>
      <c r="E5287" t="s">
        <v>12</v>
      </c>
      <c r="F5287" t="s">
        <v>87</v>
      </c>
      <c r="G5287" t="s">
        <v>40</v>
      </c>
      <c r="H5287" t="s">
        <v>103</v>
      </c>
      <c r="I5287">
        <v>23877</v>
      </c>
      <c r="J5287">
        <v>23343</v>
      </c>
    </row>
    <row r="5288" spans="1:10" x14ac:dyDescent="0.3">
      <c r="A5288" t="s">
        <v>5415</v>
      </c>
      <c r="B5288" s="1">
        <v>46015</v>
      </c>
      <c r="C5288" t="s">
        <v>100</v>
      </c>
      <c r="D5288">
        <v>52</v>
      </c>
      <c r="E5288" t="s">
        <v>18</v>
      </c>
      <c r="F5288" t="s">
        <v>43</v>
      </c>
      <c r="G5288" t="s">
        <v>88</v>
      </c>
      <c r="H5288" t="s">
        <v>21</v>
      </c>
      <c r="I5288">
        <v>18875</v>
      </c>
      <c r="J5288">
        <v>20698</v>
      </c>
    </row>
    <row r="5289" spans="1:10" x14ac:dyDescent="0.3">
      <c r="A5289" t="s">
        <v>5416</v>
      </c>
      <c r="B5289" s="1">
        <v>45965</v>
      </c>
      <c r="C5289" t="s">
        <v>23</v>
      </c>
      <c r="D5289">
        <v>45</v>
      </c>
      <c r="E5289" t="s">
        <v>18</v>
      </c>
      <c r="F5289" t="s">
        <v>57</v>
      </c>
      <c r="G5289" t="s">
        <v>44</v>
      </c>
      <c r="H5289" t="s">
        <v>41</v>
      </c>
      <c r="I5289">
        <v>23731</v>
      </c>
      <c r="J5289">
        <v>20653</v>
      </c>
    </row>
    <row r="5290" spans="1:10" x14ac:dyDescent="0.3">
      <c r="A5290" t="s">
        <v>5417</v>
      </c>
      <c r="B5290" s="1">
        <v>45827</v>
      </c>
      <c r="C5290" t="s">
        <v>74</v>
      </c>
      <c r="D5290">
        <v>25</v>
      </c>
      <c r="E5290" t="s">
        <v>70</v>
      </c>
      <c r="F5290" t="s">
        <v>43</v>
      </c>
      <c r="G5290" t="s">
        <v>145</v>
      </c>
      <c r="H5290" t="s">
        <v>80</v>
      </c>
      <c r="I5290">
        <v>31395</v>
      </c>
      <c r="J5290">
        <v>33153</v>
      </c>
    </row>
    <row r="5291" spans="1:10" x14ac:dyDescent="0.3">
      <c r="A5291" t="s">
        <v>5418</v>
      </c>
      <c r="B5291" s="1">
        <v>45947</v>
      </c>
      <c r="C5291" t="s">
        <v>66</v>
      </c>
      <c r="D5291">
        <v>42</v>
      </c>
      <c r="E5291" t="s">
        <v>24</v>
      </c>
      <c r="F5291" t="s">
        <v>57</v>
      </c>
      <c r="G5291" t="s">
        <v>132</v>
      </c>
      <c r="H5291" t="s">
        <v>243</v>
      </c>
      <c r="I5291">
        <v>37816</v>
      </c>
      <c r="J5291">
        <v>41012</v>
      </c>
    </row>
    <row r="5292" spans="1:10" x14ac:dyDescent="0.3">
      <c r="A5292" t="s">
        <v>5419</v>
      </c>
      <c r="B5292" s="1">
        <v>45686</v>
      </c>
      <c r="C5292" t="s">
        <v>17</v>
      </c>
      <c r="D5292">
        <v>5</v>
      </c>
      <c r="E5292" t="s">
        <v>24</v>
      </c>
      <c r="F5292" t="s">
        <v>109</v>
      </c>
      <c r="G5292" t="s">
        <v>40</v>
      </c>
      <c r="H5292" t="s">
        <v>59</v>
      </c>
      <c r="I5292">
        <v>37165</v>
      </c>
      <c r="J5292">
        <v>30410</v>
      </c>
    </row>
    <row r="5293" spans="1:10" x14ac:dyDescent="0.3">
      <c r="A5293" t="s">
        <v>5420</v>
      </c>
      <c r="B5293" s="1">
        <v>45963</v>
      </c>
      <c r="C5293" t="s">
        <v>23</v>
      </c>
      <c r="D5293">
        <v>44</v>
      </c>
      <c r="E5293" t="s">
        <v>39</v>
      </c>
      <c r="F5293" t="s">
        <v>109</v>
      </c>
      <c r="G5293" t="s">
        <v>324</v>
      </c>
      <c r="H5293" t="s">
        <v>59</v>
      </c>
      <c r="I5293">
        <v>24520</v>
      </c>
      <c r="J5293">
        <v>22489</v>
      </c>
    </row>
    <row r="5294" spans="1:10" x14ac:dyDescent="0.3">
      <c r="A5294" t="s">
        <v>5421</v>
      </c>
      <c r="B5294" s="1">
        <v>45920</v>
      </c>
      <c r="C5294" t="s">
        <v>38</v>
      </c>
      <c r="D5294">
        <v>38</v>
      </c>
      <c r="E5294" t="s">
        <v>39</v>
      </c>
      <c r="F5294" t="s">
        <v>193</v>
      </c>
      <c r="G5294" t="s">
        <v>67</v>
      </c>
      <c r="H5294" t="s">
        <v>31</v>
      </c>
      <c r="I5294">
        <v>37791</v>
      </c>
      <c r="J5294">
        <v>28565</v>
      </c>
    </row>
    <row r="5295" spans="1:10" x14ac:dyDescent="0.3">
      <c r="A5295" t="s">
        <v>5422</v>
      </c>
      <c r="B5295" s="1">
        <v>45817</v>
      </c>
      <c r="C5295" t="s">
        <v>74</v>
      </c>
      <c r="D5295">
        <v>24</v>
      </c>
      <c r="E5295" t="s">
        <v>18</v>
      </c>
      <c r="F5295" t="s">
        <v>92</v>
      </c>
      <c r="G5295" t="s">
        <v>132</v>
      </c>
      <c r="H5295" t="s">
        <v>21</v>
      </c>
      <c r="I5295">
        <v>32516</v>
      </c>
      <c r="J5295">
        <v>36783</v>
      </c>
    </row>
    <row r="5296" spans="1:10" x14ac:dyDescent="0.3">
      <c r="A5296" t="s">
        <v>5423</v>
      </c>
      <c r="B5296" s="1">
        <v>45935</v>
      </c>
      <c r="C5296" t="s">
        <v>66</v>
      </c>
      <c r="D5296">
        <v>40</v>
      </c>
      <c r="E5296" t="s">
        <v>24</v>
      </c>
      <c r="F5296" t="s">
        <v>19</v>
      </c>
      <c r="G5296" t="s">
        <v>266</v>
      </c>
      <c r="H5296" t="s">
        <v>48</v>
      </c>
      <c r="I5296">
        <v>30426</v>
      </c>
      <c r="J5296">
        <v>34859</v>
      </c>
    </row>
    <row r="5297" spans="1:10" x14ac:dyDescent="0.3">
      <c r="A5297" t="s">
        <v>5424</v>
      </c>
      <c r="B5297" s="1">
        <v>46004</v>
      </c>
      <c r="C5297" t="s">
        <v>100</v>
      </c>
      <c r="D5297">
        <v>50</v>
      </c>
      <c r="E5297" t="s">
        <v>61</v>
      </c>
      <c r="F5297" t="s">
        <v>87</v>
      </c>
      <c r="G5297" t="s">
        <v>240</v>
      </c>
      <c r="H5297" t="s">
        <v>111</v>
      </c>
      <c r="I5297">
        <v>20946</v>
      </c>
      <c r="J5297">
        <v>23348</v>
      </c>
    </row>
    <row r="5298" spans="1:10" x14ac:dyDescent="0.3">
      <c r="A5298" t="s">
        <v>5425</v>
      </c>
      <c r="B5298" s="1">
        <v>45794</v>
      </c>
      <c r="C5298" t="s">
        <v>90</v>
      </c>
      <c r="D5298">
        <v>20</v>
      </c>
      <c r="E5298" t="s">
        <v>70</v>
      </c>
      <c r="F5298" t="s">
        <v>140</v>
      </c>
      <c r="G5298" t="s">
        <v>141</v>
      </c>
      <c r="H5298" t="s">
        <v>36</v>
      </c>
      <c r="I5298">
        <v>20480</v>
      </c>
      <c r="J5298">
        <v>24058</v>
      </c>
    </row>
    <row r="5299" spans="1:10" x14ac:dyDescent="0.3">
      <c r="A5299" t="s">
        <v>5426</v>
      </c>
      <c r="B5299" s="1">
        <v>45795</v>
      </c>
      <c r="C5299" t="s">
        <v>90</v>
      </c>
      <c r="D5299">
        <v>20</v>
      </c>
      <c r="E5299" t="s">
        <v>61</v>
      </c>
      <c r="F5299" t="s">
        <v>57</v>
      </c>
      <c r="G5299" t="s">
        <v>20</v>
      </c>
      <c r="H5299" t="s">
        <v>96</v>
      </c>
      <c r="I5299">
        <v>29660</v>
      </c>
      <c r="J5299">
        <v>22480</v>
      </c>
    </row>
    <row r="5300" spans="1:10" x14ac:dyDescent="0.3">
      <c r="A5300" t="s">
        <v>5427</v>
      </c>
      <c r="B5300" s="1">
        <v>45948</v>
      </c>
      <c r="C5300" t="s">
        <v>66</v>
      </c>
      <c r="D5300">
        <v>42</v>
      </c>
      <c r="E5300" t="s">
        <v>12</v>
      </c>
      <c r="F5300" t="s">
        <v>50</v>
      </c>
      <c r="G5300" t="s">
        <v>63</v>
      </c>
      <c r="H5300" t="s">
        <v>157</v>
      </c>
      <c r="I5300">
        <v>36487</v>
      </c>
      <c r="J5300">
        <v>38657</v>
      </c>
    </row>
    <row r="5301" spans="1:10" x14ac:dyDescent="0.3">
      <c r="A5301" t="s">
        <v>5428</v>
      </c>
      <c r="B5301" s="1">
        <v>45786</v>
      </c>
      <c r="C5301" t="s">
        <v>90</v>
      </c>
      <c r="D5301">
        <v>19</v>
      </c>
      <c r="E5301" t="s">
        <v>70</v>
      </c>
      <c r="F5301" t="s">
        <v>13</v>
      </c>
      <c r="G5301" t="s">
        <v>67</v>
      </c>
      <c r="H5301" t="s">
        <v>211</v>
      </c>
      <c r="I5301">
        <v>21111</v>
      </c>
      <c r="J5301">
        <v>21069</v>
      </c>
    </row>
    <row r="5302" spans="1:10" x14ac:dyDescent="0.3">
      <c r="A5302" t="s">
        <v>5429</v>
      </c>
      <c r="B5302" s="1">
        <v>45990</v>
      </c>
      <c r="C5302" t="s">
        <v>23</v>
      </c>
      <c r="D5302">
        <v>48</v>
      </c>
      <c r="E5302" t="s">
        <v>24</v>
      </c>
      <c r="F5302" t="s">
        <v>25</v>
      </c>
      <c r="G5302" t="s">
        <v>182</v>
      </c>
      <c r="H5302" t="s">
        <v>64</v>
      </c>
      <c r="I5302">
        <v>38723</v>
      </c>
      <c r="J5302">
        <v>48208</v>
      </c>
    </row>
    <row r="5303" spans="1:10" x14ac:dyDescent="0.3">
      <c r="A5303" t="s">
        <v>5430</v>
      </c>
      <c r="B5303" s="1">
        <v>45668</v>
      </c>
      <c r="C5303" t="s">
        <v>17</v>
      </c>
      <c r="D5303">
        <v>2</v>
      </c>
      <c r="E5303" t="s">
        <v>24</v>
      </c>
      <c r="F5303" t="s">
        <v>43</v>
      </c>
      <c r="G5303" t="s">
        <v>115</v>
      </c>
      <c r="H5303" t="s">
        <v>48</v>
      </c>
      <c r="I5303">
        <v>19097</v>
      </c>
      <c r="J5303">
        <v>17930</v>
      </c>
    </row>
    <row r="5304" spans="1:10" x14ac:dyDescent="0.3">
      <c r="A5304" t="s">
        <v>5431</v>
      </c>
      <c r="B5304" s="1">
        <v>45823</v>
      </c>
      <c r="C5304" t="s">
        <v>74</v>
      </c>
      <c r="D5304">
        <v>24</v>
      </c>
      <c r="E5304" t="s">
        <v>70</v>
      </c>
      <c r="F5304" t="s">
        <v>57</v>
      </c>
      <c r="G5304" t="s">
        <v>126</v>
      </c>
      <c r="H5304" t="s">
        <v>116</v>
      </c>
      <c r="I5304">
        <v>36901</v>
      </c>
      <c r="J5304">
        <v>37433</v>
      </c>
    </row>
    <row r="5305" spans="1:10" x14ac:dyDescent="0.3">
      <c r="A5305" t="s">
        <v>5432</v>
      </c>
      <c r="B5305" s="1">
        <v>45947</v>
      </c>
      <c r="C5305" t="s">
        <v>66</v>
      </c>
      <c r="D5305">
        <v>42</v>
      </c>
      <c r="E5305" t="s">
        <v>33</v>
      </c>
      <c r="F5305" t="s">
        <v>50</v>
      </c>
      <c r="G5305" t="s">
        <v>149</v>
      </c>
      <c r="H5305" t="s">
        <v>27</v>
      </c>
      <c r="I5305">
        <v>22798</v>
      </c>
      <c r="J5305">
        <v>19204</v>
      </c>
    </row>
    <row r="5306" spans="1:10" x14ac:dyDescent="0.3">
      <c r="A5306" t="s">
        <v>5433</v>
      </c>
      <c r="B5306" s="1">
        <v>45925</v>
      </c>
      <c r="C5306" t="s">
        <v>38</v>
      </c>
      <c r="D5306">
        <v>39</v>
      </c>
      <c r="E5306" t="s">
        <v>61</v>
      </c>
      <c r="F5306" t="s">
        <v>57</v>
      </c>
      <c r="G5306" t="s">
        <v>266</v>
      </c>
      <c r="H5306" t="s">
        <v>119</v>
      </c>
      <c r="I5306">
        <v>18684</v>
      </c>
      <c r="J5306">
        <v>19497</v>
      </c>
    </row>
    <row r="5307" spans="1:10" x14ac:dyDescent="0.3">
      <c r="A5307" t="s">
        <v>5434</v>
      </c>
      <c r="B5307" s="1">
        <v>45769</v>
      </c>
      <c r="C5307" t="s">
        <v>86</v>
      </c>
      <c r="D5307">
        <v>17</v>
      </c>
      <c r="E5307" t="s">
        <v>24</v>
      </c>
      <c r="F5307" t="s">
        <v>101</v>
      </c>
      <c r="G5307" t="s">
        <v>128</v>
      </c>
      <c r="H5307" t="s">
        <v>133</v>
      </c>
      <c r="I5307">
        <v>35061</v>
      </c>
      <c r="J5307">
        <v>32231</v>
      </c>
    </row>
    <row r="5308" spans="1:10" x14ac:dyDescent="0.3">
      <c r="A5308" t="s">
        <v>5435</v>
      </c>
      <c r="B5308" s="1">
        <v>45955</v>
      </c>
      <c r="C5308" t="s">
        <v>66</v>
      </c>
      <c r="D5308">
        <v>43</v>
      </c>
      <c r="E5308" t="s">
        <v>24</v>
      </c>
      <c r="F5308" t="s">
        <v>92</v>
      </c>
      <c r="G5308" t="s">
        <v>199</v>
      </c>
      <c r="H5308" t="s">
        <v>21</v>
      </c>
      <c r="I5308">
        <v>27962</v>
      </c>
      <c r="J5308">
        <v>23372</v>
      </c>
    </row>
    <row r="5309" spans="1:10" x14ac:dyDescent="0.3">
      <c r="A5309" t="s">
        <v>5436</v>
      </c>
      <c r="B5309" s="1">
        <v>45879</v>
      </c>
      <c r="C5309" t="s">
        <v>113</v>
      </c>
      <c r="D5309">
        <v>32</v>
      </c>
      <c r="E5309" t="s">
        <v>33</v>
      </c>
      <c r="F5309" t="s">
        <v>50</v>
      </c>
      <c r="G5309" t="s">
        <v>137</v>
      </c>
      <c r="H5309" t="s">
        <v>15</v>
      </c>
      <c r="I5309">
        <v>15534</v>
      </c>
      <c r="J5309">
        <v>13300</v>
      </c>
    </row>
    <row r="5310" spans="1:10" x14ac:dyDescent="0.3">
      <c r="A5310" t="s">
        <v>5437</v>
      </c>
      <c r="B5310" s="1">
        <v>45700</v>
      </c>
      <c r="C5310" t="s">
        <v>82</v>
      </c>
      <c r="D5310">
        <v>7</v>
      </c>
      <c r="E5310" t="s">
        <v>33</v>
      </c>
      <c r="F5310" t="s">
        <v>75</v>
      </c>
      <c r="G5310" t="s">
        <v>107</v>
      </c>
      <c r="H5310" t="s">
        <v>243</v>
      </c>
      <c r="I5310">
        <v>18185</v>
      </c>
      <c r="J5310">
        <v>17757</v>
      </c>
    </row>
    <row r="5311" spans="1:10" x14ac:dyDescent="0.3">
      <c r="A5311" t="s">
        <v>5438</v>
      </c>
      <c r="B5311" s="1">
        <v>45717</v>
      </c>
      <c r="C5311" t="s">
        <v>95</v>
      </c>
      <c r="D5311">
        <v>9</v>
      </c>
      <c r="E5311" t="s">
        <v>24</v>
      </c>
      <c r="F5311" t="s">
        <v>43</v>
      </c>
      <c r="G5311" t="s">
        <v>149</v>
      </c>
      <c r="H5311" t="s">
        <v>27</v>
      </c>
      <c r="I5311">
        <v>35672</v>
      </c>
      <c r="J5311">
        <v>34114</v>
      </c>
    </row>
    <row r="5312" spans="1:10" x14ac:dyDescent="0.3">
      <c r="A5312" t="s">
        <v>5439</v>
      </c>
      <c r="B5312" s="1">
        <v>45946</v>
      </c>
      <c r="C5312" t="s">
        <v>66</v>
      </c>
      <c r="D5312">
        <v>42</v>
      </c>
      <c r="E5312" t="s">
        <v>12</v>
      </c>
      <c r="F5312" t="s">
        <v>25</v>
      </c>
      <c r="G5312" t="s">
        <v>63</v>
      </c>
      <c r="H5312" t="s">
        <v>98</v>
      </c>
      <c r="I5312">
        <v>37625</v>
      </c>
      <c r="J5312">
        <v>44378</v>
      </c>
    </row>
    <row r="5313" spans="1:10" x14ac:dyDescent="0.3">
      <c r="A5313" t="s">
        <v>5440</v>
      </c>
      <c r="B5313" s="1">
        <v>45968</v>
      </c>
      <c r="C5313" t="s">
        <v>23</v>
      </c>
      <c r="D5313">
        <v>45</v>
      </c>
      <c r="E5313" t="s">
        <v>18</v>
      </c>
      <c r="F5313" t="s">
        <v>43</v>
      </c>
      <c r="G5313" t="s">
        <v>126</v>
      </c>
      <c r="H5313" t="s">
        <v>116</v>
      </c>
      <c r="I5313">
        <v>25249</v>
      </c>
      <c r="J5313">
        <v>28075</v>
      </c>
    </row>
    <row r="5314" spans="1:10" x14ac:dyDescent="0.3">
      <c r="A5314" t="s">
        <v>5441</v>
      </c>
      <c r="B5314" s="1">
        <v>46014</v>
      </c>
      <c r="C5314" t="s">
        <v>100</v>
      </c>
      <c r="D5314">
        <v>52</v>
      </c>
      <c r="E5314" t="s">
        <v>39</v>
      </c>
      <c r="F5314" t="s">
        <v>109</v>
      </c>
      <c r="G5314" t="s">
        <v>135</v>
      </c>
      <c r="H5314" t="s">
        <v>103</v>
      </c>
      <c r="I5314">
        <v>18643</v>
      </c>
      <c r="J5314">
        <v>23509</v>
      </c>
    </row>
    <row r="5315" spans="1:10" x14ac:dyDescent="0.3">
      <c r="A5315" t="s">
        <v>5442</v>
      </c>
      <c r="B5315" s="1">
        <v>45967</v>
      </c>
      <c r="C5315" t="s">
        <v>23</v>
      </c>
      <c r="D5315">
        <v>45</v>
      </c>
      <c r="E5315" t="s">
        <v>61</v>
      </c>
      <c r="F5315" t="s">
        <v>114</v>
      </c>
      <c r="G5315" t="s">
        <v>160</v>
      </c>
      <c r="H5315" t="s">
        <v>103</v>
      </c>
      <c r="I5315">
        <v>16152</v>
      </c>
      <c r="J5315">
        <v>14377</v>
      </c>
    </row>
    <row r="5316" spans="1:10" x14ac:dyDescent="0.3">
      <c r="A5316" t="s">
        <v>5443</v>
      </c>
      <c r="B5316" s="1">
        <v>45983</v>
      </c>
      <c r="C5316" t="s">
        <v>23</v>
      </c>
      <c r="D5316">
        <v>47</v>
      </c>
      <c r="E5316" t="s">
        <v>18</v>
      </c>
      <c r="F5316" t="s">
        <v>140</v>
      </c>
      <c r="G5316" t="s">
        <v>107</v>
      </c>
      <c r="H5316" t="s">
        <v>27</v>
      </c>
      <c r="I5316">
        <v>29946</v>
      </c>
      <c r="J5316">
        <v>21112</v>
      </c>
    </row>
    <row r="5317" spans="1:10" x14ac:dyDescent="0.3">
      <c r="A5317" t="s">
        <v>5444</v>
      </c>
      <c r="B5317" s="1">
        <v>45880</v>
      </c>
      <c r="C5317" t="s">
        <v>113</v>
      </c>
      <c r="D5317">
        <v>33</v>
      </c>
      <c r="E5317" t="s">
        <v>33</v>
      </c>
      <c r="F5317" t="s">
        <v>29</v>
      </c>
      <c r="G5317" t="s">
        <v>126</v>
      </c>
      <c r="H5317" t="s">
        <v>133</v>
      </c>
      <c r="I5317">
        <v>39041</v>
      </c>
      <c r="J5317">
        <v>27785</v>
      </c>
    </row>
    <row r="5318" spans="1:10" x14ac:dyDescent="0.3">
      <c r="A5318" t="s">
        <v>5445</v>
      </c>
      <c r="B5318" s="1">
        <v>45849</v>
      </c>
      <c r="C5318" t="s">
        <v>11</v>
      </c>
      <c r="D5318">
        <v>28</v>
      </c>
      <c r="E5318" t="s">
        <v>61</v>
      </c>
      <c r="F5318" t="s">
        <v>75</v>
      </c>
      <c r="G5318" t="s">
        <v>58</v>
      </c>
      <c r="H5318" t="s">
        <v>15</v>
      </c>
      <c r="I5318">
        <v>26607</v>
      </c>
      <c r="J5318">
        <v>19519</v>
      </c>
    </row>
    <row r="5319" spans="1:10" x14ac:dyDescent="0.3">
      <c r="A5319" t="s">
        <v>5446</v>
      </c>
      <c r="B5319" s="1">
        <v>46003</v>
      </c>
      <c r="C5319" t="s">
        <v>100</v>
      </c>
      <c r="D5319">
        <v>50</v>
      </c>
      <c r="E5319" t="s">
        <v>12</v>
      </c>
      <c r="F5319" t="s">
        <v>140</v>
      </c>
      <c r="G5319" t="s">
        <v>63</v>
      </c>
      <c r="H5319" t="s">
        <v>48</v>
      </c>
      <c r="I5319">
        <v>23495</v>
      </c>
      <c r="J5319">
        <v>19389</v>
      </c>
    </row>
    <row r="5320" spans="1:10" x14ac:dyDescent="0.3">
      <c r="A5320" t="s">
        <v>5447</v>
      </c>
      <c r="B5320" s="1">
        <v>46020</v>
      </c>
      <c r="C5320" t="s">
        <v>100</v>
      </c>
      <c r="D5320">
        <v>1</v>
      </c>
      <c r="E5320" t="s">
        <v>24</v>
      </c>
      <c r="F5320" t="s">
        <v>87</v>
      </c>
      <c r="G5320" t="s">
        <v>132</v>
      </c>
      <c r="H5320" t="s">
        <v>21</v>
      </c>
      <c r="I5320">
        <v>17515</v>
      </c>
      <c r="J5320">
        <v>13349</v>
      </c>
    </row>
    <row r="5321" spans="1:10" x14ac:dyDescent="0.3">
      <c r="A5321" t="s">
        <v>5448</v>
      </c>
      <c r="B5321" s="1">
        <v>45973</v>
      </c>
      <c r="C5321" t="s">
        <v>23</v>
      </c>
      <c r="D5321">
        <v>46</v>
      </c>
      <c r="E5321" t="s">
        <v>18</v>
      </c>
      <c r="F5321" t="s">
        <v>92</v>
      </c>
      <c r="G5321" t="s">
        <v>44</v>
      </c>
      <c r="H5321" t="s">
        <v>98</v>
      </c>
      <c r="I5321">
        <v>27211</v>
      </c>
      <c r="J5321">
        <v>23682</v>
      </c>
    </row>
    <row r="5322" spans="1:10" x14ac:dyDescent="0.3">
      <c r="A5322" t="s">
        <v>5449</v>
      </c>
      <c r="B5322" s="1">
        <v>45700</v>
      </c>
      <c r="C5322" t="s">
        <v>82</v>
      </c>
      <c r="D5322">
        <v>7</v>
      </c>
      <c r="E5322" t="s">
        <v>70</v>
      </c>
      <c r="F5322" t="s">
        <v>193</v>
      </c>
      <c r="G5322" t="s">
        <v>206</v>
      </c>
      <c r="H5322" t="s">
        <v>111</v>
      </c>
      <c r="I5322">
        <v>23504</v>
      </c>
      <c r="J5322">
        <v>20980</v>
      </c>
    </row>
    <row r="5323" spans="1:10" x14ac:dyDescent="0.3">
      <c r="A5323" t="s">
        <v>5450</v>
      </c>
      <c r="B5323" s="1">
        <v>45999</v>
      </c>
      <c r="C5323" t="s">
        <v>100</v>
      </c>
      <c r="D5323">
        <v>50</v>
      </c>
      <c r="E5323" t="s">
        <v>70</v>
      </c>
      <c r="F5323" t="s">
        <v>62</v>
      </c>
      <c r="G5323" t="s">
        <v>145</v>
      </c>
      <c r="H5323" t="s">
        <v>55</v>
      </c>
      <c r="I5323">
        <v>28228</v>
      </c>
      <c r="J5323">
        <v>33755</v>
      </c>
    </row>
    <row r="5324" spans="1:10" x14ac:dyDescent="0.3">
      <c r="A5324" t="s">
        <v>5451</v>
      </c>
      <c r="B5324" s="1">
        <v>45954</v>
      </c>
      <c r="C5324" t="s">
        <v>66</v>
      </c>
      <c r="D5324">
        <v>43</v>
      </c>
      <c r="E5324" t="s">
        <v>18</v>
      </c>
      <c r="F5324" t="s">
        <v>43</v>
      </c>
      <c r="G5324" t="s">
        <v>324</v>
      </c>
      <c r="H5324" t="s">
        <v>41</v>
      </c>
      <c r="I5324">
        <v>39195</v>
      </c>
      <c r="J5324">
        <v>43076</v>
      </c>
    </row>
    <row r="5325" spans="1:10" x14ac:dyDescent="0.3">
      <c r="A5325" t="s">
        <v>5452</v>
      </c>
      <c r="B5325" s="1">
        <v>45763</v>
      </c>
      <c r="C5325" t="s">
        <v>86</v>
      </c>
      <c r="D5325">
        <v>16</v>
      </c>
      <c r="E5325" t="s">
        <v>24</v>
      </c>
      <c r="F5325" t="s">
        <v>62</v>
      </c>
      <c r="G5325" t="s">
        <v>110</v>
      </c>
      <c r="H5325" t="s">
        <v>243</v>
      </c>
      <c r="I5325">
        <v>34784</v>
      </c>
      <c r="J5325">
        <v>29433</v>
      </c>
    </row>
    <row r="5326" spans="1:10" x14ac:dyDescent="0.3">
      <c r="A5326" t="s">
        <v>5453</v>
      </c>
      <c r="B5326" s="1">
        <v>45971</v>
      </c>
      <c r="C5326" t="s">
        <v>23</v>
      </c>
      <c r="D5326">
        <v>46</v>
      </c>
      <c r="E5326" t="s">
        <v>39</v>
      </c>
      <c r="F5326" t="s">
        <v>62</v>
      </c>
      <c r="G5326" t="s">
        <v>93</v>
      </c>
      <c r="H5326" t="s">
        <v>157</v>
      </c>
      <c r="I5326">
        <v>15989</v>
      </c>
      <c r="J5326">
        <v>13052</v>
      </c>
    </row>
    <row r="5327" spans="1:10" x14ac:dyDescent="0.3">
      <c r="A5327" t="s">
        <v>5454</v>
      </c>
      <c r="B5327" s="1">
        <v>45919</v>
      </c>
      <c r="C5327" t="s">
        <v>38</v>
      </c>
      <c r="D5327">
        <v>38</v>
      </c>
      <c r="E5327" t="s">
        <v>33</v>
      </c>
      <c r="F5327" t="s">
        <v>122</v>
      </c>
      <c r="G5327" t="s">
        <v>54</v>
      </c>
      <c r="H5327" t="s">
        <v>64</v>
      </c>
      <c r="I5327">
        <v>31936</v>
      </c>
      <c r="J5327">
        <v>40656</v>
      </c>
    </row>
    <row r="5328" spans="1:10" x14ac:dyDescent="0.3">
      <c r="A5328" t="s">
        <v>5455</v>
      </c>
      <c r="B5328" s="1">
        <v>45793</v>
      </c>
      <c r="C5328" t="s">
        <v>90</v>
      </c>
      <c r="D5328">
        <v>20</v>
      </c>
      <c r="E5328" t="s">
        <v>33</v>
      </c>
      <c r="F5328" t="s">
        <v>78</v>
      </c>
      <c r="G5328" t="s">
        <v>35</v>
      </c>
      <c r="H5328" t="s">
        <v>68</v>
      </c>
      <c r="I5328">
        <v>37762</v>
      </c>
      <c r="J5328">
        <v>42335</v>
      </c>
    </row>
    <row r="5329" spans="1:10" x14ac:dyDescent="0.3">
      <c r="A5329" t="s">
        <v>5456</v>
      </c>
      <c r="B5329" s="1">
        <v>45861</v>
      </c>
      <c r="C5329" t="s">
        <v>11</v>
      </c>
      <c r="D5329">
        <v>30</v>
      </c>
      <c r="E5329" t="s">
        <v>33</v>
      </c>
      <c r="F5329" t="s">
        <v>25</v>
      </c>
      <c r="G5329" t="s">
        <v>72</v>
      </c>
      <c r="H5329" t="s">
        <v>98</v>
      </c>
      <c r="I5329">
        <v>26599</v>
      </c>
      <c r="J5329">
        <v>24498</v>
      </c>
    </row>
    <row r="5330" spans="1:10" x14ac:dyDescent="0.3">
      <c r="A5330" t="s">
        <v>5457</v>
      </c>
      <c r="B5330" s="1">
        <v>45693</v>
      </c>
      <c r="C5330" t="s">
        <v>82</v>
      </c>
      <c r="D5330">
        <v>6</v>
      </c>
      <c r="E5330" t="s">
        <v>24</v>
      </c>
      <c r="F5330" t="s">
        <v>101</v>
      </c>
      <c r="G5330" t="s">
        <v>14</v>
      </c>
      <c r="H5330" t="s">
        <v>84</v>
      </c>
      <c r="I5330">
        <v>37733</v>
      </c>
      <c r="J5330">
        <v>32361</v>
      </c>
    </row>
    <row r="5331" spans="1:10" x14ac:dyDescent="0.3">
      <c r="A5331" t="s">
        <v>5458</v>
      </c>
      <c r="B5331" s="1">
        <v>45704</v>
      </c>
      <c r="C5331" t="s">
        <v>82</v>
      </c>
      <c r="D5331">
        <v>7</v>
      </c>
      <c r="E5331" t="s">
        <v>18</v>
      </c>
      <c r="F5331" t="s">
        <v>114</v>
      </c>
      <c r="G5331" t="s">
        <v>266</v>
      </c>
      <c r="H5331" t="s">
        <v>41</v>
      </c>
      <c r="I5331">
        <v>36957</v>
      </c>
      <c r="J5331">
        <v>32576</v>
      </c>
    </row>
    <row r="5332" spans="1:10" x14ac:dyDescent="0.3">
      <c r="A5332" t="s">
        <v>5459</v>
      </c>
      <c r="B5332" s="1">
        <v>45759</v>
      </c>
      <c r="C5332" t="s">
        <v>86</v>
      </c>
      <c r="D5332">
        <v>15</v>
      </c>
      <c r="E5332" t="s">
        <v>39</v>
      </c>
      <c r="F5332" t="s">
        <v>46</v>
      </c>
      <c r="G5332" t="s">
        <v>115</v>
      </c>
      <c r="H5332" t="s">
        <v>243</v>
      </c>
      <c r="I5332">
        <v>23113</v>
      </c>
      <c r="J5332">
        <v>23520</v>
      </c>
    </row>
    <row r="5333" spans="1:10" x14ac:dyDescent="0.3">
      <c r="A5333" t="s">
        <v>5460</v>
      </c>
      <c r="B5333" s="1">
        <v>46009</v>
      </c>
      <c r="C5333" t="s">
        <v>100</v>
      </c>
      <c r="D5333">
        <v>51</v>
      </c>
      <c r="E5333" t="s">
        <v>70</v>
      </c>
      <c r="F5333" t="s">
        <v>25</v>
      </c>
      <c r="G5333" t="s">
        <v>199</v>
      </c>
      <c r="H5333" t="s">
        <v>98</v>
      </c>
      <c r="I5333">
        <v>30115</v>
      </c>
      <c r="J5333">
        <v>27440</v>
      </c>
    </row>
    <row r="5334" spans="1:10" x14ac:dyDescent="0.3">
      <c r="A5334" t="s">
        <v>5461</v>
      </c>
      <c r="B5334" s="1">
        <v>45977</v>
      </c>
      <c r="C5334" t="s">
        <v>23</v>
      </c>
      <c r="D5334">
        <v>46</v>
      </c>
      <c r="E5334" t="s">
        <v>39</v>
      </c>
      <c r="F5334" t="s">
        <v>122</v>
      </c>
      <c r="G5334" t="s">
        <v>291</v>
      </c>
      <c r="H5334" t="s">
        <v>84</v>
      </c>
      <c r="I5334">
        <v>20121</v>
      </c>
      <c r="J5334">
        <v>14500</v>
      </c>
    </row>
    <row r="5335" spans="1:10" x14ac:dyDescent="0.3">
      <c r="A5335" t="s">
        <v>5462</v>
      </c>
      <c r="B5335" s="1">
        <v>45778</v>
      </c>
      <c r="C5335" t="s">
        <v>90</v>
      </c>
      <c r="D5335">
        <v>18</v>
      </c>
      <c r="E5335" t="s">
        <v>39</v>
      </c>
      <c r="F5335" t="s">
        <v>101</v>
      </c>
      <c r="G5335" t="s">
        <v>26</v>
      </c>
      <c r="H5335" t="s">
        <v>133</v>
      </c>
      <c r="I5335">
        <v>33566</v>
      </c>
      <c r="J5335">
        <v>31024</v>
      </c>
    </row>
    <row r="5336" spans="1:10" x14ac:dyDescent="0.3">
      <c r="A5336" t="s">
        <v>5463</v>
      </c>
      <c r="B5336" s="1">
        <v>46003</v>
      </c>
      <c r="C5336" t="s">
        <v>100</v>
      </c>
      <c r="D5336">
        <v>50</v>
      </c>
      <c r="E5336" t="s">
        <v>70</v>
      </c>
      <c r="F5336" t="s">
        <v>19</v>
      </c>
      <c r="G5336" t="s">
        <v>44</v>
      </c>
      <c r="H5336" t="s">
        <v>41</v>
      </c>
      <c r="I5336">
        <v>21446</v>
      </c>
      <c r="J5336">
        <v>24867</v>
      </c>
    </row>
    <row r="5337" spans="1:10" x14ac:dyDescent="0.3">
      <c r="A5337" t="s">
        <v>5464</v>
      </c>
      <c r="B5337" s="1">
        <v>45664</v>
      </c>
      <c r="C5337" t="s">
        <v>17</v>
      </c>
      <c r="D5337">
        <v>2</v>
      </c>
      <c r="E5337" t="s">
        <v>33</v>
      </c>
      <c r="F5337" t="s">
        <v>13</v>
      </c>
      <c r="G5337" t="s">
        <v>67</v>
      </c>
      <c r="H5337" t="s">
        <v>188</v>
      </c>
      <c r="I5337">
        <v>21900</v>
      </c>
      <c r="J5337">
        <v>27800</v>
      </c>
    </row>
    <row r="5338" spans="1:10" x14ac:dyDescent="0.3">
      <c r="A5338" t="s">
        <v>5465</v>
      </c>
      <c r="B5338" s="1">
        <v>45893</v>
      </c>
      <c r="C5338" t="s">
        <v>113</v>
      </c>
      <c r="D5338">
        <v>34</v>
      </c>
      <c r="E5338" t="s">
        <v>33</v>
      </c>
      <c r="F5338" t="s">
        <v>114</v>
      </c>
      <c r="G5338" t="s">
        <v>107</v>
      </c>
      <c r="H5338" t="s">
        <v>165</v>
      </c>
      <c r="I5338">
        <v>24789</v>
      </c>
      <c r="J5338">
        <v>25836</v>
      </c>
    </row>
    <row r="5339" spans="1:10" x14ac:dyDescent="0.3">
      <c r="A5339" t="s">
        <v>5466</v>
      </c>
      <c r="B5339" s="1">
        <v>45838</v>
      </c>
      <c r="C5339" t="s">
        <v>74</v>
      </c>
      <c r="D5339">
        <v>27</v>
      </c>
      <c r="E5339" t="s">
        <v>12</v>
      </c>
      <c r="F5339" t="s">
        <v>46</v>
      </c>
      <c r="G5339" t="s">
        <v>79</v>
      </c>
      <c r="H5339" t="s">
        <v>111</v>
      </c>
      <c r="I5339">
        <v>38681</v>
      </c>
      <c r="J5339">
        <v>45728</v>
      </c>
    </row>
    <row r="5340" spans="1:10" x14ac:dyDescent="0.3">
      <c r="A5340" t="s">
        <v>5467</v>
      </c>
      <c r="B5340" s="1">
        <v>45876</v>
      </c>
      <c r="C5340" t="s">
        <v>113</v>
      </c>
      <c r="D5340">
        <v>32</v>
      </c>
      <c r="E5340" t="s">
        <v>61</v>
      </c>
      <c r="F5340" t="s">
        <v>101</v>
      </c>
      <c r="G5340" t="s">
        <v>324</v>
      </c>
      <c r="H5340" t="s">
        <v>165</v>
      </c>
      <c r="I5340">
        <v>34932</v>
      </c>
      <c r="J5340">
        <v>29130</v>
      </c>
    </row>
    <row r="5341" spans="1:10" x14ac:dyDescent="0.3">
      <c r="A5341" t="s">
        <v>5468</v>
      </c>
      <c r="B5341" s="1">
        <v>45706</v>
      </c>
      <c r="C5341" t="s">
        <v>82</v>
      </c>
      <c r="D5341">
        <v>8</v>
      </c>
      <c r="E5341" t="s">
        <v>70</v>
      </c>
      <c r="F5341" t="s">
        <v>29</v>
      </c>
      <c r="G5341" t="s">
        <v>224</v>
      </c>
      <c r="H5341" t="s">
        <v>84</v>
      </c>
      <c r="I5341">
        <v>31165</v>
      </c>
      <c r="J5341">
        <v>29547</v>
      </c>
    </row>
    <row r="5342" spans="1:10" x14ac:dyDescent="0.3">
      <c r="A5342" t="s">
        <v>5469</v>
      </c>
      <c r="B5342" s="1">
        <v>45956</v>
      </c>
      <c r="C5342" t="s">
        <v>66</v>
      </c>
      <c r="D5342">
        <v>43</v>
      </c>
      <c r="E5342" t="s">
        <v>18</v>
      </c>
      <c r="F5342" t="s">
        <v>13</v>
      </c>
      <c r="G5342" t="s">
        <v>58</v>
      </c>
      <c r="H5342" t="s">
        <v>84</v>
      </c>
      <c r="I5342">
        <v>21515</v>
      </c>
      <c r="J5342">
        <v>19978</v>
      </c>
    </row>
    <row r="5343" spans="1:10" x14ac:dyDescent="0.3">
      <c r="A5343" t="s">
        <v>5470</v>
      </c>
      <c r="B5343" s="1">
        <v>45911</v>
      </c>
      <c r="C5343" t="s">
        <v>38</v>
      </c>
      <c r="D5343">
        <v>37</v>
      </c>
      <c r="E5343" t="s">
        <v>12</v>
      </c>
      <c r="F5343" t="s">
        <v>92</v>
      </c>
      <c r="G5343" t="s">
        <v>126</v>
      </c>
      <c r="H5343" t="s">
        <v>165</v>
      </c>
      <c r="I5343">
        <v>37455</v>
      </c>
      <c r="J5343">
        <v>45291</v>
      </c>
    </row>
    <row r="5344" spans="1:10" x14ac:dyDescent="0.3">
      <c r="A5344" t="s">
        <v>5471</v>
      </c>
      <c r="B5344" s="1">
        <v>45803</v>
      </c>
      <c r="C5344" t="s">
        <v>90</v>
      </c>
      <c r="D5344">
        <v>22</v>
      </c>
      <c r="E5344" t="s">
        <v>61</v>
      </c>
      <c r="F5344" t="s">
        <v>87</v>
      </c>
      <c r="G5344" t="s">
        <v>107</v>
      </c>
      <c r="H5344" t="s">
        <v>98</v>
      </c>
      <c r="I5344">
        <v>24746</v>
      </c>
      <c r="J5344">
        <v>25642</v>
      </c>
    </row>
    <row r="5345" spans="1:10" x14ac:dyDescent="0.3">
      <c r="A5345" t="s">
        <v>5472</v>
      </c>
      <c r="B5345" s="1">
        <v>45783</v>
      </c>
      <c r="C5345" t="s">
        <v>90</v>
      </c>
      <c r="D5345">
        <v>19</v>
      </c>
      <c r="E5345" t="s">
        <v>70</v>
      </c>
      <c r="F5345" t="s">
        <v>50</v>
      </c>
      <c r="G5345" t="s">
        <v>40</v>
      </c>
      <c r="H5345" t="s">
        <v>211</v>
      </c>
      <c r="I5345">
        <v>38026</v>
      </c>
      <c r="J5345">
        <v>33787</v>
      </c>
    </row>
    <row r="5346" spans="1:10" x14ac:dyDescent="0.3">
      <c r="A5346" t="s">
        <v>5473</v>
      </c>
      <c r="B5346" s="1">
        <v>45922</v>
      </c>
      <c r="C5346" t="s">
        <v>38</v>
      </c>
      <c r="D5346">
        <v>39</v>
      </c>
      <c r="E5346" t="s">
        <v>33</v>
      </c>
      <c r="F5346" t="s">
        <v>122</v>
      </c>
      <c r="G5346" t="s">
        <v>199</v>
      </c>
      <c r="H5346" t="s">
        <v>188</v>
      </c>
      <c r="I5346">
        <v>30248</v>
      </c>
      <c r="J5346">
        <v>35851</v>
      </c>
    </row>
    <row r="5347" spans="1:10" x14ac:dyDescent="0.3">
      <c r="A5347" t="s">
        <v>5474</v>
      </c>
      <c r="B5347" s="1">
        <v>45772</v>
      </c>
      <c r="C5347" t="s">
        <v>86</v>
      </c>
      <c r="D5347">
        <v>17</v>
      </c>
      <c r="E5347" t="s">
        <v>70</v>
      </c>
      <c r="F5347" t="s">
        <v>193</v>
      </c>
      <c r="G5347" t="s">
        <v>266</v>
      </c>
      <c r="H5347" t="s">
        <v>165</v>
      </c>
      <c r="I5347">
        <v>26814</v>
      </c>
      <c r="J5347">
        <v>31735</v>
      </c>
    </row>
    <row r="5348" spans="1:10" x14ac:dyDescent="0.3">
      <c r="A5348" t="s">
        <v>5475</v>
      </c>
      <c r="B5348" s="1">
        <v>45874</v>
      </c>
      <c r="C5348" t="s">
        <v>113</v>
      </c>
      <c r="D5348">
        <v>32</v>
      </c>
      <c r="E5348" t="s">
        <v>33</v>
      </c>
      <c r="F5348" t="s">
        <v>92</v>
      </c>
      <c r="G5348" t="s">
        <v>35</v>
      </c>
      <c r="H5348" t="s">
        <v>84</v>
      </c>
      <c r="I5348">
        <v>39590</v>
      </c>
      <c r="J5348">
        <v>48475</v>
      </c>
    </row>
    <row r="5349" spans="1:10" x14ac:dyDescent="0.3">
      <c r="A5349" t="s">
        <v>5476</v>
      </c>
      <c r="B5349" s="1">
        <v>45721</v>
      </c>
      <c r="C5349" t="s">
        <v>95</v>
      </c>
      <c r="D5349">
        <v>10</v>
      </c>
      <c r="E5349" t="s">
        <v>61</v>
      </c>
      <c r="F5349" t="s">
        <v>19</v>
      </c>
      <c r="G5349" t="s">
        <v>118</v>
      </c>
      <c r="H5349" t="s">
        <v>36</v>
      </c>
      <c r="I5349">
        <v>28114</v>
      </c>
      <c r="J5349">
        <v>33009</v>
      </c>
    </row>
    <row r="5350" spans="1:10" x14ac:dyDescent="0.3">
      <c r="A5350" t="s">
        <v>5477</v>
      </c>
      <c r="B5350" s="1">
        <v>45716</v>
      </c>
      <c r="C5350" t="s">
        <v>82</v>
      </c>
      <c r="D5350">
        <v>9</v>
      </c>
      <c r="E5350" t="s">
        <v>12</v>
      </c>
      <c r="F5350" t="s">
        <v>140</v>
      </c>
      <c r="G5350" t="s">
        <v>20</v>
      </c>
      <c r="H5350" t="s">
        <v>157</v>
      </c>
      <c r="I5350">
        <v>31634</v>
      </c>
      <c r="J5350">
        <v>28492</v>
      </c>
    </row>
    <row r="5351" spans="1:10" x14ac:dyDescent="0.3">
      <c r="A5351" t="s">
        <v>5478</v>
      </c>
      <c r="B5351" s="1">
        <v>45815</v>
      </c>
      <c r="C5351" t="s">
        <v>74</v>
      </c>
      <c r="D5351">
        <v>23</v>
      </c>
      <c r="E5351" t="s">
        <v>18</v>
      </c>
      <c r="F5351" t="s">
        <v>25</v>
      </c>
      <c r="G5351" t="s">
        <v>199</v>
      </c>
      <c r="H5351" t="s">
        <v>211</v>
      </c>
      <c r="I5351">
        <v>33658</v>
      </c>
      <c r="J5351">
        <v>39160</v>
      </c>
    </row>
    <row r="5352" spans="1:10" x14ac:dyDescent="0.3">
      <c r="A5352" t="s">
        <v>5479</v>
      </c>
      <c r="B5352" s="1">
        <v>45744</v>
      </c>
      <c r="C5352" t="s">
        <v>95</v>
      </c>
      <c r="D5352">
        <v>13</v>
      </c>
      <c r="E5352" t="s">
        <v>33</v>
      </c>
      <c r="F5352" t="s">
        <v>57</v>
      </c>
      <c r="G5352" t="s">
        <v>160</v>
      </c>
      <c r="H5352" t="s">
        <v>119</v>
      </c>
      <c r="I5352">
        <v>38623</v>
      </c>
      <c r="J5352">
        <v>38632</v>
      </c>
    </row>
    <row r="5353" spans="1:10" x14ac:dyDescent="0.3">
      <c r="A5353" t="s">
        <v>5480</v>
      </c>
      <c r="B5353" s="1">
        <v>45872</v>
      </c>
      <c r="C5353" t="s">
        <v>113</v>
      </c>
      <c r="D5353">
        <v>31</v>
      </c>
      <c r="E5353" t="s">
        <v>12</v>
      </c>
      <c r="F5353" t="s">
        <v>34</v>
      </c>
      <c r="G5353" t="s">
        <v>110</v>
      </c>
      <c r="H5353" t="s">
        <v>41</v>
      </c>
      <c r="I5353">
        <v>35665</v>
      </c>
      <c r="J5353">
        <v>46047</v>
      </c>
    </row>
    <row r="5354" spans="1:10" x14ac:dyDescent="0.3">
      <c r="A5354" t="s">
        <v>5481</v>
      </c>
      <c r="B5354" s="1">
        <v>45730</v>
      </c>
      <c r="C5354" t="s">
        <v>95</v>
      </c>
      <c r="D5354">
        <v>11</v>
      </c>
      <c r="E5354" t="s">
        <v>33</v>
      </c>
      <c r="F5354" t="s">
        <v>92</v>
      </c>
      <c r="G5354" t="s">
        <v>58</v>
      </c>
      <c r="H5354" t="s">
        <v>119</v>
      </c>
      <c r="I5354">
        <v>17188</v>
      </c>
      <c r="J5354">
        <v>13367</v>
      </c>
    </row>
    <row r="5355" spans="1:10" x14ac:dyDescent="0.3">
      <c r="A5355" t="s">
        <v>5482</v>
      </c>
      <c r="B5355" s="1">
        <v>45905</v>
      </c>
      <c r="C5355" t="s">
        <v>38</v>
      </c>
      <c r="D5355">
        <v>36</v>
      </c>
      <c r="E5355" t="s">
        <v>33</v>
      </c>
      <c r="F5355" t="s">
        <v>43</v>
      </c>
      <c r="G5355" t="s">
        <v>291</v>
      </c>
      <c r="H5355" t="s">
        <v>133</v>
      </c>
      <c r="I5355">
        <v>31057</v>
      </c>
      <c r="J5355">
        <v>34391</v>
      </c>
    </row>
    <row r="5356" spans="1:10" x14ac:dyDescent="0.3">
      <c r="A5356" t="s">
        <v>5483</v>
      </c>
      <c r="B5356" s="1">
        <v>45908</v>
      </c>
      <c r="C5356" t="s">
        <v>38</v>
      </c>
      <c r="D5356">
        <v>37</v>
      </c>
      <c r="E5356" t="s">
        <v>61</v>
      </c>
      <c r="F5356" t="s">
        <v>34</v>
      </c>
      <c r="G5356" t="s">
        <v>26</v>
      </c>
      <c r="H5356" t="s">
        <v>84</v>
      </c>
      <c r="I5356">
        <v>37401</v>
      </c>
      <c r="J5356">
        <v>42336</v>
      </c>
    </row>
    <row r="5357" spans="1:10" x14ac:dyDescent="0.3">
      <c r="A5357" t="s">
        <v>5484</v>
      </c>
      <c r="B5357" s="1">
        <v>45725</v>
      </c>
      <c r="C5357" t="s">
        <v>95</v>
      </c>
      <c r="D5357">
        <v>10</v>
      </c>
      <c r="E5357" t="s">
        <v>18</v>
      </c>
      <c r="F5357" t="s">
        <v>34</v>
      </c>
      <c r="G5357" t="s">
        <v>79</v>
      </c>
      <c r="H5357" t="s">
        <v>41</v>
      </c>
      <c r="I5357">
        <v>32135</v>
      </c>
      <c r="J5357">
        <v>39084</v>
      </c>
    </row>
    <row r="5358" spans="1:10" x14ac:dyDescent="0.3">
      <c r="A5358" t="s">
        <v>5485</v>
      </c>
      <c r="B5358" s="1">
        <v>45937</v>
      </c>
      <c r="C5358" t="s">
        <v>66</v>
      </c>
      <c r="D5358">
        <v>41</v>
      </c>
      <c r="E5358" t="s">
        <v>61</v>
      </c>
      <c r="F5358" t="s">
        <v>78</v>
      </c>
      <c r="G5358" t="s">
        <v>47</v>
      </c>
      <c r="H5358" t="s">
        <v>27</v>
      </c>
      <c r="I5358">
        <v>16551</v>
      </c>
      <c r="J5358">
        <v>20545</v>
      </c>
    </row>
    <row r="5359" spans="1:10" x14ac:dyDescent="0.3">
      <c r="A5359" t="s">
        <v>5486</v>
      </c>
      <c r="B5359" s="1">
        <v>45843</v>
      </c>
      <c r="C5359" t="s">
        <v>11</v>
      </c>
      <c r="D5359">
        <v>27</v>
      </c>
      <c r="E5359" t="s">
        <v>24</v>
      </c>
      <c r="F5359" t="s">
        <v>25</v>
      </c>
      <c r="G5359" t="s">
        <v>126</v>
      </c>
      <c r="H5359" t="s">
        <v>96</v>
      </c>
      <c r="I5359">
        <v>29299</v>
      </c>
      <c r="J5359">
        <v>28560</v>
      </c>
    </row>
    <row r="5360" spans="1:10" x14ac:dyDescent="0.3">
      <c r="A5360" t="s">
        <v>5487</v>
      </c>
      <c r="B5360" s="1">
        <v>45923</v>
      </c>
      <c r="C5360" t="s">
        <v>38</v>
      </c>
      <c r="D5360">
        <v>39</v>
      </c>
      <c r="E5360" t="s">
        <v>70</v>
      </c>
      <c r="F5360" t="s">
        <v>57</v>
      </c>
      <c r="G5360" t="s">
        <v>67</v>
      </c>
      <c r="H5360" t="s">
        <v>98</v>
      </c>
      <c r="I5360">
        <v>19179</v>
      </c>
      <c r="J5360">
        <v>21078</v>
      </c>
    </row>
    <row r="5361" spans="1:10" x14ac:dyDescent="0.3">
      <c r="A5361" t="s">
        <v>5488</v>
      </c>
      <c r="B5361" s="1">
        <v>45660</v>
      </c>
      <c r="C5361" t="s">
        <v>17</v>
      </c>
      <c r="D5361">
        <v>1</v>
      </c>
      <c r="E5361" t="s">
        <v>70</v>
      </c>
      <c r="F5361" t="s">
        <v>29</v>
      </c>
      <c r="G5361" t="s">
        <v>291</v>
      </c>
      <c r="H5361" t="s">
        <v>157</v>
      </c>
      <c r="I5361">
        <v>37717</v>
      </c>
      <c r="J5361">
        <v>42946</v>
      </c>
    </row>
    <row r="5362" spans="1:10" x14ac:dyDescent="0.3">
      <c r="A5362" t="s">
        <v>5489</v>
      </c>
      <c r="B5362" s="1">
        <v>45948</v>
      </c>
      <c r="C5362" t="s">
        <v>66</v>
      </c>
      <c r="D5362">
        <v>42</v>
      </c>
      <c r="E5362" t="s">
        <v>12</v>
      </c>
      <c r="F5362" t="s">
        <v>34</v>
      </c>
      <c r="G5362" t="s">
        <v>132</v>
      </c>
      <c r="H5362" t="s">
        <v>111</v>
      </c>
      <c r="I5362">
        <v>37160</v>
      </c>
      <c r="J5362">
        <v>26075</v>
      </c>
    </row>
    <row r="5363" spans="1:10" x14ac:dyDescent="0.3">
      <c r="A5363" t="s">
        <v>5490</v>
      </c>
      <c r="B5363" s="1">
        <v>46013</v>
      </c>
      <c r="C5363" t="s">
        <v>100</v>
      </c>
      <c r="D5363">
        <v>52</v>
      </c>
      <c r="E5363" t="s">
        <v>33</v>
      </c>
      <c r="F5363" t="s">
        <v>87</v>
      </c>
      <c r="G5363" t="s">
        <v>107</v>
      </c>
      <c r="H5363" t="s">
        <v>151</v>
      </c>
      <c r="I5363">
        <v>27136</v>
      </c>
      <c r="J5363">
        <v>20556</v>
      </c>
    </row>
    <row r="5364" spans="1:10" x14ac:dyDescent="0.3">
      <c r="A5364" t="s">
        <v>5491</v>
      </c>
      <c r="B5364" s="1">
        <v>45764</v>
      </c>
      <c r="C5364" t="s">
        <v>86</v>
      </c>
      <c r="D5364">
        <v>16</v>
      </c>
      <c r="E5364" t="s">
        <v>24</v>
      </c>
      <c r="F5364" t="s">
        <v>109</v>
      </c>
      <c r="G5364" t="s">
        <v>266</v>
      </c>
      <c r="H5364" t="s">
        <v>52</v>
      </c>
      <c r="I5364">
        <v>24248</v>
      </c>
      <c r="J5364">
        <v>23540</v>
      </c>
    </row>
    <row r="5365" spans="1:10" x14ac:dyDescent="0.3">
      <c r="A5365" t="s">
        <v>5492</v>
      </c>
      <c r="B5365" s="1">
        <v>45999</v>
      </c>
      <c r="C5365" t="s">
        <v>100</v>
      </c>
      <c r="D5365">
        <v>50</v>
      </c>
      <c r="E5365" t="s">
        <v>70</v>
      </c>
      <c r="F5365" t="s">
        <v>57</v>
      </c>
      <c r="G5365" t="s">
        <v>291</v>
      </c>
      <c r="H5365" t="s">
        <v>21</v>
      </c>
      <c r="I5365">
        <v>17310</v>
      </c>
      <c r="J5365">
        <v>12390</v>
      </c>
    </row>
    <row r="5366" spans="1:10" x14ac:dyDescent="0.3">
      <c r="A5366" t="s">
        <v>5493</v>
      </c>
      <c r="B5366" s="1">
        <v>45927</v>
      </c>
      <c r="C5366" t="s">
        <v>38</v>
      </c>
      <c r="D5366">
        <v>39</v>
      </c>
      <c r="E5366" t="s">
        <v>61</v>
      </c>
      <c r="F5366" t="s">
        <v>92</v>
      </c>
      <c r="G5366" t="s">
        <v>130</v>
      </c>
      <c r="H5366" t="s">
        <v>165</v>
      </c>
      <c r="I5366">
        <v>22532</v>
      </c>
      <c r="J5366">
        <v>16317</v>
      </c>
    </row>
    <row r="5367" spans="1:10" x14ac:dyDescent="0.3">
      <c r="A5367" t="s">
        <v>5494</v>
      </c>
      <c r="B5367" s="1">
        <v>45689</v>
      </c>
      <c r="C5367" t="s">
        <v>82</v>
      </c>
      <c r="D5367">
        <v>5</v>
      </c>
      <c r="E5367" t="s">
        <v>39</v>
      </c>
      <c r="F5367" t="s">
        <v>29</v>
      </c>
      <c r="G5367" t="s">
        <v>199</v>
      </c>
      <c r="H5367" t="s">
        <v>111</v>
      </c>
      <c r="I5367">
        <v>18714</v>
      </c>
      <c r="J5367">
        <v>21216</v>
      </c>
    </row>
    <row r="5368" spans="1:10" x14ac:dyDescent="0.3">
      <c r="A5368" t="s">
        <v>5495</v>
      </c>
      <c r="B5368" s="1">
        <v>45912</v>
      </c>
      <c r="C5368" t="s">
        <v>38</v>
      </c>
      <c r="D5368">
        <v>37</v>
      </c>
      <c r="E5368" t="s">
        <v>18</v>
      </c>
      <c r="F5368" t="s">
        <v>34</v>
      </c>
      <c r="G5368" t="s">
        <v>26</v>
      </c>
      <c r="H5368" t="s">
        <v>98</v>
      </c>
      <c r="I5368">
        <v>28829</v>
      </c>
      <c r="J5368">
        <v>34822</v>
      </c>
    </row>
    <row r="5369" spans="1:10" x14ac:dyDescent="0.3">
      <c r="A5369" t="s">
        <v>5496</v>
      </c>
      <c r="B5369" s="1">
        <v>45815</v>
      </c>
      <c r="C5369" t="s">
        <v>74</v>
      </c>
      <c r="D5369">
        <v>23</v>
      </c>
      <c r="E5369" t="s">
        <v>24</v>
      </c>
      <c r="F5369" t="s">
        <v>75</v>
      </c>
      <c r="G5369" t="s">
        <v>160</v>
      </c>
      <c r="H5369" t="s">
        <v>64</v>
      </c>
      <c r="I5369">
        <v>37020</v>
      </c>
      <c r="J5369">
        <v>33796</v>
      </c>
    </row>
    <row r="5370" spans="1:10" x14ac:dyDescent="0.3">
      <c r="A5370" t="s">
        <v>5497</v>
      </c>
      <c r="B5370" s="1">
        <v>45849</v>
      </c>
      <c r="C5370" t="s">
        <v>11</v>
      </c>
      <c r="D5370">
        <v>28</v>
      </c>
      <c r="E5370" t="s">
        <v>70</v>
      </c>
      <c r="F5370" t="s">
        <v>109</v>
      </c>
      <c r="G5370" t="s">
        <v>67</v>
      </c>
      <c r="H5370" t="s">
        <v>111</v>
      </c>
      <c r="I5370">
        <v>27711</v>
      </c>
      <c r="J5370">
        <v>28943</v>
      </c>
    </row>
    <row r="5371" spans="1:10" x14ac:dyDescent="0.3">
      <c r="A5371" t="s">
        <v>5498</v>
      </c>
      <c r="B5371" s="1">
        <v>45673</v>
      </c>
      <c r="C5371" t="s">
        <v>17</v>
      </c>
      <c r="D5371">
        <v>3</v>
      </c>
      <c r="E5371" t="s">
        <v>33</v>
      </c>
      <c r="F5371" t="s">
        <v>34</v>
      </c>
      <c r="G5371" t="s">
        <v>171</v>
      </c>
      <c r="H5371" t="s">
        <v>48</v>
      </c>
      <c r="I5371">
        <v>28299</v>
      </c>
      <c r="J5371">
        <v>21719</v>
      </c>
    </row>
    <row r="5372" spans="1:10" x14ac:dyDescent="0.3">
      <c r="A5372" t="s">
        <v>5499</v>
      </c>
      <c r="B5372" s="1">
        <v>45671</v>
      </c>
      <c r="C5372" t="s">
        <v>17</v>
      </c>
      <c r="D5372">
        <v>3</v>
      </c>
      <c r="E5372" t="s">
        <v>24</v>
      </c>
      <c r="F5372" t="s">
        <v>75</v>
      </c>
      <c r="G5372" t="s">
        <v>51</v>
      </c>
      <c r="H5372" t="s">
        <v>116</v>
      </c>
      <c r="I5372">
        <v>15624</v>
      </c>
      <c r="J5372">
        <v>17159</v>
      </c>
    </row>
    <row r="5373" spans="1:10" x14ac:dyDescent="0.3">
      <c r="A5373" t="s">
        <v>5500</v>
      </c>
      <c r="B5373" s="1">
        <v>45717</v>
      </c>
      <c r="C5373" t="s">
        <v>95</v>
      </c>
      <c r="D5373">
        <v>9</v>
      </c>
      <c r="E5373" t="s">
        <v>12</v>
      </c>
      <c r="F5373" t="s">
        <v>193</v>
      </c>
      <c r="G5373" t="s">
        <v>201</v>
      </c>
      <c r="H5373" t="s">
        <v>55</v>
      </c>
      <c r="I5373">
        <v>34913</v>
      </c>
      <c r="J5373">
        <v>28763</v>
      </c>
    </row>
    <row r="5374" spans="1:10" x14ac:dyDescent="0.3">
      <c r="A5374" t="s">
        <v>5501</v>
      </c>
      <c r="B5374" s="1">
        <v>45815</v>
      </c>
      <c r="C5374" t="s">
        <v>74</v>
      </c>
      <c r="D5374">
        <v>23</v>
      </c>
      <c r="E5374" t="s">
        <v>12</v>
      </c>
      <c r="F5374" t="s">
        <v>114</v>
      </c>
      <c r="G5374" t="s">
        <v>67</v>
      </c>
      <c r="H5374" t="s">
        <v>52</v>
      </c>
      <c r="I5374">
        <v>26667</v>
      </c>
      <c r="J5374">
        <v>30025</v>
      </c>
    </row>
    <row r="5375" spans="1:10" x14ac:dyDescent="0.3">
      <c r="A5375" t="s">
        <v>5502</v>
      </c>
      <c r="B5375" s="1">
        <v>45836</v>
      </c>
      <c r="C5375" t="s">
        <v>74</v>
      </c>
      <c r="D5375">
        <v>26</v>
      </c>
      <c r="E5375" t="s">
        <v>12</v>
      </c>
      <c r="F5375" t="s">
        <v>122</v>
      </c>
      <c r="G5375" t="s">
        <v>58</v>
      </c>
      <c r="H5375" t="s">
        <v>41</v>
      </c>
      <c r="I5375">
        <v>21486</v>
      </c>
      <c r="J5375">
        <v>23334</v>
      </c>
    </row>
    <row r="5376" spans="1:10" x14ac:dyDescent="0.3">
      <c r="A5376" t="s">
        <v>5503</v>
      </c>
      <c r="B5376" s="1">
        <v>45705</v>
      </c>
      <c r="C5376" t="s">
        <v>82</v>
      </c>
      <c r="D5376">
        <v>8</v>
      </c>
      <c r="E5376" t="s">
        <v>70</v>
      </c>
      <c r="F5376" t="s">
        <v>34</v>
      </c>
      <c r="G5376" t="s">
        <v>224</v>
      </c>
      <c r="H5376" t="s">
        <v>96</v>
      </c>
      <c r="I5376">
        <v>22482</v>
      </c>
      <c r="J5376">
        <v>27474</v>
      </c>
    </row>
    <row r="5377" spans="1:10" x14ac:dyDescent="0.3">
      <c r="A5377" t="s">
        <v>5504</v>
      </c>
      <c r="B5377" s="1">
        <v>45737</v>
      </c>
      <c r="C5377" t="s">
        <v>95</v>
      </c>
      <c r="D5377">
        <v>12</v>
      </c>
      <c r="E5377" t="s">
        <v>33</v>
      </c>
      <c r="F5377" t="s">
        <v>62</v>
      </c>
      <c r="G5377" t="s">
        <v>171</v>
      </c>
      <c r="H5377" t="s">
        <v>31</v>
      </c>
      <c r="I5377">
        <v>20779</v>
      </c>
      <c r="J5377">
        <v>25671</v>
      </c>
    </row>
    <row r="5378" spans="1:10" x14ac:dyDescent="0.3">
      <c r="A5378" t="s">
        <v>5505</v>
      </c>
      <c r="B5378" s="1">
        <v>46019</v>
      </c>
      <c r="C5378" t="s">
        <v>100</v>
      </c>
      <c r="D5378">
        <v>52</v>
      </c>
      <c r="E5378" t="s">
        <v>70</v>
      </c>
      <c r="F5378" t="s">
        <v>50</v>
      </c>
      <c r="G5378" t="s">
        <v>35</v>
      </c>
      <c r="H5378" t="s">
        <v>119</v>
      </c>
      <c r="I5378">
        <v>35505</v>
      </c>
      <c r="J5378">
        <v>42550</v>
      </c>
    </row>
    <row r="5379" spans="1:10" x14ac:dyDescent="0.3">
      <c r="A5379" t="s">
        <v>5506</v>
      </c>
      <c r="B5379" s="1">
        <v>45783</v>
      </c>
      <c r="C5379" t="s">
        <v>90</v>
      </c>
      <c r="D5379">
        <v>19</v>
      </c>
      <c r="E5379" t="s">
        <v>18</v>
      </c>
      <c r="F5379" t="s">
        <v>114</v>
      </c>
      <c r="G5379" t="s">
        <v>137</v>
      </c>
      <c r="H5379" t="s">
        <v>116</v>
      </c>
      <c r="I5379">
        <v>21540</v>
      </c>
      <c r="J5379">
        <v>25111</v>
      </c>
    </row>
    <row r="5380" spans="1:10" x14ac:dyDescent="0.3">
      <c r="A5380" t="s">
        <v>5507</v>
      </c>
      <c r="B5380" s="1">
        <v>45889</v>
      </c>
      <c r="C5380" t="s">
        <v>113</v>
      </c>
      <c r="D5380">
        <v>34</v>
      </c>
      <c r="E5380" t="s">
        <v>39</v>
      </c>
      <c r="F5380" t="s">
        <v>109</v>
      </c>
      <c r="G5380" t="s">
        <v>20</v>
      </c>
      <c r="H5380" t="s">
        <v>52</v>
      </c>
      <c r="I5380">
        <v>16190</v>
      </c>
      <c r="J5380">
        <v>16064</v>
      </c>
    </row>
    <row r="5381" spans="1:10" x14ac:dyDescent="0.3">
      <c r="A5381" t="s">
        <v>5508</v>
      </c>
      <c r="B5381" s="1">
        <v>45794</v>
      </c>
      <c r="C5381" t="s">
        <v>90</v>
      </c>
      <c r="D5381">
        <v>20</v>
      </c>
      <c r="E5381" t="s">
        <v>61</v>
      </c>
      <c r="F5381" t="s">
        <v>92</v>
      </c>
      <c r="G5381" t="s">
        <v>115</v>
      </c>
      <c r="H5381" t="s">
        <v>80</v>
      </c>
      <c r="I5381">
        <v>19111</v>
      </c>
      <c r="J5381">
        <v>17605</v>
      </c>
    </row>
    <row r="5382" spans="1:10" x14ac:dyDescent="0.3">
      <c r="A5382" t="s">
        <v>5509</v>
      </c>
      <c r="B5382" s="1">
        <v>45879</v>
      </c>
      <c r="C5382" t="s">
        <v>113</v>
      </c>
      <c r="D5382">
        <v>32</v>
      </c>
      <c r="E5382" t="s">
        <v>33</v>
      </c>
      <c r="F5382" t="s">
        <v>25</v>
      </c>
      <c r="G5382" t="s">
        <v>171</v>
      </c>
      <c r="H5382" t="s">
        <v>243</v>
      </c>
      <c r="I5382">
        <v>19472</v>
      </c>
      <c r="J5382">
        <v>15378</v>
      </c>
    </row>
    <row r="5383" spans="1:10" x14ac:dyDescent="0.3">
      <c r="A5383" t="s">
        <v>5510</v>
      </c>
      <c r="B5383" s="1">
        <v>45761</v>
      </c>
      <c r="C5383" t="s">
        <v>86</v>
      </c>
      <c r="D5383">
        <v>16</v>
      </c>
      <c r="E5383" t="s">
        <v>61</v>
      </c>
      <c r="F5383" t="s">
        <v>75</v>
      </c>
      <c r="G5383" t="s">
        <v>107</v>
      </c>
      <c r="H5383" t="s">
        <v>64</v>
      </c>
      <c r="I5383">
        <v>23200</v>
      </c>
      <c r="J5383">
        <v>18997</v>
      </c>
    </row>
    <row r="5384" spans="1:10" x14ac:dyDescent="0.3">
      <c r="A5384" t="s">
        <v>5511</v>
      </c>
      <c r="B5384" s="1">
        <v>46018</v>
      </c>
      <c r="C5384" t="s">
        <v>100</v>
      </c>
      <c r="D5384">
        <v>52</v>
      </c>
      <c r="E5384" t="s">
        <v>61</v>
      </c>
      <c r="F5384" t="s">
        <v>140</v>
      </c>
      <c r="G5384" t="s">
        <v>141</v>
      </c>
      <c r="H5384" t="s">
        <v>80</v>
      </c>
      <c r="I5384">
        <v>19475</v>
      </c>
      <c r="J5384">
        <v>15607</v>
      </c>
    </row>
    <row r="5385" spans="1:10" x14ac:dyDescent="0.3">
      <c r="A5385" t="s">
        <v>5512</v>
      </c>
      <c r="B5385" s="1">
        <v>45863</v>
      </c>
      <c r="C5385" t="s">
        <v>11</v>
      </c>
      <c r="D5385">
        <v>30</v>
      </c>
      <c r="E5385" t="s">
        <v>18</v>
      </c>
      <c r="F5385" t="s">
        <v>122</v>
      </c>
      <c r="G5385" t="s">
        <v>79</v>
      </c>
      <c r="H5385" t="s">
        <v>133</v>
      </c>
      <c r="I5385">
        <v>18983</v>
      </c>
      <c r="J5385">
        <v>21547</v>
      </c>
    </row>
    <row r="5386" spans="1:10" x14ac:dyDescent="0.3">
      <c r="A5386" t="s">
        <v>5513</v>
      </c>
      <c r="B5386" s="1">
        <v>45673</v>
      </c>
      <c r="C5386" t="s">
        <v>17</v>
      </c>
      <c r="D5386">
        <v>3</v>
      </c>
      <c r="E5386" t="s">
        <v>18</v>
      </c>
      <c r="F5386" t="s">
        <v>29</v>
      </c>
      <c r="G5386" t="s">
        <v>44</v>
      </c>
      <c r="H5386" t="s">
        <v>36</v>
      </c>
      <c r="I5386">
        <v>18021</v>
      </c>
      <c r="J5386">
        <v>15283</v>
      </c>
    </row>
    <row r="5387" spans="1:10" x14ac:dyDescent="0.3">
      <c r="A5387" t="s">
        <v>5514</v>
      </c>
      <c r="B5387" s="1">
        <v>45896</v>
      </c>
      <c r="C5387" t="s">
        <v>113</v>
      </c>
      <c r="D5387">
        <v>35</v>
      </c>
      <c r="E5387" t="s">
        <v>24</v>
      </c>
      <c r="F5387" t="s">
        <v>75</v>
      </c>
      <c r="G5387" t="s">
        <v>44</v>
      </c>
      <c r="H5387" t="s">
        <v>243</v>
      </c>
      <c r="I5387">
        <v>22937</v>
      </c>
      <c r="J5387">
        <v>16366</v>
      </c>
    </row>
    <row r="5388" spans="1:10" x14ac:dyDescent="0.3">
      <c r="A5388" t="s">
        <v>5515</v>
      </c>
      <c r="B5388" s="1">
        <v>45753</v>
      </c>
      <c r="C5388" t="s">
        <v>86</v>
      </c>
      <c r="D5388">
        <v>14</v>
      </c>
      <c r="E5388" t="s">
        <v>18</v>
      </c>
      <c r="F5388" t="s">
        <v>101</v>
      </c>
      <c r="G5388" t="s">
        <v>128</v>
      </c>
      <c r="H5388" t="s">
        <v>68</v>
      </c>
      <c r="I5388">
        <v>36997</v>
      </c>
      <c r="J5388">
        <v>41914</v>
      </c>
    </row>
    <row r="5389" spans="1:10" x14ac:dyDescent="0.3">
      <c r="A5389" t="s">
        <v>5516</v>
      </c>
      <c r="B5389" s="1">
        <v>45837</v>
      </c>
      <c r="C5389" t="s">
        <v>74</v>
      </c>
      <c r="D5389">
        <v>26</v>
      </c>
      <c r="E5389" t="s">
        <v>24</v>
      </c>
      <c r="F5389" t="s">
        <v>109</v>
      </c>
      <c r="G5389" t="s">
        <v>201</v>
      </c>
      <c r="H5389" t="s">
        <v>84</v>
      </c>
      <c r="I5389">
        <v>36500</v>
      </c>
      <c r="J5389">
        <v>37017</v>
      </c>
    </row>
    <row r="5390" spans="1:10" x14ac:dyDescent="0.3">
      <c r="A5390" t="s">
        <v>5517</v>
      </c>
      <c r="B5390" s="1">
        <v>45941</v>
      </c>
      <c r="C5390" t="s">
        <v>66</v>
      </c>
      <c r="D5390">
        <v>41</v>
      </c>
      <c r="E5390" t="s">
        <v>24</v>
      </c>
      <c r="F5390" t="s">
        <v>19</v>
      </c>
      <c r="G5390" t="s">
        <v>63</v>
      </c>
      <c r="H5390" t="s">
        <v>27</v>
      </c>
      <c r="I5390">
        <v>31171</v>
      </c>
      <c r="J5390">
        <v>40020</v>
      </c>
    </row>
    <row r="5391" spans="1:10" x14ac:dyDescent="0.3">
      <c r="A5391" t="s">
        <v>5518</v>
      </c>
      <c r="B5391" s="1">
        <v>45751</v>
      </c>
      <c r="C5391" t="s">
        <v>86</v>
      </c>
      <c r="D5391">
        <v>14</v>
      </c>
      <c r="E5391" t="s">
        <v>18</v>
      </c>
      <c r="F5391" t="s">
        <v>101</v>
      </c>
      <c r="G5391" t="s">
        <v>240</v>
      </c>
      <c r="H5391" t="s">
        <v>80</v>
      </c>
      <c r="I5391">
        <v>33891</v>
      </c>
      <c r="J5391">
        <v>36993</v>
      </c>
    </row>
    <row r="5392" spans="1:10" x14ac:dyDescent="0.3">
      <c r="A5392" t="s">
        <v>5519</v>
      </c>
      <c r="B5392" s="1">
        <v>45876</v>
      </c>
      <c r="C5392" t="s">
        <v>113</v>
      </c>
      <c r="D5392">
        <v>32</v>
      </c>
      <c r="E5392" t="s">
        <v>39</v>
      </c>
      <c r="F5392" t="s">
        <v>92</v>
      </c>
      <c r="G5392" t="s">
        <v>47</v>
      </c>
      <c r="H5392" t="s">
        <v>31</v>
      </c>
      <c r="I5392">
        <v>39327</v>
      </c>
      <c r="J5392">
        <v>44957</v>
      </c>
    </row>
    <row r="5393" spans="1:10" x14ac:dyDescent="0.3">
      <c r="A5393" t="s">
        <v>5520</v>
      </c>
      <c r="B5393" s="1">
        <v>45923</v>
      </c>
      <c r="C5393" t="s">
        <v>38</v>
      </c>
      <c r="D5393">
        <v>39</v>
      </c>
      <c r="E5393" t="s">
        <v>12</v>
      </c>
      <c r="F5393" t="s">
        <v>46</v>
      </c>
      <c r="G5393" t="s">
        <v>160</v>
      </c>
      <c r="H5393" t="s">
        <v>243</v>
      </c>
      <c r="I5393">
        <v>31973</v>
      </c>
      <c r="J5393">
        <v>36726</v>
      </c>
    </row>
    <row r="5394" spans="1:10" x14ac:dyDescent="0.3">
      <c r="A5394" t="s">
        <v>5521</v>
      </c>
      <c r="B5394" s="1">
        <v>45672</v>
      </c>
      <c r="C5394" t="s">
        <v>17</v>
      </c>
      <c r="D5394">
        <v>3</v>
      </c>
      <c r="E5394" t="s">
        <v>33</v>
      </c>
      <c r="F5394" t="s">
        <v>50</v>
      </c>
      <c r="G5394" t="s">
        <v>130</v>
      </c>
      <c r="H5394" t="s">
        <v>151</v>
      </c>
      <c r="I5394">
        <v>27589</v>
      </c>
      <c r="J5394">
        <v>25229</v>
      </c>
    </row>
    <row r="5395" spans="1:10" x14ac:dyDescent="0.3">
      <c r="A5395" t="s">
        <v>5522</v>
      </c>
      <c r="B5395" s="1">
        <v>45685</v>
      </c>
      <c r="C5395" t="s">
        <v>17</v>
      </c>
      <c r="D5395">
        <v>5</v>
      </c>
      <c r="E5395" t="s">
        <v>61</v>
      </c>
      <c r="F5395" t="s">
        <v>114</v>
      </c>
      <c r="G5395" t="s">
        <v>160</v>
      </c>
      <c r="H5395" t="s">
        <v>31</v>
      </c>
      <c r="I5395">
        <v>25603</v>
      </c>
      <c r="J5395">
        <v>31059</v>
      </c>
    </row>
    <row r="5396" spans="1:10" x14ac:dyDescent="0.3">
      <c r="A5396" t="s">
        <v>5523</v>
      </c>
      <c r="B5396" s="1">
        <v>45973</v>
      </c>
      <c r="C5396" t="s">
        <v>23</v>
      </c>
      <c r="D5396">
        <v>46</v>
      </c>
      <c r="E5396" t="s">
        <v>61</v>
      </c>
      <c r="F5396" t="s">
        <v>114</v>
      </c>
      <c r="G5396" t="s">
        <v>79</v>
      </c>
      <c r="H5396" t="s">
        <v>59</v>
      </c>
      <c r="I5396">
        <v>32643</v>
      </c>
      <c r="J5396">
        <v>35524</v>
      </c>
    </row>
    <row r="5397" spans="1:10" x14ac:dyDescent="0.3">
      <c r="A5397" t="s">
        <v>5524</v>
      </c>
      <c r="B5397" s="1">
        <v>45875</v>
      </c>
      <c r="C5397" t="s">
        <v>113</v>
      </c>
      <c r="D5397">
        <v>32</v>
      </c>
      <c r="E5397" t="s">
        <v>39</v>
      </c>
      <c r="F5397" t="s">
        <v>57</v>
      </c>
      <c r="G5397" t="s">
        <v>230</v>
      </c>
      <c r="H5397" t="s">
        <v>84</v>
      </c>
      <c r="I5397">
        <v>26162</v>
      </c>
      <c r="J5397">
        <v>33283</v>
      </c>
    </row>
    <row r="5398" spans="1:10" x14ac:dyDescent="0.3">
      <c r="A5398" t="s">
        <v>5525</v>
      </c>
      <c r="B5398" s="1">
        <v>45751</v>
      </c>
      <c r="C5398" t="s">
        <v>86</v>
      </c>
      <c r="D5398">
        <v>14</v>
      </c>
      <c r="E5398" t="s">
        <v>39</v>
      </c>
      <c r="F5398" t="s">
        <v>19</v>
      </c>
      <c r="G5398" t="s">
        <v>201</v>
      </c>
      <c r="H5398" t="s">
        <v>36</v>
      </c>
      <c r="I5398">
        <v>33950</v>
      </c>
      <c r="J5398">
        <v>31681</v>
      </c>
    </row>
    <row r="5399" spans="1:10" x14ac:dyDescent="0.3">
      <c r="A5399" t="s">
        <v>5526</v>
      </c>
      <c r="B5399" s="1">
        <v>45661</v>
      </c>
      <c r="C5399" t="s">
        <v>17</v>
      </c>
      <c r="D5399">
        <v>1</v>
      </c>
      <c r="E5399" t="s">
        <v>39</v>
      </c>
      <c r="F5399" t="s">
        <v>13</v>
      </c>
      <c r="G5399" t="s">
        <v>199</v>
      </c>
      <c r="H5399" t="s">
        <v>188</v>
      </c>
      <c r="I5399">
        <v>35172</v>
      </c>
      <c r="J5399">
        <v>42692</v>
      </c>
    </row>
    <row r="5400" spans="1:10" x14ac:dyDescent="0.3">
      <c r="A5400" t="s">
        <v>5527</v>
      </c>
      <c r="B5400" s="1">
        <v>45693</v>
      </c>
      <c r="C5400" t="s">
        <v>82</v>
      </c>
      <c r="D5400">
        <v>6</v>
      </c>
      <c r="E5400" t="s">
        <v>24</v>
      </c>
      <c r="F5400" t="s">
        <v>75</v>
      </c>
      <c r="G5400" t="s">
        <v>224</v>
      </c>
      <c r="H5400" t="s">
        <v>36</v>
      </c>
      <c r="I5400">
        <v>15052</v>
      </c>
      <c r="J5400">
        <v>15725</v>
      </c>
    </row>
    <row r="5401" spans="1:10" x14ac:dyDescent="0.3">
      <c r="A5401" t="s">
        <v>5528</v>
      </c>
      <c r="B5401" s="1">
        <v>45771</v>
      </c>
      <c r="C5401" t="s">
        <v>86</v>
      </c>
      <c r="D5401">
        <v>17</v>
      </c>
      <c r="E5401" t="s">
        <v>70</v>
      </c>
      <c r="F5401" t="s">
        <v>13</v>
      </c>
      <c r="G5401" t="s">
        <v>130</v>
      </c>
      <c r="H5401" t="s">
        <v>84</v>
      </c>
      <c r="I5401">
        <v>22338</v>
      </c>
      <c r="J5401">
        <v>26276</v>
      </c>
    </row>
    <row r="5402" spans="1:10" x14ac:dyDescent="0.3">
      <c r="A5402" t="s">
        <v>5529</v>
      </c>
      <c r="B5402" s="1">
        <v>45794</v>
      </c>
      <c r="C5402" t="s">
        <v>90</v>
      </c>
      <c r="D5402">
        <v>20</v>
      </c>
      <c r="E5402" t="s">
        <v>61</v>
      </c>
      <c r="F5402" t="s">
        <v>109</v>
      </c>
      <c r="G5402" t="s">
        <v>107</v>
      </c>
      <c r="H5402" t="s">
        <v>64</v>
      </c>
      <c r="I5402">
        <v>19487</v>
      </c>
      <c r="J5402">
        <v>14122</v>
      </c>
    </row>
    <row r="5403" spans="1:10" x14ac:dyDescent="0.3">
      <c r="A5403" t="s">
        <v>5530</v>
      </c>
      <c r="B5403" s="1">
        <v>45902</v>
      </c>
      <c r="C5403" t="s">
        <v>38</v>
      </c>
      <c r="D5403">
        <v>36</v>
      </c>
      <c r="E5403" t="s">
        <v>24</v>
      </c>
      <c r="F5403" t="s">
        <v>13</v>
      </c>
      <c r="G5403" t="s">
        <v>147</v>
      </c>
      <c r="H5403" t="s">
        <v>64</v>
      </c>
      <c r="I5403">
        <v>36684</v>
      </c>
      <c r="J5403">
        <v>46279</v>
      </c>
    </row>
    <row r="5404" spans="1:10" x14ac:dyDescent="0.3">
      <c r="A5404" t="s">
        <v>5531</v>
      </c>
      <c r="B5404" s="1">
        <v>45915</v>
      </c>
      <c r="C5404" t="s">
        <v>38</v>
      </c>
      <c r="D5404">
        <v>38</v>
      </c>
      <c r="E5404" t="s">
        <v>39</v>
      </c>
      <c r="F5404" t="s">
        <v>43</v>
      </c>
      <c r="G5404" t="s">
        <v>130</v>
      </c>
      <c r="H5404" t="s">
        <v>31</v>
      </c>
      <c r="I5404">
        <v>29148</v>
      </c>
      <c r="J5404">
        <v>37196</v>
      </c>
    </row>
    <row r="5405" spans="1:10" x14ac:dyDescent="0.3">
      <c r="A5405" t="s">
        <v>5532</v>
      </c>
      <c r="B5405" s="1">
        <v>45934</v>
      </c>
      <c r="C5405" t="s">
        <v>66</v>
      </c>
      <c r="D5405">
        <v>40</v>
      </c>
      <c r="E5405" t="s">
        <v>12</v>
      </c>
      <c r="F5405" t="s">
        <v>50</v>
      </c>
      <c r="G5405" t="s">
        <v>182</v>
      </c>
      <c r="H5405" t="s">
        <v>55</v>
      </c>
      <c r="I5405">
        <v>15535</v>
      </c>
      <c r="J5405">
        <v>13450</v>
      </c>
    </row>
    <row r="5406" spans="1:10" x14ac:dyDescent="0.3">
      <c r="A5406" t="s">
        <v>5533</v>
      </c>
      <c r="B5406" s="1">
        <v>45671</v>
      </c>
      <c r="C5406" t="s">
        <v>17</v>
      </c>
      <c r="D5406">
        <v>3</v>
      </c>
      <c r="E5406" t="s">
        <v>61</v>
      </c>
      <c r="F5406" t="s">
        <v>78</v>
      </c>
      <c r="G5406" t="s">
        <v>102</v>
      </c>
      <c r="H5406" t="s">
        <v>103</v>
      </c>
      <c r="I5406">
        <v>21770</v>
      </c>
      <c r="J5406">
        <v>19261</v>
      </c>
    </row>
    <row r="5407" spans="1:10" x14ac:dyDescent="0.3">
      <c r="A5407" t="s">
        <v>5534</v>
      </c>
      <c r="B5407" s="1">
        <v>45702</v>
      </c>
      <c r="C5407" t="s">
        <v>82</v>
      </c>
      <c r="D5407">
        <v>7</v>
      </c>
      <c r="E5407" t="s">
        <v>39</v>
      </c>
      <c r="F5407" t="s">
        <v>122</v>
      </c>
      <c r="G5407" t="s">
        <v>137</v>
      </c>
      <c r="H5407" t="s">
        <v>64</v>
      </c>
      <c r="I5407">
        <v>17773</v>
      </c>
      <c r="J5407">
        <v>18656</v>
      </c>
    </row>
    <row r="5408" spans="1:10" x14ac:dyDescent="0.3">
      <c r="A5408" t="s">
        <v>5535</v>
      </c>
      <c r="B5408" s="1">
        <v>45679</v>
      </c>
      <c r="C5408" t="s">
        <v>17</v>
      </c>
      <c r="D5408">
        <v>4</v>
      </c>
      <c r="E5408" t="s">
        <v>39</v>
      </c>
      <c r="F5408" t="s">
        <v>62</v>
      </c>
      <c r="G5408" t="s">
        <v>149</v>
      </c>
      <c r="H5408" t="s">
        <v>188</v>
      </c>
      <c r="I5408">
        <v>19578</v>
      </c>
      <c r="J5408">
        <v>17879</v>
      </c>
    </row>
    <row r="5409" spans="1:10" x14ac:dyDescent="0.3">
      <c r="A5409" t="s">
        <v>5536</v>
      </c>
      <c r="B5409" s="1">
        <v>45937</v>
      </c>
      <c r="C5409" t="s">
        <v>66</v>
      </c>
      <c r="D5409">
        <v>41</v>
      </c>
      <c r="E5409" t="s">
        <v>61</v>
      </c>
      <c r="F5409" t="s">
        <v>50</v>
      </c>
      <c r="G5409" t="s">
        <v>20</v>
      </c>
      <c r="H5409" t="s">
        <v>15</v>
      </c>
      <c r="I5409">
        <v>36221</v>
      </c>
      <c r="J5409">
        <v>46331</v>
      </c>
    </row>
    <row r="5410" spans="1:10" x14ac:dyDescent="0.3">
      <c r="A5410" t="s">
        <v>5537</v>
      </c>
      <c r="B5410" s="1">
        <v>45959</v>
      </c>
      <c r="C5410" t="s">
        <v>66</v>
      </c>
      <c r="D5410">
        <v>44</v>
      </c>
      <c r="E5410" t="s">
        <v>61</v>
      </c>
      <c r="F5410" t="s">
        <v>109</v>
      </c>
      <c r="G5410" t="s">
        <v>20</v>
      </c>
      <c r="H5410" t="s">
        <v>31</v>
      </c>
      <c r="I5410">
        <v>30300</v>
      </c>
      <c r="J5410">
        <v>30888</v>
      </c>
    </row>
    <row r="5411" spans="1:10" x14ac:dyDescent="0.3">
      <c r="A5411" t="s">
        <v>5538</v>
      </c>
      <c r="B5411" s="1">
        <v>45896</v>
      </c>
      <c r="C5411" t="s">
        <v>113</v>
      </c>
      <c r="D5411">
        <v>35</v>
      </c>
      <c r="E5411" t="s">
        <v>70</v>
      </c>
      <c r="F5411" t="s">
        <v>140</v>
      </c>
      <c r="G5411" t="s">
        <v>291</v>
      </c>
      <c r="H5411" t="s">
        <v>119</v>
      </c>
      <c r="I5411">
        <v>36212</v>
      </c>
      <c r="J5411">
        <v>35916</v>
      </c>
    </row>
    <row r="5412" spans="1:10" x14ac:dyDescent="0.3">
      <c r="A5412" t="s">
        <v>5539</v>
      </c>
      <c r="B5412" s="1">
        <v>45852</v>
      </c>
      <c r="C5412" t="s">
        <v>11</v>
      </c>
      <c r="D5412">
        <v>29</v>
      </c>
      <c r="E5412" t="s">
        <v>12</v>
      </c>
      <c r="F5412" t="s">
        <v>114</v>
      </c>
      <c r="G5412" t="s">
        <v>326</v>
      </c>
      <c r="H5412" t="s">
        <v>111</v>
      </c>
      <c r="I5412">
        <v>28174</v>
      </c>
      <c r="J5412">
        <v>26196</v>
      </c>
    </row>
    <row r="5413" spans="1:10" x14ac:dyDescent="0.3">
      <c r="A5413" t="s">
        <v>5540</v>
      </c>
      <c r="B5413" s="1">
        <v>45775</v>
      </c>
      <c r="C5413" t="s">
        <v>86</v>
      </c>
      <c r="D5413">
        <v>18</v>
      </c>
      <c r="E5413" t="s">
        <v>39</v>
      </c>
      <c r="F5413" t="s">
        <v>78</v>
      </c>
      <c r="G5413" t="s">
        <v>160</v>
      </c>
      <c r="H5413" t="s">
        <v>96</v>
      </c>
      <c r="I5413">
        <v>36299</v>
      </c>
      <c r="J5413">
        <v>42668</v>
      </c>
    </row>
    <row r="5414" spans="1:10" x14ac:dyDescent="0.3">
      <c r="A5414" t="s">
        <v>5541</v>
      </c>
      <c r="B5414" s="1">
        <v>45693</v>
      </c>
      <c r="C5414" t="s">
        <v>82</v>
      </c>
      <c r="D5414">
        <v>6</v>
      </c>
      <c r="E5414" t="s">
        <v>70</v>
      </c>
      <c r="F5414" t="s">
        <v>29</v>
      </c>
      <c r="G5414" t="s">
        <v>88</v>
      </c>
      <c r="H5414" t="s">
        <v>165</v>
      </c>
      <c r="I5414">
        <v>26035</v>
      </c>
      <c r="J5414">
        <v>20775</v>
      </c>
    </row>
    <row r="5415" spans="1:10" x14ac:dyDescent="0.3">
      <c r="A5415" t="s">
        <v>5542</v>
      </c>
      <c r="B5415" s="1">
        <v>45857</v>
      </c>
      <c r="C5415" t="s">
        <v>11</v>
      </c>
      <c r="D5415">
        <v>29</v>
      </c>
      <c r="E5415" t="s">
        <v>18</v>
      </c>
      <c r="F5415" t="s">
        <v>92</v>
      </c>
      <c r="G5415" t="s">
        <v>182</v>
      </c>
      <c r="H5415" t="s">
        <v>111</v>
      </c>
      <c r="I5415">
        <v>36877</v>
      </c>
      <c r="J5415">
        <v>38393</v>
      </c>
    </row>
    <row r="5416" spans="1:10" x14ac:dyDescent="0.3">
      <c r="A5416" t="s">
        <v>5543</v>
      </c>
      <c r="B5416" s="1">
        <v>45767</v>
      </c>
      <c r="C5416" t="s">
        <v>86</v>
      </c>
      <c r="D5416">
        <v>16</v>
      </c>
      <c r="E5416" t="s">
        <v>70</v>
      </c>
      <c r="F5416" t="s">
        <v>114</v>
      </c>
      <c r="G5416" t="s">
        <v>76</v>
      </c>
      <c r="H5416" t="s">
        <v>31</v>
      </c>
      <c r="I5416">
        <v>33390</v>
      </c>
      <c r="J5416">
        <v>38814</v>
      </c>
    </row>
    <row r="5417" spans="1:10" x14ac:dyDescent="0.3">
      <c r="A5417" t="s">
        <v>5544</v>
      </c>
      <c r="B5417" s="1">
        <v>45888</v>
      </c>
      <c r="C5417" t="s">
        <v>113</v>
      </c>
      <c r="D5417">
        <v>34</v>
      </c>
      <c r="E5417" t="s">
        <v>39</v>
      </c>
      <c r="F5417" t="s">
        <v>78</v>
      </c>
      <c r="G5417" t="s">
        <v>266</v>
      </c>
      <c r="H5417" t="s">
        <v>155</v>
      </c>
      <c r="I5417">
        <v>19210</v>
      </c>
      <c r="J5417">
        <v>23226</v>
      </c>
    </row>
    <row r="5418" spans="1:10" x14ac:dyDescent="0.3">
      <c r="A5418" t="s">
        <v>5545</v>
      </c>
      <c r="B5418" s="1">
        <v>45771</v>
      </c>
      <c r="C5418" t="s">
        <v>86</v>
      </c>
      <c r="D5418">
        <v>17</v>
      </c>
      <c r="E5418" t="s">
        <v>12</v>
      </c>
      <c r="F5418" t="s">
        <v>92</v>
      </c>
      <c r="G5418" t="s">
        <v>137</v>
      </c>
      <c r="H5418" t="s">
        <v>52</v>
      </c>
      <c r="I5418">
        <v>21003</v>
      </c>
      <c r="J5418">
        <v>17393</v>
      </c>
    </row>
    <row r="5419" spans="1:10" x14ac:dyDescent="0.3">
      <c r="A5419" t="s">
        <v>5546</v>
      </c>
      <c r="B5419" s="1">
        <v>45834</v>
      </c>
      <c r="C5419" t="s">
        <v>74</v>
      </c>
      <c r="D5419">
        <v>26</v>
      </c>
      <c r="E5419" t="s">
        <v>24</v>
      </c>
      <c r="F5419" t="s">
        <v>34</v>
      </c>
      <c r="G5419" t="s">
        <v>20</v>
      </c>
      <c r="H5419" t="s">
        <v>31</v>
      </c>
      <c r="I5419">
        <v>21294</v>
      </c>
      <c r="J5419">
        <v>24177</v>
      </c>
    </row>
    <row r="5420" spans="1:10" x14ac:dyDescent="0.3">
      <c r="A5420" t="s">
        <v>5547</v>
      </c>
      <c r="B5420" s="1">
        <v>45680</v>
      </c>
      <c r="C5420" t="s">
        <v>17</v>
      </c>
      <c r="D5420">
        <v>4</v>
      </c>
      <c r="E5420" t="s">
        <v>33</v>
      </c>
      <c r="F5420" t="s">
        <v>193</v>
      </c>
      <c r="G5420" t="s">
        <v>230</v>
      </c>
      <c r="H5420" t="s">
        <v>48</v>
      </c>
      <c r="I5420">
        <v>34051</v>
      </c>
      <c r="J5420">
        <v>41288</v>
      </c>
    </row>
    <row r="5421" spans="1:10" x14ac:dyDescent="0.3">
      <c r="A5421" t="s">
        <v>5548</v>
      </c>
      <c r="B5421" s="1">
        <v>45684</v>
      </c>
      <c r="C5421" t="s">
        <v>17</v>
      </c>
      <c r="D5421">
        <v>5</v>
      </c>
      <c r="E5421" t="s">
        <v>12</v>
      </c>
      <c r="F5421" t="s">
        <v>193</v>
      </c>
      <c r="G5421" t="s">
        <v>54</v>
      </c>
      <c r="H5421" t="s">
        <v>36</v>
      </c>
      <c r="I5421">
        <v>16449</v>
      </c>
      <c r="J5421">
        <v>13346</v>
      </c>
    </row>
    <row r="5422" spans="1:10" x14ac:dyDescent="0.3">
      <c r="A5422" t="s">
        <v>5549</v>
      </c>
      <c r="B5422" s="1">
        <v>45712</v>
      </c>
      <c r="C5422" t="s">
        <v>82</v>
      </c>
      <c r="D5422">
        <v>9</v>
      </c>
      <c r="E5422" t="s">
        <v>39</v>
      </c>
      <c r="F5422" t="s">
        <v>101</v>
      </c>
      <c r="G5422" t="s">
        <v>58</v>
      </c>
      <c r="H5422" t="s">
        <v>103</v>
      </c>
      <c r="I5422">
        <v>20722</v>
      </c>
      <c r="J5422">
        <v>24925</v>
      </c>
    </row>
    <row r="5423" spans="1:10" x14ac:dyDescent="0.3">
      <c r="A5423" t="s">
        <v>5550</v>
      </c>
      <c r="B5423" s="1">
        <v>45863</v>
      </c>
      <c r="C5423" t="s">
        <v>11</v>
      </c>
      <c r="D5423">
        <v>30</v>
      </c>
      <c r="E5423" t="s">
        <v>39</v>
      </c>
      <c r="F5423" t="s">
        <v>78</v>
      </c>
      <c r="G5423" t="s">
        <v>54</v>
      </c>
      <c r="H5423" t="s">
        <v>52</v>
      </c>
      <c r="I5423">
        <v>18958</v>
      </c>
      <c r="J5423">
        <v>13578</v>
      </c>
    </row>
    <row r="5424" spans="1:10" x14ac:dyDescent="0.3">
      <c r="A5424" t="s">
        <v>5551</v>
      </c>
      <c r="B5424" s="1">
        <v>45673</v>
      </c>
      <c r="C5424" t="s">
        <v>17</v>
      </c>
      <c r="D5424">
        <v>3</v>
      </c>
      <c r="E5424" t="s">
        <v>61</v>
      </c>
      <c r="F5424" t="s">
        <v>29</v>
      </c>
      <c r="G5424" t="s">
        <v>224</v>
      </c>
      <c r="H5424" t="s">
        <v>133</v>
      </c>
      <c r="I5424">
        <v>31756</v>
      </c>
      <c r="J5424">
        <v>39201</v>
      </c>
    </row>
    <row r="5425" spans="1:10" x14ac:dyDescent="0.3">
      <c r="A5425" t="s">
        <v>5552</v>
      </c>
      <c r="B5425" s="1">
        <v>45809</v>
      </c>
      <c r="C5425" t="s">
        <v>74</v>
      </c>
      <c r="D5425">
        <v>22</v>
      </c>
      <c r="E5425" t="s">
        <v>24</v>
      </c>
      <c r="F5425" t="s">
        <v>34</v>
      </c>
      <c r="G5425" t="s">
        <v>51</v>
      </c>
      <c r="H5425" t="s">
        <v>84</v>
      </c>
      <c r="I5425">
        <v>25497</v>
      </c>
      <c r="J5425">
        <v>23670</v>
      </c>
    </row>
    <row r="5426" spans="1:10" x14ac:dyDescent="0.3">
      <c r="A5426" t="s">
        <v>5553</v>
      </c>
      <c r="B5426" s="1">
        <v>45920</v>
      </c>
      <c r="C5426" t="s">
        <v>38</v>
      </c>
      <c r="D5426">
        <v>38</v>
      </c>
      <c r="E5426" t="s">
        <v>24</v>
      </c>
      <c r="F5426" t="s">
        <v>25</v>
      </c>
      <c r="G5426" t="s">
        <v>137</v>
      </c>
      <c r="H5426" t="s">
        <v>52</v>
      </c>
      <c r="I5426">
        <v>30320</v>
      </c>
      <c r="J5426">
        <v>27970</v>
      </c>
    </row>
    <row r="5427" spans="1:10" x14ac:dyDescent="0.3">
      <c r="A5427" t="s">
        <v>5554</v>
      </c>
      <c r="B5427" s="1">
        <v>45968</v>
      </c>
      <c r="C5427" t="s">
        <v>23</v>
      </c>
      <c r="D5427">
        <v>45</v>
      </c>
      <c r="E5427" t="s">
        <v>24</v>
      </c>
      <c r="F5427" t="s">
        <v>46</v>
      </c>
      <c r="G5427" t="s">
        <v>110</v>
      </c>
      <c r="H5427" t="s">
        <v>27</v>
      </c>
      <c r="I5427">
        <v>21455</v>
      </c>
      <c r="J5427">
        <v>25798</v>
      </c>
    </row>
    <row r="5428" spans="1:10" x14ac:dyDescent="0.3">
      <c r="A5428" t="s">
        <v>5555</v>
      </c>
      <c r="B5428" s="1">
        <v>45825</v>
      </c>
      <c r="C5428" t="s">
        <v>74</v>
      </c>
      <c r="D5428">
        <v>25</v>
      </c>
      <c r="E5428" t="s">
        <v>70</v>
      </c>
      <c r="F5428" t="s">
        <v>92</v>
      </c>
      <c r="G5428" t="s">
        <v>44</v>
      </c>
      <c r="H5428" t="s">
        <v>98</v>
      </c>
      <c r="I5428">
        <v>32036</v>
      </c>
      <c r="J5428">
        <v>31054</v>
      </c>
    </row>
    <row r="5429" spans="1:10" x14ac:dyDescent="0.3">
      <c r="A5429" t="s">
        <v>5556</v>
      </c>
      <c r="B5429" s="1">
        <v>45884</v>
      </c>
      <c r="C5429" t="s">
        <v>113</v>
      </c>
      <c r="D5429">
        <v>33</v>
      </c>
      <c r="E5429" t="s">
        <v>24</v>
      </c>
      <c r="F5429" t="s">
        <v>46</v>
      </c>
      <c r="G5429" t="s">
        <v>40</v>
      </c>
      <c r="H5429" t="s">
        <v>36</v>
      </c>
      <c r="I5429">
        <v>22857</v>
      </c>
      <c r="J5429">
        <v>26977</v>
      </c>
    </row>
    <row r="5430" spans="1:10" x14ac:dyDescent="0.3">
      <c r="A5430" t="s">
        <v>5557</v>
      </c>
      <c r="B5430" s="1">
        <v>45776</v>
      </c>
      <c r="C5430" t="s">
        <v>86</v>
      </c>
      <c r="D5430">
        <v>18</v>
      </c>
      <c r="E5430" t="s">
        <v>18</v>
      </c>
      <c r="F5430" t="s">
        <v>75</v>
      </c>
      <c r="G5430" t="s">
        <v>67</v>
      </c>
      <c r="H5430" t="s">
        <v>119</v>
      </c>
      <c r="I5430">
        <v>32702</v>
      </c>
      <c r="J5430">
        <v>41967</v>
      </c>
    </row>
    <row r="5431" spans="1:10" x14ac:dyDescent="0.3">
      <c r="A5431" t="s">
        <v>5558</v>
      </c>
      <c r="B5431" s="1">
        <v>45843</v>
      </c>
      <c r="C5431" t="s">
        <v>11</v>
      </c>
      <c r="D5431">
        <v>27</v>
      </c>
      <c r="E5431" t="s">
        <v>12</v>
      </c>
      <c r="F5431" t="s">
        <v>50</v>
      </c>
      <c r="G5431" t="s">
        <v>149</v>
      </c>
      <c r="H5431" t="s">
        <v>52</v>
      </c>
      <c r="I5431">
        <v>39323</v>
      </c>
      <c r="J5431">
        <v>50617</v>
      </c>
    </row>
    <row r="5432" spans="1:10" x14ac:dyDescent="0.3">
      <c r="A5432" t="s">
        <v>5559</v>
      </c>
      <c r="B5432" s="1">
        <v>46017</v>
      </c>
      <c r="C5432" t="s">
        <v>100</v>
      </c>
      <c r="D5432">
        <v>52</v>
      </c>
      <c r="E5432" t="s">
        <v>12</v>
      </c>
      <c r="F5432" t="s">
        <v>109</v>
      </c>
      <c r="G5432" t="s">
        <v>141</v>
      </c>
      <c r="H5432" t="s">
        <v>98</v>
      </c>
      <c r="I5432">
        <v>35285</v>
      </c>
      <c r="J5432">
        <v>26387</v>
      </c>
    </row>
    <row r="5433" spans="1:10" x14ac:dyDescent="0.3">
      <c r="A5433" t="s">
        <v>5560</v>
      </c>
      <c r="B5433" s="1">
        <v>45980</v>
      </c>
      <c r="C5433" t="s">
        <v>23</v>
      </c>
      <c r="D5433">
        <v>47</v>
      </c>
      <c r="E5433" t="s">
        <v>24</v>
      </c>
      <c r="F5433" t="s">
        <v>87</v>
      </c>
      <c r="G5433" t="s">
        <v>72</v>
      </c>
      <c r="H5433" t="s">
        <v>96</v>
      </c>
      <c r="I5433">
        <v>27593</v>
      </c>
      <c r="J5433">
        <v>31375</v>
      </c>
    </row>
    <row r="5434" spans="1:10" x14ac:dyDescent="0.3">
      <c r="A5434" t="s">
        <v>5561</v>
      </c>
      <c r="B5434" s="1">
        <v>45663</v>
      </c>
      <c r="C5434" t="s">
        <v>17</v>
      </c>
      <c r="D5434">
        <v>2</v>
      </c>
      <c r="E5434" t="s">
        <v>39</v>
      </c>
      <c r="F5434" t="s">
        <v>50</v>
      </c>
      <c r="G5434" t="s">
        <v>67</v>
      </c>
      <c r="H5434" t="s">
        <v>96</v>
      </c>
      <c r="I5434">
        <v>27968</v>
      </c>
      <c r="J5434">
        <v>22260</v>
      </c>
    </row>
    <row r="5435" spans="1:10" x14ac:dyDescent="0.3">
      <c r="A5435" t="s">
        <v>5562</v>
      </c>
      <c r="B5435" s="1">
        <v>45909</v>
      </c>
      <c r="C5435" t="s">
        <v>38</v>
      </c>
      <c r="D5435">
        <v>37</v>
      </c>
      <c r="E5435" t="s">
        <v>33</v>
      </c>
      <c r="F5435" t="s">
        <v>92</v>
      </c>
      <c r="G5435" t="s">
        <v>149</v>
      </c>
      <c r="H5435" t="s">
        <v>55</v>
      </c>
      <c r="I5435">
        <v>17858</v>
      </c>
      <c r="J5435">
        <v>18495</v>
      </c>
    </row>
    <row r="5436" spans="1:10" x14ac:dyDescent="0.3">
      <c r="A5436" t="s">
        <v>5563</v>
      </c>
      <c r="B5436" s="1">
        <v>45775</v>
      </c>
      <c r="C5436" t="s">
        <v>86</v>
      </c>
      <c r="D5436">
        <v>18</v>
      </c>
      <c r="E5436" t="s">
        <v>61</v>
      </c>
      <c r="F5436" t="s">
        <v>46</v>
      </c>
      <c r="G5436" t="s">
        <v>160</v>
      </c>
      <c r="H5436" t="s">
        <v>96</v>
      </c>
      <c r="I5436">
        <v>22426</v>
      </c>
      <c r="J5436">
        <v>16265</v>
      </c>
    </row>
    <row r="5437" spans="1:10" x14ac:dyDescent="0.3">
      <c r="A5437" t="s">
        <v>5564</v>
      </c>
      <c r="B5437" s="1">
        <v>45747</v>
      </c>
      <c r="C5437" t="s">
        <v>95</v>
      </c>
      <c r="D5437">
        <v>14</v>
      </c>
      <c r="E5437" t="s">
        <v>33</v>
      </c>
      <c r="F5437" t="s">
        <v>13</v>
      </c>
      <c r="G5437" t="s">
        <v>118</v>
      </c>
      <c r="H5437" t="s">
        <v>98</v>
      </c>
      <c r="I5437">
        <v>21709</v>
      </c>
      <c r="J5437">
        <v>17661</v>
      </c>
    </row>
    <row r="5438" spans="1:10" x14ac:dyDescent="0.3">
      <c r="A5438" t="s">
        <v>5565</v>
      </c>
      <c r="B5438" s="1">
        <v>45666</v>
      </c>
      <c r="C5438" t="s">
        <v>17</v>
      </c>
      <c r="D5438">
        <v>2</v>
      </c>
      <c r="E5438" t="s">
        <v>24</v>
      </c>
      <c r="F5438" t="s">
        <v>13</v>
      </c>
      <c r="G5438" t="s">
        <v>171</v>
      </c>
      <c r="H5438" t="s">
        <v>188</v>
      </c>
      <c r="I5438">
        <v>32205</v>
      </c>
      <c r="J5438">
        <v>26373</v>
      </c>
    </row>
    <row r="5439" spans="1:10" x14ac:dyDescent="0.3">
      <c r="A5439" t="s">
        <v>5566</v>
      </c>
      <c r="B5439" s="1">
        <v>45933</v>
      </c>
      <c r="C5439" t="s">
        <v>66</v>
      </c>
      <c r="D5439">
        <v>40</v>
      </c>
      <c r="E5439" t="s">
        <v>33</v>
      </c>
      <c r="F5439" t="s">
        <v>50</v>
      </c>
      <c r="G5439" t="s">
        <v>93</v>
      </c>
      <c r="H5439" t="s">
        <v>211</v>
      </c>
      <c r="I5439">
        <v>39581</v>
      </c>
      <c r="J5439">
        <v>39647</v>
      </c>
    </row>
    <row r="5440" spans="1:10" x14ac:dyDescent="0.3">
      <c r="A5440" t="s">
        <v>5567</v>
      </c>
      <c r="B5440" s="1">
        <v>45762</v>
      </c>
      <c r="C5440" t="s">
        <v>86</v>
      </c>
      <c r="D5440">
        <v>16</v>
      </c>
      <c r="E5440" t="s">
        <v>12</v>
      </c>
      <c r="F5440" t="s">
        <v>62</v>
      </c>
      <c r="G5440" t="s">
        <v>93</v>
      </c>
      <c r="H5440" t="s">
        <v>165</v>
      </c>
      <c r="I5440">
        <v>25584</v>
      </c>
      <c r="J5440">
        <v>29923</v>
      </c>
    </row>
    <row r="5441" spans="1:10" x14ac:dyDescent="0.3">
      <c r="A5441" t="s">
        <v>5568</v>
      </c>
      <c r="B5441" s="1">
        <v>45793</v>
      </c>
      <c r="C5441" t="s">
        <v>90</v>
      </c>
      <c r="D5441">
        <v>20</v>
      </c>
      <c r="E5441" t="s">
        <v>33</v>
      </c>
      <c r="F5441" t="s">
        <v>114</v>
      </c>
      <c r="G5441" t="s">
        <v>147</v>
      </c>
      <c r="H5441" t="s">
        <v>21</v>
      </c>
      <c r="I5441">
        <v>28840</v>
      </c>
      <c r="J5441">
        <v>32003</v>
      </c>
    </row>
    <row r="5442" spans="1:10" x14ac:dyDescent="0.3">
      <c r="A5442" t="s">
        <v>5569</v>
      </c>
      <c r="B5442" s="1">
        <v>45894</v>
      </c>
      <c r="C5442" t="s">
        <v>113</v>
      </c>
      <c r="D5442">
        <v>35</v>
      </c>
      <c r="E5442" t="s">
        <v>39</v>
      </c>
      <c r="F5442" t="s">
        <v>114</v>
      </c>
      <c r="G5442" t="s">
        <v>72</v>
      </c>
      <c r="H5442" t="s">
        <v>59</v>
      </c>
      <c r="I5442">
        <v>34485</v>
      </c>
      <c r="J5442">
        <v>24816</v>
      </c>
    </row>
    <row r="5443" spans="1:10" x14ac:dyDescent="0.3">
      <c r="A5443" t="s">
        <v>5570</v>
      </c>
      <c r="B5443" s="1">
        <v>45886</v>
      </c>
      <c r="C5443" t="s">
        <v>113</v>
      </c>
      <c r="D5443">
        <v>33</v>
      </c>
      <c r="E5443" t="s">
        <v>70</v>
      </c>
      <c r="F5443" t="s">
        <v>87</v>
      </c>
      <c r="G5443" t="s">
        <v>199</v>
      </c>
      <c r="H5443" t="s">
        <v>55</v>
      </c>
      <c r="I5443">
        <v>31788</v>
      </c>
      <c r="J5443">
        <v>30003</v>
      </c>
    </row>
    <row r="5444" spans="1:10" x14ac:dyDescent="0.3">
      <c r="A5444" t="s">
        <v>5571</v>
      </c>
      <c r="B5444" s="1">
        <v>45869</v>
      </c>
      <c r="C5444" t="s">
        <v>11</v>
      </c>
      <c r="D5444">
        <v>31</v>
      </c>
      <c r="E5444" t="s">
        <v>24</v>
      </c>
      <c r="F5444" t="s">
        <v>29</v>
      </c>
      <c r="G5444" t="s">
        <v>206</v>
      </c>
      <c r="H5444" t="s">
        <v>111</v>
      </c>
      <c r="I5444">
        <v>38402</v>
      </c>
      <c r="J5444">
        <v>30390</v>
      </c>
    </row>
    <row r="5445" spans="1:10" x14ac:dyDescent="0.3">
      <c r="A5445" t="s">
        <v>5572</v>
      </c>
      <c r="B5445" s="1">
        <v>45888</v>
      </c>
      <c r="C5445" t="s">
        <v>113</v>
      </c>
      <c r="D5445">
        <v>34</v>
      </c>
      <c r="E5445" t="s">
        <v>33</v>
      </c>
      <c r="F5445" t="s">
        <v>87</v>
      </c>
      <c r="G5445" t="s">
        <v>83</v>
      </c>
      <c r="H5445" t="s">
        <v>52</v>
      </c>
      <c r="I5445">
        <v>35810</v>
      </c>
      <c r="J5445">
        <v>25232</v>
      </c>
    </row>
    <row r="5446" spans="1:10" x14ac:dyDescent="0.3">
      <c r="A5446" t="s">
        <v>5573</v>
      </c>
      <c r="B5446" s="1">
        <v>45841</v>
      </c>
      <c r="C5446" t="s">
        <v>11</v>
      </c>
      <c r="D5446">
        <v>27</v>
      </c>
      <c r="E5446" t="s">
        <v>24</v>
      </c>
      <c r="F5446" t="s">
        <v>29</v>
      </c>
      <c r="G5446" t="s">
        <v>83</v>
      </c>
      <c r="H5446" t="s">
        <v>157</v>
      </c>
      <c r="I5446">
        <v>17057</v>
      </c>
      <c r="J5446">
        <v>17494</v>
      </c>
    </row>
    <row r="5447" spans="1:10" x14ac:dyDescent="0.3">
      <c r="A5447" t="s">
        <v>5574</v>
      </c>
      <c r="B5447" s="1">
        <v>45732</v>
      </c>
      <c r="C5447" t="s">
        <v>95</v>
      </c>
      <c r="D5447">
        <v>11</v>
      </c>
      <c r="E5447" t="s">
        <v>33</v>
      </c>
      <c r="F5447" t="s">
        <v>92</v>
      </c>
      <c r="G5447" t="s">
        <v>324</v>
      </c>
      <c r="H5447" t="s">
        <v>155</v>
      </c>
      <c r="I5447">
        <v>31951</v>
      </c>
      <c r="J5447">
        <v>34720</v>
      </c>
    </row>
    <row r="5448" spans="1:10" x14ac:dyDescent="0.3">
      <c r="A5448" t="s">
        <v>5575</v>
      </c>
      <c r="B5448" s="1">
        <v>45903</v>
      </c>
      <c r="C5448" t="s">
        <v>38</v>
      </c>
      <c r="D5448">
        <v>36</v>
      </c>
      <c r="E5448" t="s">
        <v>70</v>
      </c>
      <c r="F5448" t="s">
        <v>140</v>
      </c>
      <c r="G5448" t="s">
        <v>83</v>
      </c>
      <c r="H5448" t="s">
        <v>188</v>
      </c>
      <c r="I5448">
        <v>25473</v>
      </c>
      <c r="J5448">
        <v>30564</v>
      </c>
    </row>
    <row r="5449" spans="1:10" x14ac:dyDescent="0.3">
      <c r="A5449" t="s">
        <v>5576</v>
      </c>
      <c r="B5449" s="1">
        <v>45790</v>
      </c>
      <c r="C5449" t="s">
        <v>90</v>
      </c>
      <c r="D5449">
        <v>20</v>
      </c>
      <c r="E5449" t="s">
        <v>18</v>
      </c>
      <c r="F5449" t="s">
        <v>50</v>
      </c>
      <c r="G5449" t="s">
        <v>201</v>
      </c>
      <c r="H5449" t="s">
        <v>36</v>
      </c>
      <c r="I5449">
        <v>35656</v>
      </c>
      <c r="J5449">
        <v>35587</v>
      </c>
    </row>
    <row r="5450" spans="1:10" x14ac:dyDescent="0.3">
      <c r="A5450" t="s">
        <v>5577</v>
      </c>
      <c r="B5450" s="1">
        <v>45670</v>
      </c>
      <c r="C5450" t="s">
        <v>17</v>
      </c>
      <c r="D5450">
        <v>3</v>
      </c>
      <c r="E5450" t="s">
        <v>61</v>
      </c>
      <c r="F5450" t="s">
        <v>101</v>
      </c>
      <c r="G5450" t="s">
        <v>147</v>
      </c>
      <c r="H5450" t="s">
        <v>80</v>
      </c>
      <c r="I5450">
        <v>25994</v>
      </c>
      <c r="J5450">
        <v>22345</v>
      </c>
    </row>
    <row r="5451" spans="1:10" x14ac:dyDescent="0.3">
      <c r="A5451" t="s">
        <v>5578</v>
      </c>
      <c r="B5451" s="1">
        <v>45878</v>
      </c>
      <c r="C5451" t="s">
        <v>113</v>
      </c>
      <c r="D5451">
        <v>32</v>
      </c>
      <c r="E5451" t="s">
        <v>33</v>
      </c>
      <c r="F5451" t="s">
        <v>101</v>
      </c>
      <c r="G5451" t="s">
        <v>230</v>
      </c>
      <c r="H5451" t="s">
        <v>116</v>
      </c>
      <c r="I5451">
        <v>24258</v>
      </c>
      <c r="J5451">
        <v>17856</v>
      </c>
    </row>
    <row r="5452" spans="1:10" x14ac:dyDescent="0.3">
      <c r="A5452" t="s">
        <v>5579</v>
      </c>
      <c r="B5452" s="1">
        <v>45683</v>
      </c>
      <c r="C5452" t="s">
        <v>17</v>
      </c>
      <c r="D5452">
        <v>4</v>
      </c>
      <c r="E5452" t="s">
        <v>24</v>
      </c>
      <c r="F5452" t="s">
        <v>57</v>
      </c>
      <c r="G5452" t="s">
        <v>58</v>
      </c>
      <c r="H5452" t="s">
        <v>155</v>
      </c>
      <c r="I5452">
        <v>37923</v>
      </c>
      <c r="J5452">
        <v>45423</v>
      </c>
    </row>
    <row r="5453" spans="1:10" x14ac:dyDescent="0.3">
      <c r="A5453" t="s">
        <v>5580</v>
      </c>
      <c r="B5453" s="1">
        <v>45992</v>
      </c>
      <c r="C5453" t="s">
        <v>100</v>
      </c>
      <c r="D5453">
        <v>49</v>
      </c>
      <c r="E5453" t="s">
        <v>24</v>
      </c>
      <c r="F5453" t="s">
        <v>43</v>
      </c>
      <c r="G5453" t="s">
        <v>130</v>
      </c>
      <c r="H5453" t="s">
        <v>155</v>
      </c>
      <c r="I5453">
        <v>18783</v>
      </c>
      <c r="J5453">
        <v>16300</v>
      </c>
    </row>
    <row r="5454" spans="1:10" x14ac:dyDescent="0.3">
      <c r="A5454" t="s">
        <v>5581</v>
      </c>
      <c r="B5454" s="1">
        <v>45834</v>
      </c>
      <c r="C5454" t="s">
        <v>74</v>
      </c>
      <c r="D5454">
        <v>26</v>
      </c>
      <c r="E5454" t="s">
        <v>24</v>
      </c>
      <c r="F5454" t="s">
        <v>13</v>
      </c>
      <c r="G5454" t="s">
        <v>83</v>
      </c>
      <c r="H5454" t="s">
        <v>64</v>
      </c>
      <c r="I5454">
        <v>25179</v>
      </c>
      <c r="J5454">
        <v>17904</v>
      </c>
    </row>
    <row r="5455" spans="1:10" x14ac:dyDescent="0.3">
      <c r="A5455" t="s">
        <v>5582</v>
      </c>
      <c r="B5455" s="1">
        <v>45668</v>
      </c>
      <c r="C5455" t="s">
        <v>17</v>
      </c>
      <c r="D5455">
        <v>2</v>
      </c>
      <c r="E5455" t="s">
        <v>39</v>
      </c>
      <c r="F5455" t="s">
        <v>78</v>
      </c>
      <c r="G5455" t="s">
        <v>128</v>
      </c>
      <c r="H5455" t="s">
        <v>41</v>
      </c>
      <c r="I5455">
        <v>37322</v>
      </c>
      <c r="J5455">
        <v>27856</v>
      </c>
    </row>
    <row r="5456" spans="1:10" x14ac:dyDescent="0.3">
      <c r="A5456" t="s">
        <v>5583</v>
      </c>
      <c r="B5456" s="1">
        <v>45988</v>
      </c>
      <c r="C5456" t="s">
        <v>23</v>
      </c>
      <c r="D5456">
        <v>48</v>
      </c>
      <c r="E5456" t="s">
        <v>61</v>
      </c>
      <c r="F5456" t="s">
        <v>75</v>
      </c>
      <c r="G5456" t="s">
        <v>182</v>
      </c>
      <c r="H5456" t="s">
        <v>68</v>
      </c>
      <c r="I5456">
        <v>31524</v>
      </c>
      <c r="J5456">
        <v>37896</v>
      </c>
    </row>
    <row r="5457" spans="1:10" x14ac:dyDescent="0.3">
      <c r="A5457" t="s">
        <v>5584</v>
      </c>
      <c r="B5457" s="1">
        <v>45972</v>
      </c>
      <c r="C5457" t="s">
        <v>23</v>
      </c>
      <c r="D5457">
        <v>46</v>
      </c>
      <c r="E5457" t="s">
        <v>12</v>
      </c>
      <c r="F5457" t="s">
        <v>101</v>
      </c>
      <c r="G5457" t="s">
        <v>137</v>
      </c>
      <c r="H5457" t="s">
        <v>21</v>
      </c>
      <c r="I5457">
        <v>31212</v>
      </c>
      <c r="J5457">
        <v>36057</v>
      </c>
    </row>
    <row r="5458" spans="1:10" x14ac:dyDescent="0.3">
      <c r="A5458" t="s">
        <v>5585</v>
      </c>
      <c r="B5458" s="1">
        <v>45903</v>
      </c>
      <c r="C5458" t="s">
        <v>38</v>
      </c>
      <c r="D5458">
        <v>36</v>
      </c>
      <c r="E5458" t="s">
        <v>70</v>
      </c>
      <c r="F5458" t="s">
        <v>50</v>
      </c>
      <c r="G5458" t="s">
        <v>130</v>
      </c>
      <c r="H5458" t="s">
        <v>155</v>
      </c>
      <c r="I5458">
        <v>27256</v>
      </c>
      <c r="J5458">
        <v>27554</v>
      </c>
    </row>
    <row r="5459" spans="1:10" x14ac:dyDescent="0.3">
      <c r="A5459" t="s">
        <v>5586</v>
      </c>
      <c r="B5459" s="1">
        <v>45896</v>
      </c>
      <c r="C5459" t="s">
        <v>113</v>
      </c>
      <c r="D5459">
        <v>35</v>
      </c>
      <c r="E5459" t="s">
        <v>61</v>
      </c>
      <c r="F5459" t="s">
        <v>122</v>
      </c>
      <c r="G5459" t="s">
        <v>130</v>
      </c>
      <c r="H5459" t="s">
        <v>59</v>
      </c>
      <c r="I5459">
        <v>24437</v>
      </c>
      <c r="J5459">
        <v>20456</v>
      </c>
    </row>
    <row r="5460" spans="1:10" x14ac:dyDescent="0.3">
      <c r="A5460" t="s">
        <v>5587</v>
      </c>
      <c r="B5460" s="1">
        <v>45794</v>
      </c>
      <c r="C5460" t="s">
        <v>90</v>
      </c>
      <c r="D5460">
        <v>20</v>
      </c>
      <c r="E5460" t="s">
        <v>18</v>
      </c>
      <c r="F5460" t="s">
        <v>62</v>
      </c>
      <c r="G5460" t="s">
        <v>14</v>
      </c>
      <c r="H5460" t="s">
        <v>116</v>
      </c>
      <c r="I5460">
        <v>21198</v>
      </c>
      <c r="J5460">
        <v>22460</v>
      </c>
    </row>
    <row r="5461" spans="1:10" x14ac:dyDescent="0.3">
      <c r="A5461" t="s">
        <v>5588</v>
      </c>
      <c r="B5461" s="1">
        <v>45852</v>
      </c>
      <c r="C5461" t="s">
        <v>11</v>
      </c>
      <c r="D5461">
        <v>29</v>
      </c>
      <c r="E5461" t="s">
        <v>61</v>
      </c>
      <c r="F5461" t="s">
        <v>78</v>
      </c>
      <c r="G5461" t="s">
        <v>326</v>
      </c>
      <c r="H5461" t="s">
        <v>157</v>
      </c>
      <c r="I5461">
        <v>33861</v>
      </c>
      <c r="J5461">
        <v>27968</v>
      </c>
    </row>
    <row r="5462" spans="1:10" x14ac:dyDescent="0.3">
      <c r="A5462" t="s">
        <v>5589</v>
      </c>
      <c r="B5462" s="1">
        <v>45819</v>
      </c>
      <c r="C5462" t="s">
        <v>74</v>
      </c>
      <c r="D5462">
        <v>24</v>
      </c>
      <c r="E5462" t="s">
        <v>70</v>
      </c>
      <c r="F5462" t="s">
        <v>13</v>
      </c>
      <c r="G5462" t="s">
        <v>30</v>
      </c>
      <c r="H5462" t="s">
        <v>119</v>
      </c>
      <c r="I5462">
        <v>38357</v>
      </c>
      <c r="J5462">
        <v>47633</v>
      </c>
    </row>
    <row r="5463" spans="1:10" x14ac:dyDescent="0.3">
      <c r="A5463" t="s">
        <v>5590</v>
      </c>
      <c r="B5463" s="1">
        <v>46003</v>
      </c>
      <c r="C5463" t="s">
        <v>100</v>
      </c>
      <c r="D5463">
        <v>50</v>
      </c>
      <c r="E5463" t="s">
        <v>33</v>
      </c>
      <c r="F5463" t="s">
        <v>109</v>
      </c>
      <c r="G5463" t="s">
        <v>234</v>
      </c>
      <c r="H5463" t="s">
        <v>165</v>
      </c>
      <c r="I5463">
        <v>26613</v>
      </c>
      <c r="J5463">
        <v>26666</v>
      </c>
    </row>
    <row r="5464" spans="1:10" x14ac:dyDescent="0.3">
      <c r="A5464" t="s">
        <v>5591</v>
      </c>
      <c r="B5464" s="1">
        <v>46016</v>
      </c>
      <c r="C5464" t="s">
        <v>100</v>
      </c>
      <c r="D5464">
        <v>52</v>
      </c>
      <c r="E5464" t="s">
        <v>61</v>
      </c>
      <c r="F5464" t="s">
        <v>122</v>
      </c>
      <c r="G5464" t="s">
        <v>191</v>
      </c>
      <c r="H5464" t="s">
        <v>84</v>
      </c>
      <c r="I5464">
        <v>28413</v>
      </c>
      <c r="J5464">
        <v>36573</v>
      </c>
    </row>
    <row r="5465" spans="1:10" x14ac:dyDescent="0.3">
      <c r="A5465" t="s">
        <v>5592</v>
      </c>
      <c r="B5465" s="1">
        <v>45708</v>
      </c>
      <c r="C5465" t="s">
        <v>82</v>
      </c>
      <c r="D5465">
        <v>8</v>
      </c>
      <c r="E5465" t="s">
        <v>33</v>
      </c>
      <c r="F5465" t="s">
        <v>19</v>
      </c>
      <c r="G5465" t="s">
        <v>40</v>
      </c>
      <c r="H5465" t="s">
        <v>211</v>
      </c>
      <c r="I5465">
        <v>29509</v>
      </c>
      <c r="J5465">
        <v>27879</v>
      </c>
    </row>
    <row r="5466" spans="1:10" x14ac:dyDescent="0.3">
      <c r="A5466" t="s">
        <v>5593</v>
      </c>
      <c r="B5466" s="1">
        <v>45843</v>
      </c>
      <c r="C5466" t="s">
        <v>11</v>
      </c>
      <c r="D5466">
        <v>27</v>
      </c>
      <c r="E5466" t="s">
        <v>12</v>
      </c>
      <c r="F5466" t="s">
        <v>34</v>
      </c>
      <c r="G5466" t="s">
        <v>58</v>
      </c>
      <c r="H5466" t="s">
        <v>157</v>
      </c>
      <c r="I5466">
        <v>15127</v>
      </c>
      <c r="J5466">
        <v>17958</v>
      </c>
    </row>
    <row r="5467" spans="1:10" x14ac:dyDescent="0.3">
      <c r="A5467" t="s">
        <v>5594</v>
      </c>
      <c r="B5467" s="1">
        <v>46019</v>
      </c>
      <c r="C5467" t="s">
        <v>100</v>
      </c>
      <c r="D5467">
        <v>52</v>
      </c>
      <c r="E5467" t="s">
        <v>12</v>
      </c>
      <c r="F5467" t="s">
        <v>46</v>
      </c>
      <c r="G5467" t="s">
        <v>110</v>
      </c>
      <c r="H5467" t="s">
        <v>155</v>
      </c>
      <c r="I5467">
        <v>37545</v>
      </c>
      <c r="J5467">
        <v>32555</v>
      </c>
    </row>
    <row r="5468" spans="1:10" x14ac:dyDescent="0.3">
      <c r="A5468" t="s">
        <v>5595</v>
      </c>
      <c r="B5468" s="1">
        <v>45734</v>
      </c>
      <c r="C5468" t="s">
        <v>95</v>
      </c>
      <c r="D5468">
        <v>12</v>
      </c>
      <c r="E5468" t="s">
        <v>39</v>
      </c>
      <c r="F5468" t="s">
        <v>34</v>
      </c>
      <c r="G5468" t="s">
        <v>224</v>
      </c>
      <c r="H5468" t="s">
        <v>188</v>
      </c>
      <c r="I5468">
        <v>32674</v>
      </c>
      <c r="J5468">
        <v>26804</v>
      </c>
    </row>
    <row r="5469" spans="1:10" x14ac:dyDescent="0.3">
      <c r="A5469" t="s">
        <v>5596</v>
      </c>
      <c r="B5469" s="1">
        <v>45904</v>
      </c>
      <c r="C5469" t="s">
        <v>38</v>
      </c>
      <c r="D5469">
        <v>36</v>
      </c>
      <c r="E5469" t="s">
        <v>39</v>
      </c>
      <c r="F5469" t="s">
        <v>87</v>
      </c>
      <c r="G5469" t="s">
        <v>141</v>
      </c>
      <c r="H5469" t="s">
        <v>31</v>
      </c>
      <c r="I5469">
        <v>31663</v>
      </c>
      <c r="J5469">
        <v>28042</v>
      </c>
    </row>
    <row r="5470" spans="1:10" x14ac:dyDescent="0.3">
      <c r="A5470" t="s">
        <v>5597</v>
      </c>
      <c r="B5470" s="1">
        <v>45801</v>
      </c>
      <c r="C5470" t="s">
        <v>90</v>
      </c>
      <c r="D5470">
        <v>21</v>
      </c>
      <c r="E5470" t="s">
        <v>33</v>
      </c>
      <c r="F5470" t="s">
        <v>87</v>
      </c>
      <c r="G5470" t="s">
        <v>160</v>
      </c>
      <c r="H5470" t="s">
        <v>52</v>
      </c>
      <c r="I5470">
        <v>30360</v>
      </c>
      <c r="J5470">
        <v>27666</v>
      </c>
    </row>
    <row r="5471" spans="1:10" x14ac:dyDescent="0.3">
      <c r="A5471" t="s">
        <v>5598</v>
      </c>
      <c r="B5471" s="1">
        <v>45694</v>
      </c>
      <c r="C5471" t="s">
        <v>82</v>
      </c>
      <c r="D5471">
        <v>6</v>
      </c>
      <c r="E5471" t="s">
        <v>70</v>
      </c>
      <c r="F5471" t="s">
        <v>46</v>
      </c>
      <c r="G5471" t="s">
        <v>201</v>
      </c>
      <c r="H5471" t="s">
        <v>98</v>
      </c>
      <c r="I5471">
        <v>25084</v>
      </c>
      <c r="J5471">
        <v>28319</v>
      </c>
    </row>
    <row r="5472" spans="1:10" x14ac:dyDescent="0.3">
      <c r="A5472" t="s">
        <v>5599</v>
      </c>
      <c r="B5472" s="1">
        <v>45986</v>
      </c>
      <c r="C5472" t="s">
        <v>23</v>
      </c>
      <c r="D5472">
        <v>48</v>
      </c>
      <c r="E5472" t="s">
        <v>24</v>
      </c>
      <c r="F5472" t="s">
        <v>140</v>
      </c>
      <c r="G5472" t="s">
        <v>54</v>
      </c>
      <c r="H5472" t="s">
        <v>155</v>
      </c>
      <c r="I5472">
        <v>27483</v>
      </c>
      <c r="J5472">
        <v>31426</v>
      </c>
    </row>
    <row r="5473" spans="1:10" x14ac:dyDescent="0.3">
      <c r="A5473" t="s">
        <v>5600</v>
      </c>
      <c r="B5473" s="1">
        <v>45661</v>
      </c>
      <c r="C5473" t="s">
        <v>17</v>
      </c>
      <c r="D5473">
        <v>1</v>
      </c>
      <c r="E5473" t="s">
        <v>33</v>
      </c>
      <c r="F5473" t="s">
        <v>13</v>
      </c>
      <c r="G5473" t="s">
        <v>149</v>
      </c>
      <c r="H5473" t="s">
        <v>64</v>
      </c>
      <c r="I5473">
        <v>34778</v>
      </c>
      <c r="J5473">
        <v>31978</v>
      </c>
    </row>
    <row r="5474" spans="1:10" x14ac:dyDescent="0.3">
      <c r="A5474" t="s">
        <v>5601</v>
      </c>
      <c r="B5474" s="1">
        <v>45802</v>
      </c>
      <c r="C5474" t="s">
        <v>90</v>
      </c>
      <c r="D5474">
        <v>21</v>
      </c>
      <c r="E5474" t="s">
        <v>61</v>
      </c>
      <c r="F5474" t="s">
        <v>114</v>
      </c>
      <c r="G5474" t="s">
        <v>67</v>
      </c>
      <c r="H5474" t="s">
        <v>157</v>
      </c>
      <c r="I5474">
        <v>19292</v>
      </c>
      <c r="J5474">
        <v>16285</v>
      </c>
    </row>
    <row r="5475" spans="1:10" x14ac:dyDescent="0.3">
      <c r="A5475" t="s">
        <v>5602</v>
      </c>
      <c r="B5475" s="1">
        <v>45812</v>
      </c>
      <c r="C5475" t="s">
        <v>74</v>
      </c>
      <c r="D5475">
        <v>23</v>
      </c>
      <c r="E5475" t="s">
        <v>61</v>
      </c>
      <c r="F5475" t="s">
        <v>140</v>
      </c>
      <c r="G5475" t="s">
        <v>149</v>
      </c>
      <c r="H5475" t="s">
        <v>55</v>
      </c>
      <c r="I5475">
        <v>16219</v>
      </c>
      <c r="J5475">
        <v>17681</v>
      </c>
    </row>
    <row r="5476" spans="1:10" x14ac:dyDescent="0.3">
      <c r="A5476" t="s">
        <v>5603</v>
      </c>
      <c r="B5476" s="1">
        <v>45853</v>
      </c>
      <c r="C5476" t="s">
        <v>11</v>
      </c>
      <c r="D5476">
        <v>29</v>
      </c>
      <c r="E5476" t="s">
        <v>33</v>
      </c>
      <c r="F5476" t="s">
        <v>92</v>
      </c>
      <c r="G5476" t="s">
        <v>58</v>
      </c>
      <c r="H5476" t="s">
        <v>163</v>
      </c>
      <c r="I5476">
        <v>35930</v>
      </c>
      <c r="J5476">
        <v>31643</v>
      </c>
    </row>
    <row r="5477" spans="1:10" x14ac:dyDescent="0.3">
      <c r="A5477" t="s">
        <v>5604</v>
      </c>
      <c r="B5477" s="1">
        <v>45763</v>
      </c>
      <c r="C5477" t="s">
        <v>86</v>
      </c>
      <c r="D5477">
        <v>16</v>
      </c>
      <c r="E5477" t="s">
        <v>39</v>
      </c>
      <c r="F5477" t="s">
        <v>62</v>
      </c>
      <c r="G5477" t="s">
        <v>40</v>
      </c>
      <c r="H5477" t="s">
        <v>68</v>
      </c>
      <c r="I5477">
        <v>31630</v>
      </c>
      <c r="J5477">
        <v>32336</v>
      </c>
    </row>
    <row r="5478" spans="1:10" x14ac:dyDescent="0.3">
      <c r="A5478" t="s">
        <v>5605</v>
      </c>
      <c r="B5478" s="1">
        <v>45681</v>
      </c>
      <c r="C5478" t="s">
        <v>17</v>
      </c>
      <c r="D5478">
        <v>4</v>
      </c>
      <c r="E5478" t="s">
        <v>61</v>
      </c>
      <c r="F5478" t="s">
        <v>29</v>
      </c>
      <c r="G5478" t="s">
        <v>240</v>
      </c>
      <c r="H5478" t="s">
        <v>96</v>
      </c>
      <c r="I5478">
        <v>22257</v>
      </c>
      <c r="J5478">
        <v>17070</v>
      </c>
    </row>
    <row r="5479" spans="1:10" x14ac:dyDescent="0.3">
      <c r="A5479" t="s">
        <v>5606</v>
      </c>
      <c r="B5479" s="1">
        <v>45782</v>
      </c>
      <c r="C5479" t="s">
        <v>90</v>
      </c>
      <c r="D5479">
        <v>19</v>
      </c>
      <c r="E5479" t="s">
        <v>39</v>
      </c>
      <c r="F5479" t="s">
        <v>62</v>
      </c>
      <c r="G5479" t="s">
        <v>79</v>
      </c>
      <c r="H5479" t="s">
        <v>21</v>
      </c>
      <c r="I5479">
        <v>24790</v>
      </c>
      <c r="J5479">
        <v>17720</v>
      </c>
    </row>
    <row r="5480" spans="1:10" x14ac:dyDescent="0.3">
      <c r="A5480" t="s">
        <v>5607</v>
      </c>
      <c r="B5480" s="1">
        <v>45861</v>
      </c>
      <c r="C5480" t="s">
        <v>11</v>
      </c>
      <c r="D5480">
        <v>30</v>
      </c>
      <c r="E5480" t="s">
        <v>61</v>
      </c>
      <c r="F5480" t="s">
        <v>92</v>
      </c>
      <c r="G5480" t="s">
        <v>234</v>
      </c>
      <c r="H5480" t="s">
        <v>111</v>
      </c>
      <c r="I5480">
        <v>27668</v>
      </c>
      <c r="J5480">
        <v>22236</v>
      </c>
    </row>
    <row r="5481" spans="1:10" x14ac:dyDescent="0.3">
      <c r="A5481" t="s">
        <v>5608</v>
      </c>
      <c r="B5481" s="1">
        <v>45783</v>
      </c>
      <c r="C5481" t="s">
        <v>90</v>
      </c>
      <c r="D5481">
        <v>19</v>
      </c>
      <c r="E5481" t="s">
        <v>70</v>
      </c>
      <c r="F5481" t="s">
        <v>140</v>
      </c>
      <c r="G5481" t="s">
        <v>130</v>
      </c>
      <c r="H5481" t="s">
        <v>116</v>
      </c>
      <c r="I5481">
        <v>36336</v>
      </c>
      <c r="J5481">
        <v>36862</v>
      </c>
    </row>
    <row r="5482" spans="1:10" x14ac:dyDescent="0.3">
      <c r="A5482" t="s">
        <v>5609</v>
      </c>
      <c r="B5482" s="1">
        <v>45923</v>
      </c>
      <c r="C5482" t="s">
        <v>38</v>
      </c>
      <c r="D5482">
        <v>39</v>
      </c>
      <c r="E5482" t="s">
        <v>18</v>
      </c>
      <c r="F5482" t="s">
        <v>13</v>
      </c>
      <c r="G5482" t="s">
        <v>326</v>
      </c>
      <c r="H5482" t="s">
        <v>188</v>
      </c>
      <c r="I5482">
        <v>15821</v>
      </c>
      <c r="J5482">
        <v>15821</v>
      </c>
    </row>
    <row r="5483" spans="1:10" x14ac:dyDescent="0.3">
      <c r="A5483" t="s">
        <v>5610</v>
      </c>
      <c r="B5483" s="1">
        <v>45885</v>
      </c>
      <c r="C5483" t="s">
        <v>113</v>
      </c>
      <c r="D5483">
        <v>33</v>
      </c>
      <c r="E5483" t="s">
        <v>33</v>
      </c>
      <c r="F5483" t="s">
        <v>101</v>
      </c>
      <c r="G5483" t="s">
        <v>130</v>
      </c>
      <c r="H5483" t="s">
        <v>80</v>
      </c>
      <c r="I5483">
        <v>28769</v>
      </c>
      <c r="J5483">
        <v>33843</v>
      </c>
    </row>
    <row r="5484" spans="1:10" x14ac:dyDescent="0.3">
      <c r="A5484" t="s">
        <v>5611</v>
      </c>
      <c r="B5484" s="1">
        <v>45917</v>
      </c>
      <c r="C5484" t="s">
        <v>38</v>
      </c>
      <c r="D5484">
        <v>38</v>
      </c>
      <c r="E5484" t="s">
        <v>61</v>
      </c>
      <c r="F5484" t="s">
        <v>62</v>
      </c>
      <c r="G5484" t="s">
        <v>224</v>
      </c>
      <c r="H5484" t="s">
        <v>48</v>
      </c>
      <c r="I5484">
        <v>15365</v>
      </c>
      <c r="J5484">
        <v>13304</v>
      </c>
    </row>
    <row r="5485" spans="1:10" x14ac:dyDescent="0.3">
      <c r="A5485" t="s">
        <v>5612</v>
      </c>
      <c r="B5485" s="1">
        <v>45659</v>
      </c>
      <c r="C5485" t="s">
        <v>17</v>
      </c>
      <c r="D5485">
        <v>1</v>
      </c>
      <c r="E5485" t="s">
        <v>33</v>
      </c>
      <c r="F5485" t="s">
        <v>101</v>
      </c>
      <c r="G5485" t="s">
        <v>147</v>
      </c>
      <c r="H5485" t="s">
        <v>119</v>
      </c>
      <c r="I5485">
        <v>27236</v>
      </c>
      <c r="J5485">
        <v>20006</v>
      </c>
    </row>
    <row r="5486" spans="1:10" x14ac:dyDescent="0.3">
      <c r="A5486" t="s">
        <v>5613</v>
      </c>
      <c r="B5486" s="1">
        <v>45668</v>
      </c>
      <c r="C5486" t="s">
        <v>17</v>
      </c>
      <c r="D5486">
        <v>2</v>
      </c>
      <c r="E5486" t="s">
        <v>33</v>
      </c>
      <c r="F5486" t="s">
        <v>193</v>
      </c>
      <c r="G5486" t="s">
        <v>199</v>
      </c>
      <c r="H5486" t="s">
        <v>21</v>
      </c>
      <c r="I5486">
        <v>17997</v>
      </c>
      <c r="J5486">
        <v>17917</v>
      </c>
    </row>
    <row r="5487" spans="1:10" x14ac:dyDescent="0.3">
      <c r="A5487" t="s">
        <v>5614</v>
      </c>
      <c r="B5487" s="1">
        <v>46021</v>
      </c>
      <c r="C5487" t="s">
        <v>100</v>
      </c>
      <c r="D5487">
        <v>1</v>
      </c>
      <c r="E5487" t="s">
        <v>39</v>
      </c>
      <c r="F5487" t="s">
        <v>46</v>
      </c>
      <c r="G5487" t="s">
        <v>93</v>
      </c>
      <c r="H5487" t="s">
        <v>151</v>
      </c>
      <c r="I5487">
        <v>17656</v>
      </c>
      <c r="J5487">
        <v>22554</v>
      </c>
    </row>
    <row r="5488" spans="1:10" x14ac:dyDescent="0.3">
      <c r="A5488" t="s">
        <v>5615</v>
      </c>
      <c r="B5488" s="1">
        <v>45990</v>
      </c>
      <c r="C5488" t="s">
        <v>23</v>
      </c>
      <c r="D5488">
        <v>48</v>
      </c>
      <c r="E5488" t="s">
        <v>70</v>
      </c>
      <c r="F5488" t="s">
        <v>87</v>
      </c>
      <c r="G5488" t="s">
        <v>132</v>
      </c>
      <c r="H5488" t="s">
        <v>133</v>
      </c>
      <c r="I5488">
        <v>19477</v>
      </c>
      <c r="J5488">
        <v>16709</v>
      </c>
    </row>
    <row r="5489" spans="1:10" x14ac:dyDescent="0.3">
      <c r="A5489" t="s">
        <v>5616</v>
      </c>
      <c r="B5489" s="1">
        <v>45816</v>
      </c>
      <c r="C5489" t="s">
        <v>74</v>
      </c>
      <c r="D5489">
        <v>23</v>
      </c>
      <c r="E5489" t="s">
        <v>33</v>
      </c>
      <c r="F5489" t="s">
        <v>87</v>
      </c>
      <c r="G5489" t="s">
        <v>253</v>
      </c>
      <c r="H5489" t="s">
        <v>111</v>
      </c>
      <c r="I5489">
        <v>15947</v>
      </c>
      <c r="J5489">
        <v>17543</v>
      </c>
    </row>
    <row r="5490" spans="1:10" x14ac:dyDescent="0.3">
      <c r="A5490" t="s">
        <v>5617</v>
      </c>
      <c r="B5490" s="1">
        <v>45713</v>
      </c>
      <c r="C5490" t="s">
        <v>82</v>
      </c>
      <c r="D5490">
        <v>9</v>
      </c>
      <c r="E5490" t="s">
        <v>12</v>
      </c>
      <c r="F5490" t="s">
        <v>101</v>
      </c>
      <c r="G5490" t="s">
        <v>44</v>
      </c>
      <c r="H5490" t="s">
        <v>55</v>
      </c>
      <c r="I5490">
        <v>17558</v>
      </c>
      <c r="J5490">
        <v>21420</v>
      </c>
    </row>
    <row r="5491" spans="1:10" x14ac:dyDescent="0.3">
      <c r="A5491" t="s">
        <v>5618</v>
      </c>
      <c r="B5491" s="1">
        <v>45887</v>
      </c>
      <c r="C5491" t="s">
        <v>113</v>
      </c>
      <c r="D5491">
        <v>34</v>
      </c>
      <c r="E5491" t="s">
        <v>33</v>
      </c>
      <c r="F5491" t="s">
        <v>193</v>
      </c>
      <c r="G5491" t="s">
        <v>291</v>
      </c>
      <c r="H5491" t="s">
        <v>243</v>
      </c>
      <c r="I5491">
        <v>26380</v>
      </c>
      <c r="J5491">
        <v>19942</v>
      </c>
    </row>
    <row r="5492" spans="1:10" x14ac:dyDescent="0.3">
      <c r="A5492" t="s">
        <v>5619</v>
      </c>
      <c r="B5492" s="1">
        <v>45751</v>
      </c>
      <c r="C5492" t="s">
        <v>86</v>
      </c>
      <c r="D5492">
        <v>14</v>
      </c>
      <c r="E5492" t="s">
        <v>24</v>
      </c>
      <c r="F5492" t="s">
        <v>13</v>
      </c>
      <c r="G5492" t="s">
        <v>253</v>
      </c>
      <c r="H5492" t="s">
        <v>133</v>
      </c>
      <c r="I5492">
        <v>20603</v>
      </c>
      <c r="J5492">
        <v>22823</v>
      </c>
    </row>
    <row r="5493" spans="1:10" x14ac:dyDescent="0.3">
      <c r="A5493" t="s">
        <v>5620</v>
      </c>
      <c r="B5493" s="1">
        <v>45731</v>
      </c>
      <c r="C5493" t="s">
        <v>95</v>
      </c>
      <c r="D5493">
        <v>11</v>
      </c>
      <c r="E5493" t="s">
        <v>39</v>
      </c>
      <c r="F5493" t="s">
        <v>46</v>
      </c>
      <c r="G5493" t="s">
        <v>107</v>
      </c>
      <c r="H5493" t="s">
        <v>15</v>
      </c>
      <c r="I5493">
        <v>16969</v>
      </c>
      <c r="J5493">
        <v>12133</v>
      </c>
    </row>
    <row r="5494" spans="1:10" x14ac:dyDescent="0.3">
      <c r="A5494" t="s">
        <v>5621</v>
      </c>
      <c r="B5494" s="1">
        <v>46000</v>
      </c>
      <c r="C5494" t="s">
        <v>100</v>
      </c>
      <c r="D5494">
        <v>50</v>
      </c>
      <c r="E5494" t="s">
        <v>33</v>
      </c>
      <c r="F5494" t="s">
        <v>101</v>
      </c>
      <c r="G5494" t="s">
        <v>14</v>
      </c>
      <c r="H5494" t="s">
        <v>48</v>
      </c>
      <c r="I5494">
        <v>25199</v>
      </c>
      <c r="J5494">
        <v>31718</v>
      </c>
    </row>
    <row r="5495" spans="1:10" x14ac:dyDescent="0.3">
      <c r="A5495" t="s">
        <v>5622</v>
      </c>
      <c r="B5495" s="1">
        <v>45677</v>
      </c>
      <c r="C5495" t="s">
        <v>17</v>
      </c>
      <c r="D5495">
        <v>4</v>
      </c>
      <c r="E5495" t="s">
        <v>33</v>
      </c>
      <c r="F5495" t="s">
        <v>43</v>
      </c>
      <c r="G5495" t="s">
        <v>83</v>
      </c>
      <c r="H5495" t="s">
        <v>55</v>
      </c>
      <c r="I5495">
        <v>29018</v>
      </c>
      <c r="J5495">
        <v>25801</v>
      </c>
    </row>
    <row r="5496" spans="1:10" x14ac:dyDescent="0.3">
      <c r="A5496" t="s">
        <v>5623</v>
      </c>
      <c r="B5496" s="1">
        <v>45922</v>
      </c>
      <c r="C5496" t="s">
        <v>38</v>
      </c>
      <c r="D5496">
        <v>39</v>
      </c>
      <c r="E5496" t="s">
        <v>18</v>
      </c>
      <c r="F5496" t="s">
        <v>43</v>
      </c>
      <c r="G5496" t="s">
        <v>132</v>
      </c>
      <c r="H5496" t="s">
        <v>36</v>
      </c>
      <c r="I5496">
        <v>21646</v>
      </c>
      <c r="J5496">
        <v>22594</v>
      </c>
    </row>
    <row r="5497" spans="1:10" x14ac:dyDescent="0.3">
      <c r="A5497" t="s">
        <v>5624</v>
      </c>
      <c r="B5497" s="1">
        <v>45731</v>
      </c>
      <c r="C5497" t="s">
        <v>95</v>
      </c>
      <c r="D5497">
        <v>11</v>
      </c>
      <c r="E5497" t="s">
        <v>24</v>
      </c>
      <c r="F5497" t="s">
        <v>193</v>
      </c>
      <c r="G5497" t="s">
        <v>14</v>
      </c>
      <c r="H5497" t="s">
        <v>98</v>
      </c>
      <c r="I5497">
        <v>36203</v>
      </c>
      <c r="J5497">
        <v>28789</v>
      </c>
    </row>
    <row r="5498" spans="1:10" x14ac:dyDescent="0.3">
      <c r="A5498" t="s">
        <v>5625</v>
      </c>
      <c r="B5498" s="1">
        <v>45987</v>
      </c>
      <c r="C5498" t="s">
        <v>23</v>
      </c>
      <c r="D5498">
        <v>48</v>
      </c>
      <c r="E5498" t="s">
        <v>18</v>
      </c>
      <c r="F5498" t="s">
        <v>92</v>
      </c>
      <c r="G5498" t="s">
        <v>107</v>
      </c>
      <c r="H5498" t="s">
        <v>163</v>
      </c>
      <c r="I5498">
        <v>39346</v>
      </c>
      <c r="J5498">
        <v>45823</v>
      </c>
    </row>
    <row r="5499" spans="1:10" x14ac:dyDescent="0.3">
      <c r="A5499" t="s">
        <v>5626</v>
      </c>
      <c r="B5499" s="1">
        <v>45936</v>
      </c>
      <c r="C5499" t="s">
        <v>66</v>
      </c>
      <c r="D5499">
        <v>41</v>
      </c>
      <c r="E5499" t="s">
        <v>61</v>
      </c>
      <c r="F5499" t="s">
        <v>114</v>
      </c>
      <c r="G5499" t="s">
        <v>191</v>
      </c>
      <c r="H5499" t="s">
        <v>27</v>
      </c>
      <c r="I5499">
        <v>19603</v>
      </c>
      <c r="J5499">
        <v>16271</v>
      </c>
    </row>
    <row r="5500" spans="1:10" x14ac:dyDescent="0.3">
      <c r="A5500" t="s">
        <v>5627</v>
      </c>
      <c r="B5500" s="1">
        <v>45915</v>
      </c>
      <c r="C5500" t="s">
        <v>38</v>
      </c>
      <c r="D5500">
        <v>38</v>
      </c>
      <c r="E5500" t="s">
        <v>39</v>
      </c>
      <c r="F5500" t="s">
        <v>109</v>
      </c>
      <c r="G5500" t="s">
        <v>291</v>
      </c>
      <c r="H5500" t="s">
        <v>116</v>
      </c>
      <c r="I5500">
        <v>16899</v>
      </c>
      <c r="J5500">
        <v>19597</v>
      </c>
    </row>
    <row r="5501" spans="1:10" x14ac:dyDescent="0.3">
      <c r="A5501" t="s">
        <v>5628</v>
      </c>
      <c r="B5501" s="1">
        <v>45788</v>
      </c>
      <c r="C5501" t="s">
        <v>90</v>
      </c>
      <c r="D5501">
        <v>19</v>
      </c>
      <c r="E5501" t="s">
        <v>12</v>
      </c>
      <c r="F5501" t="s">
        <v>87</v>
      </c>
      <c r="G5501" t="s">
        <v>63</v>
      </c>
      <c r="H5501" t="s">
        <v>103</v>
      </c>
      <c r="I5501">
        <v>20388</v>
      </c>
      <c r="J5501">
        <v>25392</v>
      </c>
    </row>
    <row r="5502" spans="1:10" x14ac:dyDescent="0.3">
      <c r="A5502" t="s">
        <v>5629</v>
      </c>
      <c r="B5502" s="1">
        <v>45919</v>
      </c>
      <c r="C5502" t="s">
        <v>38</v>
      </c>
      <c r="D5502">
        <v>38</v>
      </c>
      <c r="E5502" t="s">
        <v>18</v>
      </c>
      <c r="F5502" t="s">
        <v>13</v>
      </c>
      <c r="G5502" t="s">
        <v>149</v>
      </c>
      <c r="H5502" t="s">
        <v>188</v>
      </c>
      <c r="I5502">
        <v>18468</v>
      </c>
      <c r="J5502">
        <v>23027</v>
      </c>
    </row>
    <row r="5503" spans="1:10" x14ac:dyDescent="0.3">
      <c r="A5503" t="s">
        <v>5630</v>
      </c>
      <c r="B5503" s="1">
        <v>45806</v>
      </c>
      <c r="C5503" t="s">
        <v>90</v>
      </c>
      <c r="D5503">
        <v>22</v>
      </c>
      <c r="E5503" t="s">
        <v>24</v>
      </c>
      <c r="F5503" t="s">
        <v>122</v>
      </c>
      <c r="G5503" t="s">
        <v>40</v>
      </c>
      <c r="H5503" t="s">
        <v>55</v>
      </c>
      <c r="I5503">
        <v>25143</v>
      </c>
      <c r="J5503">
        <v>31678</v>
      </c>
    </row>
    <row r="5504" spans="1:10" x14ac:dyDescent="0.3">
      <c r="A5504" t="s">
        <v>5631</v>
      </c>
      <c r="B5504" s="1">
        <v>45729</v>
      </c>
      <c r="C5504" t="s">
        <v>95</v>
      </c>
      <c r="D5504">
        <v>11</v>
      </c>
      <c r="E5504" t="s">
        <v>24</v>
      </c>
      <c r="F5504" t="s">
        <v>109</v>
      </c>
      <c r="G5504" t="s">
        <v>141</v>
      </c>
      <c r="H5504" t="s">
        <v>27</v>
      </c>
      <c r="I5504">
        <v>38987</v>
      </c>
      <c r="J5504">
        <v>42114</v>
      </c>
    </row>
    <row r="5505" spans="1:10" x14ac:dyDescent="0.3">
      <c r="A5505" t="s">
        <v>5632</v>
      </c>
      <c r="B5505" s="1">
        <v>45968</v>
      </c>
      <c r="C5505" t="s">
        <v>23</v>
      </c>
      <c r="D5505">
        <v>45</v>
      </c>
      <c r="E5505" t="s">
        <v>12</v>
      </c>
      <c r="F5505" t="s">
        <v>43</v>
      </c>
      <c r="G5505" t="s">
        <v>26</v>
      </c>
      <c r="H5505" t="s">
        <v>68</v>
      </c>
      <c r="I5505">
        <v>34631</v>
      </c>
      <c r="J5505">
        <v>40145</v>
      </c>
    </row>
    <row r="5506" spans="1:10" x14ac:dyDescent="0.3">
      <c r="A5506" t="s">
        <v>5633</v>
      </c>
      <c r="B5506" s="1">
        <v>45682</v>
      </c>
      <c r="C5506" t="s">
        <v>17</v>
      </c>
      <c r="D5506">
        <v>4</v>
      </c>
      <c r="E5506" t="s">
        <v>39</v>
      </c>
      <c r="F5506" t="s">
        <v>114</v>
      </c>
      <c r="G5506" t="s">
        <v>93</v>
      </c>
      <c r="H5506" t="s">
        <v>59</v>
      </c>
      <c r="I5506">
        <v>33980</v>
      </c>
      <c r="J5506">
        <v>26695</v>
      </c>
    </row>
    <row r="5507" spans="1:10" x14ac:dyDescent="0.3">
      <c r="A5507" t="s">
        <v>5634</v>
      </c>
      <c r="B5507" s="1">
        <v>45842</v>
      </c>
      <c r="C5507" t="s">
        <v>11</v>
      </c>
      <c r="D5507">
        <v>27</v>
      </c>
      <c r="E5507" t="s">
        <v>24</v>
      </c>
      <c r="F5507" t="s">
        <v>122</v>
      </c>
      <c r="G5507" t="s">
        <v>44</v>
      </c>
      <c r="H5507" t="s">
        <v>163</v>
      </c>
      <c r="I5507">
        <v>17625</v>
      </c>
      <c r="J5507">
        <v>17388</v>
      </c>
    </row>
    <row r="5508" spans="1:10" x14ac:dyDescent="0.3">
      <c r="A5508" t="s">
        <v>5635</v>
      </c>
      <c r="B5508" s="1">
        <v>45921</v>
      </c>
      <c r="C5508" t="s">
        <v>38</v>
      </c>
      <c r="D5508">
        <v>38</v>
      </c>
      <c r="E5508" t="s">
        <v>24</v>
      </c>
      <c r="F5508" t="s">
        <v>122</v>
      </c>
      <c r="G5508" t="s">
        <v>44</v>
      </c>
      <c r="H5508" t="s">
        <v>21</v>
      </c>
      <c r="I5508">
        <v>21219</v>
      </c>
      <c r="J5508">
        <v>21470</v>
      </c>
    </row>
    <row r="5509" spans="1:10" x14ac:dyDescent="0.3">
      <c r="A5509" t="s">
        <v>5636</v>
      </c>
      <c r="B5509" s="1">
        <v>45934</v>
      </c>
      <c r="C5509" t="s">
        <v>66</v>
      </c>
      <c r="D5509">
        <v>40</v>
      </c>
      <c r="E5509" t="s">
        <v>12</v>
      </c>
      <c r="F5509" t="s">
        <v>122</v>
      </c>
      <c r="G5509" t="s">
        <v>128</v>
      </c>
      <c r="H5509" t="s">
        <v>68</v>
      </c>
      <c r="I5509">
        <v>27153</v>
      </c>
      <c r="J5509">
        <v>26307</v>
      </c>
    </row>
    <row r="5510" spans="1:10" x14ac:dyDescent="0.3">
      <c r="A5510" t="s">
        <v>5637</v>
      </c>
      <c r="B5510" s="1">
        <v>45850</v>
      </c>
      <c r="C5510" t="s">
        <v>11</v>
      </c>
      <c r="D5510">
        <v>28</v>
      </c>
      <c r="E5510" t="s">
        <v>70</v>
      </c>
      <c r="F5510" t="s">
        <v>46</v>
      </c>
      <c r="G5510" t="s">
        <v>199</v>
      </c>
      <c r="H5510" t="s">
        <v>243</v>
      </c>
      <c r="I5510">
        <v>19219</v>
      </c>
      <c r="J5510">
        <v>24677</v>
      </c>
    </row>
    <row r="5511" spans="1:10" x14ac:dyDescent="0.3">
      <c r="A5511" t="s">
        <v>5638</v>
      </c>
      <c r="B5511" s="1">
        <v>45849</v>
      </c>
      <c r="C5511" t="s">
        <v>11</v>
      </c>
      <c r="D5511">
        <v>28</v>
      </c>
      <c r="E5511" t="s">
        <v>12</v>
      </c>
      <c r="F5511" t="s">
        <v>43</v>
      </c>
      <c r="G5511" t="s">
        <v>107</v>
      </c>
      <c r="H5511" t="s">
        <v>80</v>
      </c>
      <c r="I5511">
        <v>39893</v>
      </c>
      <c r="J5511">
        <v>35226</v>
      </c>
    </row>
    <row r="5512" spans="1:10" x14ac:dyDescent="0.3">
      <c r="A5512" t="s">
        <v>5639</v>
      </c>
      <c r="B5512" s="1">
        <v>45763</v>
      </c>
      <c r="C5512" t="s">
        <v>86</v>
      </c>
      <c r="D5512">
        <v>16</v>
      </c>
      <c r="E5512" t="s">
        <v>70</v>
      </c>
      <c r="F5512" t="s">
        <v>34</v>
      </c>
      <c r="G5512" t="s">
        <v>110</v>
      </c>
      <c r="H5512" t="s">
        <v>27</v>
      </c>
      <c r="I5512">
        <v>15334</v>
      </c>
      <c r="J5512">
        <v>18976</v>
      </c>
    </row>
    <row r="5513" spans="1:10" x14ac:dyDescent="0.3">
      <c r="A5513" t="s">
        <v>5640</v>
      </c>
      <c r="B5513" s="1">
        <v>45871</v>
      </c>
      <c r="C5513" t="s">
        <v>113</v>
      </c>
      <c r="D5513">
        <v>31</v>
      </c>
      <c r="E5513" t="s">
        <v>39</v>
      </c>
      <c r="F5513" t="s">
        <v>75</v>
      </c>
      <c r="G5513" t="s">
        <v>102</v>
      </c>
      <c r="H5513" t="s">
        <v>163</v>
      </c>
      <c r="I5513">
        <v>16222</v>
      </c>
      <c r="J5513">
        <v>13028</v>
      </c>
    </row>
    <row r="5514" spans="1:10" x14ac:dyDescent="0.3">
      <c r="A5514" t="s">
        <v>5641</v>
      </c>
      <c r="B5514" s="1">
        <v>45723</v>
      </c>
      <c r="C5514" t="s">
        <v>95</v>
      </c>
      <c r="D5514">
        <v>10</v>
      </c>
      <c r="E5514" t="s">
        <v>70</v>
      </c>
      <c r="F5514" t="s">
        <v>78</v>
      </c>
      <c r="G5514" t="s">
        <v>230</v>
      </c>
      <c r="H5514" t="s">
        <v>165</v>
      </c>
      <c r="I5514">
        <v>25607</v>
      </c>
      <c r="J5514">
        <v>29557</v>
      </c>
    </row>
    <row r="5515" spans="1:10" x14ac:dyDescent="0.3">
      <c r="A5515" t="s">
        <v>5642</v>
      </c>
      <c r="B5515" s="1">
        <v>45819</v>
      </c>
      <c r="C5515" t="s">
        <v>74</v>
      </c>
      <c r="D5515">
        <v>24</v>
      </c>
      <c r="E5515" t="s">
        <v>70</v>
      </c>
      <c r="F5515" t="s">
        <v>114</v>
      </c>
      <c r="G5515" t="s">
        <v>20</v>
      </c>
      <c r="H5515" t="s">
        <v>21</v>
      </c>
      <c r="I5515">
        <v>35554</v>
      </c>
      <c r="J5515">
        <v>27447</v>
      </c>
    </row>
    <row r="5516" spans="1:10" x14ac:dyDescent="0.3">
      <c r="A5516" t="s">
        <v>5643</v>
      </c>
      <c r="B5516" s="1">
        <v>45800</v>
      </c>
      <c r="C5516" t="s">
        <v>90</v>
      </c>
      <c r="D5516">
        <v>21</v>
      </c>
      <c r="E5516" t="s">
        <v>33</v>
      </c>
      <c r="F5516" t="s">
        <v>62</v>
      </c>
      <c r="G5516" t="s">
        <v>182</v>
      </c>
      <c r="H5516" t="s">
        <v>96</v>
      </c>
      <c r="I5516">
        <v>38280</v>
      </c>
      <c r="J5516">
        <v>33106</v>
      </c>
    </row>
    <row r="5517" spans="1:10" x14ac:dyDescent="0.3">
      <c r="A5517" t="s">
        <v>5644</v>
      </c>
      <c r="B5517" s="1">
        <v>45989</v>
      </c>
      <c r="C5517" t="s">
        <v>23</v>
      </c>
      <c r="D5517">
        <v>48</v>
      </c>
      <c r="E5517" t="s">
        <v>24</v>
      </c>
      <c r="F5517" t="s">
        <v>101</v>
      </c>
      <c r="G5517" t="s">
        <v>135</v>
      </c>
      <c r="H5517" t="s">
        <v>31</v>
      </c>
      <c r="I5517">
        <v>28203</v>
      </c>
      <c r="J5517">
        <v>24445</v>
      </c>
    </row>
    <row r="5518" spans="1:10" x14ac:dyDescent="0.3">
      <c r="A5518" t="s">
        <v>5645</v>
      </c>
      <c r="B5518" s="1">
        <v>45968</v>
      </c>
      <c r="C5518" t="s">
        <v>23</v>
      </c>
      <c r="D5518">
        <v>45</v>
      </c>
      <c r="E5518" t="s">
        <v>70</v>
      </c>
      <c r="F5518" t="s">
        <v>140</v>
      </c>
      <c r="G5518" t="s">
        <v>20</v>
      </c>
      <c r="H5518" t="s">
        <v>48</v>
      </c>
      <c r="I5518">
        <v>31736</v>
      </c>
      <c r="J5518">
        <v>37168</v>
      </c>
    </row>
    <row r="5519" spans="1:10" x14ac:dyDescent="0.3">
      <c r="A5519" t="s">
        <v>5646</v>
      </c>
      <c r="B5519" s="1">
        <v>45836</v>
      </c>
      <c r="C5519" t="s">
        <v>74</v>
      </c>
      <c r="D5519">
        <v>26</v>
      </c>
      <c r="E5519" t="s">
        <v>12</v>
      </c>
      <c r="F5519" t="s">
        <v>78</v>
      </c>
      <c r="G5519" t="s">
        <v>51</v>
      </c>
      <c r="H5519" t="s">
        <v>64</v>
      </c>
      <c r="I5519">
        <v>34089</v>
      </c>
      <c r="J5519">
        <v>35750</v>
      </c>
    </row>
    <row r="5520" spans="1:10" x14ac:dyDescent="0.3">
      <c r="A5520" t="s">
        <v>5647</v>
      </c>
      <c r="B5520" s="1">
        <v>45970</v>
      </c>
      <c r="C5520" t="s">
        <v>23</v>
      </c>
      <c r="D5520">
        <v>45</v>
      </c>
      <c r="E5520" t="s">
        <v>24</v>
      </c>
      <c r="F5520" t="s">
        <v>50</v>
      </c>
      <c r="G5520" t="s">
        <v>230</v>
      </c>
      <c r="H5520" t="s">
        <v>133</v>
      </c>
      <c r="I5520">
        <v>32966</v>
      </c>
      <c r="J5520">
        <v>32883</v>
      </c>
    </row>
    <row r="5521" spans="1:10" x14ac:dyDescent="0.3">
      <c r="A5521" t="s">
        <v>5648</v>
      </c>
      <c r="B5521" s="1">
        <v>45691</v>
      </c>
      <c r="C5521" t="s">
        <v>82</v>
      </c>
      <c r="D5521">
        <v>6</v>
      </c>
      <c r="E5521" t="s">
        <v>61</v>
      </c>
      <c r="F5521" t="s">
        <v>57</v>
      </c>
      <c r="G5521" t="s">
        <v>201</v>
      </c>
      <c r="H5521" t="s">
        <v>52</v>
      </c>
      <c r="I5521">
        <v>24070</v>
      </c>
      <c r="J5521">
        <v>23636</v>
      </c>
    </row>
    <row r="5522" spans="1:10" x14ac:dyDescent="0.3">
      <c r="A5522" t="s">
        <v>5649</v>
      </c>
      <c r="B5522" s="1">
        <v>45930</v>
      </c>
      <c r="C5522" t="s">
        <v>38</v>
      </c>
      <c r="D5522">
        <v>40</v>
      </c>
      <c r="E5522" t="s">
        <v>39</v>
      </c>
      <c r="F5522" t="s">
        <v>57</v>
      </c>
      <c r="G5522" t="s">
        <v>72</v>
      </c>
      <c r="H5522" t="s">
        <v>111</v>
      </c>
      <c r="I5522">
        <v>25669</v>
      </c>
      <c r="J5522">
        <v>24321</v>
      </c>
    </row>
    <row r="5523" spans="1:10" x14ac:dyDescent="0.3">
      <c r="A5523" t="s">
        <v>5650</v>
      </c>
      <c r="B5523" s="1">
        <v>45782</v>
      </c>
      <c r="C5523" t="s">
        <v>90</v>
      </c>
      <c r="D5523">
        <v>19</v>
      </c>
      <c r="E5523" t="s">
        <v>24</v>
      </c>
      <c r="F5523" t="s">
        <v>43</v>
      </c>
      <c r="G5523" t="s">
        <v>76</v>
      </c>
      <c r="H5523" t="s">
        <v>98</v>
      </c>
      <c r="I5523">
        <v>36157</v>
      </c>
      <c r="J5523">
        <v>38185</v>
      </c>
    </row>
    <row r="5524" spans="1:10" x14ac:dyDescent="0.3">
      <c r="A5524" t="s">
        <v>5651</v>
      </c>
      <c r="B5524" s="1">
        <v>45752</v>
      </c>
      <c r="C5524" t="s">
        <v>86</v>
      </c>
      <c r="D5524">
        <v>14</v>
      </c>
      <c r="E5524" t="s">
        <v>70</v>
      </c>
      <c r="F5524" t="s">
        <v>29</v>
      </c>
      <c r="G5524" t="s">
        <v>118</v>
      </c>
      <c r="H5524" t="s">
        <v>155</v>
      </c>
      <c r="I5524">
        <v>39431</v>
      </c>
      <c r="J5524">
        <v>45290</v>
      </c>
    </row>
    <row r="5525" spans="1:10" x14ac:dyDescent="0.3">
      <c r="A5525" t="s">
        <v>5652</v>
      </c>
      <c r="B5525" s="1">
        <v>45945</v>
      </c>
      <c r="C5525" t="s">
        <v>66</v>
      </c>
      <c r="D5525">
        <v>42</v>
      </c>
      <c r="E5525" t="s">
        <v>33</v>
      </c>
      <c r="F5525" t="s">
        <v>19</v>
      </c>
      <c r="G5525" t="s">
        <v>54</v>
      </c>
      <c r="H5525" t="s">
        <v>165</v>
      </c>
      <c r="I5525">
        <v>18485</v>
      </c>
      <c r="J5525">
        <v>20648</v>
      </c>
    </row>
    <row r="5526" spans="1:10" x14ac:dyDescent="0.3">
      <c r="A5526" t="s">
        <v>5653</v>
      </c>
      <c r="B5526" s="1">
        <v>45734</v>
      </c>
      <c r="C5526" t="s">
        <v>95</v>
      </c>
      <c r="D5526">
        <v>12</v>
      </c>
      <c r="E5526" t="s">
        <v>12</v>
      </c>
      <c r="F5526" t="s">
        <v>57</v>
      </c>
      <c r="G5526" t="s">
        <v>115</v>
      </c>
      <c r="H5526" t="s">
        <v>31</v>
      </c>
      <c r="I5526">
        <v>27927</v>
      </c>
      <c r="J5526">
        <v>33989</v>
      </c>
    </row>
    <row r="5527" spans="1:10" x14ac:dyDescent="0.3">
      <c r="A5527" t="s">
        <v>5654</v>
      </c>
      <c r="B5527" s="1">
        <v>45975</v>
      </c>
      <c r="C5527" t="s">
        <v>23</v>
      </c>
      <c r="D5527">
        <v>46</v>
      </c>
      <c r="E5527" t="s">
        <v>18</v>
      </c>
      <c r="F5527" t="s">
        <v>46</v>
      </c>
      <c r="G5527" t="s">
        <v>35</v>
      </c>
      <c r="H5527" t="s">
        <v>98</v>
      </c>
      <c r="I5527">
        <v>29702</v>
      </c>
      <c r="J5527">
        <v>30009</v>
      </c>
    </row>
    <row r="5528" spans="1:10" x14ac:dyDescent="0.3">
      <c r="A5528" t="s">
        <v>5655</v>
      </c>
      <c r="B5528" s="1">
        <v>45906</v>
      </c>
      <c r="C5528" t="s">
        <v>38</v>
      </c>
      <c r="D5528">
        <v>36</v>
      </c>
      <c r="E5528" t="s">
        <v>61</v>
      </c>
      <c r="F5528" t="s">
        <v>193</v>
      </c>
      <c r="G5528" t="s">
        <v>240</v>
      </c>
      <c r="H5528" t="s">
        <v>36</v>
      </c>
      <c r="I5528">
        <v>19390</v>
      </c>
      <c r="J5528">
        <v>16616</v>
      </c>
    </row>
    <row r="5529" spans="1:10" x14ac:dyDescent="0.3">
      <c r="A5529" t="s">
        <v>5656</v>
      </c>
      <c r="B5529" s="1">
        <v>45891</v>
      </c>
      <c r="C5529" t="s">
        <v>113</v>
      </c>
      <c r="D5529">
        <v>34</v>
      </c>
      <c r="E5529" t="s">
        <v>39</v>
      </c>
      <c r="F5529" t="s">
        <v>75</v>
      </c>
      <c r="G5529" t="s">
        <v>145</v>
      </c>
      <c r="H5529" t="s">
        <v>80</v>
      </c>
      <c r="I5529">
        <v>38422</v>
      </c>
      <c r="J5529">
        <v>35457</v>
      </c>
    </row>
    <row r="5530" spans="1:10" x14ac:dyDescent="0.3">
      <c r="A5530" t="s">
        <v>5657</v>
      </c>
      <c r="B5530" s="1">
        <v>45903</v>
      </c>
      <c r="C5530" t="s">
        <v>38</v>
      </c>
      <c r="D5530">
        <v>36</v>
      </c>
      <c r="E5530" t="s">
        <v>61</v>
      </c>
      <c r="F5530" t="s">
        <v>13</v>
      </c>
      <c r="G5530" t="s">
        <v>149</v>
      </c>
      <c r="H5530" t="s">
        <v>163</v>
      </c>
      <c r="I5530">
        <v>33012</v>
      </c>
      <c r="J5530">
        <v>24733</v>
      </c>
    </row>
    <row r="5531" spans="1:10" x14ac:dyDescent="0.3">
      <c r="A5531" t="s">
        <v>5658</v>
      </c>
      <c r="B5531" s="1">
        <v>45821</v>
      </c>
      <c r="C5531" t="s">
        <v>74</v>
      </c>
      <c r="D5531">
        <v>24</v>
      </c>
      <c r="E5531" t="s">
        <v>39</v>
      </c>
      <c r="F5531" t="s">
        <v>57</v>
      </c>
      <c r="G5531" t="s">
        <v>160</v>
      </c>
      <c r="H5531" t="s">
        <v>27</v>
      </c>
      <c r="I5531">
        <v>17750</v>
      </c>
      <c r="J5531">
        <v>20888</v>
      </c>
    </row>
    <row r="5532" spans="1:10" x14ac:dyDescent="0.3">
      <c r="A5532" t="s">
        <v>5659</v>
      </c>
      <c r="B5532" s="1">
        <v>46019</v>
      </c>
      <c r="C5532" t="s">
        <v>100</v>
      </c>
      <c r="D5532">
        <v>52</v>
      </c>
      <c r="E5532" t="s">
        <v>61</v>
      </c>
      <c r="F5532" t="s">
        <v>87</v>
      </c>
      <c r="G5532" t="s">
        <v>126</v>
      </c>
      <c r="H5532" t="s">
        <v>98</v>
      </c>
      <c r="I5532">
        <v>31746</v>
      </c>
      <c r="J5532">
        <v>35045</v>
      </c>
    </row>
    <row r="5533" spans="1:10" x14ac:dyDescent="0.3">
      <c r="A5533" t="s">
        <v>5660</v>
      </c>
      <c r="B5533" s="1">
        <v>46022</v>
      </c>
      <c r="C5533" t="s">
        <v>100</v>
      </c>
      <c r="D5533">
        <v>1</v>
      </c>
      <c r="E5533" t="s">
        <v>39</v>
      </c>
      <c r="F5533" t="s">
        <v>122</v>
      </c>
      <c r="G5533" t="s">
        <v>93</v>
      </c>
      <c r="H5533" t="s">
        <v>84</v>
      </c>
      <c r="I5533">
        <v>16456</v>
      </c>
      <c r="J5533">
        <v>21334</v>
      </c>
    </row>
    <row r="5534" spans="1:10" x14ac:dyDescent="0.3">
      <c r="A5534" t="s">
        <v>5661</v>
      </c>
      <c r="B5534" s="1">
        <v>45701</v>
      </c>
      <c r="C5534" t="s">
        <v>82</v>
      </c>
      <c r="D5534">
        <v>7</v>
      </c>
      <c r="E5534" t="s">
        <v>12</v>
      </c>
      <c r="F5534" t="s">
        <v>75</v>
      </c>
      <c r="G5534" t="s">
        <v>149</v>
      </c>
      <c r="H5534" t="s">
        <v>163</v>
      </c>
      <c r="I5534">
        <v>16777</v>
      </c>
      <c r="J5534">
        <v>13149</v>
      </c>
    </row>
    <row r="5535" spans="1:10" x14ac:dyDescent="0.3">
      <c r="A5535" t="s">
        <v>5662</v>
      </c>
      <c r="B5535" s="1">
        <v>45932</v>
      </c>
      <c r="C5535" t="s">
        <v>66</v>
      </c>
      <c r="D5535">
        <v>40</v>
      </c>
      <c r="E5535" t="s">
        <v>61</v>
      </c>
      <c r="F5535" t="s">
        <v>92</v>
      </c>
      <c r="G5535" t="s">
        <v>326</v>
      </c>
      <c r="H5535" t="s">
        <v>157</v>
      </c>
      <c r="I5535">
        <v>30754</v>
      </c>
      <c r="J5535">
        <v>30644</v>
      </c>
    </row>
    <row r="5536" spans="1:10" x14ac:dyDescent="0.3">
      <c r="A5536" t="s">
        <v>5663</v>
      </c>
      <c r="B5536" s="1">
        <v>45662</v>
      </c>
      <c r="C5536" t="s">
        <v>17</v>
      </c>
      <c r="D5536">
        <v>1</v>
      </c>
      <c r="E5536" t="s">
        <v>39</v>
      </c>
      <c r="F5536" t="s">
        <v>193</v>
      </c>
      <c r="G5536" t="s">
        <v>234</v>
      </c>
      <c r="H5536" t="s">
        <v>96</v>
      </c>
      <c r="I5536">
        <v>35935</v>
      </c>
      <c r="J5536">
        <v>31588</v>
      </c>
    </row>
    <row r="5537" spans="1:10" x14ac:dyDescent="0.3">
      <c r="A5537" t="s">
        <v>5664</v>
      </c>
      <c r="B5537" s="1">
        <v>45774</v>
      </c>
      <c r="C5537" t="s">
        <v>86</v>
      </c>
      <c r="D5537">
        <v>17</v>
      </c>
      <c r="E5537" t="s">
        <v>70</v>
      </c>
      <c r="F5537" t="s">
        <v>114</v>
      </c>
      <c r="G5537" t="s">
        <v>93</v>
      </c>
      <c r="H5537" t="s">
        <v>80</v>
      </c>
      <c r="I5537">
        <v>21623</v>
      </c>
      <c r="J5537">
        <v>26231</v>
      </c>
    </row>
    <row r="5538" spans="1:10" x14ac:dyDescent="0.3">
      <c r="A5538" t="s">
        <v>5665</v>
      </c>
      <c r="B5538" s="1">
        <v>45802</v>
      </c>
      <c r="C5538" t="s">
        <v>90</v>
      </c>
      <c r="D5538">
        <v>21</v>
      </c>
      <c r="E5538" t="s">
        <v>12</v>
      </c>
      <c r="F5538" t="s">
        <v>50</v>
      </c>
      <c r="G5538" t="s">
        <v>141</v>
      </c>
      <c r="H5538" t="s">
        <v>133</v>
      </c>
      <c r="I5538">
        <v>35788</v>
      </c>
      <c r="J5538">
        <v>40720</v>
      </c>
    </row>
    <row r="5539" spans="1:10" x14ac:dyDescent="0.3">
      <c r="A5539" t="s">
        <v>5666</v>
      </c>
      <c r="B5539" s="1">
        <v>45965</v>
      </c>
      <c r="C5539" t="s">
        <v>23</v>
      </c>
      <c r="D5539">
        <v>45</v>
      </c>
      <c r="E5539" t="s">
        <v>33</v>
      </c>
      <c r="F5539" t="s">
        <v>25</v>
      </c>
      <c r="G5539" t="s">
        <v>115</v>
      </c>
      <c r="H5539" t="s">
        <v>98</v>
      </c>
      <c r="I5539">
        <v>19369</v>
      </c>
      <c r="J5539">
        <v>20439</v>
      </c>
    </row>
    <row r="5540" spans="1:10" x14ac:dyDescent="0.3">
      <c r="A5540" t="s">
        <v>5667</v>
      </c>
      <c r="B5540" s="1">
        <v>45898</v>
      </c>
      <c r="C5540" t="s">
        <v>113</v>
      </c>
      <c r="D5540">
        <v>35</v>
      </c>
      <c r="E5540" t="s">
        <v>33</v>
      </c>
      <c r="F5540" t="s">
        <v>57</v>
      </c>
      <c r="G5540" t="s">
        <v>201</v>
      </c>
      <c r="H5540" t="s">
        <v>155</v>
      </c>
      <c r="I5540">
        <v>36755</v>
      </c>
      <c r="J5540">
        <v>31640</v>
      </c>
    </row>
    <row r="5541" spans="1:10" x14ac:dyDescent="0.3">
      <c r="A5541" t="s">
        <v>5668</v>
      </c>
      <c r="B5541" s="1">
        <v>45857</v>
      </c>
      <c r="C5541" t="s">
        <v>11</v>
      </c>
      <c r="D5541">
        <v>29</v>
      </c>
      <c r="E5541" t="s">
        <v>39</v>
      </c>
      <c r="F5541" t="s">
        <v>140</v>
      </c>
      <c r="G5541" t="s">
        <v>224</v>
      </c>
      <c r="H5541" t="s">
        <v>55</v>
      </c>
      <c r="I5541">
        <v>39905</v>
      </c>
      <c r="J5541">
        <v>34500</v>
      </c>
    </row>
    <row r="5542" spans="1:10" x14ac:dyDescent="0.3">
      <c r="A5542" t="s">
        <v>5669</v>
      </c>
      <c r="B5542" s="1">
        <v>45870</v>
      </c>
      <c r="C5542" t="s">
        <v>113</v>
      </c>
      <c r="D5542">
        <v>31</v>
      </c>
      <c r="E5542" t="s">
        <v>33</v>
      </c>
      <c r="F5542" t="s">
        <v>29</v>
      </c>
      <c r="G5542" t="s">
        <v>135</v>
      </c>
      <c r="H5542" t="s">
        <v>27</v>
      </c>
      <c r="I5542">
        <v>38380</v>
      </c>
      <c r="J5542">
        <v>31489</v>
      </c>
    </row>
    <row r="5543" spans="1:10" x14ac:dyDescent="0.3">
      <c r="A5543" t="s">
        <v>5670</v>
      </c>
      <c r="B5543" s="1">
        <v>45724</v>
      </c>
      <c r="C5543" t="s">
        <v>95</v>
      </c>
      <c r="D5543">
        <v>10</v>
      </c>
      <c r="E5543" t="s">
        <v>12</v>
      </c>
      <c r="F5543" t="s">
        <v>87</v>
      </c>
      <c r="G5543" t="s">
        <v>326</v>
      </c>
      <c r="H5543" t="s">
        <v>163</v>
      </c>
      <c r="I5543">
        <v>37823</v>
      </c>
      <c r="J5543">
        <v>40106</v>
      </c>
    </row>
    <row r="5544" spans="1:10" x14ac:dyDescent="0.3">
      <c r="A5544" t="s">
        <v>5671</v>
      </c>
      <c r="B5544" s="1">
        <v>45927</v>
      </c>
      <c r="C5544" t="s">
        <v>38</v>
      </c>
      <c r="D5544">
        <v>39</v>
      </c>
      <c r="E5544" t="s">
        <v>61</v>
      </c>
      <c r="F5544" t="s">
        <v>43</v>
      </c>
      <c r="G5544" t="s">
        <v>171</v>
      </c>
      <c r="H5544" t="s">
        <v>31</v>
      </c>
      <c r="I5544">
        <v>23939</v>
      </c>
      <c r="J5544">
        <v>26642</v>
      </c>
    </row>
    <row r="5545" spans="1:10" x14ac:dyDescent="0.3">
      <c r="A5545" t="s">
        <v>5672</v>
      </c>
      <c r="B5545" s="1">
        <v>45889</v>
      </c>
      <c r="C5545" t="s">
        <v>113</v>
      </c>
      <c r="D5545">
        <v>34</v>
      </c>
      <c r="E5545" t="s">
        <v>70</v>
      </c>
      <c r="F5545" t="s">
        <v>13</v>
      </c>
      <c r="G5545" t="s">
        <v>128</v>
      </c>
      <c r="H5545" t="s">
        <v>96</v>
      </c>
      <c r="I5545">
        <v>29006</v>
      </c>
      <c r="J5545">
        <v>36663</v>
      </c>
    </row>
    <row r="5546" spans="1:10" x14ac:dyDescent="0.3">
      <c r="A5546" t="s">
        <v>5673</v>
      </c>
      <c r="B5546" s="1">
        <v>45927</v>
      </c>
      <c r="C5546" t="s">
        <v>38</v>
      </c>
      <c r="D5546">
        <v>39</v>
      </c>
      <c r="E5546" t="s">
        <v>24</v>
      </c>
      <c r="F5546" t="s">
        <v>13</v>
      </c>
      <c r="G5546" t="s">
        <v>30</v>
      </c>
      <c r="H5546" t="s">
        <v>133</v>
      </c>
      <c r="I5546">
        <v>28778</v>
      </c>
      <c r="J5546">
        <v>20371</v>
      </c>
    </row>
    <row r="5547" spans="1:10" x14ac:dyDescent="0.3">
      <c r="A5547" t="s">
        <v>5674</v>
      </c>
      <c r="B5547" s="1">
        <v>45853</v>
      </c>
      <c r="C5547" t="s">
        <v>11</v>
      </c>
      <c r="D5547">
        <v>29</v>
      </c>
      <c r="E5547" t="s">
        <v>33</v>
      </c>
      <c r="F5547" t="s">
        <v>62</v>
      </c>
      <c r="G5547" t="s">
        <v>76</v>
      </c>
      <c r="H5547" t="s">
        <v>123</v>
      </c>
      <c r="I5547">
        <v>21218</v>
      </c>
      <c r="J5547">
        <v>20753</v>
      </c>
    </row>
    <row r="5548" spans="1:10" x14ac:dyDescent="0.3">
      <c r="A5548" t="s">
        <v>5675</v>
      </c>
      <c r="B5548" s="1">
        <v>45922</v>
      </c>
      <c r="C5548" t="s">
        <v>38</v>
      </c>
      <c r="D5548">
        <v>39</v>
      </c>
      <c r="E5548" t="s">
        <v>33</v>
      </c>
      <c r="F5548" t="s">
        <v>78</v>
      </c>
      <c r="G5548" t="s">
        <v>199</v>
      </c>
      <c r="H5548" t="s">
        <v>155</v>
      </c>
      <c r="I5548">
        <v>33046</v>
      </c>
      <c r="J5548">
        <v>41292</v>
      </c>
    </row>
    <row r="5549" spans="1:10" x14ac:dyDescent="0.3">
      <c r="A5549" t="s">
        <v>5676</v>
      </c>
      <c r="B5549" s="1">
        <v>45743</v>
      </c>
      <c r="C5549" t="s">
        <v>95</v>
      </c>
      <c r="D5549">
        <v>13</v>
      </c>
      <c r="E5549" t="s">
        <v>12</v>
      </c>
      <c r="F5549" t="s">
        <v>101</v>
      </c>
      <c r="G5549" t="s">
        <v>191</v>
      </c>
      <c r="H5549" t="s">
        <v>211</v>
      </c>
      <c r="I5549">
        <v>31007</v>
      </c>
      <c r="J5549">
        <v>28418</v>
      </c>
    </row>
    <row r="5550" spans="1:10" x14ac:dyDescent="0.3">
      <c r="A5550" t="s">
        <v>5677</v>
      </c>
      <c r="B5550" s="1">
        <v>45683</v>
      </c>
      <c r="C5550" t="s">
        <v>17</v>
      </c>
      <c r="D5550">
        <v>4</v>
      </c>
      <c r="E5550" t="s">
        <v>18</v>
      </c>
      <c r="F5550" t="s">
        <v>78</v>
      </c>
      <c r="G5550" t="s">
        <v>72</v>
      </c>
      <c r="H5550" t="s">
        <v>116</v>
      </c>
      <c r="I5550">
        <v>36042</v>
      </c>
      <c r="J5550">
        <v>30733</v>
      </c>
    </row>
    <row r="5551" spans="1:10" x14ac:dyDescent="0.3">
      <c r="A5551" t="s">
        <v>5678</v>
      </c>
      <c r="B5551" s="1">
        <v>45797</v>
      </c>
      <c r="C5551" t="s">
        <v>90</v>
      </c>
      <c r="D5551">
        <v>21</v>
      </c>
      <c r="E5551" t="s">
        <v>33</v>
      </c>
      <c r="F5551" t="s">
        <v>87</v>
      </c>
      <c r="G5551" t="s">
        <v>206</v>
      </c>
      <c r="H5551" t="s">
        <v>84</v>
      </c>
      <c r="I5551">
        <v>29000</v>
      </c>
      <c r="J5551">
        <v>37264</v>
      </c>
    </row>
    <row r="5552" spans="1:10" x14ac:dyDescent="0.3">
      <c r="A5552" t="s">
        <v>5679</v>
      </c>
      <c r="B5552" s="1">
        <v>46014</v>
      </c>
      <c r="C5552" t="s">
        <v>100</v>
      </c>
      <c r="D5552">
        <v>52</v>
      </c>
      <c r="E5552" t="s">
        <v>24</v>
      </c>
      <c r="F5552" t="s">
        <v>43</v>
      </c>
      <c r="G5552" t="s">
        <v>234</v>
      </c>
      <c r="H5552" t="s">
        <v>36</v>
      </c>
      <c r="I5552">
        <v>36873</v>
      </c>
      <c r="J5552">
        <v>33966</v>
      </c>
    </row>
    <row r="5553" spans="1:10" x14ac:dyDescent="0.3">
      <c r="A5553" t="s">
        <v>5680</v>
      </c>
      <c r="B5553" s="1">
        <v>46021</v>
      </c>
      <c r="C5553" t="s">
        <v>100</v>
      </c>
      <c r="D5553">
        <v>1</v>
      </c>
      <c r="E5553" t="s">
        <v>70</v>
      </c>
      <c r="F5553" t="s">
        <v>13</v>
      </c>
      <c r="G5553" t="s">
        <v>147</v>
      </c>
      <c r="H5553" t="s">
        <v>116</v>
      </c>
      <c r="I5553">
        <v>23823</v>
      </c>
      <c r="J5553">
        <v>24307</v>
      </c>
    </row>
    <row r="5554" spans="1:10" x14ac:dyDescent="0.3">
      <c r="A5554" t="s">
        <v>5681</v>
      </c>
      <c r="B5554" s="1">
        <v>45992</v>
      </c>
      <c r="C5554" t="s">
        <v>100</v>
      </c>
      <c r="D5554">
        <v>49</v>
      </c>
      <c r="E5554" t="s">
        <v>61</v>
      </c>
      <c r="F5554" t="s">
        <v>78</v>
      </c>
      <c r="G5554" t="s">
        <v>93</v>
      </c>
      <c r="H5554" t="s">
        <v>48</v>
      </c>
      <c r="I5554">
        <v>34575</v>
      </c>
      <c r="J5554">
        <v>26960</v>
      </c>
    </row>
    <row r="5555" spans="1:10" x14ac:dyDescent="0.3">
      <c r="A5555" t="s">
        <v>5682</v>
      </c>
      <c r="B5555" s="1">
        <v>46020</v>
      </c>
      <c r="C5555" t="s">
        <v>100</v>
      </c>
      <c r="D5555">
        <v>1</v>
      </c>
      <c r="E5555" t="s">
        <v>61</v>
      </c>
      <c r="F5555" t="s">
        <v>19</v>
      </c>
      <c r="G5555" t="s">
        <v>76</v>
      </c>
      <c r="H5555" t="s">
        <v>68</v>
      </c>
      <c r="I5555">
        <v>16198</v>
      </c>
      <c r="J5555">
        <v>16285</v>
      </c>
    </row>
    <row r="5556" spans="1:10" x14ac:dyDescent="0.3">
      <c r="A5556" t="s">
        <v>5683</v>
      </c>
      <c r="B5556" s="1">
        <v>45758</v>
      </c>
      <c r="C5556" t="s">
        <v>86</v>
      </c>
      <c r="D5556">
        <v>15</v>
      </c>
      <c r="E5556" t="s">
        <v>39</v>
      </c>
      <c r="F5556" t="s">
        <v>46</v>
      </c>
      <c r="G5556" t="s">
        <v>40</v>
      </c>
      <c r="H5556" t="s">
        <v>15</v>
      </c>
      <c r="I5556">
        <v>33778</v>
      </c>
      <c r="J5556">
        <v>28120</v>
      </c>
    </row>
    <row r="5557" spans="1:10" x14ac:dyDescent="0.3">
      <c r="A5557" t="s">
        <v>5684</v>
      </c>
      <c r="B5557" s="1">
        <v>46019</v>
      </c>
      <c r="C5557" t="s">
        <v>100</v>
      </c>
      <c r="D5557">
        <v>52</v>
      </c>
      <c r="E5557" t="s">
        <v>12</v>
      </c>
      <c r="F5557" t="s">
        <v>87</v>
      </c>
      <c r="G5557" t="s">
        <v>107</v>
      </c>
      <c r="H5557" t="s">
        <v>211</v>
      </c>
      <c r="I5557">
        <v>29967</v>
      </c>
      <c r="J5557">
        <v>22365</v>
      </c>
    </row>
    <row r="5558" spans="1:10" x14ac:dyDescent="0.3">
      <c r="A5558" t="s">
        <v>5685</v>
      </c>
      <c r="B5558" s="1">
        <v>45794</v>
      </c>
      <c r="C5558" t="s">
        <v>90</v>
      </c>
      <c r="D5558">
        <v>20</v>
      </c>
      <c r="E5558" t="s">
        <v>70</v>
      </c>
      <c r="F5558" t="s">
        <v>114</v>
      </c>
      <c r="G5558" t="s">
        <v>201</v>
      </c>
      <c r="H5558" t="s">
        <v>116</v>
      </c>
      <c r="I5558">
        <v>37820</v>
      </c>
      <c r="J5558">
        <v>48455</v>
      </c>
    </row>
    <row r="5559" spans="1:10" x14ac:dyDescent="0.3">
      <c r="A5559" t="s">
        <v>5686</v>
      </c>
      <c r="B5559" s="1">
        <v>45831</v>
      </c>
      <c r="C5559" t="s">
        <v>74</v>
      </c>
      <c r="D5559">
        <v>26</v>
      </c>
      <c r="E5559" t="s">
        <v>61</v>
      </c>
      <c r="F5559" t="s">
        <v>109</v>
      </c>
      <c r="G5559" t="s">
        <v>240</v>
      </c>
      <c r="H5559" t="s">
        <v>119</v>
      </c>
      <c r="I5559">
        <v>25695</v>
      </c>
      <c r="J5559">
        <v>30776</v>
      </c>
    </row>
    <row r="5560" spans="1:10" x14ac:dyDescent="0.3">
      <c r="A5560" t="s">
        <v>5687</v>
      </c>
      <c r="B5560" s="1">
        <v>45889</v>
      </c>
      <c r="C5560" t="s">
        <v>113</v>
      </c>
      <c r="D5560">
        <v>34</v>
      </c>
      <c r="E5560" t="s">
        <v>39</v>
      </c>
      <c r="F5560" t="s">
        <v>92</v>
      </c>
      <c r="G5560" t="s">
        <v>110</v>
      </c>
      <c r="H5560" t="s">
        <v>59</v>
      </c>
      <c r="I5560">
        <v>34880</v>
      </c>
      <c r="J5560">
        <v>31652</v>
      </c>
    </row>
    <row r="5561" spans="1:10" x14ac:dyDescent="0.3">
      <c r="A5561" t="s">
        <v>5688</v>
      </c>
      <c r="B5561" s="1">
        <v>45675</v>
      </c>
      <c r="C5561" t="s">
        <v>17</v>
      </c>
      <c r="D5561">
        <v>3</v>
      </c>
      <c r="E5561" t="s">
        <v>12</v>
      </c>
      <c r="F5561" t="s">
        <v>25</v>
      </c>
      <c r="G5561" t="s">
        <v>199</v>
      </c>
      <c r="H5561" t="s">
        <v>151</v>
      </c>
      <c r="I5561">
        <v>36645</v>
      </c>
      <c r="J5561">
        <v>44660</v>
      </c>
    </row>
    <row r="5562" spans="1:10" x14ac:dyDescent="0.3">
      <c r="A5562" t="s">
        <v>5689</v>
      </c>
      <c r="B5562" s="1">
        <v>45915</v>
      </c>
      <c r="C5562" t="s">
        <v>38</v>
      </c>
      <c r="D5562">
        <v>38</v>
      </c>
      <c r="E5562" t="s">
        <v>70</v>
      </c>
      <c r="F5562" t="s">
        <v>46</v>
      </c>
      <c r="G5562" t="s">
        <v>182</v>
      </c>
      <c r="H5562" t="s">
        <v>188</v>
      </c>
      <c r="I5562">
        <v>35336</v>
      </c>
      <c r="J5562">
        <v>32222</v>
      </c>
    </row>
    <row r="5563" spans="1:10" x14ac:dyDescent="0.3">
      <c r="A5563" t="s">
        <v>5690</v>
      </c>
      <c r="B5563" s="1">
        <v>45733</v>
      </c>
      <c r="C5563" t="s">
        <v>95</v>
      </c>
      <c r="D5563">
        <v>12</v>
      </c>
      <c r="E5563" t="s">
        <v>33</v>
      </c>
      <c r="F5563" t="s">
        <v>13</v>
      </c>
      <c r="G5563" t="s">
        <v>234</v>
      </c>
      <c r="H5563" t="s">
        <v>52</v>
      </c>
      <c r="I5563">
        <v>23837</v>
      </c>
      <c r="J5563">
        <v>27966</v>
      </c>
    </row>
    <row r="5564" spans="1:10" x14ac:dyDescent="0.3">
      <c r="A5564" t="s">
        <v>5691</v>
      </c>
      <c r="B5564" s="1">
        <v>45990</v>
      </c>
      <c r="C5564" t="s">
        <v>23</v>
      </c>
      <c r="D5564">
        <v>48</v>
      </c>
      <c r="E5564" t="s">
        <v>61</v>
      </c>
      <c r="F5564" t="s">
        <v>101</v>
      </c>
      <c r="G5564" t="s">
        <v>128</v>
      </c>
      <c r="H5564" t="s">
        <v>111</v>
      </c>
      <c r="I5564">
        <v>22154</v>
      </c>
      <c r="J5564">
        <v>24166</v>
      </c>
    </row>
    <row r="5565" spans="1:10" x14ac:dyDescent="0.3">
      <c r="A5565" t="s">
        <v>5692</v>
      </c>
      <c r="B5565" s="1">
        <v>45775</v>
      </c>
      <c r="C5565" t="s">
        <v>86</v>
      </c>
      <c r="D5565">
        <v>18</v>
      </c>
      <c r="E5565" t="s">
        <v>61</v>
      </c>
      <c r="F5565" t="s">
        <v>92</v>
      </c>
      <c r="G5565" t="s">
        <v>118</v>
      </c>
      <c r="H5565" t="s">
        <v>52</v>
      </c>
      <c r="I5565">
        <v>25964</v>
      </c>
      <c r="J5565">
        <v>21586</v>
      </c>
    </row>
    <row r="5566" spans="1:10" x14ac:dyDescent="0.3">
      <c r="A5566" t="s">
        <v>5693</v>
      </c>
      <c r="B5566" s="1">
        <v>45812</v>
      </c>
      <c r="C5566" t="s">
        <v>74</v>
      </c>
      <c r="D5566">
        <v>23</v>
      </c>
      <c r="E5566" t="s">
        <v>33</v>
      </c>
      <c r="F5566" t="s">
        <v>62</v>
      </c>
      <c r="G5566" t="s">
        <v>54</v>
      </c>
      <c r="H5566" t="s">
        <v>15</v>
      </c>
      <c r="I5566">
        <v>15458</v>
      </c>
      <c r="J5566">
        <v>15828</v>
      </c>
    </row>
    <row r="5567" spans="1:10" x14ac:dyDescent="0.3">
      <c r="A5567" t="s">
        <v>5694</v>
      </c>
      <c r="B5567" s="1">
        <v>45996</v>
      </c>
      <c r="C5567" t="s">
        <v>100</v>
      </c>
      <c r="D5567">
        <v>49</v>
      </c>
      <c r="E5567" t="s">
        <v>39</v>
      </c>
      <c r="F5567" t="s">
        <v>75</v>
      </c>
      <c r="G5567" t="s">
        <v>324</v>
      </c>
      <c r="H5567" t="s">
        <v>151</v>
      </c>
      <c r="I5567">
        <v>38841</v>
      </c>
      <c r="J5567">
        <v>38924</v>
      </c>
    </row>
    <row r="5568" spans="1:10" x14ac:dyDescent="0.3">
      <c r="A5568" t="s">
        <v>5695</v>
      </c>
      <c r="B5568" s="1">
        <v>45947</v>
      </c>
      <c r="C5568" t="s">
        <v>66</v>
      </c>
      <c r="D5568">
        <v>42</v>
      </c>
      <c r="E5568" t="s">
        <v>39</v>
      </c>
      <c r="F5568" t="s">
        <v>140</v>
      </c>
      <c r="G5568" t="s">
        <v>126</v>
      </c>
      <c r="H5568" t="s">
        <v>36</v>
      </c>
      <c r="I5568">
        <v>38733</v>
      </c>
      <c r="J5568">
        <v>41411</v>
      </c>
    </row>
    <row r="5569" spans="1:10" x14ac:dyDescent="0.3">
      <c r="A5569" t="s">
        <v>5696</v>
      </c>
      <c r="B5569" s="1">
        <v>46006</v>
      </c>
      <c r="C5569" t="s">
        <v>100</v>
      </c>
      <c r="D5569">
        <v>51</v>
      </c>
      <c r="E5569" t="s">
        <v>33</v>
      </c>
      <c r="F5569" t="s">
        <v>109</v>
      </c>
      <c r="G5569" t="s">
        <v>182</v>
      </c>
      <c r="H5569" t="s">
        <v>103</v>
      </c>
      <c r="I5569">
        <v>34601</v>
      </c>
      <c r="J5569">
        <v>43080</v>
      </c>
    </row>
    <row r="5570" spans="1:10" x14ac:dyDescent="0.3">
      <c r="A5570" t="s">
        <v>5697</v>
      </c>
      <c r="B5570" s="1">
        <v>45973</v>
      </c>
      <c r="C5570" t="s">
        <v>23</v>
      </c>
      <c r="D5570">
        <v>46</v>
      </c>
      <c r="E5570" t="s">
        <v>39</v>
      </c>
      <c r="F5570" t="s">
        <v>34</v>
      </c>
      <c r="G5570" t="s">
        <v>83</v>
      </c>
      <c r="H5570" t="s">
        <v>59</v>
      </c>
      <c r="I5570">
        <v>32925</v>
      </c>
      <c r="J5570">
        <v>37940</v>
      </c>
    </row>
    <row r="5571" spans="1:10" x14ac:dyDescent="0.3">
      <c r="A5571" t="s">
        <v>5698</v>
      </c>
      <c r="B5571" s="1">
        <v>45766</v>
      </c>
      <c r="C5571" t="s">
        <v>86</v>
      </c>
      <c r="D5571">
        <v>16</v>
      </c>
      <c r="E5571" t="s">
        <v>33</v>
      </c>
      <c r="F5571" t="s">
        <v>43</v>
      </c>
      <c r="G5571" t="s">
        <v>20</v>
      </c>
      <c r="H5571" t="s">
        <v>211</v>
      </c>
      <c r="I5571">
        <v>15301</v>
      </c>
      <c r="J5571">
        <v>12970</v>
      </c>
    </row>
    <row r="5572" spans="1:10" x14ac:dyDescent="0.3">
      <c r="A5572" t="s">
        <v>5699</v>
      </c>
      <c r="B5572" s="1">
        <v>45786</v>
      </c>
      <c r="C5572" t="s">
        <v>90</v>
      </c>
      <c r="D5572">
        <v>19</v>
      </c>
      <c r="E5572" t="s">
        <v>24</v>
      </c>
      <c r="F5572" t="s">
        <v>46</v>
      </c>
      <c r="G5572" t="s">
        <v>182</v>
      </c>
      <c r="H5572" t="s">
        <v>59</v>
      </c>
      <c r="I5572">
        <v>30921</v>
      </c>
      <c r="J5572">
        <v>30397</v>
      </c>
    </row>
    <row r="5573" spans="1:10" x14ac:dyDescent="0.3">
      <c r="A5573" t="s">
        <v>5700</v>
      </c>
      <c r="B5573" s="1">
        <v>45781</v>
      </c>
      <c r="C5573" t="s">
        <v>90</v>
      </c>
      <c r="D5573">
        <v>18</v>
      </c>
      <c r="E5573" t="s">
        <v>24</v>
      </c>
      <c r="F5573" t="s">
        <v>122</v>
      </c>
      <c r="G5573" t="s">
        <v>51</v>
      </c>
      <c r="H5573" t="s">
        <v>133</v>
      </c>
      <c r="I5573">
        <v>26934</v>
      </c>
      <c r="J5573">
        <v>20525</v>
      </c>
    </row>
    <row r="5574" spans="1:10" x14ac:dyDescent="0.3">
      <c r="A5574" t="s">
        <v>5701</v>
      </c>
      <c r="B5574" s="1">
        <v>45775</v>
      </c>
      <c r="C5574" t="s">
        <v>86</v>
      </c>
      <c r="D5574">
        <v>18</v>
      </c>
      <c r="E5574" t="s">
        <v>39</v>
      </c>
      <c r="F5574" t="s">
        <v>122</v>
      </c>
      <c r="G5574" t="s">
        <v>145</v>
      </c>
      <c r="H5574" t="s">
        <v>36</v>
      </c>
      <c r="I5574">
        <v>29254</v>
      </c>
      <c r="J5574">
        <v>34383</v>
      </c>
    </row>
    <row r="5575" spans="1:10" x14ac:dyDescent="0.3">
      <c r="A5575" t="s">
        <v>5702</v>
      </c>
      <c r="B5575" s="1">
        <v>45972</v>
      </c>
      <c r="C5575" t="s">
        <v>23</v>
      </c>
      <c r="D5575">
        <v>46</v>
      </c>
      <c r="E5575" t="s">
        <v>39</v>
      </c>
      <c r="F5575" t="s">
        <v>101</v>
      </c>
      <c r="G5575" t="s">
        <v>118</v>
      </c>
      <c r="H5575" t="s">
        <v>36</v>
      </c>
      <c r="I5575">
        <v>25727</v>
      </c>
      <c r="J5575">
        <v>23335</v>
      </c>
    </row>
    <row r="5576" spans="1:10" x14ac:dyDescent="0.3">
      <c r="A5576" t="s">
        <v>5703</v>
      </c>
      <c r="B5576" s="1">
        <v>45720</v>
      </c>
      <c r="C5576" t="s">
        <v>95</v>
      </c>
      <c r="D5576">
        <v>10</v>
      </c>
      <c r="E5576" t="s">
        <v>70</v>
      </c>
      <c r="F5576" t="s">
        <v>78</v>
      </c>
      <c r="G5576" t="s">
        <v>67</v>
      </c>
      <c r="H5576" t="s">
        <v>59</v>
      </c>
      <c r="I5576">
        <v>20957</v>
      </c>
      <c r="J5576">
        <v>16104</v>
      </c>
    </row>
    <row r="5577" spans="1:10" x14ac:dyDescent="0.3">
      <c r="A5577" t="s">
        <v>5704</v>
      </c>
      <c r="B5577" s="1">
        <v>45971</v>
      </c>
      <c r="C5577" t="s">
        <v>23</v>
      </c>
      <c r="D5577">
        <v>46</v>
      </c>
      <c r="E5577" t="s">
        <v>18</v>
      </c>
      <c r="F5577" t="s">
        <v>78</v>
      </c>
      <c r="G5577" t="s">
        <v>234</v>
      </c>
      <c r="H5577" t="s">
        <v>15</v>
      </c>
      <c r="I5577">
        <v>26292</v>
      </c>
      <c r="J5577">
        <v>19117</v>
      </c>
    </row>
    <row r="5578" spans="1:10" x14ac:dyDescent="0.3">
      <c r="A5578" t="s">
        <v>5705</v>
      </c>
      <c r="B5578" s="1">
        <v>45749</v>
      </c>
      <c r="C5578" t="s">
        <v>86</v>
      </c>
      <c r="D5578">
        <v>14</v>
      </c>
      <c r="E5578" t="s">
        <v>24</v>
      </c>
      <c r="F5578" t="s">
        <v>13</v>
      </c>
      <c r="G5578" t="s">
        <v>30</v>
      </c>
      <c r="H5578" t="s">
        <v>157</v>
      </c>
      <c r="I5578">
        <v>17899</v>
      </c>
      <c r="J5578">
        <v>21007</v>
      </c>
    </row>
    <row r="5579" spans="1:10" x14ac:dyDescent="0.3">
      <c r="A5579" t="s">
        <v>5706</v>
      </c>
      <c r="B5579" s="1">
        <v>45855</v>
      </c>
      <c r="C5579" t="s">
        <v>11</v>
      </c>
      <c r="D5579">
        <v>29</v>
      </c>
      <c r="E5579" t="s">
        <v>61</v>
      </c>
      <c r="F5579" t="s">
        <v>34</v>
      </c>
      <c r="G5579" t="s">
        <v>206</v>
      </c>
      <c r="H5579" t="s">
        <v>41</v>
      </c>
      <c r="I5579">
        <v>33340</v>
      </c>
      <c r="J5579">
        <v>31398</v>
      </c>
    </row>
    <row r="5580" spans="1:10" x14ac:dyDescent="0.3">
      <c r="A5580" t="s">
        <v>5707</v>
      </c>
      <c r="B5580" s="1">
        <v>45671</v>
      </c>
      <c r="C5580" t="s">
        <v>17</v>
      </c>
      <c r="D5580">
        <v>3</v>
      </c>
      <c r="E5580" t="s">
        <v>18</v>
      </c>
      <c r="F5580" t="s">
        <v>19</v>
      </c>
      <c r="G5580" t="s">
        <v>83</v>
      </c>
      <c r="H5580" t="s">
        <v>80</v>
      </c>
      <c r="I5580">
        <v>39328</v>
      </c>
      <c r="J5580">
        <v>31312</v>
      </c>
    </row>
    <row r="5581" spans="1:10" x14ac:dyDescent="0.3">
      <c r="A5581" t="s">
        <v>5708</v>
      </c>
      <c r="B5581" s="1">
        <v>45802</v>
      </c>
      <c r="C5581" t="s">
        <v>90</v>
      </c>
      <c r="D5581">
        <v>21</v>
      </c>
      <c r="E5581" t="s">
        <v>70</v>
      </c>
      <c r="F5581" t="s">
        <v>29</v>
      </c>
      <c r="G5581" t="s">
        <v>118</v>
      </c>
      <c r="H5581" t="s">
        <v>165</v>
      </c>
      <c r="I5581">
        <v>30784</v>
      </c>
      <c r="J5581">
        <v>35386</v>
      </c>
    </row>
    <row r="5582" spans="1:10" x14ac:dyDescent="0.3">
      <c r="A5582" t="s">
        <v>5709</v>
      </c>
      <c r="B5582" s="1">
        <v>45897</v>
      </c>
      <c r="C5582" t="s">
        <v>113</v>
      </c>
      <c r="D5582">
        <v>35</v>
      </c>
      <c r="E5582" t="s">
        <v>18</v>
      </c>
      <c r="F5582" t="s">
        <v>19</v>
      </c>
      <c r="G5582" t="s">
        <v>199</v>
      </c>
      <c r="H5582" t="s">
        <v>157</v>
      </c>
      <c r="I5582">
        <v>30588</v>
      </c>
      <c r="J5582">
        <v>32557</v>
      </c>
    </row>
    <row r="5583" spans="1:10" x14ac:dyDescent="0.3">
      <c r="A5583" t="s">
        <v>5710</v>
      </c>
      <c r="B5583" s="1">
        <v>45978</v>
      </c>
      <c r="C5583" t="s">
        <v>23</v>
      </c>
      <c r="D5583">
        <v>47</v>
      </c>
      <c r="E5583" t="s">
        <v>24</v>
      </c>
      <c r="F5583" t="s">
        <v>43</v>
      </c>
      <c r="G5583" t="s">
        <v>30</v>
      </c>
      <c r="H5583" t="s">
        <v>165</v>
      </c>
      <c r="I5583">
        <v>29480</v>
      </c>
      <c r="J5583">
        <v>24584</v>
      </c>
    </row>
    <row r="5584" spans="1:10" x14ac:dyDescent="0.3">
      <c r="A5584" t="s">
        <v>5711</v>
      </c>
      <c r="B5584" s="1">
        <v>45874</v>
      </c>
      <c r="C5584" t="s">
        <v>113</v>
      </c>
      <c r="D5584">
        <v>32</v>
      </c>
      <c r="E5584" t="s">
        <v>24</v>
      </c>
      <c r="F5584" t="s">
        <v>101</v>
      </c>
      <c r="G5584" t="s">
        <v>35</v>
      </c>
      <c r="H5584" t="s">
        <v>103</v>
      </c>
      <c r="I5584">
        <v>37142</v>
      </c>
      <c r="J5584">
        <v>43884</v>
      </c>
    </row>
    <row r="5585" spans="1:10" x14ac:dyDescent="0.3">
      <c r="A5585" t="s">
        <v>5712</v>
      </c>
      <c r="B5585" s="1">
        <v>45769</v>
      </c>
      <c r="C5585" t="s">
        <v>86</v>
      </c>
      <c r="D5585">
        <v>17</v>
      </c>
      <c r="E5585" t="s">
        <v>12</v>
      </c>
      <c r="F5585" t="s">
        <v>140</v>
      </c>
      <c r="G5585" t="s">
        <v>201</v>
      </c>
      <c r="H5585" t="s">
        <v>243</v>
      </c>
      <c r="I5585">
        <v>38014</v>
      </c>
      <c r="J5585">
        <v>34926</v>
      </c>
    </row>
    <row r="5586" spans="1:10" x14ac:dyDescent="0.3">
      <c r="A5586" t="s">
        <v>5713</v>
      </c>
      <c r="B5586" s="1">
        <v>45781</v>
      </c>
      <c r="C5586" t="s">
        <v>90</v>
      </c>
      <c r="D5586">
        <v>18</v>
      </c>
      <c r="E5586" t="s">
        <v>24</v>
      </c>
      <c r="F5586" t="s">
        <v>19</v>
      </c>
      <c r="G5586" t="s">
        <v>234</v>
      </c>
      <c r="H5586" t="s">
        <v>243</v>
      </c>
      <c r="I5586">
        <v>34009</v>
      </c>
      <c r="J5586">
        <v>29393</v>
      </c>
    </row>
    <row r="5587" spans="1:10" x14ac:dyDescent="0.3">
      <c r="A5587" t="s">
        <v>5714</v>
      </c>
      <c r="B5587" s="1">
        <v>45745</v>
      </c>
      <c r="C5587" t="s">
        <v>95</v>
      </c>
      <c r="D5587">
        <v>13</v>
      </c>
      <c r="E5587" t="s">
        <v>24</v>
      </c>
      <c r="F5587" t="s">
        <v>34</v>
      </c>
      <c r="G5587" t="s">
        <v>76</v>
      </c>
      <c r="H5587" t="s">
        <v>123</v>
      </c>
      <c r="I5587">
        <v>15810</v>
      </c>
      <c r="J5587">
        <v>18433</v>
      </c>
    </row>
    <row r="5588" spans="1:10" x14ac:dyDescent="0.3">
      <c r="A5588" t="s">
        <v>5715</v>
      </c>
      <c r="B5588" s="1">
        <v>45896</v>
      </c>
      <c r="C5588" t="s">
        <v>113</v>
      </c>
      <c r="D5588">
        <v>35</v>
      </c>
      <c r="E5588" t="s">
        <v>70</v>
      </c>
      <c r="F5588" t="s">
        <v>50</v>
      </c>
      <c r="G5588" t="s">
        <v>47</v>
      </c>
      <c r="H5588" t="s">
        <v>52</v>
      </c>
      <c r="I5588">
        <v>24719</v>
      </c>
      <c r="J5588">
        <v>31063</v>
      </c>
    </row>
    <row r="5589" spans="1:10" x14ac:dyDescent="0.3">
      <c r="A5589" t="s">
        <v>5716</v>
      </c>
      <c r="B5589" s="1">
        <v>45851</v>
      </c>
      <c r="C5589" t="s">
        <v>11</v>
      </c>
      <c r="D5589">
        <v>28</v>
      </c>
      <c r="E5589" t="s">
        <v>12</v>
      </c>
      <c r="F5589" t="s">
        <v>140</v>
      </c>
      <c r="G5589" t="s">
        <v>160</v>
      </c>
      <c r="H5589" t="s">
        <v>96</v>
      </c>
      <c r="I5589">
        <v>39293</v>
      </c>
      <c r="J5589">
        <v>50457</v>
      </c>
    </row>
    <row r="5590" spans="1:10" x14ac:dyDescent="0.3">
      <c r="A5590" t="s">
        <v>5717</v>
      </c>
      <c r="B5590" s="1">
        <v>45991</v>
      </c>
      <c r="C5590" t="s">
        <v>23</v>
      </c>
      <c r="D5590">
        <v>48</v>
      </c>
      <c r="E5590" t="s">
        <v>12</v>
      </c>
      <c r="F5590" t="s">
        <v>75</v>
      </c>
      <c r="G5590" t="s">
        <v>266</v>
      </c>
      <c r="H5590" t="s">
        <v>41</v>
      </c>
      <c r="I5590">
        <v>21405</v>
      </c>
      <c r="J5590">
        <v>24722</v>
      </c>
    </row>
    <row r="5591" spans="1:10" x14ac:dyDescent="0.3">
      <c r="A5591" t="s">
        <v>5718</v>
      </c>
      <c r="B5591" s="1">
        <v>45882</v>
      </c>
      <c r="C5591" t="s">
        <v>113</v>
      </c>
      <c r="D5591">
        <v>33</v>
      </c>
      <c r="E5591" t="s">
        <v>70</v>
      </c>
      <c r="F5591" t="s">
        <v>62</v>
      </c>
      <c r="G5591" t="s">
        <v>240</v>
      </c>
      <c r="H5591" t="s">
        <v>123</v>
      </c>
      <c r="I5591">
        <v>36642</v>
      </c>
      <c r="J5591">
        <v>35714</v>
      </c>
    </row>
    <row r="5592" spans="1:10" x14ac:dyDescent="0.3">
      <c r="A5592" t="s">
        <v>5719</v>
      </c>
      <c r="B5592" s="1">
        <v>45677</v>
      </c>
      <c r="C5592" t="s">
        <v>17</v>
      </c>
      <c r="D5592">
        <v>4</v>
      </c>
      <c r="E5592" t="s">
        <v>18</v>
      </c>
      <c r="F5592" t="s">
        <v>50</v>
      </c>
      <c r="G5592" t="s">
        <v>88</v>
      </c>
      <c r="H5592" t="s">
        <v>188</v>
      </c>
      <c r="I5592">
        <v>19819</v>
      </c>
      <c r="J5592">
        <v>17881</v>
      </c>
    </row>
    <row r="5593" spans="1:10" x14ac:dyDescent="0.3">
      <c r="A5593" t="s">
        <v>5720</v>
      </c>
      <c r="B5593" s="1">
        <v>45847</v>
      </c>
      <c r="C5593" t="s">
        <v>11</v>
      </c>
      <c r="D5593">
        <v>28</v>
      </c>
      <c r="E5593" t="s">
        <v>24</v>
      </c>
      <c r="F5593" t="s">
        <v>193</v>
      </c>
      <c r="G5593" t="s">
        <v>102</v>
      </c>
      <c r="H5593" t="s">
        <v>80</v>
      </c>
      <c r="I5593">
        <v>38706</v>
      </c>
      <c r="J5593">
        <v>36785</v>
      </c>
    </row>
    <row r="5594" spans="1:10" x14ac:dyDescent="0.3">
      <c r="A5594" t="s">
        <v>5721</v>
      </c>
      <c r="B5594" s="1">
        <v>45766</v>
      </c>
      <c r="C5594" t="s">
        <v>86</v>
      </c>
      <c r="D5594">
        <v>16</v>
      </c>
      <c r="E5594" t="s">
        <v>33</v>
      </c>
      <c r="F5594" t="s">
        <v>193</v>
      </c>
      <c r="G5594" t="s">
        <v>40</v>
      </c>
      <c r="H5594" t="s">
        <v>103</v>
      </c>
      <c r="I5594">
        <v>35126</v>
      </c>
      <c r="J5594">
        <v>28059</v>
      </c>
    </row>
    <row r="5595" spans="1:10" x14ac:dyDescent="0.3">
      <c r="A5595" t="s">
        <v>5722</v>
      </c>
      <c r="B5595" s="1">
        <v>45994</v>
      </c>
      <c r="C5595" t="s">
        <v>100</v>
      </c>
      <c r="D5595">
        <v>49</v>
      </c>
      <c r="E5595" t="s">
        <v>61</v>
      </c>
      <c r="F5595" t="s">
        <v>43</v>
      </c>
      <c r="G5595" t="s">
        <v>47</v>
      </c>
      <c r="H5595" t="s">
        <v>31</v>
      </c>
      <c r="I5595">
        <v>39602</v>
      </c>
      <c r="J5595">
        <v>48722</v>
      </c>
    </row>
    <row r="5596" spans="1:10" x14ac:dyDescent="0.3">
      <c r="A5596" t="s">
        <v>5723</v>
      </c>
      <c r="B5596" s="1">
        <v>45987</v>
      </c>
      <c r="C5596" t="s">
        <v>23</v>
      </c>
      <c r="D5596">
        <v>48</v>
      </c>
      <c r="E5596" t="s">
        <v>18</v>
      </c>
      <c r="F5596" t="s">
        <v>78</v>
      </c>
      <c r="G5596" t="s">
        <v>145</v>
      </c>
      <c r="H5596" t="s">
        <v>15</v>
      </c>
      <c r="I5596">
        <v>36806</v>
      </c>
      <c r="J5596">
        <v>29595</v>
      </c>
    </row>
    <row r="5597" spans="1:10" x14ac:dyDescent="0.3">
      <c r="A5597" t="s">
        <v>5724</v>
      </c>
      <c r="B5597" s="1">
        <v>45781</v>
      </c>
      <c r="C5597" t="s">
        <v>90</v>
      </c>
      <c r="D5597">
        <v>18</v>
      </c>
      <c r="E5597" t="s">
        <v>18</v>
      </c>
      <c r="F5597" t="s">
        <v>62</v>
      </c>
      <c r="G5597" t="s">
        <v>240</v>
      </c>
      <c r="H5597" t="s">
        <v>64</v>
      </c>
      <c r="I5597">
        <v>33762</v>
      </c>
      <c r="J5597">
        <v>40735</v>
      </c>
    </row>
    <row r="5598" spans="1:10" x14ac:dyDescent="0.3">
      <c r="A5598" t="s">
        <v>5725</v>
      </c>
      <c r="B5598" s="1">
        <v>45768</v>
      </c>
      <c r="C5598" t="s">
        <v>86</v>
      </c>
      <c r="D5598">
        <v>17</v>
      </c>
      <c r="E5598" t="s">
        <v>18</v>
      </c>
      <c r="F5598" t="s">
        <v>75</v>
      </c>
      <c r="G5598" t="s">
        <v>58</v>
      </c>
      <c r="H5598" t="s">
        <v>41</v>
      </c>
      <c r="I5598">
        <v>38661</v>
      </c>
      <c r="J5598">
        <v>29029</v>
      </c>
    </row>
    <row r="5599" spans="1:10" x14ac:dyDescent="0.3">
      <c r="A5599" t="s">
        <v>5726</v>
      </c>
      <c r="B5599" s="1">
        <v>45933</v>
      </c>
      <c r="C5599" t="s">
        <v>66</v>
      </c>
      <c r="D5599">
        <v>40</v>
      </c>
      <c r="E5599" t="s">
        <v>18</v>
      </c>
      <c r="F5599" t="s">
        <v>109</v>
      </c>
      <c r="G5599" t="s">
        <v>234</v>
      </c>
      <c r="H5599" t="s">
        <v>188</v>
      </c>
      <c r="I5599">
        <v>33364</v>
      </c>
      <c r="J5599">
        <v>25701</v>
      </c>
    </row>
    <row r="5600" spans="1:10" x14ac:dyDescent="0.3">
      <c r="A5600" t="s">
        <v>5727</v>
      </c>
      <c r="B5600" s="1">
        <v>45906</v>
      </c>
      <c r="C5600" t="s">
        <v>38</v>
      </c>
      <c r="D5600">
        <v>36</v>
      </c>
      <c r="E5600" t="s">
        <v>61</v>
      </c>
      <c r="F5600" t="s">
        <v>92</v>
      </c>
      <c r="G5600" t="s">
        <v>182</v>
      </c>
      <c r="H5600" t="s">
        <v>157</v>
      </c>
      <c r="I5600">
        <v>31867</v>
      </c>
      <c r="J5600">
        <v>25885</v>
      </c>
    </row>
    <row r="5601" spans="1:10" x14ac:dyDescent="0.3">
      <c r="A5601" t="s">
        <v>5728</v>
      </c>
      <c r="B5601" s="1">
        <v>45696</v>
      </c>
      <c r="C5601" t="s">
        <v>82</v>
      </c>
      <c r="D5601">
        <v>6</v>
      </c>
      <c r="E5601" t="s">
        <v>70</v>
      </c>
      <c r="F5601" t="s">
        <v>57</v>
      </c>
      <c r="G5601" t="s">
        <v>44</v>
      </c>
      <c r="H5601" t="s">
        <v>41</v>
      </c>
      <c r="I5601">
        <v>18145</v>
      </c>
      <c r="J5601">
        <v>15459</v>
      </c>
    </row>
    <row r="5602" spans="1:10" x14ac:dyDescent="0.3">
      <c r="A5602" t="s">
        <v>5729</v>
      </c>
      <c r="B5602" s="1">
        <v>45862</v>
      </c>
      <c r="C5602" t="s">
        <v>11</v>
      </c>
      <c r="D5602">
        <v>30</v>
      </c>
      <c r="E5602" t="s">
        <v>61</v>
      </c>
      <c r="F5602" t="s">
        <v>140</v>
      </c>
      <c r="G5602" t="s">
        <v>224</v>
      </c>
      <c r="H5602" t="s">
        <v>68</v>
      </c>
      <c r="I5602">
        <v>36851</v>
      </c>
      <c r="J5602">
        <v>36634</v>
      </c>
    </row>
    <row r="5603" spans="1:10" x14ac:dyDescent="0.3">
      <c r="A5603" t="s">
        <v>5730</v>
      </c>
      <c r="B5603" s="1">
        <v>45855</v>
      </c>
      <c r="C5603" t="s">
        <v>11</v>
      </c>
      <c r="D5603">
        <v>29</v>
      </c>
      <c r="E5603" t="s">
        <v>39</v>
      </c>
      <c r="F5603" t="s">
        <v>87</v>
      </c>
      <c r="G5603" t="s">
        <v>234</v>
      </c>
      <c r="H5603" t="s">
        <v>41</v>
      </c>
      <c r="I5603">
        <v>26872</v>
      </c>
      <c r="J5603">
        <v>23519</v>
      </c>
    </row>
    <row r="5604" spans="1:10" x14ac:dyDescent="0.3">
      <c r="A5604" t="s">
        <v>5731</v>
      </c>
      <c r="B5604" s="1">
        <v>45952</v>
      </c>
      <c r="C5604" t="s">
        <v>66</v>
      </c>
      <c r="D5604">
        <v>43</v>
      </c>
      <c r="E5604" t="s">
        <v>70</v>
      </c>
      <c r="F5604" t="s">
        <v>75</v>
      </c>
      <c r="G5604" t="s">
        <v>135</v>
      </c>
      <c r="H5604" t="s">
        <v>243</v>
      </c>
      <c r="I5604">
        <v>39314</v>
      </c>
      <c r="J5604">
        <v>48314</v>
      </c>
    </row>
    <row r="5605" spans="1:10" x14ac:dyDescent="0.3">
      <c r="A5605" t="s">
        <v>5732</v>
      </c>
      <c r="B5605" s="1">
        <v>45834</v>
      </c>
      <c r="C5605" t="s">
        <v>74</v>
      </c>
      <c r="D5605">
        <v>26</v>
      </c>
      <c r="E5605" t="s">
        <v>70</v>
      </c>
      <c r="F5605" t="s">
        <v>122</v>
      </c>
      <c r="G5605" t="s">
        <v>83</v>
      </c>
      <c r="H5605" t="s">
        <v>21</v>
      </c>
      <c r="I5605">
        <v>25784</v>
      </c>
      <c r="J5605">
        <v>32832</v>
      </c>
    </row>
    <row r="5606" spans="1:10" x14ac:dyDescent="0.3">
      <c r="A5606" t="s">
        <v>5733</v>
      </c>
      <c r="B5606" s="1">
        <v>45835</v>
      </c>
      <c r="C5606" t="s">
        <v>74</v>
      </c>
      <c r="D5606">
        <v>26</v>
      </c>
      <c r="E5606" t="s">
        <v>33</v>
      </c>
      <c r="F5606" t="s">
        <v>75</v>
      </c>
      <c r="G5606" t="s">
        <v>102</v>
      </c>
      <c r="H5606" t="s">
        <v>103</v>
      </c>
      <c r="I5606">
        <v>32272</v>
      </c>
      <c r="J5606">
        <v>40357</v>
      </c>
    </row>
    <row r="5607" spans="1:10" x14ac:dyDescent="0.3">
      <c r="A5607" t="s">
        <v>5734</v>
      </c>
      <c r="B5607" s="1">
        <v>45949</v>
      </c>
      <c r="C5607" t="s">
        <v>66</v>
      </c>
      <c r="D5607">
        <v>42</v>
      </c>
      <c r="E5607" t="s">
        <v>24</v>
      </c>
      <c r="F5607" t="s">
        <v>193</v>
      </c>
      <c r="G5607" t="s">
        <v>171</v>
      </c>
      <c r="H5607" t="s">
        <v>96</v>
      </c>
      <c r="I5607">
        <v>23912</v>
      </c>
      <c r="J5607">
        <v>20924</v>
      </c>
    </row>
    <row r="5608" spans="1:10" x14ac:dyDescent="0.3">
      <c r="A5608" t="s">
        <v>5735</v>
      </c>
      <c r="B5608" s="1">
        <v>45986</v>
      </c>
      <c r="C5608" t="s">
        <v>23</v>
      </c>
      <c r="D5608">
        <v>48</v>
      </c>
      <c r="E5608" t="s">
        <v>33</v>
      </c>
      <c r="F5608" t="s">
        <v>34</v>
      </c>
      <c r="G5608" t="s">
        <v>110</v>
      </c>
      <c r="H5608" t="s">
        <v>41</v>
      </c>
      <c r="I5608">
        <v>15714</v>
      </c>
      <c r="J5608">
        <v>16988</v>
      </c>
    </row>
    <row r="5609" spans="1:10" x14ac:dyDescent="0.3">
      <c r="A5609" t="s">
        <v>5736</v>
      </c>
      <c r="B5609" s="1">
        <v>46018</v>
      </c>
      <c r="C5609" t="s">
        <v>100</v>
      </c>
      <c r="D5609">
        <v>52</v>
      </c>
      <c r="E5609" t="s">
        <v>12</v>
      </c>
      <c r="F5609" t="s">
        <v>87</v>
      </c>
      <c r="G5609" t="s">
        <v>141</v>
      </c>
      <c r="H5609" t="s">
        <v>123</v>
      </c>
      <c r="I5609">
        <v>37449</v>
      </c>
      <c r="J5609">
        <v>31784</v>
      </c>
    </row>
    <row r="5610" spans="1:10" x14ac:dyDescent="0.3">
      <c r="A5610" t="s">
        <v>5737</v>
      </c>
      <c r="B5610" s="1">
        <v>45913</v>
      </c>
      <c r="C5610" t="s">
        <v>38</v>
      </c>
      <c r="D5610">
        <v>37</v>
      </c>
      <c r="E5610" t="s">
        <v>61</v>
      </c>
      <c r="F5610" t="s">
        <v>57</v>
      </c>
      <c r="G5610" t="s">
        <v>47</v>
      </c>
      <c r="H5610" t="s">
        <v>48</v>
      </c>
      <c r="I5610">
        <v>16664</v>
      </c>
      <c r="J5610">
        <v>15631</v>
      </c>
    </row>
    <row r="5611" spans="1:10" x14ac:dyDescent="0.3">
      <c r="A5611" t="s">
        <v>5738</v>
      </c>
      <c r="B5611" s="1">
        <v>45926</v>
      </c>
      <c r="C5611" t="s">
        <v>38</v>
      </c>
      <c r="D5611">
        <v>39</v>
      </c>
      <c r="E5611" t="s">
        <v>70</v>
      </c>
      <c r="F5611" t="s">
        <v>46</v>
      </c>
      <c r="G5611" t="s">
        <v>63</v>
      </c>
      <c r="H5611" t="s">
        <v>116</v>
      </c>
      <c r="I5611">
        <v>17390</v>
      </c>
      <c r="J5611">
        <v>17852</v>
      </c>
    </row>
    <row r="5612" spans="1:10" x14ac:dyDescent="0.3">
      <c r="A5612" t="s">
        <v>5739</v>
      </c>
      <c r="B5612" s="1">
        <v>45661</v>
      </c>
      <c r="C5612" t="s">
        <v>17</v>
      </c>
      <c r="D5612">
        <v>1</v>
      </c>
      <c r="E5612" t="s">
        <v>70</v>
      </c>
      <c r="F5612" t="s">
        <v>57</v>
      </c>
      <c r="G5612" t="s">
        <v>58</v>
      </c>
      <c r="H5612" t="s">
        <v>98</v>
      </c>
      <c r="I5612">
        <v>21562</v>
      </c>
      <c r="J5612">
        <v>23119</v>
      </c>
    </row>
    <row r="5613" spans="1:10" x14ac:dyDescent="0.3">
      <c r="A5613" t="s">
        <v>5740</v>
      </c>
      <c r="B5613" s="1">
        <v>45716</v>
      </c>
      <c r="C5613" t="s">
        <v>82</v>
      </c>
      <c r="D5613">
        <v>9</v>
      </c>
      <c r="E5613" t="s">
        <v>70</v>
      </c>
      <c r="F5613" t="s">
        <v>57</v>
      </c>
      <c r="G5613" t="s">
        <v>234</v>
      </c>
      <c r="H5613" t="s">
        <v>116</v>
      </c>
      <c r="I5613">
        <v>39817</v>
      </c>
      <c r="J5613">
        <v>48300</v>
      </c>
    </row>
    <row r="5614" spans="1:10" x14ac:dyDescent="0.3">
      <c r="A5614" t="s">
        <v>5741</v>
      </c>
      <c r="B5614" s="1">
        <v>45698</v>
      </c>
      <c r="C5614" t="s">
        <v>82</v>
      </c>
      <c r="D5614">
        <v>7</v>
      </c>
      <c r="E5614" t="s">
        <v>18</v>
      </c>
      <c r="F5614" t="s">
        <v>62</v>
      </c>
      <c r="G5614" t="s">
        <v>47</v>
      </c>
      <c r="H5614" t="s">
        <v>68</v>
      </c>
      <c r="I5614">
        <v>37806</v>
      </c>
      <c r="J5614">
        <v>39724</v>
      </c>
    </row>
    <row r="5615" spans="1:10" x14ac:dyDescent="0.3">
      <c r="A5615" t="s">
        <v>5742</v>
      </c>
      <c r="B5615" s="1">
        <v>45922</v>
      </c>
      <c r="C5615" t="s">
        <v>38</v>
      </c>
      <c r="D5615">
        <v>39</v>
      </c>
      <c r="E5615" t="s">
        <v>18</v>
      </c>
      <c r="F5615" t="s">
        <v>57</v>
      </c>
      <c r="G5615" t="s">
        <v>147</v>
      </c>
      <c r="H5615" t="s">
        <v>111</v>
      </c>
      <c r="I5615">
        <v>32039</v>
      </c>
      <c r="J5615">
        <v>30873</v>
      </c>
    </row>
    <row r="5616" spans="1:10" x14ac:dyDescent="0.3">
      <c r="A5616" t="s">
        <v>5743</v>
      </c>
      <c r="B5616" s="1">
        <v>45865</v>
      </c>
      <c r="C5616" t="s">
        <v>11</v>
      </c>
      <c r="D5616">
        <v>30</v>
      </c>
      <c r="E5616" t="s">
        <v>24</v>
      </c>
      <c r="F5616" t="s">
        <v>46</v>
      </c>
      <c r="G5616" t="s">
        <v>137</v>
      </c>
      <c r="H5616" t="s">
        <v>188</v>
      </c>
      <c r="I5616">
        <v>18069</v>
      </c>
      <c r="J5616">
        <v>22694</v>
      </c>
    </row>
    <row r="5617" spans="1:10" x14ac:dyDescent="0.3">
      <c r="A5617" t="s">
        <v>5744</v>
      </c>
      <c r="B5617" s="1">
        <v>45835</v>
      </c>
      <c r="C5617" t="s">
        <v>74</v>
      </c>
      <c r="D5617">
        <v>26</v>
      </c>
      <c r="E5617" t="s">
        <v>18</v>
      </c>
      <c r="F5617" t="s">
        <v>114</v>
      </c>
      <c r="G5617" t="s">
        <v>51</v>
      </c>
      <c r="H5617" t="s">
        <v>188</v>
      </c>
      <c r="I5617">
        <v>23631</v>
      </c>
      <c r="J5617">
        <v>20592</v>
      </c>
    </row>
    <row r="5618" spans="1:10" x14ac:dyDescent="0.3">
      <c r="A5618" t="s">
        <v>5745</v>
      </c>
      <c r="B5618" s="1">
        <v>45772</v>
      </c>
      <c r="C5618" t="s">
        <v>86</v>
      </c>
      <c r="D5618">
        <v>17</v>
      </c>
      <c r="E5618" t="s">
        <v>12</v>
      </c>
      <c r="F5618" t="s">
        <v>57</v>
      </c>
      <c r="G5618" t="s">
        <v>63</v>
      </c>
      <c r="H5618" t="s">
        <v>84</v>
      </c>
      <c r="I5618">
        <v>18282</v>
      </c>
      <c r="J5618">
        <v>18490</v>
      </c>
    </row>
    <row r="5619" spans="1:10" x14ac:dyDescent="0.3">
      <c r="A5619" t="s">
        <v>5746</v>
      </c>
      <c r="B5619" s="1">
        <v>45964</v>
      </c>
      <c r="C5619" t="s">
        <v>23</v>
      </c>
      <c r="D5619">
        <v>45</v>
      </c>
      <c r="E5619" t="s">
        <v>24</v>
      </c>
      <c r="F5619" t="s">
        <v>92</v>
      </c>
      <c r="G5619" t="s">
        <v>160</v>
      </c>
      <c r="H5619" t="s">
        <v>27</v>
      </c>
      <c r="I5619">
        <v>17655</v>
      </c>
      <c r="J5619">
        <v>21179</v>
      </c>
    </row>
    <row r="5620" spans="1:10" x14ac:dyDescent="0.3">
      <c r="A5620" t="s">
        <v>5747</v>
      </c>
      <c r="B5620" s="1">
        <v>45989</v>
      </c>
      <c r="C5620" t="s">
        <v>23</v>
      </c>
      <c r="D5620">
        <v>48</v>
      </c>
      <c r="E5620" t="s">
        <v>24</v>
      </c>
      <c r="F5620" t="s">
        <v>193</v>
      </c>
      <c r="G5620" t="s">
        <v>191</v>
      </c>
      <c r="H5620" t="s">
        <v>111</v>
      </c>
      <c r="I5620">
        <v>32830</v>
      </c>
      <c r="J5620">
        <v>38117</v>
      </c>
    </row>
    <row r="5621" spans="1:10" x14ac:dyDescent="0.3">
      <c r="A5621" t="s">
        <v>5748</v>
      </c>
      <c r="B5621" s="1">
        <v>45900</v>
      </c>
      <c r="C5621" t="s">
        <v>113</v>
      </c>
      <c r="D5621">
        <v>35</v>
      </c>
      <c r="E5621" t="s">
        <v>39</v>
      </c>
      <c r="F5621" t="s">
        <v>13</v>
      </c>
      <c r="G5621" t="s">
        <v>79</v>
      </c>
      <c r="H5621" t="s">
        <v>165</v>
      </c>
      <c r="I5621">
        <v>17094</v>
      </c>
      <c r="J5621">
        <v>13398</v>
      </c>
    </row>
    <row r="5622" spans="1:10" x14ac:dyDescent="0.3">
      <c r="A5622" t="s">
        <v>5749</v>
      </c>
      <c r="B5622" s="1">
        <v>46000</v>
      </c>
      <c r="C5622" t="s">
        <v>100</v>
      </c>
      <c r="D5622">
        <v>50</v>
      </c>
      <c r="E5622" t="s">
        <v>39</v>
      </c>
      <c r="F5622" t="s">
        <v>92</v>
      </c>
      <c r="G5622" t="s">
        <v>149</v>
      </c>
      <c r="H5622" t="s">
        <v>80</v>
      </c>
      <c r="I5622">
        <v>26649</v>
      </c>
      <c r="J5622">
        <v>21517</v>
      </c>
    </row>
    <row r="5623" spans="1:10" x14ac:dyDescent="0.3">
      <c r="A5623" t="s">
        <v>5750</v>
      </c>
      <c r="B5623" s="1">
        <v>45882</v>
      </c>
      <c r="C5623" t="s">
        <v>113</v>
      </c>
      <c r="D5623">
        <v>33</v>
      </c>
      <c r="E5623" t="s">
        <v>18</v>
      </c>
      <c r="F5623" t="s">
        <v>92</v>
      </c>
      <c r="G5623" t="s">
        <v>115</v>
      </c>
      <c r="H5623" t="s">
        <v>103</v>
      </c>
      <c r="I5623">
        <v>16284</v>
      </c>
      <c r="J5623">
        <v>17394</v>
      </c>
    </row>
    <row r="5624" spans="1:10" x14ac:dyDescent="0.3">
      <c r="A5624" t="s">
        <v>5751</v>
      </c>
      <c r="B5624" s="1">
        <v>45817</v>
      </c>
      <c r="C5624" t="s">
        <v>74</v>
      </c>
      <c r="D5624">
        <v>24</v>
      </c>
      <c r="E5624" t="s">
        <v>61</v>
      </c>
      <c r="F5624" t="s">
        <v>25</v>
      </c>
      <c r="G5624" t="s">
        <v>54</v>
      </c>
      <c r="H5624" t="s">
        <v>103</v>
      </c>
      <c r="I5624">
        <v>32095</v>
      </c>
      <c r="J5624">
        <v>33815</v>
      </c>
    </row>
    <row r="5625" spans="1:10" x14ac:dyDescent="0.3">
      <c r="A5625" t="s">
        <v>5752</v>
      </c>
      <c r="B5625" s="1">
        <v>45721</v>
      </c>
      <c r="C5625" t="s">
        <v>95</v>
      </c>
      <c r="D5625">
        <v>10</v>
      </c>
      <c r="E5625" t="s">
        <v>24</v>
      </c>
      <c r="F5625" t="s">
        <v>140</v>
      </c>
      <c r="G5625" t="s">
        <v>224</v>
      </c>
      <c r="H5625" t="s">
        <v>98</v>
      </c>
      <c r="I5625">
        <v>35346</v>
      </c>
      <c r="J5625">
        <v>35838</v>
      </c>
    </row>
    <row r="5626" spans="1:10" x14ac:dyDescent="0.3">
      <c r="A5626" t="s">
        <v>5753</v>
      </c>
      <c r="B5626" s="1">
        <v>45963</v>
      </c>
      <c r="C5626" t="s">
        <v>23</v>
      </c>
      <c r="D5626">
        <v>44</v>
      </c>
      <c r="E5626" t="s">
        <v>18</v>
      </c>
      <c r="F5626" t="s">
        <v>57</v>
      </c>
      <c r="G5626" t="s">
        <v>130</v>
      </c>
      <c r="H5626" t="s">
        <v>98</v>
      </c>
      <c r="I5626">
        <v>18745</v>
      </c>
      <c r="J5626">
        <v>23706</v>
      </c>
    </row>
    <row r="5627" spans="1:10" x14ac:dyDescent="0.3">
      <c r="A5627" t="s">
        <v>5754</v>
      </c>
      <c r="B5627" s="1">
        <v>45838</v>
      </c>
      <c r="C5627" t="s">
        <v>74</v>
      </c>
      <c r="D5627">
        <v>27</v>
      </c>
      <c r="E5627" t="s">
        <v>18</v>
      </c>
      <c r="F5627" t="s">
        <v>114</v>
      </c>
      <c r="G5627" t="s">
        <v>147</v>
      </c>
      <c r="H5627" t="s">
        <v>59</v>
      </c>
      <c r="I5627">
        <v>28128</v>
      </c>
      <c r="J5627">
        <v>25429</v>
      </c>
    </row>
    <row r="5628" spans="1:10" x14ac:dyDescent="0.3">
      <c r="A5628" t="s">
        <v>5755</v>
      </c>
      <c r="B5628" s="1">
        <v>45997</v>
      </c>
      <c r="C5628" t="s">
        <v>100</v>
      </c>
      <c r="D5628">
        <v>49</v>
      </c>
      <c r="E5628" t="s">
        <v>33</v>
      </c>
      <c r="F5628" t="s">
        <v>13</v>
      </c>
      <c r="G5628" t="s">
        <v>107</v>
      </c>
      <c r="H5628" t="s">
        <v>98</v>
      </c>
      <c r="I5628">
        <v>26721</v>
      </c>
      <c r="J5628">
        <v>32306</v>
      </c>
    </row>
    <row r="5629" spans="1:10" x14ac:dyDescent="0.3">
      <c r="A5629" t="s">
        <v>5756</v>
      </c>
      <c r="B5629" s="1">
        <v>45852</v>
      </c>
      <c r="C5629" t="s">
        <v>11</v>
      </c>
      <c r="D5629">
        <v>29</v>
      </c>
      <c r="E5629" t="s">
        <v>39</v>
      </c>
      <c r="F5629" t="s">
        <v>19</v>
      </c>
      <c r="G5629" t="s">
        <v>199</v>
      </c>
      <c r="H5629" t="s">
        <v>188</v>
      </c>
      <c r="I5629">
        <v>16492</v>
      </c>
      <c r="J5629">
        <v>13525</v>
      </c>
    </row>
    <row r="5630" spans="1:10" x14ac:dyDescent="0.3">
      <c r="A5630" t="s">
        <v>5757</v>
      </c>
      <c r="B5630" s="1">
        <v>45983</v>
      </c>
      <c r="C5630" t="s">
        <v>23</v>
      </c>
      <c r="D5630">
        <v>47</v>
      </c>
      <c r="E5630" t="s">
        <v>61</v>
      </c>
      <c r="F5630" t="s">
        <v>193</v>
      </c>
      <c r="G5630" t="s">
        <v>326</v>
      </c>
      <c r="H5630" t="s">
        <v>15</v>
      </c>
      <c r="I5630">
        <v>25917</v>
      </c>
      <c r="J5630">
        <v>27712</v>
      </c>
    </row>
    <row r="5631" spans="1:10" x14ac:dyDescent="0.3">
      <c r="A5631" t="s">
        <v>5758</v>
      </c>
      <c r="B5631" s="1">
        <v>45784</v>
      </c>
      <c r="C5631" t="s">
        <v>90</v>
      </c>
      <c r="D5631">
        <v>19</v>
      </c>
      <c r="E5631" t="s">
        <v>70</v>
      </c>
      <c r="F5631" t="s">
        <v>114</v>
      </c>
      <c r="G5631" t="s">
        <v>14</v>
      </c>
      <c r="H5631" t="s">
        <v>155</v>
      </c>
      <c r="I5631">
        <v>18699</v>
      </c>
      <c r="J5631">
        <v>16532</v>
      </c>
    </row>
    <row r="5632" spans="1:10" x14ac:dyDescent="0.3">
      <c r="A5632" t="s">
        <v>5759</v>
      </c>
      <c r="B5632" s="1">
        <v>45946</v>
      </c>
      <c r="C5632" t="s">
        <v>66</v>
      </c>
      <c r="D5632">
        <v>42</v>
      </c>
      <c r="E5632" t="s">
        <v>33</v>
      </c>
      <c r="F5632" t="s">
        <v>43</v>
      </c>
      <c r="G5632" t="s">
        <v>240</v>
      </c>
      <c r="H5632" t="s">
        <v>165</v>
      </c>
      <c r="I5632">
        <v>32123</v>
      </c>
      <c r="J5632">
        <v>22835</v>
      </c>
    </row>
    <row r="5633" spans="1:10" x14ac:dyDescent="0.3">
      <c r="A5633" t="s">
        <v>5760</v>
      </c>
      <c r="B5633" s="1">
        <v>45902</v>
      </c>
      <c r="C5633" t="s">
        <v>38</v>
      </c>
      <c r="D5633">
        <v>36</v>
      </c>
      <c r="E5633" t="s">
        <v>70</v>
      </c>
      <c r="F5633" t="s">
        <v>57</v>
      </c>
      <c r="G5633" t="s">
        <v>240</v>
      </c>
      <c r="H5633" t="s">
        <v>15</v>
      </c>
      <c r="I5633">
        <v>22162</v>
      </c>
      <c r="J5633">
        <v>24644</v>
      </c>
    </row>
    <row r="5634" spans="1:10" x14ac:dyDescent="0.3">
      <c r="A5634" t="s">
        <v>5761</v>
      </c>
      <c r="B5634" s="1">
        <v>45765</v>
      </c>
      <c r="C5634" t="s">
        <v>86</v>
      </c>
      <c r="D5634">
        <v>16</v>
      </c>
      <c r="E5634" t="s">
        <v>61</v>
      </c>
      <c r="F5634" t="s">
        <v>25</v>
      </c>
      <c r="G5634" t="s">
        <v>149</v>
      </c>
      <c r="H5634" t="s">
        <v>55</v>
      </c>
      <c r="I5634">
        <v>37368</v>
      </c>
      <c r="J5634">
        <v>35840</v>
      </c>
    </row>
    <row r="5635" spans="1:10" x14ac:dyDescent="0.3">
      <c r="A5635" t="s">
        <v>5762</v>
      </c>
      <c r="B5635" s="1">
        <v>45779</v>
      </c>
      <c r="C5635" t="s">
        <v>90</v>
      </c>
      <c r="D5635">
        <v>18</v>
      </c>
      <c r="E5635" t="s">
        <v>33</v>
      </c>
      <c r="F5635" t="s">
        <v>19</v>
      </c>
      <c r="G5635" t="s">
        <v>26</v>
      </c>
      <c r="H5635" t="s">
        <v>133</v>
      </c>
      <c r="I5635">
        <v>26007</v>
      </c>
      <c r="J5635">
        <v>27206</v>
      </c>
    </row>
    <row r="5636" spans="1:10" x14ac:dyDescent="0.3">
      <c r="A5636" t="s">
        <v>5763</v>
      </c>
      <c r="B5636" s="1">
        <v>45722</v>
      </c>
      <c r="C5636" t="s">
        <v>95</v>
      </c>
      <c r="D5636">
        <v>10</v>
      </c>
      <c r="E5636" t="s">
        <v>12</v>
      </c>
      <c r="F5636" t="s">
        <v>193</v>
      </c>
      <c r="G5636" t="s">
        <v>266</v>
      </c>
      <c r="H5636" t="s">
        <v>111</v>
      </c>
      <c r="I5636">
        <v>39948</v>
      </c>
      <c r="J5636">
        <v>38231</v>
      </c>
    </row>
    <row r="5637" spans="1:10" x14ac:dyDescent="0.3">
      <c r="A5637" t="s">
        <v>5764</v>
      </c>
      <c r="B5637" s="1">
        <v>45758</v>
      </c>
      <c r="C5637" t="s">
        <v>86</v>
      </c>
      <c r="D5637">
        <v>15</v>
      </c>
      <c r="E5637" t="s">
        <v>18</v>
      </c>
      <c r="F5637" t="s">
        <v>114</v>
      </c>
      <c r="G5637" t="s">
        <v>230</v>
      </c>
      <c r="H5637" t="s">
        <v>48</v>
      </c>
      <c r="I5637">
        <v>17622</v>
      </c>
      <c r="J5637">
        <v>18412</v>
      </c>
    </row>
    <row r="5638" spans="1:10" x14ac:dyDescent="0.3">
      <c r="A5638" t="s">
        <v>5765</v>
      </c>
      <c r="B5638" s="1">
        <v>45675</v>
      </c>
      <c r="C5638" t="s">
        <v>17</v>
      </c>
      <c r="D5638">
        <v>3</v>
      </c>
      <c r="E5638" t="s">
        <v>39</v>
      </c>
      <c r="F5638" t="s">
        <v>114</v>
      </c>
      <c r="G5638" t="s">
        <v>160</v>
      </c>
      <c r="H5638" t="s">
        <v>103</v>
      </c>
      <c r="I5638">
        <v>32741</v>
      </c>
      <c r="J5638">
        <v>35460</v>
      </c>
    </row>
    <row r="5639" spans="1:10" x14ac:dyDescent="0.3">
      <c r="A5639" t="s">
        <v>5766</v>
      </c>
      <c r="B5639" s="1">
        <v>45735</v>
      </c>
      <c r="C5639" t="s">
        <v>95</v>
      </c>
      <c r="D5639">
        <v>12</v>
      </c>
      <c r="E5639" t="s">
        <v>24</v>
      </c>
      <c r="F5639" t="s">
        <v>193</v>
      </c>
      <c r="G5639" t="s">
        <v>110</v>
      </c>
      <c r="H5639" t="s">
        <v>133</v>
      </c>
      <c r="I5639">
        <v>21836</v>
      </c>
      <c r="J5639">
        <v>18858</v>
      </c>
    </row>
    <row r="5640" spans="1:10" x14ac:dyDescent="0.3">
      <c r="A5640" t="s">
        <v>5767</v>
      </c>
      <c r="B5640" s="1">
        <v>45799</v>
      </c>
      <c r="C5640" t="s">
        <v>90</v>
      </c>
      <c r="D5640">
        <v>21</v>
      </c>
      <c r="E5640" t="s">
        <v>12</v>
      </c>
      <c r="F5640" t="s">
        <v>140</v>
      </c>
      <c r="G5640" t="s">
        <v>253</v>
      </c>
      <c r="H5640" t="s">
        <v>133</v>
      </c>
      <c r="I5640">
        <v>21467</v>
      </c>
      <c r="J5640">
        <v>24173</v>
      </c>
    </row>
    <row r="5641" spans="1:10" x14ac:dyDescent="0.3">
      <c r="A5641" t="s">
        <v>5768</v>
      </c>
      <c r="B5641" s="1">
        <v>45832</v>
      </c>
      <c r="C5641" t="s">
        <v>74</v>
      </c>
      <c r="D5641">
        <v>26</v>
      </c>
      <c r="E5641" t="s">
        <v>61</v>
      </c>
      <c r="F5641" t="s">
        <v>114</v>
      </c>
      <c r="G5641" t="s">
        <v>107</v>
      </c>
      <c r="H5641" t="s">
        <v>119</v>
      </c>
      <c r="I5641">
        <v>15225</v>
      </c>
      <c r="J5641">
        <v>17043</v>
      </c>
    </row>
    <row r="5642" spans="1:10" x14ac:dyDescent="0.3">
      <c r="A5642" t="s">
        <v>5769</v>
      </c>
      <c r="B5642" s="1">
        <v>45998</v>
      </c>
      <c r="C5642" t="s">
        <v>100</v>
      </c>
      <c r="D5642">
        <v>49</v>
      </c>
      <c r="E5642" t="s">
        <v>39</v>
      </c>
      <c r="F5642" t="s">
        <v>29</v>
      </c>
      <c r="G5642" t="s">
        <v>141</v>
      </c>
      <c r="H5642" t="s">
        <v>123</v>
      </c>
      <c r="I5642">
        <v>36191</v>
      </c>
      <c r="J5642">
        <v>34091</v>
      </c>
    </row>
    <row r="5643" spans="1:10" x14ac:dyDescent="0.3">
      <c r="A5643" t="s">
        <v>5770</v>
      </c>
      <c r="B5643" s="1">
        <v>45726</v>
      </c>
      <c r="C5643" t="s">
        <v>95</v>
      </c>
      <c r="D5643">
        <v>11</v>
      </c>
      <c r="E5643" t="s">
        <v>24</v>
      </c>
      <c r="F5643" t="s">
        <v>50</v>
      </c>
      <c r="G5643" t="s">
        <v>234</v>
      </c>
      <c r="H5643" t="s">
        <v>52</v>
      </c>
      <c r="I5643">
        <v>30736</v>
      </c>
      <c r="J5643">
        <v>25325</v>
      </c>
    </row>
    <row r="5644" spans="1:10" x14ac:dyDescent="0.3">
      <c r="A5644" t="s">
        <v>5771</v>
      </c>
      <c r="B5644" s="1">
        <v>45840</v>
      </c>
      <c r="C5644" t="s">
        <v>11</v>
      </c>
      <c r="D5644">
        <v>27</v>
      </c>
      <c r="E5644" t="s">
        <v>33</v>
      </c>
      <c r="F5644" t="s">
        <v>140</v>
      </c>
      <c r="G5644" t="s">
        <v>30</v>
      </c>
      <c r="H5644" t="s">
        <v>15</v>
      </c>
      <c r="I5644">
        <v>18343</v>
      </c>
      <c r="J5644">
        <v>18386</v>
      </c>
    </row>
    <row r="5645" spans="1:10" x14ac:dyDescent="0.3">
      <c r="A5645" t="s">
        <v>5772</v>
      </c>
      <c r="B5645" s="1">
        <v>45867</v>
      </c>
      <c r="C5645" t="s">
        <v>11</v>
      </c>
      <c r="D5645">
        <v>31</v>
      </c>
      <c r="E5645" t="s">
        <v>12</v>
      </c>
      <c r="F5645" t="s">
        <v>122</v>
      </c>
      <c r="G5645" t="s">
        <v>206</v>
      </c>
      <c r="H5645" t="s">
        <v>27</v>
      </c>
      <c r="I5645">
        <v>24044</v>
      </c>
      <c r="J5645">
        <v>28004</v>
      </c>
    </row>
    <row r="5646" spans="1:10" x14ac:dyDescent="0.3">
      <c r="A5646" t="s">
        <v>5773</v>
      </c>
      <c r="B5646" s="1">
        <v>45745</v>
      </c>
      <c r="C5646" t="s">
        <v>95</v>
      </c>
      <c r="D5646">
        <v>13</v>
      </c>
      <c r="E5646" t="s">
        <v>24</v>
      </c>
      <c r="F5646" t="s">
        <v>87</v>
      </c>
      <c r="G5646" t="s">
        <v>324</v>
      </c>
      <c r="H5646" t="s">
        <v>119</v>
      </c>
      <c r="I5646">
        <v>27458</v>
      </c>
      <c r="J5646">
        <v>20292</v>
      </c>
    </row>
    <row r="5647" spans="1:10" x14ac:dyDescent="0.3">
      <c r="A5647" t="s">
        <v>5774</v>
      </c>
      <c r="B5647" s="1">
        <v>45825</v>
      </c>
      <c r="C5647" t="s">
        <v>74</v>
      </c>
      <c r="D5647">
        <v>25</v>
      </c>
      <c r="E5647" t="s">
        <v>39</v>
      </c>
      <c r="F5647" t="s">
        <v>78</v>
      </c>
      <c r="G5647" t="s">
        <v>324</v>
      </c>
      <c r="H5647" t="s">
        <v>157</v>
      </c>
      <c r="I5647">
        <v>29154</v>
      </c>
      <c r="J5647">
        <v>21744</v>
      </c>
    </row>
    <row r="5648" spans="1:10" x14ac:dyDescent="0.3">
      <c r="A5648" t="s">
        <v>5775</v>
      </c>
      <c r="B5648" s="1">
        <v>45922</v>
      </c>
      <c r="C5648" t="s">
        <v>38</v>
      </c>
      <c r="D5648">
        <v>39</v>
      </c>
      <c r="E5648" t="s">
        <v>18</v>
      </c>
      <c r="F5648" t="s">
        <v>75</v>
      </c>
      <c r="G5648" t="s">
        <v>93</v>
      </c>
      <c r="H5648" t="s">
        <v>84</v>
      </c>
      <c r="I5648">
        <v>35754</v>
      </c>
      <c r="J5648">
        <v>45935</v>
      </c>
    </row>
    <row r="5649" spans="1:10" x14ac:dyDescent="0.3">
      <c r="A5649" t="s">
        <v>5776</v>
      </c>
      <c r="B5649" s="1">
        <v>45832</v>
      </c>
      <c r="C5649" t="s">
        <v>74</v>
      </c>
      <c r="D5649">
        <v>26</v>
      </c>
      <c r="E5649" t="s">
        <v>61</v>
      </c>
      <c r="F5649" t="s">
        <v>57</v>
      </c>
      <c r="G5649" t="s">
        <v>72</v>
      </c>
      <c r="H5649" t="s">
        <v>243</v>
      </c>
      <c r="I5649">
        <v>39684</v>
      </c>
      <c r="J5649">
        <v>48297</v>
      </c>
    </row>
    <row r="5650" spans="1:10" x14ac:dyDescent="0.3">
      <c r="A5650" t="s">
        <v>5777</v>
      </c>
      <c r="B5650" s="1">
        <v>45799</v>
      </c>
      <c r="C5650" t="s">
        <v>90</v>
      </c>
      <c r="D5650">
        <v>21</v>
      </c>
      <c r="E5650" t="s">
        <v>24</v>
      </c>
      <c r="F5650" t="s">
        <v>122</v>
      </c>
      <c r="G5650" t="s">
        <v>132</v>
      </c>
      <c r="H5650" t="s">
        <v>133</v>
      </c>
      <c r="I5650">
        <v>20524</v>
      </c>
      <c r="J5650">
        <v>20468</v>
      </c>
    </row>
    <row r="5651" spans="1:10" x14ac:dyDescent="0.3">
      <c r="A5651" t="s">
        <v>5778</v>
      </c>
      <c r="B5651" s="1">
        <v>45845</v>
      </c>
      <c r="C5651" t="s">
        <v>11</v>
      </c>
      <c r="D5651">
        <v>28</v>
      </c>
      <c r="E5651" t="s">
        <v>18</v>
      </c>
      <c r="F5651" t="s">
        <v>43</v>
      </c>
      <c r="G5651" t="s">
        <v>54</v>
      </c>
      <c r="H5651" t="s">
        <v>151</v>
      </c>
      <c r="I5651">
        <v>34144</v>
      </c>
      <c r="J5651">
        <v>26391</v>
      </c>
    </row>
    <row r="5652" spans="1:10" x14ac:dyDescent="0.3">
      <c r="A5652" t="s">
        <v>5779</v>
      </c>
      <c r="B5652" s="1">
        <v>45936</v>
      </c>
      <c r="C5652" t="s">
        <v>66</v>
      </c>
      <c r="D5652">
        <v>41</v>
      </c>
      <c r="E5652" t="s">
        <v>70</v>
      </c>
      <c r="F5652" t="s">
        <v>75</v>
      </c>
      <c r="G5652" t="s">
        <v>145</v>
      </c>
      <c r="H5652" t="s">
        <v>68</v>
      </c>
      <c r="I5652">
        <v>28792</v>
      </c>
      <c r="J5652">
        <v>22982</v>
      </c>
    </row>
    <row r="5653" spans="1:10" x14ac:dyDescent="0.3">
      <c r="A5653" t="s">
        <v>5780</v>
      </c>
      <c r="B5653" s="1">
        <v>45737</v>
      </c>
      <c r="C5653" t="s">
        <v>95</v>
      </c>
      <c r="D5653">
        <v>12</v>
      </c>
      <c r="E5653" t="s">
        <v>24</v>
      </c>
      <c r="F5653" t="s">
        <v>13</v>
      </c>
      <c r="G5653" t="s">
        <v>76</v>
      </c>
      <c r="H5653" t="s">
        <v>64</v>
      </c>
      <c r="I5653">
        <v>15620</v>
      </c>
      <c r="J5653">
        <v>19174</v>
      </c>
    </row>
    <row r="5654" spans="1:10" x14ac:dyDescent="0.3">
      <c r="A5654" t="s">
        <v>5781</v>
      </c>
      <c r="B5654" s="1">
        <v>45819</v>
      </c>
      <c r="C5654" t="s">
        <v>74</v>
      </c>
      <c r="D5654">
        <v>24</v>
      </c>
      <c r="E5654" t="s">
        <v>12</v>
      </c>
      <c r="F5654" t="s">
        <v>50</v>
      </c>
      <c r="G5654" t="s">
        <v>115</v>
      </c>
      <c r="H5654" t="s">
        <v>151</v>
      </c>
      <c r="I5654">
        <v>16355</v>
      </c>
      <c r="J5654">
        <v>19145</v>
      </c>
    </row>
    <row r="5655" spans="1:10" x14ac:dyDescent="0.3">
      <c r="A5655" t="s">
        <v>5782</v>
      </c>
      <c r="B5655" s="1">
        <v>45975</v>
      </c>
      <c r="C5655" t="s">
        <v>23</v>
      </c>
      <c r="D5655">
        <v>46</v>
      </c>
      <c r="E5655" t="s">
        <v>24</v>
      </c>
      <c r="F5655" t="s">
        <v>92</v>
      </c>
      <c r="G5655" t="s">
        <v>240</v>
      </c>
      <c r="H5655" t="s">
        <v>36</v>
      </c>
      <c r="I5655">
        <v>32901</v>
      </c>
      <c r="J5655">
        <v>39663</v>
      </c>
    </row>
    <row r="5656" spans="1:10" x14ac:dyDescent="0.3">
      <c r="A5656" t="s">
        <v>5783</v>
      </c>
      <c r="B5656" s="1">
        <v>45930</v>
      </c>
      <c r="C5656" t="s">
        <v>38</v>
      </c>
      <c r="D5656">
        <v>40</v>
      </c>
      <c r="E5656" t="s">
        <v>12</v>
      </c>
      <c r="F5656" t="s">
        <v>25</v>
      </c>
      <c r="G5656" t="s">
        <v>128</v>
      </c>
      <c r="H5656" t="s">
        <v>36</v>
      </c>
      <c r="I5656">
        <v>24544</v>
      </c>
      <c r="J5656">
        <v>25402</v>
      </c>
    </row>
    <row r="5657" spans="1:10" x14ac:dyDescent="0.3">
      <c r="A5657" t="s">
        <v>5784</v>
      </c>
      <c r="B5657" s="1">
        <v>45911</v>
      </c>
      <c r="C5657" t="s">
        <v>38</v>
      </c>
      <c r="D5657">
        <v>37</v>
      </c>
      <c r="E5657" t="s">
        <v>24</v>
      </c>
      <c r="F5657" t="s">
        <v>140</v>
      </c>
      <c r="G5657" t="s">
        <v>115</v>
      </c>
      <c r="H5657" t="s">
        <v>157</v>
      </c>
      <c r="I5657">
        <v>36949</v>
      </c>
      <c r="J5657">
        <v>32560</v>
      </c>
    </row>
    <row r="5658" spans="1:10" x14ac:dyDescent="0.3">
      <c r="A5658" t="s">
        <v>5785</v>
      </c>
      <c r="B5658" s="1">
        <v>45908</v>
      </c>
      <c r="C5658" t="s">
        <v>38</v>
      </c>
      <c r="D5658">
        <v>37</v>
      </c>
      <c r="E5658" t="s">
        <v>61</v>
      </c>
      <c r="F5658" t="s">
        <v>92</v>
      </c>
      <c r="G5658" t="s">
        <v>20</v>
      </c>
      <c r="H5658" t="s">
        <v>84</v>
      </c>
      <c r="I5658">
        <v>24530</v>
      </c>
      <c r="J5658">
        <v>27458</v>
      </c>
    </row>
    <row r="5659" spans="1:10" x14ac:dyDescent="0.3">
      <c r="A5659" t="s">
        <v>5786</v>
      </c>
      <c r="B5659" s="1">
        <v>45661</v>
      </c>
      <c r="C5659" t="s">
        <v>17</v>
      </c>
      <c r="D5659">
        <v>1</v>
      </c>
      <c r="E5659" t="s">
        <v>33</v>
      </c>
      <c r="F5659" t="s">
        <v>57</v>
      </c>
      <c r="G5659" t="s">
        <v>326</v>
      </c>
      <c r="H5659" t="s">
        <v>151</v>
      </c>
      <c r="I5659">
        <v>38751</v>
      </c>
      <c r="J5659">
        <v>49077</v>
      </c>
    </row>
    <row r="5660" spans="1:10" x14ac:dyDescent="0.3">
      <c r="A5660" t="s">
        <v>5787</v>
      </c>
      <c r="B5660" s="1">
        <v>45703</v>
      </c>
      <c r="C5660" t="s">
        <v>82</v>
      </c>
      <c r="D5660">
        <v>7</v>
      </c>
      <c r="E5660" t="s">
        <v>33</v>
      </c>
      <c r="F5660" t="s">
        <v>92</v>
      </c>
      <c r="G5660" t="s">
        <v>149</v>
      </c>
      <c r="H5660" t="s">
        <v>41</v>
      </c>
      <c r="I5660">
        <v>31544</v>
      </c>
      <c r="J5660">
        <v>27320</v>
      </c>
    </row>
    <row r="5661" spans="1:10" x14ac:dyDescent="0.3">
      <c r="A5661" t="s">
        <v>5788</v>
      </c>
      <c r="B5661" s="1">
        <v>45764</v>
      </c>
      <c r="C5661" t="s">
        <v>86</v>
      </c>
      <c r="D5661">
        <v>16</v>
      </c>
      <c r="E5661" t="s">
        <v>70</v>
      </c>
      <c r="F5661" t="s">
        <v>75</v>
      </c>
      <c r="G5661" t="s">
        <v>79</v>
      </c>
      <c r="H5661" t="s">
        <v>59</v>
      </c>
      <c r="I5661">
        <v>20614</v>
      </c>
      <c r="J5661">
        <v>26096</v>
      </c>
    </row>
    <row r="5662" spans="1:10" x14ac:dyDescent="0.3">
      <c r="A5662" t="s">
        <v>5789</v>
      </c>
      <c r="B5662" s="1">
        <v>45674</v>
      </c>
      <c r="C5662" t="s">
        <v>17</v>
      </c>
      <c r="D5662">
        <v>3</v>
      </c>
      <c r="E5662" t="s">
        <v>33</v>
      </c>
      <c r="F5662" t="s">
        <v>57</v>
      </c>
      <c r="G5662" t="s">
        <v>130</v>
      </c>
      <c r="H5662" t="s">
        <v>48</v>
      </c>
      <c r="I5662">
        <v>32859</v>
      </c>
      <c r="J5662">
        <v>34303</v>
      </c>
    </row>
    <row r="5663" spans="1:10" x14ac:dyDescent="0.3">
      <c r="A5663" t="s">
        <v>5790</v>
      </c>
      <c r="B5663" s="1">
        <v>45875</v>
      </c>
      <c r="C5663" t="s">
        <v>113</v>
      </c>
      <c r="D5663">
        <v>32</v>
      </c>
      <c r="E5663" t="s">
        <v>33</v>
      </c>
      <c r="F5663" t="s">
        <v>140</v>
      </c>
      <c r="G5663" t="s">
        <v>79</v>
      </c>
      <c r="H5663" t="s">
        <v>133</v>
      </c>
      <c r="I5663">
        <v>23375</v>
      </c>
      <c r="J5663">
        <v>18432</v>
      </c>
    </row>
    <row r="5664" spans="1:10" x14ac:dyDescent="0.3">
      <c r="A5664" t="s">
        <v>5791</v>
      </c>
      <c r="B5664" s="1">
        <v>45723</v>
      </c>
      <c r="C5664" t="s">
        <v>95</v>
      </c>
      <c r="D5664">
        <v>10</v>
      </c>
      <c r="E5664" t="s">
        <v>61</v>
      </c>
      <c r="F5664" t="s">
        <v>193</v>
      </c>
      <c r="G5664" t="s">
        <v>230</v>
      </c>
      <c r="H5664" t="s">
        <v>80</v>
      </c>
      <c r="I5664">
        <v>17587</v>
      </c>
      <c r="J5664">
        <v>20032</v>
      </c>
    </row>
    <row r="5665" spans="1:10" x14ac:dyDescent="0.3">
      <c r="A5665" t="s">
        <v>5792</v>
      </c>
      <c r="B5665" s="1">
        <v>45854</v>
      </c>
      <c r="C5665" t="s">
        <v>11</v>
      </c>
      <c r="D5665">
        <v>29</v>
      </c>
      <c r="E5665" t="s">
        <v>33</v>
      </c>
      <c r="F5665" t="s">
        <v>13</v>
      </c>
      <c r="G5665" t="s">
        <v>234</v>
      </c>
      <c r="H5665" t="s">
        <v>64</v>
      </c>
      <c r="I5665">
        <v>20252</v>
      </c>
      <c r="J5665">
        <v>17044</v>
      </c>
    </row>
    <row r="5666" spans="1:10" x14ac:dyDescent="0.3">
      <c r="A5666" t="s">
        <v>5793</v>
      </c>
      <c r="B5666" s="1">
        <v>45907</v>
      </c>
      <c r="C5666" t="s">
        <v>38</v>
      </c>
      <c r="D5666">
        <v>36</v>
      </c>
      <c r="E5666" t="s">
        <v>18</v>
      </c>
      <c r="F5666" t="s">
        <v>29</v>
      </c>
      <c r="G5666" t="s">
        <v>135</v>
      </c>
      <c r="H5666" t="s">
        <v>52</v>
      </c>
      <c r="I5666">
        <v>22040</v>
      </c>
      <c r="J5666">
        <v>15645</v>
      </c>
    </row>
    <row r="5667" spans="1:10" x14ac:dyDescent="0.3">
      <c r="A5667" t="s">
        <v>5794</v>
      </c>
      <c r="B5667" s="1">
        <v>45688</v>
      </c>
      <c r="C5667" t="s">
        <v>17</v>
      </c>
      <c r="D5667">
        <v>5</v>
      </c>
      <c r="E5667" t="s">
        <v>39</v>
      </c>
      <c r="F5667" t="s">
        <v>87</v>
      </c>
      <c r="G5667" t="s">
        <v>83</v>
      </c>
      <c r="H5667" t="s">
        <v>151</v>
      </c>
      <c r="I5667">
        <v>20598</v>
      </c>
      <c r="J5667">
        <v>21884</v>
      </c>
    </row>
    <row r="5668" spans="1:10" x14ac:dyDescent="0.3">
      <c r="A5668" t="s">
        <v>5795</v>
      </c>
      <c r="B5668" s="1">
        <v>45691</v>
      </c>
      <c r="C5668" t="s">
        <v>82</v>
      </c>
      <c r="D5668">
        <v>6</v>
      </c>
      <c r="E5668" t="s">
        <v>61</v>
      </c>
      <c r="F5668" t="s">
        <v>43</v>
      </c>
      <c r="G5668" t="s">
        <v>240</v>
      </c>
      <c r="H5668" t="s">
        <v>103</v>
      </c>
      <c r="I5668">
        <v>35982</v>
      </c>
      <c r="J5668">
        <v>27525</v>
      </c>
    </row>
    <row r="5669" spans="1:10" x14ac:dyDescent="0.3">
      <c r="A5669" t="s">
        <v>5796</v>
      </c>
      <c r="B5669" s="1">
        <v>45834</v>
      </c>
      <c r="C5669" t="s">
        <v>74</v>
      </c>
      <c r="D5669">
        <v>26</v>
      </c>
      <c r="E5669" t="s">
        <v>24</v>
      </c>
      <c r="F5669" t="s">
        <v>87</v>
      </c>
      <c r="G5669" t="s">
        <v>107</v>
      </c>
      <c r="H5669" t="s">
        <v>157</v>
      </c>
      <c r="I5669">
        <v>19798</v>
      </c>
      <c r="J5669">
        <v>14595</v>
      </c>
    </row>
    <row r="5670" spans="1:10" x14ac:dyDescent="0.3">
      <c r="A5670" t="s">
        <v>5797</v>
      </c>
      <c r="B5670" s="1">
        <v>45706</v>
      </c>
      <c r="C5670" t="s">
        <v>82</v>
      </c>
      <c r="D5670">
        <v>8</v>
      </c>
      <c r="E5670" t="s">
        <v>18</v>
      </c>
      <c r="F5670" t="s">
        <v>101</v>
      </c>
      <c r="G5670" t="s">
        <v>58</v>
      </c>
      <c r="H5670" t="s">
        <v>48</v>
      </c>
      <c r="I5670">
        <v>15956</v>
      </c>
      <c r="J5670">
        <v>11974</v>
      </c>
    </row>
    <row r="5671" spans="1:10" x14ac:dyDescent="0.3">
      <c r="A5671" t="s">
        <v>5798</v>
      </c>
      <c r="B5671" s="1">
        <v>45738</v>
      </c>
      <c r="C5671" t="s">
        <v>95</v>
      </c>
      <c r="D5671">
        <v>12</v>
      </c>
      <c r="E5671" t="s">
        <v>61</v>
      </c>
      <c r="F5671" t="s">
        <v>87</v>
      </c>
      <c r="G5671" t="s">
        <v>40</v>
      </c>
      <c r="H5671" t="s">
        <v>36</v>
      </c>
      <c r="I5671">
        <v>25853</v>
      </c>
      <c r="J5671">
        <v>27569</v>
      </c>
    </row>
    <row r="5672" spans="1:10" x14ac:dyDescent="0.3">
      <c r="A5672" t="s">
        <v>5799</v>
      </c>
      <c r="B5672" s="1">
        <v>45815</v>
      </c>
      <c r="C5672" t="s">
        <v>74</v>
      </c>
      <c r="D5672">
        <v>23</v>
      </c>
      <c r="E5672" t="s">
        <v>61</v>
      </c>
      <c r="F5672" t="s">
        <v>19</v>
      </c>
      <c r="G5672" t="s">
        <v>126</v>
      </c>
      <c r="H5672" t="s">
        <v>188</v>
      </c>
      <c r="I5672">
        <v>29547</v>
      </c>
      <c r="J5672">
        <v>32392</v>
      </c>
    </row>
    <row r="5673" spans="1:10" x14ac:dyDescent="0.3">
      <c r="A5673" t="s">
        <v>5800</v>
      </c>
      <c r="B5673" s="1">
        <v>45939</v>
      </c>
      <c r="C5673" t="s">
        <v>66</v>
      </c>
      <c r="D5673">
        <v>41</v>
      </c>
      <c r="E5673" t="s">
        <v>61</v>
      </c>
      <c r="F5673" t="s">
        <v>92</v>
      </c>
      <c r="G5673" t="s">
        <v>118</v>
      </c>
      <c r="H5673" t="s">
        <v>133</v>
      </c>
      <c r="I5673">
        <v>26765</v>
      </c>
      <c r="J5673">
        <v>19511</v>
      </c>
    </row>
    <row r="5674" spans="1:10" x14ac:dyDescent="0.3">
      <c r="A5674" t="s">
        <v>5801</v>
      </c>
      <c r="B5674" s="1">
        <v>45730</v>
      </c>
      <c r="C5674" t="s">
        <v>95</v>
      </c>
      <c r="D5674">
        <v>11</v>
      </c>
      <c r="E5674" t="s">
        <v>18</v>
      </c>
      <c r="F5674" t="s">
        <v>46</v>
      </c>
      <c r="G5674" t="s">
        <v>191</v>
      </c>
      <c r="H5674" t="s">
        <v>111</v>
      </c>
      <c r="I5674">
        <v>33165</v>
      </c>
      <c r="J5674">
        <v>33655</v>
      </c>
    </row>
    <row r="5675" spans="1:10" x14ac:dyDescent="0.3">
      <c r="A5675" t="s">
        <v>5802</v>
      </c>
      <c r="B5675" s="1">
        <v>46011</v>
      </c>
      <c r="C5675" t="s">
        <v>100</v>
      </c>
      <c r="D5675">
        <v>51</v>
      </c>
      <c r="E5675" t="s">
        <v>18</v>
      </c>
      <c r="F5675" t="s">
        <v>109</v>
      </c>
      <c r="G5675" t="s">
        <v>240</v>
      </c>
      <c r="H5675" t="s">
        <v>103</v>
      </c>
      <c r="I5675">
        <v>24267</v>
      </c>
      <c r="J5675">
        <v>20702</v>
      </c>
    </row>
    <row r="5676" spans="1:10" x14ac:dyDescent="0.3">
      <c r="A5676" t="s">
        <v>5803</v>
      </c>
      <c r="B5676" s="1">
        <v>45927</v>
      </c>
      <c r="C5676" t="s">
        <v>38</v>
      </c>
      <c r="D5676">
        <v>39</v>
      </c>
      <c r="E5676" t="s">
        <v>24</v>
      </c>
      <c r="F5676" t="s">
        <v>50</v>
      </c>
      <c r="G5676" t="s">
        <v>54</v>
      </c>
      <c r="H5676" t="s">
        <v>15</v>
      </c>
      <c r="I5676">
        <v>34919</v>
      </c>
      <c r="J5676">
        <v>39935</v>
      </c>
    </row>
    <row r="5677" spans="1:10" x14ac:dyDescent="0.3">
      <c r="A5677" t="s">
        <v>5804</v>
      </c>
      <c r="B5677" s="1">
        <v>45987</v>
      </c>
      <c r="C5677" t="s">
        <v>23</v>
      </c>
      <c r="D5677">
        <v>48</v>
      </c>
      <c r="E5677" t="s">
        <v>24</v>
      </c>
      <c r="F5677" t="s">
        <v>101</v>
      </c>
      <c r="G5677" t="s">
        <v>201</v>
      </c>
      <c r="H5677" t="s">
        <v>52</v>
      </c>
      <c r="I5677">
        <v>31137</v>
      </c>
      <c r="J5677">
        <v>24290</v>
      </c>
    </row>
    <row r="5678" spans="1:10" x14ac:dyDescent="0.3">
      <c r="A5678" t="s">
        <v>5805</v>
      </c>
      <c r="B5678" s="1">
        <v>45902</v>
      </c>
      <c r="C5678" t="s">
        <v>38</v>
      </c>
      <c r="D5678">
        <v>36</v>
      </c>
      <c r="E5678" t="s">
        <v>12</v>
      </c>
      <c r="F5678" t="s">
        <v>25</v>
      </c>
      <c r="G5678" t="s">
        <v>130</v>
      </c>
      <c r="H5678" t="s">
        <v>96</v>
      </c>
      <c r="I5678">
        <v>36923</v>
      </c>
      <c r="J5678">
        <v>35050</v>
      </c>
    </row>
    <row r="5679" spans="1:10" x14ac:dyDescent="0.3">
      <c r="A5679" t="s">
        <v>5806</v>
      </c>
      <c r="B5679" s="1">
        <v>45992</v>
      </c>
      <c r="C5679" t="s">
        <v>100</v>
      </c>
      <c r="D5679">
        <v>49</v>
      </c>
      <c r="E5679" t="s">
        <v>33</v>
      </c>
      <c r="F5679" t="s">
        <v>57</v>
      </c>
      <c r="G5679" t="s">
        <v>51</v>
      </c>
      <c r="H5679" t="s">
        <v>68</v>
      </c>
      <c r="I5679">
        <v>32467</v>
      </c>
      <c r="J5679">
        <v>40996</v>
      </c>
    </row>
    <row r="5680" spans="1:10" x14ac:dyDescent="0.3">
      <c r="A5680" t="s">
        <v>5807</v>
      </c>
      <c r="B5680" s="1">
        <v>46019</v>
      </c>
      <c r="C5680" t="s">
        <v>100</v>
      </c>
      <c r="D5680">
        <v>52</v>
      </c>
      <c r="E5680" t="s">
        <v>12</v>
      </c>
      <c r="F5680" t="s">
        <v>87</v>
      </c>
      <c r="G5680" t="s">
        <v>118</v>
      </c>
      <c r="H5680" t="s">
        <v>52</v>
      </c>
      <c r="I5680">
        <v>27291</v>
      </c>
      <c r="J5680">
        <v>21556</v>
      </c>
    </row>
    <row r="5681" spans="1:10" x14ac:dyDescent="0.3">
      <c r="A5681" t="s">
        <v>5808</v>
      </c>
      <c r="B5681" s="1">
        <v>45961</v>
      </c>
      <c r="C5681" t="s">
        <v>66</v>
      </c>
      <c r="D5681">
        <v>44</v>
      </c>
      <c r="E5681" t="s">
        <v>70</v>
      </c>
      <c r="F5681" t="s">
        <v>46</v>
      </c>
      <c r="G5681" t="s">
        <v>107</v>
      </c>
      <c r="H5681" t="s">
        <v>165</v>
      </c>
      <c r="I5681">
        <v>34040</v>
      </c>
      <c r="J5681">
        <v>40067</v>
      </c>
    </row>
    <row r="5682" spans="1:10" x14ac:dyDescent="0.3">
      <c r="A5682" t="s">
        <v>5809</v>
      </c>
      <c r="B5682" s="1">
        <v>45795</v>
      </c>
      <c r="C5682" t="s">
        <v>90</v>
      </c>
      <c r="D5682">
        <v>20</v>
      </c>
      <c r="E5682" t="s">
        <v>39</v>
      </c>
      <c r="F5682" t="s">
        <v>109</v>
      </c>
      <c r="G5682" t="s">
        <v>40</v>
      </c>
      <c r="H5682" t="s">
        <v>98</v>
      </c>
      <c r="I5682">
        <v>32199</v>
      </c>
      <c r="J5682">
        <v>24025</v>
      </c>
    </row>
    <row r="5683" spans="1:10" x14ac:dyDescent="0.3">
      <c r="A5683" t="s">
        <v>5810</v>
      </c>
      <c r="B5683" s="1">
        <v>45803</v>
      </c>
      <c r="C5683" t="s">
        <v>90</v>
      </c>
      <c r="D5683">
        <v>22</v>
      </c>
      <c r="E5683" t="s">
        <v>70</v>
      </c>
      <c r="F5683" t="s">
        <v>109</v>
      </c>
      <c r="G5683" t="s">
        <v>79</v>
      </c>
      <c r="H5683" t="s">
        <v>68</v>
      </c>
      <c r="I5683">
        <v>17677</v>
      </c>
      <c r="J5683">
        <v>20806</v>
      </c>
    </row>
    <row r="5684" spans="1:10" x14ac:dyDescent="0.3">
      <c r="A5684" t="s">
        <v>5811</v>
      </c>
      <c r="B5684" s="1">
        <v>45838</v>
      </c>
      <c r="C5684" t="s">
        <v>74</v>
      </c>
      <c r="D5684">
        <v>27</v>
      </c>
      <c r="E5684" t="s">
        <v>39</v>
      </c>
      <c r="F5684" t="s">
        <v>122</v>
      </c>
      <c r="G5684" t="s">
        <v>40</v>
      </c>
      <c r="H5684" t="s">
        <v>133</v>
      </c>
      <c r="I5684">
        <v>30083</v>
      </c>
      <c r="J5684">
        <v>22875</v>
      </c>
    </row>
    <row r="5685" spans="1:10" x14ac:dyDescent="0.3">
      <c r="A5685" t="s">
        <v>5812</v>
      </c>
      <c r="B5685" s="1">
        <v>45887</v>
      </c>
      <c r="C5685" t="s">
        <v>113</v>
      </c>
      <c r="D5685">
        <v>34</v>
      </c>
      <c r="E5685" t="s">
        <v>12</v>
      </c>
      <c r="F5685" t="s">
        <v>62</v>
      </c>
      <c r="G5685" t="s">
        <v>171</v>
      </c>
      <c r="H5685" t="s">
        <v>52</v>
      </c>
      <c r="I5685">
        <v>38281</v>
      </c>
      <c r="J5685">
        <v>38891</v>
      </c>
    </row>
    <row r="5686" spans="1:10" x14ac:dyDescent="0.3">
      <c r="A5686" t="s">
        <v>5813</v>
      </c>
      <c r="B5686" s="1">
        <v>45801</v>
      </c>
      <c r="C5686" t="s">
        <v>90</v>
      </c>
      <c r="D5686">
        <v>21</v>
      </c>
      <c r="E5686" t="s">
        <v>70</v>
      </c>
      <c r="F5686" t="s">
        <v>78</v>
      </c>
      <c r="G5686" t="s">
        <v>206</v>
      </c>
      <c r="H5686" t="s">
        <v>48</v>
      </c>
      <c r="I5686">
        <v>25777</v>
      </c>
      <c r="J5686">
        <v>18238</v>
      </c>
    </row>
    <row r="5687" spans="1:10" x14ac:dyDescent="0.3">
      <c r="A5687" t="s">
        <v>5814</v>
      </c>
      <c r="B5687" s="1">
        <v>45992</v>
      </c>
      <c r="C5687" t="s">
        <v>100</v>
      </c>
      <c r="D5687">
        <v>49</v>
      </c>
      <c r="E5687" t="s">
        <v>24</v>
      </c>
      <c r="F5687" t="s">
        <v>34</v>
      </c>
      <c r="G5687" t="s">
        <v>253</v>
      </c>
      <c r="H5687" t="s">
        <v>31</v>
      </c>
      <c r="I5687">
        <v>32242</v>
      </c>
      <c r="J5687">
        <v>31003</v>
      </c>
    </row>
    <row r="5688" spans="1:10" x14ac:dyDescent="0.3">
      <c r="A5688" t="s">
        <v>5815</v>
      </c>
      <c r="B5688" s="1">
        <v>45762</v>
      </c>
      <c r="C5688" t="s">
        <v>86</v>
      </c>
      <c r="D5688">
        <v>16</v>
      </c>
      <c r="E5688" t="s">
        <v>12</v>
      </c>
      <c r="F5688" t="s">
        <v>122</v>
      </c>
      <c r="G5688" t="s">
        <v>115</v>
      </c>
      <c r="H5688" t="s">
        <v>48</v>
      </c>
      <c r="I5688">
        <v>23357</v>
      </c>
      <c r="J5688">
        <v>23814</v>
      </c>
    </row>
    <row r="5689" spans="1:10" x14ac:dyDescent="0.3">
      <c r="A5689" t="s">
        <v>5816</v>
      </c>
      <c r="B5689" s="1">
        <v>45934</v>
      </c>
      <c r="C5689" t="s">
        <v>66</v>
      </c>
      <c r="D5689">
        <v>40</v>
      </c>
      <c r="E5689" t="s">
        <v>39</v>
      </c>
      <c r="F5689" t="s">
        <v>19</v>
      </c>
      <c r="G5689" t="s">
        <v>149</v>
      </c>
      <c r="H5689" t="s">
        <v>119</v>
      </c>
      <c r="I5689">
        <v>22260</v>
      </c>
      <c r="J5689">
        <v>18282</v>
      </c>
    </row>
    <row r="5690" spans="1:10" x14ac:dyDescent="0.3">
      <c r="A5690" t="s">
        <v>5817</v>
      </c>
      <c r="B5690" s="1">
        <v>45902</v>
      </c>
      <c r="C5690" t="s">
        <v>38</v>
      </c>
      <c r="D5690">
        <v>36</v>
      </c>
      <c r="E5690" t="s">
        <v>61</v>
      </c>
      <c r="F5690" t="s">
        <v>122</v>
      </c>
      <c r="G5690" t="s">
        <v>199</v>
      </c>
      <c r="H5690" t="s">
        <v>157</v>
      </c>
      <c r="I5690">
        <v>31419</v>
      </c>
      <c r="J5690">
        <v>24349</v>
      </c>
    </row>
    <row r="5691" spans="1:10" x14ac:dyDescent="0.3">
      <c r="A5691" t="s">
        <v>5818</v>
      </c>
      <c r="B5691" s="1">
        <v>45886</v>
      </c>
      <c r="C5691" t="s">
        <v>113</v>
      </c>
      <c r="D5691">
        <v>33</v>
      </c>
      <c r="E5691" t="s">
        <v>33</v>
      </c>
      <c r="F5691" t="s">
        <v>109</v>
      </c>
      <c r="G5691" t="s">
        <v>93</v>
      </c>
      <c r="H5691" t="s">
        <v>211</v>
      </c>
      <c r="I5691">
        <v>33952</v>
      </c>
      <c r="J5691">
        <v>38544</v>
      </c>
    </row>
    <row r="5692" spans="1:10" x14ac:dyDescent="0.3">
      <c r="A5692" t="s">
        <v>5819</v>
      </c>
      <c r="B5692" s="1">
        <v>45994</v>
      </c>
      <c r="C5692" t="s">
        <v>100</v>
      </c>
      <c r="D5692">
        <v>49</v>
      </c>
      <c r="E5692" t="s">
        <v>39</v>
      </c>
      <c r="F5692" t="s">
        <v>87</v>
      </c>
      <c r="G5692" t="s">
        <v>291</v>
      </c>
      <c r="H5692" t="s">
        <v>165</v>
      </c>
      <c r="I5692">
        <v>17629</v>
      </c>
      <c r="J5692">
        <v>13994</v>
      </c>
    </row>
    <row r="5693" spans="1:10" x14ac:dyDescent="0.3">
      <c r="A5693" t="s">
        <v>5820</v>
      </c>
      <c r="B5693" s="1">
        <v>45716</v>
      </c>
      <c r="C5693" t="s">
        <v>82</v>
      </c>
      <c r="D5693">
        <v>9</v>
      </c>
      <c r="E5693" t="s">
        <v>70</v>
      </c>
      <c r="F5693" t="s">
        <v>75</v>
      </c>
      <c r="G5693" t="s">
        <v>141</v>
      </c>
      <c r="H5693" t="s">
        <v>133</v>
      </c>
      <c r="I5693">
        <v>39984</v>
      </c>
      <c r="J5693">
        <v>33059</v>
      </c>
    </row>
    <row r="5694" spans="1:10" x14ac:dyDescent="0.3">
      <c r="A5694" t="s">
        <v>5821</v>
      </c>
      <c r="B5694" s="1">
        <v>45821</v>
      </c>
      <c r="C5694" t="s">
        <v>74</v>
      </c>
      <c r="D5694">
        <v>24</v>
      </c>
      <c r="E5694" t="s">
        <v>39</v>
      </c>
      <c r="F5694" t="s">
        <v>109</v>
      </c>
      <c r="G5694" t="s">
        <v>324</v>
      </c>
      <c r="H5694" t="s">
        <v>36</v>
      </c>
      <c r="I5694">
        <v>39814</v>
      </c>
      <c r="J5694">
        <v>50664</v>
      </c>
    </row>
    <row r="5695" spans="1:10" x14ac:dyDescent="0.3">
      <c r="A5695" t="s">
        <v>5822</v>
      </c>
      <c r="B5695" s="1">
        <v>46000</v>
      </c>
      <c r="C5695" t="s">
        <v>100</v>
      </c>
      <c r="D5695">
        <v>50</v>
      </c>
      <c r="E5695" t="s">
        <v>24</v>
      </c>
      <c r="F5695" t="s">
        <v>13</v>
      </c>
      <c r="G5695" t="s">
        <v>230</v>
      </c>
      <c r="H5695" t="s">
        <v>103</v>
      </c>
      <c r="I5695">
        <v>33083</v>
      </c>
      <c r="J5695">
        <v>27040</v>
      </c>
    </row>
    <row r="5696" spans="1:10" x14ac:dyDescent="0.3">
      <c r="A5696" t="s">
        <v>5823</v>
      </c>
      <c r="B5696" s="1">
        <v>45963</v>
      </c>
      <c r="C5696" t="s">
        <v>23</v>
      </c>
      <c r="D5696">
        <v>44</v>
      </c>
      <c r="E5696" t="s">
        <v>39</v>
      </c>
      <c r="F5696" t="s">
        <v>19</v>
      </c>
      <c r="G5696" t="s">
        <v>63</v>
      </c>
      <c r="H5696" t="s">
        <v>243</v>
      </c>
      <c r="I5696">
        <v>28359</v>
      </c>
      <c r="J5696">
        <v>21381</v>
      </c>
    </row>
    <row r="5697" spans="1:10" x14ac:dyDescent="0.3">
      <c r="A5697" t="s">
        <v>5824</v>
      </c>
      <c r="B5697" s="1">
        <v>45906</v>
      </c>
      <c r="C5697" t="s">
        <v>38</v>
      </c>
      <c r="D5697">
        <v>36</v>
      </c>
      <c r="E5697" t="s">
        <v>33</v>
      </c>
      <c r="F5697" t="s">
        <v>13</v>
      </c>
      <c r="G5697" t="s">
        <v>206</v>
      </c>
      <c r="H5697" t="s">
        <v>165</v>
      </c>
      <c r="I5697">
        <v>32175</v>
      </c>
      <c r="J5697">
        <v>30730</v>
      </c>
    </row>
    <row r="5698" spans="1:10" x14ac:dyDescent="0.3">
      <c r="A5698" t="s">
        <v>5825</v>
      </c>
      <c r="B5698" s="1">
        <v>45927</v>
      </c>
      <c r="C5698" t="s">
        <v>38</v>
      </c>
      <c r="D5698">
        <v>39</v>
      </c>
      <c r="E5698" t="s">
        <v>18</v>
      </c>
      <c r="F5698" t="s">
        <v>75</v>
      </c>
      <c r="G5698" t="s">
        <v>110</v>
      </c>
      <c r="H5698" t="s">
        <v>111</v>
      </c>
      <c r="I5698">
        <v>38795</v>
      </c>
      <c r="J5698">
        <v>29437</v>
      </c>
    </row>
    <row r="5699" spans="1:10" x14ac:dyDescent="0.3">
      <c r="A5699" t="s">
        <v>5826</v>
      </c>
      <c r="B5699" s="1">
        <v>45926</v>
      </c>
      <c r="C5699" t="s">
        <v>38</v>
      </c>
      <c r="D5699">
        <v>39</v>
      </c>
      <c r="E5699" t="s">
        <v>33</v>
      </c>
      <c r="F5699" t="s">
        <v>109</v>
      </c>
      <c r="G5699" t="s">
        <v>182</v>
      </c>
      <c r="H5699" t="s">
        <v>55</v>
      </c>
      <c r="I5699">
        <v>35052</v>
      </c>
      <c r="J5699">
        <v>39069</v>
      </c>
    </row>
    <row r="5700" spans="1:10" x14ac:dyDescent="0.3">
      <c r="A5700" t="s">
        <v>5827</v>
      </c>
      <c r="B5700" s="1">
        <v>46013</v>
      </c>
      <c r="C5700" t="s">
        <v>100</v>
      </c>
      <c r="D5700">
        <v>52</v>
      </c>
      <c r="E5700" t="s">
        <v>70</v>
      </c>
      <c r="F5700" t="s">
        <v>193</v>
      </c>
      <c r="G5700" t="s">
        <v>47</v>
      </c>
      <c r="H5700" t="s">
        <v>188</v>
      </c>
      <c r="I5700">
        <v>33183</v>
      </c>
      <c r="J5700">
        <v>30785</v>
      </c>
    </row>
    <row r="5701" spans="1:10" x14ac:dyDescent="0.3">
      <c r="A5701" t="s">
        <v>5828</v>
      </c>
      <c r="B5701" s="1">
        <v>46017</v>
      </c>
      <c r="C5701" t="s">
        <v>100</v>
      </c>
      <c r="D5701">
        <v>52</v>
      </c>
      <c r="E5701" t="s">
        <v>70</v>
      </c>
      <c r="F5701" t="s">
        <v>57</v>
      </c>
      <c r="G5701" t="s">
        <v>199</v>
      </c>
      <c r="H5701" t="s">
        <v>243</v>
      </c>
      <c r="I5701">
        <v>31905</v>
      </c>
      <c r="J5701">
        <v>30747</v>
      </c>
    </row>
    <row r="5702" spans="1:10" x14ac:dyDescent="0.3">
      <c r="A5702" t="s">
        <v>5829</v>
      </c>
      <c r="B5702" s="1">
        <v>45686</v>
      </c>
      <c r="C5702" t="s">
        <v>17</v>
      </c>
      <c r="D5702">
        <v>5</v>
      </c>
      <c r="E5702" t="s">
        <v>12</v>
      </c>
      <c r="F5702" t="s">
        <v>50</v>
      </c>
      <c r="G5702" t="s">
        <v>72</v>
      </c>
      <c r="H5702" t="s">
        <v>15</v>
      </c>
      <c r="I5702">
        <v>17781</v>
      </c>
      <c r="J5702">
        <v>16591</v>
      </c>
    </row>
    <row r="5703" spans="1:10" x14ac:dyDescent="0.3">
      <c r="A5703" t="s">
        <v>5830</v>
      </c>
      <c r="B5703" s="1">
        <v>45768</v>
      </c>
      <c r="C5703" t="s">
        <v>86</v>
      </c>
      <c r="D5703">
        <v>17</v>
      </c>
      <c r="E5703" t="s">
        <v>39</v>
      </c>
      <c r="F5703" t="s">
        <v>34</v>
      </c>
      <c r="G5703" t="s">
        <v>326</v>
      </c>
      <c r="H5703" t="s">
        <v>119</v>
      </c>
      <c r="I5703">
        <v>32084</v>
      </c>
      <c r="J5703">
        <v>29171</v>
      </c>
    </row>
    <row r="5704" spans="1:10" x14ac:dyDescent="0.3">
      <c r="A5704" t="s">
        <v>5831</v>
      </c>
      <c r="B5704" s="1">
        <v>46005</v>
      </c>
      <c r="C5704" t="s">
        <v>100</v>
      </c>
      <c r="D5704">
        <v>50</v>
      </c>
      <c r="E5704" t="s">
        <v>12</v>
      </c>
      <c r="F5704" t="s">
        <v>57</v>
      </c>
      <c r="G5704" t="s">
        <v>132</v>
      </c>
      <c r="H5704" t="s">
        <v>163</v>
      </c>
      <c r="I5704">
        <v>37562</v>
      </c>
      <c r="J5704">
        <v>43356</v>
      </c>
    </row>
    <row r="5705" spans="1:10" x14ac:dyDescent="0.3">
      <c r="A5705" t="s">
        <v>5832</v>
      </c>
      <c r="B5705" s="1">
        <v>45988</v>
      </c>
      <c r="C5705" t="s">
        <v>23</v>
      </c>
      <c r="D5705">
        <v>48</v>
      </c>
      <c r="E5705" t="s">
        <v>33</v>
      </c>
      <c r="F5705" t="s">
        <v>101</v>
      </c>
      <c r="G5705" t="s">
        <v>128</v>
      </c>
      <c r="H5705" t="s">
        <v>133</v>
      </c>
      <c r="I5705">
        <v>37794</v>
      </c>
      <c r="J5705">
        <v>40517</v>
      </c>
    </row>
    <row r="5706" spans="1:10" x14ac:dyDescent="0.3">
      <c r="A5706" t="s">
        <v>5833</v>
      </c>
      <c r="B5706" s="1">
        <v>45862</v>
      </c>
      <c r="C5706" t="s">
        <v>11</v>
      </c>
      <c r="D5706">
        <v>30</v>
      </c>
      <c r="E5706" t="s">
        <v>61</v>
      </c>
      <c r="F5706" t="s">
        <v>29</v>
      </c>
      <c r="G5706" t="s">
        <v>199</v>
      </c>
      <c r="H5706" t="s">
        <v>64</v>
      </c>
      <c r="I5706">
        <v>29442</v>
      </c>
      <c r="J5706">
        <v>23547</v>
      </c>
    </row>
    <row r="5707" spans="1:10" x14ac:dyDescent="0.3">
      <c r="A5707" t="s">
        <v>5834</v>
      </c>
      <c r="B5707" s="1">
        <v>45724</v>
      </c>
      <c r="C5707" t="s">
        <v>95</v>
      </c>
      <c r="D5707">
        <v>10</v>
      </c>
      <c r="E5707" t="s">
        <v>39</v>
      </c>
      <c r="F5707" t="s">
        <v>78</v>
      </c>
      <c r="G5707" t="s">
        <v>171</v>
      </c>
      <c r="H5707" t="s">
        <v>98</v>
      </c>
      <c r="I5707">
        <v>24290</v>
      </c>
      <c r="J5707">
        <v>20265</v>
      </c>
    </row>
    <row r="5708" spans="1:10" x14ac:dyDescent="0.3">
      <c r="A5708" t="s">
        <v>5835</v>
      </c>
      <c r="B5708" s="1">
        <v>45982</v>
      </c>
      <c r="C5708" t="s">
        <v>23</v>
      </c>
      <c r="D5708">
        <v>47</v>
      </c>
      <c r="E5708" t="s">
        <v>61</v>
      </c>
      <c r="F5708" t="s">
        <v>13</v>
      </c>
      <c r="G5708" t="s">
        <v>132</v>
      </c>
      <c r="H5708" t="s">
        <v>80</v>
      </c>
      <c r="I5708">
        <v>24128</v>
      </c>
      <c r="J5708">
        <v>25095</v>
      </c>
    </row>
    <row r="5709" spans="1:10" x14ac:dyDescent="0.3">
      <c r="A5709" t="s">
        <v>5836</v>
      </c>
      <c r="B5709" s="1">
        <v>46014</v>
      </c>
      <c r="C5709" t="s">
        <v>100</v>
      </c>
      <c r="D5709">
        <v>52</v>
      </c>
      <c r="E5709" t="s">
        <v>70</v>
      </c>
      <c r="F5709" t="s">
        <v>92</v>
      </c>
      <c r="G5709" t="s">
        <v>147</v>
      </c>
      <c r="H5709" t="s">
        <v>103</v>
      </c>
      <c r="I5709">
        <v>22620</v>
      </c>
      <c r="J5709">
        <v>21135</v>
      </c>
    </row>
    <row r="5710" spans="1:10" x14ac:dyDescent="0.3">
      <c r="A5710" t="s">
        <v>5837</v>
      </c>
      <c r="B5710" s="1">
        <v>45935</v>
      </c>
      <c r="C5710" t="s">
        <v>66</v>
      </c>
      <c r="D5710">
        <v>40</v>
      </c>
      <c r="E5710" t="s">
        <v>70</v>
      </c>
      <c r="F5710" t="s">
        <v>114</v>
      </c>
      <c r="G5710" t="s">
        <v>110</v>
      </c>
      <c r="H5710" t="s">
        <v>52</v>
      </c>
      <c r="I5710">
        <v>30924</v>
      </c>
      <c r="J5710">
        <v>28767</v>
      </c>
    </row>
    <row r="5711" spans="1:10" x14ac:dyDescent="0.3">
      <c r="A5711" t="s">
        <v>5838</v>
      </c>
      <c r="B5711" s="1">
        <v>45704</v>
      </c>
      <c r="C5711" t="s">
        <v>82</v>
      </c>
      <c r="D5711">
        <v>7</v>
      </c>
      <c r="E5711" t="s">
        <v>33</v>
      </c>
      <c r="F5711" t="s">
        <v>62</v>
      </c>
      <c r="G5711" t="s">
        <v>291</v>
      </c>
      <c r="H5711" t="s">
        <v>163</v>
      </c>
      <c r="I5711">
        <v>32530</v>
      </c>
      <c r="J5711">
        <v>39660</v>
      </c>
    </row>
    <row r="5712" spans="1:10" x14ac:dyDescent="0.3">
      <c r="A5712" t="s">
        <v>5839</v>
      </c>
      <c r="B5712" s="1">
        <v>45841</v>
      </c>
      <c r="C5712" t="s">
        <v>11</v>
      </c>
      <c r="D5712">
        <v>27</v>
      </c>
      <c r="E5712" t="s">
        <v>18</v>
      </c>
      <c r="F5712" t="s">
        <v>19</v>
      </c>
      <c r="G5712" t="s">
        <v>40</v>
      </c>
      <c r="H5712" t="s">
        <v>119</v>
      </c>
      <c r="I5712">
        <v>24749</v>
      </c>
      <c r="J5712">
        <v>28755</v>
      </c>
    </row>
    <row r="5713" spans="1:10" x14ac:dyDescent="0.3">
      <c r="A5713" t="s">
        <v>5840</v>
      </c>
      <c r="B5713" s="1">
        <v>45781</v>
      </c>
      <c r="C5713" t="s">
        <v>90</v>
      </c>
      <c r="D5713">
        <v>18</v>
      </c>
      <c r="E5713" t="s">
        <v>18</v>
      </c>
      <c r="F5713" t="s">
        <v>57</v>
      </c>
      <c r="G5713" t="s">
        <v>137</v>
      </c>
      <c r="H5713" t="s">
        <v>15</v>
      </c>
      <c r="I5713">
        <v>38312</v>
      </c>
      <c r="J5713">
        <v>45012</v>
      </c>
    </row>
    <row r="5714" spans="1:10" x14ac:dyDescent="0.3">
      <c r="A5714" t="s">
        <v>5841</v>
      </c>
      <c r="B5714" s="1">
        <v>46003</v>
      </c>
      <c r="C5714" t="s">
        <v>100</v>
      </c>
      <c r="D5714">
        <v>50</v>
      </c>
      <c r="E5714" t="s">
        <v>39</v>
      </c>
      <c r="F5714" t="s">
        <v>78</v>
      </c>
      <c r="G5714" t="s">
        <v>234</v>
      </c>
      <c r="H5714" t="s">
        <v>116</v>
      </c>
      <c r="I5714">
        <v>27678</v>
      </c>
      <c r="J5714">
        <v>24675</v>
      </c>
    </row>
    <row r="5715" spans="1:10" x14ac:dyDescent="0.3">
      <c r="A5715" t="s">
        <v>5842</v>
      </c>
      <c r="B5715" s="1">
        <v>45921</v>
      </c>
      <c r="C5715" t="s">
        <v>38</v>
      </c>
      <c r="D5715">
        <v>38</v>
      </c>
      <c r="E5715" t="s">
        <v>61</v>
      </c>
      <c r="F5715" t="s">
        <v>62</v>
      </c>
      <c r="G5715" t="s">
        <v>324</v>
      </c>
      <c r="H5715" t="s">
        <v>21</v>
      </c>
      <c r="I5715">
        <v>16806</v>
      </c>
      <c r="J5715">
        <v>16431</v>
      </c>
    </row>
    <row r="5716" spans="1:10" x14ac:dyDescent="0.3">
      <c r="A5716" t="s">
        <v>5843</v>
      </c>
      <c r="B5716" s="1">
        <v>45981</v>
      </c>
      <c r="C5716" t="s">
        <v>23</v>
      </c>
      <c r="D5716">
        <v>47</v>
      </c>
      <c r="E5716" t="s">
        <v>12</v>
      </c>
      <c r="F5716" t="s">
        <v>34</v>
      </c>
      <c r="G5716" t="s">
        <v>110</v>
      </c>
      <c r="H5716" t="s">
        <v>133</v>
      </c>
      <c r="I5716">
        <v>26292</v>
      </c>
      <c r="J5716">
        <v>25431</v>
      </c>
    </row>
    <row r="5717" spans="1:10" x14ac:dyDescent="0.3">
      <c r="A5717" t="s">
        <v>5844</v>
      </c>
      <c r="B5717" s="1">
        <v>45907</v>
      </c>
      <c r="C5717" t="s">
        <v>38</v>
      </c>
      <c r="D5717">
        <v>36</v>
      </c>
      <c r="E5717" t="s">
        <v>24</v>
      </c>
      <c r="F5717" t="s">
        <v>109</v>
      </c>
      <c r="G5717" t="s">
        <v>191</v>
      </c>
      <c r="H5717" t="s">
        <v>165</v>
      </c>
      <c r="I5717">
        <v>38518</v>
      </c>
      <c r="J5717">
        <v>33212</v>
      </c>
    </row>
    <row r="5718" spans="1:10" x14ac:dyDescent="0.3">
      <c r="A5718" t="s">
        <v>5845</v>
      </c>
      <c r="B5718" s="1">
        <v>45898</v>
      </c>
      <c r="C5718" t="s">
        <v>113</v>
      </c>
      <c r="D5718">
        <v>35</v>
      </c>
      <c r="E5718" t="s">
        <v>18</v>
      </c>
      <c r="F5718" t="s">
        <v>193</v>
      </c>
      <c r="G5718" t="s">
        <v>115</v>
      </c>
      <c r="H5718" t="s">
        <v>165</v>
      </c>
      <c r="I5718">
        <v>28183</v>
      </c>
      <c r="J5718">
        <v>25886</v>
      </c>
    </row>
    <row r="5719" spans="1:10" x14ac:dyDescent="0.3">
      <c r="A5719" t="s">
        <v>5846</v>
      </c>
      <c r="B5719" s="1">
        <v>45774</v>
      </c>
      <c r="C5719" t="s">
        <v>86</v>
      </c>
      <c r="D5719">
        <v>17</v>
      </c>
      <c r="E5719" t="s">
        <v>33</v>
      </c>
      <c r="F5719" t="s">
        <v>140</v>
      </c>
      <c r="G5719" t="s">
        <v>132</v>
      </c>
      <c r="H5719" t="s">
        <v>157</v>
      </c>
      <c r="I5719">
        <v>26357</v>
      </c>
      <c r="J5719">
        <v>21882</v>
      </c>
    </row>
    <row r="5720" spans="1:10" x14ac:dyDescent="0.3">
      <c r="A5720" t="s">
        <v>5847</v>
      </c>
      <c r="B5720" s="1">
        <v>46001</v>
      </c>
      <c r="C5720" t="s">
        <v>100</v>
      </c>
      <c r="D5720">
        <v>50</v>
      </c>
      <c r="E5720" t="s">
        <v>70</v>
      </c>
      <c r="F5720" t="s">
        <v>122</v>
      </c>
      <c r="G5720" t="s">
        <v>234</v>
      </c>
      <c r="H5720" t="s">
        <v>123</v>
      </c>
      <c r="I5720">
        <v>39516</v>
      </c>
      <c r="J5720">
        <v>46441</v>
      </c>
    </row>
    <row r="5721" spans="1:10" x14ac:dyDescent="0.3">
      <c r="A5721" t="s">
        <v>5848</v>
      </c>
      <c r="B5721" s="1">
        <v>45704</v>
      </c>
      <c r="C5721" t="s">
        <v>82</v>
      </c>
      <c r="D5721">
        <v>7</v>
      </c>
      <c r="E5721" t="s">
        <v>39</v>
      </c>
      <c r="F5721" t="s">
        <v>109</v>
      </c>
      <c r="G5721" t="s">
        <v>115</v>
      </c>
      <c r="H5721" t="s">
        <v>52</v>
      </c>
      <c r="I5721">
        <v>18373</v>
      </c>
      <c r="J5721">
        <v>13208</v>
      </c>
    </row>
    <row r="5722" spans="1:10" x14ac:dyDescent="0.3">
      <c r="A5722" t="s">
        <v>5849</v>
      </c>
      <c r="B5722" s="1">
        <v>45714</v>
      </c>
      <c r="C5722" t="s">
        <v>82</v>
      </c>
      <c r="D5722">
        <v>9</v>
      </c>
      <c r="E5722" t="s">
        <v>24</v>
      </c>
      <c r="F5722" t="s">
        <v>109</v>
      </c>
      <c r="G5722" t="s">
        <v>130</v>
      </c>
      <c r="H5722" t="s">
        <v>21</v>
      </c>
      <c r="I5722">
        <v>32572</v>
      </c>
      <c r="J5722">
        <v>31203</v>
      </c>
    </row>
    <row r="5723" spans="1:10" x14ac:dyDescent="0.3">
      <c r="A5723" t="s">
        <v>5850</v>
      </c>
      <c r="B5723" s="1">
        <v>45842</v>
      </c>
      <c r="C5723" t="s">
        <v>11</v>
      </c>
      <c r="D5723">
        <v>27</v>
      </c>
      <c r="E5723" t="s">
        <v>33</v>
      </c>
      <c r="F5723" t="s">
        <v>25</v>
      </c>
      <c r="G5723" t="s">
        <v>199</v>
      </c>
      <c r="H5723" t="s">
        <v>188</v>
      </c>
      <c r="I5723">
        <v>15297</v>
      </c>
      <c r="J5723">
        <v>18960</v>
      </c>
    </row>
    <row r="5724" spans="1:10" x14ac:dyDescent="0.3">
      <c r="A5724" t="s">
        <v>5851</v>
      </c>
      <c r="B5724" s="1">
        <v>45722</v>
      </c>
      <c r="C5724" t="s">
        <v>95</v>
      </c>
      <c r="D5724">
        <v>10</v>
      </c>
      <c r="E5724" t="s">
        <v>61</v>
      </c>
      <c r="F5724" t="s">
        <v>114</v>
      </c>
      <c r="G5724" t="s">
        <v>76</v>
      </c>
      <c r="H5724" t="s">
        <v>68</v>
      </c>
      <c r="I5724">
        <v>28649</v>
      </c>
      <c r="J5724">
        <v>29620</v>
      </c>
    </row>
    <row r="5725" spans="1:10" x14ac:dyDescent="0.3">
      <c r="A5725" t="s">
        <v>5852</v>
      </c>
      <c r="B5725" s="1">
        <v>45964</v>
      </c>
      <c r="C5725" t="s">
        <v>23</v>
      </c>
      <c r="D5725">
        <v>45</v>
      </c>
      <c r="E5725" t="s">
        <v>12</v>
      </c>
      <c r="F5725" t="s">
        <v>193</v>
      </c>
      <c r="G5725" t="s">
        <v>224</v>
      </c>
      <c r="H5725" t="s">
        <v>103</v>
      </c>
      <c r="I5725">
        <v>16861</v>
      </c>
      <c r="J5725">
        <v>13600</v>
      </c>
    </row>
    <row r="5726" spans="1:10" x14ac:dyDescent="0.3">
      <c r="A5726" t="s">
        <v>5853</v>
      </c>
      <c r="B5726" s="1">
        <v>45863</v>
      </c>
      <c r="C5726" t="s">
        <v>11</v>
      </c>
      <c r="D5726">
        <v>30</v>
      </c>
      <c r="E5726" t="s">
        <v>33</v>
      </c>
      <c r="F5726" t="s">
        <v>140</v>
      </c>
      <c r="G5726" t="s">
        <v>135</v>
      </c>
      <c r="H5726" t="s">
        <v>21</v>
      </c>
      <c r="I5726">
        <v>30155</v>
      </c>
      <c r="J5726">
        <v>25566</v>
      </c>
    </row>
    <row r="5727" spans="1:10" x14ac:dyDescent="0.3">
      <c r="A5727" t="s">
        <v>5854</v>
      </c>
      <c r="B5727" s="1">
        <v>45945</v>
      </c>
      <c r="C5727" t="s">
        <v>66</v>
      </c>
      <c r="D5727">
        <v>42</v>
      </c>
      <c r="E5727" t="s">
        <v>12</v>
      </c>
      <c r="F5727" t="s">
        <v>87</v>
      </c>
      <c r="G5727" t="s">
        <v>230</v>
      </c>
      <c r="H5727" t="s">
        <v>119</v>
      </c>
      <c r="I5727">
        <v>38374</v>
      </c>
      <c r="J5727">
        <v>48904</v>
      </c>
    </row>
    <row r="5728" spans="1:10" x14ac:dyDescent="0.3">
      <c r="A5728" t="s">
        <v>5855</v>
      </c>
      <c r="B5728" s="1">
        <v>45744</v>
      </c>
      <c r="C5728" t="s">
        <v>95</v>
      </c>
      <c r="D5728">
        <v>13</v>
      </c>
      <c r="E5728" t="s">
        <v>24</v>
      </c>
      <c r="F5728" t="s">
        <v>46</v>
      </c>
      <c r="G5728" t="s">
        <v>230</v>
      </c>
      <c r="H5728" t="s">
        <v>48</v>
      </c>
      <c r="I5728">
        <v>16864</v>
      </c>
      <c r="J5728">
        <v>17252</v>
      </c>
    </row>
    <row r="5729" spans="1:10" x14ac:dyDescent="0.3">
      <c r="A5729" t="s">
        <v>5856</v>
      </c>
      <c r="B5729" s="1">
        <v>45805</v>
      </c>
      <c r="C5729" t="s">
        <v>90</v>
      </c>
      <c r="D5729">
        <v>22</v>
      </c>
      <c r="E5729" t="s">
        <v>18</v>
      </c>
      <c r="F5729" t="s">
        <v>29</v>
      </c>
      <c r="G5729" t="s">
        <v>291</v>
      </c>
      <c r="H5729" t="s">
        <v>123</v>
      </c>
      <c r="I5729">
        <v>36487</v>
      </c>
      <c r="J5729">
        <v>31970</v>
      </c>
    </row>
    <row r="5730" spans="1:10" x14ac:dyDescent="0.3">
      <c r="A5730" t="s">
        <v>5857</v>
      </c>
      <c r="B5730" s="1">
        <v>45844</v>
      </c>
      <c r="C5730" t="s">
        <v>11</v>
      </c>
      <c r="D5730">
        <v>27</v>
      </c>
      <c r="E5730" t="s">
        <v>61</v>
      </c>
      <c r="F5730" t="s">
        <v>122</v>
      </c>
      <c r="G5730" t="s">
        <v>240</v>
      </c>
      <c r="H5730" t="s">
        <v>59</v>
      </c>
      <c r="I5730">
        <v>22212</v>
      </c>
      <c r="J5730">
        <v>22893</v>
      </c>
    </row>
    <row r="5731" spans="1:10" x14ac:dyDescent="0.3">
      <c r="A5731" t="s">
        <v>5858</v>
      </c>
      <c r="B5731" s="1">
        <v>45812</v>
      </c>
      <c r="C5731" t="s">
        <v>74</v>
      </c>
      <c r="D5731">
        <v>23</v>
      </c>
      <c r="E5731" t="s">
        <v>24</v>
      </c>
      <c r="F5731" t="s">
        <v>114</v>
      </c>
      <c r="G5731" t="s">
        <v>206</v>
      </c>
      <c r="H5731" t="s">
        <v>116</v>
      </c>
      <c r="I5731">
        <v>35713</v>
      </c>
      <c r="J5731">
        <v>26466</v>
      </c>
    </row>
    <row r="5732" spans="1:10" x14ac:dyDescent="0.3">
      <c r="A5732" t="s">
        <v>5859</v>
      </c>
      <c r="B5732" s="1">
        <v>45669</v>
      </c>
      <c r="C5732" t="s">
        <v>17</v>
      </c>
      <c r="D5732">
        <v>2</v>
      </c>
      <c r="E5732" t="s">
        <v>70</v>
      </c>
      <c r="F5732" t="s">
        <v>92</v>
      </c>
      <c r="G5732" t="s">
        <v>182</v>
      </c>
      <c r="H5732" t="s">
        <v>157</v>
      </c>
      <c r="I5732">
        <v>31231</v>
      </c>
      <c r="J5732">
        <v>28618</v>
      </c>
    </row>
    <row r="5733" spans="1:10" x14ac:dyDescent="0.3">
      <c r="A5733" t="s">
        <v>5860</v>
      </c>
      <c r="B5733" s="1">
        <v>45813</v>
      </c>
      <c r="C5733" t="s">
        <v>74</v>
      </c>
      <c r="D5733">
        <v>23</v>
      </c>
      <c r="E5733" t="s">
        <v>33</v>
      </c>
      <c r="F5733" t="s">
        <v>34</v>
      </c>
      <c r="G5733" t="s">
        <v>206</v>
      </c>
      <c r="H5733" t="s">
        <v>96</v>
      </c>
      <c r="I5733">
        <v>39016</v>
      </c>
      <c r="J5733">
        <v>41064</v>
      </c>
    </row>
    <row r="5734" spans="1:10" x14ac:dyDescent="0.3">
      <c r="A5734" t="s">
        <v>5861</v>
      </c>
      <c r="B5734" s="1">
        <v>45669</v>
      </c>
      <c r="C5734" t="s">
        <v>17</v>
      </c>
      <c r="D5734">
        <v>2</v>
      </c>
      <c r="E5734" t="s">
        <v>18</v>
      </c>
      <c r="F5734" t="s">
        <v>140</v>
      </c>
      <c r="G5734" t="s">
        <v>72</v>
      </c>
      <c r="H5734" t="s">
        <v>133</v>
      </c>
      <c r="I5734">
        <v>37784</v>
      </c>
      <c r="J5734">
        <v>40855</v>
      </c>
    </row>
    <row r="5735" spans="1:10" x14ac:dyDescent="0.3">
      <c r="A5735" t="s">
        <v>5862</v>
      </c>
      <c r="B5735" s="1">
        <v>45826</v>
      </c>
      <c r="C5735" t="s">
        <v>74</v>
      </c>
      <c r="D5735">
        <v>25</v>
      </c>
      <c r="E5735" t="s">
        <v>61</v>
      </c>
      <c r="F5735" t="s">
        <v>78</v>
      </c>
      <c r="G5735" t="s">
        <v>137</v>
      </c>
      <c r="H5735" t="s">
        <v>52</v>
      </c>
      <c r="I5735">
        <v>25164</v>
      </c>
      <c r="J5735">
        <v>32198</v>
      </c>
    </row>
    <row r="5736" spans="1:10" x14ac:dyDescent="0.3">
      <c r="A5736" t="s">
        <v>5863</v>
      </c>
      <c r="B5736" s="1">
        <v>45992</v>
      </c>
      <c r="C5736" t="s">
        <v>100</v>
      </c>
      <c r="D5736">
        <v>49</v>
      </c>
      <c r="E5736" t="s">
        <v>33</v>
      </c>
      <c r="F5736" t="s">
        <v>50</v>
      </c>
      <c r="G5736" t="s">
        <v>145</v>
      </c>
      <c r="H5736" t="s">
        <v>211</v>
      </c>
      <c r="I5736">
        <v>25360</v>
      </c>
      <c r="J5736">
        <v>25871</v>
      </c>
    </row>
    <row r="5737" spans="1:10" x14ac:dyDescent="0.3">
      <c r="A5737" t="s">
        <v>5864</v>
      </c>
      <c r="B5737" s="1">
        <v>45834</v>
      </c>
      <c r="C5737" t="s">
        <v>74</v>
      </c>
      <c r="D5737">
        <v>26</v>
      </c>
      <c r="E5737" t="s">
        <v>12</v>
      </c>
      <c r="F5737" t="s">
        <v>92</v>
      </c>
      <c r="G5737" t="s">
        <v>83</v>
      </c>
      <c r="H5737" t="s">
        <v>151</v>
      </c>
      <c r="I5737">
        <v>29006</v>
      </c>
      <c r="J5737">
        <v>29355</v>
      </c>
    </row>
    <row r="5738" spans="1:10" x14ac:dyDescent="0.3">
      <c r="A5738" t="s">
        <v>5865</v>
      </c>
      <c r="B5738" s="1">
        <v>46004</v>
      </c>
      <c r="C5738" t="s">
        <v>100</v>
      </c>
      <c r="D5738">
        <v>50</v>
      </c>
      <c r="E5738" t="s">
        <v>70</v>
      </c>
      <c r="F5738" t="s">
        <v>78</v>
      </c>
      <c r="G5738" t="s">
        <v>206</v>
      </c>
      <c r="H5738" t="s">
        <v>133</v>
      </c>
      <c r="I5738">
        <v>36560</v>
      </c>
      <c r="J5738">
        <v>28868</v>
      </c>
    </row>
    <row r="5739" spans="1:10" x14ac:dyDescent="0.3">
      <c r="A5739" t="s">
        <v>5866</v>
      </c>
      <c r="B5739" s="1">
        <v>46009</v>
      </c>
      <c r="C5739" t="s">
        <v>100</v>
      </c>
      <c r="D5739">
        <v>51</v>
      </c>
      <c r="E5739" t="s">
        <v>12</v>
      </c>
      <c r="F5739" t="s">
        <v>62</v>
      </c>
      <c r="G5739" t="s">
        <v>191</v>
      </c>
      <c r="H5739" t="s">
        <v>52</v>
      </c>
      <c r="I5739">
        <v>18186</v>
      </c>
      <c r="J5739">
        <v>17150</v>
      </c>
    </row>
    <row r="5740" spans="1:10" x14ac:dyDescent="0.3">
      <c r="A5740" t="s">
        <v>5867</v>
      </c>
      <c r="B5740" s="1">
        <v>45779</v>
      </c>
      <c r="C5740" t="s">
        <v>90</v>
      </c>
      <c r="D5740">
        <v>18</v>
      </c>
      <c r="E5740" t="s">
        <v>70</v>
      </c>
      <c r="F5740" t="s">
        <v>19</v>
      </c>
      <c r="G5740" t="s">
        <v>291</v>
      </c>
      <c r="H5740" t="s">
        <v>157</v>
      </c>
      <c r="I5740">
        <v>26292</v>
      </c>
      <c r="J5740">
        <v>22102</v>
      </c>
    </row>
    <row r="5741" spans="1:10" x14ac:dyDescent="0.3">
      <c r="A5741" t="s">
        <v>5868</v>
      </c>
      <c r="B5741" s="1">
        <v>45960</v>
      </c>
      <c r="C5741" t="s">
        <v>66</v>
      </c>
      <c r="D5741">
        <v>44</v>
      </c>
      <c r="E5741" t="s">
        <v>12</v>
      </c>
      <c r="F5741" t="s">
        <v>101</v>
      </c>
      <c r="G5741" t="s">
        <v>83</v>
      </c>
      <c r="H5741" t="s">
        <v>98</v>
      </c>
      <c r="I5741">
        <v>21260</v>
      </c>
      <c r="J5741">
        <v>26836</v>
      </c>
    </row>
    <row r="5742" spans="1:10" x14ac:dyDescent="0.3">
      <c r="A5742" t="s">
        <v>5869</v>
      </c>
      <c r="B5742" s="1">
        <v>45948</v>
      </c>
      <c r="C5742" t="s">
        <v>66</v>
      </c>
      <c r="D5742">
        <v>42</v>
      </c>
      <c r="E5742" t="s">
        <v>12</v>
      </c>
      <c r="F5742" t="s">
        <v>101</v>
      </c>
      <c r="G5742" t="s">
        <v>182</v>
      </c>
      <c r="H5742" t="s">
        <v>211</v>
      </c>
      <c r="I5742">
        <v>15397</v>
      </c>
      <c r="J5742">
        <v>11692</v>
      </c>
    </row>
    <row r="5743" spans="1:10" x14ac:dyDescent="0.3">
      <c r="A5743" t="s">
        <v>5870</v>
      </c>
      <c r="B5743" s="1">
        <v>45839</v>
      </c>
      <c r="C5743" t="s">
        <v>11</v>
      </c>
      <c r="D5743">
        <v>27</v>
      </c>
      <c r="E5743" t="s">
        <v>61</v>
      </c>
      <c r="F5743" t="s">
        <v>140</v>
      </c>
      <c r="G5743" t="s">
        <v>224</v>
      </c>
      <c r="H5743" t="s">
        <v>21</v>
      </c>
      <c r="I5743">
        <v>36115</v>
      </c>
      <c r="J5743">
        <v>32762</v>
      </c>
    </row>
    <row r="5744" spans="1:10" x14ac:dyDescent="0.3">
      <c r="A5744" t="s">
        <v>5871</v>
      </c>
      <c r="B5744" s="1">
        <v>46011</v>
      </c>
      <c r="C5744" t="s">
        <v>100</v>
      </c>
      <c r="D5744">
        <v>51</v>
      </c>
      <c r="E5744" t="s">
        <v>18</v>
      </c>
      <c r="F5744" t="s">
        <v>114</v>
      </c>
      <c r="G5744" t="s">
        <v>291</v>
      </c>
      <c r="H5744" t="s">
        <v>98</v>
      </c>
      <c r="I5744">
        <v>21660</v>
      </c>
      <c r="J5744">
        <v>15662</v>
      </c>
    </row>
    <row r="5745" spans="1:10" x14ac:dyDescent="0.3">
      <c r="A5745" t="s">
        <v>5872</v>
      </c>
      <c r="B5745" s="1">
        <v>45754</v>
      </c>
      <c r="C5745" t="s">
        <v>86</v>
      </c>
      <c r="D5745">
        <v>15</v>
      </c>
      <c r="E5745" t="s">
        <v>61</v>
      </c>
      <c r="F5745" t="s">
        <v>101</v>
      </c>
      <c r="G5745" t="s">
        <v>115</v>
      </c>
      <c r="H5745" t="s">
        <v>27</v>
      </c>
      <c r="I5745">
        <v>20865</v>
      </c>
      <c r="J5745">
        <v>23917</v>
      </c>
    </row>
    <row r="5746" spans="1:10" x14ac:dyDescent="0.3">
      <c r="A5746" t="s">
        <v>5873</v>
      </c>
      <c r="B5746" s="1">
        <v>45849</v>
      </c>
      <c r="C5746" t="s">
        <v>11</v>
      </c>
      <c r="D5746">
        <v>28</v>
      </c>
      <c r="E5746" t="s">
        <v>39</v>
      </c>
      <c r="F5746" t="s">
        <v>92</v>
      </c>
      <c r="G5746" t="s">
        <v>102</v>
      </c>
      <c r="H5746" t="s">
        <v>98</v>
      </c>
      <c r="I5746">
        <v>24191</v>
      </c>
      <c r="J5746">
        <v>30777</v>
      </c>
    </row>
    <row r="5747" spans="1:10" x14ac:dyDescent="0.3">
      <c r="A5747" t="s">
        <v>5874</v>
      </c>
      <c r="B5747" s="1">
        <v>45930</v>
      </c>
      <c r="C5747" t="s">
        <v>38</v>
      </c>
      <c r="D5747">
        <v>40</v>
      </c>
      <c r="E5747" t="s">
        <v>18</v>
      </c>
      <c r="F5747" t="s">
        <v>50</v>
      </c>
      <c r="G5747" t="s">
        <v>72</v>
      </c>
      <c r="H5747" t="s">
        <v>48</v>
      </c>
      <c r="I5747">
        <v>31083</v>
      </c>
      <c r="J5747">
        <v>33002</v>
      </c>
    </row>
    <row r="5748" spans="1:10" x14ac:dyDescent="0.3">
      <c r="A5748" t="s">
        <v>5875</v>
      </c>
      <c r="B5748" s="1">
        <v>46010</v>
      </c>
      <c r="C5748" t="s">
        <v>100</v>
      </c>
      <c r="D5748">
        <v>51</v>
      </c>
      <c r="E5748" t="s">
        <v>12</v>
      </c>
      <c r="F5748" t="s">
        <v>43</v>
      </c>
      <c r="G5748" t="s">
        <v>47</v>
      </c>
      <c r="H5748" t="s">
        <v>48</v>
      </c>
      <c r="I5748">
        <v>36122</v>
      </c>
      <c r="J5748">
        <v>45036</v>
      </c>
    </row>
    <row r="5749" spans="1:10" x14ac:dyDescent="0.3">
      <c r="A5749" t="s">
        <v>5876</v>
      </c>
      <c r="B5749" s="1">
        <v>45864</v>
      </c>
      <c r="C5749" t="s">
        <v>11</v>
      </c>
      <c r="D5749">
        <v>30</v>
      </c>
      <c r="E5749" t="s">
        <v>12</v>
      </c>
      <c r="F5749" t="s">
        <v>114</v>
      </c>
      <c r="G5749" t="s">
        <v>72</v>
      </c>
      <c r="H5749" t="s">
        <v>151</v>
      </c>
      <c r="I5749">
        <v>32601</v>
      </c>
      <c r="J5749">
        <v>36217</v>
      </c>
    </row>
    <row r="5750" spans="1:10" x14ac:dyDescent="0.3">
      <c r="A5750" t="s">
        <v>5877</v>
      </c>
      <c r="B5750" s="1">
        <v>45957</v>
      </c>
      <c r="C5750" t="s">
        <v>66</v>
      </c>
      <c r="D5750">
        <v>44</v>
      </c>
      <c r="E5750" t="s">
        <v>33</v>
      </c>
      <c r="F5750" t="s">
        <v>34</v>
      </c>
      <c r="G5750" t="s">
        <v>20</v>
      </c>
      <c r="H5750" t="s">
        <v>111</v>
      </c>
      <c r="I5750">
        <v>24810</v>
      </c>
      <c r="J5750">
        <v>23823</v>
      </c>
    </row>
    <row r="5751" spans="1:10" x14ac:dyDescent="0.3">
      <c r="A5751" t="s">
        <v>5878</v>
      </c>
      <c r="B5751" s="1">
        <v>45827</v>
      </c>
      <c r="C5751" t="s">
        <v>74</v>
      </c>
      <c r="D5751">
        <v>25</v>
      </c>
      <c r="E5751" t="s">
        <v>39</v>
      </c>
      <c r="F5751" t="s">
        <v>75</v>
      </c>
      <c r="G5751" t="s">
        <v>35</v>
      </c>
      <c r="H5751" t="s">
        <v>55</v>
      </c>
      <c r="I5751">
        <v>38573</v>
      </c>
      <c r="J5751">
        <v>44939</v>
      </c>
    </row>
    <row r="5752" spans="1:10" x14ac:dyDescent="0.3">
      <c r="A5752" t="s">
        <v>5879</v>
      </c>
      <c r="B5752" s="1">
        <v>45682</v>
      </c>
      <c r="C5752" t="s">
        <v>17</v>
      </c>
      <c r="D5752">
        <v>4</v>
      </c>
      <c r="E5752" t="s">
        <v>61</v>
      </c>
      <c r="F5752" t="s">
        <v>114</v>
      </c>
      <c r="G5752" t="s">
        <v>135</v>
      </c>
      <c r="H5752" t="s">
        <v>36</v>
      </c>
      <c r="I5752">
        <v>32348</v>
      </c>
      <c r="J5752">
        <v>34364</v>
      </c>
    </row>
    <row r="5753" spans="1:10" x14ac:dyDescent="0.3">
      <c r="A5753" t="s">
        <v>5880</v>
      </c>
      <c r="B5753" s="1">
        <v>45797</v>
      </c>
      <c r="C5753" t="s">
        <v>90</v>
      </c>
      <c r="D5753">
        <v>21</v>
      </c>
      <c r="E5753" t="s">
        <v>39</v>
      </c>
      <c r="F5753" t="s">
        <v>75</v>
      </c>
      <c r="G5753" t="s">
        <v>83</v>
      </c>
      <c r="H5753" t="s">
        <v>98</v>
      </c>
      <c r="I5753">
        <v>37329</v>
      </c>
      <c r="J5753">
        <v>37585</v>
      </c>
    </row>
    <row r="5754" spans="1:10" x14ac:dyDescent="0.3">
      <c r="A5754" t="s">
        <v>5881</v>
      </c>
      <c r="B5754" s="1">
        <v>45673</v>
      </c>
      <c r="C5754" t="s">
        <v>17</v>
      </c>
      <c r="D5754">
        <v>3</v>
      </c>
      <c r="E5754" t="s">
        <v>39</v>
      </c>
      <c r="F5754" t="s">
        <v>62</v>
      </c>
      <c r="G5754" t="s">
        <v>291</v>
      </c>
      <c r="H5754" t="s">
        <v>165</v>
      </c>
      <c r="I5754">
        <v>32166</v>
      </c>
      <c r="J5754">
        <v>29934</v>
      </c>
    </row>
    <row r="5755" spans="1:10" x14ac:dyDescent="0.3">
      <c r="A5755" t="s">
        <v>5882</v>
      </c>
      <c r="B5755" s="1">
        <v>45760</v>
      </c>
      <c r="C5755" t="s">
        <v>86</v>
      </c>
      <c r="D5755">
        <v>15</v>
      </c>
      <c r="E5755" t="s">
        <v>39</v>
      </c>
      <c r="F5755" t="s">
        <v>193</v>
      </c>
      <c r="G5755" t="s">
        <v>206</v>
      </c>
      <c r="H5755" t="s">
        <v>41</v>
      </c>
      <c r="I5755">
        <v>22785</v>
      </c>
      <c r="J5755">
        <v>17925</v>
      </c>
    </row>
    <row r="5756" spans="1:10" x14ac:dyDescent="0.3">
      <c r="A5756" t="s">
        <v>5883</v>
      </c>
      <c r="B5756" s="1">
        <v>45950</v>
      </c>
      <c r="C5756" t="s">
        <v>66</v>
      </c>
      <c r="D5756">
        <v>43</v>
      </c>
      <c r="E5756" t="s">
        <v>24</v>
      </c>
      <c r="F5756" t="s">
        <v>75</v>
      </c>
      <c r="G5756" t="s">
        <v>83</v>
      </c>
      <c r="H5756" t="s">
        <v>96</v>
      </c>
      <c r="I5756">
        <v>31070</v>
      </c>
      <c r="J5756">
        <v>27854</v>
      </c>
    </row>
    <row r="5757" spans="1:10" x14ac:dyDescent="0.3">
      <c r="A5757" t="s">
        <v>5884</v>
      </c>
      <c r="B5757" s="1">
        <v>45695</v>
      </c>
      <c r="C5757" t="s">
        <v>82</v>
      </c>
      <c r="D5757">
        <v>6</v>
      </c>
      <c r="E5757" t="s">
        <v>12</v>
      </c>
      <c r="F5757" t="s">
        <v>19</v>
      </c>
      <c r="G5757" t="s">
        <v>137</v>
      </c>
      <c r="H5757" t="s">
        <v>123</v>
      </c>
      <c r="I5757">
        <v>33706</v>
      </c>
      <c r="J5757">
        <v>36462</v>
      </c>
    </row>
    <row r="5758" spans="1:10" x14ac:dyDescent="0.3">
      <c r="A5758" t="s">
        <v>5885</v>
      </c>
      <c r="B5758" s="1">
        <v>45891</v>
      </c>
      <c r="C5758" t="s">
        <v>113</v>
      </c>
      <c r="D5758">
        <v>34</v>
      </c>
      <c r="E5758" t="s">
        <v>12</v>
      </c>
      <c r="F5758" t="s">
        <v>34</v>
      </c>
      <c r="G5758" t="s">
        <v>88</v>
      </c>
      <c r="H5758" t="s">
        <v>59</v>
      </c>
      <c r="I5758">
        <v>18195</v>
      </c>
      <c r="J5758">
        <v>18633</v>
      </c>
    </row>
    <row r="5759" spans="1:10" x14ac:dyDescent="0.3">
      <c r="A5759" t="s">
        <v>5886</v>
      </c>
      <c r="B5759" s="1">
        <v>46021</v>
      </c>
      <c r="C5759" t="s">
        <v>100</v>
      </c>
      <c r="D5759">
        <v>1</v>
      </c>
      <c r="E5759" t="s">
        <v>12</v>
      </c>
      <c r="F5759" t="s">
        <v>75</v>
      </c>
      <c r="G5759" t="s">
        <v>118</v>
      </c>
      <c r="H5759" t="s">
        <v>165</v>
      </c>
      <c r="I5759">
        <v>22028</v>
      </c>
      <c r="J5759">
        <v>23892</v>
      </c>
    </row>
    <row r="5760" spans="1:10" x14ac:dyDescent="0.3">
      <c r="A5760" t="s">
        <v>5887</v>
      </c>
      <c r="B5760" s="1">
        <v>45681</v>
      </c>
      <c r="C5760" t="s">
        <v>17</v>
      </c>
      <c r="D5760">
        <v>4</v>
      </c>
      <c r="E5760" t="s">
        <v>24</v>
      </c>
      <c r="F5760" t="s">
        <v>62</v>
      </c>
      <c r="G5760" t="s">
        <v>224</v>
      </c>
      <c r="H5760" t="s">
        <v>119</v>
      </c>
      <c r="I5760">
        <v>21420</v>
      </c>
      <c r="J5760">
        <v>26415</v>
      </c>
    </row>
    <row r="5761" spans="1:10" x14ac:dyDescent="0.3">
      <c r="A5761" t="s">
        <v>5888</v>
      </c>
      <c r="B5761" s="1">
        <v>45848</v>
      </c>
      <c r="C5761" t="s">
        <v>11</v>
      </c>
      <c r="D5761">
        <v>28</v>
      </c>
      <c r="E5761" t="s">
        <v>61</v>
      </c>
      <c r="F5761" t="s">
        <v>122</v>
      </c>
      <c r="G5761" t="s">
        <v>199</v>
      </c>
      <c r="H5761" t="s">
        <v>133</v>
      </c>
      <c r="I5761">
        <v>16715</v>
      </c>
      <c r="J5761">
        <v>17942</v>
      </c>
    </row>
    <row r="5762" spans="1:10" x14ac:dyDescent="0.3">
      <c r="A5762" t="s">
        <v>5889</v>
      </c>
      <c r="B5762" s="1">
        <v>45879</v>
      </c>
      <c r="C5762" t="s">
        <v>113</v>
      </c>
      <c r="D5762">
        <v>32</v>
      </c>
      <c r="E5762" t="s">
        <v>39</v>
      </c>
      <c r="F5762" t="s">
        <v>46</v>
      </c>
      <c r="G5762" t="s">
        <v>145</v>
      </c>
      <c r="H5762" t="s">
        <v>98</v>
      </c>
      <c r="I5762">
        <v>16114</v>
      </c>
      <c r="J5762">
        <v>17802</v>
      </c>
    </row>
    <row r="5763" spans="1:10" x14ac:dyDescent="0.3">
      <c r="A5763" t="s">
        <v>5890</v>
      </c>
      <c r="B5763" s="1">
        <v>45659</v>
      </c>
      <c r="C5763" t="s">
        <v>17</v>
      </c>
      <c r="D5763">
        <v>1</v>
      </c>
      <c r="E5763" t="s">
        <v>18</v>
      </c>
      <c r="F5763" t="s">
        <v>46</v>
      </c>
      <c r="G5763" t="s">
        <v>20</v>
      </c>
      <c r="H5763" t="s">
        <v>116</v>
      </c>
      <c r="I5763">
        <v>39996</v>
      </c>
      <c r="J5763">
        <v>40490</v>
      </c>
    </row>
    <row r="5764" spans="1:10" x14ac:dyDescent="0.3">
      <c r="A5764" t="s">
        <v>5891</v>
      </c>
      <c r="B5764" s="1">
        <v>45867</v>
      </c>
      <c r="C5764" t="s">
        <v>11</v>
      </c>
      <c r="D5764">
        <v>31</v>
      </c>
      <c r="E5764" t="s">
        <v>24</v>
      </c>
      <c r="F5764" t="s">
        <v>43</v>
      </c>
      <c r="G5764" t="s">
        <v>72</v>
      </c>
      <c r="H5764" t="s">
        <v>103</v>
      </c>
      <c r="I5764">
        <v>19978</v>
      </c>
      <c r="J5764">
        <v>24499</v>
      </c>
    </row>
    <row r="5765" spans="1:10" x14ac:dyDescent="0.3">
      <c r="A5765" t="s">
        <v>5892</v>
      </c>
      <c r="B5765" s="1">
        <v>45843</v>
      </c>
      <c r="C5765" t="s">
        <v>11</v>
      </c>
      <c r="D5765">
        <v>27</v>
      </c>
      <c r="E5765" t="s">
        <v>18</v>
      </c>
      <c r="F5765" t="s">
        <v>13</v>
      </c>
      <c r="G5765" t="s">
        <v>141</v>
      </c>
      <c r="H5765" t="s">
        <v>111</v>
      </c>
      <c r="I5765">
        <v>29274</v>
      </c>
      <c r="J5765">
        <v>24694</v>
      </c>
    </row>
    <row r="5766" spans="1:10" x14ac:dyDescent="0.3">
      <c r="A5766" t="s">
        <v>5893</v>
      </c>
      <c r="B5766" s="1">
        <v>45809</v>
      </c>
      <c r="C5766" t="s">
        <v>74</v>
      </c>
      <c r="D5766">
        <v>22</v>
      </c>
      <c r="E5766" t="s">
        <v>39</v>
      </c>
      <c r="F5766" t="s">
        <v>87</v>
      </c>
      <c r="G5766" t="s">
        <v>171</v>
      </c>
      <c r="H5766" t="s">
        <v>41</v>
      </c>
      <c r="I5766">
        <v>26084</v>
      </c>
      <c r="J5766">
        <v>30952</v>
      </c>
    </row>
    <row r="5767" spans="1:10" x14ac:dyDescent="0.3">
      <c r="A5767" t="s">
        <v>5894</v>
      </c>
      <c r="B5767" s="1">
        <v>45693</v>
      </c>
      <c r="C5767" t="s">
        <v>82</v>
      </c>
      <c r="D5767">
        <v>6</v>
      </c>
      <c r="E5767" t="s">
        <v>12</v>
      </c>
      <c r="F5767" t="s">
        <v>75</v>
      </c>
      <c r="G5767" t="s">
        <v>130</v>
      </c>
      <c r="H5767" t="s">
        <v>59</v>
      </c>
      <c r="I5767">
        <v>24802</v>
      </c>
      <c r="J5767">
        <v>20345</v>
      </c>
    </row>
    <row r="5768" spans="1:10" x14ac:dyDescent="0.3">
      <c r="A5768" t="s">
        <v>5895</v>
      </c>
      <c r="B5768" s="1">
        <v>45810</v>
      </c>
      <c r="C5768" t="s">
        <v>74</v>
      </c>
      <c r="D5768">
        <v>23</v>
      </c>
      <c r="E5768" t="s">
        <v>12</v>
      </c>
      <c r="F5768" t="s">
        <v>87</v>
      </c>
      <c r="G5768" t="s">
        <v>30</v>
      </c>
      <c r="H5768" t="s">
        <v>188</v>
      </c>
      <c r="I5768">
        <v>27360</v>
      </c>
      <c r="J5768">
        <v>28330</v>
      </c>
    </row>
    <row r="5769" spans="1:10" x14ac:dyDescent="0.3">
      <c r="A5769" t="s">
        <v>5896</v>
      </c>
      <c r="B5769" s="1">
        <v>45858</v>
      </c>
      <c r="C5769" t="s">
        <v>11</v>
      </c>
      <c r="D5769">
        <v>29</v>
      </c>
      <c r="E5769" t="s">
        <v>12</v>
      </c>
      <c r="F5769" t="s">
        <v>29</v>
      </c>
      <c r="G5769" t="s">
        <v>199</v>
      </c>
      <c r="H5769" t="s">
        <v>31</v>
      </c>
      <c r="I5769">
        <v>28542</v>
      </c>
      <c r="J5769">
        <v>35454</v>
      </c>
    </row>
    <row r="5770" spans="1:10" x14ac:dyDescent="0.3">
      <c r="A5770" t="s">
        <v>5897</v>
      </c>
      <c r="B5770" s="1">
        <v>45739</v>
      </c>
      <c r="C5770" t="s">
        <v>95</v>
      </c>
      <c r="D5770">
        <v>12</v>
      </c>
      <c r="E5770" t="s">
        <v>33</v>
      </c>
      <c r="F5770" t="s">
        <v>193</v>
      </c>
      <c r="G5770" t="s">
        <v>230</v>
      </c>
      <c r="H5770" t="s">
        <v>165</v>
      </c>
      <c r="I5770">
        <v>33567</v>
      </c>
      <c r="J5770">
        <v>39618</v>
      </c>
    </row>
    <row r="5771" spans="1:10" x14ac:dyDescent="0.3">
      <c r="A5771" t="s">
        <v>5898</v>
      </c>
      <c r="B5771" s="1">
        <v>45932</v>
      </c>
      <c r="C5771" t="s">
        <v>66</v>
      </c>
      <c r="D5771">
        <v>40</v>
      </c>
      <c r="E5771" t="s">
        <v>24</v>
      </c>
      <c r="F5771" t="s">
        <v>43</v>
      </c>
      <c r="G5771" t="s">
        <v>79</v>
      </c>
      <c r="H5771" t="s">
        <v>15</v>
      </c>
      <c r="I5771">
        <v>34777</v>
      </c>
      <c r="J5771">
        <v>29575</v>
      </c>
    </row>
    <row r="5772" spans="1:10" x14ac:dyDescent="0.3">
      <c r="A5772" t="s">
        <v>5899</v>
      </c>
      <c r="B5772" s="1">
        <v>45736</v>
      </c>
      <c r="C5772" t="s">
        <v>95</v>
      </c>
      <c r="D5772">
        <v>12</v>
      </c>
      <c r="E5772" t="s">
        <v>24</v>
      </c>
      <c r="F5772" t="s">
        <v>122</v>
      </c>
      <c r="G5772" t="s">
        <v>145</v>
      </c>
      <c r="H5772" t="s">
        <v>41</v>
      </c>
      <c r="I5772">
        <v>37600</v>
      </c>
      <c r="J5772">
        <v>30344</v>
      </c>
    </row>
    <row r="5773" spans="1:10" x14ac:dyDescent="0.3">
      <c r="A5773" t="s">
        <v>5900</v>
      </c>
      <c r="B5773" s="1">
        <v>45987</v>
      </c>
      <c r="C5773" t="s">
        <v>23</v>
      </c>
      <c r="D5773">
        <v>48</v>
      </c>
      <c r="E5773" t="s">
        <v>12</v>
      </c>
      <c r="F5773" t="s">
        <v>78</v>
      </c>
      <c r="G5773" t="s">
        <v>35</v>
      </c>
      <c r="H5773" t="s">
        <v>133</v>
      </c>
      <c r="I5773">
        <v>20120</v>
      </c>
      <c r="J5773">
        <v>15315</v>
      </c>
    </row>
    <row r="5774" spans="1:10" x14ac:dyDescent="0.3">
      <c r="A5774" t="s">
        <v>5901</v>
      </c>
      <c r="B5774" s="1">
        <v>45882</v>
      </c>
      <c r="C5774" t="s">
        <v>113</v>
      </c>
      <c r="D5774">
        <v>33</v>
      </c>
      <c r="E5774" t="s">
        <v>33</v>
      </c>
      <c r="F5774" t="s">
        <v>50</v>
      </c>
      <c r="G5774" t="s">
        <v>199</v>
      </c>
      <c r="H5774" t="s">
        <v>48</v>
      </c>
      <c r="I5774">
        <v>21447</v>
      </c>
      <c r="J5774">
        <v>26860</v>
      </c>
    </row>
    <row r="5775" spans="1:10" x14ac:dyDescent="0.3">
      <c r="A5775" t="s">
        <v>5902</v>
      </c>
      <c r="B5775" s="1">
        <v>45949</v>
      </c>
      <c r="C5775" t="s">
        <v>66</v>
      </c>
      <c r="D5775">
        <v>42</v>
      </c>
      <c r="E5775" t="s">
        <v>39</v>
      </c>
      <c r="F5775" t="s">
        <v>92</v>
      </c>
      <c r="G5775" t="s">
        <v>182</v>
      </c>
      <c r="H5775" t="s">
        <v>151</v>
      </c>
      <c r="I5775">
        <v>19247</v>
      </c>
      <c r="J5775">
        <v>24430</v>
      </c>
    </row>
    <row r="5776" spans="1:10" x14ac:dyDescent="0.3">
      <c r="A5776" t="s">
        <v>5903</v>
      </c>
      <c r="B5776" s="1">
        <v>45990</v>
      </c>
      <c r="C5776" t="s">
        <v>23</v>
      </c>
      <c r="D5776">
        <v>48</v>
      </c>
      <c r="E5776" t="s">
        <v>12</v>
      </c>
      <c r="F5776" t="s">
        <v>19</v>
      </c>
      <c r="G5776" t="s">
        <v>58</v>
      </c>
      <c r="H5776" t="s">
        <v>165</v>
      </c>
      <c r="I5776">
        <v>22643</v>
      </c>
      <c r="J5776">
        <v>18213</v>
      </c>
    </row>
    <row r="5777" spans="1:10" x14ac:dyDescent="0.3">
      <c r="A5777" t="s">
        <v>5904</v>
      </c>
      <c r="B5777" s="1">
        <v>45871</v>
      </c>
      <c r="C5777" t="s">
        <v>113</v>
      </c>
      <c r="D5777">
        <v>31</v>
      </c>
      <c r="E5777" t="s">
        <v>61</v>
      </c>
      <c r="F5777" t="s">
        <v>114</v>
      </c>
      <c r="G5777" t="s">
        <v>83</v>
      </c>
      <c r="H5777" t="s">
        <v>165</v>
      </c>
      <c r="I5777">
        <v>20758</v>
      </c>
      <c r="J5777">
        <v>16786</v>
      </c>
    </row>
    <row r="5778" spans="1:10" x14ac:dyDescent="0.3">
      <c r="A5778" t="s">
        <v>5905</v>
      </c>
      <c r="B5778" s="1">
        <v>45960</v>
      </c>
      <c r="C5778" t="s">
        <v>66</v>
      </c>
      <c r="D5778">
        <v>44</v>
      </c>
      <c r="E5778" t="s">
        <v>18</v>
      </c>
      <c r="F5778" t="s">
        <v>62</v>
      </c>
      <c r="G5778" t="s">
        <v>67</v>
      </c>
      <c r="H5778" t="s">
        <v>165</v>
      </c>
      <c r="I5778">
        <v>29790</v>
      </c>
      <c r="J5778">
        <v>37600</v>
      </c>
    </row>
    <row r="5779" spans="1:10" x14ac:dyDescent="0.3">
      <c r="A5779" t="s">
        <v>5906</v>
      </c>
      <c r="B5779" s="1">
        <v>45861</v>
      </c>
      <c r="C5779" t="s">
        <v>11</v>
      </c>
      <c r="D5779">
        <v>30</v>
      </c>
      <c r="E5779" t="s">
        <v>39</v>
      </c>
      <c r="F5779" t="s">
        <v>13</v>
      </c>
      <c r="G5779" t="s">
        <v>128</v>
      </c>
      <c r="H5779" t="s">
        <v>116</v>
      </c>
      <c r="I5779">
        <v>30046</v>
      </c>
      <c r="J5779">
        <v>24885</v>
      </c>
    </row>
    <row r="5780" spans="1:10" x14ac:dyDescent="0.3">
      <c r="A5780" t="s">
        <v>5907</v>
      </c>
      <c r="B5780" s="1">
        <v>46015</v>
      </c>
      <c r="C5780" t="s">
        <v>100</v>
      </c>
      <c r="D5780">
        <v>52</v>
      </c>
      <c r="E5780" t="s">
        <v>61</v>
      </c>
      <c r="F5780" t="s">
        <v>75</v>
      </c>
      <c r="G5780" t="s">
        <v>110</v>
      </c>
      <c r="H5780" t="s">
        <v>27</v>
      </c>
      <c r="I5780">
        <v>17309</v>
      </c>
      <c r="J5780">
        <v>20654</v>
      </c>
    </row>
    <row r="5781" spans="1:10" x14ac:dyDescent="0.3">
      <c r="A5781" t="s">
        <v>5908</v>
      </c>
      <c r="B5781" s="1">
        <v>45839</v>
      </c>
      <c r="C5781" t="s">
        <v>11</v>
      </c>
      <c r="D5781">
        <v>27</v>
      </c>
      <c r="E5781" t="s">
        <v>33</v>
      </c>
      <c r="F5781" t="s">
        <v>46</v>
      </c>
      <c r="G5781" t="s">
        <v>20</v>
      </c>
      <c r="H5781" t="s">
        <v>98</v>
      </c>
      <c r="I5781">
        <v>22015</v>
      </c>
      <c r="J5781">
        <v>16096</v>
      </c>
    </row>
    <row r="5782" spans="1:10" x14ac:dyDescent="0.3">
      <c r="A5782" t="s">
        <v>5909</v>
      </c>
      <c r="B5782" s="1">
        <v>45800</v>
      </c>
      <c r="C5782" t="s">
        <v>90</v>
      </c>
      <c r="D5782">
        <v>21</v>
      </c>
      <c r="E5782" t="s">
        <v>61</v>
      </c>
      <c r="F5782" t="s">
        <v>29</v>
      </c>
      <c r="G5782" t="s">
        <v>20</v>
      </c>
      <c r="H5782" t="s">
        <v>31</v>
      </c>
      <c r="I5782">
        <v>16679</v>
      </c>
      <c r="J5782">
        <v>13859</v>
      </c>
    </row>
    <row r="5783" spans="1:10" x14ac:dyDescent="0.3">
      <c r="A5783" t="s">
        <v>5910</v>
      </c>
      <c r="B5783" s="1">
        <v>45905</v>
      </c>
      <c r="C5783" t="s">
        <v>38</v>
      </c>
      <c r="D5783">
        <v>36</v>
      </c>
      <c r="E5783" t="s">
        <v>24</v>
      </c>
      <c r="F5783" t="s">
        <v>46</v>
      </c>
      <c r="G5783" t="s">
        <v>63</v>
      </c>
      <c r="H5783" t="s">
        <v>15</v>
      </c>
      <c r="I5783">
        <v>17483</v>
      </c>
      <c r="J5783">
        <v>17429</v>
      </c>
    </row>
    <row r="5784" spans="1:10" x14ac:dyDescent="0.3">
      <c r="A5784" t="s">
        <v>5911</v>
      </c>
      <c r="B5784" s="1">
        <v>45856</v>
      </c>
      <c r="C5784" t="s">
        <v>11</v>
      </c>
      <c r="D5784">
        <v>29</v>
      </c>
      <c r="E5784" t="s">
        <v>24</v>
      </c>
      <c r="F5784" t="s">
        <v>62</v>
      </c>
      <c r="G5784" t="s">
        <v>79</v>
      </c>
      <c r="H5784" t="s">
        <v>111</v>
      </c>
      <c r="I5784">
        <v>33409</v>
      </c>
      <c r="J5784">
        <v>39457</v>
      </c>
    </row>
    <row r="5785" spans="1:10" x14ac:dyDescent="0.3">
      <c r="A5785" t="s">
        <v>5912</v>
      </c>
      <c r="B5785" s="1">
        <v>45914</v>
      </c>
      <c r="C5785" t="s">
        <v>38</v>
      </c>
      <c r="D5785">
        <v>37</v>
      </c>
      <c r="E5785" t="s">
        <v>33</v>
      </c>
      <c r="F5785" t="s">
        <v>193</v>
      </c>
      <c r="G5785" t="s">
        <v>145</v>
      </c>
      <c r="H5785" t="s">
        <v>98</v>
      </c>
      <c r="I5785">
        <v>23108</v>
      </c>
      <c r="J5785">
        <v>19714</v>
      </c>
    </row>
    <row r="5786" spans="1:10" x14ac:dyDescent="0.3">
      <c r="A5786" t="s">
        <v>5913</v>
      </c>
      <c r="B5786" s="1">
        <v>45980</v>
      </c>
      <c r="C5786" t="s">
        <v>23</v>
      </c>
      <c r="D5786">
        <v>47</v>
      </c>
      <c r="E5786" t="s">
        <v>61</v>
      </c>
      <c r="F5786" t="s">
        <v>87</v>
      </c>
      <c r="G5786" t="s">
        <v>115</v>
      </c>
      <c r="H5786" t="s">
        <v>41</v>
      </c>
      <c r="I5786">
        <v>34113</v>
      </c>
      <c r="J5786">
        <v>33631</v>
      </c>
    </row>
    <row r="5787" spans="1:10" x14ac:dyDescent="0.3">
      <c r="A5787" t="s">
        <v>5914</v>
      </c>
      <c r="B5787" s="1">
        <v>45745</v>
      </c>
      <c r="C5787" t="s">
        <v>95</v>
      </c>
      <c r="D5787">
        <v>13</v>
      </c>
      <c r="E5787" t="s">
        <v>18</v>
      </c>
      <c r="F5787" t="s">
        <v>50</v>
      </c>
      <c r="G5787" t="s">
        <v>63</v>
      </c>
      <c r="H5787" t="s">
        <v>64</v>
      </c>
      <c r="I5787">
        <v>18321</v>
      </c>
      <c r="J5787">
        <v>18883</v>
      </c>
    </row>
    <row r="5788" spans="1:10" x14ac:dyDescent="0.3">
      <c r="A5788" t="s">
        <v>5915</v>
      </c>
      <c r="B5788" s="1">
        <v>45689</v>
      </c>
      <c r="C5788" t="s">
        <v>82</v>
      </c>
      <c r="D5788">
        <v>5</v>
      </c>
      <c r="E5788" t="s">
        <v>18</v>
      </c>
      <c r="F5788" t="s">
        <v>122</v>
      </c>
      <c r="G5788" t="s">
        <v>115</v>
      </c>
      <c r="H5788" t="s">
        <v>31</v>
      </c>
      <c r="I5788">
        <v>15154</v>
      </c>
      <c r="J5788">
        <v>12381</v>
      </c>
    </row>
    <row r="5789" spans="1:10" x14ac:dyDescent="0.3">
      <c r="A5789" t="s">
        <v>5916</v>
      </c>
      <c r="B5789" s="1">
        <v>45989</v>
      </c>
      <c r="C5789" t="s">
        <v>23</v>
      </c>
      <c r="D5789">
        <v>48</v>
      </c>
      <c r="E5789" t="s">
        <v>70</v>
      </c>
      <c r="F5789" t="s">
        <v>29</v>
      </c>
      <c r="G5789" t="s">
        <v>130</v>
      </c>
      <c r="H5789" t="s">
        <v>36</v>
      </c>
      <c r="I5789">
        <v>32787</v>
      </c>
      <c r="J5789">
        <v>23596</v>
      </c>
    </row>
    <row r="5790" spans="1:10" x14ac:dyDescent="0.3">
      <c r="A5790" t="s">
        <v>5917</v>
      </c>
      <c r="B5790" s="1">
        <v>45801</v>
      </c>
      <c r="C5790" t="s">
        <v>90</v>
      </c>
      <c r="D5790">
        <v>21</v>
      </c>
      <c r="E5790" t="s">
        <v>33</v>
      </c>
      <c r="F5790" t="s">
        <v>29</v>
      </c>
      <c r="G5790" t="s">
        <v>76</v>
      </c>
      <c r="H5790" t="s">
        <v>27</v>
      </c>
      <c r="I5790">
        <v>21841</v>
      </c>
      <c r="J5790">
        <v>22070</v>
      </c>
    </row>
    <row r="5791" spans="1:10" x14ac:dyDescent="0.3">
      <c r="A5791" t="s">
        <v>5918</v>
      </c>
      <c r="B5791" s="1">
        <v>45887</v>
      </c>
      <c r="C5791" t="s">
        <v>113</v>
      </c>
      <c r="D5791">
        <v>34</v>
      </c>
      <c r="E5791" t="s">
        <v>39</v>
      </c>
      <c r="F5791" t="s">
        <v>122</v>
      </c>
      <c r="G5791" t="s">
        <v>115</v>
      </c>
      <c r="H5791" t="s">
        <v>211</v>
      </c>
      <c r="I5791">
        <v>22050</v>
      </c>
      <c r="J5791">
        <v>24654</v>
      </c>
    </row>
    <row r="5792" spans="1:10" x14ac:dyDescent="0.3">
      <c r="A5792" t="s">
        <v>5919</v>
      </c>
      <c r="B5792" s="1">
        <v>45934</v>
      </c>
      <c r="C5792" t="s">
        <v>66</v>
      </c>
      <c r="D5792">
        <v>40</v>
      </c>
      <c r="E5792" t="s">
        <v>33</v>
      </c>
      <c r="F5792" t="s">
        <v>109</v>
      </c>
      <c r="G5792" t="s">
        <v>147</v>
      </c>
      <c r="H5792" t="s">
        <v>157</v>
      </c>
      <c r="I5792">
        <v>18529</v>
      </c>
      <c r="J5792">
        <v>23323</v>
      </c>
    </row>
    <row r="5793" spans="1:10" x14ac:dyDescent="0.3">
      <c r="A5793" t="s">
        <v>5920</v>
      </c>
      <c r="B5793" s="1">
        <v>45941</v>
      </c>
      <c r="C5793" t="s">
        <v>66</v>
      </c>
      <c r="D5793">
        <v>41</v>
      </c>
      <c r="E5793" t="s">
        <v>18</v>
      </c>
      <c r="F5793" t="s">
        <v>19</v>
      </c>
      <c r="G5793" t="s">
        <v>30</v>
      </c>
      <c r="H5793" t="s">
        <v>243</v>
      </c>
      <c r="I5793">
        <v>33986</v>
      </c>
      <c r="J5793">
        <v>32866</v>
      </c>
    </row>
    <row r="5794" spans="1:10" x14ac:dyDescent="0.3">
      <c r="A5794" t="s">
        <v>5921</v>
      </c>
      <c r="B5794" s="1">
        <v>45907</v>
      </c>
      <c r="C5794" t="s">
        <v>38</v>
      </c>
      <c r="D5794">
        <v>36</v>
      </c>
      <c r="E5794" t="s">
        <v>70</v>
      </c>
      <c r="F5794" t="s">
        <v>13</v>
      </c>
      <c r="G5794" t="s">
        <v>145</v>
      </c>
      <c r="H5794" t="s">
        <v>123</v>
      </c>
      <c r="I5794">
        <v>22541</v>
      </c>
      <c r="J5794">
        <v>18929</v>
      </c>
    </row>
    <row r="5795" spans="1:10" x14ac:dyDescent="0.3">
      <c r="A5795" t="s">
        <v>5922</v>
      </c>
      <c r="B5795" s="1">
        <v>45775</v>
      </c>
      <c r="C5795" t="s">
        <v>86</v>
      </c>
      <c r="D5795">
        <v>18</v>
      </c>
      <c r="E5795" t="s">
        <v>33</v>
      </c>
      <c r="F5795" t="s">
        <v>75</v>
      </c>
      <c r="G5795" t="s">
        <v>130</v>
      </c>
      <c r="H5795" t="s">
        <v>116</v>
      </c>
      <c r="I5795">
        <v>39315</v>
      </c>
      <c r="J5795">
        <v>30143</v>
      </c>
    </row>
    <row r="5796" spans="1:10" x14ac:dyDescent="0.3">
      <c r="A5796" t="s">
        <v>5923</v>
      </c>
      <c r="B5796" s="1">
        <v>45877</v>
      </c>
      <c r="C5796" t="s">
        <v>113</v>
      </c>
      <c r="D5796">
        <v>32</v>
      </c>
      <c r="E5796" t="s">
        <v>33</v>
      </c>
      <c r="F5796" t="s">
        <v>122</v>
      </c>
      <c r="G5796" t="s">
        <v>135</v>
      </c>
      <c r="H5796" t="s">
        <v>103</v>
      </c>
      <c r="I5796">
        <v>24138</v>
      </c>
      <c r="J5796">
        <v>27434</v>
      </c>
    </row>
    <row r="5797" spans="1:10" x14ac:dyDescent="0.3">
      <c r="A5797" t="s">
        <v>5924</v>
      </c>
      <c r="B5797" s="1">
        <v>45838</v>
      </c>
      <c r="C5797" t="s">
        <v>74</v>
      </c>
      <c r="D5797">
        <v>27</v>
      </c>
      <c r="E5797" t="s">
        <v>70</v>
      </c>
      <c r="F5797" t="s">
        <v>193</v>
      </c>
      <c r="G5797" t="s">
        <v>206</v>
      </c>
      <c r="H5797" t="s">
        <v>188</v>
      </c>
      <c r="I5797">
        <v>22727</v>
      </c>
      <c r="J5797">
        <v>18734</v>
      </c>
    </row>
    <row r="5798" spans="1:10" x14ac:dyDescent="0.3">
      <c r="A5798" t="s">
        <v>5925</v>
      </c>
      <c r="B5798" s="1">
        <v>45698</v>
      </c>
      <c r="C5798" t="s">
        <v>82</v>
      </c>
      <c r="D5798">
        <v>7</v>
      </c>
      <c r="E5798" t="s">
        <v>24</v>
      </c>
      <c r="F5798" t="s">
        <v>87</v>
      </c>
      <c r="G5798" t="s">
        <v>135</v>
      </c>
      <c r="H5798" t="s">
        <v>84</v>
      </c>
      <c r="I5798">
        <v>20966</v>
      </c>
      <c r="J5798">
        <v>17421</v>
      </c>
    </row>
    <row r="5799" spans="1:10" x14ac:dyDescent="0.3">
      <c r="A5799" t="s">
        <v>5926</v>
      </c>
      <c r="B5799" s="1">
        <v>46010</v>
      </c>
      <c r="C5799" t="s">
        <v>100</v>
      </c>
      <c r="D5799">
        <v>51</v>
      </c>
      <c r="E5799" t="s">
        <v>12</v>
      </c>
      <c r="F5799" t="s">
        <v>13</v>
      </c>
      <c r="G5799" t="s">
        <v>132</v>
      </c>
      <c r="H5799" t="s">
        <v>155</v>
      </c>
      <c r="I5799">
        <v>23707</v>
      </c>
      <c r="J5799">
        <v>17063</v>
      </c>
    </row>
    <row r="5800" spans="1:10" x14ac:dyDescent="0.3">
      <c r="A5800" t="s">
        <v>5927</v>
      </c>
      <c r="B5800" s="1">
        <v>46011</v>
      </c>
      <c r="C5800" t="s">
        <v>100</v>
      </c>
      <c r="D5800">
        <v>51</v>
      </c>
      <c r="E5800" t="s">
        <v>70</v>
      </c>
      <c r="F5800" t="s">
        <v>87</v>
      </c>
      <c r="G5800" t="s">
        <v>206</v>
      </c>
      <c r="H5800" t="s">
        <v>27</v>
      </c>
      <c r="I5800">
        <v>27521</v>
      </c>
      <c r="J5800">
        <v>32326</v>
      </c>
    </row>
    <row r="5801" spans="1:10" x14ac:dyDescent="0.3">
      <c r="A5801" t="s">
        <v>5928</v>
      </c>
      <c r="B5801" s="1">
        <v>45960</v>
      </c>
      <c r="C5801" t="s">
        <v>66</v>
      </c>
      <c r="D5801">
        <v>44</v>
      </c>
      <c r="E5801" t="s">
        <v>70</v>
      </c>
      <c r="F5801" t="s">
        <v>122</v>
      </c>
      <c r="G5801" t="s">
        <v>253</v>
      </c>
      <c r="H5801" t="s">
        <v>31</v>
      </c>
      <c r="I5801">
        <v>26501</v>
      </c>
      <c r="J5801">
        <v>29754</v>
      </c>
    </row>
    <row r="5802" spans="1:10" x14ac:dyDescent="0.3">
      <c r="A5802" t="s">
        <v>5929</v>
      </c>
      <c r="B5802" s="1">
        <v>45860</v>
      </c>
      <c r="C5802" t="s">
        <v>11</v>
      </c>
      <c r="D5802">
        <v>30</v>
      </c>
      <c r="E5802" t="s">
        <v>61</v>
      </c>
      <c r="F5802" t="s">
        <v>34</v>
      </c>
      <c r="G5802" t="s">
        <v>234</v>
      </c>
      <c r="H5802" t="s">
        <v>243</v>
      </c>
      <c r="I5802">
        <v>30946</v>
      </c>
      <c r="J5802">
        <v>38490</v>
      </c>
    </row>
    <row r="5803" spans="1:10" x14ac:dyDescent="0.3">
      <c r="A5803" t="s">
        <v>5930</v>
      </c>
      <c r="B5803" s="1">
        <v>45981</v>
      </c>
      <c r="C5803" t="s">
        <v>23</v>
      </c>
      <c r="D5803">
        <v>47</v>
      </c>
      <c r="E5803" t="s">
        <v>61</v>
      </c>
      <c r="F5803" t="s">
        <v>109</v>
      </c>
      <c r="G5803" t="s">
        <v>137</v>
      </c>
      <c r="H5803" t="s">
        <v>243</v>
      </c>
      <c r="I5803">
        <v>18287</v>
      </c>
      <c r="J5803">
        <v>14684</v>
      </c>
    </row>
    <row r="5804" spans="1:10" x14ac:dyDescent="0.3">
      <c r="A5804" t="s">
        <v>5931</v>
      </c>
      <c r="B5804" s="1">
        <v>45822</v>
      </c>
      <c r="C5804" t="s">
        <v>74</v>
      </c>
      <c r="D5804">
        <v>24</v>
      </c>
      <c r="E5804" t="s">
        <v>24</v>
      </c>
      <c r="F5804" t="s">
        <v>114</v>
      </c>
      <c r="G5804" t="s">
        <v>191</v>
      </c>
      <c r="H5804" t="s">
        <v>133</v>
      </c>
      <c r="I5804">
        <v>15702</v>
      </c>
      <c r="J5804">
        <v>12805</v>
      </c>
    </row>
    <row r="5805" spans="1:10" x14ac:dyDescent="0.3">
      <c r="A5805" t="s">
        <v>5932</v>
      </c>
      <c r="B5805" s="1">
        <v>45951</v>
      </c>
      <c r="C5805" t="s">
        <v>66</v>
      </c>
      <c r="D5805">
        <v>43</v>
      </c>
      <c r="E5805" t="s">
        <v>61</v>
      </c>
      <c r="F5805" t="s">
        <v>109</v>
      </c>
      <c r="G5805" t="s">
        <v>110</v>
      </c>
      <c r="H5805" t="s">
        <v>80</v>
      </c>
      <c r="I5805">
        <v>18998</v>
      </c>
      <c r="J5805">
        <v>15961</v>
      </c>
    </row>
    <row r="5806" spans="1:10" x14ac:dyDescent="0.3">
      <c r="A5806" t="s">
        <v>5933</v>
      </c>
      <c r="B5806" s="1">
        <v>45924</v>
      </c>
      <c r="C5806" t="s">
        <v>38</v>
      </c>
      <c r="D5806">
        <v>39</v>
      </c>
      <c r="E5806" t="s">
        <v>33</v>
      </c>
      <c r="F5806" t="s">
        <v>43</v>
      </c>
      <c r="G5806" t="s">
        <v>93</v>
      </c>
      <c r="H5806" t="s">
        <v>103</v>
      </c>
      <c r="I5806">
        <v>22285</v>
      </c>
      <c r="J5806">
        <v>23234</v>
      </c>
    </row>
    <row r="5807" spans="1:10" x14ac:dyDescent="0.3">
      <c r="A5807" t="s">
        <v>5934</v>
      </c>
      <c r="B5807" s="1">
        <v>45848</v>
      </c>
      <c r="C5807" t="s">
        <v>11</v>
      </c>
      <c r="D5807">
        <v>28</v>
      </c>
      <c r="E5807" t="s">
        <v>70</v>
      </c>
      <c r="F5807" t="s">
        <v>114</v>
      </c>
      <c r="G5807" t="s">
        <v>234</v>
      </c>
      <c r="H5807" t="s">
        <v>111</v>
      </c>
      <c r="I5807">
        <v>38896</v>
      </c>
      <c r="J5807">
        <v>32321</v>
      </c>
    </row>
    <row r="5808" spans="1:10" x14ac:dyDescent="0.3">
      <c r="A5808" t="s">
        <v>5935</v>
      </c>
      <c r="B5808" s="1">
        <v>45677</v>
      </c>
      <c r="C5808" t="s">
        <v>17</v>
      </c>
      <c r="D5808">
        <v>4</v>
      </c>
      <c r="E5808" t="s">
        <v>70</v>
      </c>
      <c r="F5808" t="s">
        <v>122</v>
      </c>
      <c r="G5808" t="s">
        <v>118</v>
      </c>
      <c r="H5808" t="s">
        <v>36</v>
      </c>
      <c r="I5808">
        <v>21203</v>
      </c>
      <c r="J5808">
        <v>17319</v>
      </c>
    </row>
    <row r="5809" spans="1:10" x14ac:dyDescent="0.3">
      <c r="A5809" t="s">
        <v>5936</v>
      </c>
      <c r="B5809" s="1">
        <v>45812</v>
      </c>
      <c r="C5809" t="s">
        <v>74</v>
      </c>
      <c r="D5809">
        <v>23</v>
      </c>
      <c r="E5809" t="s">
        <v>61</v>
      </c>
      <c r="F5809" t="s">
        <v>92</v>
      </c>
      <c r="G5809" t="s">
        <v>30</v>
      </c>
      <c r="H5809" t="s">
        <v>243</v>
      </c>
      <c r="I5809">
        <v>19067</v>
      </c>
      <c r="J5809">
        <v>24726</v>
      </c>
    </row>
    <row r="5810" spans="1:10" x14ac:dyDescent="0.3">
      <c r="A5810" t="s">
        <v>5937</v>
      </c>
      <c r="B5810" s="1">
        <v>45785</v>
      </c>
      <c r="C5810" t="s">
        <v>90</v>
      </c>
      <c r="D5810">
        <v>19</v>
      </c>
      <c r="E5810" t="s">
        <v>24</v>
      </c>
      <c r="F5810" t="s">
        <v>34</v>
      </c>
      <c r="G5810" t="s">
        <v>291</v>
      </c>
      <c r="H5810" t="s">
        <v>157</v>
      </c>
      <c r="I5810">
        <v>39042</v>
      </c>
      <c r="J5810">
        <v>46551</v>
      </c>
    </row>
    <row r="5811" spans="1:10" x14ac:dyDescent="0.3">
      <c r="A5811" t="s">
        <v>5938</v>
      </c>
      <c r="B5811" s="1">
        <v>45821</v>
      </c>
      <c r="C5811" t="s">
        <v>74</v>
      </c>
      <c r="D5811">
        <v>24</v>
      </c>
      <c r="E5811" t="s">
        <v>39</v>
      </c>
      <c r="F5811" t="s">
        <v>78</v>
      </c>
      <c r="G5811" t="s">
        <v>58</v>
      </c>
      <c r="H5811" t="s">
        <v>211</v>
      </c>
      <c r="I5811">
        <v>22305</v>
      </c>
      <c r="J5811">
        <v>17882</v>
      </c>
    </row>
    <row r="5812" spans="1:10" x14ac:dyDescent="0.3">
      <c r="A5812" t="s">
        <v>5939</v>
      </c>
      <c r="B5812" s="1">
        <v>45752</v>
      </c>
      <c r="C5812" t="s">
        <v>86</v>
      </c>
      <c r="D5812">
        <v>14</v>
      </c>
      <c r="E5812" t="s">
        <v>24</v>
      </c>
      <c r="F5812" t="s">
        <v>92</v>
      </c>
      <c r="G5812" t="s">
        <v>44</v>
      </c>
      <c r="H5812" t="s">
        <v>68</v>
      </c>
      <c r="I5812">
        <v>37494</v>
      </c>
      <c r="J5812">
        <v>45811</v>
      </c>
    </row>
    <row r="5813" spans="1:10" x14ac:dyDescent="0.3">
      <c r="A5813" t="s">
        <v>5940</v>
      </c>
      <c r="B5813" s="1">
        <v>45770</v>
      </c>
      <c r="C5813" t="s">
        <v>86</v>
      </c>
      <c r="D5813">
        <v>17</v>
      </c>
      <c r="E5813" t="s">
        <v>39</v>
      </c>
      <c r="F5813" t="s">
        <v>140</v>
      </c>
      <c r="G5813" t="s">
        <v>58</v>
      </c>
      <c r="H5813" t="s">
        <v>211</v>
      </c>
      <c r="I5813">
        <v>36460</v>
      </c>
      <c r="J5813">
        <v>26011</v>
      </c>
    </row>
    <row r="5814" spans="1:10" x14ac:dyDescent="0.3">
      <c r="A5814" t="s">
        <v>5941</v>
      </c>
      <c r="B5814" s="1">
        <v>45816</v>
      </c>
      <c r="C5814" t="s">
        <v>74</v>
      </c>
      <c r="D5814">
        <v>23</v>
      </c>
      <c r="E5814" t="s">
        <v>61</v>
      </c>
      <c r="F5814" t="s">
        <v>25</v>
      </c>
      <c r="G5814" t="s">
        <v>110</v>
      </c>
      <c r="H5814" t="s">
        <v>84</v>
      </c>
      <c r="I5814">
        <v>17327</v>
      </c>
      <c r="J5814">
        <v>18970</v>
      </c>
    </row>
    <row r="5815" spans="1:10" x14ac:dyDescent="0.3">
      <c r="A5815" t="s">
        <v>5942</v>
      </c>
      <c r="B5815" s="1">
        <v>45991</v>
      </c>
      <c r="C5815" t="s">
        <v>23</v>
      </c>
      <c r="D5815">
        <v>48</v>
      </c>
      <c r="E5815" t="s">
        <v>33</v>
      </c>
      <c r="F5815" t="s">
        <v>34</v>
      </c>
      <c r="G5815" t="s">
        <v>199</v>
      </c>
      <c r="H5815" t="s">
        <v>151</v>
      </c>
      <c r="I5815">
        <v>36930</v>
      </c>
      <c r="J5815">
        <v>28610</v>
      </c>
    </row>
    <row r="5816" spans="1:10" x14ac:dyDescent="0.3">
      <c r="A5816" t="s">
        <v>5943</v>
      </c>
      <c r="B5816" s="1">
        <v>45812</v>
      </c>
      <c r="C5816" t="s">
        <v>74</v>
      </c>
      <c r="D5816">
        <v>23</v>
      </c>
      <c r="E5816" t="s">
        <v>18</v>
      </c>
      <c r="F5816" t="s">
        <v>13</v>
      </c>
      <c r="G5816" t="s">
        <v>44</v>
      </c>
      <c r="H5816" t="s">
        <v>96</v>
      </c>
      <c r="I5816">
        <v>29794</v>
      </c>
      <c r="J5816">
        <v>21510</v>
      </c>
    </row>
    <row r="5817" spans="1:10" x14ac:dyDescent="0.3">
      <c r="A5817" t="s">
        <v>5944</v>
      </c>
      <c r="B5817" s="1">
        <v>46004</v>
      </c>
      <c r="C5817" t="s">
        <v>100</v>
      </c>
      <c r="D5817">
        <v>50</v>
      </c>
      <c r="E5817" t="s">
        <v>39</v>
      </c>
      <c r="F5817" t="s">
        <v>46</v>
      </c>
      <c r="G5817" t="s">
        <v>30</v>
      </c>
      <c r="H5817" t="s">
        <v>133</v>
      </c>
      <c r="I5817">
        <v>33199</v>
      </c>
      <c r="J5817">
        <v>41819</v>
      </c>
    </row>
    <row r="5818" spans="1:10" x14ac:dyDescent="0.3">
      <c r="A5818" t="s">
        <v>5945</v>
      </c>
      <c r="B5818" s="1">
        <v>45830</v>
      </c>
      <c r="C5818" t="s">
        <v>74</v>
      </c>
      <c r="D5818">
        <v>25</v>
      </c>
      <c r="E5818" t="s">
        <v>70</v>
      </c>
      <c r="F5818" t="s">
        <v>75</v>
      </c>
      <c r="G5818" t="s">
        <v>44</v>
      </c>
      <c r="H5818" t="s">
        <v>111</v>
      </c>
      <c r="I5818">
        <v>22991</v>
      </c>
      <c r="J5818">
        <v>24415</v>
      </c>
    </row>
    <row r="5819" spans="1:10" x14ac:dyDescent="0.3">
      <c r="A5819" t="s">
        <v>5946</v>
      </c>
      <c r="B5819" s="1">
        <v>46007</v>
      </c>
      <c r="C5819" t="s">
        <v>100</v>
      </c>
      <c r="D5819">
        <v>51</v>
      </c>
      <c r="E5819" t="s">
        <v>18</v>
      </c>
      <c r="F5819" t="s">
        <v>109</v>
      </c>
      <c r="G5819" t="s">
        <v>201</v>
      </c>
      <c r="H5819" t="s">
        <v>157</v>
      </c>
      <c r="I5819">
        <v>19094</v>
      </c>
      <c r="J5819">
        <v>16389</v>
      </c>
    </row>
    <row r="5820" spans="1:10" x14ac:dyDescent="0.3">
      <c r="A5820" t="s">
        <v>5947</v>
      </c>
      <c r="B5820" s="1">
        <v>46016</v>
      </c>
      <c r="C5820" t="s">
        <v>100</v>
      </c>
      <c r="D5820">
        <v>52</v>
      </c>
      <c r="E5820" t="s">
        <v>61</v>
      </c>
      <c r="F5820" t="s">
        <v>46</v>
      </c>
      <c r="G5820" t="s">
        <v>51</v>
      </c>
      <c r="H5820" t="s">
        <v>151</v>
      </c>
      <c r="I5820">
        <v>30790</v>
      </c>
      <c r="J5820">
        <v>33367</v>
      </c>
    </row>
    <row r="5821" spans="1:10" x14ac:dyDescent="0.3">
      <c r="A5821" t="s">
        <v>5948</v>
      </c>
      <c r="B5821" s="1">
        <v>45930</v>
      </c>
      <c r="C5821" t="s">
        <v>38</v>
      </c>
      <c r="D5821">
        <v>40</v>
      </c>
      <c r="E5821" t="s">
        <v>39</v>
      </c>
      <c r="F5821" t="s">
        <v>114</v>
      </c>
      <c r="G5821" t="s">
        <v>40</v>
      </c>
      <c r="H5821" t="s">
        <v>243</v>
      </c>
      <c r="I5821">
        <v>27413</v>
      </c>
      <c r="J5821">
        <v>27962</v>
      </c>
    </row>
    <row r="5822" spans="1:10" x14ac:dyDescent="0.3">
      <c r="A5822" t="s">
        <v>5949</v>
      </c>
      <c r="B5822" s="1">
        <v>45896</v>
      </c>
      <c r="C5822" t="s">
        <v>113</v>
      </c>
      <c r="D5822">
        <v>35</v>
      </c>
      <c r="E5822" t="s">
        <v>24</v>
      </c>
      <c r="F5822" t="s">
        <v>140</v>
      </c>
      <c r="G5822" t="s">
        <v>115</v>
      </c>
      <c r="H5822" t="s">
        <v>96</v>
      </c>
      <c r="I5822">
        <v>36739</v>
      </c>
      <c r="J5822">
        <v>45083</v>
      </c>
    </row>
    <row r="5823" spans="1:10" x14ac:dyDescent="0.3">
      <c r="A5823" t="s">
        <v>5950</v>
      </c>
      <c r="B5823" s="1">
        <v>45871</v>
      </c>
      <c r="C5823" t="s">
        <v>113</v>
      </c>
      <c r="D5823">
        <v>31</v>
      </c>
      <c r="E5823" t="s">
        <v>24</v>
      </c>
      <c r="F5823" t="s">
        <v>43</v>
      </c>
      <c r="G5823" t="s">
        <v>26</v>
      </c>
      <c r="H5823" t="s">
        <v>243</v>
      </c>
      <c r="I5823">
        <v>29296</v>
      </c>
      <c r="J5823">
        <v>23269</v>
      </c>
    </row>
    <row r="5824" spans="1:10" x14ac:dyDescent="0.3">
      <c r="A5824" t="s">
        <v>5951</v>
      </c>
      <c r="B5824" s="1">
        <v>45684</v>
      </c>
      <c r="C5824" t="s">
        <v>17</v>
      </c>
      <c r="D5824">
        <v>5</v>
      </c>
      <c r="E5824" t="s">
        <v>12</v>
      </c>
      <c r="F5824" t="s">
        <v>101</v>
      </c>
      <c r="G5824" t="s">
        <v>51</v>
      </c>
      <c r="H5824" t="s">
        <v>68</v>
      </c>
      <c r="I5824">
        <v>20769</v>
      </c>
      <c r="J5824">
        <v>24773</v>
      </c>
    </row>
    <row r="5825" spans="1:10" x14ac:dyDescent="0.3">
      <c r="A5825" t="s">
        <v>5952</v>
      </c>
      <c r="B5825" s="1">
        <v>45668</v>
      </c>
      <c r="C5825" t="s">
        <v>17</v>
      </c>
      <c r="D5825">
        <v>2</v>
      </c>
      <c r="E5825" t="s">
        <v>24</v>
      </c>
      <c r="F5825" t="s">
        <v>101</v>
      </c>
      <c r="G5825" t="s">
        <v>324</v>
      </c>
      <c r="H5825" t="s">
        <v>59</v>
      </c>
      <c r="I5825">
        <v>21429</v>
      </c>
      <c r="J5825">
        <v>27082</v>
      </c>
    </row>
    <row r="5826" spans="1:10" x14ac:dyDescent="0.3">
      <c r="A5826" t="s">
        <v>5953</v>
      </c>
      <c r="B5826" s="1">
        <v>45722</v>
      </c>
      <c r="C5826" t="s">
        <v>95</v>
      </c>
      <c r="D5826">
        <v>10</v>
      </c>
      <c r="E5826" t="s">
        <v>18</v>
      </c>
      <c r="F5826" t="s">
        <v>87</v>
      </c>
      <c r="G5826" t="s">
        <v>137</v>
      </c>
      <c r="H5826" t="s">
        <v>96</v>
      </c>
      <c r="I5826">
        <v>30280</v>
      </c>
      <c r="J5826">
        <v>34199</v>
      </c>
    </row>
    <row r="5827" spans="1:10" x14ac:dyDescent="0.3">
      <c r="A5827" t="s">
        <v>5954</v>
      </c>
      <c r="B5827" s="1">
        <v>46021</v>
      </c>
      <c r="C5827" t="s">
        <v>100</v>
      </c>
      <c r="D5827">
        <v>1</v>
      </c>
      <c r="E5827" t="s">
        <v>70</v>
      </c>
      <c r="F5827" t="s">
        <v>34</v>
      </c>
      <c r="G5827" t="s">
        <v>110</v>
      </c>
      <c r="H5827" t="s">
        <v>243</v>
      </c>
      <c r="I5827">
        <v>39552</v>
      </c>
      <c r="J5827">
        <v>42031</v>
      </c>
    </row>
    <row r="5828" spans="1:10" x14ac:dyDescent="0.3">
      <c r="A5828" t="s">
        <v>5955</v>
      </c>
      <c r="B5828" s="1">
        <v>45767</v>
      </c>
      <c r="C5828" t="s">
        <v>86</v>
      </c>
      <c r="D5828">
        <v>16</v>
      </c>
      <c r="E5828" t="s">
        <v>70</v>
      </c>
      <c r="F5828" t="s">
        <v>78</v>
      </c>
      <c r="G5828" t="s">
        <v>206</v>
      </c>
      <c r="H5828" t="s">
        <v>133</v>
      </c>
      <c r="I5828">
        <v>19766</v>
      </c>
      <c r="J5828">
        <v>16135</v>
      </c>
    </row>
    <row r="5829" spans="1:10" x14ac:dyDescent="0.3">
      <c r="A5829" t="s">
        <v>5956</v>
      </c>
      <c r="B5829" s="1">
        <v>45992</v>
      </c>
      <c r="C5829" t="s">
        <v>100</v>
      </c>
      <c r="D5829">
        <v>49</v>
      </c>
      <c r="E5829" t="s">
        <v>18</v>
      </c>
      <c r="F5829" t="s">
        <v>46</v>
      </c>
      <c r="G5829" t="s">
        <v>324</v>
      </c>
      <c r="H5829" t="s">
        <v>133</v>
      </c>
      <c r="I5829">
        <v>18664</v>
      </c>
      <c r="J5829">
        <v>22252</v>
      </c>
    </row>
    <row r="5830" spans="1:10" x14ac:dyDescent="0.3">
      <c r="A5830" t="s">
        <v>5957</v>
      </c>
      <c r="B5830" s="1">
        <v>45784</v>
      </c>
      <c r="C5830" t="s">
        <v>90</v>
      </c>
      <c r="D5830">
        <v>19</v>
      </c>
      <c r="E5830" t="s">
        <v>61</v>
      </c>
      <c r="F5830" t="s">
        <v>78</v>
      </c>
      <c r="G5830" t="s">
        <v>149</v>
      </c>
      <c r="H5830" t="s">
        <v>119</v>
      </c>
      <c r="I5830">
        <v>17601</v>
      </c>
      <c r="J5830">
        <v>21802</v>
      </c>
    </row>
    <row r="5831" spans="1:10" x14ac:dyDescent="0.3">
      <c r="A5831" t="s">
        <v>5958</v>
      </c>
      <c r="B5831" s="1">
        <v>45962</v>
      </c>
      <c r="C5831" t="s">
        <v>23</v>
      </c>
      <c r="D5831">
        <v>44</v>
      </c>
      <c r="E5831" t="s">
        <v>12</v>
      </c>
      <c r="F5831" t="s">
        <v>13</v>
      </c>
      <c r="G5831" t="s">
        <v>30</v>
      </c>
      <c r="H5831" t="s">
        <v>155</v>
      </c>
      <c r="I5831">
        <v>16457</v>
      </c>
      <c r="J5831">
        <v>14039</v>
      </c>
    </row>
    <row r="5832" spans="1:10" x14ac:dyDescent="0.3">
      <c r="A5832" t="s">
        <v>5959</v>
      </c>
      <c r="B5832" s="1">
        <v>45687</v>
      </c>
      <c r="C5832" t="s">
        <v>17</v>
      </c>
      <c r="D5832">
        <v>5</v>
      </c>
      <c r="E5832" t="s">
        <v>39</v>
      </c>
      <c r="F5832" t="s">
        <v>92</v>
      </c>
      <c r="G5832" t="s">
        <v>35</v>
      </c>
      <c r="H5832" t="s">
        <v>48</v>
      </c>
      <c r="I5832">
        <v>15785</v>
      </c>
      <c r="J5832">
        <v>16002</v>
      </c>
    </row>
    <row r="5833" spans="1:10" x14ac:dyDescent="0.3">
      <c r="A5833" t="s">
        <v>5960</v>
      </c>
      <c r="B5833" s="1">
        <v>45818</v>
      </c>
      <c r="C5833" t="s">
        <v>74</v>
      </c>
      <c r="D5833">
        <v>24</v>
      </c>
      <c r="E5833" t="s">
        <v>70</v>
      </c>
      <c r="F5833" t="s">
        <v>50</v>
      </c>
      <c r="G5833" t="s">
        <v>201</v>
      </c>
      <c r="H5833" t="s">
        <v>155</v>
      </c>
      <c r="I5833">
        <v>15484</v>
      </c>
      <c r="J5833">
        <v>16420</v>
      </c>
    </row>
    <row r="5834" spans="1:10" x14ac:dyDescent="0.3">
      <c r="A5834" t="s">
        <v>5961</v>
      </c>
      <c r="B5834" s="1">
        <v>45852</v>
      </c>
      <c r="C5834" t="s">
        <v>11</v>
      </c>
      <c r="D5834">
        <v>29</v>
      </c>
      <c r="E5834" t="s">
        <v>18</v>
      </c>
      <c r="F5834" t="s">
        <v>78</v>
      </c>
      <c r="G5834" t="s">
        <v>137</v>
      </c>
      <c r="H5834" t="s">
        <v>111</v>
      </c>
      <c r="I5834">
        <v>39608</v>
      </c>
      <c r="J5834">
        <v>34475</v>
      </c>
    </row>
    <row r="5835" spans="1:10" x14ac:dyDescent="0.3">
      <c r="A5835" t="s">
        <v>5962</v>
      </c>
      <c r="B5835" s="1">
        <v>45966</v>
      </c>
      <c r="C5835" t="s">
        <v>23</v>
      </c>
      <c r="D5835">
        <v>45</v>
      </c>
      <c r="E5835" t="s">
        <v>61</v>
      </c>
      <c r="F5835" t="s">
        <v>87</v>
      </c>
      <c r="G5835" t="s">
        <v>110</v>
      </c>
      <c r="H5835" t="s">
        <v>111</v>
      </c>
      <c r="I5835">
        <v>24153</v>
      </c>
      <c r="J5835">
        <v>20588</v>
      </c>
    </row>
    <row r="5836" spans="1:10" x14ac:dyDescent="0.3">
      <c r="A5836" t="s">
        <v>5963</v>
      </c>
      <c r="B5836" s="1">
        <v>45889</v>
      </c>
      <c r="C5836" t="s">
        <v>113</v>
      </c>
      <c r="D5836">
        <v>34</v>
      </c>
      <c r="E5836" t="s">
        <v>33</v>
      </c>
      <c r="F5836" t="s">
        <v>109</v>
      </c>
      <c r="G5836" t="s">
        <v>147</v>
      </c>
      <c r="H5836" t="s">
        <v>15</v>
      </c>
      <c r="I5836">
        <v>17495</v>
      </c>
      <c r="J5836">
        <v>17147</v>
      </c>
    </row>
    <row r="5837" spans="1:10" x14ac:dyDescent="0.3">
      <c r="A5837" t="s">
        <v>5964</v>
      </c>
      <c r="B5837" s="1">
        <v>45675</v>
      </c>
      <c r="C5837" t="s">
        <v>17</v>
      </c>
      <c r="D5837">
        <v>3</v>
      </c>
      <c r="E5837" t="s">
        <v>70</v>
      </c>
      <c r="F5837" t="s">
        <v>43</v>
      </c>
      <c r="G5837" t="s">
        <v>191</v>
      </c>
      <c r="H5837" t="s">
        <v>103</v>
      </c>
      <c r="I5837">
        <v>29667</v>
      </c>
      <c r="J5837">
        <v>26837</v>
      </c>
    </row>
    <row r="5838" spans="1:10" x14ac:dyDescent="0.3">
      <c r="A5838" t="s">
        <v>5965</v>
      </c>
      <c r="B5838" s="1">
        <v>46009</v>
      </c>
      <c r="C5838" t="s">
        <v>100</v>
      </c>
      <c r="D5838">
        <v>51</v>
      </c>
      <c r="E5838" t="s">
        <v>18</v>
      </c>
      <c r="F5838" t="s">
        <v>43</v>
      </c>
      <c r="G5838" t="s">
        <v>171</v>
      </c>
      <c r="H5838" t="s">
        <v>36</v>
      </c>
      <c r="I5838">
        <v>19535</v>
      </c>
      <c r="J5838">
        <v>16725</v>
      </c>
    </row>
    <row r="5839" spans="1:10" x14ac:dyDescent="0.3">
      <c r="A5839" t="s">
        <v>5966</v>
      </c>
      <c r="B5839" s="1">
        <v>45676</v>
      </c>
      <c r="C5839" t="s">
        <v>17</v>
      </c>
      <c r="D5839">
        <v>3</v>
      </c>
      <c r="E5839" t="s">
        <v>61</v>
      </c>
      <c r="F5839" t="s">
        <v>62</v>
      </c>
      <c r="G5839" t="s">
        <v>110</v>
      </c>
      <c r="H5839" t="s">
        <v>119</v>
      </c>
      <c r="I5839">
        <v>33936</v>
      </c>
      <c r="J5839">
        <v>43192</v>
      </c>
    </row>
    <row r="5840" spans="1:10" x14ac:dyDescent="0.3">
      <c r="A5840" t="s">
        <v>5967</v>
      </c>
      <c r="B5840" s="1">
        <v>45729</v>
      </c>
      <c r="C5840" t="s">
        <v>95</v>
      </c>
      <c r="D5840">
        <v>11</v>
      </c>
      <c r="E5840" t="s">
        <v>39</v>
      </c>
      <c r="F5840" t="s">
        <v>19</v>
      </c>
      <c r="G5840" t="s">
        <v>149</v>
      </c>
      <c r="H5840" t="s">
        <v>84</v>
      </c>
      <c r="I5840">
        <v>28698</v>
      </c>
      <c r="J5840">
        <v>30823</v>
      </c>
    </row>
    <row r="5841" spans="1:10" x14ac:dyDescent="0.3">
      <c r="A5841" t="s">
        <v>5968</v>
      </c>
      <c r="B5841" s="1">
        <v>45696</v>
      </c>
      <c r="C5841" t="s">
        <v>82</v>
      </c>
      <c r="D5841">
        <v>6</v>
      </c>
      <c r="E5841" t="s">
        <v>12</v>
      </c>
      <c r="F5841" t="s">
        <v>193</v>
      </c>
      <c r="G5841" t="s">
        <v>76</v>
      </c>
      <c r="H5841" t="s">
        <v>41</v>
      </c>
      <c r="I5841">
        <v>34771</v>
      </c>
      <c r="J5841">
        <v>44979</v>
      </c>
    </row>
    <row r="5842" spans="1:10" x14ac:dyDescent="0.3">
      <c r="A5842" t="s">
        <v>5969</v>
      </c>
      <c r="B5842" s="1">
        <v>45665</v>
      </c>
      <c r="C5842" t="s">
        <v>17</v>
      </c>
      <c r="D5842">
        <v>2</v>
      </c>
      <c r="E5842" t="s">
        <v>33</v>
      </c>
      <c r="F5842" t="s">
        <v>57</v>
      </c>
      <c r="G5842" t="s">
        <v>47</v>
      </c>
      <c r="H5842" t="s">
        <v>27</v>
      </c>
      <c r="I5842">
        <v>38874</v>
      </c>
      <c r="J5842">
        <v>32969</v>
      </c>
    </row>
    <row r="5843" spans="1:10" x14ac:dyDescent="0.3">
      <c r="A5843" t="s">
        <v>5970</v>
      </c>
      <c r="B5843" s="1">
        <v>45815</v>
      </c>
      <c r="C5843" t="s">
        <v>74</v>
      </c>
      <c r="D5843">
        <v>23</v>
      </c>
      <c r="E5843" t="s">
        <v>24</v>
      </c>
      <c r="F5843" t="s">
        <v>29</v>
      </c>
      <c r="G5843" t="s">
        <v>107</v>
      </c>
      <c r="H5843" t="s">
        <v>116</v>
      </c>
      <c r="I5843">
        <v>37018</v>
      </c>
      <c r="J5843">
        <v>33062</v>
      </c>
    </row>
    <row r="5844" spans="1:10" x14ac:dyDescent="0.3">
      <c r="A5844" t="s">
        <v>5971</v>
      </c>
      <c r="B5844" s="1">
        <v>45934</v>
      </c>
      <c r="C5844" t="s">
        <v>66</v>
      </c>
      <c r="D5844">
        <v>40</v>
      </c>
      <c r="E5844" t="s">
        <v>12</v>
      </c>
      <c r="F5844" t="s">
        <v>62</v>
      </c>
      <c r="G5844" t="s">
        <v>83</v>
      </c>
      <c r="H5844" t="s">
        <v>163</v>
      </c>
      <c r="I5844">
        <v>20409</v>
      </c>
      <c r="J5844">
        <v>16442</v>
      </c>
    </row>
    <row r="5845" spans="1:10" x14ac:dyDescent="0.3">
      <c r="A5845" t="s">
        <v>5972</v>
      </c>
      <c r="B5845" s="1">
        <v>45999</v>
      </c>
      <c r="C5845" t="s">
        <v>100</v>
      </c>
      <c r="D5845">
        <v>50</v>
      </c>
      <c r="E5845" t="s">
        <v>18</v>
      </c>
      <c r="F5845" t="s">
        <v>78</v>
      </c>
      <c r="G5845" t="s">
        <v>224</v>
      </c>
      <c r="H5845" t="s">
        <v>243</v>
      </c>
      <c r="I5845">
        <v>21579</v>
      </c>
      <c r="J5845">
        <v>16721</v>
      </c>
    </row>
    <row r="5846" spans="1:10" x14ac:dyDescent="0.3">
      <c r="A5846" t="s">
        <v>5973</v>
      </c>
      <c r="B5846" s="1">
        <v>45964</v>
      </c>
      <c r="C5846" t="s">
        <v>23</v>
      </c>
      <c r="D5846">
        <v>45</v>
      </c>
      <c r="E5846" t="s">
        <v>61</v>
      </c>
      <c r="F5846" t="s">
        <v>140</v>
      </c>
      <c r="G5846" t="s">
        <v>118</v>
      </c>
      <c r="H5846" t="s">
        <v>211</v>
      </c>
      <c r="I5846">
        <v>15407</v>
      </c>
      <c r="J5846">
        <v>11549</v>
      </c>
    </row>
    <row r="5847" spans="1:10" x14ac:dyDescent="0.3">
      <c r="A5847" t="s">
        <v>5974</v>
      </c>
      <c r="B5847" s="1">
        <v>45676</v>
      </c>
      <c r="C5847" t="s">
        <v>17</v>
      </c>
      <c r="D5847">
        <v>3</v>
      </c>
      <c r="E5847" t="s">
        <v>33</v>
      </c>
      <c r="F5847" t="s">
        <v>46</v>
      </c>
      <c r="G5847" t="s">
        <v>115</v>
      </c>
      <c r="H5847" t="s">
        <v>116</v>
      </c>
      <c r="I5847">
        <v>33174</v>
      </c>
      <c r="J5847">
        <v>40833</v>
      </c>
    </row>
    <row r="5848" spans="1:10" x14ac:dyDescent="0.3">
      <c r="A5848" t="s">
        <v>5975</v>
      </c>
      <c r="B5848" s="1">
        <v>45894</v>
      </c>
      <c r="C5848" t="s">
        <v>113</v>
      </c>
      <c r="D5848">
        <v>35</v>
      </c>
      <c r="E5848" t="s">
        <v>61</v>
      </c>
      <c r="F5848" t="s">
        <v>50</v>
      </c>
      <c r="G5848" t="s">
        <v>26</v>
      </c>
      <c r="H5848" t="s">
        <v>116</v>
      </c>
      <c r="I5848">
        <v>36969</v>
      </c>
      <c r="J5848">
        <v>35140</v>
      </c>
    </row>
    <row r="5849" spans="1:10" x14ac:dyDescent="0.3">
      <c r="A5849" t="s">
        <v>5976</v>
      </c>
      <c r="B5849" s="1">
        <v>45891</v>
      </c>
      <c r="C5849" t="s">
        <v>113</v>
      </c>
      <c r="D5849">
        <v>34</v>
      </c>
      <c r="E5849" t="s">
        <v>12</v>
      </c>
      <c r="F5849" t="s">
        <v>75</v>
      </c>
      <c r="G5849" t="s">
        <v>93</v>
      </c>
      <c r="H5849" t="s">
        <v>27</v>
      </c>
      <c r="I5849">
        <v>21191</v>
      </c>
      <c r="J5849">
        <v>24017</v>
      </c>
    </row>
    <row r="5850" spans="1:10" x14ac:dyDescent="0.3">
      <c r="A5850" t="s">
        <v>5977</v>
      </c>
      <c r="B5850" s="1">
        <v>45819</v>
      </c>
      <c r="C5850" t="s">
        <v>74</v>
      </c>
      <c r="D5850">
        <v>24</v>
      </c>
      <c r="E5850" t="s">
        <v>70</v>
      </c>
      <c r="F5850" t="s">
        <v>75</v>
      </c>
      <c r="G5850" t="s">
        <v>206</v>
      </c>
      <c r="H5850" t="s">
        <v>123</v>
      </c>
      <c r="I5850">
        <v>16025</v>
      </c>
      <c r="J5850">
        <v>12899</v>
      </c>
    </row>
    <row r="5851" spans="1:10" x14ac:dyDescent="0.3">
      <c r="A5851" t="s">
        <v>5978</v>
      </c>
      <c r="B5851" s="1">
        <v>45789</v>
      </c>
      <c r="C5851" t="s">
        <v>90</v>
      </c>
      <c r="D5851">
        <v>20</v>
      </c>
      <c r="E5851" t="s">
        <v>70</v>
      </c>
      <c r="F5851" t="s">
        <v>193</v>
      </c>
      <c r="G5851" t="s">
        <v>126</v>
      </c>
      <c r="H5851" t="s">
        <v>68</v>
      </c>
      <c r="I5851">
        <v>21761</v>
      </c>
      <c r="J5851">
        <v>25703</v>
      </c>
    </row>
    <row r="5852" spans="1:10" x14ac:dyDescent="0.3">
      <c r="A5852" t="s">
        <v>5979</v>
      </c>
      <c r="B5852" s="1">
        <v>45889</v>
      </c>
      <c r="C5852" t="s">
        <v>113</v>
      </c>
      <c r="D5852">
        <v>34</v>
      </c>
      <c r="E5852" t="s">
        <v>61</v>
      </c>
      <c r="F5852" t="s">
        <v>43</v>
      </c>
      <c r="G5852" t="s">
        <v>54</v>
      </c>
      <c r="H5852" t="s">
        <v>243</v>
      </c>
      <c r="I5852">
        <v>38275</v>
      </c>
      <c r="J5852">
        <v>41468</v>
      </c>
    </row>
    <row r="5853" spans="1:10" x14ac:dyDescent="0.3">
      <c r="A5853" t="s">
        <v>5980</v>
      </c>
      <c r="B5853" s="1">
        <v>45951</v>
      </c>
      <c r="C5853" t="s">
        <v>66</v>
      </c>
      <c r="D5853">
        <v>43</v>
      </c>
      <c r="E5853" t="s">
        <v>61</v>
      </c>
      <c r="F5853" t="s">
        <v>25</v>
      </c>
      <c r="G5853" t="s">
        <v>206</v>
      </c>
      <c r="H5853" t="s">
        <v>59</v>
      </c>
      <c r="I5853">
        <v>36981</v>
      </c>
      <c r="J5853">
        <v>38756</v>
      </c>
    </row>
    <row r="5854" spans="1:10" x14ac:dyDescent="0.3">
      <c r="A5854" t="s">
        <v>5981</v>
      </c>
      <c r="B5854" s="1">
        <v>45978</v>
      </c>
      <c r="C5854" t="s">
        <v>23</v>
      </c>
      <c r="D5854">
        <v>47</v>
      </c>
      <c r="E5854" t="s">
        <v>61</v>
      </c>
      <c r="F5854" t="s">
        <v>50</v>
      </c>
      <c r="G5854" t="s">
        <v>324</v>
      </c>
      <c r="H5854" t="s">
        <v>157</v>
      </c>
      <c r="I5854">
        <v>28663</v>
      </c>
      <c r="J5854">
        <v>34357</v>
      </c>
    </row>
    <row r="5855" spans="1:10" x14ac:dyDescent="0.3">
      <c r="A5855" t="s">
        <v>5982</v>
      </c>
      <c r="B5855" s="1">
        <v>45803</v>
      </c>
      <c r="C5855" t="s">
        <v>90</v>
      </c>
      <c r="D5855">
        <v>22</v>
      </c>
      <c r="E5855" t="s">
        <v>24</v>
      </c>
      <c r="F5855" t="s">
        <v>57</v>
      </c>
      <c r="G5855" t="s">
        <v>51</v>
      </c>
      <c r="H5855" t="s">
        <v>98</v>
      </c>
      <c r="I5855">
        <v>20507</v>
      </c>
      <c r="J5855">
        <v>22954</v>
      </c>
    </row>
    <row r="5856" spans="1:10" x14ac:dyDescent="0.3">
      <c r="A5856" t="s">
        <v>5983</v>
      </c>
      <c r="B5856" s="1">
        <v>45806</v>
      </c>
      <c r="C5856" t="s">
        <v>90</v>
      </c>
      <c r="D5856">
        <v>22</v>
      </c>
      <c r="E5856" t="s">
        <v>18</v>
      </c>
      <c r="F5856" t="s">
        <v>25</v>
      </c>
      <c r="G5856" t="s">
        <v>115</v>
      </c>
      <c r="H5856" t="s">
        <v>165</v>
      </c>
      <c r="I5856">
        <v>23437</v>
      </c>
      <c r="J5856">
        <v>24826</v>
      </c>
    </row>
    <row r="5857" spans="1:10" x14ac:dyDescent="0.3">
      <c r="A5857" t="s">
        <v>5984</v>
      </c>
      <c r="B5857" s="1">
        <v>45883</v>
      </c>
      <c r="C5857" t="s">
        <v>113</v>
      </c>
      <c r="D5857">
        <v>33</v>
      </c>
      <c r="E5857" t="s">
        <v>70</v>
      </c>
      <c r="F5857" t="s">
        <v>34</v>
      </c>
      <c r="G5857" t="s">
        <v>291</v>
      </c>
      <c r="H5857" t="s">
        <v>59</v>
      </c>
      <c r="I5857">
        <v>31341</v>
      </c>
      <c r="J5857">
        <v>24304</v>
      </c>
    </row>
    <row r="5858" spans="1:10" x14ac:dyDescent="0.3">
      <c r="A5858" t="s">
        <v>5985</v>
      </c>
      <c r="B5858" s="1">
        <v>45967</v>
      </c>
      <c r="C5858" t="s">
        <v>23</v>
      </c>
      <c r="D5858">
        <v>45</v>
      </c>
      <c r="E5858" t="s">
        <v>39</v>
      </c>
      <c r="F5858" t="s">
        <v>140</v>
      </c>
      <c r="G5858" t="s">
        <v>224</v>
      </c>
      <c r="H5858" t="s">
        <v>155</v>
      </c>
      <c r="I5858">
        <v>16257</v>
      </c>
      <c r="J5858">
        <v>18080</v>
      </c>
    </row>
    <row r="5859" spans="1:10" x14ac:dyDescent="0.3">
      <c r="A5859" t="s">
        <v>5986</v>
      </c>
      <c r="B5859" s="1">
        <v>45725</v>
      </c>
      <c r="C5859" t="s">
        <v>95</v>
      </c>
      <c r="D5859">
        <v>10</v>
      </c>
      <c r="E5859" t="s">
        <v>24</v>
      </c>
      <c r="F5859" t="s">
        <v>57</v>
      </c>
      <c r="G5859" t="s">
        <v>72</v>
      </c>
      <c r="H5859" t="s">
        <v>211</v>
      </c>
      <c r="I5859">
        <v>15175</v>
      </c>
      <c r="J5859">
        <v>12990</v>
      </c>
    </row>
    <row r="5860" spans="1:10" x14ac:dyDescent="0.3">
      <c r="A5860" t="s">
        <v>5987</v>
      </c>
      <c r="B5860" s="1">
        <v>45894</v>
      </c>
      <c r="C5860" t="s">
        <v>113</v>
      </c>
      <c r="D5860">
        <v>35</v>
      </c>
      <c r="E5860" t="s">
        <v>24</v>
      </c>
      <c r="F5860" t="s">
        <v>87</v>
      </c>
      <c r="G5860" t="s">
        <v>72</v>
      </c>
      <c r="H5860" t="s">
        <v>157</v>
      </c>
      <c r="I5860">
        <v>37492</v>
      </c>
      <c r="J5860">
        <v>28826</v>
      </c>
    </row>
    <row r="5861" spans="1:10" x14ac:dyDescent="0.3">
      <c r="A5861" t="s">
        <v>5988</v>
      </c>
      <c r="B5861" s="1">
        <v>45693</v>
      </c>
      <c r="C5861" t="s">
        <v>82</v>
      </c>
      <c r="D5861">
        <v>6</v>
      </c>
      <c r="E5861" t="s">
        <v>18</v>
      </c>
      <c r="F5861" t="s">
        <v>87</v>
      </c>
      <c r="G5861" t="s">
        <v>234</v>
      </c>
      <c r="H5861" t="s">
        <v>27</v>
      </c>
      <c r="I5861">
        <v>22419</v>
      </c>
      <c r="J5861">
        <v>17416</v>
      </c>
    </row>
    <row r="5862" spans="1:10" x14ac:dyDescent="0.3">
      <c r="A5862" t="s">
        <v>5989</v>
      </c>
      <c r="B5862" s="1">
        <v>45692</v>
      </c>
      <c r="C5862" t="s">
        <v>82</v>
      </c>
      <c r="D5862">
        <v>6</v>
      </c>
      <c r="E5862" t="s">
        <v>61</v>
      </c>
      <c r="F5862" t="s">
        <v>50</v>
      </c>
      <c r="G5862" t="s">
        <v>326</v>
      </c>
      <c r="H5862" t="s">
        <v>165</v>
      </c>
      <c r="I5862">
        <v>20241</v>
      </c>
      <c r="J5862">
        <v>18345</v>
      </c>
    </row>
    <row r="5863" spans="1:10" x14ac:dyDescent="0.3">
      <c r="A5863" t="s">
        <v>5990</v>
      </c>
      <c r="B5863" s="1">
        <v>45750</v>
      </c>
      <c r="C5863" t="s">
        <v>86</v>
      </c>
      <c r="D5863">
        <v>14</v>
      </c>
      <c r="E5863" t="s">
        <v>70</v>
      </c>
      <c r="F5863" t="s">
        <v>78</v>
      </c>
      <c r="G5863" t="s">
        <v>26</v>
      </c>
      <c r="H5863" t="s">
        <v>211</v>
      </c>
      <c r="I5863">
        <v>39174</v>
      </c>
      <c r="J5863">
        <v>42780</v>
      </c>
    </row>
    <row r="5864" spans="1:10" x14ac:dyDescent="0.3">
      <c r="A5864" t="s">
        <v>5991</v>
      </c>
      <c r="B5864" s="1">
        <v>45750</v>
      </c>
      <c r="C5864" t="s">
        <v>86</v>
      </c>
      <c r="D5864">
        <v>14</v>
      </c>
      <c r="E5864" t="s">
        <v>24</v>
      </c>
      <c r="F5864" t="s">
        <v>109</v>
      </c>
      <c r="G5864" t="s">
        <v>54</v>
      </c>
      <c r="H5864" t="s">
        <v>133</v>
      </c>
      <c r="I5864">
        <v>22865</v>
      </c>
      <c r="J5864">
        <v>19212</v>
      </c>
    </row>
    <row r="5865" spans="1:10" x14ac:dyDescent="0.3">
      <c r="A5865" t="s">
        <v>5992</v>
      </c>
      <c r="B5865" s="1">
        <v>45734</v>
      </c>
      <c r="C5865" t="s">
        <v>95</v>
      </c>
      <c r="D5865">
        <v>12</v>
      </c>
      <c r="E5865" t="s">
        <v>70</v>
      </c>
      <c r="F5865" t="s">
        <v>25</v>
      </c>
      <c r="G5865" t="s">
        <v>128</v>
      </c>
      <c r="H5865" t="s">
        <v>15</v>
      </c>
      <c r="I5865">
        <v>37517</v>
      </c>
      <c r="J5865">
        <v>33555</v>
      </c>
    </row>
    <row r="5866" spans="1:10" x14ac:dyDescent="0.3">
      <c r="A5866" t="s">
        <v>5993</v>
      </c>
      <c r="B5866" s="1">
        <v>45832</v>
      </c>
      <c r="C5866" t="s">
        <v>74</v>
      </c>
      <c r="D5866">
        <v>26</v>
      </c>
      <c r="E5866" t="s">
        <v>70</v>
      </c>
      <c r="F5866" t="s">
        <v>50</v>
      </c>
      <c r="G5866" t="s">
        <v>44</v>
      </c>
      <c r="H5866" t="s">
        <v>243</v>
      </c>
      <c r="I5866">
        <v>22283</v>
      </c>
      <c r="J5866">
        <v>21054</v>
      </c>
    </row>
    <row r="5867" spans="1:10" x14ac:dyDescent="0.3">
      <c r="A5867" t="s">
        <v>5994</v>
      </c>
      <c r="B5867" s="1">
        <v>45692</v>
      </c>
      <c r="C5867" t="s">
        <v>82</v>
      </c>
      <c r="D5867">
        <v>6</v>
      </c>
      <c r="E5867" t="s">
        <v>18</v>
      </c>
      <c r="F5867" t="s">
        <v>34</v>
      </c>
      <c r="G5867" t="s">
        <v>147</v>
      </c>
      <c r="H5867" t="s">
        <v>155</v>
      </c>
      <c r="I5867">
        <v>18715</v>
      </c>
      <c r="J5867">
        <v>17350</v>
      </c>
    </row>
    <row r="5868" spans="1:10" x14ac:dyDescent="0.3">
      <c r="A5868" t="s">
        <v>5995</v>
      </c>
      <c r="B5868" s="1">
        <v>45771</v>
      </c>
      <c r="C5868" t="s">
        <v>86</v>
      </c>
      <c r="D5868">
        <v>17</v>
      </c>
      <c r="E5868" t="s">
        <v>18</v>
      </c>
      <c r="F5868" t="s">
        <v>75</v>
      </c>
      <c r="G5868" t="s">
        <v>76</v>
      </c>
      <c r="H5868" t="s">
        <v>133</v>
      </c>
      <c r="I5868">
        <v>17257</v>
      </c>
      <c r="J5868">
        <v>21626</v>
      </c>
    </row>
    <row r="5869" spans="1:10" x14ac:dyDescent="0.3">
      <c r="A5869" t="s">
        <v>5996</v>
      </c>
      <c r="B5869" s="1">
        <v>45994</v>
      </c>
      <c r="C5869" t="s">
        <v>100</v>
      </c>
      <c r="D5869">
        <v>49</v>
      </c>
      <c r="E5869" t="s">
        <v>24</v>
      </c>
      <c r="F5869" t="s">
        <v>57</v>
      </c>
      <c r="G5869" t="s">
        <v>206</v>
      </c>
      <c r="H5869" t="s">
        <v>48</v>
      </c>
      <c r="I5869">
        <v>37328</v>
      </c>
      <c r="J5869">
        <v>28388</v>
      </c>
    </row>
    <row r="5870" spans="1:10" x14ac:dyDescent="0.3">
      <c r="A5870" t="s">
        <v>5997</v>
      </c>
      <c r="B5870" s="1">
        <v>45678</v>
      </c>
      <c r="C5870" t="s">
        <v>17</v>
      </c>
      <c r="D5870">
        <v>4</v>
      </c>
      <c r="E5870" t="s">
        <v>33</v>
      </c>
      <c r="F5870" t="s">
        <v>78</v>
      </c>
      <c r="G5870" t="s">
        <v>72</v>
      </c>
      <c r="H5870" t="s">
        <v>151</v>
      </c>
      <c r="I5870">
        <v>36993</v>
      </c>
      <c r="J5870">
        <v>34161</v>
      </c>
    </row>
    <row r="5871" spans="1:10" x14ac:dyDescent="0.3">
      <c r="A5871" t="s">
        <v>5998</v>
      </c>
      <c r="B5871" s="1">
        <v>45919</v>
      </c>
      <c r="C5871" t="s">
        <v>38</v>
      </c>
      <c r="D5871">
        <v>38</v>
      </c>
      <c r="E5871" t="s">
        <v>39</v>
      </c>
      <c r="F5871" t="s">
        <v>87</v>
      </c>
      <c r="G5871" t="s">
        <v>58</v>
      </c>
      <c r="H5871" t="s">
        <v>96</v>
      </c>
      <c r="I5871">
        <v>19250</v>
      </c>
      <c r="J5871">
        <v>24604</v>
      </c>
    </row>
    <row r="5872" spans="1:10" x14ac:dyDescent="0.3">
      <c r="A5872" t="s">
        <v>5999</v>
      </c>
      <c r="B5872" s="1">
        <v>45890</v>
      </c>
      <c r="C5872" t="s">
        <v>113</v>
      </c>
      <c r="D5872">
        <v>34</v>
      </c>
      <c r="E5872" t="s">
        <v>18</v>
      </c>
      <c r="F5872" t="s">
        <v>50</v>
      </c>
      <c r="G5872" t="s">
        <v>115</v>
      </c>
      <c r="H5872" t="s">
        <v>27</v>
      </c>
      <c r="I5872">
        <v>31255</v>
      </c>
      <c r="J5872">
        <v>40546</v>
      </c>
    </row>
    <row r="5873" spans="1:10" x14ac:dyDescent="0.3">
      <c r="A5873" t="s">
        <v>6000</v>
      </c>
      <c r="B5873" s="1">
        <v>45840</v>
      </c>
      <c r="C5873" t="s">
        <v>11</v>
      </c>
      <c r="D5873">
        <v>27</v>
      </c>
      <c r="E5873" t="s">
        <v>61</v>
      </c>
      <c r="F5873" t="s">
        <v>75</v>
      </c>
      <c r="G5873" t="s">
        <v>54</v>
      </c>
      <c r="H5873" t="s">
        <v>36</v>
      </c>
      <c r="I5873">
        <v>21485</v>
      </c>
      <c r="J5873">
        <v>20523</v>
      </c>
    </row>
    <row r="5874" spans="1:10" x14ac:dyDescent="0.3">
      <c r="A5874" t="s">
        <v>6001</v>
      </c>
      <c r="B5874" s="1">
        <v>45987</v>
      </c>
      <c r="C5874" t="s">
        <v>23</v>
      </c>
      <c r="D5874">
        <v>48</v>
      </c>
      <c r="E5874" t="s">
        <v>70</v>
      </c>
      <c r="F5874" t="s">
        <v>57</v>
      </c>
      <c r="G5874" t="s">
        <v>240</v>
      </c>
      <c r="H5874" t="s">
        <v>96</v>
      </c>
      <c r="I5874">
        <v>20684</v>
      </c>
      <c r="J5874">
        <v>15227</v>
      </c>
    </row>
    <row r="5875" spans="1:10" x14ac:dyDescent="0.3">
      <c r="A5875" t="s">
        <v>6002</v>
      </c>
      <c r="B5875" s="1">
        <v>45926</v>
      </c>
      <c r="C5875" t="s">
        <v>38</v>
      </c>
      <c r="D5875">
        <v>39</v>
      </c>
      <c r="E5875" t="s">
        <v>24</v>
      </c>
      <c r="F5875" t="s">
        <v>19</v>
      </c>
      <c r="G5875" t="s">
        <v>126</v>
      </c>
      <c r="H5875" t="s">
        <v>64</v>
      </c>
      <c r="I5875">
        <v>25471</v>
      </c>
      <c r="J5875">
        <v>25146</v>
      </c>
    </row>
    <row r="5876" spans="1:10" x14ac:dyDescent="0.3">
      <c r="A5876" t="s">
        <v>6003</v>
      </c>
      <c r="B5876" s="1">
        <v>45786</v>
      </c>
      <c r="C5876" t="s">
        <v>90</v>
      </c>
      <c r="D5876">
        <v>19</v>
      </c>
      <c r="E5876" t="s">
        <v>39</v>
      </c>
      <c r="F5876" t="s">
        <v>50</v>
      </c>
      <c r="G5876" t="s">
        <v>182</v>
      </c>
      <c r="H5876" t="s">
        <v>55</v>
      </c>
      <c r="I5876">
        <v>35899</v>
      </c>
      <c r="J5876">
        <v>43766</v>
      </c>
    </row>
    <row r="5877" spans="1:10" x14ac:dyDescent="0.3">
      <c r="A5877" t="s">
        <v>6004</v>
      </c>
      <c r="B5877" s="1">
        <v>45882</v>
      </c>
      <c r="C5877" t="s">
        <v>113</v>
      </c>
      <c r="D5877">
        <v>33</v>
      </c>
      <c r="E5877" t="s">
        <v>18</v>
      </c>
      <c r="F5877" t="s">
        <v>122</v>
      </c>
      <c r="G5877" t="s">
        <v>230</v>
      </c>
      <c r="H5877" t="s">
        <v>15</v>
      </c>
      <c r="I5877">
        <v>18141</v>
      </c>
      <c r="J5877">
        <v>23224</v>
      </c>
    </row>
    <row r="5878" spans="1:10" x14ac:dyDescent="0.3">
      <c r="A5878" t="s">
        <v>6005</v>
      </c>
      <c r="B5878" s="1">
        <v>45853</v>
      </c>
      <c r="C5878" t="s">
        <v>11</v>
      </c>
      <c r="D5878">
        <v>29</v>
      </c>
      <c r="E5878" t="s">
        <v>39</v>
      </c>
      <c r="F5878" t="s">
        <v>109</v>
      </c>
      <c r="G5878" t="s">
        <v>58</v>
      </c>
      <c r="H5878" t="s">
        <v>103</v>
      </c>
      <c r="I5878">
        <v>15532</v>
      </c>
      <c r="J5878">
        <v>11406</v>
      </c>
    </row>
    <row r="5879" spans="1:10" x14ac:dyDescent="0.3">
      <c r="A5879" t="s">
        <v>6006</v>
      </c>
      <c r="B5879" s="1">
        <v>45787</v>
      </c>
      <c r="C5879" t="s">
        <v>90</v>
      </c>
      <c r="D5879">
        <v>19</v>
      </c>
      <c r="E5879" t="s">
        <v>24</v>
      </c>
      <c r="F5879" t="s">
        <v>43</v>
      </c>
      <c r="G5879" t="s">
        <v>206</v>
      </c>
      <c r="H5879" t="s">
        <v>27</v>
      </c>
      <c r="I5879">
        <v>37088</v>
      </c>
      <c r="J5879">
        <v>47246</v>
      </c>
    </row>
    <row r="5880" spans="1:10" x14ac:dyDescent="0.3">
      <c r="A5880" t="s">
        <v>6007</v>
      </c>
      <c r="B5880" s="1">
        <v>45935</v>
      </c>
      <c r="C5880" t="s">
        <v>66</v>
      </c>
      <c r="D5880">
        <v>40</v>
      </c>
      <c r="E5880" t="s">
        <v>33</v>
      </c>
      <c r="F5880" t="s">
        <v>193</v>
      </c>
      <c r="G5880" t="s">
        <v>324</v>
      </c>
      <c r="H5880" t="s">
        <v>188</v>
      </c>
      <c r="I5880">
        <v>38602</v>
      </c>
      <c r="J5880">
        <v>27338</v>
      </c>
    </row>
    <row r="5881" spans="1:10" x14ac:dyDescent="0.3">
      <c r="A5881" t="s">
        <v>6008</v>
      </c>
      <c r="B5881" s="1">
        <v>45964</v>
      </c>
      <c r="C5881" t="s">
        <v>23</v>
      </c>
      <c r="D5881">
        <v>45</v>
      </c>
      <c r="E5881" t="s">
        <v>18</v>
      </c>
      <c r="F5881" t="s">
        <v>140</v>
      </c>
      <c r="G5881" t="s">
        <v>102</v>
      </c>
      <c r="H5881" t="s">
        <v>103</v>
      </c>
      <c r="I5881">
        <v>35076</v>
      </c>
      <c r="J5881">
        <v>37427</v>
      </c>
    </row>
    <row r="5882" spans="1:10" x14ac:dyDescent="0.3">
      <c r="A5882" t="s">
        <v>6009</v>
      </c>
      <c r="B5882" s="1">
        <v>46020</v>
      </c>
      <c r="C5882" t="s">
        <v>100</v>
      </c>
      <c r="D5882">
        <v>1</v>
      </c>
      <c r="E5882" t="s">
        <v>61</v>
      </c>
      <c r="F5882" t="s">
        <v>34</v>
      </c>
      <c r="G5882" t="s">
        <v>135</v>
      </c>
      <c r="H5882" t="s">
        <v>48</v>
      </c>
      <c r="I5882">
        <v>37130</v>
      </c>
      <c r="J5882">
        <v>45596</v>
      </c>
    </row>
    <row r="5883" spans="1:10" x14ac:dyDescent="0.3">
      <c r="A5883" t="s">
        <v>6010</v>
      </c>
      <c r="B5883" s="1">
        <v>45846</v>
      </c>
      <c r="C5883" t="s">
        <v>11</v>
      </c>
      <c r="D5883">
        <v>28</v>
      </c>
      <c r="E5883" t="s">
        <v>12</v>
      </c>
      <c r="F5883" t="s">
        <v>78</v>
      </c>
      <c r="G5883" t="s">
        <v>149</v>
      </c>
      <c r="H5883" t="s">
        <v>123</v>
      </c>
      <c r="I5883">
        <v>33700</v>
      </c>
      <c r="J5883">
        <v>38438</v>
      </c>
    </row>
    <row r="5884" spans="1:10" x14ac:dyDescent="0.3">
      <c r="A5884" t="s">
        <v>6011</v>
      </c>
      <c r="B5884" s="1">
        <v>45662</v>
      </c>
      <c r="C5884" t="s">
        <v>17</v>
      </c>
      <c r="D5884">
        <v>1</v>
      </c>
      <c r="E5884" t="s">
        <v>39</v>
      </c>
      <c r="F5884" t="s">
        <v>13</v>
      </c>
      <c r="G5884" t="s">
        <v>201</v>
      </c>
      <c r="H5884" t="s">
        <v>41</v>
      </c>
      <c r="I5884">
        <v>25091</v>
      </c>
      <c r="J5884">
        <v>32608</v>
      </c>
    </row>
    <row r="5885" spans="1:10" x14ac:dyDescent="0.3">
      <c r="A5885" t="s">
        <v>6012</v>
      </c>
      <c r="B5885" s="1">
        <v>45811</v>
      </c>
      <c r="C5885" t="s">
        <v>74</v>
      </c>
      <c r="D5885">
        <v>23</v>
      </c>
      <c r="E5885" t="s">
        <v>18</v>
      </c>
      <c r="F5885" t="s">
        <v>122</v>
      </c>
      <c r="G5885" t="s">
        <v>291</v>
      </c>
      <c r="H5885" t="s">
        <v>188</v>
      </c>
      <c r="I5885">
        <v>33798</v>
      </c>
      <c r="J5885">
        <v>29693</v>
      </c>
    </row>
    <row r="5886" spans="1:10" x14ac:dyDescent="0.3">
      <c r="A5886" t="s">
        <v>6013</v>
      </c>
      <c r="B5886" s="1">
        <v>45770</v>
      </c>
      <c r="C5886" t="s">
        <v>86</v>
      </c>
      <c r="D5886">
        <v>17</v>
      </c>
      <c r="E5886" t="s">
        <v>12</v>
      </c>
      <c r="F5886" t="s">
        <v>29</v>
      </c>
      <c r="G5886" t="s">
        <v>182</v>
      </c>
      <c r="H5886" t="s">
        <v>68</v>
      </c>
      <c r="I5886">
        <v>19572</v>
      </c>
      <c r="J5886">
        <v>21920</v>
      </c>
    </row>
    <row r="5887" spans="1:10" x14ac:dyDescent="0.3">
      <c r="A5887" t="s">
        <v>6014</v>
      </c>
      <c r="B5887" s="1">
        <v>45860</v>
      </c>
      <c r="C5887" t="s">
        <v>11</v>
      </c>
      <c r="D5887">
        <v>30</v>
      </c>
      <c r="E5887" t="s">
        <v>24</v>
      </c>
      <c r="F5887" t="s">
        <v>19</v>
      </c>
      <c r="G5887" t="s">
        <v>240</v>
      </c>
      <c r="H5887" t="s">
        <v>151</v>
      </c>
      <c r="I5887">
        <v>30980</v>
      </c>
      <c r="J5887">
        <v>35526</v>
      </c>
    </row>
    <row r="5888" spans="1:10" x14ac:dyDescent="0.3">
      <c r="A5888" t="s">
        <v>6015</v>
      </c>
      <c r="B5888" s="1">
        <v>46015</v>
      </c>
      <c r="C5888" t="s">
        <v>100</v>
      </c>
      <c r="D5888">
        <v>52</v>
      </c>
      <c r="E5888" t="s">
        <v>24</v>
      </c>
      <c r="F5888" t="s">
        <v>101</v>
      </c>
      <c r="G5888" t="s">
        <v>137</v>
      </c>
      <c r="H5888" t="s">
        <v>188</v>
      </c>
      <c r="I5888">
        <v>39973</v>
      </c>
      <c r="J5888">
        <v>40318</v>
      </c>
    </row>
    <row r="5889" spans="1:10" x14ac:dyDescent="0.3">
      <c r="A5889" t="s">
        <v>6016</v>
      </c>
      <c r="B5889" s="1">
        <v>45667</v>
      </c>
      <c r="C5889" t="s">
        <v>17</v>
      </c>
      <c r="D5889">
        <v>2</v>
      </c>
      <c r="E5889" t="s">
        <v>33</v>
      </c>
      <c r="F5889" t="s">
        <v>78</v>
      </c>
      <c r="G5889" t="s">
        <v>110</v>
      </c>
      <c r="H5889" t="s">
        <v>116</v>
      </c>
      <c r="I5889">
        <v>33596</v>
      </c>
      <c r="J5889">
        <v>42231</v>
      </c>
    </row>
    <row r="5890" spans="1:10" x14ac:dyDescent="0.3">
      <c r="A5890" t="s">
        <v>6017</v>
      </c>
      <c r="B5890" s="1">
        <v>45837</v>
      </c>
      <c r="C5890" t="s">
        <v>74</v>
      </c>
      <c r="D5890">
        <v>26</v>
      </c>
      <c r="E5890" t="s">
        <v>18</v>
      </c>
      <c r="F5890" t="s">
        <v>92</v>
      </c>
      <c r="G5890" t="s">
        <v>44</v>
      </c>
      <c r="H5890" t="s">
        <v>15</v>
      </c>
      <c r="I5890">
        <v>21707</v>
      </c>
      <c r="J5890">
        <v>26843</v>
      </c>
    </row>
    <row r="5891" spans="1:10" x14ac:dyDescent="0.3">
      <c r="A5891" t="s">
        <v>6018</v>
      </c>
      <c r="B5891" s="1">
        <v>45922</v>
      </c>
      <c r="C5891" t="s">
        <v>38</v>
      </c>
      <c r="D5891">
        <v>39</v>
      </c>
      <c r="E5891" t="s">
        <v>61</v>
      </c>
      <c r="F5891" t="s">
        <v>29</v>
      </c>
      <c r="G5891" t="s">
        <v>253</v>
      </c>
      <c r="H5891" t="s">
        <v>36</v>
      </c>
      <c r="I5891">
        <v>28804</v>
      </c>
      <c r="J5891">
        <v>36971</v>
      </c>
    </row>
    <row r="5892" spans="1:10" x14ac:dyDescent="0.3">
      <c r="A5892" t="s">
        <v>6019</v>
      </c>
      <c r="B5892" s="1">
        <v>45852</v>
      </c>
      <c r="C5892" t="s">
        <v>11</v>
      </c>
      <c r="D5892">
        <v>29</v>
      </c>
      <c r="E5892" t="s">
        <v>61</v>
      </c>
      <c r="F5892" t="s">
        <v>109</v>
      </c>
      <c r="G5892" t="s">
        <v>107</v>
      </c>
      <c r="H5892" t="s">
        <v>211</v>
      </c>
      <c r="I5892">
        <v>18195</v>
      </c>
      <c r="J5892">
        <v>15511</v>
      </c>
    </row>
    <row r="5893" spans="1:10" x14ac:dyDescent="0.3">
      <c r="A5893" t="s">
        <v>6020</v>
      </c>
      <c r="B5893" s="1">
        <v>45755</v>
      </c>
      <c r="C5893" t="s">
        <v>86</v>
      </c>
      <c r="D5893">
        <v>15</v>
      </c>
      <c r="E5893" t="s">
        <v>39</v>
      </c>
      <c r="F5893" t="s">
        <v>29</v>
      </c>
      <c r="G5893" t="s">
        <v>115</v>
      </c>
      <c r="H5893" t="s">
        <v>52</v>
      </c>
      <c r="I5893">
        <v>16795</v>
      </c>
      <c r="J5893">
        <v>19468</v>
      </c>
    </row>
    <row r="5894" spans="1:10" x14ac:dyDescent="0.3">
      <c r="A5894" t="s">
        <v>6021</v>
      </c>
      <c r="B5894" s="1">
        <v>45694</v>
      </c>
      <c r="C5894" t="s">
        <v>82</v>
      </c>
      <c r="D5894">
        <v>6</v>
      </c>
      <c r="E5894" t="s">
        <v>18</v>
      </c>
      <c r="F5894" t="s">
        <v>34</v>
      </c>
      <c r="G5894" t="s">
        <v>266</v>
      </c>
      <c r="H5894" t="s">
        <v>68</v>
      </c>
      <c r="I5894">
        <v>35466</v>
      </c>
      <c r="J5894">
        <v>45527</v>
      </c>
    </row>
    <row r="5895" spans="1:10" x14ac:dyDescent="0.3">
      <c r="A5895" t="s">
        <v>6022</v>
      </c>
      <c r="B5895" s="1">
        <v>45863</v>
      </c>
      <c r="C5895" t="s">
        <v>11</v>
      </c>
      <c r="D5895">
        <v>30</v>
      </c>
      <c r="E5895" t="s">
        <v>61</v>
      </c>
      <c r="F5895" t="s">
        <v>29</v>
      </c>
      <c r="G5895" t="s">
        <v>51</v>
      </c>
      <c r="H5895" t="s">
        <v>155</v>
      </c>
      <c r="I5895">
        <v>19248</v>
      </c>
      <c r="J5895">
        <v>16196</v>
      </c>
    </row>
    <row r="5896" spans="1:10" x14ac:dyDescent="0.3">
      <c r="A5896" t="s">
        <v>6023</v>
      </c>
      <c r="B5896" s="1">
        <v>45915</v>
      </c>
      <c r="C5896" t="s">
        <v>38</v>
      </c>
      <c r="D5896">
        <v>38</v>
      </c>
      <c r="E5896" t="s">
        <v>61</v>
      </c>
      <c r="F5896" t="s">
        <v>109</v>
      </c>
      <c r="G5896" t="s">
        <v>191</v>
      </c>
      <c r="H5896" t="s">
        <v>96</v>
      </c>
      <c r="I5896">
        <v>26001</v>
      </c>
      <c r="J5896">
        <v>22275</v>
      </c>
    </row>
    <row r="5897" spans="1:10" x14ac:dyDescent="0.3">
      <c r="A5897" t="s">
        <v>6024</v>
      </c>
      <c r="B5897" s="1">
        <v>45683</v>
      </c>
      <c r="C5897" t="s">
        <v>17</v>
      </c>
      <c r="D5897">
        <v>4</v>
      </c>
      <c r="E5897" t="s">
        <v>70</v>
      </c>
      <c r="F5897" t="s">
        <v>13</v>
      </c>
      <c r="G5897" t="s">
        <v>102</v>
      </c>
      <c r="H5897" t="s">
        <v>165</v>
      </c>
      <c r="I5897">
        <v>26358</v>
      </c>
      <c r="J5897">
        <v>25001</v>
      </c>
    </row>
    <row r="5898" spans="1:10" x14ac:dyDescent="0.3">
      <c r="A5898" t="s">
        <v>6025</v>
      </c>
      <c r="B5898" s="1">
        <v>45775</v>
      </c>
      <c r="C5898" t="s">
        <v>86</v>
      </c>
      <c r="D5898">
        <v>18</v>
      </c>
      <c r="E5898" t="s">
        <v>18</v>
      </c>
      <c r="F5898" t="s">
        <v>25</v>
      </c>
      <c r="G5898" t="s">
        <v>201</v>
      </c>
      <c r="H5898" t="s">
        <v>36</v>
      </c>
      <c r="I5898">
        <v>36544</v>
      </c>
      <c r="J5898">
        <v>46585</v>
      </c>
    </row>
    <row r="5899" spans="1:10" x14ac:dyDescent="0.3">
      <c r="A5899" t="s">
        <v>6026</v>
      </c>
      <c r="B5899" s="1">
        <v>45700</v>
      </c>
      <c r="C5899" t="s">
        <v>82</v>
      </c>
      <c r="D5899">
        <v>7</v>
      </c>
      <c r="E5899" t="s">
        <v>70</v>
      </c>
      <c r="F5899" t="s">
        <v>114</v>
      </c>
      <c r="G5899" t="s">
        <v>76</v>
      </c>
      <c r="H5899" t="s">
        <v>80</v>
      </c>
      <c r="I5899">
        <v>39222</v>
      </c>
      <c r="J5899">
        <v>32776</v>
      </c>
    </row>
    <row r="5900" spans="1:10" x14ac:dyDescent="0.3">
      <c r="A5900" t="s">
        <v>6027</v>
      </c>
      <c r="B5900" s="1">
        <v>46006</v>
      </c>
      <c r="C5900" t="s">
        <v>100</v>
      </c>
      <c r="D5900">
        <v>51</v>
      </c>
      <c r="E5900" t="s">
        <v>39</v>
      </c>
      <c r="F5900" t="s">
        <v>92</v>
      </c>
      <c r="G5900" t="s">
        <v>206</v>
      </c>
      <c r="H5900" t="s">
        <v>157</v>
      </c>
      <c r="I5900">
        <v>22797</v>
      </c>
      <c r="J5900">
        <v>21436</v>
      </c>
    </row>
    <row r="5901" spans="1:10" x14ac:dyDescent="0.3">
      <c r="A5901" t="s">
        <v>6028</v>
      </c>
      <c r="B5901" s="1">
        <v>46022</v>
      </c>
      <c r="C5901" t="s">
        <v>100</v>
      </c>
      <c r="D5901">
        <v>1</v>
      </c>
      <c r="E5901" t="s">
        <v>18</v>
      </c>
      <c r="F5901" t="s">
        <v>92</v>
      </c>
      <c r="G5901" t="s">
        <v>26</v>
      </c>
      <c r="H5901" t="s">
        <v>55</v>
      </c>
      <c r="I5901">
        <v>33742</v>
      </c>
      <c r="J5901">
        <v>41128</v>
      </c>
    </row>
    <row r="5902" spans="1:10" x14ac:dyDescent="0.3">
      <c r="A5902" t="s">
        <v>6029</v>
      </c>
      <c r="B5902" s="1">
        <v>45968</v>
      </c>
      <c r="C5902" t="s">
        <v>23</v>
      </c>
      <c r="D5902">
        <v>45</v>
      </c>
      <c r="E5902" t="s">
        <v>39</v>
      </c>
      <c r="F5902" t="s">
        <v>13</v>
      </c>
      <c r="G5902" t="s">
        <v>141</v>
      </c>
      <c r="H5902" t="s">
        <v>48</v>
      </c>
      <c r="I5902">
        <v>19004</v>
      </c>
      <c r="J5902">
        <v>15227</v>
      </c>
    </row>
    <row r="5903" spans="1:10" x14ac:dyDescent="0.3">
      <c r="A5903" t="s">
        <v>6030</v>
      </c>
      <c r="B5903" s="1">
        <v>45984</v>
      </c>
      <c r="C5903" t="s">
        <v>23</v>
      </c>
      <c r="D5903">
        <v>47</v>
      </c>
      <c r="E5903" t="s">
        <v>39</v>
      </c>
      <c r="F5903" t="s">
        <v>140</v>
      </c>
      <c r="G5903" t="s">
        <v>26</v>
      </c>
      <c r="H5903" t="s">
        <v>68</v>
      </c>
      <c r="I5903">
        <v>32992</v>
      </c>
      <c r="J5903">
        <v>30304</v>
      </c>
    </row>
    <row r="5904" spans="1:10" x14ac:dyDescent="0.3">
      <c r="A5904" t="s">
        <v>6031</v>
      </c>
      <c r="B5904" s="1">
        <v>45719</v>
      </c>
      <c r="C5904" t="s">
        <v>95</v>
      </c>
      <c r="D5904">
        <v>10</v>
      </c>
      <c r="E5904" t="s">
        <v>39</v>
      </c>
      <c r="F5904" t="s">
        <v>109</v>
      </c>
      <c r="G5904" t="s">
        <v>132</v>
      </c>
      <c r="H5904" t="s">
        <v>48</v>
      </c>
      <c r="I5904">
        <v>23186</v>
      </c>
      <c r="J5904">
        <v>19274</v>
      </c>
    </row>
    <row r="5905" spans="1:10" x14ac:dyDescent="0.3">
      <c r="A5905" t="s">
        <v>6032</v>
      </c>
      <c r="B5905" s="1">
        <v>45915</v>
      </c>
      <c r="C5905" t="s">
        <v>38</v>
      </c>
      <c r="D5905">
        <v>38</v>
      </c>
      <c r="E5905" t="s">
        <v>39</v>
      </c>
      <c r="F5905" t="s">
        <v>92</v>
      </c>
      <c r="G5905" t="s">
        <v>63</v>
      </c>
      <c r="H5905" t="s">
        <v>52</v>
      </c>
      <c r="I5905">
        <v>23139</v>
      </c>
      <c r="J5905">
        <v>28265</v>
      </c>
    </row>
    <row r="5906" spans="1:10" x14ac:dyDescent="0.3">
      <c r="A5906" t="s">
        <v>6033</v>
      </c>
      <c r="B5906" s="1">
        <v>45929</v>
      </c>
      <c r="C5906" t="s">
        <v>38</v>
      </c>
      <c r="D5906">
        <v>40</v>
      </c>
      <c r="E5906" t="s">
        <v>12</v>
      </c>
      <c r="F5906" t="s">
        <v>13</v>
      </c>
      <c r="G5906" t="s">
        <v>35</v>
      </c>
      <c r="H5906" t="s">
        <v>68</v>
      </c>
      <c r="I5906">
        <v>22564</v>
      </c>
      <c r="J5906">
        <v>25421</v>
      </c>
    </row>
    <row r="5907" spans="1:10" x14ac:dyDescent="0.3">
      <c r="A5907" t="s">
        <v>6034</v>
      </c>
      <c r="B5907" s="1">
        <v>45884</v>
      </c>
      <c r="C5907" t="s">
        <v>113</v>
      </c>
      <c r="D5907">
        <v>33</v>
      </c>
      <c r="E5907" t="s">
        <v>12</v>
      </c>
      <c r="F5907" t="s">
        <v>101</v>
      </c>
      <c r="G5907" t="s">
        <v>93</v>
      </c>
      <c r="H5907" t="s">
        <v>157</v>
      </c>
      <c r="I5907">
        <v>25829</v>
      </c>
      <c r="J5907">
        <v>29206</v>
      </c>
    </row>
    <row r="5908" spans="1:10" x14ac:dyDescent="0.3">
      <c r="A5908" t="s">
        <v>6035</v>
      </c>
      <c r="B5908" s="1">
        <v>45955</v>
      </c>
      <c r="C5908" t="s">
        <v>66</v>
      </c>
      <c r="D5908">
        <v>43</v>
      </c>
      <c r="E5908" t="s">
        <v>39</v>
      </c>
      <c r="F5908" t="s">
        <v>101</v>
      </c>
      <c r="G5908" t="s">
        <v>230</v>
      </c>
      <c r="H5908" t="s">
        <v>21</v>
      </c>
      <c r="I5908">
        <v>34546</v>
      </c>
      <c r="J5908">
        <v>36775</v>
      </c>
    </row>
    <row r="5909" spans="1:10" x14ac:dyDescent="0.3">
      <c r="A5909" t="s">
        <v>6036</v>
      </c>
      <c r="B5909" s="1">
        <v>45846</v>
      </c>
      <c r="C5909" t="s">
        <v>11</v>
      </c>
      <c r="D5909">
        <v>28</v>
      </c>
      <c r="E5909" t="s">
        <v>70</v>
      </c>
      <c r="F5909" t="s">
        <v>75</v>
      </c>
      <c r="G5909" t="s">
        <v>67</v>
      </c>
      <c r="H5909" t="s">
        <v>59</v>
      </c>
      <c r="I5909">
        <v>26498</v>
      </c>
      <c r="J5909">
        <v>23591</v>
      </c>
    </row>
    <row r="5910" spans="1:10" x14ac:dyDescent="0.3">
      <c r="A5910" t="s">
        <v>6037</v>
      </c>
      <c r="B5910" s="1">
        <v>45737</v>
      </c>
      <c r="C5910" t="s">
        <v>95</v>
      </c>
      <c r="D5910">
        <v>12</v>
      </c>
      <c r="E5910" t="s">
        <v>61</v>
      </c>
      <c r="F5910" t="s">
        <v>57</v>
      </c>
      <c r="G5910" t="s">
        <v>199</v>
      </c>
      <c r="H5910" t="s">
        <v>21</v>
      </c>
      <c r="I5910">
        <v>30464</v>
      </c>
      <c r="J5910">
        <v>28573</v>
      </c>
    </row>
    <row r="5911" spans="1:10" x14ac:dyDescent="0.3">
      <c r="A5911" t="s">
        <v>6038</v>
      </c>
      <c r="B5911" s="1">
        <v>45893</v>
      </c>
      <c r="C5911" t="s">
        <v>113</v>
      </c>
      <c r="D5911">
        <v>34</v>
      </c>
      <c r="E5911" t="s">
        <v>70</v>
      </c>
      <c r="F5911" t="s">
        <v>87</v>
      </c>
      <c r="G5911" t="s">
        <v>76</v>
      </c>
      <c r="H5911" t="s">
        <v>36</v>
      </c>
      <c r="I5911">
        <v>19948</v>
      </c>
      <c r="J5911">
        <v>16814</v>
      </c>
    </row>
    <row r="5912" spans="1:10" x14ac:dyDescent="0.3">
      <c r="A5912" t="s">
        <v>6039</v>
      </c>
      <c r="B5912" s="1">
        <v>45893</v>
      </c>
      <c r="C5912" t="s">
        <v>113</v>
      </c>
      <c r="D5912">
        <v>34</v>
      </c>
      <c r="E5912" t="s">
        <v>70</v>
      </c>
      <c r="F5912" t="s">
        <v>46</v>
      </c>
      <c r="G5912" t="s">
        <v>135</v>
      </c>
      <c r="H5912" t="s">
        <v>119</v>
      </c>
      <c r="I5912">
        <v>20240</v>
      </c>
      <c r="J5912">
        <v>25074</v>
      </c>
    </row>
    <row r="5913" spans="1:10" x14ac:dyDescent="0.3">
      <c r="A5913" t="s">
        <v>6040</v>
      </c>
      <c r="B5913" s="1">
        <v>45744</v>
      </c>
      <c r="C5913" t="s">
        <v>95</v>
      </c>
      <c r="D5913">
        <v>13</v>
      </c>
      <c r="E5913" t="s">
        <v>24</v>
      </c>
      <c r="F5913" t="s">
        <v>29</v>
      </c>
      <c r="G5913" t="s">
        <v>30</v>
      </c>
      <c r="H5913" t="s">
        <v>165</v>
      </c>
      <c r="I5913">
        <v>32140</v>
      </c>
      <c r="J5913">
        <v>37865</v>
      </c>
    </row>
    <row r="5914" spans="1:10" x14ac:dyDescent="0.3">
      <c r="A5914" t="s">
        <v>6041</v>
      </c>
      <c r="B5914" s="1">
        <v>45676</v>
      </c>
      <c r="C5914" t="s">
        <v>17</v>
      </c>
      <c r="D5914">
        <v>3</v>
      </c>
      <c r="E5914" t="s">
        <v>61</v>
      </c>
      <c r="F5914" t="s">
        <v>140</v>
      </c>
      <c r="G5914" t="s">
        <v>171</v>
      </c>
      <c r="H5914" t="s">
        <v>188</v>
      </c>
      <c r="I5914">
        <v>17724</v>
      </c>
      <c r="J5914">
        <v>17240</v>
      </c>
    </row>
    <row r="5915" spans="1:10" x14ac:dyDescent="0.3">
      <c r="A5915" t="s">
        <v>6042</v>
      </c>
      <c r="B5915" s="1">
        <v>45873</v>
      </c>
      <c r="C5915" t="s">
        <v>113</v>
      </c>
      <c r="D5915">
        <v>32</v>
      </c>
      <c r="E5915" t="s">
        <v>61</v>
      </c>
      <c r="F5915" t="s">
        <v>78</v>
      </c>
      <c r="G5915" t="s">
        <v>126</v>
      </c>
      <c r="H5915" t="s">
        <v>80</v>
      </c>
      <c r="I5915">
        <v>17112</v>
      </c>
      <c r="J5915">
        <v>14466</v>
      </c>
    </row>
    <row r="5916" spans="1:10" x14ac:dyDescent="0.3">
      <c r="A5916" t="s">
        <v>6043</v>
      </c>
      <c r="B5916" s="1">
        <v>45941</v>
      </c>
      <c r="C5916" t="s">
        <v>66</v>
      </c>
      <c r="D5916">
        <v>41</v>
      </c>
      <c r="E5916" t="s">
        <v>18</v>
      </c>
      <c r="F5916" t="s">
        <v>78</v>
      </c>
      <c r="G5916" t="s">
        <v>44</v>
      </c>
      <c r="H5916" t="s">
        <v>103</v>
      </c>
      <c r="I5916">
        <v>31457</v>
      </c>
      <c r="J5916">
        <v>39903</v>
      </c>
    </row>
    <row r="5917" spans="1:10" x14ac:dyDescent="0.3">
      <c r="A5917" t="s">
        <v>6044</v>
      </c>
      <c r="B5917" s="1">
        <v>45734</v>
      </c>
      <c r="C5917" t="s">
        <v>95</v>
      </c>
      <c r="D5917">
        <v>12</v>
      </c>
      <c r="E5917" t="s">
        <v>61</v>
      </c>
      <c r="F5917" t="s">
        <v>101</v>
      </c>
      <c r="G5917" t="s">
        <v>191</v>
      </c>
      <c r="H5917" t="s">
        <v>21</v>
      </c>
      <c r="I5917">
        <v>38626</v>
      </c>
      <c r="J5917">
        <v>37280</v>
      </c>
    </row>
    <row r="5918" spans="1:10" x14ac:dyDescent="0.3">
      <c r="A5918" t="s">
        <v>6045</v>
      </c>
      <c r="B5918" s="1">
        <v>45789</v>
      </c>
      <c r="C5918" t="s">
        <v>90</v>
      </c>
      <c r="D5918">
        <v>20</v>
      </c>
      <c r="E5918" t="s">
        <v>61</v>
      </c>
      <c r="F5918" t="s">
        <v>122</v>
      </c>
      <c r="G5918" t="s">
        <v>107</v>
      </c>
      <c r="H5918" t="s">
        <v>15</v>
      </c>
      <c r="I5918">
        <v>28839</v>
      </c>
      <c r="J5918">
        <v>31255</v>
      </c>
    </row>
    <row r="5919" spans="1:10" x14ac:dyDescent="0.3">
      <c r="A5919" t="s">
        <v>6046</v>
      </c>
      <c r="B5919" s="1">
        <v>45856</v>
      </c>
      <c r="C5919" t="s">
        <v>11</v>
      </c>
      <c r="D5919">
        <v>29</v>
      </c>
      <c r="E5919" t="s">
        <v>70</v>
      </c>
      <c r="F5919" t="s">
        <v>101</v>
      </c>
      <c r="G5919" t="s">
        <v>326</v>
      </c>
      <c r="H5919" t="s">
        <v>15</v>
      </c>
      <c r="I5919">
        <v>33991</v>
      </c>
      <c r="J5919">
        <v>29431</v>
      </c>
    </row>
    <row r="5920" spans="1:10" x14ac:dyDescent="0.3">
      <c r="A5920" t="s">
        <v>6047</v>
      </c>
      <c r="B5920" s="1">
        <v>45767</v>
      </c>
      <c r="C5920" t="s">
        <v>86</v>
      </c>
      <c r="D5920">
        <v>16</v>
      </c>
      <c r="E5920" t="s">
        <v>61</v>
      </c>
      <c r="F5920" t="s">
        <v>50</v>
      </c>
      <c r="G5920" t="s">
        <v>137</v>
      </c>
      <c r="H5920" t="s">
        <v>15</v>
      </c>
      <c r="I5920">
        <v>36757</v>
      </c>
      <c r="J5920">
        <v>31176</v>
      </c>
    </row>
    <row r="5921" spans="1:10" x14ac:dyDescent="0.3">
      <c r="A5921" t="s">
        <v>6048</v>
      </c>
      <c r="B5921" s="1">
        <v>45710</v>
      </c>
      <c r="C5921" t="s">
        <v>82</v>
      </c>
      <c r="D5921">
        <v>8</v>
      </c>
      <c r="E5921" t="s">
        <v>70</v>
      </c>
      <c r="F5921" t="s">
        <v>43</v>
      </c>
      <c r="G5921" t="s">
        <v>160</v>
      </c>
      <c r="H5921" t="s">
        <v>123</v>
      </c>
      <c r="I5921">
        <v>27325</v>
      </c>
      <c r="J5921">
        <v>19238</v>
      </c>
    </row>
    <row r="5922" spans="1:10" x14ac:dyDescent="0.3">
      <c r="A5922" t="s">
        <v>6049</v>
      </c>
      <c r="B5922" s="1">
        <v>45758</v>
      </c>
      <c r="C5922" t="s">
        <v>86</v>
      </c>
      <c r="D5922">
        <v>15</v>
      </c>
      <c r="E5922" t="s">
        <v>39</v>
      </c>
      <c r="F5922" t="s">
        <v>140</v>
      </c>
      <c r="G5922" t="s">
        <v>147</v>
      </c>
      <c r="H5922" t="s">
        <v>52</v>
      </c>
      <c r="I5922">
        <v>30034</v>
      </c>
      <c r="J5922">
        <v>37831</v>
      </c>
    </row>
    <row r="5923" spans="1:10" x14ac:dyDescent="0.3">
      <c r="A5923" t="s">
        <v>6050</v>
      </c>
      <c r="B5923" s="1">
        <v>45741</v>
      </c>
      <c r="C5923" t="s">
        <v>95</v>
      </c>
      <c r="D5923">
        <v>13</v>
      </c>
      <c r="E5923" t="s">
        <v>61</v>
      </c>
      <c r="F5923" t="s">
        <v>43</v>
      </c>
      <c r="G5923" t="s">
        <v>149</v>
      </c>
      <c r="H5923" t="s">
        <v>243</v>
      </c>
      <c r="I5923">
        <v>39178</v>
      </c>
      <c r="J5923">
        <v>32290</v>
      </c>
    </row>
    <row r="5924" spans="1:10" x14ac:dyDescent="0.3">
      <c r="A5924" t="s">
        <v>6051</v>
      </c>
      <c r="B5924" s="1">
        <v>45961</v>
      </c>
      <c r="C5924" t="s">
        <v>66</v>
      </c>
      <c r="D5924">
        <v>44</v>
      </c>
      <c r="E5924" t="s">
        <v>24</v>
      </c>
      <c r="F5924" t="s">
        <v>75</v>
      </c>
      <c r="G5924" t="s">
        <v>171</v>
      </c>
      <c r="H5924" t="s">
        <v>52</v>
      </c>
      <c r="I5924">
        <v>38478</v>
      </c>
      <c r="J5924">
        <v>44663</v>
      </c>
    </row>
    <row r="5925" spans="1:10" x14ac:dyDescent="0.3">
      <c r="A5925" t="s">
        <v>6052</v>
      </c>
      <c r="B5925" s="1">
        <v>45997</v>
      </c>
      <c r="C5925" t="s">
        <v>100</v>
      </c>
      <c r="D5925">
        <v>49</v>
      </c>
      <c r="E5925" t="s">
        <v>33</v>
      </c>
      <c r="F5925" t="s">
        <v>50</v>
      </c>
      <c r="G5925" t="s">
        <v>115</v>
      </c>
      <c r="H5925" t="s">
        <v>98</v>
      </c>
      <c r="I5925">
        <v>24037</v>
      </c>
      <c r="J5925">
        <v>27216</v>
      </c>
    </row>
    <row r="5926" spans="1:10" x14ac:dyDescent="0.3">
      <c r="A5926" t="s">
        <v>6053</v>
      </c>
      <c r="B5926" s="1">
        <v>45882</v>
      </c>
      <c r="C5926" t="s">
        <v>113</v>
      </c>
      <c r="D5926">
        <v>33</v>
      </c>
      <c r="E5926" t="s">
        <v>33</v>
      </c>
      <c r="F5926" t="s">
        <v>13</v>
      </c>
      <c r="G5926" t="s">
        <v>47</v>
      </c>
      <c r="H5926" t="s">
        <v>111</v>
      </c>
      <c r="I5926">
        <v>17695</v>
      </c>
      <c r="J5926">
        <v>14337</v>
      </c>
    </row>
    <row r="5927" spans="1:10" x14ac:dyDescent="0.3">
      <c r="A5927" t="s">
        <v>6054</v>
      </c>
      <c r="B5927" s="1">
        <v>45995</v>
      </c>
      <c r="C5927" t="s">
        <v>100</v>
      </c>
      <c r="D5927">
        <v>49</v>
      </c>
      <c r="E5927" t="s">
        <v>12</v>
      </c>
      <c r="F5927" t="s">
        <v>62</v>
      </c>
      <c r="G5927" t="s">
        <v>224</v>
      </c>
      <c r="H5927" t="s">
        <v>111</v>
      </c>
      <c r="I5927">
        <v>37958</v>
      </c>
      <c r="J5927">
        <v>37421</v>
      </c>
    </row>
    <row r="5928" spans="1:10" x14ac:dyDescent="0.3">
      <c r="A5928" t="s">
        <v>6055</v>
      </c>
      <c r="B5928" s="1">
        <v>45977</v>
      </c>
      <c r="C5928" t="s">
        <v>23</v>
      </c>
      <c r="D5928">
        <v>46</v>
      </c>
      <c r="E5928" t="s">
        <v>18</v>
      </c>
      <c r="F5928" t="s">
        <v>29</v>
      </c>
      <c r="G5928" t="s">
        <v>72</v>
      </c>
      <c r="H5928" t="s">
        <v>36</v>
      </c>
      <c r="I5928">
        <v>26341</v>
      </c>
      <c r="J5928">
        <v>27965</v>
      </c>
    </row>
    <row r="5929" spans="1:10" x14ac:dyDescent="0.3">
      <c r="A5929" t="s">
        <v>6056</v>
      </c>
      <c r="B5929" s="1">
        <v>45806</v>
      </c>
      <c r="C5929" t="s">
        <v>90</v>
      </c>
      <c r="D5929">
        <v>22</v>
      </c>
      <c r="E5929" t="s">
        <v>18</v>
      </c>
      <c r="F5929" t="s">
        <v>43</v>
      </c>
      <c r="G5929" t="s">
        <v>230</v>
      </c>
      <c r="H5929" t="s">
        <v>15</v>
      </c>
      <c r="I5929">
        <v>29305</v>
      </c>
      <c r="J5929">
        <v>36692</v>
      </c>
    </row>
    <row r="5930" spans="1:10" x14ac:dyDescent="0.3">
      <c r="A5930" t="s">
        <v>6057</v>
      </c>
      <c r="B5930" s="1">
        <v>45819</v>
      </c>
      <c r="C5930" t="s">
        <v>74</v>
      </c>
      <c r="D5930">
        <v>24</v>
      </c>
      <c r="E5930" t="s">
        <v>39</v>
      </c>
      <c r="F5930" t="s">
        <v>109</v>
      </c>
      <c r="G5930" t="s">
        <v>324</v>
      </c>
      <c r="H5930" t="s">
        <v>123</v>
      </c>
      <c r="I5930">
        <v>20341</v>
      </c>
      <c r="J5930">
        <v>19425</v>
      </c>
    </row>
    <row r="5931" spans="1:10" x14ac:dyDescent="0.3">
      <c r="A5931" t="s">
        <v>6058</v>
      </c>
      <c r="B5931" s="1">
        <v>45917</v>
      </c>
      <c r="C5931" t="s">
        <v>38</v>
      </c>
      <c r="D5931">
        <v>38</v>
      </c>
      <c r="E5931" t="s">
        <v>33</v>
      </c>
      <c r="F5931" t="s">
        <v>43</v>
      </c>
      <c r="G5931" t="s">
        <v>324</v>
      </c>
      <c r="H5931" t="s">
        <v>188</v>
      </c>
      <c r="I5931">
        <v>39893</v>
      </c>
      <c r="J5931">
        <v>43779</v>
      </c>
    </row>
    <row r="5932" spans="1:10" x14ac:dyDescent="0.3">
      <c r="A5932" t="s">
        <v>6059</v>
      </c>
      <c r="B5932" s="1">
        <v>45833</v>
      </c>
      <c r="C5932" t="s">
        <v>74</v>
      </c>
      <c r="D5932">
        <v>26</v>
      </c>
      <c r="E5932" t="s">
        <v>12</v>
      </c>
      <c r="F5932" t="s">
        <v>122</v>
      </c>
      <c r="G5932" t="s">
        <v>291</v>
      </c>
      <c r="H5932" t="s">
        <v>157</v>
      </c>
      <c r="I5932">
        <v>23323</v>
      </c>
      <c r="J5932">
        <v>17783</v>
      </c>
    </row>
    <row r="5933" spans="1:10" x14ac:dyDescent="0.3">
      <c r="A5933" t="s">
        <v>6060</v>
      </c>
      <c r="B5933" s="1">
        <v>45855</v>
      </c>
      <c r="C5933" t="s">
        <v>11</v>
      </c>
      <c r="D5933">
        <v>29</v>
      </c>
      <c r="E5933" t="s">
        <v>61</v>
      </c>
      <c r="F5933" t="s">
        <v>75</v>
      </c>
      <c r="G5933" t="s">
        <v>44</v>
      </c>
      <c r="H5933" t="s">
        <v>80</v>
      </c>
      <c r="I5933">
        <v>30594</v>
      </c>
      <c r="J5933">
        <v>23188</v>
      </c>
    </row>
    <row r="5934" spans="1:10" x14ac:dyDescent="0.3">
      <c r="A5934" t="s">
        <v>6061</v>
      </c>
      <c r="B5934" s="1">
        <v>45969</v>
      </c>
      <c r="C5934" t="s">
        <v>23</v>
      </c>
      <c r="D5934">
        <v>45</v>
      </c>
      <c r="E5934" t="s">
        <v>18</v>
      </c>
      <c r="F5934" t="s">
        <v>43</v>
      </c>
      <c r="G5934" t="s">
        <v>182</v>
      </c>
      <c r="H5934" t="s">
        <v>98</v>
      </c>
      <c r="I5934">
        <v>24723</v>
      </c>
      <c r="J5934">
        <v>21314</v>
      </c>
    </row>
    <row r="5935" spans="1:10" x14ac:dyDescent="0.3">
      <c r="A5935" t="s">
        <v>6062</v>
      </c>
      <c r="B5935" s="1">
        <v>45996</v>
      </c>
      <c r="C5935" t="s">
        <v>100</v>
      </c>
      <c r="D5935">
        <v>49</v>
      </c>
      <c r="E5935" t="s">
        <v>24</v>
      </c>
      <c r="F5935" t="s">
        <v>78</v>
      </c>
      <c r="G5935" t="s">
        <v>132</v>
      </c>
      <c r="H5935" t="s">
        <v>55</v>
      </c>
      <c r="I5935">
        <v>17023</v>
      </c>
      <c r="J5935">
        <v>18723</v>
      </c>
    </row>
    <row r="5936" spans="1:10" x14ac:dyDescent="0.3">
      <c r="A5936" t="s">
        <v>6063</v>
      </c>
      <c r="B5936" s="1">
        <v>46007</v>
      </c>
      <c r="C5936" t="s">
        <v>100</v>
      </c>
      <c r="D5936">
        <v>51</v>
      </c>
      <c r="E5936" t="s">
        <v>61</v>
      </c>
      <c r="F5936" t="s">
        <v>75</v>
      </c>
      <c r="G5936" t="s">
        <v>141</v>
      </c>
      <c r="H5936" t="s">
        <v>55</v>
      </c>
      <c r="I5936">
        <v>27205</v>
      </c>
      <c r="J5936">
        <v>22323</v>
      </c>
    </row>
    <row r="5937" spans="1:10" x14ac:dyDescent="0.3">
      <c r="A5937" t="s">
        <v>6064</v>
      </c>
      <c r="B5937" s="1">
        <v>45939</v>
      </c>
      <c r="C5937" t="s">
        <v>66</v>
      </c>
      <c r="D5937">
        <v>41</v>
      </c>
      <c r="E5937" t="s">
        <v>61</v>
      </c>
      <c r="F5937" t="s">
        <v>62</v>
      </c>
      <c r="G5937" t="s">
        <v>137</v>
      </c>
      <c r="H5937" t="s">
        <v>98</v>
      </c>
      <c r="I5937">
        <v>29256</v>
      </c>
      <c r="J5937">
        <v>28604</v>
      </c>
    </row>
    <row r="5938" spans="1:10" x14ac:dyDescent="0.3">
      <c r="A5938" t="s">
        <v>6065</v>
      </c>
      <c r="B5938" s="1">
        <v>45901</v>
      </c>
      <c r="C5938" t="s">
        <v>38</v>
      </c>
      <c r="D5938">
        <v>36</v>
      </c>
      <c r="E5938" t="s">
        <v>33</v>
      </c>
      <c r="F5938" t="s">
        <v>140</v>
      </c>
      <c r="G5938" t="s">
        <v>132</v>
      </c>
      <c r="H5938" t="s">
        <v>27</v>
      </c>
      <c r="I5938">
        <v>20674</v>
      </c>
      <c r="J5938">
        <v>25389</v>
      </c>
    </row>
    <row r="5939" spans="1:10" x14ac:dyDescent="0.3">
      <c r="A5939" t="s">
        <v>6066</v>
      </c>
      <c r="B5939" s="1">
        <v>45893</v>
      </c>
      <c r="C5939" t="s">
        <v>113</v>
      </c>
      <c r="D5939">
        <v>34</v>
      </c>
      <c r="E5939" t="s">
        <v>12</v>
      </c>
      <c r="F5939" t="s">
        <v>34</v>
      </c>
      <c r="G5939" t="s">
        <v>266</v>
      </c>
      <c r="H5939" t="s">
        <v>98</v>
      </c>
      <c r="I5939">
        <v>27588</v>
      </c>
      <c r="J5939">
        <v>35476</v>
      </c>
    </row>
    <row r="5940" spans="1:10" x14ac:dyDescent="0.3">
      <c r="A5940" t="s">
        <v>6067</v>
      </c>
      <c r="B5940" s="1">
        <v>45901</v>
      </c>
      <c r="C5940" t="s">
        <v>38</v>
      </c>
      <c r="D5940">
        <v>36</v>
      </c>
      <c r="E5940" t="s">
        <v>61</v>
      </c>
      <c r="F5940" t="s">
        <v>78</v>
      </c>
      <c r="G5940" t="s">
        <v>58</v>
      </c>
      <c r="H5940" t="s">
        <v>36</v>
      </c>
      <c r="I5940">
        <v>34549</v>
      </c>
      <c r="J5940">
        <v>39420</v>
      </c>
    </row>
    <row r="5941" spans="1:10" x14ac:dyDescent="0.3">
      <c r="A5941" t="s">
        <v>6068</v>
      </c>
      <c r="B5941" s="1">
        <v>45821</v>
      </c>
      <c r="C5941" t="s">
        <v>74</v>
      </c>
      <c r="D5941">
        <v>24</v>
      </c>
      <c r="E5941" t="s">
        <v>24</v>
      </c>
      <c r="F5941" t="s">
        <v>122</v>
      </c>
      <c r="G5941" t="s">
        <v>326</v>
      </c>
      <c r="H5941" t="s">
        <v>243</v>
      </c>
      <c r="I5941">
        <v>30023</v>
      </c>
      <c r="J5941">
        <v>28718</v>
      </c>
    </row>
    <row r="5942" spans="1:10" x14ac:dyDescent="0.3">
      <c r="A5942" t="s">
        <v>6069</v>
      </c>
      <c r="B5942" s="1">
        <v>45956</v>
      </c>
      <c r="C5942" t="s">
        <v>66</v>
      </c>
      <c r="D5942">
        <v>43</v>
      </c>
      <c r="E5942" t="s">
        <v>12</v>
      </c>
      <c r="F5942" t="s">
        <v>78</v>
      </c>
      <c r="G5942" t="s">
        <v>88</v>
      </c>
      <c r="H5942" t="s">
        <v>165</v>
      </c>
      <c r="I5942">
        <v>36960</v>
      </c>
      <c r="J5942">
        <v>25972</v>
      </c>
    </row>
    <row r="5943" spans="1:10" x14ac:dyDescent="0.3">
      <c r="A5943" t="s">
        <v>6070</v>
      </c>
      <c r="B5943" s="1">
        <v>45875</v>
      </c>
      <c r="C5943" t="s">
        <v>113</v>
      </c>
      <c r="D5943">
        <v>32</v>
      </c>
      <c r="E5943" t="s">
        <v>61</v>
      </c>
      <c r="F5943" t="s">
        <v>25</v>
      </c>
      <c r="G5943" t="s">
        <v>47</v>
      </c>
      <c r="H5943" t="s">
        <v>98</v>
      </c>
      <c r="I5943">
        <v>15605</v>
      </c>
      <c r="J5943">
        <v>19881</v>
      </c>
    </row>
    <row r="5944" spans="1:10" x14ac:dyDescent="0.3">
      <c r="A5944" t="s">
        <v>6071</v>
      </c>
      <c r="B5944" s="1">
        <v>45849</v>
      </c>
      <c r="C5944" t="s">
        <v>11</v>
      </c>
      <c r="D5944">
        <v>28</v>
      </c>
      <c r="E5944" t="s">
        <v>39</v>
      </c>
      <c r="F5944" t="s">
        <v>25</v>
      </c>
      <c r="G5944" t="s">
        <v>234</v>
      </c>
      <c r="H5944" t="s">
        <v>155</v>
      </c>
      <c r="I5944">
        <v>38982</v>
      </c>
      <c r="J5944">
        <v>33264</v>
      </c>
    </row>
    <row r="5945" spans="1:10" x14ac:dyDescent="0.3">
      <c r="A5945" t="s">
        <v>6072</v>
      </c>
      <c r="B5945" s="1">
        <v>46014</v>
      </c>
      <c r="C5945" t="s">
        <v>100</v>
      </c>
      <c r="D5945">
        <v>52</v>
      </c>
      <c r="E5945" t="s">
        <v>12</v>
      </c>
      <c r="F5945" t="s">
        <v>109</v>
      </c>
      <c r="G5945" t="s">
        <v>149</v>
      </c>
      <c r="H5945" t="s">
        <v>64</v>
      </c>
      <c r="I5945">
        <v>21836</v>
      </c>
      <c r="J5945">
        <v>20238</v>
      </c>
    </row>
    <row r="5946" spans="1:10" x14ac:dyDescent="0.3">
      <c r="A5946" t="s">
        <v>6073</v>
      </c>
      <c r="B5946" s="1">
        <v>45900</v>
      </c>
      <c r="C5946" t="s">
        <v>113</v>
      </c>
      <c r="D5946">
        <v>35</v>
      </c>
      <c r="E5946" t="s">
        <v>12</v>
      </c>
      <c r="F5946" t="s">
        <v>25</v>
      </c>
      <c r="G5946" t="s">
        <v>206</v>
      </c>
      <c r="H5946" t="s">
        <v>103</v>
      </c>
      <c r="I5946">
        <v>22994</v>
      </c>
      <c r="J5946">
        <v>28656</v>
      </c>
    </row>
    <row r="5947" spans="1:10" x14ac:dyDescent="0.3">
      <c r="A5947" t="s">
        <v>6074</v>
      </c>
      <c r="B5947" s="1">
        <v>45902</v>
      </c>
      <c r="C5947" t="s">
        <v>38</v>
      </c>
      <c r="D5947">
        <v>36</v>
      </c>
      <c r="E5947" t="s">
        <v>70</v>
      </c>
      <c r="F5947" t="s">
        <v>78</v>
      </c>
      <c r="G5947" t="s">
        <v>224</v>
      </c>
      <c r="H5947" t="s">
        <v>119</v>
      </c>
      <c r="I5947">
        <v>33714</v>
      </c>
      <c r="J5947">
        <v>30813</v>
      </c>
    </row>
    <row r="5948" spans="1:10" x14ac:dyDescent="0.3">
      <c r="A5948" t="s">
        <v>6075</v>
      </c>
      <c r="B5948" s="1">
        <v>45968</v>
      </c>
      <c r="C5948" t="s">
        <v>23</v>
      </c>
      <c r="D5948">
        <v>45</v>
      </c>
      <c r="E5948" t="s">
        <v>24</v>
      </c>
      <c r="F5948" t="s">
        <v>78</v>
      </c>
      <c r="G5948" t="s">
        <v>128</v>
      </c>
      <c r="H5948" t="s">
        <v>119</v>
      </c>
      <c r="I5948">
        <v>39714</v>
      </c>
      <c r="J5948">
        <v>38611</v>
      </c>
    </row>
    <row r="5949" spans="1:10" x14ac:dyDescent="0.3">
      <c r="A5949" t="s">
        <v>6076</v>
      </c>
      <c r="B5949" s="1">
        <v>45882</v>
      </c>
      <c r="C5949" t="s">
        <v>113</v>
      </c>
      <c r="D5949">
        <v>33</v>
      </c>
      <c r="E5949" t="s">
        <v>70</v>
      </c>
      <c r="F5949" t="s">
        <v>13</v>
      </c>
      <c r="G5949" t="s">
        <v>135</v>
      </c>
      <c r="H5949" t="s">
        <v>165</v>
      </c>
      <c r="I5949">
        <v>36677</v>
      </c>
      <c r="J5949">
        <v>27957</v>
      </c>
    </row>
    <row r="5950" spans="1:10" x14ac:dyDescent="0.3">
      <c r="A5950" t="s">
        <v>6077</v>
      </c>
      <c r="B5950" s="1">
        <v>45982</v>
      </c>
      <c r="C5950" t="s">
        <v>23</v>
      </c>
      <c r="D5950">
        <v>47</v>
      </c>
      <c r="E5950" t="s">
        <v>18</v>
      </c>
      <c r="F5950" t="s">
        <v>101</v>
      </c>
      <c r="G5950" t="s">
        <v>14</v>
      </c>
      <c r="H5950" t="s">
        <v>41</v>
      </c>
      <c r="I5950">
        <v>34212</v>
      </c>
      <c r="J5950">
        <v>26451</v>
      </c>
    </row>
    <row r="5951" spans="1:10" x14ac:dyDescent="0.3">
      <c r="A5951" t="s">
        <v>6078</v>
      </c>
      <c r="B5951" s="1">
        <v>45988</v>
      </c>
      <c r="C5951" t="s">
        <v>23</v>
      </c>
      <c r="D5951">
        <v>48</v>
      </c>
      <c r="E5951" t="s">
        <v>61</v>
      </c>
      <c r="F5951" t="s">
        <v>19</v>
      </c>
      <c r="G5951" t="s">
        <v>40</v>
      </c>
      <c r="H5951" t="s">
        <v>188</v>
      </c>
      <c r="I5951">
        <v>35483</v>
      </c>
      <c r="J5951">
        <v>36623</v>
      </c>
    </row>
    <row r="5952" spans="1:10" x14ac:dyDescent="0.3">
      <c r="A5952" t="s">
        <v>6079</v>
      </c>
      <c r="B5952" s="1">
        <v>45728</v>
      </c>
      <c r="C5952" t="s">
        <v>95</v>
      </c>
      <c r="D5952">
        <v>11</v>
      </c>
      <c r="E5952" t="s">
        <v>61</v>
      </c>
      <c r="F5952" t="s">
        <v>193</v>
      </c>
      <c r="G5952" t="s">
        <v>14</v>
      </c>
      <c r="H5952" t="s">
        <v>123</v>
      </c>
      <c r="I5952">
        <v>22437</v>
      </c>
      <c r="J5952">
        <v>22806</v>
      </c>
    </row>
    <row r="5953" spans="1:10" x14ac:dyDescent="0.3">
      <c r="A5953" t="s">
        <v>6080</v>
      </c>
      <c r="B5953" s="1">
        <v>45739</v>
      </c>
      <c r="C5953" t="s">
        <v>95</v>
      </c>
      <c r="D5953">
        <v>12</v>
      </c>
      <c r="E5953" t="s">
        <v>61</v>
      </c>
      <c r="F5953" t="s">
        <v>122</v>
      </c>
      <c r="G5953" t="s">
        <v>83</v>
      </c>
      <c r="H5953" t="s">
        <v>119</v>
      </c>
      <c r="I5953">
        <v>17982</v>
      </c>
      <c r="J5953">
        <v>16213</v>
      </c>
    </row>
    <row r="5954" spans="1:10" x14ac:dyDescent="0.3">
      <c r="A5954" t="s">
        <v>6081</v>
      </c>
      <c r="B5954" s="1">
        <v>45913</v>
      </c>
      <c r="C5954" t="s">
        <v>38</v>
      </c>
      <c r="D5954">
        <v>37</v>
      </c>
      <c r="E5954" t="s">
        <v>33</v>
      </c>
      <c r="F5954" t="s">
        <v>43</v>
      </c>
      <c r="G5954" t="s">
        <v>14</v>
      </c>
      <c r="H5954" t="s">
        <v>59</v>
      </c>
      <c r="I5954">
        <v>37865</v>
      </c>
      <c r="J5954">
        <v>38276</v>
      </c>
    </row>
    <row r="5955" spans="1:10" x14ac:dyDescent="0.3">
      <c r="A5955" t="s">
        <v>6082</v>
      </c>
      <c r="B5955" s="1">
        <v>45887</v>
      </c>
      <c r="C5955" t="s">
        <v>113</v>
      </c>
      <c r="D5955">
        <v>34</v>
      </c>
      <c r="E5955" t="s">
        <v>39</v>
      </c>
      <c r="F5955" t="s">
        <v>50</v>
      </c>
      <c r="G5955" t="s">
        <v>224</v>
      </c>
      <c r="H5955" t="s">
        <v>243</v>
      </c>
      <c r="I5955">
        <v>15589</v>
      </c>
      <c r="J5955">
        <v>15799</v>
      </c>
    </row>
    <row r="5956" spans="1:10" x14ac:dyDescent="0.3">
      <c r="A5956" t="s">
        <v>6083</v>
      </c>
      <c r="B5956" s="1">
        <v>45790</v>
      </c>
      <c r="C5956" t="s">
        <v>90</v>
      </c>
      <c r="D5956">
        <v>20</v>
      </c>
      <c r="E5956" t="s">
        <v>18</v>
      </c>
      <c r="F5956" t="s">
        <v>43</v>
      </c>
      <c r="G5956" t="s">
        <v>206</v>
      </c>
      <c r="H5956" t="s">
        <v>64</v>
      </c>
      <c r="I5956">
        <v>15515</v>
      </c>
      <c r="J5956">
        <v>13033</v>
      </c>
    </row>
    <row r="5957" spans="1:10" x14ac:dyDescent="0.3">
      <c r="A5957" t="s">
        <v>6084</v>
      </c>
      <c r="B5957" s="1">
        <v>45999</v>
      </c>
      <c r="C5957" t="s">
        <v>100</v>
      </c>
      <c r="D5957">
        <v>50</v>
      </c>
      <c r="E5957" t="s">
        <v>33</v>
      </c>
      <c r="F5957" t="s">
        <v>50</v>
      </c>
      <c r="G5957" t="s">
        <v>191</v>
      </c>
      <c r="H5957" t="s">
        <v>41</v>
      </c>
      <c r="I5957">
        <v>24234</v>
      </c>
      <c r="J5957">
        <v>21794</v>
      </c>
    </row>
    <row r="5958" spans="1:10" x14ac:dyDescent="0.3">
      <c r="A5958" t="s">
        <v>6085</v>
      </c>
      <c r="B5958" s="1">
        <v>45958</v>
      </c>
      <c r="C5958" t="s">
        <v>66</v>
      </c>
      <c r="D5958">
        <v>44</v>
      </c>
      <c r="E5958" t="s">
        <v>70</v>
      </c>
      <c r="F5958" t="s">
        <v>78</v>
      </c>
      <c r="G5958" t="s">
        <v>324</v>
      </c>
      <c r="H5958" t="s">
        <v>96</v>
      </c>
      <c r="I5958">
        <v>22448</v>
      </c>
      <c r="J5958">
        <v>21371</v>
      </c>
    </row>
    <row r="5959" spans="1:10" x14ac:dyDescent="0.3">
      <c r="A5959" t="s">
        <v>6086</v>
      </c>
      <c r="B5959" s="1">
        <v>45737</v>
      </c>
      <c r="C5959" t="s">
        <v>95</v>
      </c>
      <c r="D5959">
        <v>12</v>
      </c>
      <c r="E5959" t="s">
        <v>61</v>
      </c>
      <c r="F5959" t="s">
        <v>19</v>
      </c>
      <c r="G5959" t="s">
        <v>83</v>
      </c>
      <c r="H5959" t="s">
        <v>84</v>
      </c>
      <c r="I5959">
        <v>23413</v>
      </c>
      <c r="J5959">
        <v>18017</v>
      </c>
    </row>
    <row r="5960" spans="1:10" x14ac:dyDescent="0.3">
      <c r="A5960" t="s">
        <v>6087</v>
      </c>
      <c r="B5960" s="1">
        <v>46010</v>
      </c>
      <c r="C5960" t="s">
        <v>100</v>
      </c>
      <c r="D5960">
        <v>51</v>
      </c>
      <c r="E5960" t="s">
        <v>61</v>
      </c>
      <c r="F5960" t="s">
        <v>109</v>
      </c>
      <c r="G5960" t="s">
        <v>14</v>
      </c>
      <c r="H5960" t="s">
        <v>48</v>
      </c>
      <c r="I5960">
        <v>39707</v>
      </c>
      <c r="J5960">
        <v>28186</v>
      </c>
    </row>
    <row r="5961" spans="1:10" x14ac:dyDescent="0.3">
      <c r="A5961" t="s">
        <v>6088</v>
      </c>
      <c r="B5961" s="1">
        <v>45948</v>
      </c>
      <c r="C5961" t="s">
        <v>66</v>
      </c>
      <c r="D5961">
        <v>42</v>
      </c>
      <c r="E5961" t="s">
        <v>61</v>
      </c>
      <c r="F5961" t="s">
        <v>101</v>
      </c>
      <c r="G5961" t="s">
        <v>107</v>
      </c>
      <c r="H5961" t="s">
        <v>64</v>
      </c>
      <c r="I5961">
        <v>15862</v>
      </c>
      <c r="J5961">
        <v>14958</v>
      </c>
    </row>
    <row r="5962" spans="1:10" x14ac:dyDescent="0.3">
      <c r="A5962" t="s">
        <v>6089</v>
      </c>
      <c r="B5962" s="1">
        <v>45716</v>
      </c>
      <c r="C5962" t="s">
        <v>82</v>
      </c>
      <c r="D5962">
        <v>9</v>
      </c>
      <c r="E5962" t="s">
        <v>33</v>
      </c>
      <c r="F5962" t="s">
        <v>46</v>
      </c>
      <c r="G5962" t="s">
        <v>240</v>
      </c>
      <c r="H5962" t="s">
        <v>55</v>
      </c>
      <c r="I5962">
        <v>36423</v>
      </c>
      <c r="J5962">
        <v>40613</v>
      </c>
    </row>
    <row r="5963" spans="1:10" x14ac:dyDescent="0.3">
      <c r="A5963" t="s">
        <v>6090</v>
      </c>
      <c r="B5963" s="1">
        <v>45689</v>
      </c>
      <c r="C5963" t="s">
        <v>82</v>
      </c>
      <c r="D5963">
        <v>5</v>
      </c>
      <c r="E5963" t="s">
        <v>70</v>
      </c>
      <c r="F5963" t="s">
        <v>92</v>
      </c>
      <c r="G5963" t="s">
        <v>147</v>
      </c>
      <c r="H5963" t="s">
        <v>68</v>
      </c>
      <c r="I5963">
        <v>26823</v>
      </c>
      <c r="J5963">
        <v>26172</v>
      </c>
    </row>
    <row r="5964" spans="1:10" x14ac:dyDescent="0.3">
      <c r="A5964" t="s">
        <v>6091</v>
      </c>
      <c r="B5964" s="1">
        <v>45883</v>
      </c>
      <c r="C5964" t="s">
        <v>113</v>
      </c>
      <c r="D5964">
        <v>33</v>
      </c>
      <c r="E5964" t="s">
        <v>33</v>
      </c>
      <c r="F5964" t="s">
        <v>87</v>
      </c>
      <c r="G5964" t="s">
        <v>83</v>
      </c>
      <c r="H5964" t="s">
        <v>188</v>
      </c>
      <c r="I5964">
        <v>31039</v>
      </c>
      <c r="J5964">
        <v>38129</v>
      </c>
    </row>
    <row r="5965" spans="1:10" x14ac:dyDescent="0.3">
      <c r="A5965" t="s">
        <v>6092</v>
      </c>
      <c r="B5965" s="1">
        <v>46007</v>
      </c>
      <c r="C5965" t="s">
        <v>100</v>
      </c>
      <c r="D5965">
        <v>51</v>
      </c>
      <c r="E5965" t="s">
        <v>61</v>
      </c>
      <c r="F5965" t="s">
        <v>19</v>
      </c>
      <c r="G5965" t="s">
        <v>145</v>
      </c>
      <c r="H5965" t="s">
        <v>27</v>
      </c>
      <c r="I5965">
        <v>19480</v>
      </c>
      <c r="J5965">
        <v>20139</v>
      </c>
    </row>
    <row r="5966" spans="1:10" x14ac:dyDescent="0.3">
      <c r="A5966" t="s">
        <v>6093</v>
      </c>
      <c r="B5966" s="1">
        <v>46014</v>
      </c>
      <c r="C5966" t="s">
        <v>100</v>
      </c>
      <c r="D5966">
        <v>52</v>
      </c>
      <c r="E5966" t="s">
        <v>12</v>
      </c>
      <c r="F5966" t="s">
        <v>87</v>
      </c>
      <c r="G5966" t="s">
        <v>234</v>
      </c>
      <c r="H5966" t="s">
        <v>155</v>
      </c>
      <c r="I5966">
        <v>35676</v>
      </c>
      <c r="J5966">
        <v>28342</v>
      </c>
    </row>
    <row r="5967" spans="1:10" x14ac:dyDescent="0.3">
      <c r="A5967" t="s">
        <v>6094</v>
      </c>
      <c r="B5967" s="1">
        <v>45793</v>
      </c>
      <c r="C5967" t="s">
        <v>90</v>
      </c>
      <c r="D5967">
        <v>20</v>
      </c>
      <c r="E5967" t="s">
        <v>24</v>
      </c>
      <c r="F5967" t="s">
        <v>87</v>
      </c>
      <c r="G5967" t="s">
        <v>145</v>
      </c>
      <c r="H5967" t="s">
        <v>123</v>
      </c>
      <c r="I5967">
        <v>28070</v>
      </c>
      <c r="J5967">
        <v>23222</v>
      </c>
    </row>
    <row r="5968" spans="1:10" x14ac:dyDescent="0.3">
      <c r="A5968" t="s">
        <v>6095</v>
      </c>
      <c r="B5968" s="1">
        <v>45750</v>
      </c>
      <c r="C5968" t="s">
        <v>86</v>
      </c>
      <c r="D5968">
        <v>14</v>
      </c>
      <c r="E5968" t="s">
        <v>61</v>
      </c>
      <c r="F5968" t="s">
        <v>34</v>
      </c>
      <c r="G5968" t="s">
        <v>191</v>
      </c>
      <c r="H5968" t="s">
        <v>155</v>
      </c>
      <c r="I5968">
        <v>20562</v>
      </c>
      <c r="J5968">
        <v>25230</v>
      </c>
    </row>
    <row r="5969" spans="1:10" x14ac:dyDescent="0.3">
      <c r="A5969" t="s">
        <v>6096</v>
      </c>
      <c r="B5969" s="1">
        <v>45834</v>
      </c>
      <c r="C5969" t="s">
        <v>74</v>
      </c>
      <c r="D5969">
        <v>26</v>
      </c>
      <c r="E5969" t="s">
        <v>12</v>
      </c>
      <c r="F5969" t="s">
        <v>75</v>
      </c>
      <c r="G5969" t="s">
        <v>51</v>
      </c>
      <c r="H5969" t="s">
        <v>68</v>
      </c>
      <c r="I5969">
        <v>34595</v>
      </c>
      <c r="J5969">
        <v>34862</v>
      </c>
    </row>
    <row r="5970" spans="1:10" x14ac:dyDescent="0.3">
      <c r="A5970" t="s">
        <v>6097</v>
      </c>
      <c r="B5970" s="1">
        <v>45708</v>
      </c>
      <c r="C5970" t="s">
        <v>82</v>
      </c>
      <c r="D5970">
        <v>8</v>
      </c>
      <c r="E5970" t="s">
        <v>39</v>
      </c>
      <c r="F5970" t="s">
        <v>75</v>
      </c>
      <c r="G5970" t="s">
        <v>107</v>
      </c>
      <c r="H5970" t="s">
        <v>155</v>
      </c>
      <c r="I5970">
        <v>20952</v>
      </c>
      <c r="J5970">
        <v>15222</v>
      </c>
    </row>
    <row r="5971" spans="1:10" x14ac:dyDescent="0.3">
      <c r="A5971" t="s">
        <v>6098</v>
      </c>
      <c r="B5971" s="1">
        <v>45996</v>
      </c>
      <c r="C5971" t="s">
        <v>100</v>
      </c>
      <c r="D5971">
        <v>49</v>
      </c>
      <c r="E5971" t="s">
        <v>18</v>
      </c>
      <c r="F5971" t="s">
        <v>34</v>
      </c>
      <c r="G5971" t="s">
        <v>40</v>
      </c>
      <c r="H5971" t="s">
        <v>55</v>
      </c>
      <c r="I5971">
        <v>17830</v>
      </c>
      <c r="J5971">
        <v>22368</v>
      </c>
    </row>
    <row r="5972" spans="1:10" x14ac:dyDescent="0.3">
      <c r="A5972" t="s">
        <v>6099</v>
      </c>
      <c r="B5972" s="1">
        <v>45682</v>
      </c>
      <c r="C5972" t="s">
        <v>17</v>
      </c>
      <c r="D5972">
        <v>4</v>
      </c>
      <c r="E5972" t="s">
        <v>61</v>
      </c>
      <c r="F5972" t="s">
        <v>193</v>
      </c>
      <c r="G5972" t="s">
        <v>130</v>
      </c>
      <c r="H5972" t="s">
        <v>21</v>
      </c>
      <c r="I5972">
        <v>29816</v>
      </c>
      <c r="J5972">
        <v>37977</v>
      </c>
    </row>
    <row r="5973" spans="1:10" x14ac:dyDescent="0.3">
      <c r="A5973" t="s">
        <v>6100</v>
      </c>
      <c r="B5973" s="1">
        <v>45726</v>
      </c>
      <c r="C5973" t="s">
        <v>95</v>
      </c>
      <c r="D5973">
        <v>11</v>
      </c>
      <c r="E5973" t="s">
        <v>61</v>
      </c>
      <c r="F5973" t="s">
        <v>122</v>
      </c>
      <c r="G5973" t="s">
        <v>93</v>
      </c>
      <c r="H5973" t="s">
        <v>59</v>
      </c>
      <c r="I5973">
        <v>19388</v>
      </c>
      <c r="J5973">
        <v>15802</v>
      </c>
    </row>
    <row r="5974" spans="1:10" x14ac:dyDescent="0.3">
      <c r="A5974" t="s">
        <v>6101</v>
      </c>
      <c r="B5974" s="1">
        <v>45685</v>
      </c>
      <c r="C5974" t="s">
        <v>17</v>
      </c>
      <c r="D5974">
        <v>5</v>
      </c>
      <c r="E5974" t="s">
        <v>39</v>
      </c>
      <c r="F5974" t="s">
        <v>75</v>
      </c>
      <c r="G5974" t="s">
        <v>201</v>
      </c>
      <c r="H5974" t="s">
        <v>133</v>
      </c>
      <c r="I5974">
        <v>24129</v>
      </c>
      <c r="J5974">
        <v>22199</v>
      </c>
    </row>
    <row r="5975" spans="1:10" x14ac:dyDescent="0.3">
      <c r="A5975" t="s">
        <v>6102</v>
      </c>
      <c r="B5975" s="1">
        <v>45756</v>
      </c>
      <c r="C5975" t="s">
        <v>86</v>
      </c>
      <c r="D5975">
        <v>15</v>
      </c>
      <c r="E5975" t="s">
        <v>12</v>
      </c>
      <c r="F5975" t="s">
        <v>19</v>
      </c>
      <c r="G5975" t="s">
        <v>160</v>
      </c>
      <c r="H5975" t="s">
        <v>111</v>
      </c>
      <c r="I5975">
        <v>36241</v>
      </c>
      <c r="J5975">
        <v>31172</v>
      </c>
    </row>
    <row r="5976" spans="1:10" x14ac:dyDescent="0.3">
      <c r="A5976" t="s">
        <v>6103</v>
      </c>
      <c r="B5976" s="1">
        <v>45778</v>
      </c>
      <c r="C5976" t="s">
        <v>90</v>
      </c>
      <c r="D5976">
        <v>18</v>
      </c>
      <c r="E5976" t="s">
        <v>24</v>
      </c>
      <c r="F5976" t="s">
        <v>193</v>
      </c>
      <c r="G5976" t="s">
        <v>20</v>
      </c>
      <c r="H5976" t="s">
        <v>64</v>
      </c>
      <c r="I5976">
        <v>21137</v>
      </c>
      <c r="J5976">
        <v>22630</v>
      </c>
    </row>
    <row r="5977" spans="1:10" x14ac:dyDescent="0.3">
      <c r="A5977" t="s">
        <v>6104</v>
      </c>
      <c r="B5977" s="1">
        <v>45659</v>
      </c>
      <c r="C5977" t="s">
        <v>17</v>
      </c>
      <c r="D5977">
        <v>1</v>
      </c>
      <c r="E5977" t="s">
        <v>18</v>
      </c>
      <c r="F5977" t="s">
        <v>13</v>
      </c>
      <c r="G5977" t="s">
        <v>107</v>
      </c>
      <c r="H5977" t="s">
        <v>36</v>
      </c>
      <c r="I5977">
        <v>30437</v>
      </c>
      <c r="J5977">
        <v>22082</v>
      </c>
    </row>
    <row r="5978" spans="1:10" x14ac:dyDescent="0.3">
      <c r="A5978" t="s">
        <v>6105</v>
      </c>
      <c r="B5978" s="1">
        <v>45872</v>
      </c>
      <c r="C5978" t="s">
        <v>113</v>
      </c>
      <c r="D5978">
        <v>31</v>
      </c>
      <c r="E5978" t="s">
        <v>33</v>
      </c>
      <c r="F5978" t="s">
        <v>34</v>
      </c>
      <c r="G5978" t="s">
        <v>44</v>
      </c>
      <c r="H5978" t="s">
        <v>27</v>
      </c>
      <c r="I5978">
        <v>25182</v>
      </c>
      <c r="J5978">
        <v>30049</v>
      </c>
    </row>
    <row r="5979" spans="1:10" x14ac:dyDescent="0.3">
      <c r="A5979" t="s">
        <v>6106</v>
      </c>
      <c r="B5979" s="1">
        <v>45844</v>
      </c>
      <c r="C5979" t="s">
        <v>11</v>
      </c>
      <c r="D5979">
        <v>27</v>
      </c>
      <c r="E5979" t="s">
        <v>12</v>
      </c>
      <c r="F5979" t="s">
        <v>62</v>
      </c>
      <c r="G5979" t="s">
        <v>160</v>
      </c>
      <c r="H5979" t="s">
        <v>163</v>
      </c>
      <c r="I5979">
        <v>19299</v>
      </c>
      <c r="J5979">
        <v>15678</v>
      </c>
    </row>
    <row r="5980" spans="1:10" x14ac:dyDescent="0.3">
      <c r="A5980" t="s">
        <v>6107</v>
      </c>
      <c r="B5980" s="1">
        <v>45829</v>
      </c>
      <c r="C5980" t="s">
        <v>74</v>
      </c>
      <c r="D5980">
        <v>25</v>
      </c>
      <c r="E5980" t="s">
        <v>61</v>
      </c>
      <c r="F5980" t="s">
        <v>57</v>
      </c>
      <c r="G5980" t="s">
        <v>76</v>
      </c>
      <c r="H5980" t="s">
        <v>151</v>
      </c>
      <c r="I5980">
        <v>15417</v>
      </c>
      <c r="J5980">
        <v>15731</v>
      </c>
    </row>
    <row r="5981" spans="1:10" x14ac:dyDescent="0.3">
      <c r="A5981" t="s">
        <v>6108</v>
      </c>
      <c r="B5981" s="1">
        <v>45658</v>
      </c>
      <c r="C5981" t="s">
        <v>17</v>
      </c>
      <c r="D5981">
        <v>1</v>
      </c>
      <c r="E5981" t="s">
        <v>12</v>
      </c>
      <c r="F5981" t="s">
        <v>43</v>
      </c>
      <c r="G5981" t="s">
        <v>88</v>
      </c>
      <c r="H5981" t="s">
        <v>36</v>
      </c>
      <c r="I5981">
        <v>26414</v>
      </c>
      <c r="J5981">
        <v>21268</v>
      </c>
    </row>
    <row r="5982" spans="1:10" x14ac:dyDescent="0.3">
      <c r="A5982" t="s">
        <v>6109</v>
      </c>
      <c r="B5982" s="1">
        <v>45897</v>
      </c>
      <c r="C5982" t="s">
        <v>113</v>
      </c>
      <c r="D5982">
        <v>35</v>
      </c>
      <c r="E5982" t="s">
        <v>24</v>
      </c>
      <c r="F5982" t="s">
        <v>13</v>
      </c>
      <c r="G5982" t="s">
        <v>137</v>
      </c>
      <c r="H5982" t="s">
        <v>68</v>
      </c>
      <c r="I5982">
        <v>39187</v>
      </c>
      <c r="J5982">
        <v>43145</v>
      </c>
    </row>
    <row r="5983" spans="1:10" x14ac:dyDescent="0.3">
      <c r="A5983" t="s">
        <v>6110</v>
      </c>
      <c r="B5983" s="1">
        <v>45827</v>
      </c>
      <c r="C5983" t="s">
        <v>74</v>
      </c>
      <c r="D5983">
        <v>25</v>
      </c>
      <c r="E5983" t="s">
        <v>33</v>
      </c>
      <c r="F5983" t="s">
        <v>75</v>
      </c>
      <c r="G5983" t="s">
        <v>199</v>
      </c>
      <c r="H5983" t="s">
        <v>243</v>
      </c>
      <c r="I5983">
        <v>34113</v>
      </c>
      <c r="J5983">
        <v>39785</v>
      </c>
    </row>
    <row r="5984" spans="1:10" x14ac:dyDescent="0.3">
      <c r="A5984" t="s">
        <v>6111</v>
      </c>
      <c r="B5984" s="1">
        <v>45728</v>
      </c>
      <c r="C5984" t="s">
        <v>95</v>
      </c>
      <c r="D5984">
        <v>11</v>
      </c>
      <c r="E5984" t="s">
        <v>24</v>
      </c>
      <c r="F5984" t="s">
        <v>140</v>
      </c>
      <c r="G5984" t="s">
        <v>76</v>
      </c>
      <c r="H5984" t="s">
        <v>52</v>
      </c>
      <c r="I5984">
        <v>15437</v>
      </c>
      <c r="J5984">
        <v>13360</v>
      </c>
    </row>
    <row r="5985" spans="1:10" x14ac:dyDescent="0.3">
      <c r="A5985" t="s">
        <v>6112</v>
      </c>
      <c r="B5985" s="1">
        <v>45672</v>
      </c>
      <c r="C5985" t="s">
        <v>17</v>
      </c>
      <c r="D5985">
        <v>3</v>
      </c>
      <c r="E5985" t="s">
        <v>70</v>
      </c>
      <c r="F5985" t="s">
        <v>109</v>
      </c>
      <c r="G5985" t="s">
        <v>201</v>
      </c>
      <c r="H5985" t="s">
        <v>111</v>
      </c>
      <c r="I5985">
        <v>28129</v>
      </c>
      <c r="J5985">
        <v>30568</v>
      </c>
    </row>
    <row r="5986" spans="1:10" x14ac:dyDescent="0.3">
      <c r="A5986" t="s">
        <v>6113</v>
      </c>
      <c r="B5986" s="1">
        <v>45828</v>
      </c>
      <c r="C5986" t="s">
        <v>74</v>
      </c>
      <c r="D5986">
        <v>25</v>
      </c>
      <c r="E5986" t="s">
        <v>61</v>
      </c>
      <c r="F5986" t="s">
        <v>62</v>
      </c>
      <c r="G5986" t="s">
        <v>266</v>
      </c>
      <c r="H5986" t="s">
        <v>98</v>
      </c>
      <c r="I5986">
        <v>26267</v>
      </c>
      <c r="J5986">
        <v>31510</v>
      </c>
    </row>
    <row r="5987" spans="1:10" x14ac:dyDescent="0.3">
      <c r="A5987" t="s">
        <v>6114</v>
      </c>
      <c r="B5987" s="1">
        <v>45750</v>
      </c>
      <c r="C5987" t="s">
        <v>86</v>
      </c>
      <c r="D5987">
        <v>14</v>
      </c>
      <c r="E5987" t="s">
        <v>70</v>
      </c>
      <c r="F5987" t="s">
        <v>46</v>
      </c>
      <c r="G5987" t="s">
        <v>51</v>
      </c>
      <c r="H5987" t="s">
        <v>155</v>
      </c>
      <c r="I5987">
        <v>23499</v>
      </c>
      <c r="J5987">
        <v>28351</v>
      </c>
    </row>
    <row r="5988" spans="1:10" x14ac:dyDescent="0.3">
      <c r="A5988" t="s">
        <v>6115</v>
      </c>
      <c r="B5988" s="1">
        <v>45697</v>
      </c>
      <c r="C5988" t="s">
        <v>82</v>
      </c>
      <c r="D5988">
        <v>6</v>
      </c>
      <c r="E5988" t="s">
        <v>39</v>
      </c>
      <c r="F5988" t="s">
        <v>57</v>
      </c>
      <c r="G5988" t="s">
        <v>35</v>
      </c>
      <c r="H5988" t="s">
        <v>31</v>
      </c>
      <c r="I5988">
        <v>28644</v>
      </c>
      <c r="J5988">
        <v>32725</v>
      </c>
    </row>
    <row r="5989" spans="1:10" x14ac:dyDescent="0.3">
      <c r="A5989" t="s">
        <v>6116</v>
      </c>
      <c r="B5989" s="1">
        <v>45892</v>
      </c>
      <c r="C5989" t="s">
        <v>113</v>
      </c>
      <c r="D5989">
        <v>34</v>
      </c>
      <c r="E5989" t="s">
        <v>18</v>
      </c>
      <c r="F5989" t="s">
        <v>19</v>
      </c>
      <c r="G5989" t="s">
        <v>266</v>
      </c>
      <c r="H5989" t="s">
        <v>211</v>
      </c>
      <c r="I5989">
        <v>24474</v>
      </c>
      <c r="J5989">
        <v>29741</v>
      </c>
    </row>
    <row r="5990" spans="1:10" x14ac:dyDescent="0.3">
      <c r="A5990" t="s">
        <v>6117</v>
      </c>
      <c r="B5990" s="1">
        <v>46001</v>
      </c>
      <c r="C5990" t="s">
        <v>100</v>
      </c>
      <c r="D5990">
        <v>50</v>
      </c>
      <c r="E5990" t="s">
        <v>24</v>
      </c>
      <c r="F5990" t="s">
        <v>75</v>
      </c>
      <c r="G5990" t="s">
        <v>206</v>
      </c>
      <c r="H5990" t="s">
        <v>59</v>
      </c>
      <c r="I5990">
        <v>35108</v>
      </c>
      <c r="J5990">
        <v>26658</v>
      </c>
    </row>
    <row r="5991" spans="1:10" x14ac:dyDescent="0.3">
      <c r="A5991" t="s">
        <v>6118</v>
      </c>
      <c r="B5991" s="1">
        <v>45739</v>
      </c>
      <c r="C5991" t="s">
        <v>95</v>
      </c>
      <c r="D5991">
        <v>12</v>
      </c>
      <c r="E5991" t="s">
        <v>70</v>
      </c>
      <c r="F5991" t="s">
        <v>19</v>
      </c>
      <c r="G5991" t="s">
        <v>240</v>
      </c>
      <c r="H5991" t="s">
        <v>80</v>
      </c>
      <c r="I5991">
        <v>17437</v>
      </c>
      <c r="J5991">
        <v>18798</v>
      </c>
    </row>
    <row r="5992" spans="1:10" x14ac:dyDescent="0.3">
      <c r="A5992" t="s">
        <v>6119</v>
      </c>
      <c r="B5992" s="1">
        <v>45932</v>
      </c>
      <c r="C5992" t="s">
        <v>66</v>
      </c>
      <c r="D5992">
        <v>40</v>
      </c>
      <c r="E5992" t="s">
        <v>18</v>
      </c>
      <c r="F5992" t="s">
        <v>140</v>
      </c>
      <c r="G5992" t="s">
        <v>137</v>
      </c>
      <c r="H5992" t="s">
        <v>84</v>
      </c>
      <c r="I5992">
        <v>35206</v>
      </c>
      <c r="J5992">
        <v>38253</v>
      </c>
    </row>
    <row r="5993" spans="1:10" x14ac:dyDescent="0.3">
      <c r="A5993" t="s">
        <v>6120</v>
      </c>
      <c r="B5993" s="1">
        <v>45904</v>
      </c>
      <c r="C5993" t="s">
        <v>38</v>
      </c>
      <c r="D5993">
        <v>36</v>
      </c>
      <c r="E5993" t="s">
        <v>12</v>
      </c>
      <c r="F5993" t="s">
        <v>92</v>
      </c>
      <c r="G5993" t="s">
        <v>26</v>
      </c>
      <c r="H5993" t="s">
        <v>41</v>
      </c>
      <c r="I5993">
        <v>16626</v>
      </c>
      <c r="J5993">
        <v>20988</v>
      </c>
    </row>
    <row r="5994" spans="1:10" x14ac:dyDescent="0.3">
      <c r="A5994" t="s">
        <v>6121</v>
      </c>
      <c r="B5994" s="1">
        <v>45699</v>
      </c>
      <c r="C5994" t="s">
        <v>82</v>
      </c>
      <c r="D5994">
        <v>7</v>
      </c>
      <c r="E5994" t="s">
        <v>61</v>
      </c>
      <c r="F5994" t="s">
        <v>46</v>
      </c>
      <c r="G5994" t="s">
        <v>58</v>
      </c>
      <c r="H5994" t="s">
        <v>165</v>
      </c>
      <c r="I5994">
        <v>26779</v>
      </c>
      <c r="J5994">
        <v>25579</v>
      </c>
    </row>
    <row r="5995" spans="1:10" x14ac:dyDescent="0.3">
      <c r="A5995" t="s">
        <v>6122</v>
      </c>
      <c r="B5995" s="1">
        <v>45987</v>
      </c>
      <c r="C5995" t="s">
        <v>23</v>
      </c>
      <c r="D5995">
        <v>48</v>
      </c>
      <c r="E5995" t="s">
        <v>12</v>
      </c>
      <c r="F5995" t="s">
        <v>87</v>
      </c>
      <c r="G5995" t="s">
        <v>199</v>
      </c>
      <c r="H5995" t="s">
        <v>151</v>
      </c>
      <c r="I5995">
        <v>30882</v>
      </c>
      <c r="J5995">
        <v>38539</v>
      </c>
    </row>
    <row r="5996" spans="1:10" x14ac:dyDescent="0.3">
      <c r="A5996" t="s">
        <v>6123</v>
      </c>
      <c r="B5996" s="1">
        <v>45950</v>
      </c>
      <c r="C5996" t="s">
        <v>66</v>
      </c>
      <c r="D5996">
        <v>43</v>
      </c>
      <c r="E5996" t="s">
        <v>39</v>
      </c>
      <c r="F5996" t="s">
        <v>193</v>
      </c>
      <c r="G5996" t="s">
        <v>83</v>
      </c>
      <c r="H5996" t="s">
        <v>59</v>
      </c>
      <c r="I5996">
        <v>25043</v>
      </c>
      <c r="J5996">
        <v>26223</v>
      </c>
    </row>
    <row r="5997" spans="1:10" x14ac:dyDescent="0.3">
      <c r="A5997" t="s">
        <v>6124</v>
      </c>
      <c r="B5997" s="1">
        <v>45953</v>
      </c>
      <c r="C5997" t="s">
        <v>66</v>
      </c>
      <c r="D5997">
        <v>43</v>
      </c>
      <c r="E5997" t="s">
        <v>12</v>
      </c>
      <c r="F5997" t="s">
        <v>50</v>
      </c>
      <c r="G5997" t="s">
        <v>171</v>
      </c>
      <c r="H5997" t="s">
        <v>68</v>
      </c>
      <c r="I5997">
        <v>18728</v>
      </c>
      <c r="J5997">
        <v>21782</v>
      </c>
    </row>
    <row r="5998" spans="1:10" x14ac:dyDescent="0.3">
      <c r="A5998" t="s">
        <v>6125</v>
      </c>
      <c r="B5998" s="1">
        <v>45689</v>
      </c>
      <c r="C5998" t="s">
        <v>82</v>
      </c>
      <c r="D5998">
        <v>5</v>
      </c>
      <c r="E5998" t="s">
        <v>39</v>
      </c>
      <c r="F5998" t="s">
        <v>193</v>
      </c>
      <c r="G5998" t="s">
        <v>240</v>
      </c>
      <c r="H5998" t="s">
        <v>84</v>
      </c>
      <c r="I5998">
        <v>34743</v>
      </c>
      <c r="J5998">
        <v>42700</v>
      </c>
    </row>
    <row r="5999" spans="1:10" x14ac:dyDescent="0.3">
      <c r="A5999" t="s">
        <v>6126</v>
      </c>
      <c r="B5999" s="1">
        <v>45822</v>
      </c>
      <c r="C5999" t="s">
        <v>74</v>
      </c>
      <c r="D5999">
        <v>24</v>
      </c>
      <c r="E5999" t="s">
        <v>33</v>
      </c>
      <c r="F5999" t="s">
        <v>87</v>
      </c>
      <c r="G5999" t="s">
        <v>160</v>
      </c>
      <c r="H5999" t="s">
        <v>188</v>
      </c>
      <c r="I5999">
        <v>29875</v>
      </c>
      <c r="J5999">
        <v>32953</v>
      </c>
    </row>
    <row r="6000" spans="1:10" x14ac:dyDescent="0.3">
      <c r="A6000" t="s">
        <v>6127</v>
      </c>
      <c r="B6000" s="1">
        <v>45985</v>
      </c>
      <c r="C6000" t="s">
        <v>23</v>
      </c>
      <c r="D6000">
        <v>48</v>
      </c>
      <c r="E6000" t="s">
        <v>61</v>
      </c>
      <c r="F6000" t="s">
        <v>62</v>
      </c>
      <c r="G6000" t="s">
        <v>47</v>
      </c>
      <c r="H6000" t="s">
        <v>119</v>
      </c>
      <c r="I6000">
        <v>23794</v>
      </c>
      <c r="J6000">
        <v>27206</v>
      </c>
    </row>
    <row r="6001" spans="1:10" x14ac:dyDescent="0.3">
      <c r="A6001" t="s">
        <v>6128</v>
      </c>
      <c r="B6001" s="1">
        <v>46015</v>
      </c>
      <c r="C6001" t="s">
        <v>100</v>
      </c>
      <c r="D6001">
        <v>52</v>
      </c>
      <c r="E6001" t="s">
        <v>12</v>
      </c>
      <c r="F6001" t="s">
        <v>193</v>
      </c>
      <c r="G6001" t="s">
        <v>76</v>
      </c>
      <c r="H6001" t="s">
        <v>133</v>
      </c>
      <c r="I6001">
        <v>26548</v>
      </c>
      <c r="J6001">
        <v>33478</v>
      </c>
    </row>
    <row r="6002" spans="1:10" x14ac:dyDescent="0.3">
      <c r="A6002" t="s">
        <v>6129</v>
      </c>
      <c r="B6002" s="1">
        <v>45827</v>
      </c>
      <c r="C6002" t="s">
        <v>74</v>
      </c>
      <c r="D6002">
        <v>25</v>
      </c>
      <c r="E6002" t="s">
        <v>18</v>
      </c>
      <c r="F6002" t="s">
        <v>43</v>
      </c>
      <c r="G6002" t="s">
        <v>240</v>
      </c>
      <c r="H6002" t="s">
        <v>15</v>
      </c>
      <c r="I6002">
        <v>15102</v>
      </c>
      <c r="J6002">
        <v>12196</v>
      </c>
    </row>
    <row r="6003" spans="1:10" x14ac:dyDescent="0.3">
      <c r="A6003" t="s">
        <v>6130</v>
      </c>
      <c r="B6003" s="1">
        <v>45851</v>
      </c>
      <c r="C6003" t="s">
        <v>11</v>
      </c>
      <c r="D6003">
        <v>28</v>
      </c>
      <c r="E6003" t="s">
        <v>24</v>
      </c>
      <c r="F6003" t="s">
        <v>87</v>
      </c>
      <c r="G6003" t="s">
        <v>266</v>
      </c>
      <c r="H6003" t="s">
        <v>116</v>
      </c>
      <c r="I6003">
        <v>20398</v>
      </c>
      <c r="J6003">
        <v>19029</v>
      </c>
    </row>
    <row r="6004" spans="1:10" x14ac:dyDescent="0.3">
      <c r="A6004" t="s">
        <v>6131</v>
      </c>
      <c r="B6004" s="1">
        <v>45680</v>
      </c>
      <c r="C6004" t="s">
        <v>17</v>
      </c>
      <c r="D6004">
        <v>4</v>
      </c>
      <c r="E6004" t="s">
        <v>12</v>
      </c>
      <c r="F6004" t="s">
        <v>13</v>
      </c>
      <c r="G6004" t="s">
        <v>149</v>
      </c>
      <c r="H6004" t="s">
        <v>84</v>
      </c>
      <c r="I6004">
        <v>16321</v>
      </c>
      <c r="J6004">
        <v>20677</v>
      </c>
    </row>
    <row r="6005" spans="1:10" x14ac:dyDescent="0.3">
      <c r="A6005" t="s">
        <v>6132</v>
      </c>
      <c r="B6005" s="1">
        <v>45942</v>
      </c>
      <c r="C6005" t="s">
        <v>66</v>
      </c>
      <c r="D6005">
        <v>41</v>
      </c>
      <c r="E6005" t="s">
        <v>12</v>
      </c>
      <c r="F6005" t="s">
        <v>13</v>
      </c>
      <c r="G6005" t="s">
        <v>171</v>
      </c>
      <c r="H6005" t="s">
        <v>27</v>
      </c>
      <c r="I6005">
        <v>34191</v>
      </c>
      <c r="J6005">
        <v>34648</v>
      </c>
    </row>
    <row r="6006" spans="1:10" x14ac:dyDescent="0.3">
      <c r="A6006" t="s">
        <v>6133</v>
      </c>
      <c r="B6006" s="1">
        <v>45774</v>
      </c>
      <c r="C6006" t="s">
        <v>86</v>
      </c>
      <c r="D6006">
        <v>17</v>
      </c>
      <c r="E6006" t="s">
        <v>24</v>
      </c>
      <c r="F6006" t="s">
        <v>140</v>
      </c>
      <c r="G6006" t="s">
        <v>35</v>
      </c>
      <c r="H6006" t="s">
        <v>157</v>
      </c>
      <c r="I6006">
        <v>35704</v>
      </c>
      <c r="J6006">
        <v>34005</v>
      </c>
    </row>
    <row r="6007" spans="1:10" x14ac:dyDescent="0.3">
      <c r="A6007" t="s">
        <v>6134</v>
      </c>
      <c r="B6007" s="1">
        <v>45925</v>
      </c>
      <c r="C6007" t="s">
        <v>38</v>
      </c>
      <c r="D6007">
        <v>39</v>
      </c>
      <c r="E6007" t="s">
        <v>39</v>
      </c>
      <c r="F6007" t="s">
        <v>140</v>
      </c>
      <c r="G6007" t="s">
        <v>35</v>
      </c>
      <c r="H6007" t="s">
        <v>41</v>
      </c>
      <c r="I6007">
        <v>38693</v>
      </c>
      <c r="J6007">
        <v>48644</v>
      </c>
    </row>
    <row r="6008" spans="1:10" x14ac:dyDescent="0.3">
      <c r="A6008" t="s">
        <v>6135</v>
      </c>
      <c r="B6008" s="1">
        <v>45917</v>
      </c>
      <c r="C6008" t="s">
        <v>38</v>
      </c>
      <c r="D6008">
        <v>38</v>
      </c>
      <c r="E6008" t="s">
        <v>33</v>
      </c>
      <c r="F6008" t="s">
        <v>122</v>
      </c>
      <c r="G6008" t="s">
        <v>40</v>
      </c>
      <c r="H6008" t="s">
        <v>59</v>
      </c>
      <c r="I6008">
        <v>31584</v>
      </c>
      <c r="J6008">
        <v>38833</v>
      </c>
    </row>
    <row r="6009" spans="1:10" x14ac:dyDescent="0.3">
      <c r="A6009" t="s">
        <v>6136</v>
      </c>
      <c r="B6009" s="1">
        <v>45841</v>
      </c>
      <c r="C6009" t="s">
        <v>11</v>
      </c>
      <c r="D6009">
        <v>27</v>
      </c>
      <c r="E6009" t="s">
        <v>39</v>
      </c>
      <c r="F6009" t="s">
        <v>46</v>
      </c>
      <c r="G6009" t="s">
        <v>115</v>
      </c>
      <c r="H6009" t="s">
        <v>123</v>
      </c>
      <c r="I6009">
        <v>16818</v>
      </c>
      <c r="J6009">
        <v>12425</v>
      </c>
    </row>
    <row r="6010" spans="1:10" x14ac:dyDescent="0.3">
      <c r="A6010" t="s">
        <v>6137</v>
      </c>
      <c r="B6010" s="1">
        <v>45840</v>
      </c>
      <c r="C6010" t="s">
        <v>11</v>
      </c>
      <c r="D6010">
        <v>27</v>
      </c>
      <c r="E6010" t="s">
        <v>24</v>
      </c>
      <c r="F6010" t="s">
        <v>57</v>
      </c>
      <c r="G6010" t="s">
        <v>40</v>
      </c>
      <c r="H6010" t="s">
        <v>123</v>
      </c>
      <c r="I6010">
        <v>33101</v>
      </c>
      <c r="J6010">
        <v>41563</v>
      </c>
    </row>
    <row r="6011" spans="1:10" x14ac:dyDescent="0.3">
      <c r="A6011" t="s">
        <v>6138</v>
      </c>
      <c r="B6011" s="1">
        <v>45668</v>
      </c>
      <c r="C6011" t="s">
        <v>17</v>
      </c>
      <c r="D6011">
        <v>2</v>
      </c>
      <c r="E6011" t="s">
        <v>18</v>
      </c>
      <c r="F6011" t="s">
        <v>101</v>
      </c>
      <c r="G6011" t="s">
        <v>240</v>
      </c>
      <c r="H6011" t="s">
        <v>68</v>
      </c>
      <c r="I6011">
        <v>38076</v>
      </c>
      <c r="J6011">
        <v>32452</v>
      </c>
    </row>
    <row r="6012" spans="1:10" x14ac:dyDescent="0.3">
      <c r="A6012" t="s">
        <v>6139</v>
      </c>
      <c r="B6012" s="1">
        <v>45934</v>
      </c>
      <c r="C6012" t="s">
        <v>66</v>
      </c>
      <c r="D6012">
        <v>40</v>
      </c>
      <c r="E6012" t="s">
        <v>18</v>
      </c>
      <c r="F6012" t="s">
        <v>87</v>
      </c>
      <c r="G6012" t="s">
        <v>132</v>
      </c>
      <c r="H6012" t="s">
        <v>64</v>
      </c>
      <c r="I6012">
        <v>19982</v>
      </c>
      <c r="J6012">
        <v>23244</v>
      </c>
    </row>
    <row r="6013" spans="1:10" x14ac:dyDescent="0.3">
      <c r="A6013" t="s">
        <v>6140</v>
      </c>
      <c r="B6013" s="1">
        <v>45659</v>
      </c>
      <c r="C6013" t="s">
        <v>17</v>
      </c>
      <c r="D6013">
        <v>1</v>
      </c>
      <c r="E6013" t="s">
        <v>70</v>
      </c>
      <c r="F6013" t="s">
        <v>101</v>
      </c>
      <c r="G6013" t="s">
        <v>126</v>
      </c>
      <c r="H6013" t="s">
        <v>52</v>
      </c>
      <c r="I6013">
        <v>19848</v>
      </c>
      <c r="J6013">
        <v>24891</v>
      </c>
    </row>
    <row r="6014" spans="1:10" x14ac:dyDescent="0.3">
      <c r="A6014" t="s">
        <v>6141</v>
      </c>
      <c r="B6014" s="1">
        <v>45938</v>
      </c>
      <c r="C6014" t="s">
        <v>66</v>
      </c>
      <c r="D6014">
        <v>41</v>
      </c>
      <c r="E6014" t="s">
        <v>70</v>
      </c>
      <c r="F6014" t="s">
        <v>50</v>
      </c>
      <c r="G6014" t="s">
        <v>128</v>
      </c>
      <c r="H6014" t="s">
        <v>55</v>
      </c>
      <c r="I6014">
        <v>39703</v>
      </c>
      <c r="J6014">
        <v>31534</v>
      </c>
    </row>
    <row r="6015" spans="1:10" x14ac:dyDescent="0.3">
      <c r="A6015" t="s">
        <v>6142</v>
      </c>
      <c r="B6015" s="1">
        <v>45996</v>
      </c>
      <c r="C6015" t="s">
        <v>100</v>
      </c>
      <c r="D6015">
        <v>49</v>
      </c>
      <c r="E6015" t="s">
        <v>24</v>
      </c>
      <c r="F6015" t="s">
        <v>13</v>
      </c>
      <c r="G6015" t="s">
        <v>141</v>
      </c>
      <c r="H6015" t="s">
        <v>27</v>
      </c>
      <c r="I6015">
        <v>21663</v>
      </c>
      <c r="J6015">
        <v>15175</v>
      </c>
    </row>
    <row r="6016" spans="1:10" x14ac:dyDescent="0.3">
      <c r="A6016" t="s">
        <v>6143</v>
      </c>
      <c r="B6016" s="1">
        <v>45970</v>
      </c>
      <c r="C6016" t="s">
        <v>23</v>
      </c>
      <c r="D6016">
        <v>45</v>
      </c>
      <c r="E6016" t="s">
        <v>33</v>
      </c>
      <c r="F6016" t="s">
        <v>50</v>
      </c>
      <c r="G6016" t="s">
        <v>128</v>
      </c>
      <c r="H6016" t="s">
        <v>84</v>
      </c>
      <c r="I6016">
        <v>32790</v>
      </c>
      <c r="J6016">
        <v>39826</v>
      </c>
    </row>
    <row r="6017" spans="1:10" x14ac:dyDescent="0.3">
      <c r="A6017" t="s">
        <v>6144</v>
      </c>
      <c r="B6017" s="1">
        <v>45663</v>
      </c>
      <c r="C6017" t="s">
        <v>17</v>
      </c>
      <c r="D6017">
        <v>2</v>
      </c>
      <c r="E6017" t="s">
        <v>33</v>
      </c>
      <c r="F6017" t="s">
        <v>109</v>
      </c>
      <c r="G6017" t="s">
        <v>240</v>
      </c>
      <c r="H6017" t="s">
        <v>41</v>
      </c>
      <c r="I6017">
        <v>30768</v>
      </c>
      <c r="J6017">
        <v>33479</v>
      </c>
    </row>
    <row r="6018" spans="1:10" x14ac:dyDescent="0.3">
      <c r="A6018" t="s">
        <v>6145</v>
      </c>
      <c r="B6018" s="1">
        <v>45788</v>
      </c>
      <c r="C6018" t="s">
        <v>90</v>
      </c>
      <c r="D6018">
        <v>19</v>
      </c>
      <c r="E6018" t="s">
        <v>12</v>
      </c>
      <c r="F6018" t="s">
        <v>193</v>
      </c>
      <c r="G6018" t="s">
        <v>266</v>
      </c>
      <c r="H6018" t="s">
        <v>116</v>
      </c>
      <c r="I6018">
        <v>15619</v>
      </c>
      <c r="J6018">
        <v>16255</v>
      </c>
    </row>
    <row r="6019" spans="1:10" x14ac:dyDescent="0.3">
      <c r="A6019" t="s">
        <v>6146</v>
      </c>
      <c r="B6019" s="1">
        <v>45981</v>
      </c>
      <c r="C6019" t="s">
        <v>23</v>
      </c>
      <c r="D6019">
        <v>47</v>
      </c>
      <c r="E6019" t="s">
        <v>12</v>
      </c>
      <c r="F6019" t="s">
        <v>75</v>
      </c>
      <c r="G6019" t="s">
        <v>88</v>
      </c>
      <c r="H6019" t="s">
        <v>111</v>
      </c>
      <c r="I6019">
        <v>18824</v>
      </c>
      <c r="J6019">
        <v>24041</v>
      </c>
    </row>
    <row r="6020" spans="1:10" x14ac:dyDescent="0.3">
      <c r="A6020" t="s">
        <v>6147</v>
      </c>
      <c r="B6020" s="1">
        <v>45916</v>
      </c>
      <c r="C6020" t="s">
        <v>38</v>
      </c>
      <c r="D6020">
        <v>38</v>
      </c>
      <c r="E6020" t="s">
        <v>24</v>
      </c>
      <c r="F6020" t="s">
        <v>101</v>
      </c>
      <c r="G6020" t="s">
        <v>201</v>
      </c>
      <c r="H6020" t="s">
        <v>15</v>
      </c>
      <c r="I6020">
        <v>19373</v>
      </c>
      <c r="J6020">
        <v>17123</v>
      </c>
    </row>
    <row r="6021" spans="1:10" x14ac:dyDescent="0.3">
      <c r="A6021" t="s">
        <v>6148</v>
      </c>
      <c r="B6021" s="1">
        <v>46010</v>
      </c>
      <c r="C6021" t="s">
        <v>100</v>
      </c>
      <c r="D6021">
        <v>51</v>
      </c>
      <c r="E6021" t="s">
        <v>12</v>
      </c>
      <c r="F6021" t="s">
        <v>109</v>
      </c>
      <c r="G6021" t="s">
        <v>137</v>
      </c>
      <c r="H6021" t="s">
        <v>36</v>
      </c>
      <c r="I6021">
        <v>27980</v>
      </c>
      <c r="J6021">
        <v>19737</v>
      </c>
    </row>
    <row r="6022" spans="1:10" x14ac:dyDescent="0.3">
      <c r="A6022" t="s">
        <v>6149</v>
      </c>
      <c r="B6022" s="1">
        <v>45993</v>
      </c>
      <c r="C6022" t="s">
        <v>100</v>
      </c>
      <c r="D6022">
        <v>49</v>
      </c>
      <c r="E6022" t="s">
        <v>33</v>
      </c>
      <c r="F6022" t="s">
        <v>193</v>
      </c>
      <c r="G6022" t="s">
        <v>253</v>
      </c>
      <c r="H6022" t="s">
        <v>68</v>
      </c>
      <c r="I6022">
        <v>19881</v>
      </c>
      <c r="J6022">
        <v>24186</v>
      </c>
    </row>
    <row r="6023" spans="1:10" x14ac:dyDescent="0.3">
      <c r="A6023" t="s">
        <v>6150</v>
      </c>
      <c r="B6023" s="1">
        <v>45886</v>
      </c>
      <c r="C6023" t="s">
        <v>113</v>
      </c>
      <c r="D6023">
        <v>33</v>
      </c>
      <c r="E6023" t="s">
        <v>33</v>
      </c>
      <c r="F6023" t="s">
        <v>109</v>
      </c>
      <c r="G6023" t="s">
        <v>266</v>
      </c>
      <c r="H6023" t="s">
        <v>27</v>
      </c>
      <c r="I6023">
        <v>33051</v>
      </c>
      <c r="J6023">
        <v>41846</v>
      </c>
    </row>
    <row r="6024" spans="1:10" x14ac:dyDescent="0.3">
      <c r="A6024" t="s">
        <v>6151</v>
      </c>
      <c r="B6024" s="1">
        <v>45658</v>
      </c>
      <c r="C6024" t="s">
        <v>17</v>
      </c>
      <c r="D6024">
        <v>1</v>
      </c>
      <c r="E6024" t="s">
        <v>61</v>
      </c>
      <c r="F6024" t="s">
        <v>34</v>
      </c>
      <c r="G6024" t="s">
        <v>110</v>
      </c>
      <c r="H6024" t="s">
        <v>84</v>
      </c>
      <c r="I6024">
        <v>23465</v>
      </c>
      <c r="J6024">
        <v>22232</v>
      </c>
    </row>
    <row r="6025" spans="1:10" x14ac:dyDescent="0.3">
      <c r="A6025" t="s">
        <v>6152</v>
      </c>
      <c r="B6025" s="1">
        <v>45743</v>
      </c>
      <c r="C6025" t="s">
        <v>95</v>
      </c>
      <c r="D6025">
        <v>13</v>
      </c>
      <c r="E6025" t="s">
        <v>33</v>
      </c>
      <c r="F6025" t="s">
        <v>92</v>
      </c>
      <c r="G6025" t="s">
        <v>30</v>
      </c>
      <c r="H6025" t="s">
        <v>52</v>
      </c>
      <c r="I6025">
        <v>25168</v>
      </c>
      <c r="J6025">
        <v>22105</v>
      </c>
    </row>
    <row r="6026" spans="1:10" x14ac:dyDescent="0.3">
      <c r="A6026" t="s">
        <v>6153</v>
      </c>
      <c r="B6026" s="1">
        <v>45974</v>
      </c>
      <c r="C6026" t="s">
        <v>23</v>
      </c>
      <c r="D6026">
        <v>46</v>
      </c>
      <c r="E6026" t="s">
        <v>39</v>
      </c>
      <c r="F6026" t="s">
        <v>43</v>
      </c>
      <c r="G6026" t="s">
        <v>135</v>
      </c>
      <c r="H6026" t="s">
        <v>243</v>
      </c>
      <c r="I6026">
        <v>24914</v>
      </c>
      <c r="J6026">
        <v>25246</v>
      </c>
    </row>
    <row r="6027" spans="1:10" x14ac:dyDescent="0.3">
      <c r="A6027" t="s">
        <v>6154</v>
      </c>
      <c r="B6027" s="1">
        <v>45899</v>
      </c>
      <c r="C6027" t="s">
        <v>113</v>
      </c>
      <c r="D6027">
        <v>35</v>
      </c>
      <c r="E6027" t="s">
        <v>39</v>
      </c>
      <c r="F6027" t="s">
        <v>109</v>
      </c>
      <c r="G6027" t="s">
        <v>83</v>
      </c>
      <c r="H6027" t="s">
        <v>48</v>
      </c>
      <c r="I6027">
        <v>36483</v>
      </c>
      <c r="J6027">
        <v>42086</v>
      </c>
    </row>
    <row r="6028" spans="1:10" x14ac:dyDescent="0.3">
      <c r="A6028" t="s">
        <v>6155</v>
      </c>
      <c r="B6028" s="1">
        <v>45677</v>
      </c>
      <c r="C6028" t="s">
        <v>17</v>
      </c>
      <c r="D6028">
        <v>4</v>
      </c>
      <c r="E6028" t="s">
        <v>24</v>
      </c>
      <c r="F6028" t="s">
        <v>114</v>
      </c>
      <c r="G6028" t="s">
        <v>160</v>
      </c>
      <c r="H6028" t="s">
        <v>103</v>
      </c>
      <c r="I6028">
        <v>20957</v>
      </c>
      <c r="J6028">
        <v>26085</v>
      </c>
    </row>
    <row r="6029" spans="1:10" x14ac:dyDescent="0.3">
      <c r="A6029" t="s">
        <v>6156</v>
      </c>
      <c r="B6029" s="1">
        <v>45777</v>
      </c>
      <c r="C6029" t="s">
        <v>86</v>
      </c>
      <c r="D6029">
        <v>18</v>
      </c>
      <c r="E6029" t="s">
        <v>18</v>
      </c>
      <c r="F6029" t="s">
        <v>78</v>
      </c>
      <c r="G6029" t="s">
        <v>291</v>
      </c>
      <c r="H6029" t="s">
        <v>116</v>
      </c>
      <c r="I6029">
        <v>35468</v>
      </c>
      <c r="J6029">
        <v>31056</v>
      </c>
    </row>
    <row r="6030" spans="1:10" x14ac:dyDescent="0.3">
      <c r="A6030" t="s">
        <v>6157</v>
      </c>
      <c r="B6030" s="1">
        <v>45704</v>
      </c>
      <c r="C6030" t="s">
        <v>82</v>
      </c>
      <c r="D6030">
        <v>7</v>
      </c>
      <c r="E6030" t="s">
        <v>39</v>
      </c>
      <c r="F6030" t="s">
        <v>25</v>
      </c>
      <c r="G6030" t="s">
        <v>137</v>
      </c>
      <c r="H6030" t="s">
        <v>211</v>
      </c>
      <c r="I6030">
        <v>15626</v>
      </c>
      <c r="J6030">
        <v>11311</v>
      </c>
    </row>
    <row r="6031" spans="1:10" x14ac:dyDescent="0.3">
      <c r="A6031" t="s">
        <v>6158</v>
      </c>
      <c r="B6031" s="1">
        <v>45877</v>
      </c>
      <c r="C6031" t="s">
        <v>113</v>
      </c>
      <c r="D6031">
        <v>32</v>
      </c>
      <c r="E6031" t="s">
        <v>24</v>
      </c>
      <c r="F6031" t="s">
        <v>13</v>
      </c>
      <c r="G6031" t="s">
        <v>147</v>
      </c>
      <c r="H6031" t="s">
        <v>157</v>
      </c>
      <c r="I6031">
        <v>28484</v>
      </c>
      <c r="J6031">
        <v>31025</v>
      </c>
    </row>
    <row r="6032" spans="1:10" x14ac:dyDescent="0.3">
      <c r="A6032" t="s">
        <v>6159</v>
      </c>
      <c r="B6032" s="1">
        <v>45783</v>
      </c>
      <c r="C6032" t="s">
        <v>90</v>
      </c>
      <c r="D6032">
        <v>19</v>
      </c>
      <c r="E6032" t="s">
        <v>12</v>
      </c>
      <c r="F6032" t="s">
        <v>46</v>
      </c>
      <c r="G6032" t="s">
        <v>160</v>
      </c>
      <c r="H6032" t="s">
        <v>119</v>
      </c>
      <c r="I6032">
        <v>20678</v>
      </c>
      <c r="J6032">
        <v>23662</v>
      </c>
    </row>
    <row r="6033" spans="1:10" x14ac:dyDescent="0.3">
      <c r="A6033" t="s">
        <v>6160</v>
      </c>
      <c r="B6033" s="1">
        <v>45806</v>
      </c>
      <c r="C6033" t="s">
        <v>90</v>
      </c>
      <c r="D6033">
        <v>22</v>
      </c>
      <c r="E6033" t="s">
        <v>61</v>
      </c>
      <c r="F6033" t="s">
        <v>140</v>
      </c>
      <c r="G6033" t="s">
        <v>76</v>
      </c>
      <c r="H6033" t="s">
        <v>84</v>
      </c>
      <c r="I6033">
        <v>31356</v>
      </c>
      <c r="J6033">
        <v>28839</v>
      </c>
    </row>
    <row r="6034" spans="1:10" x14ac:dyDescent="0.3">
      <c r="A6034" t="s">
        <v>6161</v>
      </c>
      <c r="B6034" s="1">
        <v>45772</v>
      </c>
      <c r="C6034" t="s">
        <v>86</v>
      </c>
      <c r="D6034">
        <v>17</v>
      </c>
      <c r="E6034" t="s">
        <v>61</v>
      </c>
      <c r="F6034" t="s">
        <v>13</v>
      </c>
      <c r="G6034" t="s">
        <v>240</v>
      </c>
      <c r="H6034" t="s">
        <v>68</v>
      </c>
      <c r="I6034">
        <v>19143</v>
      </c>
      <c r="J6034">
        <v>19915</v>
      </c>
    </row>
    <row r="6035" spans="1:10" x14ac:dyDescent="0.3">
      <c r="A6035" t="s">
        <v>6162</v>
      </c>
      <c r="B6035" s="1">
        <v>45885</v>
      </c>
      <c r="C6035" t="s">
        <v>113</v>
      </c>
      <c r="D6035">
        <v>33</v>
      </c>
      <c r="E6035" t="s">
        <v>24</v>
      </c>
      <c r="F6035" t="s">
        <v>62</v>
      </c>
      <c r="G6035" t="s">
        <v>79</v>
      </c>
      <c r="H6035" t="s">
        <v>80</v>
      </c>
      <c r="I6035">
        <v>26047</v>
      </c>
      <c r="J6035">
        <v>21780</v>
      </c>
    </row>
    <row r="6036" spans="1:10" x14ac:dyDescent="0.3">
      <c r="A6036" t="s">
        <v>6163</v>
      </c>
      <c r="B6036" s="1">
        <v>45769</v>
      </c>
      <c r="C6036" t="s">
        <v>86</v>
      </c>
      <c r="D6036">
        <v>17</v>
      </c>
      <c r="E6036" t="s">
        <v>39</v>
      </c>
      <c r="F6036" t="s">
        <v>87</v>
      </c>
      <c r="G6036" t="s">
        <v>72</v>
      </c>
      <c r="H6036" t="s">
        <v>21</v>
      </c>
      <c r="I6036">
        <v>36981</v>
      </c>
      <c r="J6036">
        <v>30795</v>
      </c>
    </row>
    <row r="6037" spans="1:10" x14ac:dyDescent="0.3">
      <c r="A6037" t="s">
        <v>6164</v>
      </c>
      <c r="B6037" s="1">
        <v>45774</v>
      </c>
      <c r="C6037" t="s">
        <v>86</v>
      </c>
      <c r="D6037">
        <v>17</v>
      </c>
      <c r="E6037" t="s">
        <v>33</v>
      </c>
      <c r="F6037" t="s">
        <v>101</v>
      </c>
      <c r="G6037" t="s">
        <v>240</v>
      </c>
      <c r="H6037" t="s">
        <v>84</v>
      </c>
      <c r="I6037">
        <v>36123</v>
      </c>
      <c r="J6037">
        <v>44848</v>
      </c>
    </row>
    <row r="6038" spans="1:10" x14ac:dyDescent="0.3">
      <c r="A6038" t="s">
        <v>6165</v>
      </c>
      <c r="B6038" s="1">
        <v>45810</v>
      </c>
      <c r="C6038" t="s">
        <v>74</v>
      </c>
      <c r="D6038">
        <v>23</v>
      </c>
      <c r="E6038" t="s">
        <v>70</v>
      </c>
      <c r="F6038" t="s">
        <v>87</v>
      </c>
      <c r="G6038" t="s">
        <v>14</v>
      </c>
      <c r="H6038" t="s">
        <v>243</v>
      </c>
      <c r="I6038">
        <v>19127</v>
      </c>
      <c r="J6038">
        <v>18086</v>
      </c>
    </row>
    <row r="6039" spans="1:10" x14ac:dyDescent="0.3">
      <c r="A6039" t="s">
        <v>6166</v>
      </c>
      <c r="B6039" s="1">
        <v>45839</v>
      </c>
      <c r="C6039" t="s">
        <v>11</v>
      </c>
      <c r="D6039">
        <v>27</v>
      </c>
      <c r="E6039" t="s">
        <v>24</v>
      </c>
      <c r="F6039" t="s">
        <v>140</v>
      </c>
      <c r="G6039" t="s">
        <v>44</v>
      </c>
      <c r="H6039" t="s">
        <v>211</v>
      </c>
      <c r="I6039">
        <v>39458</v>
      </c>
      <c r="J6039">
        <v>39200</v>
      </c>
    </row>
    <row r="6040" spans="1:10" x14ac:dyDescent="0.3">
      <c r="A6040" t="s">
        <v>6167</v>
      </c>
      <c r="B6040" s="1">
        <v>45900</v>
      </c>
      <c r="C6040" t="s">
        <v>113</v>
      </c>
      <c r="D6040">
        <v>35</v>
      </c>
      <c r="E6040" t="s">
        <v>39</v>
      </c>
      <c r="F6040" t="s">
        <v>140</v>
      </c>
      <c r="G6040" t="s">
        <v>51</v>
      </c>
      <c r="H6040" t="s">
        <v>103</v>
      </c>
      <c r="I6040">
        <v>23874</v>
      </c>
      <c r="J6040">
        <v>28446</v>
      </c>
    </row>
    <row r="6041" spans="1:10" x14ac:dyDescent="0.3">
      <c r="A6041" t="s">
        <v>6168</v>
      </c>
      <c r="B6041" s="1">
        <v>45891</v>
      </c>
      <c r="C6041" t="s">
        <v>113</v>
      </c>
      <c r="D6041">
        <v>34</v>
      </c>
      <c r="E6041" t="s">
        <v>33</v>
      </c>
      <c r="F6041" t="s">
        <v>122</v>
      </c>
      <c r="G6041" t="s">
        <v>115</v>
      </c>
      <c r="H6041" t="s">
        <v>111</v>
      </c>
      <c r="I6041">
        <v>16762</v>
      </c>
      <c r="J6041">
        <v>13471</v>
      </c>
    </row>
    <row r="6042" spans="1:10" x14ac:dyDescent="0.3">
      <c r="A6042" t="s">
        <v>6169</v>
      </c>
      <c r="B6042" s="1">
        <v>45837</v>
      </c>
      <c r="C6042" t="s">
        <v>74</v>
      </c>
      <c r="D6042">
        <v>26</v>
      </c>
      <c r="E6042" t="s">
        <v>61</v>
      </c>
      <c r="F6042" t="s">
        <v>43</v>
      </c>
      <c r="G6042" t="s">
        <v>72</v>
      </c>
      <c r="H6042" t="s">
        <v>36</v>
      </c>
      <c r="I6042">
        <v>33563</v>
      </c>
      <c r="J6042">
        <v>42934</v>
      </c>
    </row>
    <row r="6043" spans="1:10" x14ac:dyDescent="0.3">
      <c r="A6043" t="s">
        <v>6170</v>
      </c>
      <c r="B6043" s="1">
        <v>45753</v>
      </c>
      <c r="C6043" t="s">
        <v>86</v>
      </c>
      <c r="D6043">
        <v>14</v>
      </c>
      <c r="E6043" t="s">
        <v>39</v>
      </c>
      <c r="F6043" t="s">
        <v>34</v>
      </c>
      <c r="G6043" t="s">
        <v>14</v>
      </c>
      <c r="H6043" t="s">
        <v>211</v>
      </c>
      <c r="I6043">
        <v>39205</v>
      </c>
      <c r="J6043">
        <v>44440</v>
      </c>
    </row>
    <row r="6044" spans="1:10" x14ac:dyDescent="0.3">
      <c r="A6044" t="s">
        <v>6171</v>
      </c>
      <c r="B6044" s="1">
        <v>46022</v>
      </c>
      <c r="C6044" t="s">
        <v>100</v>
      </c>
      <c r="D6044">
        <v>1</v>
      </c>
      <c r="E6044" t="s">
        <v>24</v>
      </c>
      <c r="F6044" t="s">
        <v>193</v>
      </c>
      <c r="G6044" t="s">
        <v>14</v>
      </c>
      <c r="H6044" t="s">
        <v>163</v>
      </c>
      <c r="I6044">
        <v>33564</v>
      </c>
      <c r="J6044">
        <v>24959</v>
      </c>
    </row>
    <row r="6045" spans="1:10" x14ac:dyDescent="0.3">
      <c r="A6045" t="s">
        <v>6172</v>
      </c>
      <c r="B6045" s="1">
        <v>45790</v>
      </c>
      <c r="C6045" t="s">
        <v>90</v>
      </c>
      <c r="D6045">
        <v>20</v>
      </c>
      <c r="E6045" t="s">
        <v>18</v>
      </c>
      <c r="F6045" t="s">
        <v>114</v>
      </c>
      <c r="G6045" t="s">
        <v>234</v>
      </c>
      <c r="H6045" t="s">
        <v>80</v>
      </c>
      <c r="I6045">
        <v>27002</v>
      </c>
      <c r="J6045">
        <v>33117</v>
      </c>
    </row>
    <row r="6046" spans="1:10" x14ac:dyDescent="0.3">
      <c r="A6046" t="s">
        <v>6173</v>
      </c>
      <c r="B6046" s="1">
        <v>45716</v>
      </c>
      <c r="C6046" t="s">
        <v>82</v>
      </c>
      <c r="D6046">
        <v>9</v>
      </c>
      <c r="E6046" t="s">
        <v>18</v>
      </c>
      <c r="F6046" t="s">
        <v>114</v>
      </c>
      <c r="G6046" t="s">
        <v>130</v>
      </c>
      <c r="H6046" t="s">
        <v>36</v>
      </c>
      <c r="I6046">
        <v>37819</v>
      </c>
      <c r="J6046">
        <v>43507</v>
      </c>
    </row>
    <row r="6047" spans="1:10" x14ac:dyDescent="0.3">
      <c r="A6047" t="s">
        <v>6174</v>
      </c>
      <c r="B6047" s="1">
        <v>45702</v>
      </c>
      <c r="C6047" t="s">
        <v>82</v>
      </c>
      <c r="D6047">
        <v>7</v>
      </c>
      <c r="E6047" t="s">
        <v>12</v>
      </c>
      <c r="F6047" t="s">
        <v>122</v>
      </c>
      <c r="G6047" t="s">
        <v>326</v>
      </c>
      <c r="H6047" t="s">
        <v>211</v>
      </c>
      <c r="I6047">
        <v>26672</v>
      </c>
      <c r="J6047">
        <v>21949</v>
      </c>
    </row>
    <row r="6048" spans="1:10" x14ac:dyDescent="0.3">
      <c r="A6048" t="s">
        <v>6175</v>
      </c>
      <c r="B6048" s="1">
        <v>45958</v>
      </c>
      <c r="C6048" t="s">
        <v>66</v>
      </c>
      <c r="D6048">
        <v>44</v>
      </c>
      <c r="E6048" t="s">
        <v>70</v>
      </c>
      <c r="F6048" t="s">
        <v>92</v>
      </c>
      <c r="G6048" t="s">
        <v>20</v>
      </c>
      <c r="H6048" t="s">
        <v>211</v>
      </c>
      <c r="I6048">
        <v>16177</v>
      </c>
      <c r="J6048">
        <v>15843</v>
      </c>
    </row>
    <row r="6049" spans="1:10" x14ac:dyDescent="0.3">
      <c r="A6049" t="s">
        <v>6176</v>
      </c>
      <c r="B6049" s="1">
        <v>45786</v>
      </c>
      <c r="C6049" t="s">
        <v>90</v>
      </c>
      <c r="D6049">
        <v>19</v>
      </c>
      <c r="E6049" t="s">
        <v>18</v>
      </c>
      <c r="F6049" t="s">
        <v>92</v>
      </c>
      <c r="G6049" t="s">
        <v>72</v>
      </c>
      <c r="H6049" t="s">
        <v>21</v>
      </c>
      <c r="I6049">
        <v>19179</v>
      </c>
      <c r="J6049">
        <v>18029</v>
      </c>
    </row>
    <row r="6050" spans="1:10" x14ac:dyDescent="0.3">
      <c r="A6050" t="s">
        <v>6177</v>
      </c>
      <c r="B6050" s="1">
        <v>45685</v>
      </c>
      <c r="C6050" t="s">
        <v>17</v>
      </c>
      <c r="D6050">
        <v>5</v>
      </c>
      <c r="E6050" t="s">
        <v>12</v>
      </c>
      <c r="F6050" t="s">
        <v>13</v>
      </c>
      <c r="G6050" t="s">
        <v>224</v>
      </c>
      <c r="H6050" t="s">
        <v>155</v>
      </c>
      <c r="I6050">
        <v>26734</v>
      </c>
      <c r="J6050">
        <v>21351</v>
      </c>
    </row>
    <row r="6051" spans="1:10" x14ac:dyDescent="0.3">
      <c r="A6051" t="s">
        <v>6178</v>
      </c>
      <c r="B6051" s="1">
        <v>45760</v>
      </c>
      <c r="C6051" t="s">
        <v>86</v>
      </c>
      <c r="D6051">
        <v>15</v>
      </c>
      <c r="E6051" t="s">
        <v>33</v>
      </c>
      <c r="F6051" t="s">
        <v>29</v>
      </c>
      <c r="G6051" t="s">
        <v>326</v>
      </c>
      <c r="H6051" t="s">
        <v>163</v>
      </c>
      <c r="I6051">
        <v>15429</v>
      </c>
      <c r="J6051">
        <v>13058</v>
      </c>
    </row>
    <row r="6052" spans="1:10" x14ac:dyDescent="0.3">
      <c r="A6052" t="s">
        <v>6179</v>
      </c>
      <c r="B6052" s="1">
        <v>45675</v>
      </c>
      <c r="C6052" t="s">
        <v>17</v>
      </c>
      <c r="D6052">
        <v>3</v>
      </c>
      <c r="E6052" t="s">
        <v>12</v>
      </c>
      <c r="F6052" t="s">
        <v>109</v>
      </c>
      <c r="G6052" t="s">
        <v>132</v>
      </c>
      <c r="H6052" t="s">
        <v>31</v>
      </c>
      <c r="I6052">
        <v>17521</v>
      </c>
      <c r="J6052">
        <v>13137</v>
      </c>
    </row>
    <row r="6053" spans="1:10" x14ac:dyDescent="0.3">
      <c r="A6053" t="s">
        <v>6180</v>
      </c>
      <c r="B6053" s="1">
        <v>46012</v>
      </c>
      <c r="C6053" t="s">
        <v>100</v>
      </c>
      <c r="D6053">
        <v>51</v>
      </c>
      <c r="E6053" t="s">
        <v>33</v>
      </c>
      <c r="F6053" t="s">
        <v>29</v>
      </c>
      <c r="G6053" t="s">
        <v>79</v>
      </c>
      <c r="H6053" t="s">
        <v>133</v>
      </c>
      <c r="I6053">
        <v>21300</v>
      </c>
      <c r="J6053">
        <v>24055</v>
      </c>
    </row>
    <row r="6054" spans="1:10" x14ac:dyDescent="0.3">
      <c r="A6054" t="s">
        <v>6181</v>
      </c>
      <c r="B6054" s="1">
        <v>45938</v>
      </c>
      <c r="C6054" t="s">
        <v>66</v>
      </c>
      <c r="D6054">
        <v>41</v>
      </c>
      <c r="E6054" t="s">
        <v>70</v>
      </c>
      <c r="F6054" t="s">
        <v>101</v>
      </c>
      <c r="G6054" t="s">
        <v>115</v>
      </c>
      <c r="H6054" t="s">
        <v>27</v>
      </c>
      <c r="I6054">
        <v>36185</v>
      </c>
      <c r="J6054">
        <v>38608</v>
      </c>
    </row>
    <row r="6055" spans="1:10" x14ac:dyDescent="0.3">
      <c r="A6055" t="s">
        <v>6182</v>
      </c>
      <c r="B6055" s="1">
        <v>45724</v>
      </c>
      <c r="C6055" t="s">
        <v>95</v>
      </c>
      <c r="D6055">
        <v>10</v>
      </c>
      <c r="E6055" t="s">
        <v>39</v>
      </c>
      <c r="F6055" t="s">
        <v>57</v>
      </c>
      <c r="G6055" t="s">
        <v>30</v>
      </c>
      <c r="H6055" t="s">
        <v>55</v>
      </c>
      <c r="I6055">
        <v>28628</v>
      </c>
      <c r="J6055">
        <v>27747</v>
      </c>
    </row>
    <row r="6056" spans="1:10" x14ac:dyDescent="0.3">
      <c r="A6056" t="s">
        <v>6183</v>
      </c>
      <c r="B6056" s="1">
        <v>45931</v>
      </c>
      <c r="C6056" t="s">
        <v>66</v>
      </c>
      <c r="D6056">
        <v>40</v>
      </c>
      <c r="E6056" t="s">
        <v>61</v>
      </c>
      <c r="F6056" t="s">
        <v>78</v>
      </c>
      <c r="G6056" t="s">
        <v>266</v>
      </c>
      <c r="H6056" t="s">
        <v>211</v>
      </c>
      <c r="I6056">
        <v>29472</v>
      </c>
      <c r="J6056">
        <v>20996</v>
      </c>
    </row>
    <row r="6057" spans="1:10" x14ac:dyDescent="0.3">
      <c r="A6057" t="s">
        <v>6184</v>
      </c>
      <c r="B6057" s="1">
        <v>45903</v>
      </c>
      <c r="C6057" t="s">
        <v>38</v>
      </c>
      <c r="D6057">
        <v>36</v>
      </c>
      <c r="E6057" t="s">
        <v>61</v>
      </c>
      <c r="F6057" t="s">
        <v>140</v>
      </c>
      <c r="G6057" t="s">
        <v>240</v>
      </c>
      <c r="H6057" t="s">
        <v>55</v>
      </c>
      <c r="I6057">
        <v>33230</v>
      </c>
      <c r="J6057">
        <v>26227</v>
      </c>
    </row>
    <row r="6058" spans="1:10" x14ac:dyDescent="0.3">
      <c r="A6058" t="s">
        <v>6185</v>
      </c>
      <c r="B6058" s="1">
        <v>45980</v>
      </c>
      <c r="C6058" t="s">
        <v>23</v>
      </c>
      <c r="D6058">
        <v>47</v>
      </c>
      <c r="E6058" t="s">
        <v>33</v>
      </c>
      <c r="F6058" t="s">
        <v>62</v>
      </c>
      <c r="G6058" t="s">
        <v>79</v>
      </c>
      <c r="H6058" t="s">
        <v>116</v>
      </c>
      <c r="I6058">
        <v>25296</v>
      </c>
      <c r="J6058">
        <v>31214</v>
      </c>
    </row>
    <row r="6059" spans="1:10" x14ac:dyDescent="0.3">
      <c r="A6059" t="s">
        <v>6186</v>
      </c>
      <c r="B6059" s="1">
        <v>45966</v>
      </c>
      <c r="C6059" t="s">
        <v>23</v>
      </c>
      <c r="D6059">
        <v>45</v>
      </c>
      <c r="E6059" t="s">
        <v>33</v>
      </c>
      <c r="F6059" t="s">
        <v>109</v>
      </c>
      <c r="G6059" t="s">
        <v>107</v>
      </c>
      <c r="H6059" t="s">
        <v>165</v>
      </c>
      <c r="I6059">
        <v>16108</v>
      </c>
      <c r="J6059">
        <v>15956</v>
      </c>
    </row>
    <row r="6060" spans="1:10" x14ac:dyDescent="0.3">
      <c r="A6060" t="s">
        <v>6187</v>
      </c>
      <c r="B6060" s="1">
        <v>45700</v>
      </c>
      <c r="C6060" t="s">
        <v>82</v>
      </c>
      <c r="D6060">
        <v>7</v>
      </c>
      <c r="E6060" t="s">
        <v>61</v>
      </c>
      <c r="F6060" t="s">
        <v>25</v>
      </c>
      <c r="G6060" t="s">
        <v>266</v>
      </c>
      <c r="H6060" t="s">
        <v>163</v>
      </c>
      <c r="I6060">
        <v>33808</v>
      </c>
      <c r="J6060">
        <v>25837</v>
      </c>
    </row>
    <row r="6061" spans="1:10" x14ac:dyDescent="0.3">
      <c r="A6061" t="s">
        <v>6188</v>
      </c>
      <c r="B6061" s="1">
        <v>45729</v>
      </c>
      <c r="C6061" t="s">
        <v>95</v>
      </c>
      <c r="D6061">
        <v>11</v>
      </c>
      <c r="E6061" t="s">
        <v>24</v>
      </c>
      <c r="F6061" t="s">
        <v>109</v>
      </c>
      <c r="G6061" t="s">
        <v>234</v>
      </c>
      <c r="H6061" t="s">
        <v>80</v>
      </c>
      <c r="I6061">
        <v>16565</v>
      </c>
      <c r="J6061">
        <v>21431</v>
      </c>
    </row>
    <row r="6062" spans="1:10" x14ac:dyDescent="0.3">
      <c r="A6062" t="s">
        <v>6189</v>
      </c>
      <c r="B6062" s="1">
        <v>45893</v>
      </c>
      <c r="C6062" t="s">
        <v>113</v>
      </c>
      <c r="D6062">
        <v>34</v>
      </c>
      <c r="E6062" t="s">
        <v>39</v>
      </c>
      <c r="F6062" t="s">
        <v>122</v>
      </c>
      <c r="G6062" t="s">
        <v>160</v>
      </c>
      <c r="H6062" t="s">
        <v>80</v>
      </c>
      <c r="I6062">
        <v>34941</v>
      </c>
      <c r="J6062">
        <v>25990</v>
      </c>
    </row>
    <row r="6063" spans="1:10" x14ac:dyDescent="0.3">
      <c r="A6063" t="s">
        <v>6190</v>
      </c>
      <c r="B6063" s="1">
        <v>45658</v>
      </c>
      <c r="C6063" t="s">
        <v>17</v>
      </c>
      <c r="D6063">
        <v>1</v>
      </c>
      <c r="E6063" t="s">
        <v>39</v>
      </c>
      <c r="F6063" t="s">
        <v>57</v>
      </c>
      <c r="G6063" t="s">
        <v>118</v>
      </c>
      <c r="H6063" t="s">
        <v>84</v>
      </c>
      <c r="I6063">
        <v>33370</v>
      </c>
      <c r="J6063">
        <v>38836</v>
      </c>
    </row>
    <row r="6064" spans="1:10" x14ac:dyDescent="0.3">
      <c r="A6064" t="s">
        <v>6191</v>
      </c>
      <c r="B6064" s="1">
        <v>46022</v>
      </c>
      <c r="C6064" t="s">
        <v>100</v>
      </c>
      <c r="D6064">
        <v>1</v>
      </c>
      <c r="E6064" t="s">
        <v>24</v>
      </c>
      <c r="F6064" t="s">
        <v>19</v>
      </c>
      <c r="G6064" t="s">
        <v>132</v>
      </c>
      <c r="H6064" t="s">
        <v>31</v>
      </c>
      <c r="I6064">
        <v>31514</v>
      </c>
      <c r="J6064">
        <v>33699</v>
      </c>
    </row>
    <row r="6065" spans="1:10" x14ac:dyDescent="0.3">
      <c r="A6065" t="s">
        <v>6192</v>
      </c>
      <c r="B6065" s="1">
        <v>45860</v>
      </c>
      <c r="C6065" t="s">
        <v>11</v>
      </c>
      <c r="D6065">
        <v>30</v>
      </c>
      <c r="E6065" t="s">
        <v>12</v>
      </c>
      <c r="F6065" t="s">
        <v>78</v>
      </c>
      <c r="G6065" t="s">
        <v>171</v>
      </c>
      <c r="H6065" t="s">
        <v>133</v>
      </c>
      <c r="I6065">
        <v>26418</v>
      </c>
      <c r="J6065">
        <v>31330</v>
      </c>
    </row>
    <row r="6066" spans="1:10" x14ac:dyDescent="0.3">
      <c r="A6066" t="s">
        <v>6193</v>
      </c>
      <c r="B6066" s="1">
        <v>46000</v>
      </c>
      <c r="C6066" t="s">
        <v>100</v>
      </c>
      <c r="D6066">
        <v>50</v>
      </c>
      <c r="E6066" t="s">
        <v>33</v>
      </c>
      <c r="F6066" t="s">
        <v>57</v>
      </c>
      <c r="G6066" t="s">
        <v>234</v>
      </c>
      <c r="H6066" t="s">
        <v>21</v>
      </c>
      <c r="I6066">
        <v>17279</v>
      </c>
      <c r="J6066">
        <v>20631</v>
      </c>
    </row>
    <row r="6067" spans="1:10" x14ac:dyDescent="0.3">
      <c r="A6067" t="s">
        <v>6194</v>
      </c>
      <c r="B6067" s="1">
        <v>45667</v>
      </c>
      <c r="C6067" t="s">
        <v>17</v>
      </c>
      <c r="D6067">
        <v>2</v>
      </c>
      <c r="E6067" t="s">
        <v>39</v>
      </c>
      <c r="F6067" t="s">
        <v>92</v>
      </c>
      <c r="G6067" t="s">
        <v>145</v>
      </c>
      <c r="H6067" t="s">
        <v>36</v>
      </c>
      <c r="I6067">
        <v>22799</v>
      </c>
      <c r="J6067">
        <v>22084</v>
      </c>
    </row>
    <row r="6068" spans="1:10" x14ac:dyDescent="0.3">
      <c r="A6068" t="s">
        <v>6195</v>
      </c>
      <c r="B6068" s="1">
        <v>46004</v>
      </c>
      <c r="C6068" t="s">
        <v>100</v>
      </c>
      <c r="D6068">
        <v>50</v>
      </c>
      <c r="E6068" t="s">
        <v>24</v>
      </c>
      <c r="F6068" t="s">
        <v>50</v>
      </c>
      <c r="G6068" t="s">
        <v>47</v>
      </c>
      <c r="H6068" t="s">
        <v>31</v>
      </c>
      <c r="I6068">
        <v>25311</v>
      </c>
      <c r="J6068">
        <v>22394</v>
      </c>
    </row>
    <row r="6069" spans="1:10" x14ac:dyDescent="0.3">
      <c r="A6069" t="s">
        <v>6196</v>
      </c>
      <c r="B6069" s="1">
        <v>45658</v>
      </c>
      <c r="C6069" t="s">
        <v>17</v>
      </c>
      <c r="D6069">
        <v>1</v>
      </c>
      <c r="E6069" t="s">
        <v>24</v>
      </c>
      <c r="F6069" t="s">
        <v>193</v>
      </c>
      <c r="G6069" t="s">
        <v>147</v>
      </c>
      <c r="H6069" t="s">
        <v>103</v>
      </c>
      <c r="I6069">
        <v>28515</v>
      </c>
      <c r="J6069">
        <v>27397</v>
      </c>
    </row>
    <row r="6070" spans="1:10" x14ac:dyDescent="0.3">
      <c r="A6070" t="s">
        <v>6197</v>
      </c>
      <c r="B6070" s="1">
        <v>45875</v>
      </c>
      <c r="C6070" t="s">
        <v>113</v>
      </c>
      <c r="D6070">
        <v>32</v>
      </c>
      <c r="E6070" t="s">
        <v>70</v>
      </c>
      <c r="F6070" t="s">
        <v>62</v>
      </c>
      <c r="G6070" t="s">
        <v>126</v>
      </c>
      <c r="H6070" t="s">
        <v>41</v>
      </c>
      <c r="I6070">
        <v>15421</v>
      </c>
      <c r="J6070">
        <v>19850</v>
      </c>
    </row>
    <row r="6071" spans="1:10" x14ac:dyDescent="0.3">
      <c r="A6071" t="s">
        <v>6198</v>
      </c>
      <c r="B6071" s="1">
        <v>45958</v>
      </c>
      <c r="C6071" t="s">
        <v>66</v>
      </c>
      <c r="D6071">
        <v>44</v>
      </c>
      <c r="E6071" t="s">
        <v>70</v>
      </c>
      <c r="F6071" t="s">
        <v>78</v>
      </c>
      <c r="G6071" t="s">
        <v>51</v>
      </c>
      <c r="H6071" t="s">
        <v>133</v>
      </c>
      <c r="I6071">
        <v>25405</v>
      </c>
      <c r="J6071">
        <v>29727</v>
      </c>
    </row>
    <row r="6072" spans="1:10" x14ac:dyDescent="0.3">
      <c r="A6072" t="s">
        <v>6199</v>
      </c>
      <c r="B6072" s="1">
        <v>45971</v>
      </c>
      <c r="C6072" t="s">
        <v>23</v>
      </c>
      <c r="D6072">
        <v>46</v>
      </c>
      <c r="E6072" t="s">
        <v>61</v>
      </c>
      <c r="F6072" t="s">
        <v>25</v>
      </c>
      <c r="G6072" t="s">
        <v>224</v>
      </c>
      <c r="H6072" t="s">
        <v>98</v>
      </c>
      <c r="I6072">
        <v>34705</v>
      </c>
      <c r="J6072">
        <v>26844</v>
      </c>
    </row>
    <row r="6073" spans="1:10" x14ac:dyDescent="0.3">
      <c r="A6073" t="s">
        <v>6200</v>
      </c>
      <c r="B6073" s="1">
        <v>45983</v>
      </c>
      <c r="C6073" t="s">
        <v>23</v>
      </c>
      <c r="D6073">
        <v>47</v>
      </c>
      <c r="E6073" t="s">
        <v>18</v>
      </c>
      <c r="F6073" t="s">
        <v>29</v>
      </c>
      <c r="G6073" t="s">
        <v>182</v>
      </c>
      <c r="H6073" t="s">
        <v>151</v>
      </c>
      <c r="I6073">
        <v>22212</v>
      </c>
      <c r="J6073">
        <v>16903</v>
      </c>
    </row>
    <row r="6074" spans="1:10" x14ac:dyDescent="0.3">
      <c r="A6074" t="s">
        <v>6201</v>
      </c>
      <c r="B6074" s="1">
        <v>45689</v>
      </c>
      <c r="C6074" t="s">
        <v>82</v>
      </c>
      <c r="D6074">
        <v>5</v>
      </c>
      <c r="E6074" t="s">
        <v>70</v>
      </c>
      <c r="F6074" t="s">
        <v>25</v>
      </c>
      <c r="G6074" t="s">
        <v>132</v>
      </c>
      <c r="H6074" t="s">
        <v>84</v>
      </c>
      <c r="I6074">
        <v>34746</v>
      </c>
      <c r="J6074">
        <v>42511</v>
      </c>
    </row>
    <row r="6075" spans="1:10" x14ac:dyDescent="0.3">
      <c r="A6075" t="s">
        <v>6202</v>
      </c>
      <c r="B6075" s="1">
        <v>45815</v>
      </c>
      <c r="C6075" t="s">
        <v>74</v>
      </c>
      <c r="D6075">
        <v>23</v>
      </c>
      <c r="E6075" t="s">
        <v>12</v>
      </c>
      <c r="F6075" t="s">
        <v>109</v>
      </c>
      <c r="G6075" t="s">
        <v>224</v>
      </c>
      <c r="H6075" t="s">
        <v>119</v>
      </c>
      <c r="I6075">
        <v>15878</v>
      </c>
      <c r="J6075">
        <v>13002</v>
      </c>
    </row>
    <row r="6076" spans="1:10" x14ac:dyDescent="0.3">
      <c r="A6076" t="s">
        <v>6203</v>
      </c>
      <c r="B6076" s="1">
        <v>45811</v>
      </c>
      <c r="C6076" t="s">
        <v>74</v>
      </c>
      <c r="D6076">
        <v>23</v>
      </c>
      <c r="E6076" t="s">
        <v>12</v>
      </c>
      <c r="F6076" t="s">
        <v>43</v>
      </c>
      <c r="G6076" t="s">
        <v>201</v>
      </c>
      <c r="H6076" t="s">
        <v>68</v>
      </c>
      <c r="I6076">
        <v>15183</v>
      </c>
      <c r="J6076">
        <v>16102</v>
      </c>
    </row>
    <row r="6077" spans="1:10" x14ac:dyDescent="0.3">
      <c r="A6077" t="s">
        <v>6204</v>
      </c>
      <c r="B6077" s="1">
        <v>45820</v>
      </c>
      <c r="C6077" t="s">
        <v>74</v>
      </c>
      <c r="D6077">
        <v>24</v>
      </c>
      <c r="E6077" t="s">
        <v>24</v>
      </c>
      <c r="F6077" t="s">
        <v>46</v>
      </c>
      <c r="G6077" t="s">
        <v>135</v>
      </c>
      <c r="H6077" t="s">
        <v>116</v>
      </c>
      <c r="I6077">
        <v>23467</v>
      </c>
      <c r="J6077">
        <v>29671</v>
      </c>
    </row>
    <row r="6078" spans="1:10" x14ac:dyDescent="0.3">
      <c r="A6078" t="s">
        <v>6205</v>
      </c>
      <c r="B6078" s="1">
        <v>45790</v>
      </c>
      <c r="C6078" t="s">
        <v>90</v>
      </c>
      <c r="D6078">
        <v>20</v>
      </c>
      <c r="E6078" t="s">
        <v>33</v>
      </c>
      <c r="F6078" t="s">
        <v>92</v>
      </c>
      <c r="G6078" t="s">
        <v>132</v>
      </c>
      <c r="H6078" t="s">
        <v>163</v>
      </c>
      <c r="I6078">
        <v>27221</v>
      </c>
      <c r="J6078">
        <v>34059</v>
      </c>
    </row>
    <row r="6079" spans="1:10" x14ac:dyDescent="0.3">
      <c r="A6079" t="s">
        <v>6206</v>
      </c>
      <c r="B6079" s="1">
        <v>45909</v>
      </c>
      <c r="C6079" t="s">
        <v>38</v>
      </c>
      <c r="D6079">
        <v>37</v>
      </c>
      <c r="E6079" t="s">
        <v>12</v>
      </c>
      <c r="F6079" t="s">
        <v>101</v>
      </c>
      <c r="G6079" t="s">
        <v>72</v>
      </c>
      <c r="H6079" t="s">
        <v>21</v>
      </c>
      <c r="I6079">
        <v>36865</v>
      </c>
      <c r="J6079">
        <v>26269</v>
      </c>
    </row>
    <row r="6080" spans="1:10" x14ac:dyDescent="0.3">
      <c r="A6080" t="s">
        <v>6207</v>
      </c>
      <c r="B6080" s="1">
        <v>45785</v>
      </c>
      <c r="C6080" t="s">
        <v>90</v>
      </c>
      <c r="D6080">
        <v>19</v>
      </c>
      <c r="E6080" t="s">
        <v>12</v>
      </c>
      <c r="F6080" t="s">
        <v>46</v>
      </c>
      <c r="G6080" t="s">
        <v>253</v>
      </c>
      <c r="H6080" t="s">
        <v>165</v>
      </c>
      <c r="I6080">
        <v>25526</v>
      </c>
      <c r="J6080">
        <v>21394</v>
      </c>
    </row>
    <row r="6081" spans="1:10" x14ac:dyDescent="0.3">
      <c r="A6081" t="s">
        <v>6208</v>
      </c>
      <c r="B6081" s="1">
        <v>45725</v>
      </c>
      <c r="C6081" t="s">
        <v>95</v>
      </c>
      <c r="D6081">
        <v>10</v>
      </c>
      <c r="E6081" t="s">
        <v>39</v>
      </c>
      <c r="F6081" t="s">
        <v>101</v>
      </c>
      <c r="G6081" t="s">
        <v>182</v>
      </c>
      <c r="H6081" t="s">
        <v>123</v>
      </c>
      <c r="I6081">
        <v>31260</v>
      </c>
      <c r="J6081">
        <v>35107</v>
      </c>
    </row>
    <row r="6082" spans="1:10" x14ac:dyDescent="0.3">
      <c r="A6082" t="s">
        <v>6209</v>
      </c>
      <c r="B6082" s="1">
        <v>45802</v>
      </c>
      <c r="C6082" t="s">
        <v>90</v>
      </c>
      <c r="D6082">
        <v>21</v>
      </c>
      <c r="E6082" t="s">
        <v>61</v>
      </c>
      <c r="F6082" t="s">
        <v>92</v>
      </c>
      <c r="G6082" t="s">
        <v>201</v>
      </c>
      <c r="H6082" t="s">
        <v>36</v>
      </c>
      <c r="I6082">
        <v>39968</v>
      </c>
      <c r="J6082">
        <v>47480</v>
      </c>
    </row>
    <row r="6083" spans="1:10" x14ac:dyDescent="0.3">
      <c r="A6083" t="s">
        <v>6210</v>
      </c>
      <c r="B6083" s="1">
        <v>45906</v>
      </c>
      <c r="C6083" t="s">
        <v>38</v>
      </c>
      <c r="D6083">
        <v>36</v>
      </c>
      <c r="E6083" t="s">
        <v>12</v>
      </c>
      <c r="F6083" t="s">
        <v>109</v>
      </c>
      <c r="G6083" t="s">
        <v>67</v>
      </c>
      <c r="H6083" t="s">
        <v>133</v>
      </c>
      <c r="I6083">
        <v>39825</v>
      </c>
      <c r="J6083">
        <v>42874</v>
      </c>
    </row>
    <row r="6084" spans="1:10" x14ac:dyDescent="0.3">
      <c r="A6084" t="s">
        <v>6211</v>
      </c>
      <c r="B6084" s="1">
        <v>45785</v>
      </c>
      <c r="C6084" t="s">
        <v>90</v>
      </c>
      <c r="D6084">
        <v>19</v>
      </c>
      <c r="E6084" t="s">
        <v>18</v>
      </c>
      <c r="F6084" t="s">
        <v>87</v>
      </c>
      <c r="G6084" t="s">
        <v>130</v>
      </c>
      <c r="H6084" t="s">
        <v>188</v>
      </c>
      <c r="I6084">
        <v>26908</v>
      </c>
      <c r="J6084">
        <v>30031</v>
      </c>
    </row>
    <row r="6085" spans="1:10" x14ac:dyDescent="0.3">
      <c r="A6085" t="s">
        <v>6212</v>
      </c>
      <c r="B6085" s="1">
        <v>46001</v>
      </c>
      <c r="C6085" t="s">
        <v>100</v>
      </c>
      <c r="D6085">
        <v>50</v>
      </c>
      <c r="E6085" t="s">
        <v>39</v>
      </c>
      <c r="F6085" t="s">
        <v>75</v>
      </c>
      <c r="G6085" t="s">
        <v>44</v>
      </c>
      <c r="H6085" t="s">
        <v>68</v>
      </c>
      <c r="I6085">
        <v>19167</v>
      </c>
      <c r="J6085">
        <v>21210</v>
      </c>
    </row>
    <row r="6086" spans="1:10" x14ac:dyDescent="0.3">
      <c r="A6086" t="s">
        <v>6213</v>
      </c>
      <c r="B6086" s="1">
        <v>45962</v>
      </c>
      <c r="C6086" t="s">
        <v>23</v>
      </c>
      <c r="D6086">
        <v>44</v>
      </c>
      <c r="E6086" t="s">
        <v>24</v>
      </c>
      <c r="F6086" t="s">
        <v>101</v>
      </c>
      <c r="G6086" t="s">
        <v>40</v>
      </c>
      <c r="H6086" t="s">
        <v>84</v>
      </c>
      <c r="I6086">
        <v>23178</v>
      </c>
      <c r="J6086">
        <v>23031</v>
      </c>
    </row>
    <row r="6087" spans="1:10" x14ac:dyDescent="0.3">
      <c r="A6087" t="s">
        <v>6214</v>
      </c>
      <c r="B6087" s="1">
        <v>45829</v>
      </c>
      <c r="C6087" t="s">
        <v>74</v>
      </c>
      <c r="D6087">
        <v>25</v>
      </c>
      <c r="E6087" t="s">
        <v>18</v>
      </c>
      <c r="F6087" t="s">
        <v>87</v>
      </c>
      <c r="G6087" t="s">
        <v>115</v>
      </c>
      <c r="H6087" t="s">
        <v>103</v>
      </c>
      <c r="I6087">
        <v>22072</v>
      </c>
      <c r="J6087">
        <v>27843</v>
      </c>
    </row>
    <row r="6088" spans="1:10" x14ac:dyDescent="0.3">
      <c r="A6088" t="s">
        <v>6215</v>
      </c>
      <c r="B6088" s="1">
        <v>45820</v>
      </c>
      <c r="C6088" t="s">
        <v>74</v>
      </c>
      <c r="D6088">
        <v>24</v>
      </c>
      <c r="E6088" t="s">
        <v>18</v>
      </c>
      <c r="F6088" t="s">
        <v>50</v>
      </c>
      <c r="G6088" t="s">
        <v>88</v>
      </c>
      <c r="H6088" t="s">
        <v>64</v>
      </c>
      <c r="I6088">
        <v>15340</v>
      </c>
      <c r="J6088">
        <v>12406</v>
      </c>
    </row>
    <row r="6089" spans="1:10" x14ac:dyDescent="0.3">
      <c r="A6089" t="s">
        <v>6216</v>
      </c>
      <c r="B6089" s="1">
        <v>45929</v>
      </c>
      <c r="C6089" t="s">
        <v>38</v>
      </c>
      <c r="D6089">
        <v>40</v>
      </c>
      <c r="E6089" t="s">
        <v>39</v>
      </c>
      <c r="F6089" t="s">
        <v>122</v>
      </c>
      <c r="G6089" t="s">
        <v>115</v>
      </c>
      <c r="H6089" t="s">
        <v>116</v>
      </c>
      <c r="I6089">
        <v>37222</v>
      </c>
      <c r="J6089">
        <v>30119</v>
      </c>
    </row>
    <row r="6090" spans="1:10" x14ac:dyDescent="0.3">
      <c r="A6090" t="s">
        <v>6217</v>
      </c>
      <c r="B6090" s="1">
        <v>45719</v>
      </c>
      <c r="C6090" t="s">
        <v>95</v>
      </c>
      <c r="D6090">
        <v>10</v>
      </c>
      <c r="E6090" t="s">
        <v>24</v>
      </c>
      <c r="F6090" t="s">
        <v>19</v>
      </c>
      <c r="G6090" t="s">
        <v>145</v>
      </c>
      <c r="H6090" t="s">
        <v>27</v>
      </c>
      <c r="I6090">
        <v>37758</v>
      </c>
      <c r="J6090">
        <v>45188</v>
      </c>
    </row>
    <row r="6091" spans="1:10" x14ac:dyDescent="0.3">
      <c r="A6091" t="s">
        <v>6218</v>
      </c>
      <c r="B6091" s="1">
        <v>45888</v>
      </c>
      <c r="C6091" t="s">
        <v>113</v>
      </c>
      <c r="D6091">
        <v>34</v>
      </c>
      <c r="E6091" t="s">
        <v>33</v>
      </c>
      <c r="F6091" t="s">
        <v>43</v>
      </c>
      <c r="G6091" t="s">
        <v>182</v>
      </c>
      <c r="H6091" t="s">
        <v>243</v>
      </c>
      <c r="I6091">
        <v>22016</v>
      </c>
      <c r="J6091">
        <v>27473</v>
      </c>
    </row>
    <row r="6092" spans="1:10" x14ac:dyDescent="0.3">
      <c r="A6092" t="s">
        <v>6219</v>
      </c>
      <c r="B6092" s="1">
        <v>45848</v>
      </c>
      <c r="C6092" t="s">
        <v>11</v>
      </c>
      <c r="D6092">
        <v>28</v>
      </c>
      <c r="E6092" t="s">
        <v>70</v>
      </c>
      <c r="F6092" t="s">
        <v>114</v>
      </c>
      <c r="G6092" t="s">
        <v>115</v>
      </c>
      <c r="H6092" t="s">
        <v>48</v>
      </c>
      <c r="I6092">
        <v>37911</v>
      </c>
      <c r="J6092">
        <v>46730</v>
      </c>
    </row>
    <row r="6093" spans="1:10" x14ac:dyDescent="0.3">
      <c r="A6093" t="s">
        <v>6220</v>
      </c>
      <c r="B6093" s="1">
        <v>45995</v>
      </c>
      <c r="C6093" t="s">
        <v>100</v>
      </c>
      <c r="D6093">
        <v>49</v>
      </c>
      <c r="E6093" t="s">
        <v>12</v>
      </c>
      <c r="F6093" t="s">
        <v>34</v>
      </c>
      <c r="G6093" t="s">
        <v>83</v>
      </c>
      <c r="H6093" t="s">
        <v>80</v>
      </c>
      <c r="I6093">
        <v>15645</v>
      </c>
      <c r="J6093">
        <v>14941</v>
      </c>
    </row>
    <row r="6094" spans="1:10" x14ac:dyDescent="0.3">
      <c r="A6094" t="s">
        <v>6221</v>
      </c>
      <c r="B6094" s="1">
        <v>45700</v>
      </c>
      <c r="C6094" t="s">
        <v>82</v>
      </c>
      <c r="D6094">
        <v>7</v>
      </c>
      <c r="E6094" t="s">
        <v>12</v>
      </c>
      <c r="F6094" t="s">
        <v>114</v>
      </c>
      <c r="G6094" t="s">
        <v>107</v>
      </c>
      <c r="H6094" t="s">
        <v>165</v>
      </c>
      <c r="I6094">
        <v>22769</v>
      </c>
      <c r="J6094">
        <v>17088</v>
      </c>
    </row>
    <row r="6095" spans="1:10" x14ac:dyDescent="0.3">
      <c r="A6095" t="s">
        <v>6222</v>
      </c>
      <c r="B6095" s="1">
        <v>45660</v>
      </c>
      <c r="C6095" t="s">
        <v>17</v>
      </c>
      <c r="D6095">
        <v>1</v>
      </c>
      <c r="E6095" t="s">
        <v>24</v>
      </c>
      <c r="F6095" t="s">
        <v>193</v>
      </c>
      <c r="G6095" t="s">
        <v>35</v>
      </c>
      <c r="H6095" t="s">
        <v>188</v>
      </c>
      <c r="I6095">
        <v>19309</v>
      </c>
      <c r="J6095">
        <v>17694</v>
      </c>
    </row>
    <row r="6096" spans="1:10" x14ac:dyDescent="0.3">
      <c r="A6096" t="s">
        <v>6223</v>
      </c>
      <c r="B6096" s="1">
        <v>45887</v>
      </c>
      <c r="C6096" t="s">
        <v>113</v>
      </c>
      <c r="D6096">
        <v>34</v>
      </c>
      <c r="E6096" t="s">
        <v>70</v>
      </c>
      <c r="F6096" t="s">
        <v>34</v>
      </c>
      <c r="G6096" t="s">
        <v>76</v>
      </c>
      <c r="H6096" t="s">
        <v>119</v>
      </c>
      <c r="I6096">
        <v>24527</v>
      </c>
      <c r="J6096">
        <v>19669</v>
      </c>
    </row>
    <row r="6097" spans="1:10" x14ac:dyDescent="0.3">
      <c r="A6097" t="s">
        <v>6224</v>
      </c>
      <c r="B6097" s="1">
        <v>45900</v>
      </c>
      <c r="C6097" t="s">
        <v>113</v>
      </c>
      <c r="D6097">
        <v>35</v>
      </c>
      <c r="E6097" t="s">
        <v>24</v>
      </c>
      <c r="F6097" t="s">
        <v>78</v>
      </c>
      <c r="G6097" t="s">
        <v>63</v>
      </c>
      <c r="H6097" t="s">
        <v>165</v>
      </c>
      <c r="I6097">
        <v>35890</v>
      </c>
      <c r="J6097">
        <v>34583</v>
      </c>
    </row>
    <row r="6098" spans="1:10" x14ac:dyDescent="0.3">
      <c r="A6098" t="s">
        <v>6225</v>
      </c>
      <c r="B6098" s="1">
        <v>45971</v>
      </c>
      <c r="C6098" t="s">
        <v>23</v>
      </c>
      <c r="D6098">
        <v>46</v>
      </c>
      <c r="E6098" t="s">
        <v>61</v>
      </c>
      <c r="F6098" t="s">
        <v>140</v>
      </c>
      <c r="G6098" t="s">
        <v>145</v>
      </c>
      <c r="H6098" t="s">
        <v>59</v>
      </c>
      <c r="I6098">
        <v>19342</v>
      </c>
      <c r="J6098">
        <v>15135</v>
      </c>
    </row>
    <row r="6099" spans="1:10" x14ac:dyDescent="0.3">
      <c r="A6099" t="s">
        <v>6226</v>
      </c>
      <c r="B6099" s="1">
        <v>45899</v>
      </c>
      <c r="C6099" t="s">
        <v>113</v>
      </c>
      <c r="D6099">
        <v>35</v>
      </c>
      <c r="E6099" t="s">
        <v>18</v>
      </c>
      <c r="F6099" t="s">
        <v>101</v>
      </c>
      <c r="G6099" t="s">
        <v>30</v>
      </c>
      <c r="H6099" t="s">
        <v>68</v>
      </c>
      <c r="I6099">
        <v>17854</v>
      </c>
      <c r="J6099">
        <v>13077</v>
      </c>
    </row>
    <row r="6100" spans="1:10" x14ac:dyDescent="0.3">
      <c r="A6100" t="s">
        <v>6227</v>
      </c>
      <c r="B6100" s="1">
        <v>46004</v>
      </c>
      <c r="C6100" t="s">
        <v>100</v>
      </c>
      <c r="D6100">
        <v>50</v>
      </c>
      <c r="E6100" t="s">
        <v>61</v>
      </c>
      <c r="F6100" t="s">
        <v>50</v>
      </c>
      <c r="G6100" t="s">
        <v>234</v>
      </c>
      <c r="H6100" t="s">
        <v>64</v>
      </c>
      <c r="I6100">
        <v>34509</v>
      </c>
      <c r="J6100">
        <v>28975</v>
      </c>
    </row>
    <row r="6101" spans="1:10" x14ac:dyDescent="0.3">
      <c r="A6101" t="s">
        <v>6228</v>
      </c>
      <c r="B6101" s="1">
        <v>45830</v>
      </c>
      <c r="C6101" t="s">
        <v>74</v>
      </c>
      <c r="D6101">
        <v>25</v>
      </c>
      <c r="E6101" t="s">
        <v>18</v>
      </c>
      <c r="F6101" t="s">
        <v>29</v>
      </c>
      <c r="G6101" t="s">
        <v>206</v>
      </c>
      <c r="H6101" t="s">
        <v>96</v>
      </c>
      <c r="I6101">
        <v>27326</v>
      </c>
      <c r="J6101">
        <v>30486</v>
      </c>
    </row>
    <row r="6102" spans="1:10" x14ac:dyDescent="0.3">
      <c r="A6102" t="s">
        <v>6229</v>
      </c>
      <c r="B6102" s="1">
        <v>45862</v>
      </c>
      <c r="C6102" t="s">
        <v>11</v>
      </c>
      <c r="D6102">
        <v>30</v>
      </c>
      <c r="E6102" t="s">
        <v>18</v>
      </c>
      <c r="F6102" t="s">
        <v>19</v>
      </c>
      <c r="G6102" t="s">
        <v>72</v>
      </c>
      <c r="H6102" t="s">
        <v>119</v>
      </c>
      <c r="I6102">
        <v>18809</v>
      </c>
      <c r="J6102">
        <v>22815</v>
      </c>
    </row>
    <row r="6103" spans="1:10" x14ac:dyDescent="0.3">
      <c r="A6103" t="s">
        <v>6230</v>
      </c>
      <c r="B6103" s="1">
        <v>45866</v>
      </c>
      <c r="C6103" t="s">
        <v>11</v>
      </c>
      <c r="D6103">
        <v>31</v>
      </c>
      <c r="E6103" t="s">
        <v>12</v>
      </c>
      <c r="F6103" t="s">
        <v>140</v>
      </c>
      <c r="G6103" t="s">
        <v>54</v>
      </c>
      <c r="H6103" t="s">
        <v>133</v>
      </c>
      <c r="I6103">
        <v>38017</v>
      </c>
      <c r="J6103">
        <v>37685</v>
      </c>
    </row>
    <row r="6104" spans="1:10" x14ac:dyDescent="0.3">
      <c r="A6104" t="s">
        <v>6231</v>
      </c>
      <c r="B6104" s="1">
        <v>45914</v>
      </c>
      <c r="C6104" t="s">
        <v>38</v>
      </c>
      <c r="D6104">
        <v>37</v>
      </c>
      <c r="E6104" t="s">
        <v>18</v>
      </c>
      <c r="F6104" t="s">
        <v>75</v>
      </c>
      <c r="G6104" t="s">
        <v>47</v>
      </c>
      <c r="H6104" t="s">
        <v>84</v>
      </c>
      <c r="I6104">
        <v>34502</v>
      </c>
      <c r="J6104">
        <v>31403</v>
      </c>
    </row>
    <row r="6105" spans="1:10" x14ac:dyDescent="0.3">
      <c r="A6105" t="s">
        <v>6232</v>
      </c>
      <c r="B6105" s="1">
        <v>45811</v>
      </c>
      <c r="C6105" t="s">
        <v>74</v>
      </c>
      <c r="D6105">
        <v>23</v>
      </c>
      <c r="E6105" t="s">
        <v>70</v>
      </c>
      <c r="F6105" t="s">
        <v>25</v>
      </c>
      <c r="G6105" t="s">
        <v>76</v>
      </c>
      <c r="H6105" t="s">
        <v>116</v>
      </c>
      <c r="I6105">
        <v>37133</v>
      </c>
      <c r="J6105">
        <v>43342</v>
      </c>
    </row>
    <row r="6106" spans="1:10" x14ac:dyDescent="0.3">
      <c r="A6106" t="s">
        <v>6233</v>
      </c>
      <c r="B6106" s="1">
        <v>45926</v>
      </c>
      <c r="C6106" t="s">
        <v>38</v>
      </c>
      <c r="D6106">
        <v>39</v>
      </c>
      <c r="E6106" t="s">
        <v>18</v>
      </c>
      <c r="F6106" t="s">
        <v>46</v>
      </c>
      <c r="G6106" t="s">
        <v>199</v>
      </c>
      <c r="H6106" t="s">
        <v>211</v>
      </c>
      <c r="I6106">
        <v>19021</v>
      </c>
      <c r="J6106">
        <v>14120</v>
      </c>
    </row>
    <row r="6107" spans="1:10" x14ac:dyDescent="0.3">
      <c r="A6107" t="s">
        <v>6234</v>
      </c>
      <c r="B6107" s="1">
        <v>45872</v>
      </c>
      <c r="C6107" t="s">
        <v>113</v>
      </c>
      <c r="D6107">
        <v>31</v>
      </c>
      <c r="E6107" t="s">
        <v>24</v>
      </c>
      <c r="F6107" t="s">
        <v>114</v>
      </c>
      <c r="G6107" t="s">
        <v>130</v>
      </c>
      <c r="H6107" t="s">
        <v>133</v>
      </c>
      <c r="I6107">
        <v>23584</v>
      </c>
      <c r="J6107">
        <v>28990</v>
      </c>
    </row>
    <row r="6108" spans="1:10" x14ac:dyDescent="0.3">
      <c r="A6108" t="s">
        <v>6235</v>
      </c>
      <c r="B6108" s="1">
        <v>45707</v>
      </c>
      <c r="C6108" t="s">
        <v>82</v>
      </c>
      <c r="D6108">
        <v>8</v>
      </c>
      <c r="E6108" t="s">
        <v>39</v>
      </c>
      <c r="F6108" t="s">
        <v>87</v>
      </c>
      <c r="G6108" t="s">
        <v>234</v>
      </c>
      <c r="H6108" t="s">
        <v>15</v>
      </c>
      <c r="I6108">
        <v>30066</v>
      </c>
      <c r="J6108">
        <v>31752</v>
      </c>
    </row>
    <row r="6109" spans="1:10" x14ac:dyDescent="0.3">
      <c r="A6109" t="s">
        <v>6236</v>
      </c>
      <c r="B6109" s="1">
        <v>46019</v>
      </c>
      <c r="C6109" t="s">
        <v>100</v>
      </c>
      <c r="D6109">
        <v>52</v>
      </c>
      <c r="E6109" t="s">
        <v>33</v>
      </c>
      <c r="F6109" t="s">
        <v>109</v>
      </c>
      <c r="G6109" t="s">
        <v>145</v>
      </c>
      <c r="H6109" t="s">
        <v>116</v>
      </c>
      <c r="I6109">
        <v>25037</v>
      </c>
      <c r="J6109">
        <v>22620</v>
      </c>
    </row>
    <row r="6110" spans="1:10" x14ac:dyDescent="0.3">
      <c r="A6110" t="s">
        <v>6237</v>
      </c>
      <c r="B6110" s="1">
        <v>45831</v>
      </c>
      <c r="C6110" t="s">
        <v>74</v>
      </c>
      <c r="D6110">
        <v>26</v>
      </c>
      <c r="E6110" t="s">
        <v>39</v>
      </c>
      <c r="F6110" t="s">
        <v>29</v>
      </c>
      <c r="G6110" t="s">
        <v>44</v>
      </c>
      <c r="H6110" t="s">
        <v>52</v>
      </c>
      <c r="I6110">
        <v>28567</v>
      </c>
      <c r="J6110">
        <v>29310</v>
      </c>
    </row>
    <row r="6111" spans="1:10" x14ac:dyDescent="0.3">
      <c r="A6111" t="s">
        <v>6238</v>
      </c>
      <c r="B6111" s="1">
        <v>45860</v>
      </c>
      <c r="C6111" t="s">
        <v>11</v>
      </c>
      <c r="D6111">
        <v>30</v>
      </c>
      <c r="E6111" t="s">
        <v>12</v>
      </c>
      <c r="F6111" t="s">
        <v>29</v>
      </c>
      <c r="G6111" t="s">
        <v>126</v>
      </c>
      <c r="H6111" t="s">
        <v>68</v>
      </c>
      <c r="I6111">
        <v>24235</v>
      </c>
      <c r="J6111">
        <v>17405</v>
      </c>
    </row>
    <row r="6112" spans="1:10" x14ac:dyDescent="0.3">
      <c r="A6112" t="s">
        <v>6239</v>
      </c>
      <c r="B6112" s="1">
        <v>45999</v>
      </c>
      <c r="C6112" t="s">
        <v>100</v>
      </c>
      <c r="D6112">
        <v>50</v>
      </c>
      <c r="E6112" t="s">
        <v>12</v>
      </c>
      <c r="F6112" t="s">
        <v>29</v>
      </c>
      <c r="G6112" t="s">
        <v>201</v>
      </c>
      <c r="H6112" t="s">
        <v>31</v>
      </c>
      <c r="I6112">
        <v>15364</v>
      </c>
      <c r="J6112">
        <v>16064</v>
      </c>
    </row>
    <row r="6113" spans="1:10" x14ac:dyDescent="0.3">
      <c r="A6113" t="s">
        <v>6240</v>
      </c>
      <c r="B6113" s="1">
        <v>45821</v>
      </c>
      <c r="C6113" t="s">
        <v>74</v>
      </c>
      <c r="D6113">
        <v>24</v>
      </c>
      <c r="E6113" t="s">
        <v>39</v>
      </c>
      <c r="F6113" t="s">
        <v>62</v>
      </c>
      <c r="G6113" t="s">
        <v>54</v>
      </c>
      <c r="H6113" t="s">
        <v>52</v>
      </c>
      <c r="I6113">
        <v>23111</v>
      </c>
      <c r="J6113">
        <v>24463</v>
      </c>
    </row>
    <row r="6114" spans="1:10" x14ac:dyDescent="0.3">
      <c r="A6114" t="s">
        <v>6241</v>
      </c>
      <c r="B6114" s="1">
        <v>45877</v>
      </c>
      <c r="C6114" t="s">
        <v>113</v>
      </c>
      <c r="D6114">
        <v>32</v>
      </c>
      <c r="E6114" t="s">
        <v>24</v>
      </c>
      <c r="F6114" t="s">
        <v>101</v>
      </c>
      <c r="G6114" t="s">
        <v>147</v>
      </c>
      <c r="H6114" t="s">
        <v>188</v>
      </c>
      <c r="I6114">
        <v>20660</v>
      </c>
      <c r="J6114">
        <v>15208</v>
      </c>
    </row>
    <row r="6115" spans="1:10" x14ac:dyDescent="0.3">
      <c r="A6115" t="s">
        <v>6242</v>
      </c>
      <c r="B6115" s="1">
        <v>45745</v>
      </c>
      <c r="C6115" t="s">
        <v>95</v>
      </c>
      <c r="D6115">
        <v>13</v>
      </c>
      <c r="E6115" t="s">
        <v>24</v>
      </c>
      <c r="F6115" t="s">
        <v>34</v>
      </c>
      <c r="G6115" t="s">
        <v>291</v>
      </c>
      <c r="H6115" t="s">
        <v>151</v>
      </c>
      <c r="I6115">
        <v>28597</v>
      </c>
      <c r="J6115">
        <v>21579</v>
      </c>
    </row>
    <row r="6116" spans="1:10" x14ac:dyDescent="0.3">
      <c r="A6116" t="s">
        <v>6243</v>
      </c>
      <c r="B6116" s="1">
        <v>45924</v>
      </c>
      <c r="C6116" t="s">
        <v>38</v>
      </c>
      <c r="D6116">
        <v>39</v>
      </c>
      <c r="E6116" t="s">
        <v>24</v>
      </c>
      <c r="F6116" t="s">
        <v>78</v>
      </c>
      <c r="G6116" t="s">
        <v>182</v>
      </c>
      <c r="H6116" t="s">
        <v>55</v>
      </c>
      <c r="I6116">
        <v>35827</v>
      </c>
      <c r="J6116">
        <v>42423</v>
      </c>
    </row>
    <row r="6117" spans="1:10" x14ac:dyDescent="0.3">
      <c r="A6117" t="s">
        <v>6244</v>
      </c>
      <c r="B6117" s="1">
        <v>45808</v>
      </c>
      <c r="C6117" t="s">
        <v>90</v>
      </c>
      <c r="D6117">
        <v>22</v>
      </c>
      <c r="E6117" t="s">
        <v>70</v>
      </c>
      <c r="F6117" t="s">
        <v>19</v>
      </c>
      <c r="G6117" t="s">
        <v>44</v>
      </c>
      <c r="H6117" t="s">
        <v>116</v>
      </c>
      <c r="I6117">
        <v>21034</v>
      </c>
      <c r="J6117">
        <v>14769</v>
      </c>
    </row>
    <row r="6118" spans="1:10" x14ac:dyDescent="0.3">
      <c r="A6118" t="s">
        <v>6245</v>
      </c>
      <c r="B6118" s="1">
        <v>45915</v>
      </c>
      <c r="C6118" t="s">
        <v>38</v>
      </c>
      <c r="D6118">
        <v>38</v>
      </c>
      <c r="E6118" t="s">
        <v>61</v>
      </c>
      <c r="F6118" t="s">
        <v>13</v>
      </c>
      <c r="G6118" t="s">
        <v>79</v>
      </c>
      <c r="H6118" t="s">
        <v>157</v>
      </c>
      <c r="I6118">
        <v>21664</v>
      </c>
      <c r="J6118">
        <v>27143</v>
      </c>
    </row>
    <row r="6119" spans="1:10" x14ac:dyDescent="0.3">
      <c r="A6119" t="s">
        <v>6246</v>
      </c>
      <c r="B6119" s="1">
        <v>45881</v>
      </c>
      <c r="C6119" t="s">
        <v>113</v>
      </c>
      <c r="D6119">
        <v>33</v>
      </c>
      <c r="E6119" t="s">
        <v>33</v>
      </c>
      <c r="F6119" t="s">
        <v>101</v>
      </c>
      <c r="G6119" t="s">
        <v>141</v>
      </c>
      <c r="H6119" t="s">
        <v>27</v>
      </c>
      <c r="I6119">
        <v>34973</v>
      </c>
      <c r="J6119">
        <v>32066</v>
      </c>
    </row>
    <row r="6120" spans="1:10" x14ac:dyDescent="0.3">
      <c r="A6120" t="s">
        <v>6247</v>
      </c>
      <c r="B6120" s="1">
        <v>45871</v>
      </c>
      <c r="C6120" t="s">
        <v>113</v>
      </c>
      <c r="D6120">
        <v>31</v>
      </c>
      <c r="E6120" t="s">
        <v>18</v>
      </c>
      <c r="F6120" t="s">
        <v>46</v>
      </c>
      <c r="G6120" t="s">
        <v>93</v>
      </c>
      <c r="H6120" t="s">
        <v>119</v>
      </c>
      <c r="I6120">
        <v>34881</v>
      </c>
      <c r="J6120">
        <v>36579</v>
      </c>
    </row>
    <row r="6121" spans="1:10" x14ac:dyDescent="0.3">
      <c r="A6121" t="s">
        <v>6248</v>
      </c>
      <c r="B6121" s="1">
        <v>45749</v>
      </c>
      <c r="C6121" t="s">
        <v>86</v>
      </c>
      <c r="D6121">
        <v>14</v>
      </c>
      <c r="E6121" t="s">
        <v>61</v>
      </c>
      <c r="F6121" t="s">
        <v>75</v>
      </c>
      <c r="G6121" t="s">
        <v>102</v>
      </c>
      <c r="H6121" t="s">
        <v>165</v>
      </c>
      <c r="I6121">
        <v>16969</v>
      </c>
      <c r="J6121">
        <v>16781</v>
      </c>
    </row>
    <row r="6122" spans="1:10" x14ac:dyDescent="0.3">
      <c r="A6122" t="s">
        <v>6249</v>
      </c>
      <c r="B6122" s="1">
        <v>45861</v>
      </c>
      <c r="C6122" t="s">
        <v>11</v>
      </c>
      <c r="D6122">
        <v>30</v>
      </c>
      <c r="E6122" t="s">
        <v>24</v>
      </c>
      <c r="F6122" t="s">
        <v>92</v>
      </c>
      <c r="G6122" t="s">
        <v>137</v>
      </c>
      <c r="H6122" t="s">
        <v>80</v>
      </c>
      <c r="I6122">
        <v>38815</v>
      </c>
      <c r="J6122">
        <v>31984</v>
      </c>
    </row>
    <row r="6123" spans="1:10" x14ac:dyDescent="0.3">
      <c r="A6123" t="s">
        <v>6250</v>
      </c>
      <c r="B6123" s="1">
        <v>46016</v>
      </c>
      <c r="C6123" t="s">
        <v>100</v>
      </c>
      <c r="D6123">
        <v>52</v>
      </c>
      <c r="E6123" t="s">
        <v>24</v>
      </c>
      <c r="F6123" t="s">
        <v>34</v>
      </c>
      <c r="G6123" t="s">
        <v>240</v>
      </c>
      <c r="H6123" t="s">
        <v>80</v>
      </c>
      <c r="I6123">
        <v>16394</v>
      </c>
      <c r="J6123">
        <v>17022</v>
      </c>
    </row>
    <row r="6124" spans="1:10" x14ac:dyDescent="0.3">
      <c r="A6124" t="s">
        <v>6251</v>
      </c>
      <c r="B6124" s="1">
        <v>45724</v>
      </c>
      <c r="C6124" t="s">
        <v>95</v>
      </c>
      <c r="D6124">
        <v>10</v>
      </c>
      <c r="E6124" t="s">
        <v>24</v>
      </c>
      <c r="F6124" t="s">
        <v>122</v>
      </c>
      <c r="G6124" t="s">
        <v>72</v>
      </c>
      <c r="H6124" t="s">
        <v>98</v>
      </c>
      <c r="I6124">
        <v>33743</v>
      </c>
      <c r="J6124">
        <v>42682</v>
      </c>
    </row>
    <row r="6125" spans="1:10" x14ac:dyDescent="0.3">
      <c r="A6125" t="s">
        <v>6252</v>
      </c>
      <c r="B6125" s="1">
        <v>45962</v>
      </c>
      <c r="C6125" t="s">
        <v>23</v>
      </c>
      <c r="D6125">
        <v>44</v>
      </c>
      <c r="E6125" t="s">
        <v>18</v>
      </c>
      <c r="F6125" t="s">
        <v>92</v>
      </c>
      <c r="G6125" t="s">
        <v>40</v>
      </c>
      <c r="H6125" t="s">
        <v>98</v>
      </c>
      <c r="I6125">
        <v>39023</v>
      </c>
      <c r="J6125">
        <v>47269</v>
      </c>
    </row>
    <row r="6126" spans="1:10" x14ac:dyDescent="0.3">
      <c r="A6126" t="s">
        <v>6253</v>
      </c>
      <c r="B6126" s="1">
        <v>45806</v>
      </c>
      <c r="C6126" t="s">
        <v>90</v>
      </c>
      <c r="D6126">
        <v>22</v>
      </c>
      <c r="E6126" t="s">
        <v>24</v>
      </c>
      <c r="F6126" t="s">
        <v>114</v>
      </c>
      <c r="G6126" t="s">
        <v>291</v>
      </c>
      <c r="H6126" t="s">
        <v>48</v>
      </c>
      <c r="I6126">
        <v>25226</v>
      </c>
      <c r="J6126">
        <v>19694</v>
      </c>
    </row>
    <row r="6127" spans="1:10" x14ac:dyDescent="0.3">
      <c r="A6127" t="s">
        <v>6254</v>
      </c>
      <c r="B6127" s="1">
        <v>45764</v>
      </c>
      <c r="C6127" t="s">
        <v>86</v>
      </c>
      <c r="D6127">
        <v>16</v>
      </c>
      <c r="E6127" t="s">
        <v>61</v>
      </c>
      <c r="F6127" t="s">
        <v>46</v>
      </c>
      <c r="G6127" t="s">
        <v>107</v>
      </c>
      <c r="H6127" t="s">
        <v>80</v>
      </c>
      <c r="I6127">
        <v>20151</v>
      </c>
      <c r="J6127">
        <v>24606</v>
      </c>
    </row>
    <row r="6128" spans="1:10" x14ac:dyDescent="0.3">
      <c r="A6128" t="s">
        <v>6255</v>
      </c>
      <c r="B6128" s="1">
        <v>45746</v>
      </c>
      <c r="C6128" t="s">
        <v>95</v>
      </c>
      <c r="D6128">
        <v>13</v>
      </c>
      <c r="E6128" t="s">
        <v>18</v>
      </c>
      <c r="F6128" t="s">
        <v>193</v>
      </c>
      <c r="G6128" t="s">
        <v>206</v>
      </c>
      <c r="H6128" t="s">
        <v>133</v>
      </c>
      <c r="I6128">
        <v>36987</v>
      </c>
      <c r="J6128">
        <v>45245</v>
      </c>
    </row>
    <row r="6129" spans="1:10" x14ac:dyDescent="0.3">
      <c r="A6129" t="s">
        <v>6256</v>
      </c>
      <c r="B6129" s="1">
        <v>45683</v>
      </c>
      <c r="C6129" t="s">
        <v>17</v>
      </c>
      <c r="D6129">
        <v>4</v>
      </c>
      <c r="E6129" t="s">
        <v>33</v>
      </c>
      <c r="F6129" t="s">
        <v>13</v>
      </c>
      <c r="G6129" t="s">
        <v>182</v>
      </c>
      <c r="H6129" t="s">
        <v>84</v>
      </c>
      <c r="I6129">
        <v>27578</v>
      </c>
      <c r="J6129">
        <v>26936</v>
      </c>
    </row>
    <row r="6130" spans="1:10" x14ac:dyDescent="0.3">
      <c r="A6130" t="s">
        <v>6257</v>
      </c>
      <c r="B6130" s="1">
        <v>45783</v>
      </c>
      <c r="C6130" t="s">
        <v>90</v>
      </c>
      <c r="D6130">
        <v>19</v>
      </c>
      <c r="E6130" t="s">
        <v>24</v>
      </c>
      <c r="F6130" t="s">
        <v>50</v>
      </c>
      <c r="G6130" t="s">
        <v>44</v>
      </c>
      <c r="H6130" t="s">
        <v>96</v>
      </c>
      <c r="I6130">
        <v>36917</v>
      </c>
      <c r="J6130">
        <v>27727</v>
      </c>
    </row>
    <row r="6131" spans="1:10" x14ac:dyDescent="0.3">
      <c r="A6131" t="s">
        <v>6258</v>
      </c>
      <c r="B6131" s="1">
        <v>45867</v>
      </c>
      <c r="C6131" t="s">
        <v>11</v>
      </c>
      <c r="D6131">
        <v>31</v>
      </c>
      <c r="E6131" t="s">
        <v>39</v>
      </c>
      <c r="F6131" t="s">
        <v>34</v>
      </c>
      <c r="G6131" t="s">
        <v>149</v>
      </c>
      <c r="H6131" t="s">
        <v>52</v>
      </c>
      <c r="I6131">
        <v>33582</v>
      </c>
      <c r="J6131">
        <v>32576</v>
      </c>
    </row>
    <row r="6132" spans="1:10" x14ac:dyDescent="0.3">
      <c r="A6132" t="s">
        <v>6259</v>
      </c>
      <c r="B6132" s="1">
        <v>45828</v>
      </c>
      <c r="C6132" t="s">
        <v>74</v>
      </c>
      <c r="D6132">
        <v>25</v>
      </c>
      <c r="E6132" t="s">
        <v>39</v>
      </c>
      <c r="F6132" t="s">
        <v>19</v>
      </c>
      <c r="G6132" t="s">
        <v>88</v>
      </c>
      <c r="H6132" t="s">
        <v>116</v>
      </c>
      <c r="I6132">
        <v>25147</v>
      </c>
      <c r="J6132">
        <v>22830</v>
      </c>
    </row>
    <row r="6133" spans="1:10" x14ac:dyDescent="0.3">
      <c r="A6133" t="s">
        <v>6260</v>
      </c>
      <c r="B6133" s="1">
        <v>45950</v>
      </c>
      <c r="C6133" t="s">
        <v>66</v>
      </c>
      <c r="D6133">
        <v>43</v>
      </c>
      <c r="E6133" t="s">
        <v>24</v>
      </c>
      <c r="F6133" t="s">
        <v>122</v>
      </c>
      <c r="G6133" t="s">
        <v>40</v>
      </c>
      <c r="H6133" t="s">
        <v>68</v>
      </c>
      <c r="I6133">
        <v>22626</v>
      </c>
      <c r="J6133">
        <v>17960</v>
      </c>
    </row>
    <row r="6134" spans="1:10" x14ac:dyDescent="0.3">
      <c r="A6134" t="s">
        <v>6261</v>
      </c>
      <c r="B6134" s="1">
        <v>45676</v>
      </c>
      <c r="C6134" t="s">
        <v>17</v>
      </c>
      <c r="D6134">
        <v>3</v>
      </c>
      <c r="E6134" t="s">
        <v>12</v>
      </c>
      <c r="F6134" t="s">
        <v>43</v>
      </c>
      <c r="G6134" t="s">
        <v>102</v>
      </c>
      <c r="H6134" t="s">
        <v>36</v>
      </c>
      <c r="I6134">
        <v>38274</v>
      </c>
      <c r="J6134">
        <v>35041</v>
      </c>
    </row>
    <row r="6135" spans="1:10" x14ac:dyDescent="0.3">
      <c r="A6135" t="s">
        <v>6262</v>
      </c>
      <c r="B6135" s="1">
        <v>45672</v>
      </c>
      <c r="C6135" t="s">
        <v>17</v>
      </c>
      <c r="D6135">
        <v>3</v>
      </c>
      <c r="E6135" t="s">
        <v>12</v>
      </c>
      <c r="F6135" t="s">
        <v>62</v>
      </c>
      <c r="G6135" t="s">
        <v>224</v>
      </c>
      <c r="H6135" t="s">
        <v>165</v>
      </c>
      <c r="I6135">
        <v>34065</v>
      </c>
      <c r="J6135">
        <v>35822</v>
      </c>
    </row>
    <row r="6136" spans="1:10" x14ac:dyDescent="0.3">
      <c r="A6136" t="s">
        <v>6263</v>
      </c>
      <c r="B6136" s="1">
        <v>45674</v>
      </c>
      <c r="C6136" t="s">
        <v>17</v>
      </c>
      <c r="D6136">
        <v>3</v>
      </c>
      <c r="E6136" t="s">
        <v>39</v>
      </c>
      <c r="F6136" t="s">
        <v>193</v>
      </c>
      <c r="G6136" t="s">
        <v>234</v>
      </c>
      <c r="H6136" t="s">
        <v>188</v>
      </c>
      <c r="I6136">
        <v>24286</v>
      </c>
      <c r="J6136">
        <v>23080</v>
      </c>
    </row>
    <row r="6137" spans="1:10" x14ac:dyDescent="0.3">
      <c r="A6137" t="s">
        <v>6264</v>
      </c>
      <c r="B6137" s="1">
        <v>45798</v>
      </c>
      <c r="C6137" t="s">
        <v>90</v>
      </c>
      <c r="D6137">
        <v>21</v>
      </c>
      <c r="E6137" t="s">
        <v>70</v>
      </c>
      <c r="F6137" t="s">
        <v>13</v>
      </c>
      <c r="G6137" t="s">
        <v>199</v>
      </c>
      <c r="H6137" t="s">
        <v>119</v>
      </c>
      <c r="I6137">
        <v>20782</v>
      </c>
      <c r="J6137">
        <v>18847</v>
      </c>
    </row>
    <row r="6138" spans="1:10" x14ac:dyDescent="0.3">
      <c r="A6138" t="s">
        <v>6265</v>
      </c>
      <c r="B6138" s="1">
        <v>45845</v>
      </c>
      <c r="C6138" t="s">
        <v>11</v>
      </c>
      <c r="D6138">
        <v>28</v>
      </c>
      <c r="E6138" t="s">
        <v>61</v>
      </c>
      <c r="F6138" t="s">
        <v>62</v>
      </c>
      <c r="G6138" t="s">
        <v>224</v>
      </c>
      <c r="H6138" t="s">
        <v>52</v>
      </c>
      <c r="I6138">
        <v>37579</v>
      </c>
      <c r="J6138">
        <v>31474</v>
      </c>
    </row>
    <row r="6139" spans="1:10" x14ac:dyDescent="0.3">
      <c r="A6139" t="s">
        <v>6266</v>
      </c>
      <c r="B6139" s="1">
        <v>45796</v>
      </c>
      <c r="C6139" t="s">
        <v>90</v>
      </c>
      <c r="D6139">
        <v>21</v>
      </c>
      <c r="E6139" t="s">
        <v>70</v>
      </c>
      <c r="F6139" t="s">
        <v>13</v>
      </c>
      <c r="G6139" t="s">
        <v>128</v>
      </c>
      <c r="H6139" t="s">
        <v>163</v>
      </c>
      <c r="I6139">
        <v>17635</v>
      </c>
      <c r="J6139">
        <v>22674</v>
      </c>
    </row>
    <row r="6140" spans="1:10" x14ac:dyDescent="0.3">
      <c r="A6140" t="s">
        <v>6267</v>
      </c>
      <c r="B6140" s="1">
        <v>45862</v>
      </c>
      <c r="C6140" t="s">
        <v>11</v>
      </c>
      <c r="D6140">
        <v>30</v>
      </c>
      <c r="E6140" t="s">
        <v>61</v>
      </c>
      <c r="F6140" t="s">
        <v>109</v>
      </c>
      <c r="G6140" t="s">
        <v>326</v>
      </c>
      <c r="H6140" t="s">
        <v>59</v>
      </c>
      <c r="I6140">
        <v>28463</v>
      </c>
      <c r="J6140">
        <v>21112</v>
      </c>
    </row>
    <row r="6141" spans="1:10" x14ac:dyDescent="0.3">
      <c r="A6141" t="s">
        <v>6268</v>
      </c>
      <c r="B6141" s="1">
        <v>45725</v>
      </c>
      <c r="C6141" t="s">
        <v>95</v>
      </c>
      <c r="D6141">
        <v>10</v>
      </c>
      <c r="E6141" t="s">
        <v>33</v>
      </c>
      <c r="F6141" t="s">
        <v>13</v>
      </c>
      <c r="G6141" t="s">
        <v>130</v>
      </c>
      <c r="H6141" t="s">
        <v>21</v>
      </c>
      <c r="I6141">
        <v>37615</v>
      </c>
      <c r="J6141">
        <v>29713</v>
      </c>
    </row>
    <row r="6142" spans="1:10" x14ac:dyDescent="0.3">
      <c r="A6142" t="s">
        <v>6269</v>
      </c>
      <c r="B6142" s="1">
        <v>45725</v>
      </c>
      <c r="C6142" t="s">
        <v>95</v>
      </c>
      <c r="D6142">
        <v>10</v>
      </c>
      <c r="E6142" t="s">
        <v>61</v>
      </c>
      <c r="F6142" t="s">
        <v>19</v>
      </c>
      <c r="G6142" t="s">
        <v>141</v>
      </c>
      <c r="H6142" t="s">
        <v>52</v>
      </c>
      <c r="I6142">
        <v>37594</v>
      </c>
      <c r="J6142">
        <v>30506</v>
      </c>
    </row>
    <row r="6143" spans="1:10" x14ac:dyDescent="0.3">
      <c r="A6143" t="s">
        <v>6270</v>
      </c>
      <c r="B6143" s="1">
        <v>45893</v>
      </c>
      <c r="C6143" t="s">
        <v>113</v>
      </c>
      <c r="D6143">
        <v>34</v>
      </c>
      <c r="E6143" t="s">
        <v>33</v>
      </c>
      <c r="F6143" t="s">
        <v>50</v>
      </c>
      <c r="G6143" t="s">
        <v>79</v>
      </c>
      <c r="H6143" t="s">
        <v>59</v>
      </c>
      <c r="I6143">
        <v>35885</v>
      </c>
      <c r="J6143">
        <v>34800</v>
      </c>
    </row>
    <row r="6144" spans="1:10" x14ac:dyDescent="0.3">
      <c r="A6144" t="s">
        <v>6271</v>
      </c>
      <c r="B6144" s="1">
        <v>45940</v>
      </c>
      <c r="C6144" t="s">
        <v>66</v>
      </c>
      <c r="D6144">
        <v>41</v>
      </c>
      <c r="E6144" t="s">
        <v>39</v>
      </c>
      <c r="F6144" t="s">
        <v>92</v>
      </c>
      <c r="G6144" t="s">
        <v>130</v>
      </c>
      <c r="H6144" t="s">
        <v>165</v>
      </c>
      <c r="I6144">
        <v>36321</v>
      </c>
      <c r="J6144">
        <v>43653</v>
      </c>
    </row>
    <row r="6145" spans="1:10" x14ac:dyDescent="0.3">
      <c r="A6145" t="s">
        <v>6272</v>
      </c>
      <c r="B6145" s="1">
        <v>45876</v>
      </c>
      <c r="C6145" t="s">
        <v>113</v>
      </c>
      <c r="D6145">
        <v>32</v>
      </c>
      <c r="E6145" t="s">
        <v>61</v>
      </c>
      <c r="F6145" t="s">
        <v>122</v>
      </c>
      <c r="G6145" t="s">
        <v>291</v>
      </c>
      <c r="H6145" t="s">
        <v>21</v>
      </c>
      <c r="I6145">
        <v>15541</v>
      </c>
      <c r="J6145">
        <v>16436</v>
      </c>
    </row>
    <row r="6146" spans="1:10" x14ac:dyDescent="0.3">
      <c r="A6146" t="s">
        <v>6273</v>
      </c>
      <c r="B6146" s="1">
        <v>46019</v>
      </c>
      <c r="C6146" t="s">
        <v>100</v>
      </c>
      <c r="D6146">
        <v>52</v>
      </c>
      <c r="E6146" t="s">
        <v>39</v>
      </c>
      <c r="F6146" t="s">
        <v>62</v>
      </c>
      <c r="G6146" t="s">
        <v>54</v>
      </c>
      <c r="H6146" t="s">
        <v>15</v>
      </c>
      <c r="I6146">
        <v>32103</v>
      </c>
      <c r="J6146">
        <v>31726</v>
      </c>
    </row>
    <row r="6147" spans="1:10" x14ac:dyDescent="0.3">
      <c r="A6147" t="s">
        <v>6274</v>
      </c>
      <c r="B6147" s="1">
        <v>45809</v>
      </c>
      <c r="C6147" t="s">
        <v>74</v>
      </c>
      <c r="D6147">
        <v>22</v>
      </c>
      <c r="E6147" t="s">
        <v>70</v>
      </c>
      <c r="F6147" t="s">
        <v>92</v>
      </c>
      <c r="G6147" t="s">
        <v>326</v>
      </c>
      <c r="H6147" t="s">
        <v>52</v>
      </c>
      <c r="I6147">
        <v>34175</v>
      </c>
      <c r="J6147">
        <v>30064</v>
      </c>
    </row>
    <row r="6148" spans="1:10" x14ac:dyDescent="0.3">
      <c r="A6148" t="s">
        <v>6275</v>
      </c>
      <c r="B6148" s="1">
        <v>45737</v>
      </c>
      <c r="C6148" t="s">
        <v>95</v>
      </c>
      <c r="D6148">
        <v>12</v>
      </c>
      <c r="E6148" t="s">
        <v>18</v>
      </c>
      <c r="F6148" t="s">
        <v>87</v>
      </c>
      <c r="G6148" t="s">
        <v>149</v>
      </c>
      <c r="H6148" t="s">
        <v>116</v>
      </c>
      <c r="I6148">
        <v>16320</v>
      </c>
      <c r="J6148">
        <v>17779</v>
      </c>
    </row>
    <row r="6149" spans="1:10" x14ac:dyDescent="0.3">
      <c r="A6149" t="s">
        <v>6276</v>
      </c>
      <c r="B6149" s="1">
        <v>45981</v>
      </c>
      <c r="C6149" t="s">
        <v>23</v>
      </c>
      <c r="D6149">
        <v>47</v>
      </c>
      <c r="E6149" t="s">
        <v>24</v>
      </c>
      <c r="F6149" t="s">
        <v>57</v>
      </c>
      <c r="G6149" t="s">
        <v>88</v>
      </c>
      <c r="H6149" t="s">
        <v>211</v>
      </c>
      <c r="I6149">
        <v>39378</v>
      </c>
      <c r="J6149">
        <v>48791</v>
      </c>
    </row>
    <row r="6150" spans="1:10" x14ac:dyDescent="0.3">
      <c r="A6150" t="s">
        <v>6277</v>
      </c>
      <c r="B6150" s="1">
        <v>45813</v>
      </c>
      <c r="C6150" t="s">
        <v>74</v>
      </c>
      <c r="D6150">
        <v>23</v>
      </c>
      <c r="E6150" t="s">
        <v>24</v>
      </c>
      <c r="F6150" t="s">
        <v>62</v>
      </c>
      <c r="G6150" t="s">
        <v>171</v>
      </c>
      <c r="H6150" t="s">
        <v>155</v>
      </c>
      <c r="I6150">
        <v>33411</v>
      </c>
      <c r="J6150">
        <v>37840</v>
      </c>
    </row>
    <row r="6151" spans="1:10" x14ac:dyDescent="0.3">
      <c r="A6151" t="s">
        <v>6278</v>
      </c>
      <c r="B6151" s="1">
        <v>45847</v>
      </c>
      <c r="C6151" t="s">
        <v>11</v>
      </c>
      <c r="D6151">
        <v>28</v>
      </c>
      <c r="E6151" t="s">
        <v>39</v>
      </c>
      <c r="F6151" t="s">
        <v>140</v>
      </c>
      <c r="G6151" t="s">
        <v>54</v>
      </c>
      <c r="H6151" t="s">
        <v>111</v>
      </c>
      <c r="I6151">
        <v>17496</v>
      </c>
      <c r="J6151">
        <v>15609</v>
      </c>
    </row>
    <row r="6152" spans="1:10" x14ac:dyDescent="0.3">
      <c r="A6152" t="s">
        <v>6279</v>
      </c>
      <c r="B6152" s="1">
        <v>45907</v>
      </c>
      <c r="C6152" t="s">
        <v>38</v>
      </c>
      <c r="D6152">
        <v>36</v>
      </c>
      <c r="E6152" t="s">
        <v>18</v>
      </c>
      <c r="F6152" t="s">
        <v>62</v>
      </c>
      <c r="G6152" t="s">
        <v>201</v>
      </c>
      <c r="H6152" t="s">
        <v>96</v>
      </c>
      <c r="I6152">
        <v>27052</v>
      </c>
      <c r="J6152">
        <v>25407</v>
      </c>
    </row>
    <row r="6153" spans="1:10" x14ac:dyDescent="0.3">
      <c r="A6153" t="s">
        <v>6280</v>
      </c>
      <c r="B6153" s="1">
        <v>45919</v>
      </c>
      <c r="C6153" t="s">
        <v>38</v>
      </c>
      <c r="D6153">
        <v>38</v>
      </c>
      <c r="E6153" t="s">
        <v>12</v>
      </c>
      <c r="F6153" t="s">
        <v>13</v>
      </c>
      <c r="G6153" t="s">
        <v>35</v>
      </c>
      <c r="H6153" t="s">
        <v>103</v>
      </c>
      <c r="I6153">
        <v>26483</v>
      </c>
      <c r="J6153">
        <v>23984</v>
      </c>
    </row>
    <row r="6154" spans="1:10" x14ac:dyDescent="0.3">
      <c r="A6154" t="s">
        <v>6281</v>
      </c>
      <c r="B6154" s="1">
        <v>45931</v>
      </c>
      <c r="C6154" t="s">
        <v>66</v>
      </c>
      <c r="D6154">
        <v>40</v>
      </c>
      <c r="E6154" t="s">
        <v>61</v>
      </c>
      <c r="F6154" t="s">
        <v>57</v>
      </c>
      <c r="G6154" t="s">
        <v>20</v>
      </c>
      <c r="H6154" t="s">
        <v>15</v>
      </c>
      <c r="I6154">
        <v>25864</v>
      </c>
      <c r="J6154">
        <v>28515</v>
      </c>
    </row>
    <row r="6155" spans="1:10" x14ac:dyDescent="0.3">
      <c r="A6155" t="s">
        <v>6282</v>
      </c>
      <c r="B6155" s="1">
        <v>45822</v>
      </c>
      <c r="C6155" t="s">
        <v>74</v>
      </c>
      <c r="D6155">
        <v>24</v>
      </c>
      <c r="E6155" t="s">
        <v>18</v>
      </c>
      <c r="F6155" t="s">
        <v>46</v>
      </c>
      <c r="G6155" t="s">
        <v>102</v>
      </c>
      <c r="H6155" t="s">
        <v>103</v>
      </c>
      <c r="I6155">
        <v>39199</v>
      </c>
      <c r="J6155">
        <v>48414</v>
      </c>
    </row>
    <row r="6156" spans="1:10" x14ac:dyDescent="0.3">
      <c r="A6156" t="s">
        <v>6283</v>
      </c>
      <c r="B6156" s="1">
        <v>45721</v>
      </c>
      <c r="C6156" t="s">
        <v>95</v>
      </c>
      <c r="D6156">
        <v>10</v>
      </c>
      <c r="E6156" t="s">
        <v>12</v>
      </c>
      <c r="F6156" t="s">
        <v>101</v>
      </c>
      <c r="G6156" t="s">
        <v>40</v>
      </c>
      <c r="H6156" t="s">
        <v>52</v>
      </c>
      <c r="I6156">
        <v>35021</v>
      </c>
      <c r="J6156">
        <v>33038</v>
      </c>
    </row>
    <row r="6157" spans="1:10" x14ac:dyDescent="0.3">
      <c r="A6157" t="s">
        <v>6284</v>
      </c>
      <c r="B6157" s="1">
        <v>46001</v>
      </c>
      <c r="C6157" t="s">
        <v>100</v>
      </c>
      <c r="D6157">
        <v>50</v>
      </c>
      <c r="E6157" t="s">
        <v>33</v>
      </c>
      <c r="F6157" t="s">
        <v>62</v>
      </c>
      <c r="G6157" t="s">
        <v>182</v>
      </c>
      <c r="H6157" t="s">
        <v>116</v>
      </c>
      <c r="I6157">
        <v>22962</v>
      </c>
      <c r="J6157">
        <v>17776</v>
      </c>
    </row>
    <row r="6158" spans="1:10" x14ac:dyDescent="0.3">
      <c r="A6158" t="s">
        <v>6285</v>
      </c>
      <c r="B6158" s="1">
        <v>46007</v>
      </c>
      <c r="C6158" t="s">
        <v>100</v>
      </c>
      <c r="D6158">
        <v>51</v>
      </c>
      <c r="E6158" t="s">
        <v>12</v>
      </c>
      <c r="F6158" t="s">
        <v>25</v>
      </c>
      <c r="G6158" t="s">
        <v>230</v>
      </c>
      <c r="H6158" t="s">
        <v>123</v>
      </c>
      <c r="I6158">
        <v>38505</v>
      </c>
      <c r="J6158">
        <v>27763</v>
      </c>
    </row>
    <row r="6159" spans="1:10" x14ac:dyDescent="0.3">
      <c r="A6159" t="s">
        <v>6286</v>
      </c>
      <c r="B6159" s="1">
        <v>45863</v>
      </c>
      <c r="C6159" t="s">
        <v>11</v>
      </c>
      <c r="D6159">
        <v>30</v>
      </c>
      <c r="E6159" t="s">
        <v>61</v>
      </c>
      <c r="F6159" t="s">
        <v>193</v>
      </c>
      <c r="G6159" t="s">
        <v>171</v>
      </c>
      <c r="H6159" t="s">
        <v>151</v>
      </c>
      <c r="I6159">
        <v>16046</v>
      </c>
      <c r="J6159">
        <v>14933</v>
      </c>
    </row>
    <row r="6160" spans="1:10" x14ac:dyDescent="0.3">
      <c r="A6160" t="s">
        <v>6287</v>
      </c>
      <c r="B6160" s="1">
        <v>45920</v>
      </c>
      <c r="C6160" t="s">
        <v>38</v>
      </c>
      <c r="D6160">
        <v>38</v>
      </c>
      <c r="E6160" t="s">
        <v>61</v>
      </c>
      <c r="F6160" t="s">
        <v>193</v>
      </c>
      <c r="G6160" t="s">
        <v>40</v>
      </c>
      <c r="H6160" t="s">
        <v>157</v>
      </c>
      <c r="I6160">
        <v>27172</v>
      </c>
      <c r="J6160">
        <v>28433</v>
      </c>
    </row>
    <row r="6161" spans="1:10" x14ac:dyDescent="0.3">
      <c r="A6161" t="s">
        <v>6288</v>
      </c>
      <c r="B6161" s="1">
        <v>46008</v>
      </c>
      <c r="C6161" t="s">
        <v>100</v>
      </c>
      <c r="D6161">
        <v>51</v>
      </c>
      <c r="E6161" t="s">
        <v>70</v>
      </c>
      <c r="F6161" t="s">
        <v>19</v>
      </c>
      <c r="G6161" t="s">
        <v>83</v>
      </c>
      <c r="H6161" t="s">
        <v>157</v>
      </c>
      <c r="I6161">
        <v>27330</v>
      </c>
      <c r="J6161">
        <v>31534</v>
      </c>
    </row>
    <row r="6162" spans="1:10" x14ac:dyDescent="0.3">
      <c r="A6162" t="s">
        <v>6289</v>
      </c>
      <c r="B6162" s="1">
        <v>45948</v>
      </c>
      <c r="C6162" t="s">
        <v>66</v>
      </c>
      <c r="D6162">
        <v>42</v>
      </c>
      <c r="E6162" t="s">
        <v>70</v>
      </c>
      <c r="F6162" t="s">
        <v>46</v>
      </c>
      <c r="G6162" t="s">
        <v>324</v>
      </c>
      <c r="H6162" t="s">
        <v>84</v>
      </c>
      <c r="I6162">
        <v>34620</v>
      </c>
      <c r="J6162">
        <v>44436</v>
      </c>
    </row>
    <row r="6163" spans="1:10" x14ac:dyDescent="0.3">
      <c r="A6163" t="s">
        <v>6290</v>
      </c>
      <c r="B6163" s="1">
        <v>45838</v>
      </c>
      <c r="C6163" t="s">
        <v>74</v>
      </c>
      <c r="D6163">
        <v>27</v>
      </c>
      <c r="E6163" t="s">
        <v>70</v>
      </c>
      <c r="F6163" t="s">
        <v>25</v>
      </c>
      <c r="G6163" t="s">
        <v>63</v>
      </c>
      <c r="H6163" t="s">
        <v>103</v>
      </c>
      <c r="I6163">
        <v>33976</v>
      </c>
      <c r="J6163">
        <v>30453</v>
      </c>
    </row>
    <row r="6164" spans="1:10" x14ac:dyDescent="0.3">
      <c r="A6164" t="s">
        <v>6291</v>
      </c>
      <c r="B6164" s="1">
        <v>45687</v>
      </c>
      <c r="C6164" t="s">
        <v>17</v>
      </c>
      <c r="D6164">
        <v>5</v>
      </c>
      <c r="E6164" t="s">
        <v>70</v>
      </c>
      <c r="F6164" t="s">
        <v>19</v>
      </c>
      <c r="G6164" t="s">
        <v>93</v>
      </c>
      <c r="H6164" t="s">
        <v>165</v>
      </c>
      <c r="I6164">
        <v>24282</v>
      </c>
      <c r="J6164">
        <v>19260</v>
      </c>
    </row>
    <row r="6165" spans="1:10" x14ac:dyDescent="0.3">
      <c r="A6165" t="s">
        <v>6292</v>
      </c>
      <c r="B6165" s="1">
        <v>45848</v>
      </c>
      <c r="C6165" t="s">
        <v>11</v>
      </c>
      <c r="D6165">
        <v>28</v>
      </c>
      <c r="E6165" t="s">
        <v>61</v>
      </c>
      <c r="F6165" t="s">
        <v>109</v>
      </c>
      <c r="G6165" t="s">
        <v>324</v>
      </c>
      <c r="H6165" t="s">
        <v>15</v>
      </c>
      <c r="I6165">
        <v>21046</v>
      </c>
      <c r="J6165">
        <v>23454</v>
      </c>
    </row>
    <row r="6166" spans="1:10" x14ac:dyDescent="0.3">
      <c r="A6166" t="s">
        <v>6293</v>
      </c>
      <c r="B6166" s="1">
        <v>45948</v>
      </c>
      <c r="C6166" t="s">
        <v>66</v>
      </c>
      <c r="D6166">
        <v>42</v>
      </c>
      <c r="E6166" t="s">
        <v>18</v>
      </c>
      <c r="F6166" t="s">
        <v>101</v>
      </c>
      <c r="G6166" t="s">
        <v>234</v>
      </c>
      <c r="H6166" t="s">
        <v>36</v>
      </c>
      <c r="I6166">
        <v>25320</v>
      </c>
      <c r="J6166">
        <v>27502</v>
      </c>
    </row>
    <row r="6167" spans="1:10" x14ac:dyDescent="0.3">
      <c r="A6167" t="s">
        <v>6294</v>
      </c>
      <c r="B6167" s="1">
        <v>45735</v>
      </c>
      <c r="C6167" t="s">
        <v>95</v>
      </c>
      <c r="D6167">
        <v>12</v>
      </c>
      <c r="E6167" t="s">
        <v>12</v>
      </c>
      <c r="F6167" t="s">
        <v>34</v>
      </c>
      <c r="G6167" t="s">
        <v>182</v>
      </c>
      <c r="H6167" t="s">
        <v>68</v>
      </c>
      <c r="I6167">
        <v>31532</v>
      </c>
      <c r="J6167">
        <v>35923</v>
      </c>
    </row>
    <row r="6168" spans="1:10" x14ac:dyDescent="0.3">
      <c r="A6168" t="s">
        <v>6295</v>
      </c>
      <c r="B6168" s="1">
        <v>45866</v>
      </c>
      <c r="C6168" t="s">
        <v>11</v>
      </c>
      <c r="D6168">
        <v>31</v>
      </c>
      <c r="E6168" t="s">
        <v>61</v>
      </c>
      <c r="F6168" t="s">
        <v>109</v>
      </c>
      <c r="G6168" t="s">
        <v>326</v>
      </c>
      <c r="H6168" t="s">
        <v>27</v>
      </c>
      <c r="I6168">
        <v>31980</v>
      </c>
      <c r="J6168">
        <v>31918</v>
      </c>
    </row>
    <row r="6169" spans="1:10" x14ac:dyDescent="0.3">
      <c r="A6169" t="s">
        <v>6296</v>
      </c>
      <c r="B6169" s="1">
        <v>45685</v>
      </c>
      <c r="C6169" t="s">
        <v>17</v>
      </c>
      <c r="D6169">
        <v>5</v>
      </c>
      <c r="E6169" t="s">
        <v>18</v>
      </c>
      <c r="F6169" t="s">
        <v>50</v>
      </c>
      <c r="G6169" t="s">
        <v>234</v>
      </c>
      <c r="H6169" t="s">
        <v>96</v>
      </c>
      <c r="I6169">
        <v>15827</v>
      </c>
      <c r="J6169">
        <v>14769</v>
      </c>
    </row>
    <row r="6170" spans="1:10" x14ac:dyDescent="0.3">
      <c r="A6170" t="s">
        <v>6297</v>
      </c>
      <c r="B6170" s="1">
        <v>45788</v>
      </c>
      <c r="C6170" t="s">
        <v>90</v>
      </c>
      <c r="D6170">
        <v>19</v>
      </c>
      <c r="E6170" t="s">
        <v>12</v>
      </c>
      <c r="F6170" t="s">
        <v>101</v>
      </c>
      <c r="G6170" t="s">
        <v>79</v>
      </c>
      <c r="H6170" t="s">
        <v>155</v>
      </c>
      <c r="I6170">
        <v>23745</v>
      </c>
      <c r="J6170">
        <v>19183</v>
      </c>
    </row>
    <row r="6171" spans="1:10" x14ac:dyDescent="0.3">
      <c r="A6171" t="s">
        <v>6298</v>
      </c>
      <c r="B6171" s="1">
        <v>45755</v>
      </c>
      <c r="C6171" t="s">
        <v>86</v>
      </c>
      <c r="D6171">
        <v>15</v>
      </c>
      <c r="E6171" t="s">
        <v>61</v>
      </c>
      <c r="F6171" t="s">
        <v>29</v>
      </c>
      <c r="G6171" t="s">
        <v>130</v>
      </c>
      <c r="H6171" t="s">
        <v>123</v>
      </c>
      <c r="I6171">
        <v>31265</v>
      </c>
      <c r="J6171">
        <v>30692</v>
      </c>
    </row>
    <row r="6172" spans="1:10" x14ac:dyDescent="0.3">
      <c r="A6172" t="s">
        <v>6299</v>
      </c>
      <c r="B6172" s="1">
        <v>45838</v>
      </c>
      <c r="C6172" t="s">
        <v>74</v>
      </c>
      <c r="D6172">
        <v>27</v>
      </c>
      <c r="E6172" t="s">
        <v>70</v>
      </c>
      <c r="F6172" t="s">
        <v>13</v>
      </c>
      <c r="G6172" t="s">
        <v>72</v>
      </c>
      <c r="H6172" t="s">
        <v>36</v>
      </c>
      <c r="I6172">
        <v>18776</v>
      </c>
      <c r="J6172">
        <v>16887</v>
      </c>
    </row>
    <row r="6173" spans="1:10" x14ac:dyDescent="0.3">
      <c r="A6173" t="s">
        <v>6300</v>
      </c>
      <c r="B6173" s="1">
        <v>45935</v>
      </c>
      <c r="C6173" t="s">
        <v>66</v>
      </c>
      <c r="D6173">
        <v>40</v>
      </c>
      <c r="E6173" t="s">
        <v>24</v>
      </c>
      <c r="F6173" t="s">
        <v>109</v>
      </c>
      <c r="G6173" t="s">
        <v>76</v>
      </c>
      <c r="H6173" t="s">
        <v>98</v>
      </c>
      <c r="I6173">
        <v>37204</v>
      </c>
      <c r="J6173">
        <v>39432</v>
      </c>
    </row>
    <row r="6174" spans="1:10" x14ac:dyDescent="0.3">
      <c r="A6174" t="s">
        <v>6301</v>
      </c>
      <c r="B6174" s="1">
        <v>45816</v>
      </c>
      <c r="C6174" t="s">
        <v>74</v>
      </c>
      <c r="D6174">
        <v>23</v>
      </c>
      <c r="E6174" t="s">
        <v>33</v>
      </c>
      <c r="F6174" t="s">
        <v>46</v>
      </c>
      <c r="G6174" t="s">
        <v>26</v>
      </c>
      <c r="H6174" t="s">
        <v>96</v>
      </c>
      <c r="I6174">
        <v>22159</v>
      </c>
      <c r="J6174">
        <v>28460</v>
      </c>
    </row>
    <row r="6175" spans="1:10" x14ac:dyDescent="0.3">
      <c r="A6175" t="s">
        <v>6302</v>
      </c>
      <c r="B6175" s="1">
        <v>45934</v>
      </c>
      <c r="C6175" t="s">
        <v>66</v>
      </c>
      <c r="D6175">
        <v>40</v>
      </c>
      <c r="E6175" t="s">
        <v>33</v>
      </c>
      <c r="F6175" t="s">
        <v>122</v>
      </c>
      <c r="G6175" t="s">
        <v>135</v>
      </c>
      <c r="H6175" t="s">
        <v>21</v>
      </c>
      <c r="I6175">
        <v>25703</v>
      </c>
      <c r="J6175">
        <v>22171</v>
      </c>
    </row>
    <row r="6176" spans="1:10" x14ac:dyDescent="0.3">
      <c r="A6176" t="s">
        <v>6303</v>
      </c>
      <c r="B6176" s="1">
        <v>45998</v>
      </c>
      <c r="C6176" t="s">
        <v>100</v>
      </c>
      <c r="D6176">
        <v>49</v>
      </c>
      <c r="E6176" t="s">
        <v>12</v>
      </c>
      <c r="F6176" t="s">
        <v>43</v>
      </c>
      <c r="G6176" t="s">
        <v>102</v>
      </c>
      <c r="H6176" t="s">
        <v>111</v>
      </c>
      <c r="I6176">
        <v>18770</v>
      </c>
      <c r="J6176">
        <v>13437</v>
      </c>
    </row>
    <row r="6177" spans="1:10" x14ac:dyDescent="0.3">
      <c r="A6177" t="s">
        <v>6304</v>
      </c>
      <c r="B6177" s="1">
        <v>45717</v>
      </c>
      <c r="C6177" t="s">
        <v>95</v>
      </c>
      <c r="D6177">
        <v>9</v>
      </c>
      <c r="E6177" t="s">
        <v>39</v>
      </c>
      <c r="F6177" t="s">
        <v>29</v>
      </c>
      <c r="G6177" t="s">
        <v>107</v>
      </c>
      <c r="H6177" t="s">
        <v>98</v>
      </c>
      <c r="I6177">
        <v>22469</v>
      </c>
      <c r="J6177">
        <v>22826</v>
      </c>
    </row>
    <row r="6178" spans="1:10" x14ac:dyDescent="0.3">
      <c r="A6178" t="s">
        <v>6305</v>
      </c>
      <c r="B6178" s="1">
        <v>45935</v>
      </c>
      <c r="C6178" t="s">
        <v>66</v>
      </c>
      <c r="D6178">
        <v>40</v>
      </c>
      <c r="E6178" t="s">
        <v>12</v>
      </c>
      <c r="F6178" t="s">
        <v>62</v>
      </c>
      <c r="G6178" t="s">
        <v>14</v>
      </c>
      <c r="H6178" t="s">
        <v>84</v>
      </c>
      <c r="I6178">
        <v>16205</v>
      </c>
      <c r="J6178">
        <v>19616</v>
      </c>
    </row>
    <row r="6179" spans="1:10" x14ac:dyDescent="0.3">
      <c r="A6179" t="s">
        <v>6306</v>
      </c>
      <c r="B6179" s="1">
        <v>45793</v>
      </c>
      <c r="C6179" t="s">
        <v>90</v>
      </c>
      <c r="D6179">
        <v>20</v>
      </c>
      <c r="E6179" t="s">
        <v>33</v>
      </c>
      <c r="F6179" t="s">
        <v>46</v>
      </c>
      <c r="G6179" t="s">
        <v>132</v>
      </c>
      <c r="H6179" t="s">
        <v>36</v>
      </c>
      <c r="I6179">
        <v>30818</v>
      </c>
      <c r="J6179">
        <v>28207</v>
      </c>
    </row>
    <row r="6180" spans="1:10" x14ac:dyDescent="0.3">
      <c r="A6180" t="s">
        <v>6307</v>
      </c>
      <c r="B6180" s="1">
        <v>45778</v>
      </c>
      <c r="C6180" t="s">
        <v>90</v>
      </c>
      <c r="D6180">
        <v>18</v>
      </c>
      <c r="E6180" t="s">
        <v>70</v>
      </c>
      <c r="F6180" t="s">
        <v>62</v>
      </c>
      <c r="G6180" t="s">
        <v>130</v>
      </c>
      <c r="H6180" t="s">
        <v>59</v>
      </c>
      <c r="I6180">
        <v>25317</v>
      </c>
      <c r="J6180">
        <v>30179</v>
      </c>
    </row>
    <row r="6181" spans="1:10" x14ac:dyDescent="0.3">
      <c r="A6181" t="s">
        <v>6308</v>
      </c>
      <c r="B6181" s="1">
        <v>45778</v>
      </c>
      <c r="C6181" t="s">
        <v>90</v>
      </c>
      <c r="D6181">
        <v>18</v>
      </c>
      <c r="E6181" t="s">
        <v>39</v>
      </c>
      <c r="F6181" t="s">
        <v>19</v>
      </c>
      <c r="G6181" t="s">
        <v>51</v>
      </c>
      <c r="H6181" t="s">
        <v>96</v>
      </c>
      <c r="I6181">
        <v>38536</v>
      </c>
      <c r="J6181">
        <v>39994</v>
      </c>
    </row>
    <row r="6182" spans="1:10" x14ac:dyDescent="0.3">
      <c r="A6182" t="s">
        <v>6309</v>
      </c>
      <c r="B6182" s="1">
        <v>45813</v>
      </c>
      <c r="C6182" t="s">
        <v>74</v>
      </c>
      <c r="D6182">
        <v>23</v>
      </c>
      <c r="E6182" t="s">
        <v>18</v>
      </c>
      <c r="F6182" t="s">
        <v>57</v>
      </c>
      <c r="G6182" t="s">
        <v>47</v>
      </c>
      <c r="H6182" t="s">
        <v>68</v>
      </c>
      <c r="I6182">
        <v>35965</v>
      </c>
      <c r="J6182">
        <v>30893</v>
      </c>
    </row>
    <row r="6183" spans="1:10" x14ac:dyDescent="0.3">
      <c r="A6183" t="s">
        <v>6310</v>
      </c>
      <c r="B6183" s="1">
        <v>45677</v>
      </c>
      <c r="C6183" t="s">
        <v>17</v>
      </c>
      <c r="D6183">
        <v>4</v>
      </c>
      <c r="E6183" t="s">
        <v>12</v>
      </c>
      <c r="F6183" t="s">
        <v>122</v>
      </c>
      <c r="G6183" t="s">
        <v>93</v>
      </c>
      <c r="H6183" t="s">
        <v>103</v>
      </c>
      <c r="I6183">
        <v>21637</v>
      </c>
      <c r="J6183">
        <v>22596</v>
      </c>
    </row>
    <row r="6184" spans="1:10" x14ac:dyDescent="0.3">
      <c r="A6184" t="s">
        <v>6311</v>
      </c>
      <c r="B6184" s="1">
        <v>45863</v>
      </c>
      <c r="C6184" t="s">
        <v>11</v>
      </c>
      <c r="D6184">
        <v>30</v>
      </c>
      <c r="E6184" t="s">
        <v>18</v>
      </c>
      <c r="F6184" t="s">
        <v>57</v>
      </c>
      <c r="G6184" t="s">
        <v>135</v>
      </c>
      <c r="H6184" t="s">
        <v>27</v>
      </c>
      <c r="I6184">
        <v>25313</v>
      </c>
      <c r="J6184">
        <v>24822</v>
      </c>
    </row>
    <row r="6185" spans="1:10" x14ac:dyDescent="0.3">
      <c r="A6185" t="s">
        <v>6312</v>
      </c>
      <c r="B6185" s="1">
        <v>45939</v>
      </c>
      <c r="C6185" t="s">
        <v>66</v>
      </c>
      <c r="D6185">
        <v>41</v>
      </c>
      <c r="E6185" t="s">
        <v>12</v>
      </c>
      <c r="F6185" t="s">
        <v>50</v>
      </c>
      <c r="G6185" t="s">
        <v>224</v>
      </c>
      <c r="H6185" t="s">
        <v>21</v>
      </c>
      <c r="I6185">
        <v>37623</v>
      </c>
      <c r="J6185">
        <v>35333</v>
      </c>
    </row>
    <row r="6186" spans="1:10" x14ac:dyDescent="0.3">
      <c r="A6186" t="s">
        <v>6313</v>
      </c>
      <c r="B6186" s="1">
        <v>45862</v>
      </c>
      <c r="C6186" t="s">
        <v>11</v>
      </c>
      <c r="D6186">
        <v>30</v>
      </c>
      <c r="E6186" t="s">
        <v>18</v>
      </c>
      <c r="F6186" t="s">
        <v>78</v>
      </c>
      <c r="G6186" t="s">
        <v>324</v>
      </c>
      <c r="H6186" t="s">
        <v>165</v>
      </c>
      <c r="I6186">
        <v>18677</v>
      </c>
      <c r="J6186">
        <v>23686</v>
      </c>
    </row>
    <row r="6187" spans="1:10" x14ac:dyDescent="0.3">
      <c r="A6187" t="s">
        <v>6314</v>
      </c>
      <c r="B6187" s="1">
        <v>45718</v>
      </c>
      <c r="C6187" t="s">
        <v>95</v>
      </c>
      <c r="D6187">
        <v>9</v>
      </c>
      <c r="E6187" t="s">
        <v>18</v>
      </c>
      <c r="F6187" t="s">
        <v>46</v>
      </c>
      <c r="G6187" t="s">
        <v>191</v>
      </c>
      <c r="H6187" t="s">
        <v>165</v>
      </c>
      <c r="I6187">
        <v>27025</v>
      </c>
      <c r="J6187">
        <v>19965</v>
      </c>
    </row>
    <row r="6188" spans="1:10" x14ac:dyDescent="0.3">
      <c r="A6188" t="s">
        <v>6315</v>
      </c>
      <c r="B6188" s="1">
        <v>45785</v>
      </c>
      <c r="C6188" t="s">
        <v>90</v>
      </c>
      <c r="D6188">
        <v>19</v>
      </c>
      <c r="E6188" t="s">
        <v>12</v>
      </c>
      <c r="F6188" t="s">
        <v>122</v>
      </c>
      <c r="G6188" t="s">
        <v>160</v>
      </c>
      <c r="H6188" t="s">
        <v>80</v>
      </c>
      <c r="I6188">
        <v>37754</v>
      </c>
      <c r="J6188">
        <v>41944</v>
      </c>
    </row>
    <row r="6189" spans="1:10" x14ac:dyDescent="0.3">
      <c r="A6189" t="s">
        <v>6316</v>
      </c>
      <c r="B6189" s="1">
        <v>45853</v>
      </c>
      <c r="C6189" t="s">
        <v>11</v>
      </c>
      <c r="D6189">
        <v>29</v>
      </c>
      <c r="E6189" t="s">
        <v>61</v>
      </c>
      <c r="F6189" t="s">
        <v>114</v>
      </c>
      <c r="G6189" t="s">
        <v>63</v>
      </c>
      <c r="H6189" t="s">
        <v>59</v>
      </c>
      <c r="I6189">
        <v>15468</v>
      </c>
      <c r="J6189">
        <v>20076</v>
      </c>
    </row>
    <row r="6190" spans="1:10" x14ac:dyDescent="0.3">
      <c r="A6190" t="s">
        <v>6317</v>
      </c>
      <c r="B6190" s="1">
        <v>45868</v>
      </c>
      <c r="C6190" t="s">
        <v>11</v>
      </c>
      <c r="D6190">
        <v>31</v>
      </c>
      <c r="E6190" t="s">
        <v>12</v>
      </c>
      <c r="F6190" t="s">
        <v>122</v>
      </c>
      <c r="G6190" t="s">
        <v>107</v>
      </c>
      <c r="H6190" t="s">
        <v>123</v>
      </c>
      <c r="I6190">
        <v>19205</v>
      </c>
      <c r="J6190">
        <v>21684</v>
      </c>
    </row>
    <row r="6191" spans="1:10" x14ac:dyDescent="0.3">
      <c r="A6191" t="s">
        <v>6318</v>
      </c>
      <c r="B6191" s="1">
        <v>45718</v>
      </c>
      <c r="C6191" t="s">
        <v>95</v>
      </c>
      <c r="D6191">
        <v>9</v>
      </c>
      <c r="E6191" t="s">
        <v>39</v>
      </c>
      <c r="F6191" t="s">
        <v>57</v>
      </c>
      <c r="G6191" t="s">
        <v>234</v>
      </c>
      <c r="H6191" t="s">
        <v>119</v>
      </c>
      <c r="I6191">
        <v>17074</v>
      </c>
      <c r="J6191">
        <v>15838</v>
      </c>
    </row>
    <row r="6192" spans="1:10" x14ac:dyDescent="0.3">
      <c r="A6192" t="s">
        <v>6319</v>
      </c>
      <c r="B6192" s="1">
        <v>45731</v>
      </c>
      <c r="C6192" t="s">
        <v>95</v>
      </c>
      <c r="D6192">
        <v>11</v>
      </c>
      <c r="E6192" t="s">
        <v>39</v>
      </c>
      <c r="F6192" t="s">
        <v>62</v>
      </c>
      <c r="G6192" t="s">
        <v>79</v>
      </c>
      <c r="H6192" t="s">
        <v>163</v>
      </c>
      <c r="I6192">
        <v>26671</v>
      </c>
      <c r="J6192">
        <v>30864</v>
      </c>
    </row>
    <row r="6193" spans="1:10" x14ac:dyDescent="0.3">
      <c r="A6193" t="s">
        <v>6320</v>
      </c>
      <c r="B6193" s="1">
        <v>45969</v>
      </c>
      <c r="C6193" t="s">
        <v>23</v>
      </c>
      <c r="D6193">
        <v>45</v>
      </c>
      <c r="E6193" t="s">
        <v>12</v>
      </c>
      <c r="F6193" t="s">
        <v>92</v>
      </c>
      <c r="G6193" t="s">
        <v>54</v>
      </c>
      <c r="H6193" t="s">
        <v>80</v>
      </c>
      <c r="I6193">
        <v>20501</v>
      </c>
      <c r="J6193">
        <v>24953</v>
      </c>
    </row>
    <row r="6194" spans="1:10" x14ac:dyDescent="0.3">
      <c r="A6194" t="s">
        <v>6321</v>
      </c>
      <c r="B6194" s="1">
        <v>45929</v>
      </c>
      <c r="C6194" t="s">
        <v>38</v>
      </c>
      <c r="D6194">
        <v>40</v>
      </c>
      <c r="E6194" t="s">
        <v>61</v>
      </c>
      <c r="F6194" t="s">
        <v>50</v>
      </c>
      <c r="G6194" t="s">
        <v>107</v>
      </c>
      <c r="H6194" t="s">
        <v>116</v>
      </c>
      <c r="I6194">
        <v>31287</v>
      </c>
      <c r="J6194">
        <v>32817</v>
      </c>
    </row>
    <row r="6195" spans="1:10" x14ac:dyDescent="0.3">
      <c r="A6195" t="s">
        <v>6322</v>
      </c>
      <c r="B6195" s="1">
        <v>45866</v>
      </c>
      <c r="C6195" t="s">
        <v>11</v>
      </c>
      <c r="D6195">
        <v>31</v>
      </c>
      <c r="E6195" t="s">
        <v>33</v>
      </c>
      <c r="F6195" t="s">
        <v>78</v>
      </c>
      <c r="G6195" t="s">
        <v>199</v>
      </c>
      <c r="H6195" t="s">
        <v>123</v>
      </c>
      <c r="I6195">
        <v>36645</v>
      </c>
      <c r="J6195">
        <v>44367</v>
      </c>
    </row>
    <row r="6196" spans="1:10" x14ac:dyDescent="0.3">
      <c r="A6196" t="s">
        <v>6323</v>
      </c>
      <c r="B6196" s="1">
        <v>45998</v>
      </c>
      <c r="C6196" t="s">
        <v>100</v>
      </c>
      <c r="D6196">
        <v>49</v>
      </c>
      <c r="E6196" t="s">
        <v>18</v>
      </c>
      <c r="F6196" t="s">
        <v>13</v>
      </c>
      <c r="G6196" t="s">
        <v>107</v>
      </c>
      <c r="H6196" t="s">
        <v>96</v>
      </c>
      <c r="I6196">
        <v>23640</v>
      </c>
      <c r="J6196">
        <v>21928</v>
      </c>
    </row>
    <row r="6197" spans="1:10" x14ac:dyDescent="0.3">
      <c r="A6197" t="s">
        <v>6324</v>
      </c>
      <c r="B6197" s="1">
        <v>45804</v>
      </c>
      <c r="C6197" t="s">
        <v>90</v>
      </c>
      <c r="D6197">
        <v>22</v>
      </c>
      <c r="E6197" t="s">
        <v>61</v>
      </c>
      <c r="F6197" t="s">
        <v>25</v>
      </c>
      <c r="G6197" t="s">
        <v>118</v>
      </c>
      <c r="H6197" t="s">
        <v>98</v>
      </c>
      <c r="I6197">
        <v>25972</v>
      </c>
      <c r="J6197">
        <v>33594</v>
      </c>
    </row>
    <row r="6198" spans="1:10" x14ac:dyDescent="0.3">
      <c r="A6198" t="s">
        <v>6325</v>
      </c>
      <c r="B6198" s="1">
        <v>45921</v>
      </c>
      <c r="C6198" t="s">
        <v>38</v>
      </c>
      <c r="D6198">
        <v>38</v>
      </c>
      <c r="E6198" t="s">
        <v>33</v>
      </c>
      <c r="F6198" t="s">
        <v>101</v>
      </c>
      <c r="G6198" t="s">
        <v>234</v>
      </c>
      <c r="H6198" t="s">
        <v>64</v>
      </c>
      <c r="I6198">
        <v>32865</v>
      </c>
      <c r="J6198">
        <v>27126</v>
      </c>
    </row>
    <row r="6199" spans="1:10" x14ac:dyDescent="0.3">
      <c r="A6199" t="s">
        <v>6326</v>
      </c>
      <c r="B6199" s="1">
        <v>46004</v>
      </c>
      <c r="C6199" t="s">
        <v>100</v>
      </c>
      <c r="D6199">
        <v>50</v>
      </c>
      <c r="E6199" t="s">
        <v>24</v>
      </c>
      <c r="F6199" t="s">
        <v>34</v>
      </c>
      <c r="G6199" t="s">
        <v>88</v>
      </c>
      <c r="H6199" t="s">
        <v>84</v>
      </c>
      <c r="I6199">
        <v>19910</v>
      </c>
      <c r="J6199">
        <v>23957</v>
      </c>
    </row>
    <row r="6200" spans="1:10" x14ac:dyDescent="0.3">
      <c r="A6200" t="s">
        <v>6327</v>
      </c>
      <c r="B6200" s="1">
        <v>45894</v>
      </c>
      <c r="C6200" t="s">
        <v>113</v>
      </c>
      <c r="D6200">
        <v>35</v>
      </c>
      <c r="E6200" t="s">
        <v>61</v>
      </c>
      <c r="F6200" t="s">
        <v>140</v>
      </c>
      <c r="G6200" t="s">
        <v>40</v>
      </c>
      <c r="H6200" t="s">
        <v>84</v>
      </c>
      <c r="I6200">
        <v>27357</v>
      </c>
      <c r="J6200">
        <v>22560</v>
      </c>
    </row>
    <row r="6201" spans="1:10" x14ac:dyDescent="0.3">
      <c r="A6201" t="s">
        <v>6328</v>
      </c>
      <c r="B6201" s="1">
        <v>45693</v>
      </c>
      <c r="C6201" t="s">
        <v>82</v>
      </c>
      <c r="D6201">
        <v>6</v>
      </c>
      <c r="E6201" t="s">
        <v>61</v>
      </c>
      <c r="F6201" t="s">
        <v>140</v>
      </c>
      <c r="G6201" t="s">
        <v>102</v>
      </c>
      <c r="H6201" t="s">
        <v>165</v>
      </c>
      <c r="I6201">
        <v>34406</v>
      </c>
      <c r="J6201">
        <v>39177</v>
      </c>
    </row>
    <row r="6202" spans="1:10" x14ac:dyDescent="0.3">
      <c r="A6202" t="s">
        <v>6329</v>
      </c>
      <c r="B6202" s="1">
        <v>45780</v>
      </c>
      <c r="C6202" t="s">
        <v>90</v>
      </c>
      <c r="D6202">
        <v>18</v>
      </c>
      <c r="E6202" t="s">
        <v>18</v>
      </c>
      <c r="F6202" t="s">
        <v>34</v>
      </c>
      <c r="G6202" t="s">
        <v>206</v>
      </c>
      <c r="H6202" t="s">
        <v>52</v>
      </c>
      <c r="I6202">
        <v>15030</v>
      </c>
      <c r="J6202">
        <v>14534</v>
      </c>
    </row>
    <row r="6203" spans="1:10" x14ac:dyDescent="0.3">
      <c r="A6203" t="s">
        <v>6330</v>
      </c>
      <c r="B6203" s="1">
        <v>45696</v>
      </c>
      <c r="C6203" t="s">
        <v>82</v>
      </c>
      <c r="D6203">
        <v>6</v>
      </c>
      <c r="E6203" t="s">
        <v>24</v>
      </c>
      <c r="F6203" t="s">
        <v>46</v>
      </c>
      <c r="G6203" t="s">
        <v>83</v>
      </c>
      <c r="H6203" t="s">
        <v>52</v>
      </c>
      <c r="I6203">
        <v>23902</v>
      </c>
      <c r="J6203">
        <v>30964</v>
      </c>
    </row>
    <row r="6204" spans="1:10" x14ac:dyDescent="0.3">
      <c r="A6204" t="s">
        <v>6331</v>
      </c>
      <c r="B6204" s="1">
        <v>45831</v>
      </c>
      <c r="C6204" t="s">
        <v>74</v>
      </c>
      <c r="D6204">
        <v>26</v>
      </c>
      <c r="E6204" t="s">
        <v>33</v>
      </c>
      <c r="F6204" t="s">
        <v>25</v>
      </c>
      <c r="G6204" t="s">
        <v>141</v>
      </c>
      <c r="H6204" t="s">
        <v>84</v>
      </c>
      <c r="I6204">
        <v>25206</v>
      </c>
      <c r="J6204">
        <v>31847</v>
      </c>
    </row>
    <row r="6205" spans="1:10" x14ac:dyDescent="0.3">
      <c r="A6205" t="s">
        <v>6332</v>
      </c>
      <c r="B6205" s="1">
        <v>45687</v>
      </c>
      <c r="C6205" t="s">
        <v>17</v>
      </c>
      <c r="D6205">
        <v>5</v>
      </c>
      <c r="E6205" t="s">
        <v>33</v>
      </c>
      <c r="F6205" t="s">
        <v>50</v>
      </c>
      <c r="G6205" t="s">
        <v>63</v>
      </c>
      <c r="H6205" t="s">
        <v>163</v>
      </c>
      <c r="I6205">
        <v>17905</v>
      </c>
      <c r="J6205">
        <v>17766</v>
      </c>
    </row>
    <row r="6206" spans="1:10" x14ac:dyDescent="0.3">
      <c r="A6206" t="s">
        <v>6333</v>
      </c>
      <c r="B6206" s="1">
        <v>45732</v>
      </c>
      <c r="C6206" t="s">
        <v>95</v>
      </c>
      <c r="D6206">
        <v>11</v>
      </c>
      <c r="E6206" t="s">
        <v>61</v>
      </c>
      <c r="F6206" t="s">
        <v>109</v>
      </c>
      <c r="G6206" t="s">
        <v>324</v>
      </c>
      <c r="H6206" t="s">
        <v>163</v>
      </c>
      <c r="I6206">
        <v>32370</v>
      </c>
      <c r="J6206">
        <v>34022</v>
      </c>
    </row>
    <row r="6207" spans="1:10" x14ac:dyDescent="0.3">
      <c r="A6207" t="s">
        <v>6334</v>
      </c>
      <c r="B6207" s="1">
        <v>45779</v>
      </c>
      <c r="C6207" t="s">
        <v>90</v>
      </c>
      <c r="D6207">
        <v>18</v>
      </c>
      <c r="E6207" t="s">
        <v>12</v>
      </c>
      <c r="F6207" t="s">
        <v>92</v>
      </c>
      <c r="G6207" t="s">
        <v>145</v>
      </c>
      <c r="H6207" t="s">
        <v>163</v>
      </c>
      <c r="I6207">
        <v>38007</v>
      </c>
      <c r="J6207">
        <v>47599</v>
      </c>
    </row>
    <row r="6208" spans="1:10" x14ac:dyDescent="0.3">
      <c r="A6208" t="s">
        <v>6335</v>
      </c>
      <c r="B6208" s="1">
        <v>45783</v>
      </c>
      <c r="C6208" t="s">
        <v>90</v>
      </c>
      <c r="D6208">
        <v>19</v>
      </c>
      <c r="E6208" t="s">
        <v>18</v>
      </c>
      <c r="F6208" t="s">
        <v>50</v>
      </c>
      <c r="G6208" t="s">
        <v>240</v>
      </c>
      <c r="H6208" t="s">
        <v>48</v>
      </c>
      <c r="I6208">
        <v>36603</v>
      </c>
      <c r="J6208">
        <v>37962</v>
      </c>
    </row>
    <row r="6209" spans="1:10" x14ac:dyDescent="0.3">
      <c r="A6209" t="s">
        <v>6336</v>
      </c>
      <c r="B6209" s="1">
        <v>45972</v>
      </c>
      <c r="C6209" t="s">
        <v>23</v>
      </c>
      <c r="D6209">
        <v>46</v>
      </c>
      <c r="E6209" t="s">
        <v>70</v>
      </c>
      <c r="F6209" t="s">
        <v>114</v>
      </c>
      <c r="G6209" t="s">
        <v>72</v>
      </c>
      <c r="H6209" t="s">
        <v>155</v>
      </c>
      <c r="I6209">
        <v>20004</v>
      </c>
      <c r="J6209">
        <v>23813</v>
      </c>
    </row>
    <row r="6210" spans="1:10" x14ac:dyDescent="0.3">
      <c r="A6210" t="s">
        <v>6337</v>
      </c>
      <c r="B6210" s="1">
        <v>46002</v>
      </c>
      <c r="C6210" t="s">
        <v>100</v>
      </c>
      <c r="D6210">
        <v>50</v>
      </c>
      <c r="E6210" t="s">
        <v>70</v>
      </c>
      <c r="F6210" t="s">
        <v>46</v>
      </c>
      <c r="G6210" t="s">
        <v>44</v>
      </c>
      <c r="H6210" t="s">
        <v>68</v>
      </c>
      <c r="I6210">
        <v>35670</v>
      </c>
      <c r="J6210">
        <v>33045</v>
      </c>
    </row>
    <row r="6211" spans="1:10" x14ac:dyDescent="0.3">
      <c r="A6211" t="s">
        <v>6338</v>
      </c>
      <c r="B6211" s="1">
        <v>45668</v>
      </c>
      <c r="C6211" t="s">
        <v>17</v>
      </c>
      <c r="D6211">
        <v>2</v>
      </c>
      <c r="E6211" t="s">
        <v>70</v>
      </c>
      <c r="F6211" t="s">
        <v>57</v>
      </c>
      <c r="G6211" t="s">
        <v>118</v>
      </c>
      <c r="H6211" t="s">
        <v>211</v>
      </c>
      <c r="I6211">
        <v>37497</v>
      </c>
      <c r="J6211">
        <v>36954</v>
      </c>
    </row>
    <row r="6212" spans="1:10" x14ac:dyDescent="0.3">
      <c r="A6212" t="s">
        <v>6339</v>
      </c>
      <c r="B6212" s="1">
        <v>45668</v>
      </c>
      <c r="C6212" t="s">
        <v>17</v>
      </c>
      <c r="D6212">
        <v>2</v>
      </c>
      <c r="E6212" t="s">
        <v>33</v>
      </c>
      <c r="F6212" t="s">
        <v>57</v>
      </c>
      <c r="G6212" t="s">
        <v>182</v>
      </c>
      <c r="H6212" t="s">
        <v>157</v>
      </c>
      <c r="I6212">
        <v>21995</v>
      </c>
      <c r="J6212">
        <v>23712</v>
      </c>
    </row>
    <row r="6213" spans="1:10" x14ac:dyDescent="0.3">
      <c r="A6213" t="s">
        <v>6340</v>
      </c>
      <c r="B6213" s="1">
        <v>45779</v>
      </c>
      <c r="C6213" t="s">
        <v>90</v>
      </c>
      <c r="D6213">
        <v>18</v>
      </c>
      <c r="E6213" t="s">
        <v>33</v>
      </c>
      <c r="F6213" t="s">
        <v>13</v>
      </c>
      <c r="G6213" t="s">
        <v>145</v>
      </c>
      <c r="H6213" t="s">
        <v>163</v>
      </c>
      <c r="I6213">
        <v>27270</v>
      </c>
      <c r="J6213">
        <v>34645</v>
      </c>
    </row>
    <row r="6214" spans="1:10" x14ac:dyDescent="0.3">
      <c r="A6214" t="s">
        <v>6341</v>
      </c>
      <c r="B6214" s="1">
        <v>45783</v>
      </c>
      <c r="C6214" t="s">
        <v>90</v>
      </c>
      <c r="D6214">
        <v>19</v>
      </c>
      <c r="E6214" t="s">
        <v>33</v>
      </c>
      <c r="F6214" t="s">
        <v>46</v>
      </c>
      <c r="G6214" t="s">
        <v>67</v>
      </c>
      <c r="H6214" t="s">
        <v>84</v>
      </c>
      <c r="I6214">
        <v>19326</v>
      </c>
      <c r="J6214">
        <v>20597</v>
      </c>
    </row>
    <row r="6215" spans="1:10" x14ac:dyDescent="0.3">
      <c r="A6215" t="s">
        <v>6342</v>
      </c>
      <c r="B6215" s="1">
        <v>45849</v>
      </c>
      <c r="C6215" t="s">
        <v>11</v>
      </c>
      <c r="D6215">
        <v>28</v>
      </c>
      <c r="E6215" t="s">
        <v>12</v>
      </c>
      <c r="F6215" t="s">
        <v>19</v>
      </c>
      <c r="G6215" t="s">
        <v>63</v>
      </c>
      <c r="H6215" t="s">
        <v>103</v>
      </c>
      <c r="I6215">
        <v>30787</v>
      </c>
      <c r="J6215">
        <v>32827</v>
      </c>
    </row>
    <row r="6216" spans="1:10" x14ac:dyDescent="0.3">
      <c r="A6216" t="s">
        <v>6343</v>
      </c>
      <c r="B6216" s="1">
        <v>45994</v>
      </c>
      <c r="C6216" t="s">
        <v>100</v>
      </c>
      <c r="D6216">
        <v>49</v>
      </c>
      <c r="E6216" t="s">
        <v>33</v>
      </c>
      <c r="F6216" t="s">
        <v>34</v>
      </c>
      <c r="G6216" t="s">
        <v>128</v>
      </c>
      <c r="H6216" t="s">
        <v>41</v>
      </c>
      <c r="I6216">
        <v>22758</v>
      </c>
      <c r="J6216">
        <v>16679</v>
      </c>
    </row>
    <row r="6217" spans="1:10" x14ac:dyDescent="0.3">
      <c r="A6217" t="s">
        <v>6344</v>
      </c>
      <c r="B6217" s="1">
        <v>45707</v>
      </c>
      <c r="C6217" t="s">
        <v>82</v>
      </c>
      <c r="D6217">
        <v>8</v>
      </c>
      <c r="E6217" t="s">
        <v>70</v>
      </c>
      <c r="F6217" t="s">
        <v>13</v>
      </c>
      <c r="G6217" t="s">
        <v>191</v>
      </c>
      <c r="H6217" t="s">
        <v>59</v>
      </c>
      <c r="I6217">
        <v>34198</v>
      </c>
      <c r="J6217">
        <v>39574</v>
      </c>
    </row>
    <row r="6218" spans="1:10" x14ac:dyDescent="0.3">
      <c r="A6218" t="s">
        <v>6345</v>
      </c>
      <c r="B6218" s="1">
        <v>45826</v>
      </c>
      <c r="C6218" t="s">
        <v>74</v>
      </c>
      <c r="D6218">
        <v>25</v>
      </c>
      <c r="E6218" t="s">
        <v>33</v>
      </c>
      <c r="F6218" t="s">
        <v>25</v>
      </c>
      <c r="G6218" t="s">
        <v>291</v>
      </c>
      <c r="H6218" t="s">
        <v>84</v>
      </c>
      <c r="I6218">
        <v>31235</v>
      </c>
      <c r="J6218">
        <v>29212</v>
      </c>
    </row>
    <row r="6219" spans="1:10" x14ac:dyDescent="0.3">
      <c r="A6219" t="s">
        <v>6346</v>
      </c>
      <c r="B6219" s="1">
        <v>45922</v>
      </c>
      <c r="C6219" t="s">
        <v>38</v>
      </c>
      <c r="D6219">
        <v>39</v>
      </c>
      <c r="E6219" t="s">
        <v>33</v>
      </c>
      <c r="F6219" t="s">
        <v>34</v>
      </c>
      <c r="G6219" t="s">
        <v>72</v>
      </c>
      <c r="H6219" t="s">
        <v>27</v>
      </c>
      <c r="I6219">
        <v>18328</v>
      </c>
      <c r="J6219">
        <v>22070</v>
      </c>
    </row>
    <row r="6220" spans="1:10" x14ac:dyDescent="0.3">
      <c r="A6220" t="s">
        <v>6347</v>
      </c>
      <c r="B6220" s="1">
        <v>45865</v>
      </c>
      <c r="C6220" t="s">
        <v>11</v>
      </c>
      <c r="D6220">
        <v>30</v>
      </c>
      <c r="E6220" t="s">
        <v>70</v>
      </c>
      <c r="F6220" t="s">
        <v>43</v>
      </c>
      <c r="G6220" t="s">
        <v>20</v>
      </c>
      <c r="H6220" t="s">
        <v>157</v>
      </c>
      <c r="I6220">
        <v>26651</v>
      </c>
      <c r="J6220">
        <v>25083</v>
      </c>
    </row>
    <row r="6221" spans="1:10" x14ac:dyDescent="0.3">
      <c r="A6221" t="s">
        <v>6348</v>
      </c>
      <c r="B6221" s="1">
        <v>45957</v>
      </c>
      <c r="C6221" t="s">
        <v>66</v>
      </c>
      <c r="D6221">
        <v>44</v>
      </c>
      <c r="E6221" t="s">
        <v>39</v>
      </c>
      <c r="F6221" t="s">
        <v>34</v>
      </c>
      <c r="G6221" t="s">
        <v>58</v>
      </c>
      <c r="H6221" t="s">
        <v>98</v>
      </c>
      <c r="I6221">
        <v>36842</v>
      </c>
      <c r="J6221">
        <v>31528</v>
      </c>
    </row>
    <row r="6222" spans="1:10" x14ac:dyDescent="0.3">
      <c r="A6222" t="s">
        <v>6349</v>
      </c>
      <c r="B6222" s="1">
        <v>45743</v>
      </c>
      <c r="C6222" t="s">
        <v>95</v>
      </c>
      <c r="D6222">
        <v>13</v>
      </c>
      <c r="E6222" t="s">
        <v>12</v>
      </c>
      <c r="F6222" t="s">
        <v>13</v>
      </c>
      <c r="G6222" t="s">
        <v>83</v>
      </c>
      <c r="H6222" t="s">
        <v>41</v>
      </c>
      <c r="I6222">
        <v>23951</v>
      </c>
      <c r="J6222">
        <v>26615</v>
      </c>
    </row>
    <row r="6223" spans="1:10" x14ac:dyDescent="0.3">
      <c r="A6223" t="s">
        <v>6350</v>
      </c>
      <c r="B6223" s="1">
        <v>45991</v>
      </c>
      <c r="C6223" t="s">
        <v>23</v>
      </c>
      <c r="D6223">
        <v>48</v>
      </c>
      <c r="E6223" t="s">
        <v>61</v>
      </c>
      <c r="F6223" t="s">
        <v>92</v>
      </c>
      <c r="G6223" t="s">
        <v>253</v>
      </c>
      <c r="H6223" t="s">
        <v>119</v>
      </c>
      <c r="I6223">
        <v>22833</v>
      </c>
      <c r="J6223">
        <v>17127</v>
      </c>
    </row>
    <row r="6224" spans="1:10" x14ac:dyDescent="0.3">
      <c r="A6224" t="s">
        <v>6351</v>
      </c>
      <c r="B6224" s="1">
        <v>45781</v>
      </c>
      <c r="C6224" t="s">
        <v>90</v>
      </c>
      <c r="D6224">
        <v>18</v>
      </c>
      <c r="E6224" t="s">
        <v>70</v>
      </c>
      <c r="F6224" t="s">
        <v>34</v>
      </c>
      <c r="G6224" t="s">
        <v>107</v>
      </c>
      <c r="H6224" t="s">
        <v>59</v>
      </c>
      <c r="I6224">
        <v>33563</v>
      </c>
      <c r="J6224">
        <v>25068</v>
      </c>
    </row>
    <row r="6225" spans="1:10" x14ac:dyDescent="0.3">
      <c r="A6225" t="s">
        <v>6352</v>
      </c>
      <c r="B6225" s="1">
        <v>45960</v>
      </c>
      <c r="C6225" t="s">
        <v>66</v>
      </c>
      <c r="D6225">
        <v>44</v>
      </c>
      <c r="E6225" t="s">
        <v>12</v>
      </c>
      <c r="F6225" t="s">
        <v>109</v>
      </c>
      <c r="G6225" t="s">
        <v>135</v>
      </c>
      <c r="H6225" t="s">
        <v>188</v>
      </c>
      <c r="I6225">
        <v>34901</v>
      </c>
      <c r="J6225">
        <v>32439</v>
      </c>
    </row>
    <row r="6226" spans="1:10" x14ac:dyDescent="0.3">
      <c r="A6226" t="s">
        <v>6353</v>
      </c>
      <c r="B6226" s="1">
        <v>45721</v>
      </c>
      <c r="C6226" t="s">
        <v>95</v>
      </c>
      <c r="D6226">
        <v>10</v>
      </c>
      <c r="E6226" t="s">
        <v>39</v>
      </c>
      <c r="F6226" t="s">
        <v>101</v>
      </c>
      <c r="G6226" t="s">
        <v>324</v>
      </c>
      <c r="H6226" t="s">
        <v>48</v>
      </c>
      <c r="I6226">
        <v>26584</v>
      </c>
      <c r="J6226">
        <v>21598</v>
      </c>
    </row>
    <row r="6227" spans="1:10" x14ac:dyDescent="0.3">
      <c r="A6227" t="s">
        <v>6354</v>
      </c>
      <c r="B6227" s="1">
        <v>45675</v>
      </c>
      <c r="C6227" t="s">
        <v>17</v>
      </c>
      <c r="D6227">
        <v>3</v>
      </c>
      <c r="E6227" t="s">
        <v>61</v>
      </c>
      <c r="F6227" t="s">
        <v>75</v>
      </c>
      <c r="G6227" t="s">
        <v>47</v>
      </c>
      <c r="H6227" t="s">
        <v>68</v>
      </c>
      <c r="I6227">
        <v>18977</v>
      </c>
      <c r="J6227">
        <v>21099</v>
      </c>
    </row>
    <row r="6228" spans="1:10" x14ac:dyDescent="0.3">
      <c r="A6228" t="s">
        <v>6355</v>
      </c>
      <c r="B6228" s="1">
        <v>45934</v>
      </c>
      <c r="C6228" t="s">
        <v>66</v>
      </c>
      <c r="D6228">
        <v>40</v>
      </c>
      <c r="E6228" t="s">
        <v>39</v>
      </c>
      <c r="F6228" t="s">
        <v>19</v>
      </c>
      <c r="G6228" t="s">
        <v>135</v>
      </c>
      <c r="H6228" t="s">
        <v>155</v>
      </c>
      <c r="I6228">
        <v>36334</v>
      </c>
      <c r="J6228">
        <v>32649</v>
      </c>
    </row>
    <row r="6229" spans="1:10" x14ac:dyDescent="0.3">
      <c r="A6229" t="s">
        <v>6356</v>
      </c>
      <c r="B6229" s="1">
        <v>45744</v>
      </c>
      <c r="C6229" t="s">
        <v>95</v>
      </c>
      <c r="D6229">
        <v>13</v>
      </c>
      <c r="E6229" t="s">
        <v>24</v>
      </c>
      <c r="F6229" t="s">
        <v>57</v>
      </c>
      <c r="G6229" t="s">
        <v>107</v>
      </c>
      <c r="H6229" t="s">
        <v>116</v>
      </c>
      <c r="I6229">
        <v>24049</v>
      </c>
      <c r="J6229">
        <v>28250</v>
      </c>
    </row>
    <row r="6230" spans="1:10" x14ac:dyDescent="0.3">
      <c r="A6230" t="s">
        <v>6357</v>
      </c>
      <c r="B6230" s="1">
        <v>45896</v>
      </c>
      <c r="C6230" t="s">
        <v>113</v>
      </c>
      <c r="D6230">
        <v>35</v>
      </c>
      <c r="E6230" t="s">
        <v>18</v>
      </c>
      <c r="F6230" t="s">
        <v>25</v>
      </c>
      <c r="G6230" t="s">
        <v>326</v>
      </c>
      <c r="H6230" t="s">
        <v>27</v>
      </c>
      <c r="I6230">
        <v>24229</v>
      </c>
      <c r="J6230">
        <v>16963</v>
      </c>
    </row>
    <row r="6231" spans="1:10" x14ac:dyDescent="0.3">
      <c r="A6231" t="s">
        <v>6358</v>
      </c>
      <c r="B6231" s="1">
        <v>45866</v>
      </c>
      <c r="C6231" t="s">
        <v>11</v>
      </c>
      <c r="D6231">
        <v>31</v>
      </c>
      <c r="E6231" t="s">
        <v>70</v>
      </c>
      <c r="F6231" t="s">
        <v>13</v>
      </c>
      <c r="G6231" t="s">
        <v>107</v>
      </c>
      <c r="H6231" t="s">
        <v>157</v>
      </c>
      <c r="I6231">
        <v>24222</v>
      </c>
      <c r="J6231">
        <v>18019</v>
      </c>
    </row>
    <row r="6232" spans="1:10" x14ac:dyDescent="0.3">
      <c r="A6232" t="s">
        <v>6359</v>
      </c>
      <c r="B6232" s="1">
        <v>45826</v>
      </c>
      <c r="C6232" t="s">
        <v>74</v>
      </c>
      <c r="D6232">
        <v>25</v>
      </c>
      <c r="E6232" t="s">
        <v>33</v>
      </c>
      <c r="F6232" t="s">
        <v>92</v>
      </c>
      <c r="G6232" t="s">
        <v>132</v>
      </c>
      <c r="H6232" t="s">
        <v>188</v>
      </c>
      <c r="I6232">
        <v>21678</v>
      </c>
      <c r="J6232">
        <v>16112</v>
      </c>
    </row>
    <row r="6233" spans="1:10" x14ac:dyDescent="0.3">
      <c r="A6233" t="s">
        <v>6360</v>
      </c>
      <c r="B6233" s="1">
        <v>45690</v>
      </c>
      <c r="C6233" t="s">
        <v>82</v>
      </c>
      <c r="D6233">
        <v>5</v>
      </c>
      <c r="E6233" t="s">
        <v>12</v>
      </c>
      <c r="F6233" t="s">
        <v>50</v>
      </c>
      <c r="G6233" t="s">
        <v>88</v>
      </c>
      <c r="H6233" t="s">
        <v>55</v>
      </c>
      <c r="I6233">
        <v>18616</v>
      </c>
      <c r="J6233">
        <v>13893</v>
      </c>
    </row>
    <row r="6234" spans="1:10" x14ac:dyDescent="0.3">
      <c r="A6234" t="s">
        <v>6361</v>
      </c>
      <c r="B6234" s="1">
        <v>45815</v>
      </c>
      <c r="C6234" t="s">
        <v>74</v>
      </c>
      <c r="D6234">
        <v>23</v>
      </c>
      <c r="E6234" t="s">
        <v>70</v>
      </c>
      <c r="F6234" t="s">
        <v>140</v>
      </c>
      <c r="G6234" t="s">
        <v>266</v>
      </c>
      <c r="H6234" t="s">
        <v>133</v>
      </c>
      <c r="I6234">
        <v>17893</v>
      </c>
      <c r="J6234">
        <v>21870</v>
      </c>
    </row>
    <row r="6235" spans="1:10" x14ac:dyDescent="0.3">
      <c r="A6235" t="s">
        <v>6362</v>
      </c>
      <c r="B6235" s="1">
        <v>45944</v>
      </c>
      <c r="C6235" t="s">
        <v>66</v>
      </c>
      <c r="D6235">
        <v>42</v>
      </c>
      <c r="E6235" t="s">
        <v>70</v>
      </c>
      <c r="F6235" t="s">
        <v>109</v>
      </c>
      <c r="G6235" t="s">
        <v>137</v>
      </c>
      <c r="H6235" t="s">
        <v>151</v>
      </c>
      <c r="I6235">
        <v>33600</v>
      </c>
      <c r="J6235">
        <v>39965</v>
      </c>
    </row>
    <row r="6236" spans="1:10" x14ac:dyDescent="0.3">
      <c r="A6236" t="s">
        <v>6363</v>
      </c>
      <c r="B6236" s="1">
        <v>45937</v>
      </c>
      <c r="C6236" t="s">
        <v>66</v>
      </c>
      <c r="D6236">
        <v>41</v>
      </c>
      <c r="E6236" t="s">
        <v>70</v>
      </c>
      <c r="F6236" t="s">
        <v>13</v>
      </c>
      <c r="G6236" t="s">
        <v>324</v>
      </c>
      <c r="H6236" t="s">
        <v>119</v>
      </c>
      <c r="I6236">
        <v>28060</v>
      </c>
      <c r="J6236">
        <v>22261</v>
      </c>
    </row>
    <row r="6237" spans="1:10" x14ac:dyDescent="0.3">
      <c r="A6237" t="s">
        <v>6364</v>
      </c>
      <c r="B6237" s="1">
        <v>46019</v>
      </c>
      <c r="C6237" t="s">
        <v>100</v>
      </c>
      <c r="D6237">
        <v>52</v>
      </c>
      <c r="E6237" t="s">
        <v>33</v>
      </c>
      <c r="F6237" t="s">
        <v>62</v>
      </c>
      <c r="G6237" t="s">
        <v>83</v>
      </c>
      <c r="H6237" t="s">
        <v>36</v>
      </c>
      <c r="I6237">
        <v>33173</v>
      </c>
      <c r="J6237">
        <v>23368</v>
      </c>
    </row>
    <row r="6238" spans="1:10" x14ac:dyDescent="0.3">
      <c r="A6238" t="s">
        <v>6365</v>
      </c>
      <c r="B6238" s="1">
        <v>45933</v>
      </c>
      <c r="C6238" t="s">
        <v>66</v>
      </c>
      <c r="D6238">
        <v>40</v>
      </c>
      <c r="E6238" t="s">
        <v>18</v>
      </c>
      <c r="F6238" t="s">
        <v>46</v>
      </c>
      <c r="G6238" t="s">
        <v>14</v>
      </c>
      <c r="H6238" t="s">
        <v>157</v>
      </c>
      <c r="I6238">
        <v>19073</v>
      </c>
      <c r="J6238">
        <v>16836</v>
      </c>
    </row>
    <row r="6239" spans="1:10" x14ac:dyDescent="0.3">
      <c r="A6239" t="s">
        <v>6366</v>
      </c>
      <c r="B6239" s="1">
        <v>45691</v>
      </c>
      <c r="C6239" t="s">
        <v>82</v>
      </c>
      <c r="D6239">
        <v>6</v>
      </c>
      <c r="E6239" t="s">
        <v>61</v>
      </c>
      <c r="F6239" t="s">
        <v>78</v>
      </c>
      <c r="G6239" t="s">
        <v>230</v>
      </c>
      <c r="H6239" t="s">
        <v>36</v>
      </c>
      <c r="I6239">
        <v>33575</v>
      </c>
      <c r="J6239">
        <v>24279</v>
      </c>
    </row>
    <row r="6240" spans="1:10" x14ac:dyDescent="0.3">
      <c r="A6240" t="s">
        <v>6367</v>
      </c>
      <c r="B6240" s="1">
        <v>45690</v>
      </c>
      <c r="C6240" t="s">
        <v>82</v>
      </c>
      <c r="D6240">
        <v>5</v>
      </c>
      <c r="E6240" t="s">
        <v>18</v>
      </c>
      <c r="F6240" t="s">
        <v>13</v>
      </c>
      <c r="G6240" t="s">
        <v>145</v>
      </c>
      <c r="H6240" t="s">
        <v>98</v>
      </c>
      <c r="I6240">
        <v>34766</v>
      </c>
      <c r="J6240">
        <v>32039</v>
      </c>
    </row>
    <row r="6241" spans="1:10" x14ac:dyDescent="0.3">
      <c r="A6241" t="s">
        <v>6368</v>
      </c>
      <c r="B6241" s="1">
        <v>45703</v>
      </c>
      <c r="C6241" t="s">
        <v>82</v>
      </c>
      <c r="D6241">
        <v>7</v>
      </c>
      <c r="E6241" t="s">
        <v>39</v>
      </c>
      <c r="F6241" t="s">
        <v>122</v>
      </c>
      <c r="G6241" t="s">
        <v>83</v>
      </c>
      <c r="H6241" t="s">
        <v>211</v>
      </c>
      <c r="I6241">
        <v>24283</v>
      </c>
      <c r="J6241">
        <v>25397</v>
      </c>
    </row>
    <row r="6242" spans="1:10" x14ac:dyDescent="0.3">
      <c r="A6242" t="s">
        <v>6369</v>
      </c>
      <c r="B6242" s="1">
        <v>45837</v>
      </c>
      <c r="C6242" t="s">
        <v>74</v>
      </c>
      <c r="D6242">
        <v>26</v>
      </c>
      <c r="E6242" t="s">
        <v>39</v>
      </c>
      <c r="F6242" t="s">
        <v>114</v>
      </c>
      <c r="G6242" t="s">
        <v>44</v>
      </c>
      <c r="H6242" t="s">
        <v>151</v>
      </c>
      <c r="I6242">
        <v>31491</v>
      </c>
      <c r="J6242">
        <v>39215</v>
      </c>
    </row>
    <row r="6243" spans="1:10" x14ac:dyDescent="0.3">
      <c r="A6243" t="s">
        <v>6370</v>
      </c>
      <c r="B6243" s="1">
        <v>45767</v>
      </c>
      <c r="C6243" t="s">
        <v>86</v>
      </c>
      <c r="D6243">
        <v>16</v>
      </c>
      <c r="E6243" t="s">
        <v>33</v>
      </c>
      <c r="F6243" t="s">
        <v>34</v>
      </c>
      <c r="G6243" t="s">
        <v>72</v>
      </c>
      <c r="H6243" t="s">
        <v>103</v>
      </c>
      <c r="I6243">
        <v>36752</v>
      </c>
      <c r="J6243">
        <v>41946</v>
      </c>
    </row>
    <row r="6244" spans="1:10" x14ac:dyDescent="0.3">
      <c r="A6244" t="s">
        <v>6371</v>
      </c>
      <c r="B6244" s="1">
        <v>46010</v>
      </c>
      <c r="C6244" t="s">
        <v>100</v>
      </c>
      <c r="D6244">
        <v>51</v>
      </c>
      <c r="E6244" t="s">
        <v>33</v>
      </c>
      <c r="F6244" t="s">
        <v>57</v>
      </c>
      <c r="G6244" t="s">
        <v>326</v>
      </c>
      <c r="H6244" t="s">
        <v>165</v>
      </c>
      <c r="I6244">
        <v>22418</v>
      </c>
      <c r="J6244">
        <v>25901</v>
      </c>
    </row>
    <row r="6245" spans="1:10" x14ac:dyDescent="0.3">
      <c r="A6245" t="s">
        <v>6372</v>
      </c>
      <c r="B6245" s="1">
        <v>45911</v>
      </c>
      <c r="C6245" t="s">
        <v>38</v>
      </c>
      <c r="D6245">
        <v>37</v>
      </c>
      <c r="E6245" t="s">
        <v>61</v>
      </c>
      <c r="F6245" t="s">
        <v>114</v>
      </c>
      <c r="G6245" t="s">
        <v>266</v>
      </c>
      <c r="H6245" t="s">
        <v>111</v>
      </c>
      <c r="I6245">
        <v>26944</v>
      </c>
      <c r="J6245">
        <v>21368</v>
      </c>
    </row>
    <row r="6246" spans="1:10" x14ac:dyDescent="0.3">
      <c r="A6246" t="s">
        <v>6373</v>
      </c>
      <c r="B6246" s="1">
        <v>45691</v>
      </c>
      <c r="C6246" t="s">
        <v>82</v>
      </c>
      <c r="D6246">
        <v>6</v>
      </c>
      <c r="E6246" t="s">
        <v>70</v>
      </c>
      <c r="F6246" t="s">
        <v>34</v>
      </c>
      <c r="G6246" t="s">
        <v>132</v>
      </c>
      <c r="H6246" t="s">
        <v>157</v>
      </c>
      <c r="I6246">
        <v>32446</v>
      </c>
      <c r="J6246">
        <v>32912</v>
      </c>
    </row>
    <row r="6247" spans="1:10" x14ac:dyDescent="0.3">
      <c r="A6247" t="s">
        <v>6374</v>
      </c>
      <c r="B6247" s="1">
        <v>46000</v>
      </c>
      <c r="C6247" t="s">
        <v>100</v>
      </c>
      <c r="D6247">
        <v>50</v>
      </c>
      <c r="E6247" t="s">
        <v>18</v>
      </c>
      <c r="F6247" t="s">
        <v>62</v>
      </c>
      <c r="G6247" t="s">
        <v>182</v>
      </c>
      <c r="H6247" t="s">
        <v>211</v>
      </c>
      <c r="I6247">
        <v>30138</v>
      </c>
      <c r="J6247">
        <v>38264</v>
      </c>
    </row>
    <row r="6248" spans="1:10" x14ac:dyDescent="0.3">
      <c r="A6248" t="s">
        <v>6375</v>
      </c>
      <c r="B6248" s="1">
        <v>46015</v>
      </c>
      <c r="C6248" t="s">
        <v>100</v>
      </c>
      <c r="D6248">
        <v>52</v>
      </c>
      <c r="E6248" t="s">
        <v>39</v>
      </c>
      <c r="F6248" t="s">
        <v>29</v>
      </c>
      <c r="G6248" t="s">
        <v>110</v>
      </c>
      <c r="H6248" t="s">
        <v>48</v>
      </c>
      <c r="I6248">
        <v>32848</v>
      </c>
      <c r="J6248">
        <v>41998</v>
      </c>
    </row>
    <row r="6249" spans="1:10" x14ac:dyDescent="0.3">
      <c r="A6249" t="s">
        <v>6376</v>
      </c>
      <c r="B6249" s="1">
        <v>45995</v>
      </c>
      <c r="C6249" t="s">
        <v>100</v>
      </c>
      <c r="D6249">
        <v>49</v>
      </c>
      <c r="E6249" t="s">
        <v>18</v>
      </c>
      <c r="F6249" t="s">
        <v>75</v>
      </c>
      <c r="G6249" t="s">
        <v>115</v>
      </c>
      <c r="H6249" t="s">
        <v>55</v>
      </c>
      <c r="I6249">
        <v>20027</v>
      </c>
      <c r="J6249">
        <v>20526</v>
      </c>
    </row>
    <row r="6250" spans="1:10" x14ac:dyDescent="0.3">
      <c r="A6250" t="s">
        <v>6377</v>
      </c>
      <c r="B6250" s="1">
        <v>46014</v>
      </c>
      <c r="C6250" t="s">
        <v>100</v>
      </c>
      <c r="D6250">
        <v>52</v>
      </c>
      <c r="E6250" t="s">
        <v>70</v>
      </c>
      <c r="F6250" t="s">
        <v>114</v>
      </c>
      <c r="G6250" t="s">
        <v>67</v>
      </c>
      <c r="H6250" t="s">
        <v>165</v>
      </c>
      <c r="I6250">
        <v>30290</v>
      </c>
      <c r="J6250">
        <v>36508</v>
      </c>
    </row>
    <row r="6251" spans="1:10" x14ac:dyDescent="0.3">
      <c r="A6251" t="s">
        <v>6378</v>
      </c>
      <c r="B6251" s="1">
        <v>45903</v>
      </c>
      <c r="C6251" t="s">
        <v>38</v>
      </c>
      <c r="D6251">
        <v>36</v>
      </c>
      <c r="E6251" t="s">
        <v>70</v>
      </c>
      <c r="F6251" t="s">
        <v>78</v>
      </c>
      <c r="G6251" t="s">
        <v>72</v>
      </c>
      <c r="H6251" t="s">
        <v>155</v>
      </c>
      <c r="I6251">
        <v>33308</v>
      </c>
      <c r="J6251">
        <v>32276</v>
      </c>
    </row>
    <row r="6252" spans="1:10" x14ac:dyDescent="0.3">
      <c r="A6252" t="s">
        <v>6379</v>
      </c>
      <c r="B6252" s="1">
        <v>45977</v>
      </c>
      <c r="C6252" t="s">
        <v>23</v>
      </c>
      <c r="D6252">
        <v>46</v>
      </c>
      <c r="E6252" t="s">
        <v>70</v>
      </c>
      <c r="F6252" t="s">
        <v>140</v>
      </c>
      <c r="G6252" t="s">
        <v>115</v>
      </c>
      <c r="H6252" t="s">
        <v>123</v>
      </c>
      <c r="I6252">
        <v>25617</v>
      </c>
      <c r="J6252">
        <v>22164</v>
      </c>
    </row>
    <row r="6253" spans="1:10" x14ac:dyDescent="0.3">
      <c r="A6253" t="s">
        <v>6380</v>
      </c>
      <c r="B6253" s="1">
        <v>45777</v>
      </c>
      <c r="C6253" t="s">
        <v>86</v>
      </c>
      <c r="D6253">
        <v>18</v>
      </c>
      <c r="E6253" t="s">
        <v>70</v>
      </c>
      <c r="F6253" t="s">
        <v>34</v>
      </c>
      <c r="G6253" t="s">
        <v>72</v>
      </c>
      <c r="H6253" t="s">
        <v>133</v>
      </c>
      <c r="I6253">
        <v>26707</v>
      </c>
      <c r="J6253">
        <v>24153</v>
      </c>
    </row>
    <row r="6254" spans="1:10" x14ac:dyDescent="0.3">
      <c r="A6254" t="s">
        <v>6381</v>
      </c>
      <c r="B6254" s="1">
        <v>45715</v>
      </c>
      <c r="C6254" t="s">
        <v>82</v>
      </c>
      <c r="D6254">
        <v>9</v>
      </c>
      <c r="E6254" t="s">
        <v>24</v>
      </c>
      <c r="F6254" t="s">
        <v>43</v>
      </c>
      <c r="G6254" t="s">
        <v>26</v>
      </c>
      <c r="H6254" t="s">
        <v>188</v>
      </c>
      <c r="I6254">
        <v>36211</v>
      </c>
      <c r="J6254">
        <v>40545</v>
      </c>
    </row>
    <row r="6255" spans="1:10" x14ac:dyDescent="0.3">
      <c r="A6255" t="s">
        <v>6382</v>
      </c>
      <c r="B6255" s="1">
        <v>45797</v>
      </c>
      <c r="C6255" t="s">
        <v>90</v>
      </c>
      <c r="D6255">
        <v>21</v>
      </c>
      <c r="E6255" t="s">
        <v>70</v>
      </c>
      <c r="F6255" t="s">
        <v>57</v>
      </c>
      <c r="G6255" t="s">
        <v>44</v>
      </c>
      <c r="H6255" t="s">
        <v>15</v>
      </c>
      <c r="I6255">
        <v>28556</v>
      </c>
      <c r="J6255">
        <v>29429</v>
      </c>
    </row>
    <row r="6256" spans="1:10" x14ac:dyDescent="0.3">
      <c r="A6256" t="s">
        <v>6383</v>
      </c>
      <c r="B6256" s="1">
        <v>45758</v>
      </c>
      <c r="C6256" t="s">
        <v>86</v>
      </c>
      <c r="D6256">
        <v>15</v>
      </c>
      <c r="E6256" t="s">
        <v>61</v>
      </c>
      <c r="F6256" t="s">
        <v>87</v>
      </c>
      <c r="G6256" t="s">
        <v>149</v>
      </c>
      <c r="H6256" t="s">
        <v>133</v>
      </c>
      <c r="I6256">
        <v>17984</v>
      </c>
      <c r="J6256">
        <v>21379</v>
      </c>
    </row>
    <row r="6257" spans="1:10" x14ac:dyDescent="0.3">
      <c r="A6257" t="s">
        <v>6384</v>
      </c>
      <c r="B6257" s="1">
        <v>45786</v>
      </c>
      <c r="C6257" t="s">
        <v>90</v>
      </c>
      <c r="D6257">
        <v>19</v>
      </c>
      <c r="E6257" t="s">
        <v>61</v>
      </c>
      <c r="F6257" t="s">
        <v>193</v>
      </c>
      <c r="G6257" t="s">
        <v>35</v>
      </c>
      <c r="H6257" t="s">
        <v>123</v>
      </c>
      <c r="I6257">
        <v>16658</v>
      </c>
      <c r="J6257">
        <v>12587</v>
      </c>
    </row>
    <row r="6258" spans="1:10" x14ac:dyDescent="0.3">
      <c r="A6258" t="s">
        <v>6385</v>
      </c>
      <c r="B6258" s="1">
        <v>45912</v>
      </c>
      <c r="C6258" t="s">
        <v>38</v>
      </c>
      <c r="D6258">
        <v>37</v>
      </c>
      <c r="E6258" t="s">
        <v>18</v>
      </c>
      <c r="F6258" t="s">
        <v>109</v>
      </c>
      <c r="G6258" t="s">
        <v>199</v>
      </c>
      <c r="H6258" t="s">
        <v>155</v>
      </c>
      <c r="I6258">
        <v>31016</v>
      </c>
      <c r="J6258">
        <v>29395</v>
      </c>
    </row>
    <row r="6259" spans="1:10" x14ac:dyDescent="0.3">
      <c r="A6259" t="s">
        <v>6386</v>
      </c>
      <c r="B6259" s="1">
        <v>45668</v>
      </c>
      <c r="C6259" t="s">
        <v>17</v>
      </c>
      <c r="D6259">
        <v>2</v>
      </c>
      <c r="E6259" t="s">
        <v>33</v>
      </c>
      <c r="F6259" t="s">
        <v>13</v>
      </c>
      <c r="G6259" t="s">
        <v>93</v>
      </c>
      <c r="H6259" t="s">
        <v>96</v>
      </c>
      <c r="I6259">
        <v>18359</v>
      </c>
      <c r="J6259">
        <v>18665</v>
      </c>
    </row>
    <row r="6260" spans="1:10" x14ac:dyDescent="0.3">
      <c r="A6260" t="s">
        <v>6387</v>
      </c>
      <c r="B6260" s="1">
        <v>45691</v>
      </c>
      <c r="C6260" t="s">
        <v>82</v>
      </c>
      <c r="D6260">
        <v>6</v>
      </c>
      <c r="E6260" t="s">
        <v>18</v>
      </c>
      <c r="F6260" t="s">
        <v>101</v>
      </c>
      <c r="G6260" t="s">
        <v>141</v>
      </c>
      <c r="H6260" t="s">
        <v>151</v>
      </c>
      <c r="I6260">
        <v>34126</v>
      </c>
      <c r="J6260">
        <v>42200</v>
      </c>
    </row>
    <row r="6261" spans="1:10" x14ac:dyDescent="0.3">
      <c r="A6261" t="s">
        <v>6388</v>
      </c>
      <c r="B6261" s="1">
        <v>45769</v>
      </c>
      <c r="C6261" t="s">
        <v>86</v>
      </c>
      <c r="D6261">
        <v>17</v>
      </c>
      <c r="E6261" t="s">
        <v>61</v>
      </c>
      <c r="F6261" t="s">
        <v>57</v>
      </c>
      <c r="G6261" t="s">
        <v>72</v>
      </c>
      <c r="H6261" t="s">
        <v>48</v>
      </c>
      <c r="I6261">
        <v>30937</v>
      </c>
      <c r="J6261">
        <v>30639</v>
      </c>
    </row>
    <row r="6262" spans="1:10" x14ac:dyDescent="0.3">
      <c r="A6262" t="s">
        <v>6389</v>
      </c>
      <c r="B6262" s="1">
        <v>45720</v>
      </c>
      <c r="C6262" t="s">
        <v>95</v>
      </c>
      <c r="D6262">
        <v>10</v>
      </c>
      <c r="E6262" t="s">
        <v>12</v>
      </c>
      <c r="F6262" t="s">
        <v>193</v>
      </c>
      <c r="G6262" t="s">
        <v>72</v>
      </c>
      <c r="H6262" t="s">
        <v>41</v>
      </c>
      <c r="I6262">
        <v>25210</v>
      </c>
      <c r="J6262">
        <v>29012</v>
      </c>
    </row>
    <row r="6263" spans="1:10" x14ac:dyDescent="0.3">
      <c r="A6263" t="s">
        <v>6390</v>
      </c>
      <c r="B6263" s="1">
        <v>45957</v>
      </c>
      <c r="C6263" t="s">
        <v>66</v>
      </c>
      <c r="D6263">
        <v>44</v>
      </c>
      <c r="E6263" t="s">
        <v>61</v>
      </c>
      <c r="F6263" t="s">
        <v>75</v>
      </c>
      <c r="G6263" t="s">
        <v>63</v>
      </c>
      <c r="H6263" t="s">
        <v>64</v>
      </c>
      <c r="I6263">
        <v>24721</v>
      </c>
      <c r="J6263">
        <v>26653</v>
      </c>
    </row>
    <row r="6264" spans="1:10" x14ac:dyDescent="0.3">
      <c r="A6264" t="s">
        <v>6391</v>
      </c>
      <c r="B6264" s="1">
        <v>45683</v>
      </c>
      <c r="C6264" t="s">
        <v>17</v>
      </c>
      <c r="D6264">
        <v>4</v>
      </c>
      <c r="E6264" t="s">
        <v>24</v>
      </c>
      <c r="F6264" t="s">
        <v>87</v>
      </c>
      <c r="G6264" t="s">
        <v>326</v>
      </c>
      <c r="H6264" t="s">
        <v>98</v>
      </c>
      <c r="I6264">
        <v>17007</v>
      </c>
      <c r="J6264">
        <v>14016</v>
      </c>
    </row>
    <row r="6265" spans="1:10" x14ac:dyDescent="0.3">
      <c r="A6265" t="s">
        <v>6392</v>
      </c>
      <c r="B6265" s="1">
        <v>46001</v>
      </c>
      <c r="C6265" t="s">
        <v>100</v>
      </c>
      <c r="D6265">
        <v>50</v>
      </c>
      <c r="E6265" t="s">
        <v>70</v>
      </c>
      <c r="F6265" t="s">
        <v>13</v>
      </c>
      <c r="G6265" t="s">
        <v>126</v>
      </c>
      <c r="H6265" t="s">
        <v>211</v>
      </c>
      <c r="I6265">
        <v>21110</v>
      </c>
      <c r="J6265">
        <v>25251</v>
      </c>
    </row>
    <row r="6266" spans="1:10" x14ac:dyDescent="0.3">
      <c r="A6266" t="s">
        <v>6393</v>
      </c>
      <c r="B6266" s="1">
        <v>45798</v>
      </c>
      <c r="C6266" t="s">
        <v>90</v>
      </c>
      <c r="D6266">
        <v>21</v>
      </c>
      <c r="E6266" t="s">
        <v>70</v>
      </c>
      <c r="F6266" t="s">
        <v>92</v>
      </c>
      <c r="G6266" t="s">
        <v>88</v>
      </c>
      <c r="H6266" t="s">
        <v>96</v>
      </c>
      <c r="I6266">
        <v>35449</v>
      </c>
      <c r="J6266">
        <v>29763</v>
      </c>
    </row>
    <row r="6267" spans="1:10" x14ac:dyDescent="0.3">
      <c r="A6267" t="s">
        <v>6394</v>
      </c>
      <c r="B6267" s="1">
        <v>45770</v>
      </c>
      <c r="C6267" t="s">
        <v>86</v>
      </c>
      <c r="D6267">
        <v>17</v>
      </c>
      <c r="E6267" t="s">
        <v>24</v>
      </c>
      <c r="F6267" t="s">
        <v>193</v>
      </c>
      <c r="G6267" t="s">
        <v>107</v>
      </c>
      <c r="H6267" t="s">
        <v>36</v>
      </c>
      <c r="I6267">
        <v>38822</v>
      </c>
      <c r="J6267">
        <v>30212</v>
      </c>
    </row>
    <row r="6268" spans="1:10" x14ac:dyDescent="0.3">
      <c r="A6268" t="s">
        <v>6395</v>
      </c>
      <c r="B6268" s="1">
        <v>45699</v>
      </c>
      <c r="C6268" t="s">
        <v>82</v>
      </c>
      <c r="D6268">
        <v>7</v>
      </c>
      <c r="E6268" t="s">
        <v>24</v>
      </c>
      <c r="F6268" t="s">
        <v>92</v>
      </c>
      <c r="G6268" t="s">
        <v>266</v>
      </c>
      <c r="H6268" t="s">
        <v>21</v>
      </c>
      <c r="I6268">
        <v>18620</v>
      </c>
      <c r="J6268">
        <v>14513</v>
      </c>
    </row>
    <row r="6269" spans="1:10" x14ac:dyDescent="0.3">
      <c r="A6269" t="s">
        <v>6396</v>
      </c>
      <c r="B6269" s="1">
        <v>45854</v>
      </c>
      <c r="C6269" t="s">
        <v>11</v>
      </c>
      <c r="D6269">
        <v>29</v>
      </c>
      <c r="E6269" t="s">
        <v>61</v>
      </c>
      <c r="F6269" t="s">
        <v>46</v>
      </c>
      <c r="G6269" t="s">
        <v>107</v>
      </c>
      <c r="H6269" t="s">
        <v>133</v>
      </c>
      <c r="I6269">
        <v>18842</v>
      </c>
      <c r="J6269">
        <v>23395</v>
      </c>
    </row>
    <row r="6270" spans="1:10" x14ac:dyDescent="0.3">
      <c r="A6270" t="s">
        <v>6397</v>
      </c>
      <c r="B6270" s="1">
        <v>45670</v>
      </c>
      <c r="C6270" t="s">
        <v>17</v>
      </c>
      <c r="D6270">
        <v>3</v>
      </c>
      <c r="E6270" t="s">
        <v>33</v>
      </c>
      <c r="F6270" t="s">
        <v>109</v>
      </c>
      <c r="G6270" t="s">
        <v>132</v>
      </c>
      <c r="H6270" t="s">
        <v>41</v>
      </c>
      <c r="I6270">
        <v>30207</v>
      </c>
      <c r="J6270">
        <v>34122</v>
      </c>
    </row>
    <row r="6271" spans="1:10" x14ac:dyDescent="0.3">
      <c r="A6271" t="s">
        <v>6398</v>
      </c>
      <c r="B6271" s="1">
        <v>45689</v>
      </c>
      <c r="C6271" t="s">
        <v>82</v>
      </c>
      <c r="D6271">
        <v>5</v>
      </c>
      <c r="E6271" t="s">
        <v>33</v>
      </c>
      <c r="F6271" t="s">
        <v>25</v>
      </c>
      <c r="G6271" t="s">
        <v>135</v>
      </c>
      <c r="H6271" t="s">
        <v>243</v>
      </c>
      <c r="I6271">
        <v>24931</v>
      </c>
      <c r="J6271">
        <v>19690</v>
      </c>
    </row>
    <row r="6272" spans="1:10" x14ac:dyDescent="0.3">
      <c r="A6272" t="s">
        <v>6399</v>
      </c>
      <c r="B6272" s="1">
        <v>45909</v>
      </c>
      <c r="C6272" t="s">
        <v>38</v>
      </c>
      <c r="D6272">
        <v>37</v>
      </c>
      <c r="E6272" t="s">
        <v>39</v>
      </c>
      <c r="F6272" t="s">
        <v>78</v>
      </c>
      <c r="G6272" t="s">
        <v>201</v>
      </c>
      <c r="H6272" t="s">
        <v>119</v>
      </c>
      <c r="I6272">
        <v>21510</v>
      </c>
      <c r="J6272">
        <v>21142</v>
      </c>
    </row>
    <row r="6273" spans="1:10" x14ac:dyDescent="0.3">
      <c r="A6273" t="s">
        <v>6400</v>
      </c>
      <c r="B6273" s="1">
        <v>45842</v>
      </c>
      <c r="C6273" t="s">
        <v>11</v>
      </c>
      <c r="D6273">
        <v>27</v>
      </c>
      <c r="E6273" t="s">
        <v>24</v>
      </c>
      <c r="F6273" t="s">
        <v>46</v>
      </c>
      <c r="G6273" t="s">
        <v>115</v>
      </c>
      <c r="H6273" t="s">
        <v>52</v>
      </c>
      <c r="I6273">
        <v>37084</v>
      </c>
      <c r="J6273">
        <v>35683</v>
      </c>
    </row>
    <row r="6274" spans="1:10" x14ac:dyDescent="0.3">
      <c r="A6274" t="s">
        <v>6401</v>
      </c>
      <c r="B6274" s="1">
        <v>45993</v>
      </c>
      <c r="C6274" t="s">
        <v>100</v>
      </c>
      <c r="D6274">
        <v>49</v>
      </c>
      <c r="E6274" t="s">
        <v>61</v>
      </c>
      <c r="F6274" t="s">
        <v>140</v>
      </c>
      <c r="G6274" t="s">
        <v>126</v>
      </c>
      <c r="H6274" t="s">
        <v>31</v>
      </c>
      <c r="I6274">
        <v>33460</v>
      </c>
      <c r="J6274">
        <v>40680</v>
      </c>
    </row>
    <row r="6275" spans="1:10" x14ac:dyDescent="0.3">
      <c r="A6275" t="s">
        <v>6402</v>
      </c>
      <c r="B6275" s="1">
        <v>45948</v>
      </c>
      <c r="C6275" t="s">
        <v>66</v>
      </c>
      <c r="D6275">
        <v>42</v>
      </c>
      <c r="E6275" t="s">
        <v>39</v>
      </c>
      <c r="F6275" t="s">
        <v>25</v>
      </c>
      <c r="G6275" t="s">
        <v>135</v>
      </c>
      <c r="H6275" t="s">
        <v>96</v>
      </c>
      <c r="I6275">
        <v>23451</v>
      </c>
      <c r="J6275">
        <v>22370</v>
      </c>
    </row>
    <row r="6276" spans="1:10" x14ac:dyDescent="0.3">
      <c r="A6276" t="s">
        <v>6403</v>
      </c>
      <c r="B6276" s="1">
        <v>45748</v>
      </c>
      <c r="C6276" t="s">
        <v>86</v>
      </c>
      <c r="D6276">
        <v>14</v>
      </c>
      <c r="E6276" t="s">
        <v>61</v>
      </c>
      <c r="F6276" t="s">
        <v>57</v>
      </c>
      <c r="G6276" t="s">
        <v>63</v>
      </c>
      <c r="H6276" t="s">
        <v>55</v>
      </c>
      <c r="I6276">
        <v>22155</v>
      </c>
      <c r="J6276">
        <v>22275</v>
      </c>
    </row>
    <row r="6277" spans="1:10" x14ac:dyDescent="0.3">
      <c r="A6277" t="s">
        <v>6404</v>
      </c>
      <c r="B6277" s="1">
        <v>45995</v>
      </c>
      <c r="C6277" t="s">
        <v>100</v>
      </c>
      <c r="D6277">
        <v>49</v>
      </c>
      <c r="E6277" t="s">
        <v>18</v>
      </c>
      <c r="F6277" t="s">
        <v>92</v>
      </c>
      <c r="G6277" t="s">
        <v>93</v>
      </c>
      <c r="H6277" t="s">
        <v>59</v>
      </c>
      <c r="I6277">
        <v>35151</v>
      </c>
      <c r="J6277">
        <v>43871</v>
      </c>
    </row>
    <row r="6278" spans="1:10" x14ac:dyDescent="0.3">
      <c r="A6278" t="s">
        <v>6405</v>
      </c>
      <c r="B6278" s="1">
        <v>45955</v>
      </c>
      <c r="C6278" t="s">
        <v>66</v>
      </c>
      <c r="D6278">
        <v>43</v>
      </c>
      <c r="E6278" t="s">
        <v>61</v>
      </c>
      <c r="F6278" t="s">
        <v>87</v>
      </c>
      <c r="G6278" t="s">
        <v>79</v>
      </c>
      <c r="H6278" t="s">
        <v>243</v>
      </c>
      <c r="I6278">
        <v>32898</v>
      </c>
      <c r="J6278">
        <v>28110</v>
      </c>
    </row>
    <row r="6279" spans="1:10" x14ac:dyDescent="0.3">
      <c r="A6279" t="s">
        <v>6406</v>
      </c>
      <c r="B6279" s="1">
        <v>45698</v>
      </c>
      <c r="C6279" t="s">
        <v>82</v>
      </c>
      <c r="D6279">
        <v>7</v>
      </c>
      <c r="E6279" t="s">
        <v>61</v>
      </c>
      <c r="F6279" t="s">
        <v>75</v>
      </c>
      <c r="G6279" t="s">
        <v>110</v>
      </c>
      <c r="H6279" t="s">
        <v>48</v>
      </c>
      <c r="I6279">
        <v>37766</v>
      </c>
      <c r="J6279">
        <v>47612</v>
      </c>
    </row>
    <row r="6280" spans="1:10" x14ac:dyDescent="0.3">
      <c r="A6280" t="s">
        <v>6407</v>
      </c>
      <c r="B6280" s="1">
        <v>45776</v>
      </c>
      <c r="C6280" t="s">
        <v>86</v>
      </c>
      <c r="D6280">
        <v>18</v>
      </c>
      <c r="E6280" t="s">
        <v>39</v>
      </c>
      <c r="F6280" t="s">
        <v>109</v>
      </c>
      <c r="G6280" t="s">
        <v>20</v>
      </c>
      <c r="H6280" t="s">
        <v>211</v>
      </c>
      <c r="I6280">
        <v>15305</v>
      </c>
      <c r="J6280">
        <v>17008</v>
      </c>
    </row>
    <row r="6281" spans="1:10" x14ac:dyDescent="0.3">
      <c r="A6281" t="s">
        <v>6408</v>
      </c>
      <c r="B6281" s="1">
        <v>45720</v>
      </c>
      <c r="C6281" t="s">
        <v>95</v>
      </c>
      <c r="D6281">
        <v>10</v>
      </c>
      <c r="E6281" t="s">
        <v>24</v>
      </c>
      <c r="F6281" t="s">
        <v>46</v>
      </c>
      <c r="G6281" t="s">
        <v>20</v>
      </c>
      <c r="H6281" t="s">
        <v>119</v>
      </c>
      <c r="I6281">
        <v>17339</v>
      </c>
      <c r="J6281">
        <v>14314</v>
      </c>
    </row>
    <row r="6282" spans="1:10" x14ac:dyDescent="0.3">
      <c r="A6282" t="s">
        <v>6409</v>
      </c>
      <c r="B6282" s="1">
        <v>45824</v>
      </c>
      <c r="C6282" t="s">
        <v>74</v>
      </c>
      <c r="D6282">
        <v>25</v>
      </c>
      <c r="E6282" t="s">
        <v>70</v>
      </c>
      <c r="F6282" t="s">
        <v>43</v>
      </c>
      <c r="G6282" t="s">
        <v>93</v>
      </c>
      <c r="H6282" t="s">
        <v>64</v>
      </c>
      <c r="I6282">
        <v>30684</v>
      </c>
      <c r="J6282">
        <v>22313</v>
      </c>
    </row>
    <row r="6283" spans="1:10" x14ac:dyDescent="0.3">
      <c r="A6283" t="s">
        <v>6410</v>
      </c>
      <c r="B6283" s="1">
        <v>45783</v>
      </c>
      <c r="C6283" t="s">
        <v>90</v>
      </c>
      <c r="D6283">
        <v>19</v>
      </c>
      <c r="E6283" t="s">
        <v>24</v>
      </c>
      <c r="F6283" t="s">
        <v>50</v>
      </c>
      <c r="G6283" t="s">
        <v>88</v>
      </c>
      <c r="H6283" t="s">
        <v>151</v>
      </c>
      <c r="I6283">
        <v>23183</v>
      </c>
      <c r="J6283">
        <v>27626</v>
      </c>
    </row>
    <row r="6284" spans="1:10" x14ac:dyDescent="0.3">
      <c r="A6284" t="s">
        <v>6411</v>
      </c>
      <c r="B6284" s="1">
        <v>45724</v>
      </c>
      <c r="C6284" t="s">
        <v>95</v>
      </c>
      <c r="D6284">
        <v>10</v>
      </c>
      <c r="E6284" t="s">
        <v>33</v>
      </c>
      <c r="F6284" t="s">
        <v>50</v>
      </c>
      <c r="G6284" t="s">
        <v>76</v>
      </c>
      <c r="H6284" t="s">
        <v>68</v>
      </c>
      <c r="I6284">
        <v>31001</v>
      </c>
      <c r="J6284">
        <v>22289</v>
      </c>
    </row>
    <row r="6285" spans="1:10" x14ac:dyDescent="0.3">
      <c r="A6285" t="s">
        <v>6412</v>
      </c>
      <c r="B6285" s="1">
        <v>45962</v>
      </c>
      <c r="C6285" t="s">
        <v>23</v>
      </c>
      <c r="D6285">
        <v>44</v>
      </c>
      <c r="E6285" t="s">
        <v>70</v>
      </c>
      <c r="F6285" t="s">
        <v>75</v>
      </c>
      <c r="G6285" t="s">
        <v>58</v>
      </c>
      <c r="H6285" t="s">
        <v>163</v>
      </c>
      <c r="I6285">
        <v>19674</v>
      </c>
      <c r="J6285">
        <v>22590</v>
      </c>
    </row>
    <row r="6286" spans="1:10" x14ac:dyDescent="0.3">
      <c r="A6286" t="s">
        <v>6413</v>
      </c>
      <c r="B6286" s="1">
        <v>45720</v>
      </c>
      <c r="C6286" t="s">
        <v>95</v>
      </c>
      <c r="D6286">
        <v>10</v>
      </c>
      <c r="E6286" t="s">
        <v>12</v>
      </c>
      <c r="F6286" t="s">
        <v>19</v>
      </c>
      <c r="G6286" t="s">
        <v>76</v>
      </c>
      <c r="H6286" t="s">
        <v>48</v>
      </c>
      <c r="I6286">
        <v>28088</v>
      </c>
      <c r="J6286">
        <v>35252</v>
      </c>
    </row>
    <row r="6287" spans="1:10" x14ac:dyDescent="0.3">
      <c r="A6287" t="s">
        <v>6414</v>
      </c>
      <c r="B6287" s="1">
        <v>45663</v>
      </c>
      <c r="C6287" t="s">
        <v>17</v>
      </c>
      <c r="D6287">
        <v>2</v>
      </c>
      <c r="E6287" t="s">
        <v>12</v>
      </c>
      <c r="F6287" t="s">
        <v>87</v>
      </c>
      <c r="G6287" t="s">
        <v>115</v>
      </c>
      <c r="H6287" t="s">
        <v>96</v>
      </c>
      <c r="I6287">
        <v>34001</v>
      </c>
      <c r="J6287">
        <v>31388</v>
      </c>
    </row>
    <row r="6288" spans="1:10" x14ac:dyDescent="0.3">
      <c r="A6288" t="s">
        <v>6415</v>
      </c>
      <c r="B6288" s="1">
        <v>45858</v>
      </c>
      <c r="C6288" t="s">
        <v>11</v>
      </c>
      <c r="D6288">
        <v>29</v>
      </c>
      <c r="E6288" t="s">
        <v>61</v>
      </c>
      <c r="F6288" t="s">
        <v>114</v>
      </c>
      <c r="G6288" t="s">
        <v>93</v>
      </c>
      <c r="H6288" t="s">
        <v>163</v>
      </c>
      <c r="I6288">
        <v>15423</v>
      </c>
      <c r="J6288">
        <v>19336</v>
      </c>
    </row>
    <row r="6289" spans="1:10" x14ac:dyDescent="0.3">
      <c r="A6289" t="s">
        <v>6416</v>
      </c>
      <c r="B6289" s="1">
        <v>45910</v>
      </c>
      <c r="C6289" t="s">
        <v>38</v>
      </c>
      <c r="D6289">
        <v>37</v>
      </c>
      <c r="E6289" t="s">
        <v>18</v>
      </c>
      <c r="F6289" t="s">
        <v>13</v>
      </c>
      <c r="G6289" t="s">
        <v>149</v>
      </c>
      <c r="H6289" t="s">
        <v>64</v>
      </c>
      <c r="I6289">
        <v>16316</v>
      </c>
      <c r="J6289">
        <v>17237</v>
      </c>
    </row>
    <row r="6290" spans="1:10" x14ac:dyDescent="0.3">
      <c r="A6290" t="s">
        <v>6417</v>
      </c>
      <c r="B6290" s="1">
        <v>45947</v>
      </c>
      <c r="C6290" t="s">
        <v>66</v>
      </c>
      <c r="D6290">
        <v>42</v>
      </c>
      <c r="E6290" t="s">
        <v>61</v>
      </c>
      <c r="F6290" t="s">
        <v>13</v>
      </c>
      <c r="G6290" t="s">
        <v>191</v>
      </c>
      <c r="H6290" t="s">
        <v>15</v>
      </c>
      <c r="I6290">
        <v>21278</v>
      </c>
      <c r="J6290">
        <v>19742</v>
      </c>
    </row>
    <row r="6291" spans="1:10" x14ac:dyDescent="0.3">
      <c r="A6291" t="s">
        <v>6418</v>
      </c>
      <c r="B6291" s="1">
        <v>45888</v>
      </c>
      <c r="C6291" t="s">
        <v>113</v>
      </c>
      <c r="D6291">
        <v>34</v>
      </c>
      <c r="E6291" t="s">
        <v>18</v>
      </c>
      <c r="F6291" t="s">
        <v>87</v>
      </c>
      <c r="G6291" t="s">
        <v>266</v>
      </c>
      <c r="H6291" t="s">
        <v>98</v>
      </c>
      <c r="I6291">
        <v>17326</v>
      </c>
      <c r="J6291">
        <v>17690</v>
      </c>
    </row>
    <row r="6292" spans="1:10" x14ac:dyDescent="0.3">
      <c r="A6292" t="s">
        <v>6419</v>
      </c>
      <c r="B6292" s="1">
        <v>45767</v>
      </c>
      <c r="C6292" t="s">
        <v>86</v>
      </c>
      <c r="D6292">
        <v>16</v>
      </c>
      <c r="E6292" t="s">
        <v>70</v>
      </c>
      <c r="F6292" t="s">
        <v>62</v>
      </c>
      <c r="G6292" t="s">
        <v>67</v>
      </c>
      <c r="H6292" t="s">
        <v>111</v>
      </c>
      <c r="I6292">
        <v>17879</v>
      </c>
      <c r="J6292">
        <v>21943</v>
      </c>
    </row>
    <row r="6293" spans="1:10" x14ac:dyDescent="0.3">
      <c r="A6293" t="s">
        <v>6420</v>
      </c>
      <c r="B6293" s="1">
        <v>45915</v>
      </c>
      <c r="C6293" t="s">
        <v>38</v>
      </c>
      <c r="D6293">
        <v>38</v>
      </c>
      <c r="E6293" t="s">
        <v>39</v>
      </c>
      <c r="F6293" t="s">
        <v>19</v>
      </c>
      <c r="G6293" t="s">
        <v>141</v>
      </c>
      <c r="H6293" t="s">
        <v>52</v>
      </c>
      <c r="I6293">
        <v>32421</v>
      </c>
      <c r="J6293">
        <v>25631</v>
      </c>
    </row>
    <row r="6294" spans="1:10" x14ac:dyDescent="0.3">
      <c r="A6294" t="s">
        <v>6421</v>
      </c>
      <c r="B6294" s="1">
        <v>45798</v>
      </c>
      <c r="C6294" t="s">
        <v>90</v>
      </c>
      <c r="D6294">
        <v>21</v>
      </c>
      <c r="E6294" t="s">
        <v>24</v>
      </c>
      <c r="F6294" t="s">
        <v>19</v>
      </c>
      <c r="G6294" t="s">
        <v>110</v>
      </c>
      <c r="H6294" t="s">
        <v>52</v>
      </c>
      <c r="I6294">
        <v>22876</v>
      </c>
      <c r="J6294">
        <v>18613</v>
      </c>
    </row>
    <row r="6295" spans="1:10" x14ac:dyDescent="0.3">
      <c r="A6295" t="s">
        <v>6422</v>
      </c>
      <c r="B6295" s="1">
        <v>45996</v>
      </c>
      <c r="C6295" t="s">
        <v>100</v>
      </c>
      <c r="D6295">
        <v>49</v>
      </c>
      <c r="E6295" t="s">
        <v>12</v>
      </c>
      <c r="F6295" t="s">
        <v>122</v>
      </c>
      <c r="G6295" t="s">
        <v>40</v>
      </c>
      <c r="H6295" t="s">
        <v>116</v>
      </c>
      <c r="I6295">
        <v>27896</v>
      </c>
      <c r="J6295">
        <v>28063</v>
      </c>
    </row>
    <row r="6296" spans="1:10" x14ac:dyDescent="0.3">
      <c r="A6296" t="s">
        <v>6423</v>
      </c>
      <c r="B6296" s="1">
        <v>45906</v>
      </c>
      <c r="C6296" t="s">
        <v>38</v>
      </c>
      <c r="D6296">
        <v>36</v>
      </c>
      <c r="E6296" t="s">
        <v>12</v>
      </c>
      <c r="F6296" t="s">
        <v>46</v>
      </c>
      <c r="G6296" t="s">
        <v>141</v>
      </c>
      <c r="H6296" t="s">
        <v>116</v>
      </c>
      <c r="I6296">
        <v>26587</v>
      </c>
      <c r="J6296">
        <v>24246</v>
      </c>
    </row>
    <row r="6297" spans="1:10" x14ac:dyDescent="0.3">
      <c r="A6297" t="s">
        <v>6424</v>
      </c>
      <c r="B6297" s="1">
        <v>45703</v>
      </c>
      <c r="C6297" t="s">
        <v>82</v>
      </c>
      <c r="D6297">
        <v>7</v>
      </c>
      <c r="E6297" t="s">
        <v>39</v>
      </c>
      <c r="F6297" t="s">
        <v>43</v>
      </c>
      <c r="G6297" t="s">
        <v>47</v>
      </c>
      <c r="H6297" t="s">
        <v>80</v>
      </c>
      <c r="I6297">
        <v>22303</v>
      </c>
      <c r="J6297">
        <v>20684</v>
      </c>
    </row>
    <row r="6298" spans="1:10" x14ac:dyDescent="0.3">
      <c r="A6298" t="s">
        <v>6425</v>
      </c>
      <c r="B6298" s="1">
        <v>45713</v>
      </c>
      <c r="C6298" t="s">
        <v>82</v>
      </c>
      <c r="D6298">
        <v>9</v>
      </c>
      <c r="E6298" t="s">
        <v>12</v>
      </c>
      <c r="F6298" t="s">
        <v>92</v>
      </c>
      <c r="G6298" t="s">
        <v>145</v>
      </c>
      <c r="H6298" t="s">
        <v>163</v>
      </c>
      <c r="I6298">
        <v>34798</v>
      </c>
      <c r="J6298">
        <v>39267</v>
      </c>
    </row>
    <row r="6299" spans="1:10" x14ac:dyDescent="0.3">
      <c r="A6299" t="s">
        <v>6426</v>
      </c>
      <c r="B6299" s="1">
        <v>45665</v>
      </c>
      <c r="C6299" t="s">
        <v>17</v>
      </c>
      <c r="D6299">
        <v>2</v>
      </c>
      <c r="E6299" t="s">
        <v>33</v>
      </c>
      <c r="F6299" t="s">
        <v>25</v>
      </c>
      <c r="G6299" t="s">
        <v>118</v>
      </c>
      <c r="H6299" t="s">
        <v>111</v>
      </c>
      <c r="I6299">
        <v>31674</v>
      </c>
      <c r="J6299">
        <v>37994</v>
      </c>
    </row>
    <row r="6300" spans="1:10" x14ac:dyDescent="0.3">
      <c r="A6300" t="s">
        <v>6427</v>
      </c>
      <c r="B6300" s="1">
        <v>45746</v>
      </c>
      <c r="C6300" t="s">
        <v>95</v>
      </c>
      <c r="D6300">
        <v>13</v>
      </c>
      <c r="E6300" t="s">
        <v>33</v>
      </c>
      <c r="F6300" t="s">
        <v>101</v>
      </c>
      <c r="G6300" t="s">
        <v>324</v>
      </c>
      <c r="H6300" t="s">
        <v>188</v>
      </c>
      <c r="I6300">
        <v>28666</v>
      </c>
      <c r="J6300">
        <v>31700</v>
      </c>
    </row>
    <row r="6301" spans="1:10" x14ac:dyDescent="0.3">
      <c r="A6301" t="s">
        <v>6428</v>
      </c>
      <c r="B6301" s="1">
        <v>45753</v>
      </c>
      <c r="C6301" t="s">
        <v>86</v>
      </c>
      <c r="D6301">
        <v>14</v>
      </c>
      <c r="E6301" t="s">
        <v>61</v>
      </c>
      <c r="F6301" t="s">
        <v>25</v>
      </c>
      <c r="G6301" t="s">
        <v>67</v>
      </c>
      <c r="H6301" t="s">
        <v>84</v>
      </c>
      <c r="I6301">
        <v>37903</v>
      </c>
      <c r="J6301">
        <v>30721</v>
      </c>
    </row>
    <row r="6302" spans="1:10" x14ac:dyDescent="0.3">
      <c r="A6302" t="s">
        <v>6429</v>
      </c>
      <c r="B6302" s="1">
        <v>45814</v>
      </c>
      <c r="C6302" t="s">
        <v>74</v>
      </c>
      <c r="D6302">
        <v>23</v>
      </c>
      <c r="E6302" t="s">
        <v>70</v>
      </c>
      <c r="F6302" t="s">
        <v>109</v>
      </c>
      <c r="G6302" t="s">
        <v>54</v>
      </c>
      <c r="H6302" t="s">
        <v>68</v>
      </c>
      <c r="I6302">
        <v>18882</v>
      </c>
      <c r="J6302">
        <v>16198</v>
      </c>
    </row>
    <row r="6303" spans="1:10" x14ac:dyDescent="0.3">
      <c r="A6303" t="s">
        <v>6430</v>
      </c>
      <c r="B6303" s="1">
        <v>45954</v>
      </c>
      <c r="C6303" t="s">
        <v>66</v>
      </c>
      <c r="D6303">
        <v>43</v>
      </c>
      <c r="E6303" t="s">
        <v>61</v>
      </c>
      <c r="F6303" t="s">
        <v>75</v>
      </c>
      <c r="G6303" t="s">
        <v>102</v>
      </c>
      <c r="H6303" t="s">
        <v>96</v>
      </c>
      <c r="I6303">
        <v>21856</v>
      </c>
      <c r="J6303">
        <v>16252</v>
      </c>
    </row>
    <row r="6304" spans="1:10" x14ac:dyDescent="0.3">
      <c r="A6304" t="s">
        <v>6431</v>
      </c>
      <c r="B6304" s="1">
        <v>45961</v>
      </c>
      <c r="C6304" t="s">
        <v>66</v>
      </c>
      <c r="D6304">
        <v>44</v>
      </c>
      <c r="E6304" t="s">
        <v>39</v>
      </c>
      <c r="F6304" t="s">
        <v>19</v>
      </c>
      <c r="G6304" t="s">
        <v>102</v>
      </c>
      <c r="H6304" t="s">
        <v>84</v>
      </c>
      <c r="I6304">
        <v>28002</v>
      </c>
      <c r="J6304">
        <v>29508</v>
      </c>
    </row>
    <row r="6305" spans="1:10" x14ac:dyDescent="0.3">
      <c r="A6305" t="s">
        <v>6432</v>
      </c>
      <c r="B6305" s="1">
        <v>45839</v>
      </c>
      <c r="C6305" t="s">
        <v>11</v>
      </c>
      <c r="D6305">
        <v>27</v>
      </c>
      <c r="E6305" t="s">
        <v>39</v>
      </c>
      <c r="F6305" t="s">
        <v>57</v>
      </c>
      <c r="G6305" t="s">
        <v>253</v>
      </c>
      <c r="H6305" t="s">
        <v>68</v>
      </c>
      <c r="I6305">
        <v>29078</v>
      </c>
      <c r="J6305">
        <v>22982</v>
      </c>
    </row>
    <row r="6306" spans="1:10" x14ac:dyDescent="0.3">
      <c r="A6306" t="s">
        <v>6433</v>
      </c>
      <c r="B6306" s="1">
        <v>45849</v>
      </c>
      <c r="C6306" t="s">
        <v>11</v>
      </c>
      <c r="D6306">
        <v>28</v>
      </c>
      <c r="E6306" t="s">
        <v>24</v>
      </c>
      <c r="F6306" t="s">
        <v>43</v>
      </c>
      <c r="G6306" t="s">
        <v>102</v>
      </c>
      <c r="H6306" t="s">
        <v>84</v>
      </c>
      <c r="I6306">
        <v>26439</v>
      </c>
      <c r="J6306">
        <v>24957</v>
      </c>
    </row>
    <row r="6307" spans="1:10" x14ac:dyDescent="0.3">
      <c r="A6307" t="s">
        <v>6434</v>
      </c>
      <c r="B6307" s="1">
        <v>45762</v>
      </c>
      <c r="C6307" t="s">
        <v>86</v>
      </c>
      <c r="D6307">
        <v>16</v>
      </c>
      <c r="E6307" t="s">
        <v>24</v>
      </c>
      <c r="F6307" t="s">
        <v>78</v>
      </c>
      <c r="G6307" t="s">
        <v>141</v>
      </c>
      <c r="H6307" t="s">
        <v>64</v>
      </c>
      <c r="I6307">
        <v>39137</v>
      </c>
      <c r="J6307">
        <v>39688</v>
      </c>
    </row>
    <row r="6308" spans="1:10" x14ac:dyDescent="0.3">
      <c r="A6308" t="s">
        <v>6435</v>
      </c>
      <c r="B6308" s="1">
        <v>45858</v>
      </c>
      <c r="C6308" t="s">
        <v>11</v>
      </c>
      <c r="D6308">
        <v>29</v>
      </c>
      <c r="E6308" t="s">
        <v>18</v>
      </c>
      <c r="F6308" t="s">
        <v>122</v>
      </c>
      <c r="G6308" t="s">
        <v>47</v>
      </c>
      <c r="H6308" t="s">
        <v>243</v>
      </c>
      <c r="I6308">
        <v>25951</v>
      </c>
      <c r="J6308">
        <v>30608</v>
      </c>
    </row>
    <row r="6309" spans="1:10" x14ac:dyDescent="0.3">
      <c r="A6309" t="s">
        <v>6436</v>
      </c>
      <c r="B6309" s="1">
        <v>45926</v>
      </c>
      <c r="C6309" t="s">
        <v>38</v>
      </c>
      <c r="D6309">
        <v>39</v>
      </c>
      <c r="E6309" t="s">
        <v>70</v>
      </c>
      <c r="F6309" t="s">
        <v>87</v>
      </c>
      <c r="G6309" t="s">
        <v>191</v>
      </c>
      <c r="H6309" t="s">
        <v>36</v>
      </c>
      <c r="I6309">
        <v>21643</v>
      </c>
      <c r="J6309">
        <v>19842</v>
      </c>
    </row>
    <row r="6310" spans="1:10" x14ac:dyDescent="0.3">
      <c r="A6310" t="s">
        <v>6437</v>
      </c>
      <c r="B6310" s="1">
        <v>45969</v>
      </c>
      <c r="C6310" t="s">
        <v>23</v>
      </c>
      <c r="D6310">
        <v>45</v>
      </c>
      <c r="E6310" t="s">
        <v>33</v>
      </c>
      <c r="F6310" t="s">
        <v>92</v>
      </c>
      <c r="G6310" t="s">
        <v>79</v>
      </c>
      <c r="H6310" t="s">
        <v>157</v>
      </c>
      <c r="I6310">
        <v>17352</v>
      </c>
      <c r="J6310">
        <v>22116</v>
      </c>
    </row>
    <row r="6311" spans="1:10" x14ac:dyDescent="0.3">
      <c r="A6311" t="s">
        <v>6438</v>
      </c>
      <c r="B6311" s="1">
        <v>45852</v>
      </c>
      <c r="C6311" t="s">
        <v>11</v>
      </c>
      <c r="D6311">
        <v>29</v>
      </c>
      <c r="E6311" t="s">
        <v>70</v>
      </c>
      <c r="F6311" t="s">
        <v>13</v>
      </c>
      <c r="G6311" t="s">
        <v>63</v>
      </c>
      <c r="H6311" t="s">
        <v>31</v>
      </c>
      <c r="I6311">
        <v>17369</v>
      </c>
      <c r="J6311">
        <v>21207</v>
      </c>
    </row>
    <row r="6312" spans="1:10" x14ac:dyDescent="0.3">
      <c r="A6312" t="s">
        <v>6439</v>
      </c>
      <c r="B6312" s="1">
        <v>46000</v>
      </c>
      <c r="C6312" t="s">
        <v>100</v>
      </c>
      <c r="D6312">
        <v>50</v>
      </c>
      <c r="E6312" t="s">
        <v>33</v>
      </c>
      <c r="F6312" t="s">
        <v>87</v>
      </c>
      <c r="G6312" t="s">
        <v>115</v>
      </c>
      <c r="H6312" t="s">
        <v>188</v>
      </c>
      <c r="I6312">
        <v>34742</v>
      </c>
      <c r="J6312">
        <v>28127</v>
      </c>
    </row>
    <row r="6313" spans="1:10" x14ac:dyDescent="0.3">
      <c r="A6313" t="s">
        <v>6440</v>
      </c>
      <c r="B6313" s="1">
        <v>45964</v>
      </c>
      <c r="C6313" t="s">
        <v>23</v>
      </c>
      <c r="D6313">
        <v>45</v>
      </c>
      <c r="E6313" t="s">
        <v>33</v>
      </c>
      <c r="F6313" t="s">
        <v>34</v>
      </c>
      <c r="G6313" t="s">
        <v>137</v>
      </c>
      <c r="H6313" t="s">
        <v>80</v>
      </c>
      <c r="I6313">
        <v>35295</v>
      </c>
      <c r="J6313">
        <v>31948</v>
      </c>
    </row>
    <row r="6314" spans="1:10" x14ac:dyDescent="0.3">
      <c r="A6314" t="s">
        <v>6441</v>
      </c>
      <c r="B6314" s="1">
        <v>45755</v>
      </c>
      <c r="C6314" t="s">
        <v>86</v>
      </c>
      <c r="D6314">
        <v>15</v>
      </c>
      <c r="E6314" t="s">
        <v>33</v>
      </c>
      <c r="F6314" t="s">
        <v>87</v>
      </c>
      <c r="G6314" t="s">
        <v>102</v>
      </c>
      <c r="H6314" t="s">
        <v>165</v>
      </c>
      <c r="I6314">
        <v>21292</v>
      </c>
      <c r="J6314">
        <v>22488</v>
      </c>
    </row>
    <row r="6315" spans="1:10" x14ac:dyDescent="0.3">
      <c r="A6315" t="s">
        <v>6442</v>
      </c>
      <c r="B6315" s="1">
        <v>45972</v>
      </c>
      <c r="C6315" t="s">
        <v>23</v>
      </c>
      <c r="D6315">
        <v>46</v>
      </c>
      <c r="E6315" t="s">
        <v>33</v>
      </c>
      <c r="F6315" t="s">
        <v>46</v>
      </c>
      <c r="G6315" t="s">
        <v>88</v>
      </c>
      <c r="H6315" t="s">
        <v>243</v>
      </c>
      <c r="I6315">
        <v>38011</v>
      </c>
      <c r="J6315">
        <v>32494</v>
      </c>
    </row>
    <row r="6316" spans="1:10" x14ac:dyDescent="0.3">
      <c r="A6316" t="s">
        <v>6443</v>
      </c>
      <c r="B6316" s="1">
        <v>45708</v>
      </c>
      <c r="C6316" t="s">
        <v>82</v>
      </c>
      <c r="D6316">
        <v>8</v>
      </c>
      <c r="E6316" t="s">
        <v>33</v>
      </c>
      <c r="F6316" t="s">
        <v>29</v>
      </c>
      <c r="G6316" t="s">
        <v>182</v>
      </c>
      <c r="H6316" t="s">
        <v>119</v>
      </c>
      <c r="I6316">
        <v>39804</v>
      </c>
      <c r="J6316">
        <v>37475</v>
      </c>
    </row>
    <row r="6317" spans="1:10" x14ac:dyDescent="0.3">
      <c r="A6317" t="s">
        <v>6444</v>
      </c>
      <c r="B6317" s="1">
        <v>45918</v>
      </c>
      <c r="C6317" t="s">
        <v>38</v>
      </c>
      <c r="D6317">
        <v>38</v>
      </c>
      <c r="E6317" t="s">
        <v>39</v>
      </c>
      <c r="F6317" t="s">
        <v>43</v>
      </c>
      <c r="G6317" t="s">
        <v>54</v>
      </c>
      <c r="H6317" t="s">
        <v>48</v>
      </c>
      <c r="I6317">
        <v>28663</v>
      </c>
      <c r="J6317">
        <v>34685</v>
      </c>
    </row>
    <row r="6318" spans="1:10" x14ac:dyDescent="0.3">
      <c r="A6318" t="s">
        <v>6445</v>
      </c>
      <c r="B6318" s="1">
        <v>45819</v>
      </c>
      <c r="C6318" t="s">
        <v>74</v>
      </c>
      <c r="D6318">
        <v>24</v>
      </c>
      <c r="E6318" t="s">
        <v>18</v>
      </c>
      <c r="F6318" t="s">
        <v>78</v>
      </c>
      <c r="G6318" t="s">
        <v>137</v>
      </c>
      <c r="H6318" t="s">
        <v>111</v>
      </c>
      <c r="I6318">
        <v>39758</v>
      </c>
      <c r="J6318">
        <v>49551</v>
      </c>
    </row>
    <row r="6319" spans="1:10" x14ac:dyDescent="0.3">
      <c r="A6319" t="s">
        <v>6446</v>
      </c>
      <c r="B6319" s="1">
        <v>45772</v>
      </c>
      <c r="C6319" t="s">
        <v>86</v>
      </c>
      <c r="D6319">
        <v>17</v>
      </c>
      <c r="E6319" t="s">
        <v>24</v>
      </c>
      <c r="F6319" t="s">
        <v>57</v>
      </c>
      <c r="G6319" t="s">
        <v>35</v>
      </c>
      <c r="H6319" t="s">
        <v>36</v>
      </c>
      <c r="I6319">
        <v>21725</v>
      </c>
      <c r="J6319">
        <v>16224</v>
      </c>
    </row>
    <row r="6320" spans="1:10" x14ac:dyDescent="0.3">
      <c r="A6320" t="s">
        <v>6447</v>
      </c>
      <c r="B6320" s="1">
        <v>45812</v>
      </c>
      <c r="C6320" t="s">
        <v>74</v>
      </c>
      <c r="D6320">
        <v>23</v>
      </c>
      <c r="E6320" t="s">
        <v>39</v>
      </c>
      <c r="F6320" t="s">
        <v>114</v>
      </c>
      <c r="G6320" t="s">
        <v>230</v>
      </c>
      <c r="H6320" t="s">
        <v>31</v>
      </c>
      <c r="I6320">
        <v>39598</v>
      </c>
      <c r="J6320">
        <v>37137</v>
      </c>
    </row>
    <row r="6321" spans="1:10" x14ac:dyDescent="0.3">
      <c r="A6321" t="s">
        <v>6448</v>
      </c>
      <c r="B6321" s="1">
        <v>45753</v>
      </c>
      <c r="C6321" t="s">
        <v>86</v>
      </c>
      <c r="D6321">
        <v>14</v>
      </c>
      <c r="E6321" t="s">
        <v>61</v>
      </c>
      <c r="F6321" t="s">
        <v>13</v>
      </c>
      <c r="G6321" t="s">
        <v>291</v>
      </c>
      <c r="H6321" t="s">
        <v>36</v>
      </c>
      <c r="I6321">
        <v>33117</v>
      </c>
      <c r="J6321">
        <v>25357</v>
      </c>
    </row>
    <row r="6322" spans="1:10" x14ac:dyDescent="0.3">
      <c r="A6322" t="s">
        <v>6449</v>
      </c>
      <c r="B6322" s="1">
        <v>45868</v>
      </c>
      <c r="C6322" t="s">
        <v>11</v>
      </c>
      <c r="D6322">
        <v>31</v>
      </c>
      <c r="E6322" t="s">
        <v>39</v>
      </c>
      <c r="F6322" t="s">
        <v>193</v>
      </c>
      <c r="G6322" t="s">
        <v>126</v>
      </c>
      <c r="H6322" t="s">
        <v>123</v>
      </c>
      <c r="I6322">
        <v>36848</v>
      </c>
      <c r="J6322">
        <v>28100</v>
      </c>
    </row>
    <row r="6323" spans="1:10" x14ac:dyDescent="0.3">
      <c r="A6323" t="s">
        <v>6450</v>
      </c>
      <c r="B6323" s="1">
        <v>45766</v>
      </c>
      <c r="C6323" t="s">
        <v>86</v>
      </c>
      <c r="D6323">
        <v>16</v>
      </c>
      <c r="E6323" t="s">
        <v>61</v>
      </c>
      <c r="F6323" t="s">
        <v>43</v>
      </c>
      <c r="G6323" t="s">
        <v>93</v>
      </c>
      <c r="H6323" t="s">
        <v>155</v>
      </c>
      <c r="I6323">
        <v>21820</v>
      </c>
      <c r="J6323">
        <v>21999</v>
      </c>
    </row>
    <row r="6324" spans="1:10" x14ac:dyDescent="0.3">
      <c r="A6324" t="s">
        <v>6451</v>
      </c>
      <c r="B6324" s="1">
        <v>45715</v>
      </c>
      <c r="C6324" t="s">
        <v>82</v>
      </c>
      <c r="D6324">
        <v>9</v>
      </c>
      <c r="E6324" t="s">
        <v>70</v>
      </c>
      <c r="F6324" t="s">
        <v>25</v>
      </c>
      <c r="G6324" t="s">
        <v>76</v>
      </c>
      <c r="H6324" t="s">
        <v>103</v>
      </c>
      <c r="I6324">
        <v>26150</v>
      </c>
      <c r="J6324">
        <v>20677</v>
      </c>
    </row>
    <row r="6325" spans="1:10" x14ac:dyDescent="0.3">
      <c r="A6325" t="s">
        <v>6452</v>
      </c>
      <c r="B6325" s="1">
        <v>45690</v>
      </c>
      <c r="C6325" t="s">
        <v>82</v>
      </c>
      <c r="D6325">
        <v>5</v>
      </c>
      <c r="E6325" t="s">
        <v>70</v>
      </c>
      <c r="F6325" t="s">
        <v>78</v>
      </c>
      <c r="G6325" t="s">
        <v>182</v>
      </c>
      <c r="H6325" t="s">
        <v>96</v>
      </c>
      <c r="I6325">
        <v>32181</v>
      </c>
      <c r="J6325">
        <v>41382</v>
      </c>
    </row>
    <row r="6326" spans="1:10" x14ac:dyDescent="0.3">
      <c r="A6326" t="s">
        <v>6453</v>
      </c>
      <c r="B6326" s="1">
        <v>45763</v>
      </c>
      <c r="C6326" t="s">
        <v>86</v>
      </c>
      <c r="D6326">
        <v>16</v>
      </c>
      <c r="E6326" t="s">
        <v>39</v>
      </c>
      <c r="F6326" t="s">
        <v>109</v>
      </c>
      <c r="G6326" t="s">
        <v>182</v>
      </c>
      <c r="H6326" t="s">
        <v>133</v>
      </c>
      <c r="I6326">
        <v>39710</v>
      </c>
      <c r="J6326">
        <v>48024</v>
      </c>
    </row>
    <row r="6327" spans="1:10" x14ac:dyDescent="0.3">
      <c r="A6327" t="s">
        <v>6454</v>
      </c>
      <c r="B6327" s="1">
        <v>46012</v>
      </c>
      <c r="C6327" t="s">
        <v>100</v>
      </c>
      <c r="D6327">
        <v>51</v>
      </c>
      <c r="E6327" t="s">
        <v>61</v>
      </c>
      <c r="F6327" t="s">
        <v>34</v>
      </c>
      <c r="G6327" t="s">
        <v>30</v>
      </c>
      <c r="H6327" t="s">
        <v>68</v>
      </c>
      <c r="I6327">
        <v>24675</v>
      </c>
      <c r="J6327">
        <v>26948</v>
      </c>
    </row>
    <row r="6328" spans="1:10" x14ac:dyDescent="0.3">
      <c r="A6328" t="s">
        <v>6455</v>
      </c>
      <c r="B6328" s="1">
        <v>45948</v>
      </c>
      <c r="C6328" t="s">
        <v>66</v>
      </c>
      <c r="D6328">
        <v>42</v>
      </c>
      <c r="E6328" t="s">
        <v>33</v>
      </c>
      <c r="F6328" t="s">
        <v>19</v>
      </c>
      <c r="G6328" t="s">
        <v>201</v>
      </c>
      <c r="H6328" t="s">
        <v>116</v>
      </c>
      <c r="I6328">
        <v>25685</v>
      </c>
      <c r="J6328">
        <v>21297</v>
      </c>
    </row>
    <row r="6329" spans="1:10" x14ac:dyDescent="0.3">
      <c r="A6329" t="s">
        <v>6456</v>
      </c>
      <c r="B6329" s="1">
        <v>45677</v>
      </c>
      <c r="C6329" t="s">
        <v>17</v>
      </c>
      <c r="D6329">
        <v>4</v>
      </c>
      <c r="E6329" t="s">
        <v>12</v>
      </c>
      <c r="F6329" t="s">
        <v>87</v>
      </c>
      <c r="G6329" t="s">
        <v>79</v>
      </c>
      <c r="H6329" t="s">
        <v>243</v>
      </c>
      <c r="I6329">
        <v>18737</v>
      </c>
      <c r="J6329">
        <v>18828</v>
      </c>
    </row>
    <row r="6330" spans="1:10" x14ac:dyDescent="0.3">
      <c r="A6330" t="s">
        <v>6457</v>
      </c>
      <c r="B6330" s="1">
        <v>45669</v>
      </c>
      <c r="C6330" t="s">
        <v>17</v>
      </c>
      <c r="D6330">
        <v>2</v>
      </c>
      <c r="E6330" t="s">
        <v>61</v>
      </c>
      <c r="F6330" t="s">
        <v>114</v>
      </c>
      <c r="G6330" t="s">
        <v>118</v>
      </c>
      <c r="H6330" t="s">
        <v>151</v>
      </c>
      <c r="I6330">
        <v>18995</v>
      </c>
      <c r="J6330">
        <v>18711</v>
      </c>
    </row>
    <row r="6331" spans="1:10" x14ac:dyDescent="0.3">
      <c r="A6331" t="s">
        <v>6458</v>
      </c>
      <c r="B6331" s="1">
        <v>45909</v>
      </c>
      <c r="C6331" t="s">
        <v>38</v>
      </c>
      <c r="D6331">
        <v>37</v>
      </c>
      <c r="E6331" t="s">
        <v>33</v>
      </c>
      <c r="F6331" t="s">
        <v>193</v>
      </c>
      <c r="G6331" t="s">
        <v>72</v>
      </c>
      <c r="H6331" t="s">
        <v>80</v>
      </c>
      <c r="I6331">
        <v>26868</v>
      </c>
      <c r="J6331">
        <v>29553</v>
      </c>
    </row>
    <row r="6332" spans="1:10" x14ac:dyDescent="0.3">
      <c r="A6332" t="s">
        <v>6459</v>
      </c>
      <c r="B6332" s="1">
        <v>45838</v>
      </c>
      <c r="C6332" t="s">
        <v>74</v>
      </c>
      <c r="D6332">
        <v>27</v>
      </c>
      <c r="E6332" t="s">
        <v>24</v>
      </c>
      <c r="F6332" t="s">
        <v>19</v>
      </c>
      <c r="G6332" t="s">
        <v>54</v>
      </c>
      <c r="H6332" t="s">
        <v>211</v>
      </c>
      <c r="I6332">
        <v>23008</v>
      </c>
      <c r="J6332">
        <v>25431</v>
      </c>
    </row>
    <row r="6333" spans="1:10" x14ac:dyDescent="0.3">
      <c r="A6333" t="s">
        <v>6460</v>
      </c>
      <c r="B6333" s="1">
        <v>45885</v>
      </c>
      <c r="C6333" t="s">
        <v>113</v>
      </c>
      <c r="D6333">
        <v>33</v>
      </c>
      <c r="E6333" t="s">
        <v>70</v>
      </c>
      <c r="F6333" t="s">
        <v>34</v>
      </c>
      <c r="G6333" t="s">
        <v>107</v>
      </c>
      <c r="H6333" t="s">
        <v>55</v>
      </c>
      <c r="I6333">
        <v>22356</v>
      </c>
      <c r="J6333">
        <v>19410</v>
      </c>
    </row>
    <row r="6334" spans="1:10" x14ac:dyDescent="0.3">
      <c r="A6334" t="s">
        <v>6461</v>
      </c>
      <c r="B6334" s="1">
        <v>45844</v>
      </c>
      <c r="C6334" t="s">
        <v>11</v>
      </c>
      <c r="D6334">
        <v>27</v>
      </c>
      <c r="E6334" t="s">
        <v>39</v>
      </c>
      <c r="F6334" t="s">
        <v>101</v>
      </c>
      <c r="G6334" t="s">
        <v>141</v>
      </c>
      <c r="H6334" t="s">
        <v>48</v>
      </c>
      <c r="I6334">
        <v>35492</v>
      </c>
      <c r="J6334">
        <v>41062</v>
      </c>
    </row>
    <row r="6335" spans="1:10" x14ac:dyDescent="0.3">
      <c r="A6335" t="s">
        <v>6462</v>
      </c>
      <c r="B6335" s="1">
        <v>45676</v>
      </c>
      <c r="C6335" t="s">
        <v>17</v>
      </c>
      <c r="D6335">
        <v>3</v>
      </c>
      <c r="E6335" t="s">
        <v>61</v>
      </c>
      <c r="F6335" t="s">
        <v>101</v>
      </c>
      <c r="G6335" t="s">
        <v>206</v>
      </c>
      <c r="H6335" t="s">
        <v>31</v>
      </c>
      <c r="I6335">
        <v>24280</v>
      </c>
      <c r="J6335">
        <v>18354</v>
      </c>
    </row>
    <row r="6336" spans="1:10" x14ac:dyDescent="0.3">
      <c r="A6336" t="s">
        <v>6463</v>
      </c>
      <c r="B6336" s="1">
        <v>45672</v>
      </c>
      <c r="C6336" t="s">
        <v>17</v>
      </c>
      <c r="D6336">
        <v>3</v>
      </c>
      <c r="E6336" t="s">
        <v>70</v>
      </c>
      <c r="F6336" t="s">
        <v>140</v>
      </c>
      <c r="G6336" t="s">
        <v>102</v>
      </c>
      <c r="H6336" t="s">
        <v>116</v>
      </c>
      <c r="I6336">
        <v>29739</v>
      </c>
      <c r="J6336">
        <v>30832</v>
      </c>
    </row>
    <row r="6337" spans="1:10" x14ac:dyDescent="0.3">
      <c r="A6337" t="s">
        <v>6464</v>
      </c>
      <c r="B6337" s="1">
        <v>45843</v>
      </c>
      <c r="C6337" t="s">
        <v>11</v>
      </c>
      <c r="D6337">
        <v>27</v>
      </c>
      <c r="E6337" t="s">
        <v>24</v>
      </c>
      <c r="F6337" t="s">
        <v>101</v>
      </c>
      <c r="G6337" t="s">
        <v>107</v>
      </c>
      <c r="H6337" t="s">
        <v>155</v>
      </c>
      <c r="I6337">
        <v>23353</v>
      </c>
      <c r="J6337">
        <v>26671</v>
      </c>
    </row>
    <row r="6338" spans="1:10" x14ac:dyDescent="0.3">
      <c r="A6338" t="s">
        <v>6465</v>
      </c>
      <c r="B6338" s="1">
        <v>45821</v>
      </c>
      <c r="C6338" t="s">
        <v>74</v>
      </c>
      <c r="D6338">
        <v>24</v>
      </c>
      <c r="E6338" t="s">
        <v>33</v>
      </c>
      <c r="F6338" t="s">
        <v>57</v>
      </c>
      <c r="G6338" t="s">
        <v>149</v>
      </c>
      <c r="H6338" t="s">
        <v>64</v>
      </c>
      <c r="I6338">
        <v>27836</v>
      </c>
      <c r="J6338">
        <v>34611</v>
      </c>
    </row>
    <row r="6339" spans="1:10" x14ac:dyDescent="0.3">
      <c r="A6339" t="s">
        <v>6466</v>
      </c>
      <c r="B6339" s="1">
        <v>45788</v>
      </c>
      <c r="C6339" t="s">
        <v>90</v>
      </c>
      <c r="D6339">
        <v>19</v>
      </c>
      <c r="E6339" t="s">
        <v>33</v>
      </c>
      <c r="F6339" t="s">
        <v>193</v>
      </c>
      <c r="G6339" t="s">
        <v>72</v>
      </c>
      <c r="H6339" t="s">
        <v>59</v>
      </c>
      <c r="I6339">
        <v>38975</v>
      </c>
      <c r="J6339">
        <v>32073</v>
      </c>
    </row>
    <row r="6340" spans="1:10" x14ac:dyDescent="0.3">
      <c r="A6340" t="s">
        <v>6467</v>
      </c>
      <c r="B6340" s="1">
        <v>45727</v>
      </c>
      <c r="C6340" t="s">
        <v>95</v>
      </c>
      <c r="D6340">
        <v>11</v>
      </c>
      <c r="E6340" t="s">
        <v>39</v>
      </c>
      <c r="F6340" t="s">
        <v>92</v>
      </c>
      <c r="G6340" t="s">
        <v>206</v>
      </c>
      <c r="H6340" t="s">
        <v>243</v>
      </c>
      <c r="I6340">
        <v>21009</v>
      </c>
      <c r="J6340">
        <v>20659</v>
      </c>
    </row>
    <row r="6341" spans="1:10" x14ac:dyDescent="0.3">
      <c r="A6341" t="s">
        <v>6468</v>
      </c>
      <c r="B6341" s="1">
        <v>45683</v>
      </c>
      <c r="C6341" t="s">
        <v>17</v>
      </c>
      <c r="D6341">
        <v>4</v>
      </c>
      <c r="E6341" t="s">
        <v>33</v>
      </c>
      <c r="F6341" t="s">
        <v>50</v>
      </c>
      <c r="G6341" t="s">
        <v>191</v>
      </c>
      <c r="H6341" t="s">
        <v>55</v>
      </c>
      <c r="I6341">
        <v>24387</v>
      </c>
      <c r="J6341">
        <v>30352</v>
      </c>
    </row>
    <row r="6342" spans="1:10" x14ac:dyDescent="0.3">
      <c r="A6342" t="s">
        <v>6469</v>
      </c>
      <c r="B6342" s="1">
        <v>45753</v>
      </c>
      <c r="C6342" t="s">
        <v>86</v>
      </c>
      <c r="D6342">
        <v>14</v>
      </c>
      <c r="E6342" t="s">
        <v>61</v>
      </c>
      <c r="F6342" t="s">
        <v>50</v>
      </c>
      <c r="G6342" t="s">
        <v>47</v>
      </c>
      <c r="H6342" t="s">
        <v>123</v>
      </c>
      <c r="I6342">
        <v>26950</v>
      </c>
      <c r="J6342">
        <v>22251</v>
      </c>
    </row>
    <row r="6343" spans="1:10" x14ac:dyDescent="0.3">
      <c r="A6343" t="s">
        <v>6470</v>
      </c>
      <c r="B6343" s="1">
        <v>45936</v>
      </c>
      <c r="C6343" t="s">
        <v>66</v>
      </c>
      <c r="D6343">
        <v>41</v>
      </c>
      <c r="E6343" t="s">
        <v>61</v>
      </c>
      <c r="F6343" t="s">
        <v>140</v>
      </c>
      <c r="G6343" t="s">
        <v>324</v>
      </c>
      <c r="H6343" t="s">
        <v>155</v>
      </c>
      <c r="I6343">
        <v>33057</v>
      </c>
      <c r="J6343">
        <v>38892</v>
      </c>
    </row>
    <row r="6344" spans="1:10" x14ac:dyDescent="0.3">
      <c r="A6344" t="s">
        <v>6471</v>
      </c>
      <c r="B6344" s="1">
        <v>45875</v>
      </c>
      <c r="C6344" t="s">
        <v>113</v>
      </c>
      <c r="D6344">
        <v>32</v>
      </c>
      <c r="E6344" t="s">
        <v>33</v>
      </c>
      <c r="F6344" t="s">
        <v>25</v>
      </c>
      <c r="G6344" t="s">
        <v>93</v>
      </c>
      <c r="H6344" t="s">
        <v>111</v>
      </c>
      <c r="I6344">
        <v>33437</v>
      </c>
      <c r="J6344">
        <v>26024</v>
      </c>
    </row>
    <row r="6345" spans="1:10" x14ac:dyDescent="0.3">
      <c r="A6345" t="s">
        <v>6472</v>
      </c>
      <c r="B6345" s="1">
        <v>45910</v>
      </c>
      <c r="C6345" t="s">
        <v>38</v>
      </c>
      <c r="D6345">
        <v>37</v>
      </c>
      <c r="E6345" t="s">
        <v>39</v>
      </c>
      <c r="F6345" t="s">
        <v>78</v>
      </c>
      <c r="G6345" t="s">
        <v>160</v>
      </c>
      <c r="H6345" t="s">
        <v>55</v>
      </c>
      <c r="I6345">
        <v>21528</v>
      </c>
      <c r="J6345">
        <v>25666</v>
      </c>
    </row>
    <row r="6346" spans="1:10" x14ac:dyDescent="0.3">
      <c r="A6346" t="s">
        <v>6473</v>
      </c>
      <c r="B6346" s="1">
        <v>45896</v>
      </c>
      <c r="C6346" t="s">
        <v>113</v>
      </c>
      <c r="D6346">
        <v>35</v>
      </c>
      <c r="E6346" t="s">
        <v>61</v>
      </c>
      <c r="F6346" t="s">
        <v>62</v>
      </c>
      <c r="G6346" t="s">
        <v>135</v>
      </c>
      <c r="H6346" t="s">
        <v>59</v>
      </c>
      <c r="I6346">
        <v>18574</v>
      </c>
      <c r="J6346">
        <v>23530</v>
      </c>
    </row>
    <row r="6347" spans="1:10" x14ac:dyDescent="0.3">
      <c r="A6347" t="s">
        <v>6474</v>
      </c>
      <c r="B6347" s="1">
        <v>45930</v>
      </c>
      <c r="C6347" t="s">
        <v>38</v>
      </c>
      <c r="D6347">
        <v>40</v>
      </c>
      <c r="E6347" t="s">
        <v>70</v>
      </c>
      <c r="F6347" t="s">
        <v>101</v>
      </c>
      <c r="G6347" t="s">
        <v>199</v>
      </c>
      <c r="H6347" t="s">
        <v>52</v>
      </c>
      <c r="I6347">
        <v>18505</v>
      </c>
      <c r="J6347">
        <v>17381</v>
      </c>
    </row>
    <row r="6348" spans="1:10" x14ac:dyDescent="0.3">
      <c r="A6348" t="s">
        <v>6475</v>
      </c>
      <c r="B6348" s="1">
        <v>45875</v>
      </c>
      <c r="C6348" t="s">
        <v>113</v>
      </c>
      <c r="D6348">
        <v>32</v>
      </c>
      <c r="E6348" t="s">
        <v>18</v>
      </c>
      <c r="F6348" t="s">
        <v>57</v>
      </c>
      <c r="G6348" t="s">
        <v>240</v>
      </c>
      <c r="H6348" t="s">
        <v>55</v>
      </c>
      <c r="I6348">
        <v>26299</v>
      </c>
      <c r="J6348">
        <v>31155</v>
      </c>
    </row>
    <row r="6349" spans="1:10" x14ac:dyDescent="0.3">
      <c r="A6349" t="s">
        <v>6476</v>
      </c>
      <c r="B6349" s="1">
        <v>45960</v>
      </c>
      <c r="C6349" t="s">
        <v>66</v>
      </c>
      <c r="D6349">
        <v>44</v>
      </c>
      <c r="E6349" t="s">
        <v>61</v>
      </c>
      <c r="F6349" t="s">
        <v>43</v>
      </c>
      <c r="G6349" t="s">
        <v>291</v>
      </c>
      <c r="H6349" t="s">
        <v>98</v>
      </c>
      <c r="I6349">
        <v>29011</v>
      </c>
      <c r="J6349">
        <v>20837</v>
      </c>
    </row>
    <row r="6350" spans="1:10" x14ac:dyDescent="0.3">
      <c r="A6350" t="s">
        <v>6477</v>
      </c>
      <c r="B6350" s="1">
        <v>45982</v>
      </c>
      <c r="C6350" t="s">
        <v>23</v>
      </c>
      <c r="D6350">
        <v>47</v>
      </c>
      <c r="E6350" t="s">
        <v>18</v>
      </c>
      <c r="F6350" t="s">
        <v>29</v>
      </c>
      <c r="G6350" t="s">
        <v>83</v>
      </c>
      <c r="H6350" t="s">
        <v>103</v>
      </c>
      <c r="I6350">
        <v>31758</v>
      </c>
      <c r="J6350">
        <v>24868</v>
      </c>
    </row>
    <row r="6351" spans="1:10" x14ac:dyDescent="0.3">
      <c r="A6351" t="s">
        <v>6478</v>
      </c>
      <c r="B6351" s="1">
        <v>45672</v>
      </c>
      <c r="C6351" t="s">
        <v>17</v>
      </c>
      <c r="D6351">
        <v>3</v>
      </c>
      <c r="E6351" t="s">
        <v>18</v>
      </c>
      <c r="F6351" t="s">
        <v>13</v>
      </c>
      <c r="G6351" t="s">
        <v>44</v>
      </c>
      <c r="H6351" t="s">
        <v>133</v>
      </c>
      <c r="I6351">
        <v>28549</v>
      </c>
      <c r="J6351">
        <v>36697</v>
      </c>
    </row>
    <row r="6352" spans="1:10" x14ac:dyDescent="0.3">
      <c r="A6352" t="s">
        <v>6479</v>
      </c>
      <c r="B6352" s="1">
        <v>45662</v>
      </c>
      <c r="C6352" t="s">
        <v>17</v>
      </c>
      <c r="D6352">
        <v>1</v>
      </c>
      <c r="E6352" t="s">
        <v>24</v>
      </c>
      <c r="F6352" t="s">
        <v>19</v>
      </c>
      <c r="G6352" t="s">
        <v>130</v>
      </c>
      <c r="H6352" t="s">
        <v>36</v>
      </c>
      <c r="I6352">
        <v>33622</v>
      </c>
      <c r="J6352">
        <v>30981</v>
      </c>
    </row>
    <row r="6353" spans="1:10" x14ac:dyDescent="0.3">
      <c r="A6353" t="s">
        <v>6480</v>
      </c>
      <c r="B6353" s="1">
        <v>45750</v>
      </c>
      <c r="C6353" t="s">
        <v>86</v>
      </c>
      <c r="D6353">
        <v>14</v>
      </c>
      <c r="E6353" t="s">
        <v>12</v>
      </c>
      <c r="F6353" t="s">
        <v>50</v>
      </c>
      <c r="G6353" t="s">
        <v>44</v>
      </c>
      <c r="H6353" t="s">
        <v>55</v>
      </c>
      <c r="I6353">
        <v>24522</v>
      </c>
      <c r="J6353">
        <v>27022</v>
      </c>
    </row>
    <row r="6354" spans="1:10" x14ac:dyDescent="0.3">
      <c r="A6354" t="s">
        <v>6481</v>
      </c>
      <c r="B6354" s="1">
        <v>46021</v>
      </c>
      <c r="C6354" t="s">
        <v>100</v>
      </c>
      <c r="D6354">
        <v>1</v>
      </c>
      <c r="E6354" t="s">
        <v>39</v>
      </c>
      <c r="F6354" t="s">
        <v>75</v>
      </c>
      <c r="G6354" t="s">
        <v>14</v>
      </c>
      <c r="H6354" t="s">
        <v>96</v>
      </c>
      <c r="I6354">
        <v>19794</v>
      </c>
      <c r="J6354">
        <v>14656</v>
      </c>
    </row>
    <row r="6355" spans="1:10" x14ac:dyDescent="0.3">
      <c r="A6355" t="s">
        <v>6482</v>
      </c>
      <c r="B6355" s="1">
        <v>45773</v>
      </c>
      <c r="C6355" t="s">
        <v>86</v>
      </c>
      <c r="D6355">
        <v>17</v>
      </c>
      <c r="E6355" t="s">
        <v>24</v>
      </c>
      <c r="F6355" t="s">
        <v>34</v>
      </c>
      <c r="G6355" t="s">
        <v>130</v>
      </c>
      <c r="H6355" t="s">
        <v>211</v>
      </c>
      <c r="I6355">
        <v>23408</v>
      </c>
      <c r="J6355">
        <v>18433</v>
      </c>
    </row>
    <row r="6356" spans="1:10" x14ac:dyDescent="0.3">
      <c r="A6356" t="s">
        <v>6483</v>
      </c>
      <c r="B6356" s="1">
        <v>45680</v>
      </c>
      <c r="C6356" t="s">
        <v>17</v>
      </c>
      <c r="D6356">
        <v>4</v>
      </c>
      <c r="E6356" t="s">
        <v>39</v>
      </c>
      <c r="F6356" t="s">
        <v>109</v>
      </c>
      <c r="G6356" t="s">
        <v>199</v>
      </c>
      <c r="H6356" t="s">
        <v>52</v>
      </c>
      <c r="I6356">
        <v>35062</v>
      </c>
      <c r="J6356">
        <v>31334</v>
      </c>
    </row>
    <row r="6357" spans="1:10" x14ac:dyDescent="0.3">
      <c r="A6357" t="s">
        <v>6484</v>
      </c>
      <c r="B6357" s="1">
        <v>45786</v>
      </c>
      <c r="C6357" t="s">
        <v>90</v>
      </c>
      <c r="D6357">
        <v>19</v>
      </c>
      <c r="E6357" t="s">
        <v>39</v>
      </c>
      <c r="F6357" t="s">
        <v>25</v>
      </c>
      <c r="G6357" t="s">
        <v>107</v>
      </c>
      <c r="H6357" t="s">
        <v>64</v>
      </c>
      <c r="I6357">
        <v>30339</v>
      </c>
      <c r="J6357">
        <v>37218</v>
      </c>
    </row>
    <row r="6358" spans="1:10" x14ac:dyDescent="0.3">
      <c r="A6358" t="s">
        <v>6485</v>
      </c>
      <c r="B6358" s="1">
        <v>45962</v>
      </c>
      <c r="C6358" t="s">
        <v>23</v>
      </c>
      <c r="D6358">
        <v>44</v>
      </c>
      <c r="E6358" t="s">
        <v>33</v>
      </c>
      <c r="F6358" t="s">
        <v>114</v>
      </c>
      <c r="G6358" t="s">
        <v>145</v>
      </c>
      <c r="H6358" t="s">
        <v>111</v>
      </c>
      <c r="I6358">
        <v>39689</v>
      </c>
      <c r="J6358">
        <v>46404</v>
      </c>
    </row>
    <row r="6359" spans="1:10" x14ac:dyDescent="0.3">
      <c r="A6359" t="s">
        <v>6486</v>
      </c>
      <c r="B6359" s="1">
        <v>46001</v>
      </c>
      <c r="C6359" t="s">
        <v>100</v>
      </c>
      <c r="D6359">
        <v>50</v>
      </c>
      <c r="E6359" t="s">
        <v>39</v>
      </c>
      <c r="F6359" t="s">
        <v>109</v>
      </c>
      <c r="G6359" t="s">
        <v>14</v>
      </c>
      <c r="H6359" t="s">
        <v>96</v>
      </c>
      <c r="I6359">
        <v>37150</v>
      </c>
      <c r="J6359">
        <v>42025</v>
      </c>
    </row>
    <row r="6360" spans="1:10" x14ac:dyDescent="0.3">
      <c r="A6360" t="s">
        <v>6487</v>
      </c>
      <c r="B6360" s="1">
        <v>45880</v>
      </c>
      <c r="C6360" t="s">
        <v>113</v>
      </c>
      <c r="D6360">
        <v>33</v>
      </c>
      <c r="E6360" t="s">
        <v>70</v>
      </c>
      <c r="F6360" t="s">
        <v>25</v>
      </c>
      <c r="G6360" t="s">
        <v>206</v>
      </c>
      <c r="H6360" t="s">
        <v>243</v>
      </c>
      <c r="I6360">
        <v>28561</v>
      </c>
      <c r="J6360">
        <v>23188</v>
      </c>
    </row>
    <row r="6361" spans="1:10" x14ac:dyDescent="0.3">
      <c r="A6361" t="s">
        <v>6488</v>
      </c>
      <c r="B6361" s="1">
        <v>45705</v>
      </c>
      <c r="C6361" t="s">
        <v>82</v>
      </c>
      <c r="D6361">
        <v>8</v>
      </c>
      <c r="E6361" t="s">
        <v>70</v>
      </c>
      <c r="F6361" t="s">
        <v>75</v>
      </c>
      <c r="G6361" t="s">
        <v>107</v>
      </c>
      <c r="H6361" t="s">
        <v>111</v>
      </c>
      <c r="I6361">
        <v>29350</v>
      </c>
      <c r="J6361">
        <v>36776</v>
      </c>
    </row>
    <row r="6362" spans="1:10" x14ac:dyDescent="0.3">
      <c r="A6362" t="s">
        <v>6489</v>
      </c>
      <c r="B6362" s="1">
        <v>45803</v>
      </c>
      <c r="C6362" t="s">
        <v>90</v>
      </c>
      <c r="D6362">
        <v>22</v>
      </c>
      <c r="E6362" t="s">
        <v>70</v>
      </c>
      <c r="F6362" t="s">
        <v>19</v>
      </c>
      <c r="G6362" t="s">
        <v>93</v>
      </c>
      <c r="H6362" t="s">
        <v>31</v>
      </c>
      <c r="I6362">
        <v>29379</v>
      </c>
      <c r="J6362">
        <v>24039</v>
      </c>
    </row>
    <row r="6363" spans="1:10" x14ac:dyDescent="0.3">
      <c r="A6363" t="s">
        <v>6490</v>
      </c>
      <c r="B6363" s="1">
        <v>45939</v>
      </c>
      <c r="C6363" t="s">
        <v>66</v>
      </c>
      <c r="D6363">
        <v>41</v>
      </c>
      <c r="E6363" t="s">
        <v>18</v>
      </c>
      <c r="F6363" t="s">
        <v>13</v>
      </c>
      <c r="G6363" t="s">
        <v>224</v>
      </c>
      <c r="H6363" t="s">
        <v>48</v>
      </c>
      <c r="I6363">
        <v>16968</v>
      </c>
      <c r="J6363">
        <v>14096</v>
      </c>
    </row>
    <row r="6364" spans="1:10" x14ac:dyDescent="0.3">
      <c r="A6364" t="s">
        <v>6491</v>
      </c>
      <c r="B6364" s="1">
        <v>45839</v>
      </c>
      <c r="C6364" t="s">
        <v>11</v>
      </c>
      <c r="D6364">
        <v>27</v>
      </c>
      <c r="E6364" t="s">
        <v>70</v>
      </c>
      <c r="F6364" t="s">
        <v>13</v>
      </c>
      <c r="G6364" t="s">
        <v>14</v>
      </c>
      <c r="H6364" t="s">
        <v>68</v>
      </c>
      <c r="I6364">
        <v>19588</v>
      </c>
      <c r="J6364">
        <v>16614</v>
      </c>
    </row>
    <row r="6365" spans="1:10" x14ac:dyDescent="0.3">
      <c r="A6365" t="s">
        <v>6492</v>
      </c>
      <c r="B6365" s="1">
        <v>45986</v>
      </c>
      <c r="C6365" t="s">
        <v>23</v>
      </c>
      <c r="D6365">
        <v>48</v>
      </c>
      <c r="E6365" t="s">
        <v>70</v>
      </c>
      <c r="F6365" t="s">
        <v>114</v>
      </c>
      <c r="G6365" t="s">
        <v>72</v>
      </c>
      <c r="H6365" t="s">
        <v>36</v>
      </c>
      <c r="I6365">
        <v>19683</v>
      </c>
      <c r="J6365">
        <v>23662</v>
      </c>
    </row>
    <row r="6366" spans="1:10" x14ac:dyDescent="0.3">
      <c r="A6366" t="s">
        <v>6493</v>
      </c>
      <c r="B6366" s="1">
        <v>45943</v>
      </c>
      <c r="C6366" t="s">
        <v>66</v>
      </c>
      <c r="D6366">
        <v>42</v>
      </c>
      <c r="E6366" t="s">
        <v>24</v>
      </c>
      <c r="F6366" t="s">
        <v>109</v>
      </c>
      <c r="G6366" t="s">
        <v>234</v>
      </c>
      <c r="H6366" t="s">
        <v>41</v>
      </c>
      <c r="I6366">
        <v>35317</v>
      </c>
      <c r="J6366">
        <v>26099</v>
      </c>
    </row>
    <row r="6367" spans="1:10" x14ac:dyDescent="0.3">
      <c r="A6367" t="s">
        <v>6494</v>
      </c>
      <c r="B6367" s="1">
        <v>45877</v>
      </c>
      <c r="C6367" t="s">
        <v>113</v>
      </c>
      <c r="D6367">
        <v>32</v>
      </c>
      <c r="E6367" t="s">
        <v>61</v>
      </c>
      <c r="F6367" t="s">
        <v>19</v>
      </c>
      <c r="G6367" t="s">
        <v>253</v>
      </c>
      <c r="H6367" t="s">
        <v>41</v>
      </c>
      <c r="I6367">
        <v>33650</v>
      </c>
      <c r="J6367">
        <v>27826</v>
      </c>
    </row>
    <row r="6368" spans="1:10" x14ac:dyDescent="0.3">
      <c r="A6368" t="s">
        <v>6495</v>
      </c>
      <c r="B6368" s="1">
        <v>45896</v>
      </c>
      <c r="C6368" t="s">
        <v>113</v>
      </c>
      <c r="D6368">
        <v>35</v>
      </c>
      <c r="E6368" t="s">
        <v>70</v>
      </c>
      <c r="F6368" t="s">
        <v>122</v>
      </c>
      <c r="G6368" t="s">
        <v>141</v>
      </c>
      <c r="H6368" t="s">
        <v>123</v>
      </c>
      <c r="I6368">
        <v>35662</v>
      </c>
      <c r="J6368">
        <v>32251</v>
      </c>
    </row>
    <row r="6369" spans="1:10" x14ac:dyDescent="0.3">
      <c r="A6369" t="s">
        <v>6496</v>
      </c>
      <c r="B6369" s="1">
        <v>45837</v>
      </c>
      <c r="C6369" t="s">
        <v>74</v>
      </c>
      <c r="D6369">
        <v>26</v>
      </c>
      <c r="E6369" t="s">
        <v>24</v>
      </c>
      <c r="F6369" t="s">
        <v>43</v>
      </c>
      <c r="G6369" t="s">
        <v>76</v>
      </c>
      <c r="H6369" t="s">
        <v>157</v>
      </c>
      <c r="I6369">
        <v>16426</v>
      </c>
      <c r="J6369">
        <v>18223</v>
      </c>
    </row>
    <row r="6370" spans="1:10" x14ac:dyDescent="0.3">
      <c r="A6370" t="s">
        <v>6497</v>
      </c>
      <c r="B6370" s="1">
        <v>45659</v>
      </c>
      <c r="C6370" t="s">
        <v>17</v>
      </c>
      <c r="D6370">
        <v>1</v>
      </c>
      <c r="E6370" t="s">
        <v>18</v>
      </c>
      <c r="F6370" t="s">
        <v>13</v>
      </c>
      <c r="G6370" t="s">
        <v>118</v>
      </c>
      <c r="H6370" t="s">
        <v>111</v>
      </c>
      <c r="I6370">
        <v>30436</v>
      </c>
      <c r="J6370">
        <v>36358</v>
      </c>
    </row>
    <row r="6371" spans="1:10" x14ac:dyDescent="0.3">
      <c r="A6371" t="s">
        <v>6498</v>
      </c>
      <c r="B6371" s="1">
        <v>45829</v>
      </c>
      <c r="C6371" t="s">
        <v>74</v>
      </c>
      <c r="D6371">
        <v>25</v>
      </c>
      <c r="E6371" t="s">
        <v>12</v>
      </c>
      <c r="F6371" t="s">
        <v>140</v>
      </c>
      <c r="G6371" t="s">
        <v>35</v>
      </c>
      <c r="H6371" t="s">
        <v>116</v>
      </c>
      <c r="I6371">
        <v>25661</v>
      </c>
      <c r="J6371">
        <v>20709</v>
      </c>
    </row>
    <row r="6372" spans="1:10" x14ac:dyDescent="0.3">
      <c r="A6372" t="s">
        <v>6499</v>
      </c>
      <c r="B6372" s="1">
        <v>45800</v>
      </c>
      <c r="C6372" t="s">
        <v>90</v>
      </c>
      <c r="D6372">
        <v>21</v>
      </c>
      <c r="E6372" t="s">
        <v>61</v>
      </c>
      <c r="F6372" t="s">
        <v>62</v>
      </c>
      <c r="G6372" t="s">
        <v>110</v>
      </c>
      <c r="H6372" t="s">
        <v>96</v>
      </c>
      <c r="I6372">
        <v>25617</v>
      </c>
      <c r="J6372">
        <v>25484</v>
      </c>
    </row>
    <row r="6373" spans="1:10" x14ac:dyDescent="0.3">
      <c r="A6373" t="s">
        <v>6500</v>
      </c>
      <c r="B6373" s="1">
        <v>45687</v>
      </c>
      <c r="C6373" t="s">
        <v>17</v>
      </c>
      <c r="D6373">
        <v>5</v>
      </c>
      <c r="E6373" t="s">
        <v>24</v>
      </c>
      <c r="F6373" t="s">
        <v>122</v>
      </c>
      <c r="G6373" t="s">
        <v>79</v>
      </c>
      <c r="H6373" t="s">
        <v>21</v>
      </c>
      <c r="I6373">
        <v>23659</v>
      </c>
      <c r="J6373">
        <v>28657</v>
      </c>
    </row>
    <row r="6374" spans="1:10" x14ac:dyDescent="0.3">
      <c r="A6374" t="s">
        <v>6501</v>
      </c>
      <c r="B6374" s="1">
        <v>45857</v>
      </c>
      <c r="C6374" t="s">
        <v>11</v>
      </c>
      <c r="D6374">
        <v>29</v>
      </c>
      <c r="E6374" t="s">
        <v>39</v>
      </c>
      <c r="F6374" t="s">
        <v>101</v>
      </c>
      <c r="G6374" t="s">
        <v>58</v>
      </c>
      <c r="H6374" t="s">
        <v>163</v>
      </c>
      <c r="I6374">
        <v>27654</v>
      </c>
      <c r="J6374">
        <v>19918</v>
      </c>
    </row>
    <row r="6375" spans="1:10" x14ac:dyDescent="0.3">
      <c r="A6375" t="s">
        <v>6502</v>
      </c>
      <c r="B6375" s="1">
        <v>45760</v>
      </c>
      <c r="C6375" t="s">
        <v>86</v>
      </c>
      <c r="D6375">
        <v>15</v>
      </c>
      <c r="E6375" t="s">
        <v>24</v>
      </c>
      <c r="F6375" t="s">
        <v>92</v>
      </c>
      <c r="G6375" t="s">
        <v>72</v>
      </c>
      <c r="H6375" t="s">
        <v>68</v>
      </c>
      <c r="I6375">
        <v>37475</v>
      </c>
      <c r="J6375">
        <v>36590</v>
      </c>
    </row>
    <row r="6376" spans="1:10" x14ac:dyDescent="0.3">
      <c r="A6376" t="s">
        <v>6503</v>
      </c>
      <c r="B6376" s="1">
        <v>45816</v>
      </c>
      <c r="C6376" t="s">
        <v>74</v>
      </c>
      <c r="D6376">
        <v>23</v>
      </c>
      <c r="E6376" t="s">
        <v>24</v>
      </c>
      <c r="F6376" t="s">
        <v>34</v>
      </c>
      <c r="G6376" t="s">
        <v>130</v>
      </c>
      <c r="H6376" t="s">
        <v>188</v>
      </c>
      <c r="I6376">
        <v>27816</v>
      </c>
      <c r="J6376">
        <v>33035</v>
      </c>
    </row>
    <row r="6377" spans="1:10" x14ac:dyDescent="0.3">
      <c r="A6377" t="s">
        <v>6504</v>
      </c>
      <c r="B6377" s="1">
        <v>45787</v>
      </c>
      <c r="C6377" t="s">
        <v>90</v>
      </c>
      <c r="D6377">
        <v>19</v>
      </c>
      <c r="E6377" t="s">
        <v>12</v>
      </c>
      <c r="F6377" t="s">
        <v>13</v>
      </c>
      <c r="G6377" t="s">
        <v>47</v>
      </c>
      <c r="H6377" t="s">
        <v>165</v>
      </c>
      <c r="I6377">
        <v>34756</v>
      </c>
      <c r="J6377">
        <v>34541</v>
      </c>
    </row>
    <row r="6378" spans="1:10" x14ac:dyDescent="0.3">
      <c r="A6378" t="s">
        <v>6505</v>
      </c>
      <c r="B6378" s="1">
        <v>46001</v>
      </c>
      <c r="C6378" t="s">
        <v>100</v>
      </c>
      <c r="D6378">
        <v>50</v>
      </c>
      <c r="E6378" t="s">
        <v>18</v>
      </c>
      <c r="F6378" t="s">
        <v>78</v>
      </c>
      <c r="G6378" t="s">
        <v>240</v>
      </c>
      <c r="H6378" t="s">
        <v>133</v>
      </c>
      <c r="I6378">
        <v>38864</v>
      </c>
      <c r="J6378">
        <v>34149</v>
      </c>
    </row>
    <row r="6379" spans="1:10" x14ac:dyDescent="0.3">
      <c r="A6379" t="s">
        <v>6506</v>
      </c>
      <c r="B6379" s="1">
        <v>45838</v>
      </c>
      <c r="C6379" t="s">
        <v>74</v>
      </c>
      <c r="D6379">
        <v>27</v>
      </c>
      <c r="E6379" t="s">
        <v>39</v>
      </c>
      <c r="F6379" t="s">
        <v>87</v>
      </c>
      <c r="G6379" t="s">
        <v>135</v>
      </c>
      <c r="H6379" t="s">
        <v>96</v>
      </c>
      <c r="I6379">
        <v>25683</v>
      </c>
      <c r="J6379">
        <v>31335</v>
      </c>
    </row>
    <row r="6380" spans="1:10" x14ac:dyDescent="0.3">
      <c r="A6380" t="s">
        <v>6507</v>
      </c>
      <c r="B6380" s="1">
        <v>45689</v>
      </c>
      <c r="C6380" t="s">
        <v>82</v>
      </c>
      <c r="D6380">
        <v>5</v>
      </c>
      <c r="E6380" t="s">
        <v>39</v>
      </c>
      <c r="F6380" t="s">
        <v>140</v>
      </c>
      <c r="G6380" t="s">
        <v>67</v>
      </c>
      <c r="H6380" t="s">
        <v>211</v>
      </c>
      <c r="I6380">
        <v>21525</v>
      </c>
      <c r="J6380">
        <v>19299</v>
      </c>
    </row>
    <row r="6381" spans="1:10" x14ac:dyDescent="0.3">
      <c r="A6381" t="s">
        <v>6508</v>
      </c>
      <c r="B6381" s="1">
        <v>45759</v>
      </c>
      <c r="C6381" t="s">
        <v>86</v>
      </c>
      <c r="D6381">
        <v>15</v>
      </c>
      <c r="E6381" t="s">
        <v>70</v>
      </c>
      <c r="F6381" t="s">
        <v>193</v>
      </c>
      <c r="G6381" t="s">
        <v>171</v>
      </c>
      <c r="H6381" t="s">
        <v>119</v>
      </c>
      <c r="I6381">
        <v>26044</v>
      </c>
      <c r="J6381">
        <v>25348</v>
      </c>
    </row>
    <row r="6382" spans="1:10" x14ac:dyDescent="0.3">
      <c r="A6382" t="s">
        <v>6509</v>
      </c>
      <c r="B6382" s="1">
        <v>46017</v>
      </c>
      <c r="C6382" t="s">
        <v>100</v>
      </c>
      <c r="D6382">
        <v>52</v>
      </c>
      <c r="E6382" t="s">
        <v>70</v>
      </c>
      <c r="F6382" t="s">
        <v>13</v>
      </c>
      <c r="G6382" t="s">
        <v>240</v>
      </c>
      <c r="H6382" t="s">
        <v>59</v>
      </c>
      <c r="I6382">
        <v>31454</v>
      </c>
      <c r="J6382">
        <v>34400</v>
      </c>
    </row>
    <row r="6383" spans="1:10" x14ac:dyDescent="0.3">
      <c r="A6383" t="s">
        <v>6510</v>
      </c>
      <c r="B6383" s="1">
        <v>45689</v>
      </c>
      <c r="C6383" t="s">
        <v>82</v>
      </c>
      <c r="D6383">
        <v>5</v>
      </c>
      <c r="E6383" t="s">
        <v>24</v>
      </c>
      <c r="F6383" t="s">
        <v>43</v>
      </c>
      <c r="G6383" t="s">
        <v>266</v>
      </c>
      <c r="H6383" t="s">
        <v>15</v>
      </c>
      <c r="I6383">
        <v>17406</v>
      </c>
      <c r="J6383">
        <v>20119</v>
      </c>
    </row>
    <row r="6384" spans="1:10" x14ac:dyDescent="0.3">
      <c r="A6384" t="s">
        <v>6511</v>
      </c>
      <c r="B6384" s="1">
        <v>45730</v>
      </c>
      <c r="C6384" t="s">
        <v>95</v>
      </c>
      <c r="D6384">
        <v>11</v>
      </c>
      <c r="E6384" t="s">
        <v>33</v>
      </c>
      <c r="F6384" t="s">
        <v>78</v>
      </c>
      <c r="G6384" t="s">
        <v>83</v>
      </c>
      <c r="H6384" t="s">
        <v>163</v>
      </c>
      <c r="I6384">
        <v>17121</v>
      </c>
      <c r="J6384">
        <v>12802</v>
      </c>
    </row>
    <row r="6385" spans="1:10" x14ac:dyDescent="0.3">
      <c r="A6385" t="s">
        <v>6512</v>
      </c>
      <c r="B6385" s="1">
        <v>45808</v>
      </c>
      <c r="C6385" t="s">
        <v>90</v>
      </c>
      <c r="D6385">
        <v>22</v>
      </c>
      <c r="E6385" t="s">
        <v>70</v>
      </c>
      <c r="F6385" t="s">
        <v>13</v>
      </c>
      <c r="G6385" t="s">
        <v>206</v>
      </c>
      <c r="H6385" t="s">
        <v>80</v>
      </c>
      <c r="I6385">
        <v>33253</v>
      </c>
      <c r="J6385">
        <v>29606</v>
      </c>
    </row>
    <row r="6386" spans="1:10" x14ac:dyDescent="0.3">
      <c r="A6386" t="s">
        <v>6513</v>
      </c>
      <c r="B6386" s="1">
        <v>45961</v>
      </c>
      <c r="C6386" t="s">
        <v>66</v>
      </c>
      <c r="D6386">
        <v>44</v>
      </c>
      <c r="E6386" t="s">
        <v>33</v>
      </c>
      <c r="F6386" t="s">
        <v>114</v>
      </c>
      <c r="G6386" t="s">
        <v>253</v>
      </c>
      <c r="H6386" t="s">
        <v>68</v>
      </c>
      <c r="I6386">
        <v>26412</v>
      </c>
      <c r="J6386">
        <v>19758</v>
      </c>
    </row>
    <row r="6387" spans="1:10" x14ac:dyDescent="0.3">
      <c r="A6387" t="s">
        <v>6514</v>
      </c>
      <c r="B6387" s="1">
        <v>45754</v>
      </c>
      <c r="C6387" t="s">
        <v>86</v>
      </c>
      <c r="D6387">
        <v>15</v>
      </c>
      <c r="E6387" t="s">
        <v>61</v>
      </c>
      <c r="F6387" t="s">
        <v>92</v>
      </c>
      <c r="G6387" t="s">
        <v>160</v>
      </c>
      <c r="H6387" t="s">
        <v>68</v>
      </c>
      <c r="I6387">
        <v>32106</v>
      </c>
      <c r="J6387">
        <v>34429</v>
      </c>
    </row>
    <row r="6388" spans="1:10" x14ac:dyDescent="0.3">
      <c r="A6388" t="s">
        <v>6515</v>
      </c>
      <c r="B6388" s="1">
        <v>45917</v>
      </c>
      <c r="C6388" t="s">
        <v>38</v>
      </c>
      <c r="D6388">
        <v>38</v>
      </c>
      <c r="E6388" t="s">
        <v>24</v>
      </c>
      <c r="F6388" t="s">
        <v>101</v>
      </c>
      <c r="G6388" t="s">
        <v>63</v>
      </c>
      <c r="H6388" t="s">
        <v>68</v>
      </c>
      <c r="I6388">
        <v>38361</v>
      </c>
      <c r="J6388">
        <v>27200</v>
      </c>
    </row>
    <row r="6389" spans="1:10" x14ac:dyDescent="0.3">
      <c r="A6389" t="s">
        <v>6516</v>
      </c>
      <c r="B6389" s="1">
        <v>45773</v>
      </c>
      <c r="C6389" t="s">
        <v>86</v>
      </c>
      <c r="D6389">
        <v>17</v>
      </c>
      <c r="E6389" t="s">
        <v>18</v>
      </c>
      <c r="F6389" t="s">
        <v>62</v>
      </c>
      <c r="G6389" t="s">
        <v>132</v>
      </c>
      <c r="H6389" t="s">
        <v>111</v>
      </c>
      <c r="I6389">
        <v>22186</v>
      </c>
      <c r="J6389">
        <v>26337</v>
      </c>
    </row>
    <row r="6390" spans="1:10" x14ac:dyDescent="0.3">
      <c r="A6390" t="s">
        <v>6517</v>
      </c>
      <c r="B6390" s="1">
        <v>45970</v>
      </c>
      <c r="C6390" t="s">
        <v>23</v>
      </c>
      <c r="D6390">
        <v>45</v>
      </c>
      <c r="E6390" t="s">
        <v>18</v>
      </c>
      <c r="F6390" t="s">
        <v>122</v>
      </c>
      <c r="G6390" t="s">
        <v>47</v>
      </c>
      <c r="H6390" t="s">
        <v>59</v>
      </c>
      <c r="I6390">
        <v>17128</v>
      </c>
      <c r="J6390">
        <v>18164</v>
      </c>
    </row>
    <row r="6391" spans="1:10" x14ac:dyDescent="0.3">
      <c r="A6391" t="s">
        <v>6518</v>
      </c>
      <c r="B6391" s="1">
        <v>45798</v>
      </c>
      <c r="C6391" t="s">
        <v>90</v>
      </c>
      <c r="D6391">
        <v>21</v>
      </c>
      <c r="E6391" t="s">
        <v>39</v>
      </c>
      <c r="F6391" t="s">
        <v>50</v>
      </c>
      <c r="G6391" t="s">
        <v>191</v>
      </c>
      <c r="H6391" t="s">
        <v>211</v>
      </c>
      <c r="I6391">
        <v>33022</v>
      </c>
      <c r="J6391">
        <v>40591</v>
      </c>
    </row>
    <row r="6392" spans="1:10" x14ac:dyDescent="0.3">
      <c r="A6392" t="s">
        <v>6519</v>
      </c>
      <c r="B6392" s="1">
        <v>45861</v>
      </c>
      <c r="C6392" t="s">
        <v>11</v>
      </c>
      <c r="D6392">
        <v>30</v>
      </c>
      <c r="E6392" t="s">
        <v>18</v>
      </c>
      <c r="F6392" t="s">
        <v>78</v>
      </c>
      <c r="G6392" t="s">
        <v>72</v>
      </c>
      <c r="H6392" t="s">
        <v>103</v>
      </c>
      <c r="I6392">
        <v>16669</v>
      </c>
      <c r="J6392">
        <v>18345</v>
      </c>
    </row>
    <row r="6393" spans="1:10" x14ac:dyDescent="0.3">
      <c r="A6393" t="s">
        <v>6520</v>
      </c>
      <c r="B6393" s="1">
        <v>45676</v>
      </c>
      <c r="C6393" t="s">
        <v>17</v>
      </c>
      <c r="D6393">
        <v>3</v>
      </c>
      <c r="E6393" t="s">
        <v>24</v>
      </c>
      <c r="F6393" t="s">
        <v>101</v>
      </c>
      <c r="G6393" t="s">
        <v>326</v>
      </c>
      <c r="H6393" t="s">
        <v>36</v>
      </c>
      <c r="I6393">
        <v>17930</v>
      </c>
      <c r="J6393">
        <v>15971</v>
      </c>
    </row>
    <row r="6394" spans="1:10" x14ac:dyDescent="0.3">
      <c r="A6394" t="s">
        <v>6521</v>
      </c>
      <c r="B6394" s="1">
        <v>45701</v>
      </c>
      <c r="C6394" t="s">
        <v>82</v>
      </c>
      <c r="D6394">
        <v>7</v>
      </c>
      <c r="E6394" t="s">
        <v>61</v>
      </c>
      <c r="F6394" t="s">
        <v>109</v>
      </c>
      <c r="G6394" t="s">
        <v>44</v>
      </c>
      <c r="H6394" t="s">
        <v>188</v>
      </c>
      <c r="I6394">
        <v>31442</v>
      </c>
      <c r="J6394">
        <v>33703</v>
      </c>
    </row>
    <row r="6395" spans="1:10" x14ac:dyDescent="0.3">
      <c r="A6395" t="s">
        <v>6522</v>
      </c>
      <c r="B6395" s="1">
        <v>45808</v>
      </c>
      <c r="C6395" t="s">
        <v>90</v>
      </c>
      <c r="D6395">
        <v>22</v>
      </c>
      <c r="E6395" t="s">
        <v>12</v>
      </c>
      <c r="F6395" t="s">
        <v>101</v>
      </c>
      <c r="G6395" t="s">
        <v>240</v>
      </c>
      <c r="H6395" t="s">
        <v>59</v>
      </c>
      <c r="I6395">
        <v>30078</v>
      </c>
      <c r="J6395">
        <v>38087</v>
      </c>
    </row>
    <row r="6396" spans="1:10" x14ac:dyDescent="0.3">
      <c r="A6396" t="s">
        <v>6523</v>
      </c>
      <c r="B6396" s="1">
        <v>45915</v>
      </c>
      <c r="C6396" t="s">
        <v>38</v>
      </c>
      <c r="D6396">
        <v>38</v>
      </c>
      <c r="E6396" t="s">
        <v>33</v>
      </c>
      <c r="F6396" t="s">
        <v>193</v>
      </c>
      <c r="G6396" t="s">
        <v>266</v>
      </c>
      <c r="H6396" t="s">
        <v>21</v>
      </c>
      <c r="I6396">
        <v>16075</v>
      </c>
      <c r="J6396">
        <v>12659</v>
      </c>
    </row>
    <row r="6397" spans="1:10" x14ac:dyDescent="0.3">
      <c r="A6397" t="s">
        <v>6524</v>
      </c>
      <c r="B6397" s="1">
        <v>45689</v>
      </c>
      <c r="C6397" t="s">
        <v>82</v>
      </c>
      <c r="D6397">
        <v>5</v>
      </c>
      <c r="E6397" t="s">
        <v>12</v>
      </c>
      <c r="F6397" t="s">
        <v>62</v>
      </c>
      <c r="G6397" t="s">
        <v>182</v>
      </c>
      <c r="H6397" t="s">
        <v>111</v>
      </c>
      <c r="I6397">
        <v>34302</v>
      </c>
      <c r="J6397">
        <v>44370</v>
      </c>
    </row>
    <row r="6398" spans="1:10" x14ac:dyDescent="0.3">
      <c r="A6398" t="s">
        <v>6525</v>
      </c>
      <c r="B6398" s="1">
        <v>46010</v>
      </c>
      <c r="C6398" t="s">
        <v>100</v>
      </c>
      <c r="D6398">
        <v>51</v>
      </c>
      <c r="E6398" t="s">
        <v>70</v>
      </c>
      <c r="F6398" t="s">
        <v>140</v>
      </c>
      <c r="G6398" t="s">
        <v>72</v>
      </c>
      <c r="H6398" t="s">
        <v>98</v>
      </c>
      <c r="I6398">
        <v>26703</v>
      </c>
      <c r="J6398">
        <v>27311</v>
      </c>
    </row>
    <row r="6399" spans="1:10" x14ac:dyDescent="0.3">
      <c r="A6399" t="s">
        <v>6526</v>
      </c>
      <c r="B6399" s="1">
        <v>45805</v>
      </c>
      <c r="C6399" t="s">
        <v>90</v>
      </c>
      <c r="D6399">
        <v>22</v>
      </c>
      <c r="E6399" t="s">
        <v>39</v>
      </c>
      <c r="F6399" t="s">
        <v>75</v>
      </c>
      <c r="G6399" t="s">
        <v>324</v>
      </c>
      <c r="H6399" t="s">
        <v>98</v>
      </c>
      <c r="I6399">
        <v>22219</v>
      </c>
      <c r="J6399">
        <v>22837</v>
      </c>
    </row>
    <row r="6400" spans="1:10" x14ac:dyDescent="0.3">
      <c r="A6400" t="s">
        <v>6527</v>
      </c>
      <c r="B6400" s="1">
        <v>45972</v>
      </c>
      <c r="C6400" t="s">
        <v>23</v>
      </c>
      <c r="D6400">
        <v>46</v>
      </c>
      <c r="E6400" t="s">
        <v>12</v>
      </c>
      <c r="F6400" t="s">
        <v>78</v>
      </c>
      <c r="G6400" t="s">
        <v>88</v>
      </c>
      <c r="H6400" t="s">
        <v>111</v>
      </c>
      <c r="I6400">
        <v>32425</v>
      </c>
      <c r="J6400">
        <v>32113</v>
      </c>
    </row>
    <row r="6401" spans="1:10" x14ac:dyDescent="0.3">
      <c r="A6401" t="s">
        <v>6528</v>
      </c>
      <c r="B6401" s="1">
        <v>45781</v>
      </c>
      <c r="C6401" t="s">
        <v>90</v>
      </c>
      <c r="D6401">
        <v>18</v>
      </c>
      <c r="E6401" t="s">
        <v>61</v>
      </c>
      <c r="F6401" t="s">
        <v>114</v>
      </c>
      <c r="G6401" t="s">
        <v>132</v>
      </c>
      <c r="H6401" t="s">
        <v>133</v>
      </c>
      <c r="I6401">
        <v>33542</v>
      </c>
      <c r="J6401">
        <v>27390</v>
      </c>
    </row>
    <row r="6402" spans="1:10" x14ac:dyDescent="0.3">
      <c r="A6402" t="s">
        <v>6529</v>
      </c>
      <c r="B6402" s="1">
        <v>45691</v>
      </c>
      <c r="C6402" t="s">
        <v>82</v>
      </c>
      <c r="D6402">
        <v>6</v>
      </c>
      <c r="E6402" t="s">
        <v>39</v>
      </c>
      <c r="F6402" t="s">
        <v>34</v>
      </c>
      <c r="G6402" t="s">
        <v>182</v>
      </c>
      <c r="H6402" t="s">
        <v>68</v>
      </c>
      <c r="I6402">
        <v>24689</v>
      </c>
      <c r="J6402">
        <v>24875</v>
      </c>
    </row>
    <row r="6403" spans="1:10" x14ac:dyDescent="0.3">
      <c r="A6403" t="s">
        <v>6530</v>
      </c>
      <c r="B6403" s="1">
        <v>45894</v>
      </c>
      <c r="C6403" t="s">
        <v>113</v>
      </c>
      <c r="D6403">
        <v>35</v>
      </c>
      <c r="E6403" t="s">
        <v>24</v>
      </c>
      <c r="F6403" t="s">
        <v>75</v>
      </c>
      <c r="G6403" t="s">
        <v>63</v>
      </c>
      <c r="H6403" t="s">
        <v>188</v>
      </c>
      <c r="I6403">
        <v>36306</v>
      </c>
      <c r="J6403">
        <v>32024</v>
      </c>
    </row>
    <row r="6404" spans="1:10" x14ac:dyDescent="0.3">
      <c r="A6404" t="s">
        <v>6531</v>
      </c>
      <c r="B6404" s="1">
        <v>45922</v>
      </c>
      <c r="C6404" t="s">
        <v>38</v>
      </c>
      <c r="D6404">
        <v>39</v>
      </c>
      <c r="E6404" t="s">
        <v>33</v>
      </c>
      <c r="F6404" t="s">
        <v>78</v>
      </c>
      <c r="G6404" t="s">
        <v>83</v>
      </c>
      <c r="H6404" t="s">
        <v>116</v>
      </c>
      <c r="I6404">
        <v>39107</v>
      </c>
      <c r="J6404">
        <v>44679</v>
      </c>
    </row>
    <row r="6405" spans="1:10" x14ac:dyDescent="0.3">
      <c r="A6405" t="s">
        <v>6532</v>
      </c>
      <c r="B6405" s="1">
        <v>45665</v>
      </c>
      <c r="C6405" t="s">
        <v>17</v>
      </c>
      <c r="D6405">
        <v>2</v>
      </c>
      <c r="E6405" t="s">
        <v>33</v>
      </c>
      <c r="F6405" t="s">
        <v>43</v>
      </c>
      <c r="G6405" t="s">
        <v>130</v>
      </c>
      <c r="H6405" t="s">
        <v>157</v>
      </c>
      <c r="I6405">
        <v>35401</v>
      </c>
      <c r="J6405">
        <v>25882</v>
      </c>
    </row>
    <row r="6406" spans="1:10" x14ac:dyDescent="0.3">
      <c r="A6406" t="s">
        <v>6533</v>
      </c>
      <c r="B6406" s="1">
        <v>45839</v>
      </c>
      <c r="C6406" t="s">
        <v>11</v>
      </c>
      <c r="D6406">
        <v>27</v>
      </c>
      <c r="E6406" t="s">
        <v>18</v>
      </c>
      <c r="F6406" t="s">
        <v>75</v>
      </c>
      <c r="G6406" t="s">
        <v>135</v>
      </c>
      <c r="H6406" t="s">
        <v>243</v>
      </c>
      <c r="I6406">
        <v>33370</v>
      </c>
      <c r="J6406">
        <v>23427</v>
      </c>
    </row>
    <row r="6407" spans="1:10" x14ac:dyDescent="0.3">
      <c r="A6407" t="s">
        <v>6534</v>
      </c>
      <c r="B6407" s="1">
        <v>45841</v>
      </c>
      <c r="C6407" t="s">
        <v>11</v>
      </c>
      <c r="D6407">
        <v>27</v>
      </c>
      <c r="E6407" t="s">
        <v>18</v>
      </c>
      <c r="F6407" t="s">
        <v>122</v>
      </c>
      <c r="G6407" t="s">
        <v>20</v>
      </c>
      <c r="H6407" t="s">
        <v>157</v>
      </c>
      <c r="I6407">
        <v>17498</v>
      </c>
      <c r="J6407">
        <v>18245</v>
      </c>
    </row>
    <row r="6408" spans="1:10" x14ac:dyDescent="0.3">
      <c r="A6408" t="s">
        <v>6535</v>
      </c>
      <c r="B6408" s="1">
        <v>45898</v>
      </c>
      <c r="C6408" t="s">
        <v>113</v>
      </c>
      <c r="D6408">
        <v>35</v>
      </c>
      <c r="E6408" t="s">
        <v>24</v>
      </c>
      <c r="F6408" t="s">
        <v>122</v>
      </c>
      <c r="G6408" t="s">
        <v>145</v>
      </c>
      <c r="H6408" t="s">
        <v>155</v>
      </c>
      <c r="I6408">
        <v>21938</v>
      </c>
      <c r="J6408">
        <v>16477</v>
      </c>
    </row>
    <row r="6409" spans="1:10" x14ac:dyDescent="0.3">
      <c r="A6409" t="s">
        <v>6536</v>
      </c>
      <c r="B6409" s="1">
        <v>45906</v>
      </c>
      <c r="C6409" t="s">
        <v>38</v>
      </c>
      <c r="D6409">
        <v>36</v>
      </c>
      <c r="E6409" t="s">
        <v>24</v>
      </c>
      <c r="F6409" t="s">
        <v>193</v>
      </c>
      <c r="G6409" t="s">
        <v>79</v>
      </c>
      <c r="H6409" t="s">
        <v>165</v>
      </c>
      <c r="I6409">
        <v>29338</v>
      </c>
      <c r="J6409">
        <v>24991</v>
      </c>
    </row>
    <row r="6410" spans="1:10" x14ac:dyDescent="0.3">
      <c r="A6410" t="s">
        <v>6537</v>
      </c>
      <c r="B6410" s="1">
        <v>45895</v>
      </c>
      <c r="C6410" t="s">
        <v>113</v>
      </c>
      <c r="D6410">
        <v>35</v>
      </c>
      <c r="E6410" t="s">
        <v>70</v>
      </c>
      <c r="F6410" t="s">
        <v>43</v>
      </c>
      <c r="G6410" t="s">
        <v>67</v>
      </c>
      <c r="H6410" t="s">
        <v>48</v>
      </c>
      <c r="I6410">
        <v>24977</v>
      </c>
      <c r="J6410">
        <v>31473</v>
      </c>
    </row>
    <row r="6411" spans="1:10" x14ac:dyDescent="0.3">
      <c r="A6411" t="s">
        <v>6538</v>
      </c>
      <c r="B6411" s="1">
        <v>45924</v>
      </c>
      <c r="C6411" t="s">
        <v>38</v>
      </c>
      <c r="D6411">
        <v>39</v>
      </c>
      <c r="E6411" t="s">
        <v>70</v>
      </c>
      <c r="F6411" t="s">
        <v>114</v>
      </c>
      <c r="G6411" t="s">
        <v>26</v>
      </c>
      <c r="H6411" t="s">
        <v>27</v>
      </c>
      <c r="I6411">
        <v>17602</v>
      </c>
      <c r="J6411">
        <v>22179</v>
      </c>
    </row>
    <row r="6412" spans="1:10" x14ac:dyDescent="0.3">
      <c r="A6412" t="s">
        <v>6539</v>
      </c>
      <c r="B6412" s="1">
        <v>45669</v>
      </c>
      <c r="C6412" t="s">
        <v>17</v>
      </c>
      <c r="D6412">
        <v>2</v>
      </c>
      <c r="E6412" t="s">
        <v>33</v>
      </c>
      <c r="F6412" t="s">
        <v>101</v>
      </c>
      <c r="G6412" t="s">
        <v>141</v>
      </c>
      <c r="H6412" t="s">
        <v>41</v>
      </c>
      <c r="I6412">
        <v>19585</v>
      </c>
      <c r="J6412">
        <v>21711</v>
      </c>
    </row>
    <row r="6413" spans="1:10" x14ac:dyDescent="0.3">
      <c r="A6413" t="s">
        <v>6540</v>
      </c>
      <c r="B6413" s="1">
        <v>45990</v>
      </c>
      <c r="C6413" t="s">
        <v>23</v>
      </c>
      <c r="D6413">
        <v>48</v>
      </c>
      <c r="E6413" t="s">
        <v>70</v>
      </c>
      <c r="F6413" t="s">
        <v>43</v>
      </c>
      <c r="G6413" t="s">
        <v>182</v>
      </c>
      <c r="H6413" t="s">
        <v>48</v>
      </c>
      <c r="I6413">
        <v>16129</v>
      </c>
      <c r="J6413">
        <v>16656</v>
      </c>
    </row>
    <row r="6414" spans="1:10" x14ac:dyDescent="0.3">
      <c r="A6414" t="s">
        <v>6541</v>
      </c>
      <c r="B6414" s="1">
        <v>45958</v>
      </c>
      <c r="C6414" t="s">
        <v>66</v>
      </c>
      <c r="D6414">
        <v>44</v>
      </c>
      <c r="E6414" t="s">
        <v>24</v>
      </c>
      <c r="F6414" t="s">
        <v>46</v>
      </c>
      <c r="G6414" t="s">
        <v>141</v>
      </c>
      <c r="H6414" t="s">
        <v>243</v>
      </c>
      <c r="I6414">
        <v>30554</v>
      </c>
      <c r="J6414">
        <v>37538</v>
      </c>
    </row>
    <row r="6415" spans="1:10" x14ac:dyDescent="0.3">
      <c r="A6415" t="s">
        <v>6542</v>
      </c>
      <c r="B6415" s="1">
        <v>45928</v>
      </c>
      <c r="C6415" t="s">
        <v>38</v>
      </c>
      <c r="D6415">
        <v>39</v>
      </c>
      <c r="E6415" t="s">
        <v>12</v>
      </c>
      <c r="F6415" t="s">
        <v>57</v>
      </c>
      <c r="G6415" t="s">
        <v>160</v>
      </c>
      <c r="H6415" t="s">
        <v>36</v>
      </c>
      <c r="I6415">
        <v>36092</v>
      </c>
      <c r="J6415">
        <v>45637</v>
      </c>
    </row>
    <row r="6416" spans="1:10" x14ac:dyDescent="0.3">
      <c r="A6416" t="s">
        <v>6543</v>
      </c>
      <c r="B6416" s="1">
        <v>46022</v>
      </c>
      <c r="C6416" t="s">
        <v>100</v>
      </c>
      <c r="D6416">
        <v>1</v>
      </c>
      <c r="E6416" t="s">
        <v>39</v>
      </c>
      <c r="F6416" t="s">
        <v>75</v>
      </c>
      <c r="G6416" t="s">
        <v>171</v>
      </c>
      <c r="H6416" t="s">
        <v>48</v>
      </c>
      <c r="I6416">
        <v>19033</v>
      </c>
      <c r="J6416">
        <v>16367</v>
      </c>
    </row>
    <row r="6417" spans="1:10" x14ac:dyDescent="0.3">
      <c r="A6417" t="s">
        <v>6544</v>
      </c>
      <c r="B6417" s="1">
        <v>45915</v>
      </c>
      <c r="C6417" t="s">
        <v>38</v>
      </c>
      <c r="D6417">
        <v>38</v>
      </c>
      <c r="E6417" t="s">
        <v>61</v>
      </c>
      <c r="F6417" t="s">
        <v>62</v>
      </c>
      <c r="G6417" t="s">
        <v>88</v>
      </c>
      <c r="H6417" t="s">
        <v>103</v>
      </c>
      <c r="I6417">
        <v>25289</v>
      </c>
      <c r="J6417">
        <v>23530</v>
      </c>
    </row>
    <row r="6418" spans="1:10" x14ac:dyDescent="0.3">
      <c r="A6418" t="s">
        <v>6545</v>
      </c>
      <c r="B6418" s="1">
        <v>45876</v>
      </c>
      <c r="C6418" t="s">
        <v>113</v>
      </c>
      <c r="D6418">
        <v>32</v>
      </c>
      <c r="E6418" t="s">
        <v>18</v>
      </c>
      <c r="F6418" t="s">
        <v>140</v>
      </c>
      <c r="G6418" t="s">
        <v>126</v>
      </c>
      <c r="H6418" t="s">
        <v>123</v>
      </c>
      <c r="I6418">
        <v>32088</v>
      </c>
      <c r="J6418">
        <v>40004</v>
      </c>
    </row>
    <row r="6419" spans="1:10" x14ac:dyDescent="0.3">
      <c r="A6419" t="s">
        <v>6546</v>
      </c>
      <c r="B6419" s="1">
        <v>45898</v>
      </c>
      <c r="C6419" t="s">
        <v>113</v>
      </c>
      <c r="D6419">
        <v>35</v>
      </c>
      <c r="E6419" t="s">
        <v>18</v>
      </c>
      <c r="F6419" t="s">
        <v>19</v>
      </c>
      <c r="G6419" t="s">
        <v>51</v>
      </c>
      <c r="H6419" t="s">
        <v>68</v>
      </c>
      <c r="I6419">
        <v>23693</v>
      </c>
      <c r="J6419">
        <v>25744</v>
      </c>
    </row>
    <row r="6420" spans="1:10" x14ac:dyDescent="0.3">
      <c r="A6420" t="s">
        <v>6547</v>
      </c>
      <c r="B6420" s="1">
        <v>45838</v>
      </c>
      <c r="C6420" t="s">
        <v>74</v>
      </c>
      <c r="D6420">
        <v>27</v>
      </c>
      <c r="E6420" t="s">
        <v>39</v>
      </c>
      <c r="F6420" t="s">
        <v>114</v>
      </c>
      <c r="G6420" t="s">
        <v>206</v>
      </c>
      <c r="H6420" t="s">
        <v>15</v>
      </c>
      <c r="I6420">
        <v>30982</v>
      </c>
      <c r="J6420">
        <v>35977</v>
      </c>
    </row>
    <row r="6421" spans="1:10" x14ac:dyDescent="0.3">
      <c r="A6421" t="s">
        <v>6548</v>
      </c>
      <c r="B6421" s="1">
        <v>45981</v>
      </c>
      <c r="C6421" t="s">
        <v>23</v>
      </c>
      <c r="D6421">
        <v>47</v>
      </c>
      <c r="E6421" t="s">
        <v>12</v>
      </c>
      <c r="F6421" t="s">
        <v>13</v>
      </c>
      <c r="G6421" t="s">
        <v>147</v>
      </c>
      <c r="H6421" t="s">
        <v>155</v>
      </c>
      <c r="I6421">
        <v>30934</v>
      </c>
      <c r="J6421">
        <v>30536</v>
      </c>
    </row>
    <row r="6422" spans="1:10" x14ac:dyDescent="0.3">
      <c r="A6422" t="s">
        <v>6549</v>
      </c>
      <c r="B6422" s="1">
        <v>45783</v>
      </c>
      <c r="C6422" t="s">
        <v>90</v>
      </c>
      <c r="D6422">
        <v>19</v>
      </c>
      <c r="E6422" t="s">
        <v>61</v>
      </c>
      <c r="F6422" t="s">
        <v>57</v>
      </c>
      <c r="G6422" t="s">
        <v>51</v>
      </c>
      <c r="H6422" t="s">
        <v>151</v>
      </c>
      <c r="I6422">
        <v>39190</v>
      </c>
      <c r="J6422">
        <v>47259</v>
      </c>
    </row>
    <row r="6423" spans="1:10" x14ac:dyDescent="0.3">
      <c r="A6423" t="s">
        <v>6550</v>
      </c>
      <c r="B6423" s="1">
        <v>45789</v>
      </c>
      <c r="C6423" t="s">
        <v>90</v>
      </c>
      <c r="D6423">
        <v>20</v>
      </c>
      <c r="E6423" t="s">
        <v>33</v>
      </c>
      <c r="F6423" t="s">
        <v>87</v>
      </c>
      <c r="G6423" t="s">
        <v>76</v>
      </c>
      <c r="H6423" t="s">
        <v>15</v>
      </c>
      <c r="I6423">
        <v>15970</v>
      </c>
      <c r="J6423">
        <v>12877</v>
      </c>
    </row>
    <row r="6424" spans="1:10" x14ac:dyDescent="0.3">
      <c r="A6424" t="s">
        <v>6551</v>
      </c>
      <c r="B6424" s="1">
        <v>45762</v>
      </c>
      <c r="C6424" t="s">
        <v>86</v>
      </c>
      <c r="D6424">
        <v>16</v>
      </c>
      <c r="E6424" t="s">
        <v>12</v>
      </c>
      <c r="F6424" t="s">
        <v>19</v>
      </c>
      <c r="G6424" t="s">
        <v>63</v>
      </c>
      <c r="H6424" t="s">
        <v>98</v>
      </c>
      <c r="I6424">
        <v>38342</v>
      </c>
      <c r="J6424">
        <v>43254</v>
      </c>
    </row>
    <row r="6425" spans="1:10" x14ac:dyDescent="0.3">
      <c r="A6425" t="s">
        <v>6552</v>
      </c>
      <c r="B6425" s="1">
        <v>45793</v>
      </c>
      <c r="C6425" t="s">
        <v>90</v>
      </c>
      <c r="D6425">
        <v>20</v>
      </c>
      <c r="E6425" t="s">
        <v>39</v>
      </c>
      <c r="F6425" t="s">
        <v>122</v>
      </c>
      <c r="G6425" t="s">
        <v>107</v>
      </c>
      <c r="H6425" t="s">
        <v>84</v>
      </c>
      <c r="I6425">
        <v>17503</v>
      </c>
      <c r="J6425">
        <v>14062</v>
      </c>
    </row>
    <row r="6426" spans="1:10" x14ac:dyDescent="0.3">
      <c r="A6426" t="s">
        <v>6553</v>
      </c>
      <c r="B6426" s="1">
        <v>45953</v>
      </c>
      <c r="C6426" t="s">
        <v>66</v>
      </c>
      <c r="D6426">
        <v>43</v>
      </c>
      <c r="E6426" t="s">
        <v>33</v>
      </c>
      <c r="F6426" t="s">
        <v>62</v>
      </c>
      <c r="G6426" t="s">
        <v>63</v>
      </c>
      <c r="H6426" t="s">
        <v>27</v>
      </c>
      <c r="I6426">
        <v>26592</v>
      </c>
      <c r="J6426">
        <v>29741</v>
      </c>
    </row>
    <row r="6427" spans="1:10" x14ac:dyDescent="0.3">
      <c r="A6427" t="s">
        <v>6554</v>
      </c>
      <c r="B6427" s="1">
        <v>46000</v>
      </c>
      <c r="C6427" t="s">
        <v>100</v>
      </c>
      <c r="D6427">
        <v>50</v>
      </c>
      <c r="E6427" t="s">
        <v>70</v>
      </c>
      <c r="F6427" t="s">
        <v>50</v>
      </c>
      <c r="G6427" t="s">
        <v>118</v>
      </c>
      <c r="H6427" t="s">
        <v>155</v>
      </c>
      <c r="I6427">
        <v>30908</v>
      </c>
      <c r="J6427">
        <v>31318</v>
      </c>
    </row>
    <row r="6428" spans="1:10" x14ac:dyDescent="0.3">
      <c r="A6428" t="s">
        <v>6555</v>
      </c>
      <c r="B6428" s="1">
        <v>45775</v>
      </c>
      <c r="C6428" t="s">
        <v>86</v>
      </c>
      <c r="D6428">
        <v>18</v>
      </c>
      <c r="E6428" t="s">
        <v>70</v>
      </c>
      <c r="F6428" t="s">
        <v>46</v>
      </c>
      <c r="G6428" t="s">
        <v>135</v>
      </c>
      <c r="H6428" t="s">
        <v>111</v>
      </c>
      <c r="I6428">
        <v>39787</v>
      </c>
      <c r="J6428">
        <v>37696</v>
      </c>
    </row>
    <row r="6429" spans="1:10" x14ac:dyDescent="0.3">
      <c r="A6429" t="s">
        <v>6556</v>
      </c>
      <c r="B6429" s="1">
        <v>45693</v>
      </c>
      <c r="C6429" t="s">
        <v>82</v>
      </c>
      <c r="D6429">
        <v>6</v>
      </c>
      <c r="E6429" t="s">
        <v>61</v>
      </c>
      <c r="F6429" t="s">
        <v>43</v>
      </c>
      <c r="G6429" t="s">
        <v>145</v>
      </c>
      <c r="H6429" t="s">
        <v>243</v>
      </c>
      <c r="I6429">
        <v>21548</v>
      </c>
      <c r="J6429">
        <v>25773</v>
      </c>
    </row>
    <row r="6430" spans="1:10" x14ac:dyDescent="0.3">
      <c r="A6430" t="s">
        <v>6557</v>
      </c>
      <c r="B6430" s="1">
        <v>45697</v>
      </c>
      <c r="C6430" t="s">
        <v>82</v>
      </c>
      <c r="D6430">
        <v>6</v>
      </c>
      <c r="E6430" t="s">
        <v>33</v>
      </c>
      <c r="F6430" t="s">
        <v>122</v>
      </c>
      <c r="G6430" t="s">
        <v>110</v>
      </c>
      <c r="H6430" t="s">
        <v>64</v>
      </c>
      <c r="I6430">
        <v>22428</v>
      </c>
      <c r="J6430">
        <v>21944</v>
      </c>
    </row>
    <row r="6431" spans="1:10" x14ac:dyDescent="0.3">
      <c r="A6431" t="s">
        <v>6558</v>
      </c>
      <c r="B6431" s="1">
        <v>45765</v>
      </c>
      <c r="C6431" t="s">
        <v>86</v>
      </c>
      <c r="D6431">
        <v>16</v>
      </c>
      <c r="E6431" t="s">
        <v>61</v>
      </c>
      <c r="F6431" t="s">
        <v>75</v>
      </c>
      <c r="G6431" t="s">
        <v>44</v>
      </c>
      <c r="H6431" t="s">
        <v>103</v>
      </c>
      <c r="I6431">
        <v>15889</v>
      </c>
      <c r="J6431">
        <v>17668</v>
      </c>
    </row>
    <row r="6432" spans="1:10" x14ac:dyDescent="0.3">
      <c r="A6432" t="s">
        <v>6559</v>
      </c>
      <c r="B6432" s="1">
        <v>45854</v>
      </c>
      <c r="C6432" t="s">
        <v>11</v>
      </c>
      <c r="D6432">
        <v>29</v>
      </c>
      <c r="E6432" t="s">
        <v>18</v>
      </c>
      <c r="F6432" t="s">
        <v>62</v>
      </c>
      <c r="G6432" t="s">
        <v>266</v>
      </c>
      <c r="H6432" t="s">
        <v>41</v>
      </c>
      <c r="I6432">
        <v>28231</v>
      </c>
      <c r="J6432">
        <v>33229</v>
      </c>
    </row>
    <row r="6433" spans="1:10" x14ac:dyDescent="0.3">
      <c r="A6433" t="s">
        <v>6560</v>
      </c>
      <c r="B6433" s="1">
        <v>45884</v>
      </c>
      <c r="C6433" t="s">
        <v>113</v>
      </c>
      <c r="D6433">
        <v>33</v>
      </c>
      <c r="E6433" t="s">
        <v>61</v>
      </c>
      <c r="F6433" t="s">
        <v>19</v>
      </c>
      <c r="G6433" t="s">
        <v>160</v>
      </c>
      <c r="H6433" t="s">
        <v>59</v>
      </c>
      <c r="I6433">
        <v>38619</v>
      </c>
      <c r="J6433">
        <v>37178</v>
      </c>
    </row>
    <row r="6434" spans="1:10" x14ac:dyDescent="0.3">
      <c r="A6434" t="s">
        <v>6561</v>
      </c>
      <c r="B6434" s="1">
        <v>45735</v>
      </c>
      <c r="C6434" t="s">
        <v>95</v>
      </c>
      <c r="D6434">
        <v>12</v>
      </c>
      <c r="E6434" t="s">
        <v>61</v>
      </c>
      <c r="F6434" t="s">
        <v>101</v>
      </c>
      <c r="G6434" t="s">
        <v>171</v>
      </c>
      <c r="H6434" t="s">
        <v>133</v>
      </c>
      <c r="I6434">
        <v>39692</v>
      </c>
      <c r="J6434">
        <v>46997</v>
      </c>
    </row>
    <row r="6435" spans="1:10" x14ac:dyDescent="0.3">
      <c r="A6435" t="s">
        <v>6562</v>
      </c>
      <c r="B6435" s="1">
        <v>45784</v>
      </c>
      <c r="C6435" t="s">
        <v>90</v>
      </c>
      <c r="D6435">
        <v>19</v>
      </c>
      <c r="E6435" t="s">
        <v>61</v>
      </c>
      <c r="F6435" t="s">
        <v>122</v>
      </c>
      <c r="G6435" t="s">
        <v>326</v>
      </c>
      <c r="H6435" t="s">
        <v>48</v>
      </c>
      <c r="I6435">
        <v>35576</v>
      </c>
      <c r="J6435">
        <v>37951</v>
      </c>
    </row>
    <row r="6436" spans="1:10" x14ac:dyDescent="0.3">
      <c r="A6436" t="s">
        <v>6563</v>
      </c>
      <c r="B6436" s="1">
        <v>45733</v>
      </c>
      <c r="C6436" t="s">
        <v>95</v>
      </c>
      <c r="D6436">
        <v>12</v>
      </c>
      <c r="E6436" t="s">
        <v>61</v>
      </c>
      <c r="F6436" t="s">
        <v>34</v>
      </c>
      <c r="G6436" t="s">
        <v>58</v>
      </c>
      <c r="H6436" t="s">
        <v>15</v>
      </c>
      <c r="I6436">
        <v>33303</v>
      </c>
      <c r="J6436">
        <v>31732</v>
      </c>
    </row>
    <row r="6437" spans="1:10" x14ac:dyDescent="0.3">
      <c r="A6437" t="s">
        <v>6564</v>
      </c>
      <c r="B6437" s="1">
        <v>45836</v>
      </c>
      <c r="C6437" t="s">
        <v>74</v>
      </c>
      <c r="D6437">
        <v>26</v>
      </c>
      <c r="E6437" t="s">
        <v>18</v>
      </c>
      <c r="F6437" t="s">
        <v>101</v>
      </c>
      <c r="G6437" t="s">
        <v>145</v>
      </c>
      <c r="H6437" t="s">
        <v>59</v>
      </c>
      <c r="I6437">
        <v>19176</v>
      </c>
      <c r="J6437">
        <v>19327</v>
      </c>
    </row>
    <row r="6438" spans="1:10" x14ac:dyDescent="0.3">
      <c r="A6438" t="s">
        <v>6565</v>
      </c>
      <c r="B6438" s="1">
        <v>45693</v>
      </c>
      <c r="C6438" t="s">
        <v>82</v>
      </c>
      <c r="D6438">
        <v>6</v>
      </c>
      <c r="E6438" t="s">
        <v>70</v>
      </c>
      <c r="F6438" t="s">
        <v>92</v>
      </c>
      <c r="G6438" t="s">
        <v>182</v>
      </c>
      <c r="H6438" t="s">
        <v>84</v>
      </c>
      <c r="I6438">
        <v>32776</v>
      </c>
      <c r="J6438">
        <v>31832</v>
      </c>
    </row>
    <row r="6439" spans="1:10" x14ac:dyDescent="0.3">
      <c r="A6439" t="s">
        <v>6566</v>
      </c>
      <c r="B6439" s="1">
        <v>45748</v>
      </c>
      <c r="C6439" t="s">
        <v>86</v>
      </c>
      <c r="D6439">
        <v>14</v>
      </c>
      <c r="E6439" t="s">
        <v>61</v>
      </c>
      <c r="F6439" t="s">
        <v>25</v>
      </c>
      <c r="G6439" t="s">
        <v>141</v>
      </c>
      <c r="H6439" t="s">
        <v>27</v>
      </c>
      <c r="I6439">
        <v>33953</v>
      </c>
      <c r="J6439">
        <v>24984</v>
      </c>
    </row>
    <row r="6440" spans="1:10" x14ac:dyDescent="0.3">
      <c r="A6440" t="s">
        <v>6567</v>
      </c>
      <c r="B6440" s="1">
        <v>45802</v>
      </c>
      <c r="C6440" t="s">
        <v>90</v>
      </c>
      <c r="D6440">
        <v>21</v>
      </c>
      <c r="E6440" t="s">
        <v>61</v>
      </c>
      <c r="F6440" t="s">
        <v>46</v>
      </c>
      <c r="G6440" t="s">
        <v>145</v>
      </c>
      <c r="H6440" t="s">
        <v>96</v>
      </c>
      <c r="I6440">
        <v>23313</v>
      </c>
      <c r="J6440">
        <v>18958</v>
      </c>
    </row>
    <row r="6441" spans="1:10" x14ac:dyDescent="0.3">
      <c r="A6441" t="s">
        <v>6568</v>
      </c>
      <c r="B6441" s="1">
        <v>45752</v>
      </c>
      <c r="C6441" t="s">
        <v>86</v>
      </c>
      <c r="D6441">
        <v>14</v>
      </c>
      <c r="E6441" t="s">
        <v>39</v>
      </c>
      <c r="F6441" t="s">
        <v>13</v>
      </c>
      <c r="G6441" t="s">
        <v>35</v>
      </c>
      <c r="H6441" t="s">
        <v>15</v>
      </c>
      <c r="I6441">
        <v>22108</v>
      </c>
      <c r="J6441">
        <v>18820</v>
      </c>
    </row>
    <row r="6442" spans="1:10" x14ac:dyDescent="0.3">
      <c r="A6442" t="s">
        <v>6569</v>
      </c>
      <c r="B6442" s="1">
        <v>45930</v>
      </c>
      <c r="C6442" t="s">
        <v>38</v>
      </c>
      <c r="D6442">
        <v>40</v>
      </c>
      <c r="E6442" t="s">
        <v>70</v>
      </c>
      <c r="F6442" t="s">
        <v>46</v>
      </c>
      <c r="G6442" t="s">
        <v>253</v>
      </c>
      <c r="H6442" t="s">
        <v>64</v>
      </c>
      <c r="I6442">
        <v>17645</v>
      </c>
      <c r="J6442">
        <v>20055</v>
      </c>
    </row>
    <row r="6443" spans="1:10" x14ac:dyDescent="0.3">
      <c r="A6443" t="s">
        <v>6570</v>
      </c>
      <c r="B6443" s="1">
        <v>45821</v>
      </c>
      <c r="C6443" t="s">
        <v>74</v>
      </c>
      <c r="D6443">
        <v>24</v>
      </c>
      <c r="E6443" t="s">
        <v>70</v>
      </c>
      <c r="F6443" t="s">
        <v>25</v>
      </c>
      <c r="G6443" t="s">
        <v>110</v>
      </c>
      <c r="H6443" t="s">
        <v>211</v>
      </c>
      <c r="I6443">
        <v>23294</v>
      </c>
      <c r="J6443">
        <v>25644</v>
      </c>
    </row>
    <row r="6444" spans="1:10" x14ac:dyDescent="0.3">
      <c r="A6444" t="s">
        <v>6571</v>
      </c>
      <c r="B6444" s="1">
        <v>45909</v>
      </c>
      <c r="C6444" t="s">
        <v>38</v>
      </c>
      <c r="D6444">
        <v>37</v>
      </c>
      <c r="E6444" t="s">
        <v>18</v>
      </c>
      <c r="F6444" t="s">
        <v>109</v>
      </c>
      <c r="G6444" t="s">
        <v>191</v>
      </c>
      <c r="H6444" t="s">
        <v>103</v>
      </c>
      <c r="I6444">
        <v>36225</v>
      </c>
      <c r="J6444">
        <v>37418</v>
      </c>
    </row>
    <row r="6445" spans="1:10" x14ac:dyDescent="0.3">
      <c r="A6445" t="s">
        <v>6572</v>
      </c>
      <c r="B6445" s="1">
        <v>45683</v>
      </c>
      <c r="C6445" t="s">
        <v>17</v>
      </c>
      <c r="D6445">
        <v>4</v>
      </c>
      <c r="E6445" t="s">
        <v>33</v>
      </c>
      <c r="F6445" t="s">
        <v>122</v>
      </c>
      <c r="G6445" t="s">
        <v>191</v>
      </c>
      <c r="H6445" t="s">
        <v>55</v>
      </c>
      <c r="I6445">
        <v>31697</v>
      </c>
      <c r="J6445">
        <v>39063</v>
      </c>
    </row>
    <row r="6446" spans="1:10" x14ac:dyDescent="0.3">
      <c r="A6446" t="s">
        <v>6573</v>
      </c>
      <c r="B6446" s="1">
        <v>45995</v>
      </c>
      <c r="C6446" t="s">
        <v>100</v>
      </c>
      <c r="D6446">
        <v>49</v>
      </c>
      <c r="E6446" t="s">
        <v>39</v>
      </c>
      <c r="F6446" t="s">
        <v>57</v>
      </c>
      <c r="G6446" t="s">
        <v>126</v>
      </c>
      <c r="H6446" t="s">
        <v>103</v>
      </c>
      <c r="I6446">
        <v>31421</v>
      </c>
      <c r="J6446">
        <v>27290</v>
      </c>
    </row>
    <row r="6447" spans="1:10" x14ac:dyDescent="0.3">
      <c r="A6447" t="s">
        <v>6574</v>
      </c>
      <c r="B6447" s="1">
        <v>45885</v>
      </c>
      <c r="C6447" t="s">
        <v>113</v>
      </c>
      <c r="D6447">
        <v>33</v>
      </c>
      <c r="E6447" t="s">
        <v>18</v>
      </c>
      <c r="F6447" t="s">
        <v>29</v>
      </c>
      <c r="G6447" t="s">
        <v>35</v>
      </c>
      <c r="H6447" t="s">
        <v>84</v>
      </c>
      <c r="I6447">
        <v>35881</v>
      </c>
      <c r="J6447">
        <v>26273</v>
      </c>
    </row>
    <row r="6448" spans="1:10" x14ac:dyDescent="0.3">
      <c r="A6448" t="s">
        <v>6575</v>
      </c>
      <c r="B6448" s="1">
        <v>45773</v>
      </c>
      <c r="C6448" t="s">
        <v>86</v>
      </c>
      <c r="D6448">
        <v>17</v>
      </c>
      <c r="E6448" t="s">
        <v>39</v>
      </c>
      <c r="F6448" t="s">
        <v>19</v>
      </c>
      <c r="G6448" t="s">
        <v>240</v>
      </c>
      <c r="H6448" t="s">
        <v>48</v>
      </c>
      <c r="I6448">
        <v>22415</v>
      </c>
      <c r="J6448">
        <v>19373</v>
      </c>
    </row>
    <row r="6449" spans="1:10" x14ac:dyDescent="0.3">
      <c r="A6449" t="s">
        <v>6576</v>
      </c>
      <c r="B6449" s="1">
        <v>45912</v>
      </c>
      <c r="C6449" t="s">
        <v>38</v>
      </c>
      <c r="D6449">
        <v>37</v>
      </c>
      <c r="E6449" t="s">
        <v>33</v>
      </c>
      <c r="F6449" t="s">
        <v>75</v>
      </c>
      <c r="G6449" t="s">
        <v>126</v>
      </c>
      <c r="H6449" t="s">
        <v>165</v>
      </c>
      <c r="I6449">
        <v>25327</v>
      </c>
      <c r="J6449">
        <v>28842</v>
      </c>
    </row>
    <row r="6450" spans="1:10" x14ac:dyDescent="0.3">
      <c r="A6450" t="s">
        <v>6577</v>
      </c>
      <c r="B6450" s="1">
        <v>45761</v>
      </c>
      <c r="C6450" t="s">
        <v>86</v>
      </c>
      <c r="D6450">
        <v>16</v>
      </c>
      <c r="E6450" t="s">
        <v>39</v>
      </c>
      <c r="F6450" t="s">
        <v>87</v>
      </c>
      <c r="G6450" t="s">
        <v>14</v>
      </c>
      <c r="H6450" t="s">
        <v>52</v>
      </c>
      <c r="I6450">
        <v>19509</v>
      </c>
      <c r="J6450">
        <v>13665</v>
      </c>
    </row>
    <row r="6451" spans="1:10" x14ac:dyDescent="0.3">
      <c r="A6451" t="s">
        <v>6578</v>
      </c>
      <c r="B6451" s="1">
        <v>45958</v>
      </c>
      <c r="C6451" t="s">
        <v>66</v>
      </c>
      <c r="D6451">
        <v>44</v>
      </c>
      <c r="E6451" t="s">
        <v>12</v>
      </c>
      <c r="F6451" t="s">
        <v>140</v>
      </c>
      <c r="G6451" t="s">
        <v>54</v>
      </c>
      <c r="H6451" t="s">
        <v>64</v>
      </c>
      <c r="I6451">
        <v>35449</v>
      </c>
      <c r="J6451">
        <v>41008</v>
      </c>
    </row>
    <row r="6452" spans="1:10" x14ac:dyDescent="0.3">
      <c r="A6452" t="s">
        <v>6579</v>
      </c>
      <c r="B6452" s="1">
        <v>45986</v>
      </c>
      <c r="C6452" t="s">
        <v>23</v>
      </c>
      <c r="D6452">
        <v>48</v>
      </c>
      <c r="E6452" t="s">
        <v>61</v>
      </c>
      <c r="F6452" t="s">
        <v>87</v>
      </c>
      <c r="G6452" t="s">
        <v>20</v>
      </c>
      <c r="H6452" t="s">
        <v>133</v>
      </c>
      <c r="I6452">
        <v>15911</v>
      </c>
      <c r="J6452">
        <v>16075</v>
      </c>
    </row>
    <row r="6453" spans="1:10" x14ac:dyDescent="0.3">
      <c r="A6453" t="s">
        <v>6580</v>
      </c>
      <c r="B6453" s="1">
        <v>45755</v>
      </c>
      <c r="C6453" t="s">
        <v>86</v>
      </c>
      <c r="D6453">
        <v>15</v>
      </c>
      <c r="E6453" t="s">
        <v>70</v>
      </c>
      <c r="F6453" t="s">
        <v>50</v>
      </c>
      <c r="G6453" t="s">
        <v>67</v>
      </c>
      <c r="H6453" t="s">
        <v>133</v>
      </c>
      <c r="I6453">
        <v>23973</v>
      </c>
      <c r="J6453">
        <v>18537</v>
      </c>
    </row>
    <row r="6454" spans="1:10" x14ac:dyDescent="0.3">
      <c r="A6454" t="s">
        <v>6581</v>
      </c>
      <c r="B6454" s="1">
        <v>45928</v>
      </c>
      <c r="C6454" t="s">
        <v>38</v>
      </c>
      <c r="D6454">
        <v>39</v>
      </c>
      <c r="E6454" t="s">
        <v>24</v>
      </c>
      <c r="F6454" t="s">
        <v>34</v>
      </c>
      <c r="G6454" t="s">
        <v>147</v>
      </c>
      <c r="H6454" t="s">
        <v>52</v>
      </c>
      <c r="I6454">
        <v>26533</v>
      </c>
      <c r="J6454">
        <v>29895</v>
      </c>
    </row>
    <row r="6455" spans="1:10" x14ac:dyDescent="0.3">
      <c r="A6455" t="s">
        <v>6582</v>
      </c>
      <c r="B6455" s="1">
        <v>45998</v>
      </c>
      <c r="C6455" t="s">
        <v>100</v>
      </c>
      <c r="D6455">
        <v>49</v>
      </c>
      <c r="E6455" t="s">
        <v>33</v>
      </c>
      <c r="F6455" t="s">
        <v>75</v>
      </c>
      <c r="G6455" t="s">
        <v>137</v>
      </c>
      <c r="H6455" t="s">
        <v>165</v>
      </c>
      <c r="I6455">
        <v>20549</v>
      </c>
      <c r="J6455">
        <v>15683</v>
      </c>
    </row>
    <row r="6456" spans="1:10" x14ac:dyDescent="0.3">
      <c r="A6456" t="s">
        <v>6583</v>
      </c>
      <c r="B6456" s="1">
        <v>45821</v>
      </c>
      <c r="C6456" t="s">
        <v>74</v>
      </c>
      <c r="D6456">
        <v>24</v>
      </c>
      <c r="E6456" t="s">
        <v>24</v>
      </c>
      <c r="F6456" t="s">
        <v>75</v>
      </c>
      <c r="G6456" t="s">
        <v>128</v>
      </c>
      <c r="H6456" t="s">
        <v>27</v>
      </c>
      <c r="I6456">
        <v>21072</v>
      </c>
      <c r="J6456">
        <v>25690</v>
      </c>
    </row>
    <row r="6457" spans="1:10" x14ac:dyDescent="0.3">
      <c r="A6457" t="s">
        <v>6584</v>
      </c>
      <c r="B6457" s="1">
        <v>45997</v>
      </c>
      <c r="C6457" t="s">
        <v>100</v>
      </c>
      <c r="D6457">
        <v>49</v>
      </c>
      <c r="E6457" t="s">
        <v>33</v>
      </c>
      <c r="F6457" t="s">
        <v>34</v>
      </c>
      <c r="G6457" t="s">
        <v>128</v>
      </c>
      <c r="H6457" t="s">
        <v>27</v>
      </c>
      <c r="I6457">
        <v>35979</v>
      </c>
      <c r="J6457">
        <v>25544</v>
      </c>
    </row>
    <row r="6458" spans="1:10" x14ac:dyDescent="0.3">
      <c r="A6458" t="s">
        <v>6585</v>
      </c>
      <c r="B6458" s="1">
        <v>45845</v>
      </c>
      <c r="C6458" t="s">
        <v>11</v>
      </c>
      <c r="D6458">
        <v>28</v>
      </c>
      <c r="E6458" t="s">
        <v>12</v>
      </c>
      <c r="F6458" t="s">
        <v>13</v>
      </c>
      <c r="G6458" t="s">
        <v>206</v>
      </c>
      <c r="H6458" t="s">
        <v>188</v>
      </c>
      <c r="I6458">
        <v>17303</v>
      </c>
      <c r="J6458">
        <v>18120</v>
      </c>
    </row>
    <row r="6459" spans="1:10" x14ac:dyDescent="0.3">
      <c r="A6459" t="s">
        <v>6586</v>
      </c>
      <c r="B6459" s="1">
        <v>45939</v>
      </c>
      <c r="C6459" t="s">
        <v>66</v>
      </c>
      <c r="D6459">
        <v>41</v>
      </c>
      <c r="E6459" t="s">
        <v>39</v>
      </c>
      <c r="F6459" t="s">
        <v>122</v>
      </c>
      <c r="G6459" t="s">
        <v>54</v>
      </c>
      <c r="H6459" t="s">
        <v>41</v>
      </c>
      <c r="I6459">
        <v>28206</v>
      </c>
      <c r="J6459">
        <v>24365</v>
      </c>
    </row>
    <row r="6460" spans="1:10" x14ac:dyDescent="0.3">
      <c r="A6460" t="s">
        <v>6587</v>
      </c>
      <c r="B6460" s="1">
        <v>45719</v>
      </c>
      <c r="C6460" t="s">
        <v>95</v>
      </c>
      <c r="D6460">
        <v>10</v>
      </c>
      <c r="E6460" t="s">
        <v>33</v>
      </c>
      <c r="F6460" t="s">
        <v>13</v>
      </c>
      <c r="G6460" t="s">
        <v>230</v>
      </c>
      <c r="H6460" t="s">
        <v>36</v>
      </c>
      <c r="I6460">
        <v>38834</v>
      </c>
      <c r="J6460">
        <v>41113</v>
      </c>
    </row>
    <row r="6461" spans="1:10" x14ac:dyDescent="0.3">
      <c r="A6461" t="s">
        <v>6588</v>
      </c>
      <c r="B6461" s="1">
        <v>45992</v>
      </c>
      <c r="C6461" t="s">
        <v>100</v>
      </c>
      <c r="D6461">
        <v>49</v>
      </c>
      <c r="E6461" t="s">
        <v>24</v>
      </c>
      <c r="F6461" t="s">
        <v>50</v>
      </c>
      <c r="G6461" t="s">
        <v>160</v>
      </c>
      <c r="H6461" t="s">
        <v>55</v>
      </c>
      <c r="I6461">
        <v>34298</v>
      </c>
      <c r="J6461">
        <v>24334</v>
      </c>
    </row>
    <row r="6462" spans="1:10" x14ac:dyDescent="0.3">
      <c r="A6462" t="s">
        <v>6589</v>
      </c>
      <c r="B6462" s="1">
        <v>45723</v>
      </c>
      <c r="C6462" t="s">
        <v>95</v>
      </c>
      <c r="D6462">
        <v>10</v>
      </c>
      <c r="E6462" t="s">
        <v>18</v>
      </c>
      <c r="F6462" t="s">
        <v>43</v>
      </c>
      <c r="G6462" t="s">
        <v>63</v>
      </c>
      <c r="H6462" t="s">
        <v>111</v>
      </c>
      <c r="I6462">
        <v>18089</v>
      </c>
      <c r="J6462">
        <v>18821</v>
      </c>
    </row>
    <row r="6463" spans="1:10" x14ac:dyDescent="0.3">
      <c r="A6463" t="s">
        <v>6590</v>
      </c>
      <c r="B6463" s="1">
        <v>45674</v>
      </c>
      <c r="C6463" t="s">
        <v>17</v>
      </c>
      <c r="D6463">
        <v>3</v>
      </c>
      <c r="E6463" t="s">
        <v>12</v>
      </c>
      <c r="F6463" t="s">
        <v>19</v>
      </c>
      <c r="G6463" t="s">
        <v>149</v>
      </c>
      <c r="H6463" t="s">
        <v>84</v>
      </c>
      <c r="I6463">
        <v>25724</v>
      </c>
      <c r="J6463">
        <v>25292</v>
      </c>
    </row>
    <row r="6464" spans="1:10" x14ac:dyDescent="0.3">
      <c r="A6464" t="s">
        <v>6591</v>
      </c>
      <c r="B6464" s="1">
        <v>45692</v>
      </c>
      <c r="C6464" t="s">
        <v>82</v>
      </c>
      <c r="D6464">
        <v>6</v>
      </c>
      <c r="E6464" t="s">
        <v>24</v>
      </c>
      <c r="F6464" t="s">
        <v>25</v>
      </c>
      <c r="G6464" t="s">
        <v>224</v>
      </c>
      <c r="H6464" t="s">
        <v>165</v>
      </c>
      <c r="I6464">
        <v>26438</v>
      </c>
      <c r="J6464">
        <v>18648</v>
      </c>
    </row>
    <row r="6465" spans="1:10" x14ac:dyDescent="0.3">
      <c r="A6465" t="s">
        <v>6592</v>
      </c>
      <c r="B6465" s="1">
        <v>46020</v>
      </c>
      <c r="C6465" t="s">
        <v>100</v>
      </c>
      <c r="D6465">
        <v>1</v>
      </c>
      <c r="E6465" t="s">
        <v>18</v>
      </c>
      <c r="F6465" t="s">
        <v>57</v>
      </c>
      <c r="G6465" t="s">
        <v>147</v>
      </c>
      <c r="H6465" t="s">
        <v>188</v>
      </c>
      <c r="I6465">
        <v>27873</v>
      </c>
      <c r="J6465">
        <v>33037</v>
      </c>
    </row>
    <row r="6466" spans="1:10" x14ac:dyDescent="0.3">
      <c r="A6466" t="s">
        <v>6593</v>
      </c>
      <c r="B6466" s="1">
        <v>45833</v>
      </c>
      <c r="C6466" t="s">
        <v>74</v>
      </c>
      <c r="D6466">
        <v>26</v>
      </c>
      <c r="E6466" t="s">
        <v>39</v>
      </c>
      <c r="F6466" t="s">
        <v>78</v>
      </c>
      <c r="G6466" t="s">
        <v>107</v>
      </c>
      <c r="H6466" t="s">
        <v>15</v>
      </c>
      <c r="I6466">
        <v>27831</v>
      </c>
      <c r="J6466">
        <v>27331</v>
      </c>
    </row>
    <row r="6467" spans="1:10" x14ac:dyDescent="0.3">
      <c r="A6467" t="s">
        <v>6594</v>
      </c>
      <c r="B6467" s="1">
        <v>46003</v>
      </c>
      <c r="C6467" t="s">
        <v>100</v>
      </c>
      <c r="D6467">
        <v>50</v>
      </c>
      <c r="E6467" t="s">
        <v>24</v>
      </c>
      <c r="F6467" t="s">
        <v>50</v>
      </c>
      <c r="G6467" t="s">
        <v>240</v>
      </c>
      <c r="H6467" t="s">
        <v>31</v>
      </c>
      <c r="I6467">
        <v>23317</v>
      </c>
      <c r="J6467">
        <v>28311</v>
      </c>
    </row>
    <row r="6468" spans="1:10" x14ac:dyDescent="0.3">
      <c r="A6468" t="s">
        <v>6595</v>
      </c>
      <c r="B6468" s="1">
        <v>45910</v>
      </c>
      <c r="C6468" t="s">
        <v>38</v>
      </c>
      <c r="D6468">
        <v>37</v>
      </c>
      <c r="E6468" t="s">
        <v>33</v>
      </c>
      <c r="F6468" t="s">
        <v>101</v>
      </c>
      <c r="G6468" t="s">
        <v>51</v>
      </c>
      <c r="H6468" t="s">
        <v>52</v>
      </c>
      <c r="I6468">
        <v>21693</v>
      </c>
      <c r="J6468">
        <v>15243</v>
      </c>
    </row>
    <row r="6469" spans="1:10" x14ac:dyDescent="0.3">
      <c r="A6469" t="s">
        <v>6596</v>
      </c>
      <c r="B6469" s="1">
        <v>45849</v>
      </c>
      <c r="C6469" t="s">
        <v>11</v>
      </c>
      <c r="D6469">
        <v>28</v>
      </c>
      <c r="E6469" t="s">
        <v>39</v>
      </c>
      <c r="F6469" t="s">
        <v>109</v>
      </c>
      <c r="G6469" t="s">
        <v>137</v>
      </c>
      <c r="H6469" t="s">
        <v>41</v>
      </c>
      <c r="I6469">
        <v>37214</v>
      </c>
      <c r="J6469">
        <v>47291</v>
      </c>
    </row>
    <row r="6470" spans="1:10" x14ac:dyDescent="0.3">
      <c r="A6470" t="s">
        <v>6597</v>
      </c>
      <c r="B6470" s="1">
        <v>45825</v>
      </c>
      <c r="C6470" t="s">
        <v>74</v>
      </c>
      <c r="D6470">
        <v>25</v>
      </c>
      <c r="E6470" t="s">
        <v>70</v>
      </c>
      <c r="F6470" t="s">
        <v>114</v>
      </c>
      <c r="G6470" t="s">
        <v>14</v>
      </c>
      <c r="H6470" t="s">
        <v>55</v>
      </c>
      <c r="I6470">
        <v>37379</v>
      </c>
      <c r="J6470">
        <v>44486</v>
      </c>
    </row>
    <row r="6471" spans="1:10" x14ac:dyDescent="0.3">
      <c r="A6471" t="s">
        <v>6598</v>
      </c>
      <c r="B6471" s="1">
        <v>45885</v>
      </c>
      <c r="C6471" t="s">
        <v>113</v>
      </c>
      <c r="D6471">
        <v>33</v>
      </c>
      <c r="E6471" t="s">
        <v>39</v>
      </c>
      <c r="F6471" t="s">
        <v>34</v>
      </c>
      <c r="G6471" t="s">
        <v>67</v>
      </c>
      <c r="H6471" t="s">
        <v>55</v>
      </c>
      <c r="I6471">
        <v>34636</v>
      </c>
      <c r="J6471">
        <v>34169</v>
      </c>
    </row>
    <row r="6472" spans="1:10" x14ac:dyDescent="0.3">
      <c r="A6472" t="s">
        <v>6599</v>
      </c>
      <c r="B6472" s="1">
        <v>45886</v>
      </c>
      <c r="C6472" t="s">
        <v>113</v>
      </c>
      <c r="D6472">
        <v>33</v>
      </c>
      <c r="E6472" t="s">
        <v>24</v>
      </c>
      <c r="F6472" t="s">
        <v>34</v>
      </c>
      <c r="G6472" t="s">
        <v>128</v>
      </c>
      <c r="H6472" t="s">
        <v>41</v>
      </c>
      <c r="I6472">
        <v>34392</v>
      </c>
      <c r="J6472">
        <v>30808</v>
      </c>
    </row>
    <row r="6473" spans="1:10" x14ac:dyDescent="0.3">
      <c r="A6473" t="s">
        <v>6600</v>
      </c>
      <c r="B6473" s="1">
        <v>45880</v>
      </c>
      <c r="C6473" t="s">
        <v>113</v>
      </c>
      <c r="D6473">
        <v>33</v>
      </c>
      <c r="E6473" t="s">
        <v>39</v>
      </c>
      <c r="F6473" t="s">
        <v>57</v>
      </c>
      <c r="G6473" t="s">
        <v>44</v>
      </c>
      <c r="H6473" t="s">
        <v>96</v>
      </c>
      <c r="I6473">
        <v>36468</v>
      </c>
      <c r="J6473">
        <v>30915</v>
      </c>
    </row>
    <row r="6474" spans="1:10" x14ac:dyDescent="0.3">
      <c r="A6474" t="s">
        <v>6601</v>
      </c>
      <c r="B6474" s="1">
        <v>45826</v>
      </c>
      <c r="C6474" t="s">
        <v>74</v>
      </c>
      <c r="D6474">
        <v>25</v>
      </c>
      <c r="E6474" t="s">
        <v>61</v>
      </c>
      <c r="F6474" t="s">
        <v>78</v>
      </c>
      <c r="G6474" t="s">
        <v>147</v>
      </c>
      <c r="H6474" t="s">
        <v>15</v>
      </c>
      <c r="I6474">
        <v>19417</v>
      </c>
      <c r="J6474">
        <v>21943</v>
      </c>
    </row>
    <row r="6475" spans="1:10" x14ac:dyDescent="0.3">
      <c r="A6475" t="s">
        <v>6602</v>
      </c>
      <c r="B6475" s="1">
        <v>45673</v>
      </c>
      <c r="C6475" t="s">
        <v>17</v>
      </c>
      <c r="D6475">
        <v>3</v>
      </c>
      <c r="E6475" t="s">
        <v>18</v>
      </c>
      <c r="F6475" t="s">
        <v>75</v>
      </c>
      <c r="G6475" t="s">
        <v>107</v>
      </c>
      <c r="H6475" t="s">
        <v>84</v>
      </c>
      <c r="I6475">
        <v>33653</v>
      </c>
      <c r="J6475">
        <v>27018</v>
      </c>
    </row>
    <row r="6476" spans="1:10" x14ac:dyDescent="0.3">
      <c r="A6476" t="s">
        <v>6603</v>
      </c>
      <c r="B6476" s="1">
        <v>45926</v>
      </c>
      <c r="C6476" t="s">
        <v>38</v>
      </c>
      <c r="D6476">
        <v>39</v>
      </c>
      <c r="E6476" t="s">
        <v>39</v>
      </c>
      <c r="F6476" t="s">
        <v>87</v>
      </c>
      <c r="G6476" t="s">
        <v>54</v>
      </c>
      <c r="H6476" t="s">
        <v>80</v>
      </c>
      <c r="I6476">
        <v>25154</v>
      </c>
      <c r="J6476">
        <v>23422</v>
      </c>
    </row>
    <row r="6477" spans="1:10" x14ac:dyDescent="0.3">
      <c r="A6477" t="s">
        <v>6604</v>
      </c>
      <c r="B6477" s="1">
        <v>45769</v>
      </c>
      <c r="C6477" t="s">
        <v>86</v>
      </c>
      <c r="D6477">
        <v>17</v>
      </c>
      <c r="E6477" t="s">
        <v>61</v>
      </c>
      <c r="F6477" t="s">
        <v>101</v>
      </c>
      <c r="G6477" t="s">
        <v>160</v>
      </c>
      <c r="H6477" t="s">
        <v>84</v>
      </c>
      <c r="I6477">
        <v>38814</v>
      </c>
      <c r="J6477">
        <v>33299</v>
      </c>
    </row>
    <row r="6478" spans="1:10" x14ac:dyDescent="0.3">
      <c r="A6478" t="s">
        <v>6605</v>
      </c>
      <c r="B6478" s="1">
        <v>45954</v>
      </c>
      <c r="C6478" t="s">
        <v>66</v>
      </c>
      <c r="D6478">
        <v>43</v>
      </c>
      <c r="E6478" t="s">
        <v>12</v>
      </c>
      <c r="F6478" t="s">
        <v>101</v>
      </c>
      <c r="G6478" t="s">
        <v>253</v>
      </c>
      <c r="H6478" t="s">
        <v>48</v>
      </c>
      <c r="I6478">
        <v>26490</v>
      </c>
      <c r="J6478">
        <v>28675</v>
      </c>
    </row>
    <row r="6479" spans="1:10" x14ac:dyDescent="0.3">
      <c r="A6479" t="s">
        <v>6606</v>
      </c>
      <c r="B6479" s="1">
        <v>45814</v>
      </c>
      <c r="C6479" t="s">
        <v>74</v>
      </c>
      <c r="D6479">
        <v>23</v>
      </c>
      <c r="E6479" t="s">
        <v>24</v>
      </c>
      <c r="F6479" t="s">
        <v>122</v>
      </c>
      <c r="G6479" t="s">
        <v>147</v>
      </c>
      <c r="H6479" t="s">
        <v>165</v>
      </c>
      <c r="I6479">
        <v>18852</v>
      </c>
      <c r="J6479">
        <v>20448</v>
      </c>
    </row>
    <row r="6480" spans="1:10" x14ac:dyDescent="0.3">
      <c r="A6480" t="s">
        <v>6607</v>
      </c>
      <c r="B6480" s="1">
        <v>45864</v>
      </c>
      <c r="C6480" t="s">
        <v>11</v>
      </c>
      <c r="D6480">
        <v>30</v>
      </c>
      <c r="E6480" t="s">
        <v>18</v>
      </c>
      <c r="F6480" t="s">
        <v>122</v>
      </c>
      <c r="G6480" t="s">
        <v>171</v>
      </c>
      <c r="H6480" t="s">
        <v>64</v>
      </c>
      <c r="I6480">
        <v>23287</v>
      </c>
      <c r="J6480">
        <v>20963</v>
      </c>
    </row>
    <row r="6481" spans="1:10" x14ac:dyDescent="0.3">
      <c r="A6481" t="s">
        <v>6608</v>
      </c>
      <c r="B6481" s="1">
        <v>45870</v>
      </c>
      <c r="C6481" t="s">
        <v>113</v>
      </c>
      <c r="D6481">
        <v>31</v>
      </c>
      <c r="E6481" t="s">
        <v>61</v>
      </c>
      <c r="F6481" t="s">
        <v>29</v>
      </c>
      <c r="G6481" t="s">
        <v>115</v>
      </c>
      <c r="H6481" t="s">
        <v>165</v>
      </c>
      <c r="I6481">
        <v>36906</v>
      </c>
      <c r="J6481">
        <v>34682</v>
      </c>
    </row>
    <row r="6482" spans="1:10" x14ac:dyDescent="0.3">
      <c r="A6482" t="s">
        <v>6609</v>
      </c>
      <c r="B6482" s="1">
        <v>45992</v>
      </c>
      <c r="C6482" t="s">
        <v>100</v>
      </c>
      <c r="D6482">
        <v>49</v>
      </c>
      <c r="E6482" t="s">
        <v>61</v>
      </c>
      <c r="F6482" t="s">
        <v>114</v>
      </c>
      <c r="G6482" t="s">
        <v>107</v>
      </c>
      <c r="H6482" t="s">
        <v>133</v>
      </c>
      <c r="I6482">
        <v>33793</v>
      </c>
      <c r="J6482">
        <v>25458</v>
      </c>
    </row>
    <row r="6483" spans="1:10" x14ac:dyDescent="0.3">
      <c r="A6483" t="s">
        <v>6610</v>
      </c>
      <c r="B6483" s="1">
        <v>45817</v>
      </c>
      <c r="C6483" t="s">
        <v>74</v>
      </c>
      <c r="D6483">
        <v>24</v>
      </c>
      <c r="E6483" t="s">
        <v>18</v>
      </c>
      <c r="F6483" t="s">
        <v>140</v>
      </c>
      <c r="G6483" t="s">
        <v>83</v>
      </c>
      <c r="H6483" t="s">
        <v>55</v>
      </c>
      <c r="I6483">
        <v>18502</v>
      </c>
      <c r="J6483">
        <v>23200</v>
      </c>
    </row>
    <row r="6484" spans="1:10" x14ac:dyDescent="0.3">
      <c r="A6484" t="s">
        <v>6611</v>
      </c>
      <c r="B6484" s="1">
        <v>45673</v>
      </c>
      <c r="C6484" t="s">
        <v>17</v>
      </c>
      <c r="D6484">
        <v>3</v>
      </c>
      <c r="E6484" t="s">
        <v>70</v>
      </c>
      <c r="F6484" t="s">
        <v>92</v>
      </c>
      <c r="G6484" t="s">
        <v>115</v>
      </c>
      <c r="H6484" t="s">
        <v>243</v>
      </c>
      <c r="I6484">
        <v>17249</v>
      </c>
      <c r="J6484">
        <v>18241</v>
      </c>
    </row>
    <row r="6485" spans="1:10" x14ac:dyDescent="0.3">
      <c r="A6485" t="s">
        <v>6612</v>
      </c>
      <c r="B6485" s="1">
        <v>45998</v>
      </c>
      <c r="C6485" t="s">
        <v>100</v>
      </c>
      <c r="D6485">
        <v>49</v>
      </c>
      <c r="E6485" t="s">
        <v>39</v>
      </c>
      <c r="F6485" t="s">
        <v>57</v>
      </c>
      <c r="G6485" t="s">
        <v>171</v>
      </c>
      <c r="H6485" t="s">
        <v>80</v>
      </c>
      <c r="I6485">
        <v>21095</v>
      </c>
      <c r="J6485">
        <v>22562</v>
      </c>
    </row>
    <row r="6486" spans="1:10" x14ac:dyDescent="0.3">
      <c r="A6486" t="s">
        <v>6613</v>
      </c>
      <c r="B6486" s="1">
        <v>45665</v>
      </c>
      <c r="C6486" t="s">
        <v>17</v>
      </c>
      <c r="D6486">
        <v>2</v>
      </c>
      <c r="E6486" t="s">
        <v>61</v>
      </c>
      <c r="F6486" t="s">
        <v>34</v>
      </c>
      <c r="G6486" t="s">
        <v>234</v>
      </c>
      <c r="H6486" t="s">
        <v>68</v>
      </c>
      <c r="I6486">
        <v>38642</v>
      </c>
      <c r="J6486">
        <v>48199</v>
      </c>
    </row>
    <row r="6487" spans="1:10" x14ac:dyDescent="0.3">
      <c r="A6487" t="s">
        <v>6614</v>
      </c>
      <c r="B6487" s="1">
        <v>46012</v>
      </c>
      <c r="C6487" t="s">
        <v>100</v>
      </c>
      <c r="D6487">
        <v>51</v>
      </c>
      <c r="E6487" t="s">
        <v>33</v>
      </c>
      <c r="F6487" t="s">
        <v>109</v>
      </c>
      <c r="G6487" t="s">
        <v>224</v>
      </c>
      <c r="H6487" t="s">
        <v>165</v>
      </c>
      <c r="I6487">
        <v>18474</v>
      </c>
      <c r="J6487">
        <v>16543</v>
      </c>
    </row>
    <row r="6488" spans="1:10" x14ac:dyDescent="0.3">
      <c r="A6488" t="s">
        <v>6615</v>
      </c>
      <c r="B6488" s="1">
        <v>45991</v>
      </c>
      <c r="C6488" t="s">
        <v>23</v>
      </c>
      <c r="D6488">
        <v>48</v>
      </c>
      <c r="E6488" t="s">
        <v>24</v>
      </c>
      <c r="F6488" t="s">
        <v>140</v>
      </c>
      <c r="G6488" t="s">
        <v>145</v>
      </c>
      <c r="H6488" t="s">
        <v>98</v>
      </c>
      <c r="I6488">
        <v>28093</v>
      </c>
      <c r="J6488">
        <v>26980</v>
      </c>
    </row>
    <row r="6489" spans="1:10" x14ac:dyDescent="0.3">
      <c r="A6489" t="s">
        <v>6616</v>
      </c>
      <c r="B6489" s="1">
        <v>46010</v>
      </c>
      <c r="C6489" t="s">
        <v>100</v>
      </c>
      <c r="D6489">
        <v>51</v>
      </c>
      <c r="E6489" t="s">
        <v>33</v>
      </c>
      <c r="F6489" t="s">
        <v>78</v>
      </c>
      <c r="G6489" t="s">
        <v>110</v>
      </c>
      <c r="H6489" t="s">
        <v>211</v>
      </c>
      <c r="I6489">
        <v>28717</v>
      </c>
      <c r="J6489">
        <v>32538</v>
      </c>
    </row>
    <row r="6490" spans="1:10" x14ac:dyDescent="0.3">
      <c r="A6490" t="s">
        <v>6617</v>
      </c>
      <c r="B6490" s="1">
        <v>45732</v>
      </c>
      <c r="C6490" t="s">
        <v>95</v>
      </c>
      <c r="D6490">
        <v>11</v>
      </c>
      <c r="E6490" t="s">
        <v>33</v>
      </c>
      <c r="F6490" t="s">
        <v>92</v>
      </c>
      <c r="G6490" t="s">
        <v>132</v>
      </c>
      <c r="H6490" t="s">
        <v>155</v>
      </c>
      <c r="I6490">
        <v>18289</v>
      </c>
      <c r="J6490">
        <v>20936</v>
      </c>
    </row>
    <row r="6491" spans="1:10" x14ac:dyDescent="0.3">
      <c r="A6491" t="s">
        <v>6618</v>
      </c>
      <c r="B6491" s="1">
        <v>45736</v>
      </c>
      <c r="C6491" t="s">
        <v>95</v>
      </c>
      <c r="D6491">
        <v>12</v>
      </c>
      <c r="E6491" t="s">
        <v>61</v>
      </c>
      <c r="F6491" t="s">
        <v>34</v>
      </c>
      <c r="G6491" t="s">
        <v>30</v>
      </c>
      <c r="H6491" t="s">
        <v>103</v>
      </c>
      <c r="I6491">
        <v>29389</v>
      </c>
      <c r="J6491">
        <v>33423</v>
      </c>
    </row>
    <row r="6492" spans="1:10" x14ac:dyDescent="0.3">
      <c r="A6492" t="s">
        <v>6619</v>
      </c>
      <c r="B6492" s="1">
        <v>45661</v>
      </c>
      <c r="C6492" t="s">
        <v>17</v>
      </c>
      <c r="D6492">
        <v>1</v>
      </c>
      <c r="E6492" t="s">
        <v>33</v>
      </c>
      <c r="F6492" t="s">
        <v>87</v>
      </c>
      <c r="G6492" t="s">
        <v>206</v>
      </c>
      <c r="H6492" t="s">
        <v>103</v>
      </c>
      <c r="I6492">
        <v>28626</v>
      </c>
      <c r="J6492">
        <v>29353</v>
      </c>
    </row>
    <row r="6493" spans="1:10" x14ac:dyDescent="0.3">
      <c r="A6493" t="s">
        <v>6620</v>
      </c>
      <c r="B6493" s="1">
        <v>45716</v>
      </c>
      <c r="C6493" t="s">
        <v>82</v>
      </c>
      <c r="D6493">
        <v>9</v>
      </c>
      <c r="E6493" t="s">
        <v>33</v>
      </c>
      <c r="F6493" t="s">
        <v>57</v>
      </c>
      <c r="G6493" t="s">
        <v>54</v>
      </c>
      <c r="H6493" t="s">
        <v>165</v>
      </c>
      <c r="I6493">
        <v>22241</v>
      </c>
      <c r="J6493">
        <v>19031</v>
      </c>
    </row>
    <row r="6494" spans="1:10" x14ac:dyDescent="0.3">
      <c r="A6494" t="s">
        <v>6621</v>
      </c>
      <c r="B6494" s="1">
        <v>46003</v>
      </c>
      <c r="C6494" t="s">
        <v>100</v>
      </c>
      <c r="D6494">
        <v>50</v>
      </c>
      <c r="E6494" t="s">
        <v>24</v>
      </c>
      <c r="F6494" t="s">
        <v>25</v>
      </c>
      <c r="G6494" t="s">
        <v>40</v>
      </c>
      <c r="H6494" t="s">
        <v>119</v>
      </c>
      <c r="I6494">
        <v>33182</v>
      </c>
      <c r="J6494">
        <v>26879</v>
      </c>
    </row>
    <row r="6495" spans="1:10" x14ac:dyDescent="0.3">
      <c r="A6495" t="s">
        <v>6622</v>
      </c>
      <c r="B6495" s="1">
        <v>45724</v>
      </c>
      <c r="C6495" t="s">
        <v>95</v>
      </c>
      <c r="D6495">
        <v>10</v>
      </c>
      <c r="E6495" t="s">
        <v>18</v>
      </c>
      <c r="F6495" t="s">
        <v>75</v>
      </c>
      <c r="G6495" t="s">
        <v>291</v>
      </c>
      <c r="H6495" t="s">
        <v>165</v>
      </c>
      <c r="I6495">
        <v>19544</v>
      </c>
      <c r="J6495">
        <v>17065</v>
      </c>
    </row>
    <row r="6496" spans="1:10" x14ac:dyDescent="0.3">
      <c r="A6496" t="s">
        <v>6623</v>
      </c>
      <c r="B6496" s="1">
        <v>45697</v>
      </c>
      <c r="C6496" t="s">
        <v>82</v>
      </c>
      <c r="D6496">
        <v>6</v>
      </c>
      <c r="E6496" t="s">
        <v>24</v>
      </c>
      <c r="F6496" t="s">
        <v>101</v>
      </c>
      <c r="G6496" t="s">
        <v>291</v>
      </c>
      <c r="H6496" t="s">
        <v>84</v>
      </c>
      <c r="I6496">
        <v>22463</v>
      </c>
      <c r="J6496">
        <v>28876</v>
      </c>
    </row>
    <row r="6497" spans="1:10" x14ac:dyDescent="0.3">
      <c r="A6497" t="s">
        <v>6624</v>
      </c>
      <c r="B6497" s="1">
        <v>45658</v>
      </c>
      <c r="C6497" t="s">
        <v>17</v>
      </c>
      <c r="D6497">
        <v>1</v>
      </c>
      <c r="E6497" t="s">
        <v>61</v>
      </c>
      <c r="F6497" t="s">
        <v>92</v>
      </c>
      <c r="G6497" t="s">
        <v>54</v>
      </c>
      <c r="H6497" t="s">
        <v>68</v>
      </c>
      <c r="I6497">
        <v>30989</v>
      </c>
      <c r="J6497">
        <v>22945</v>
      </c>
    </row>
    <row r="6498" spans="1:10" x14ac:dyDescent="0.3">
      <c r="A6498" t="s">
        <v>6625</v>
      </c>
      <c r="B6498" s="1">
        <v>45804</v>
      </c>
      <c r="C6498" t="s">
        <v>90</v>
      </c>
      <c r="D6498">
        <v>22</v>
      </c>
      <c r="E6498" t="s">
        <v>39</v>
      </c>
      <c r="F6498" t="s">
        <v>92</v>
      </c>
      <c r="G6498" t="s">
        <v>58</v>
      </c>
      <c r="H6498" t="s">
        <v>119</v>
      </c>
      <c r="I6498">
        <v>17547</v>
      </c>
      <c r="J6498">
        <v>14250</v>
      </c>
    </row>
    <row r="6499" spans="1:10" x14ac:dyDescent="0.3">
      <c r="A6499" t="s">
        <v>6626</v>
      </c>
      <c r="B6499" s="1">
        <v>45829</v>
      </c>
      <c r="C6499" t="s">
        <v>74</v>
      </c>
      <c r="D6499">
        <v>25</v>
      </c>
      <c r="E6499" t="s">
        <v>39</v>
      </c>
      <c r="F6499" t="s">
        <v>109</v>
      </c>
      <c r="G6499" t="s">
        <v>20</v>
      </c>
      <c r="H6499" t="s">
        <v>163</v>
      </c>
      <c r="I6499">
        <v>21430</v>
      </c>
      <c r="J6499">
        <v>19088</v>
      </c>
    </row>
    <row r="6500" spans="1:10" x14ac:dyDescent="0.3">
      <c r="A6500" t="s">
        <v>6627</v>
      </c>
      <c r="B6500" s="1">
        <v>45717</v>
      </c>
      <c r="C6500" t="s">
        <v>95</v>
      </c>
      <c r="D6500">
        <v>9</v>
      </c>
      <c r="E6500" t="s">
        <v>61</v>
      </c>
      <c r="F6500" t="s">
        <v>29</v>
      </c>
      <c r="G6500" t="s">
        <v>118</v>
      </c>
      <c r="H6500" t="s">
        <v>68</v>
      </c>
      <c r="I6500">
        <v>31167</v>
      </c>
      <c r="J6500">
        <v>38342</v>
      </c>
    </row>
    <row r="6501" spans="1:10" x14ac:dyDescent="0.3">
      <c r="A6501" t="s">
        <v>6628</v>
      </c>
      <c r="B6501" s="1">
        <v>45933</v>
      </c>
      <c r="C6501" t="s">
        <v>66</v>
      </c>
      <c r="D6501">
        <v>40</v>
      </c>
      <c r="E6501" t="s">
        <v>24</v>
      </c>
      <c r="F6501" t="s">
        <v>87</v>
      </c>
      <c r="G6501" t="s">
        <v>30</v>
      </c>
      <c r="H6501" t="s">
        <v>133</v>
      </c>
      <c r="I6501">
        <v>18408</v>
      </c>
      <c r="J6501">
        <v>15252</v>
      </c>
    </row>
    <row r="6502" spans="1:10" x14ac:dyDescent="0.3">
      <c r="A6502" t="s">
        <v>6629</v>
      </c>
      <c r="B6502" s="1">
        <v>45670</v>
      </c>
      <c r="C6502" t="s">
        <v>17</v>
      </c>
      <c r="D6502">
        <v>3</v>
      </c>
      <c r="E6502" t="s">
        <v>24</v>
      </c>
      <c r="F6502" t="s">
        <v>193</v>
      </c>
      <c r="G6502" t="s">
        <v>160</v>
      </c>
      <c r="H6502" t="s">
        <v>163</v>
      </c>
      <c r="I6502">
        <v>33178</v>
      </c>
      <c r="J6502">
        <v>24797</v>
      </c>
    </row>
    <row r="6503" spans="1:10" x14ac:dyDescent="0.3">
      <c r="A6503" t="s">
        <v>6630</v>
      </c>
      <c r="B6503" s="1">
        <v>45868</v>
      </c>
      <c r="C6503" t="s">
        <v>11</v>
      </c>
      <c r="D6503">
        <v>31</v>
      </c>
      <c r="E6503" t="s">
        <v>61</v>
      </c>
      <c r="F6503" t="s">
        <v>193</v>
      </c>
      <c r="G6503" t="s">
        <v>126</v>
      </c>
      <c r="H6503" t="s">
        <v>116</v>
      </c>
      <c r="I6503">
        <v>21858</v>
      </c>
      <c r="J6503">
        <v>21963</v>
      </c>
    </row>
    <row r="6504" spans="1:10" x14ac:dyDescent="0.3">
      <c r="A6504" t="s">
        <v>6631</v>
      </c>
      <c r="B6504" s="1">
        <v>45958</v>
      </c>
      <c r="C6504" t="s">
        <v>66</v>
      </c>
      <c r="D6504">
        <v>44</v>
      </c>
      <c r="E6504" t="s">
        <v>12</v>
      </c>
      <c r="F6504" t="s">
        <v>50</v>
      </c>
      <c r="G6504" t="s">
        <v>224</v>
      </c>
      <c r="H6504" t="s">
        <v>123</v>
      </c>
      <c r="I6504">
        <v>18621</v>
      </c>
      <c r="J6504">
        <v>21491</v>
      </c>
    </row>
    <row r="6505" spans="1:10" x14ac:dyDescent="0.3">
      <c r="A6505" t="s">
        <v>6632</v>
      </c>
      <c r="B6505" s="1">
        <v>45899</v>
      </c>
      <c r="C6505" t="s">
        <v>113</v>
      </c>
      <c r="D6505">
        <v>35</v>
      </c>
      <c r="E6505" t="s">
        <v>12</v>
      </c>
      <c r="F6505" t="s">
        <v>25</v>
      </c>
      <c r="G6505" t="s">
        <v>110</v>
      </c>
      <c r="H6505" t="s">
        <v>133</v>
      </c>
      <c r="I6505">
        <v>26565</v>
      </c>
      <c r="J6505">
        <v>20726</v>
      </c>
    </row>
    <row r="6506" spans="1:10" x14ac:dyDescent="0.3">
      <c r="A6506" t="s">
        <v>6633</v>
      </c>
      <c r="B6506" s="1">
        <v>45796</v>
      </c>
      <c r="C6506" t="s">
        <v>90</v>
      </c>
      <c r="D6506">
        <v>21</v>
      </c>
      <c r="E6506" t="s">
        <v>70</v>
      </c>
      <c r="F6506" t="s">
        <v>92</v>
      </c>
      <c r="G6506" t="s">
        <v>67</v>
      </c>
      <c r="H6506" t="s">
        <v>133</v>
      </c>
      <c r="I6506">
        <v>26419</v>
      </c>
      <c r="J6506">
        <v>24990</v>
      </c>
    </row>
    <row r="6507" spans="1:10" x14ac:dyDescent="0.3">
      <c r="A6507" t="s">
        <v>6634</v>
      </c>
      <c r="B6507" s="1">
        <v>45729</v>
      </c>
      <c r="C6507" t="s">
        <v>95</v>
      </c>
      <c r="D6507">
        <v>11</v>
      </c>
      <c r="E6507" t="s">
        <v>12</v>
      </c>
      <c r="F6507" t="s">
        <v>78</v>
      </c>
      <c r="G6507" t="s">
        <v>191</v>
      </c>
      <c r="H6507" t="s">
        <v>151</v>
      </c>
      <c r="I6507">
        <v>25058</v>
      </c>
      <c r="J6507">
        <v>25994</v>
      </c>
    </row>
    <row r="6508" spans="1:10" x14ac:dyDescent="0.3">
      <c r="A6508" t="s">
        <v>6635</v>
      </c>
      <c r="B6508" s="1">
        <v>45663</v>
      </c>
      <c r="C6508" t="s">
        <v>17</v>
      </c>
      <c r="D6508">
        <v>2</v>
      </c>
      <c r="E6508" t="s">
        <v>61</v>
      </c>
      <c r="F6508" t="s">
        <v>13</v>
      </c>
      <c r="G6508" t="s">
        <v>20</v>
      </c>
      <c r="H6508" t="s">
        <v>98</v>
      </c>
      <c r="I6508">
        <v>26624</v>
      </c>
      <c r="J6508">
        <v>31827</v>
      </c>
    </row>
    <row r="6509" spans="1:10" x14ac:dyDescent="0.3">
      <c r="A6509" t="s">
        <v>6636</v>
      </c>
      <c r="B6509" s="1">
        <v>45742</v>
      </c>
      <c r="C6509" t="s">
        <v>95</v>
      </c>
      <c r="D6509">
        <v>13</v>
      </c>
      <c r="E6509" t="s">
        <v>12</v>
      </c>
      <c r="F6509" t="s">
        <v>101</v>
      </c>
      <c r="G6509" t="s">
        <v>266</v>
      </c>
      <c r="H6509" t="s">
        <v>68</v>
      </c>
      <c r="I6509">
        <v>32121</v>
      </c>
      <c r="J6509">
        <v>37177</v>
      </c>
    </row>
    <row r="6510" spans="1:10" x14ac:dyDescent="0.3">
      <c r="A6510" t="s">
        <v>6637</v>
      </c>
      <c r="B6510" s="1">
        <v>45807</v>
      </c>
      <c r="C6510" t="s">
        <v>90</v>
      </c>
      <c r="D6510">
        <v>22</v>
      </c>
      <c r="E6510" t="s">
        <v>70</v>
      </c>
      <c r="F6510" t="s">
        <v>46</v>
      </c>
      <c r="G6510" t="s">
        <v>240</v>
      </c>
      <c r="H6510" t="s">
        <v>165</v>
      </c>
      <c r="I6510">
        <v>35169</v>
      </c>
      <c r="J6510">
        <v>35326</v>
      </c>
    </row>
    <row r="6511" spans="1:10" x14ac:dyDescent="0.3">
      <c r="A6511" t="s">
        <v>6638</v>
      </c>
      <c r="B6511" s="1">
        <v>45767</v>
      </c>
      <c r="C6511" t="s">
        <v>86</v>
      </c>
      <c r="D6511">
        <v>16</v>
      </c>
      <c r="E6511" t="s">
        <v>24</v>
      </c>
      <c r="F6511" t="s">
        <v>29</v>
      </c>
      <c r="G6511" t="s">
        <v>44</v>
      </c>
      <c r="H6511" t="s">
        <v>80</v>
      </c>
      <c r="I6511">
        <v>32269</v>
      </c>
      <c r="J6511">
        <v>37776</v>
      </c>
    </row>
    <row r="6512" spans="1:10" x14ac:dyDescent="0.3">
      <c r="A6512" t="s">
        <v>6639</v>
      </c>
      <c r="B6512" s="1">
        <v>45937</v>
      </c>
      <c r="C6512" t="s">
        <v>66</v>
      </c>
      <c r="D6512">
        <v>41</v>
      </c>
      <c r="E6512" t="s">
        <v>18</v>
      </c>
      <c r="F6512" t="s">
        <v>19</v>
      </c>
      <c r="G6512" t="s">
        <v>47</v>
      </c>
      <c r="H6512" t="s">
        <v>21</v>
      </c>
      <c r="I6512">
        <v>32256</v>
      </c>
      <c r="J6512">
        <v>34240</v>
      </c>
    </row>
    <row r="6513" spans="1:10" x14ac:dyDescent="0.3">
      <c r="A6513" t="s">
        <v>6640</v>
      </c>
      <c r="B6513" s="1">
        <v>45829</v>
      </c>
      <c r="C6513" t="s">
        <v>74</v>
      </c>
      <c r="D6513">
        <v>25</v>
      </c>
      <c r="E6513" t="s">
        <v>61</v>
      </c>
      <c r="F6513" t="s">
        <v>75</v>
      </c>
      <c r="G6513" t="s">
        <v>20</v>
      </c>
      <c r="H6513" t="s">
        <v>163</v>
      </c>
      <c r="I6513">
        <v>34318</v>
      </c>
      <c r="J6513">
        <v>44286</v>
      </c>
    </row>
    <row r="6514" spans="1:10" x14ac:dyDescent="0.3">
      <c r="A6514" t="s">
        <v>6641</v>
      </c>
      <c r="B6514" s="1">
        <v>45823</v>
      </c>
      <c r="C6514" t="s">
        <v>74</v>
      </c>
      <c r="D6514">
        <v>24</v>
      </c>
      <c r="E6514" t="s">
        <v>39</v>
      </c>
      <c r="F6514" t="s">
        <v>109</v>
      </c>
      <c r="G6514" t="s">
        <v>324</v>
      </c>
      <c r="H6514" t="s">
        <v>211</v>
      </c>
      <c r="I6514">
        <v>21338</v>
      </c>
      <c r="J6514">
        <v>20656</v>
      </c>
    </row>
    <row r="6515" spans="1:10" x14ac:dyDescent="0.3">
      <c r="A6515" t="s">
        <v>6642</v>
      </c>
      <c r="B6515" s="1">
        <v>45953</v>
      </c>
      <c r="C6515" t="s">
        <v>66</v>
      </c>
      <c r="D6515">
        <v>43</v>
      </c>
      <c r="E6515" t="s">
        <v>39</v>
      </c>
      <c r="F6515" t="s">
        <v>25</v>
      </c>
      <c r="G6515" t="s">
        <v>147</v>
      </c>
      <c r="H6515" t="s">
        <v>243</v>
      </c>
      <c r="I6515">
        <v>39516</v>
      </c>
      <c r="J6515">
        <v>40509</v>
      </c>
    </row>
    <row r="6516" spans="1:10" x14ac:dyDescent="0.3">
      <c r="A6516" t="s">
        <v>6643</v>
      </c>
      <c r="B6516" s="1">
        <v>45787</v>
      </c>
      <c r="C6516" t="s">
        <v>90</v>
      </c>
      <c r="D6516">
        <v>19</v>
      </c>
      <c r="E6516" t="s">
        <v>61</v>
      </c>
      <c r="F6516" t="s">
        <v>34</v>
      </c>
      <c r="G6516" t="s">
        <v>44</v>
      </c>
      <c r="H6516" t="s">
        <v>15</v>
      </c>
      <c r="I6516">
        <v>38597</v>
      </c>
      <c r="J6516">
        <v>30302</v>
      </c>
    </row>
    <row r="6517" spans="1:10" x14ac:dyDescent="0.3">
      <c r="A6517" t="s">
        <v>6644</v>
      </c>
      <c r="B6517" s="1">
        <v>46022</v>
      </c>
      <c r="C6517" t="s">
        <v>100</v>
      </c>
      <c r="D6517">
        <v>1</v>
      </c>
      <c r="E6517" t="s">
        <v>33</v>
      </c>
      <c r="F6517" t="s">
        <v>109</v>
      </c>
      <c r="G6517" t="s">
        <v>67</v>
      </c>
      <c r="H6517" t="s">
        <v>111</v>
      </c>
      <c r="I6517">
        <v>27331</v>
      </c>
      <c r="J6517">
        <v>20545</v>
      </c>
    </row>
    <row r="6518" spans="1:10" x14ac:dyDescent="0.3">
      <c r="A6518" t="s">
        <v>6645</v>
      </c>
      <c r="B6518" s="1">
        <v>45901</v>
      </c>
      <c r="C6518" t="s">
        <v>38</v>
      </c>
      <c r="D6518">
        <v>36</v>
      </c>
      <c r="E6518" t="s">
        <v>33</v>
      </c>
      <c r="F6518" t="s">
        <v>114</v>
      </c>
      <c r="G6518" t="s">
        <v>145</v>
      </c>
      <c r="H6518" t="s">
        <v>165</v>
      </c>
      <c r="I6518">
        <v>27381</v>
      </c>
      <c r="J6518">
        <v>24370</v>
      </c>
    </row>
    <row r="6519" spans="1:10" x14ac:dyDescent="0.3">
      <c r="A6519" t="s">
        <v>6646</v>
      </c>
      <c r="B6519" s="1">
        <v>45676</v>
      </c>
      <c r="C6519" t="s">
        <v>17</v>
      </c>
      <c r="D6519">
        <v>3</v>
      </c>
      <c r="E6519" t="s">
        <v>33</v>
      </c>
      <c r="F6519" t="s">
        <v>122</v>
      </c>
      <c r="G6519" t="s">
        <v>135</v>
      </c>
      <c r="H6519" t="s">
        <v>165</v>
      </c>
      <c r="I6519">
        <v>23811</v>
      </c>
      <c r="J6519">
        <v>24011</v>
      </c>
    </row>
    <row r="6520" spans="1:10" x14ac:dyDescent="0.3">
      <c r="A6520" t="s">
        <v>6647</v>
      </c>
      <c r="B6520" s="1">
        <v>45840</v>
      </c>
      <c r="C6520" t="s">
        <v>11</v>
      </c>
      <c r="D6520">
        <v>27</v>
      </c>
      <c r="E6520" t="s">
        <v>39</v>
      </c>
      <c r="F6520" t="s">
        <v>92</v>
      </c>
      <c r="G6520" t="s">
        <v>63</v>
      </c>
      <c r="H6520" t="s">
        <v>119</v>
      </c>
      <c r="I6520">
        <v>39042</v>
      </c>
      <c r="J6520">
        <v>40224</v>
      </c>
    </row>
    <row r="6521" spans="1:10" x14ac:dyDescent="0.3">
      <c r="A6521" t="s">
        <v>6648</v>
      </c>
      <c r="B6521" s="1">
        <v>45962</v>
      </c>
      <c r="C6521" t="s">
        <v>23</v>
      </c>
      <c r="D6521">
        <v>44</v>
      </c>
      <c r="E6521" t="s">
        <v>24</v>
      </c>
      <c r="F6521" t="s">
        <v>122</v>
      </c>
      <c r="G6521" t="s">
        <v>83</v>
      </c>
      <c r="H6521" t="s">
        <v>123</v>
      </c>
      <c r="I6521">
        <v>39526</v>
      </c>
      <c r="J6521">
        <v>29067</v>
      </c>
    </row>
    <row r="6522" spans="1:10" x14ac:dyDescent="0.3">
      <c r="A6522" t="s">
        <v>6649</v>
      </c>
      <c r="B6522" s="1">
        <v>45932</v>
      </c>
      <c r="C6522" t="s">
        <v>66</v>
      </c>
      <c r="D6522">
        <v>40</v>
      </c>
      <c r="E6522" t="s">
        <v>12</v>
      </c>
      <c r="F6522" t="s">
        <v>75</v>
      </c>
      <c r="G6522" t="s">
        <v>102</v>
      </c>
      <c r="H6522" t="s">
        <v>119</v>
      </c>
      <c r="I6522">
        <v>31943</v>
      </c>
      <c r="J6522">
        <v>27471</v>
      </c>
    </row>
    <row r="6523" spans="1:10" x14ac:dyDescent="0.3">
      <c r="A6523" t="s">
        <v>6650</v>
      </c>
      <c r="B6523" s="1">
        <v>45981</v>
      </c>
      <c r="C6523" t="s">
        <v>23</v>
      </c>
      <c r="D6523">
        <v>47</v>
      </c>
      <c r="E6523" t="s">
        <v>33</v>
      </c>
      <c r="F6523" t="s">
        <v>34</v>
      </c>
      <c r="G6523" t="s">
        <v>40</v>
      </c>
      <c r="H6523" t="s">
        <v>243</v>
      </c>
      <c r="I6523">
        <v>36765</v>
      </c>
      <c r="J6523">
        <v>38134</v>
      </c>
    </row>
    <row r="6524" spans="1:10" x14ac:dyDescent="0.3">
      <c r="A6524" t="s">
        <v>6651</v>
      </c>
      <c r="B6524" s="1">
        <v>46013</v>
      </c>
      <c r="C6524" t="s">
        <v>100</v>
      </c>
      <c r="D6524">
        <v>52</v>
      </c>
      <c r="E6524" t="s">
        <v>24</v>
      </c>
      <c r="F6524" t="s">
        <v>62</v>
      </c>
      <c r="G6524" t="s">
        <v>149</v>
      </c>
      <c r="H6524" t="s">
        <v>155</v>
      </c>
      <c r="I6524">
        <v>27487</v>
      </c>
      <c r="J6524">
        <v>24752</v>
      </c>
    </row>
    <row r="6525" spans="1:10" x14ac:dyDescent="0.3">
      <c r="A6525" t="s">
        <v>6652</v>
      </c>
      <c r="B6525" s="1">
        <v>45823</v>
      </c>
      <c r="C6525" t="s">
        <v>74</v>
      </c>
      <c r="D6525">
        <v>24</v>
      </c>
      <c r="E6525" t="s">
        <v>33</v>
      </c>
      <c r="F6525" t="s">
        <v>46</v>
      </c>
      <c r="G6525" t="s">
        <v>126</v>
      </c>
      <c r="H6525" t="s">
        <v>31</v>
      </c>
      <c r="I6525">
        <v>21910</v>
      </c>
      <c r="J6525">
        <v>18328</v>
      </c>
    </row>
    <row r="6526" spans="1:10" x14ac:dyDescent="0.3">
      <c r="A6526" t="s">
        <v>6653</v>
      </c>
      <c r="B6526" s="1">
        <v>45748</v>
      </c>
      <c r="C6526" t="s">
        <v>86</v>
      </c>
      <c r="D6526">
        <v>14</v>
      </c>
      <c r="E6526" t="s">
        <v>39</v>
      </c>
      <c r="F6526" t="s">
        <v>193</v>
      </c>
      <c r="G6526" t="s">
        <v>130</v>
      </c>
      <c r="H6526" t="s">
        <v>41</v>
      </c>
      <c r="I6526">
        <v>17953</v>
      </c>
      <c r="J6526">
        <v>14529</v>
      </c>
    </row>
    <row r="6527" spans="1:10" x14ac:dyDescent="0.3">
      <c r="A6527" t="s">
        <v>6654</v>
      </c>
      <c r="B6527" s="1">
        <v>45800</v>
      </c>
      <c r="C6527" t="s">
        <v>90</v>
      </c>
      <c r="D6527">
        <v>21</v>
      </c>
      <c r="E6527" t="s">
        <v>33</v>
      </c>
      <c r="F6527" t="s">
        <v>114</v>
      </c>
      <c r="G6527" t="s">
        <v>130</v>
      </c>
      <c r="H6527" t="s">
        <v>165</v>
      </c>
      <c r="I6527">
        <v>22619</v>
      </c>
      <c r="J6527">
        <v>20795</v>
      </c>
    </row>
    <row r="6528" spans="1:10" x14ac:dyDescent="0.3">
      <c r="A6528" t="s">
        <v>6655</v>
      </c>
      <c r="B6528" s="1">
        <v>45884</v>
      </c>
      <c r="C6528" t="s">
        <v>113</v>
      </c>
      <c r="D6528">
        <v>33</v>
      </c>
      <c r="E6528" t="s">
        <v>61</v>
      </c>
      <c r="F6528" t="s">
        <v>50</v>
      </c>
      <c r="G6528" t="s">
        <v>107</v>
      </c>
      <c r="H6528" t="s">
        <v>31</v>
      </c>
      <c r="I6528">
        <v>37953</v>
      </c>
      <c r="J6528">
        <v>31624</v>
      </c>
    </row>
    <row r="6529" spans="1:10" x14ac:dyDescent="0.3">
      <c r="A6529" t="s">
        <v>6656</v>
      </c>
      <c r="B6529" s="1">
        <v>45818</v>
      </c>
      <c r="C6529" t="s">
        <v>74</v>
      </c>
      <c r="D6529">
        <v>24</v>
      </c>
      <c r="E6529" t="s">
        <v>39</v>
      </c>
      <c r="F6529" t="s">
        <v>34</v>
      </c>
      <c r="G6529" t="s">
        <v>102</v>
      </c>
      <c r="H6529" t="s">
        <v>31</v>
      </c>
      <c r="I6529">
        <v>24702</v>
      </c>
      <c r="J6529">
        <v>26223</v>
      </c>
    </row>
    <row r="6530" spans="1:10" x14ac:dyDescent="0.3">
      <c r="A6530" t="s">
        <v>6657</v>
      </c>
      <c r="B6530" s="1">
        <v>45979</v>
      </c>
      <c r="C6530" t="s">
        <v>23</v>
      </c>
      <c r="D6530">
        <v>47</v>
      </c>
      <c r="E6530" t="s">
        <v>24</v>
      </c>
      <c r="F6530" t="s">
        <v>78</v>
      </c>
      <c r="G6530" t="s">
        <v>160</v>
      </c>
      <c r="H6530" t="s">
        <v>157</v>
      </c>
      <c r="I6530">
        <v>25600</v>
      </c>
      <c r="J6530">
        <v>24276</v>
      </c>
    </row>
    <row r="6531" spans="1:10" x14ac:dyDescent="0.3">
      <c r="A6531" t="s">
        <v>6658</v>
      </c>
      <c r="B6531" s="1">
        <v>45772</v>
      </c>
      <c r="C6531" t="s">
        <v>86</v>
      </c>
      <c r="D6531">
        <v>17</v>
      </c>
      <c r="E6531" t="s">
        <v>24</v>
      </c>
      <c r="F6531" t="s">
        <v>122</v>
      </c>
      <c r="G6531" t="s">
        <v>115</v>
      </c>
      <c r="H6531" t="s">
        <v>163</v>
      </c>
      <c r="I6531">
        <v>24259</v>
      </c>
      <c r="J6531">
        <v>23748</v>
      </c>
    </row>
    <row r="6532" spans="1:10" x14ac:dyDescent="0.3">
      <c r="A6532" t="s">
        <v>6659</v>
      </c>
      <c r="B6532" s="1">
        <v>45931</v>
      </c>
      <c r="C6532" t="s">
        <v>66</v>
      </c>
      <c r="D6532">
        <v>40</v>
      </c>
      <c r="E6532" t="s">
        <v>39</v>
      </c>
      <c r="F6532" t="s">
        <v>57</v>
      </c>
      <c r="G6532" t="s">
        <v>26</v>
      </c>
      <c r="H6532" t="s">
        <v>64</v>
      </c>
      <c r="I6532">
        <v>35564</v>
      </c>
      <c r="J6532">
        <v>29313</v>
      </c>
    </row>
    <row r="6533" spans="1:10" x14ac:dyDescent="0.3">
      <c r="A6533" t="s">
        <v>6660</v>
      </c>
      <c r="B6533" s="1">
        <v>45984</v>
      </c>
      <c r="C6533" t="s">
        <v>23</v>
      </c>
      <c r="D6533">
        <v>47</v>
      </c>
      <c r="E6533" t="s">
        <v>33</v>
      </c>
      <c r="F6533" t="s">
        <v>140</v>
      </c>
      <c r="G6533" t="s">
        <v>115</v>
      </c>
      <c r="H6533" t="s">
        <v>84</v>
      </c>
      <c r="I6533">
        <v>24485</v>
      </c>
      <c r="J6533">
        <v>27044</v>
      </c>
    </row>
    <row r="6534" spans="1:10" x14ac:dyDescent="0.3">
      <c r="A6534" t="s">
        <v>6661</v>
      </c>
      <c r="B6534" s="1">
        <v>45990</v>
      </c>
      <c r="C6534" t="s">
        <v>23</v>
      </c>
      <c r="D6534">
        <v>48</v>
      </c>
      <c r="E6534" t="s">
        <v>61</v>
      </c>
      <c r="F6534" t="s">
        <v>114</v>
      </c>
      <c r="G6534" t="s">
        <v>115</v>
      </c>
      <c r="H6534" t="s">
        <v>68</v>
      </c>
      <c r="I6534">
        <v>19528</v>
      </c>
      <c r="J6534">
        <v>20452</v>
      </c>
    </row>
    <row r="6535" spans="1:10" x14ac:dyDescent="0.3">
      <c r="A6535" t="s">
        <v>6662</v>
      </c>
      <c r="B6535" s="1">
        <v>45938</v>
      </c>
      <c r="C6535" t="s">
        <v>66</v>
      </c>
      <c r="D6535">
        <v>41</v>
      </c>
      <c r="E6535" t="s">
        <v>70</v>
      </c>
      <c r="F6535" t="s">
        <v>122</v>
      </c>
      <c r="G6535" t="s">
        <v>72</v>
      </c>
      <c r="H6535" t="s">
        <v>21</v>
      </c>
      <c r="I6535">
        <v>32332</v>
      </c>
      <c r="J6535">
        <v>36433</v>
      </c>
    </row>
    <row r="6536" spans="1:10" x14ac:dyDescent="0.3">
      <c r="A6536" t="s">
        <v>6663</v>
      </c>
      <c r="B6536" s="1">
        <v>45908</v>
      </c>
      <c r="C6536" t="s">
        <v>38</v>
      </c>
      <c r="D6536">
        <v>37</v>
      </c>
      <c r="E6536" t="s">
        <v>12</v>
      </c>
      <c r="F6536" t="s">
        <v>109</v>
      </c>
      <c r="G6536" t="s">
        <v>324</v>
      </c>
      <c r="H6536" t="s">
        <v>64</v>
      </c>
      <c r="I6536">
        <v>26039</v>
      </c>
      <c r="J6536">
        <v>31741</v>
      </c>
    </row>
    <row r="6537" spans="1:10" x14ac:dyDescent="0.3">
      <c r="A6537" t="s">
        <v>6664</v>
      </c>
      <c r="B6537" s="1">
        <v>45818</v>
      </c>
      <c r="C6537" t="s">
        <v>74</v>
      </c>
      <c r="D6537">
        <v>24</v>
      </c>
      <c r="E6537" t="s">
        <v>18</v>
      </c>
      <c r="F6537" t="s">
        <v>122</v>
      </c>
      <c r="G6537" t="s">
        <v>126</v>
      </c>
      <c r="H6537" t="s">
        <v>84</v>
      </c>
      <c r="I6537">
        <v>19510</v>
      </c>
      <c r="J6537">
        <v>15374</v>
      </c>
    </row>
    <row r="6538" spans="1:10" x14ac:dyDescent="0.3">
      <c r="A6538" t="s">
        <v>6665</v>
      </c>
      <c r="B6538" s="1">
        <v>45909</v>
      </c>
      <c r="C6538" t="s">
        <v>38</v>
      </c>
      <c r="D6538">
        <v>37</v>
      </c>
      <c r="E6538" t="s">
        <v>70</v>
      </c>
      <c r="F6538" t="s">
        <v>140</v>
      </c>
      <c r="G6538" t="s">
        <v>54</v>
      </c>
      <c r="H6538" t="s">
        <v>211</v>
      </c>
      <c r="I6538">
        <v>39541</v>
      </c>
      <c r="J6538">
        <v>42376</v>
      </c>
    </row>
    <row r="6539" spans="1:10" x14ac:dyDescent="0.3">
      <c r="A6539" t="s">
        <v>6666</v>
      </c>
      <c r="B6539" s="1">
        <v>46018</v>
      </c>
      <c r="C6539" t="s">
        <v>100</v>
      </c>
      <c r="D6539">
        <v>52</v>
      </c>
      <c r="E6539" t="s">
        <v>24</v>
      </c>
      <c r="F6539" t="s">
        <v>92</v>
      </c>
      <c r="G6539" t="s">
        <v>147</v>
      </c>
      <c r="H6539" t="s">
        <v>55</v>
      </c>
      <c r="I6539">
        <v>27624</v>
      </c>
      <c r="J6539">
        <v>25182</v>
      </c>
    </row>
    <row r="6540" spans="1:10" x14ac:dyDescent="0.3">
      <c r="A6540" t="s">
        <v>6667</v>
      </c>
      <c r="B6540" s="1">
        <v>45785</v>
      </c>
      <c r="C6540" t="s">
        <v>90</v>
      </c>
      <c r="D6540">
        <v>19</v>
      </c>
      <c r="E6540" t="s">
        <v>70</v>
      </c>
      <c r="F6540" t="s">
        <v>193</v>
      </c>
      <c r="G6540" t="s">
        <v>26</v>
      </c>
      <c r="H6540" t="s">
        <v>155</v>
      </c>
      <c r="I6540">
        <v>19108</v>
      </c>
      <c r="J6540">
        <v>17419</v>
      </c>
    </row>
    <row r="6541" spans="1:10" x14ac:dyDescent="0.3">
      <c r="A6541" t="s">
        <v>6668</v>
      </c>
      <c r="B6541" s="1">
        <v>45867</v>
      </c>
      <c r="C6541" t="s">
        <v>11</v>
      </c>
      <c r="D6541">
        <v>31</v>
      </c>
      <c r="E6541" t="s">
        <v>33</v>
      </c>
      <c r="F6541" t="s">
        <v>34</v>
      </c>
      <c r="G6541" t="s">
        <v>58</v>
      </c>
      <c r="H6541" t="s">
        <v>84</v>
      </c>
      <c r="I6541">
        <v>27255</v>
      </c>
      <c r="J6541">
        <v>19581</v>
      </c>
    </row>
    <row r="6542" spans="1:10" x14ac:dyDescent="0.3">
      <c r="A6542" t="s">
        <v>6669</v>
      </c>
      <c r="B6542" s="1">
        <v>45740</v>
      </c>
      <c r="C6542" t="s">
        <v>95</v>
      </c>
      <c r="D6542">
        <v>13</v>
      </c>
      <c r="E6542" t="s">
        <v>12</v>
      </c>
      <c r="F6542" t="s">
        <v>25</v>
      </c>
      <c r="G6542" t="s">
        <v>230</v>
      </c>
      <c r="H6542" t="s">
        <v>15</v>
      </c>
      <c r="I6542">
        <v>33670</v>
      </c>
      <c r="J6542">
        <v>40325</v>
      </c>
    </row>
    <row r="6543" spans="1:10" x14ac:dyDescent="0.3">
      <c r="A6543" t="s">
        <v>6670</v>
      </c>
      <c r="B6543" s="1">
        <v>45665</v>
      </c>
      <c r="C6543" t="s">
        <v>17</v>
      </c>
      <c r="D6543">
        <v>2</v>
      </c>
      <c r="E6543" t="s">
        <v>39</v>
      </c>
      <c r="F6543" t="s">
        <v>109</v>
      </c>
      <c r="G6543" t="s">
        <v>63</v>
      </c>
      <c r="H6543" t="s">
        <v>243</v>
      </c>
      <c r="I6543">
        <v>17047</v>
      </c>
      <c r="J6543">
        <v>16383</v>
      </c>
    </row>
    <row r="6544" spans="1:10" x14ac:dyDescent="0.3">
      <c r="A6544" t="s">
        <v>6671</v>
      </c>
      <c r="B6544" s="1">
        <v>45784</v>
      </c>
      <c r="C6544" t="s">
        <v>90</v>
      </c>
      <c r="D6544">
        <v>19</v>
      </c>
      <c r="E6544" t="s">
        <v>39</v>
      </c>
      <c r="F6544" t="s">
        <v>62</v>
      </c>
      <c r="G6544" t="s">
        <v>63</v>
      </c>
      <c r="H6544" t="s">
        <v>163</v>
      </c>
      <c r="I6544">
        <v>38844</v>
      </c>
      <c r="J6544">
        <v>32041</v>
      </c>
    </row>
    <row r="6545" spans="1:10" x14ac:dyDescent="0.3">
      <c r="A6545" t="s">
        <v>6672</v>
      </c>
      <c r="B6545" s="1">
        <v>45727</v>
      </c>
      <c r="C6545" t="s">
        <v>95</v>
      </c>
      <c r="D6545">
        <v>11</v>
      </c>
      <c r="E6545" t="s">
        <v>18</v>
      </c>
      <c r="F6545" t="s">
        <v>92</v>
      </c>
      <c r="G6545" t="s">
        <v>266</v>
      </c>
      <c r="H6545" t="s">
        <v>55</v>
      </c>
      <c r="I6545">
        <v>21199</v>
      </c>
      <c r="J6545">
        <v>17766</v>
      </c>
    </row>
    <row r="6546" spans="1:10" x14ac:dyDescent="0.3">
      <c r="A6546" t="s">
        <v>6673</v>
      </c>
      <c r="B6546" s="1">
        <v>45679</v>
      </c>
      <c r="C6546" t="s">
        <v>17</v>
      </c>
      <c r="D6546">
        <v>4</v>
      </c>
      <c r="E6546" t="s">
        <v>18</v>
      </c>
      <c r="F6546" t="s">
        <v>13</v>
      </c>
      <c r="G6546" t="s">
        <v>67</v>
      </c>
      <c r="H6546" t="s">
        <v>41</v>
      </c>
      <c r="I6546">
        <v>31876</v>
      </c>
      <c r="J6546">
        <v>26966</v>
      </c>
    </row>
    <row r="6547" spans="1:10" x14ac:dyDescent="0.3">
      <c r="A6547" t="s">
        <v>6674</v>
      </c>
      <c r="B6547" s="1">
        <v>45894</v>
      </c>
      <c r="C6547" t="s">
        <v>113</v>
      </c>
      <c r="D6547">
        <v>35</v>
      </c>
      <c r="E6547" t="s">
        <v>61</v>
      </c>
      <c r="F6547" t="s">
        <v>92</v>
      </c>
      <c r="G6547" t="s">
        <v>128</v>
      </c>
      <c r="H6547" t="s">
        <v>163</v>
      </c>
      <c r="I6547">
        <v>25288</v>
      </c>
      <c r="J6547">
        <v>29284</v>
      </c>
    </row>
    <row r="6548" spans="1:10" x14ac:dyDescent="0.3">
      <c r="A6548" t="s">
        <v>6675</v>
      </c>
      <c r="B6548" s="1">
        <v>45800</v>
      </c>
      <c r="C6548" t="s">
        <v>90</v>
      </c>
      <c r="D6548">
        <v>21</v>
      </c>
      <c r="E6548" t="s">
        <v>24</v>
      </c>
      <c r="F6548" t="s">
        <v>109</v>
      </c>
      <c r="G6548" t="s">
        <v>26</v>
      </c>
      <c r="H6548" t="s">
        <v>157</v>
      </c>
      <c r="I6548">
        <v>39084</v>
      </c>
      <c r="J6548">
        <v>40140</v>
      </c>
    </row>
    <row r="6549" spans="1:10" x14ac:dyDescent="0.3">
      <c r="A6549" t="s">
        <v>6676</v>
      </c>
      <c r="B6549" s="1">
        <v>45817</v>
      </c>
      <c r="C6549" t="s">
        <v>74</v>
      </c>
      <c r="D6549">
        <v>24</v>
      </c>
      <c r="E6549" t="s">
        <v>61</v>
      </c>
      <c r="F6549" t="s">
        <v>62</v>
      </c>
      <c r="G6549" t="s">
        <v>130</v>
      </c>
      <c r="H6549" t="s">
        <v>27</v>
      </c>
      <c r="I6549">
        <v>25315</v>
      </c>
      <c r="J6549">
        <v>26207</v>
      </c>
    </row>
    <row r="6550" spans="1:10" x14ac:dyDescent="0.3">
      <c r="A6550" t="s">
        <v>6677</v>
      </c>
      <c r="B6550" s="1">
        <v>45738</v>
      </c>
      <c r="C6550" t="s">
        <v>95</v>
      </c>
      <c r="D6550">
        <v>12</v>
      </c>
      <c r="E6550" t="s">
        <v>33</v>
      </c>
      <c r="F6550" t="s">
        <v>43</v>
      </c>
      <c r="G6550" t="s">
        <v>141</v>
      </c>
      <c r="H6550" t="s">
        <v>80</v>
      </c>
      <c r="I6550">
        <v>33870</v>
      </c>
      <c r="J6550">
        <v>38820</v>
      </c>
    </row>
    <row r="6551" spans="1:10" x14ac:dyDescent="0.3">
      <c r="A6551" t="s">
        <v>6678</v>
      </c>
      <c r="B6551" s="1">
        <v>45718</v>
      </c>
      <c r="C6551" t="s">
        <v>95</v>
      </c>
      <c r="D6551">
        <v>9</v>
      </c>
      <c r="E6551" t="s">
        <v>18</v>
      </c>
      <c r="F6551" t="s">
        <v>140</v>
      </c>
      <c r="G6551" t="s">
        <v>35</v>
      </c>
      <c r="H6551" t="s">
        <v>119</v>
      </c>
      <c r="I6551">
        <v>38548</v>
      </c>
      <c r="J6551">
        <v>36457</v>
      </c>
    </row>
    <row r="6552" spans="1:10" x14ac:dyDescent="0.3">
      <c r="A6552" t="s">
        <v>6679</v>
      </c>
      <c r="B6552" s="1">
        <v>45887</v>
      </c>
      <c r="C6552" t="s">
        <v>113</v>
      </c>
      <c r="D6552">
        <v>34</v>
      </c>
      <c r="E6552" t="s">
        <v>18</v>
      </c>
      <c r="F6552" t="s">
        <v>62</v>
      </c>
      <c r="G6552" t="s">
        <v>47</v>
      </c>
      <c r="H6552" t="s">
        <v>27</v>
      </c>
      <c r="I6552">
        <v>20742</v>
      </c>
      <c r="J6552">
        <v>20120</v>
      </c>
    </row>
    <row r="6553" spans="1:10" x14ac:dyDescent="0.3">
      <c r="A6553" t="s">
        <v>6680</v>
      </c>
      <c r="B6553" s="1">
        <v>45903</v>
      </c>
      <c r="C6553" t="s">
        <v>38</v>
      </c>
      <c r="D6553">
        <v>36</v>
      </c>
      <c r="E6553" t="s">
        <v>61</v>
      </c>
      <c r="F6553" t="s">
        <v>109</v>
      </c>
      <c r="G6553" t="s">
        <v>326</v>
      </c>
      <c r="H6553" t="s">
        <v>103</v>
      </c>
      <c r="I6553">
        <v>25511</v>
      </c>
      <c r="J6553">
        <v>27199</v>
      </c>
    </row>
    <row r="6554" spans="1:10" x14ac:dyDescent="0.3">
      <c r="A6554" t="s">
        <v>6681</v>
      </c>
      <c r="B6554" s="1">
        <v>45966</v>
      </c>
      <c r="C6554" t="s">
        <v>23</v>
      </c>
      <c r="D6554">
        <v>45</v>
      </c>
      <c r="E6554" t="s">
        <v>12</v>
      </c>
      <c r="F6554" t="s">
        <v>193</v>
      </c>
      <c r="G6554" t="s">
        <v>326</v>
      </c>
      <c r="H6554" t="s">
        <v>155</v>
      </c>
      <c r="I6554">
        <v>15382</v>
      </c>
      <c r="J6554">
        <v>14215</v>
      </c>
    </row>
    <row r="6555" spans="1:10" x14ac:dyDescent="0.3">
      <c r="A6555" t="s">
        <v>6682</v>
      </c>
      <c r="B6555" s="1">
        <v>45788</v>
      </c>
      <c r="C6555" t="s">
        <v>90</v>
      </c>
      <c r="D6555">
        <v>19</v>
      </c>
      <c r="E6555" t="s">
        <v>18</v>
      </c>
      <c r="F6555" t="s">
        <v>19</v>
      </c>
      <c r="G6555" t="s">
        <v>182</v>
      </c>
      <c r="H6555" t="s">
        <v>80</v>
      </c>
      <c r="I6555">
        <v>16865</v>
      </c>
      <c r="J6555">
        <v>13790</v>
      </c>
    </row>
    <row r="6556" spans="1:10" x14ac:dyDescent="0.3">
      <c r="A6556" t="s">
        <v>6683</v>
      </c>
      <c r="B6556" s="1">
        <v>45677</v>
      </c>
      <c r="C6556" t="s">
        <v>17</v>
      </c>
      <c r="D6556">
        <v>4</v>
      </c>
      <c r="E6556" t="s">
        <v>33</v>
      </c>
      <c r="F6556" t="s">
        <v>193</v>
      </c>
      <c r="G6556" t="s">
        <v>102</v>
      </c>
      <c r="H6556" t="s">
        <v>27</v>
      </c>
      <c r="I6556">
        <v>22832</v>
      </c>
      <c r="J6556">
        <v>27338</v>
      </c>
    </row>
    <row r="6557" spans="1:10" x14ac:dyDescent="0.3">
      <c r="A6557" t="s">
        <v>6684</v>
      </c>
      <c r="B6557" s="1">
        <v>45968</v>
      </c>
      <c r="C6557" t="s">
        <v>23</v>
      </c>
      <c r="D6557">
        <v>45</v>
      </c>
      <c r="E6557" t="s">
        <v>39</v>
      </c>
      <c r="F6557" t="s">
        <v>25</v>
      </c>
      <c r="G6557" t="s">
        <v>30</v>
      </c>
      <c r="H6557" t="s">
        <v>52</v>
      </c>
      <c r="I6557">
        <v>35397</v>
      </c>
      <c r="J6557">
        <v>44287</v>
      </c>
    </row>
    <row r="6558" spans="1:10" x14ac:dyDescent="0.3">
      <c r="A6558" t="s">
        <v>6685</v>
      </c>
      <c r="B6558" s="1">
        <v>45874</v>
      </c>
      <c r="C6558" t="s">
        <v>113</v>
      </c>
      <c r="D6558">
        <v>32</v>
      </c>
      <c r="E6558" t="s">
        <v>70</v>
      </c>
      <c r="F6558" t="s">
        <v>62</v>
      </c>
      <c r="G6558" t="s">
        <v>141</v>
      </c>
      <c r="H6558" t="s">
        <v>165</v>
      </c>
      <c r="I6558">
        <v>38919</v>
      </c>
      <c r="J6558">
        <v>33471</v>
      </c>
    </row>
    <row r="6559" spans="1:10" x14ac:dyDescent="0.3">
      <c r="A6559" t="s">
        <v>6686</v>
      </c>
      <c r="B6559" s="1">
        <v>46012</v>
      </c>
      <c r="C6559" t="s">
        <v>100</v>
      </c>
      <c r="D6559">
        <v>51</v>
      </c>
      <c r="E6559" t="s">
        <v>39</v>
      </c>
      <c r="F6559" t="s">
        <v>92</v>
      </c>
      <c r="G6559" t="s">
        <v>47</v>
      </c>
      <c r="H6559" t="s">
        <v>55</v>
      </c>
      <c r="I6559">
        <v>29483</v>
      </c>
      <c r="J6559">
        <v>28139</v>
      </c>
    </row>
    <row r="6560" spans="1:10" x14ac:dyDescent="0.3">
      <c r="A6560" t="s">
        <v>6687</v>
      </c>
      <c r="B6560" s="1">
        <v>45869</v>
      </c>
      <c r="C6560" t="s">
        <v>11</v>
      </c>
      <c r="D6560">
        <v>31</v>
      </c>
      <c r="E6560" t="s">
        <v>18</v>
      </c>
      <c r="F6560" t="s">
        <v>87</v>
      </c>
      <c r="G6560" t="s">
        <v>30</v>
      </c>
      <c r="H6560" t="s">
        <v>243</v>
      </c>
      <c r="I6560">
        <v>19918</v>
      </c>
      <c r="J6560">
        <v>23522</v>
      </c>
    </row>
    <row r="6561" spans="1:10" x14ac:dyDescent="0.3">
      <c r="A6561" t="s">
        <v>6688</v>
      </c>
      <c r="B6561" s="1">
        <v>45835</v>
      </c>
      <c r="C6561" t="s">
        <v>74</v>
      </c>
      <c r="D6561">
        <v>26</v>
      </c>
      <c r="E6561" t="s">
        <v>33</v>
      </c>
      <c r="F6561" t="s">
        <v>62</v>
      </c>
      <c r="G6561" t="s">
        <v>40</v>
      </c>
      <c r="H6561" t="s">
        <v>21</v>
      </c>
      <c r="I6561">
        <v>16869</v>
      </c>
      <c r="J6561">
        <v>18759</v>
      </c>
    </row>
    <row r="6562" spans="1:10" x14ac:dyDescent="0.3">
      <c r="A6562" t="s">
        <v>6689</v>
      </c>
      <c r="B6562" s="1">
        <v>45886</v>
      </c>
      <c r="C6562" t="s">
        <v>113</v>
      </c>
      <c r="D6562">
        <v>33</v>
      </c>
      <c r="E6562" t="s">
        <v>12</v>
      </c>
      <c r="F6562" t="s">
        <v>29</v>
      </c>
      <c r="G6562" t="s">
        <v>83</v>
      </c>
      <c r="H6562" t="s">
        <v>27</v>
      </c>
      <c r="I6562">
        <v>25563</v>
      </c>
      <c r="J6562">
        <v>23160</v>
      </c>
    </row>
    <row r="6563" spans="1:10" x14ac:dyDescent="0.3">
      <c r="A6563" t="s">
        <v>6690</v>
      </c>
      <c r="B6563" s="1">
        <v>45706</v>
      </c>
      <c r="C6563" t="s">
        <v>82</v>
      </c>
      <c r="D6563">
        <v>8</v>
      </c>
      <c r="E6563" t="s">
        <v>39</v>
      </c>
      <c r="F6563" t="s">
        <v>140</v>
      </c>
      <c r="G6563" t="s">
        <v>93</v>
      </c>
      <c r="H6563" t="s">
        <v>116</v>
      </c>
      <c r="I6563">
        <v>35109</v>
      </c>
      <c r="J6563">
        <v>42830</v>
      </c>
    </row>
    <row r="6564" spans="1:10" x14ac:dyDescent="0.3">
      <c r="A6564" t="s">
        <v>6691</v>
      </c>
      <c r="B6564" s="1">
        <v>45816</v>
      </c>
      <c r="C6564" t="s">
        <v>74</v>
      </c>
      <c r="D6564">
        <v>23</v>
      </c>
      <c r="E6564" t="s">
        <v>61</v>
      </c>
      <c r="F6564" t="s">
        <v>13</v>
      </c>
      <c r="G6564" t="s">
        <v>141</v>
      </c>
      <c r="H6564" t="s">
        <v>157</v>
      </c>
      <c r="I6564">
        <v>25650</v>
      </c>
      <c r="J6564">
        <v>28573</v>
      </c>
    </row>
    <row r="6565" spans="1:10" x14ac:dyDescent="0.3">
      <c r="A6565" t="s">
        <v>6692</v>
      </c>
      <c r="B6565" s="1">
        <v>45791</v>
      </c>
      <c r="C6565" t="s">
        <v>90</v>
      </c>
      <c r="D6565">
        <v>20</v>
      </c>
      <c r="E6565" t="s">
        <v>70</v>
      </c>
      <c r="F6565" t="s">
        <v>122</v>
      </c>
      <c r="G6565" t="s">
        <v>30</v>
      </c>
      <c r="H6565" t="s">
        <v>48</v>
      </c>
      <c r="I6565">
        <v>26082</v>
      </c>
      <c r="J6565">
        <v>21435</v>
      </c>
    </row>
    <row r="6566" spans="1:10" x14ac:dyDescent="0.3">
      <c r="A6566" t="s">
        <v>6693</v>
      </c>
      <c r="B6566" s="1">
        <v>45922</v>
      </c>
      <c r="C6566" t="s">
        <v>38</v>
      </c>
      <c r="D6566">
        <v>39</v>
      </c>
      <c r="E6566" t="s">
        <v>33</v>
      </c>
      <c r="F6566" t="s">
        <v>109</v>
      </c>
      <c r="G6566" t="s">
        <v>115</v>
      </c>
      <c r="H6566" t="s">
        <v>21</v>
      </c>
      <c r="I6566">
        <v>33747</v>
      </c>
      <c r="J6566">
        <v>32251</v>
      </c>
    </row>
    <row r="6567" spans="1:10" x14ac:dyDescent="0.3">
      <c r="A6567" t="s">
        <v>6694</v>
      </c>
      <c r="B6567" s="1">
        <v>45764</v>
      </c>
      <c r="C6567" t="s">
        <v>86</v>
      </c>
      <c r="D6567">
        <v>16</v>
      </c>
      <c r="E6567" t="s">
        <v>39</v>
      </c>
      <c r="F6567" t="s">
        <v>57</v>
      </c>
      <c r="G6567" t="s">
        <v>230</v>
      </c>
      <c r="H6567" t="s">
        <v>15</v>
      </c>
      <c r="I6567">
        <v>27339</v>
      </c>
      <c r="J6567">
        <v>28667</v>
      </c>
    </row>
    <row r="6568" spans="1:10" x14ac:dyDescent="0.3">
      <c r="A6568" t="s">
        <v>6695</v>
      </c>
      <c r="B6568" s="1">
        <v>45999</v>
      </c>
      <c r="C6568" t="s">
        <v>100</v>
      </c>
      <c r="D6568">
        <v>50</v>
      </c>
      <c r="E6568" t="s">
        <v>61</v>
      </c>
      <c r="F6568" t="s">
        <v>57</v>
      </c>
      <c r="G6568" t="s">
        <v>182</v>
      </c>
      <c r="H6568" t="s">
        <v>163</v>
      </c>
      <c r="I6568">
        <v>22464</v>
      </c>
      <c r="J6568">
        <v>26964</v>
      </c>
    </row>
    <row r="6569" spans="1:10" x14ac:dyDescent="0.3">
      <c r="A6569" t="s">
        <v>6696</v>
      </c>
      <c r="B6569" s="1">
        <v>45909</v>
      </c>
      <c r="C6569" t="s">
        <v>38</v>
      </c>
      <c r="D6569">
        <v>37</v>
      </c>
      <c r="E6569" t="s">
        <v>39</v>
      </c>
      <c r="F6569" t="s">
        <v>193</v>
      </c>
      <c r="G6569" t="s">
        <v>26</v>
      </c>
      <c r="H6569" t="s">
        <v>59</v>
      </c>
      <c r="I6569">
        <v>34312</v>
      </c>
      <c r="J6569">
        <v>34284</v>
      </c>
    </row>
    <row r="6570" spans="1:10" x14ac:dyDescent="0.3">
      <c r="A6570" t="s">
        <v>6697</v>
      </c>
      <c r="B6570" s="1">
        <v>45724</v>
      </c>
      <c r="C6570" t="s">
        <v>95</v>
      </c>
      <c r="D6570">
        <v>10</v>
      </c>
      <c r="E6570" t="s">
        <v>33</v>
      </c>
      <c r="F6570" t="s">
        <v>62</v>
      </c>
      <c r="G6570" t="s">
        <v>76</v>
      </c>
      <c r="H6570" t="s">
        <v>15</v>
      </c>
      <c r="I6570">
        <v>38162</v>
      </c>
      <c r="J6570">
        <v>49607</v>
      </c>
    </row>
    <row r="6571" spans="1:10" x14ac:dyDescent="0.3">
      <c r="A6571" t="s">
        <v>6698</v>
      </c>
      <c r="B6571" s="1">
        <v>45977</v>
      </c>
      <c r="C6571" t="s">
        <v>23</v>
      </c>
      <c r="D6571">
        <v>46</v>
      </c>
      <c r="E6571" t="s">
        <v>70</v>
      </c>
      <c r="F6571" t="s">
        <v>109</v>
      </c>
      <c r="G6571" t="s">
        <v>79</v>
      </c>
      <c r="H6571" t="s">
        <v>155</v>
      </c>
      <c r="I6571">
        <v>17919</v>
      </c>
      <c r="J6571">
        <v>14879</v>
      </c>
    </row>
    <row r="6572" spans="1:10" x14ac:dyDescent="0.3">
      <c r="A6572" t="s">
        <v>6699</v>
      </c>
      <c r="B6572" s="1">
        <v>45855</v>
      </c>
      <c r="C6572" t="s">
        <v>11</v>
      </c>
      <c r="D6572">
        <v>29</v>
      </c>
      <c r="E6572" t="s">
        <v>70</v>
      </c>
      <c r="F6572" t="s">
        <v>46</v>
      </c>
      <c r="G6572" t="s">
        <v>107</v>
      </c>
      <c r="H6572" t="s">
        <v>188</v>
      </c>
      <c r="I6572">
        <v>39682</v>
      </c>
      <c r="J6572">
        <v>39972</v>
      </c>
    </row>
    <row r="6573" spans="1:10" x14ac:dyDescent="0.3">
      <c r="A6573" t="s">
        <v>6700</v>
      </c>
      <c r="B6573" s="1">
        <v>45706</v>
      </c>
      <c r="C6573" t="s">
        <v>82</v>
      </c>
      <c r="D6573">
        <v>8</v>
      </c>
      <c r="E6573" t="s">
        <v>33</v>
      </c>
      <c r="F6573" t="s">
        <v>92</v>
      </c>
      <c r="G6573" t="s">
        <v>35</v>
      </c>
      <c r="H6573" t="s">
        <v>243</v>
      </c>
      <c r="I6573">
        <v>19727</v>
      </c>
      <c r="J6573">
        <v>24054</v>
      </c>
    </row>
    <row r="6574" spans="1:10" x14ac:dyDescent="0.3">
      <c r="A6574" t="s">
        <v>6701</v>
      </c>
      <c r="B6574" s="1">
        <v>45693</v>
      </c>
      <c r="C6574" t="s">
        <v>82</v>
      </c>
      <c r="D6574">
        <v>6</v>
      </c>
      <c r="E6574" t="s">
        <v>33</v>
      </c>
      <c r="F6574" t="s">
        <v>29</v>
      </c>
      <c r="G6574" t="s">
        <v>160</v>
      </c>
      <c r="H6574" t="s">
        <v>27</v>
      </c>
      <c r="I6574">
        <v>37594</v>
      </c>
      <c r="J6574">
        <v>27618</v>
      </c>
    </row>
    <row r="6575" spans="1:10" x14ac:dyDescent="0.3">
      <c r="A6575" t="s">
        <v>6702</v>
      </c>
      <c r="B6575" s="1">
        <v>46008</v>
      </c>
      <c r="C6575" t="s">
        <v>100</v>
      </c>
      <c r="D6575">
        <v>51</v>
      </c>
      <c r="E6575" t="s">
        <v>61</v>
      </c>
      <c r="F6575" t="s">
        <v>101</v>
      </c>
      <c r="G6575" t="s">
        <v>171</v>
      </c>
      <c r="H6575" t="s">
        <v>123</v>
      </c>
      <c r="I6575">
        <v>32165</v>
      </c>
      <c r="J6575">
        <v>30643</v>
      </c>
    </row>
    <row r="6576" spans="1:10" x14ac:dyDescent="0.3">
      <c r="A6576" t="s">
        <v>6703</v>
      </c>
      <c r="B6576" s="1">
        <v>45974</v>
      </c>
      <c r="C6576" t="s">
        <v>23</v>
      </c>
      <c r="D6576">
        <v>46</v>
      </c>
      <c r="E6576" t="s">
        <v>33</v>
      </c>
      <c r="F6576" t="s">
        <v>193</v>
      </c>
      <c r="G6576" t="s">
        <v>47</v>
      </c>
      <c r="H6576" t="s">
        <v>165</v>
      </c>
      <c r="I6576">
        <v>39367</v>
      </c>
      <c r="J6576">
        <v>42212</v>
      </c>
    </row>
    <row r="6577" spans="1:10" x14ac:dyDescent="0.3">
      <c r="A6577" t="s">
        <v>6704</v>
      </c>
      <c r="B6577" s="1">
        <v>45746</v>
      </c>
      <c r="C6577" t="s">
        <v>95</v>
      </c>
      <c r="D6577">
        <v>13</v>
      </c>
      <c r="E6577" t="s">
        <v>24</v>
      </c>
      <c r="F6577" t="s">
        <v>13</v>
      </c>
      <c r="G6577" t="s">
        <v>128</v>
      </c>
      <c r="H6577" t="s">
        <v>64</v>
      </c>
      <c r="I6577">
        <v>20332</v>
      </c>
      <c r="J6577">
        <v>24413</v>
      </c>
    </row>
    <row r="6578" spans="1:10" x14ac:dyDescent="0.3">
      <c r="A6578" t="s">
        <v>6705</v>
      </c>
      <c r="B6578" s="1">
        <v>45925</v>
      </c>
      <c r="C6578" t="s">
        <v>38</v>
      </c>
      <c r="D6578">
        <v>39</v>
      </c>
      <c r="E6578" t="s">
        <v>70</v>
      </c>
      <c r="F6578" t="s">
        <v>140</v>
      </c>
      <c r="G6578" t="s">
        <v>266</v>
      </c>
      <c r="H6578" t="s">
        <v>123</v>
      </c>
      <c r="I6578">
        <v>22988</v>
      </c>
      <c r="J6578">
        <v>17340</v>
      </c>
    </row>
    <row r="6579" spans="1:10" x14ac:dyDescent="0.3">
      <c r="A6579" t="s">
        <v>6706</v>
      </c>
      <c r="B6579" s="1">
        <v>45871</v>
      </c>
      <c r="C6579" t="s">
        <v>113</v>
      </c>
      <c r="D6579">
        <v>31</v>
      </c>
      <c r="E6579" t="s">
        <v>39</v>
      </c>
      <c r="F6579" t="s">
        <v>62</v>
      </c>
      <c r="G6579" t="s">
        <v>147</v>
      </c>
      <c r="H6579" t="s">
        <v>41</v>
      </c>
      <c r="I6579">
        <v>25620</v>
      </c>
      <c r="J6579">
        <v>21274</v>
      </c>
    </row>
    <row r="6580" spans="1:10" x14ac:dyDescent="0.3">
      <c r="A6580" t="s">
        <v>6707</v>
      </c>
      <c r="B6580" s="1">
        <v>45798</v>
      </c>
      <c r="C6580" t="s">
        <v>90</v>
      </c>
      <c r="D6580">
        <v>21</v>
      </c>
      <c r="E6580" t="s">
        <v>70</v>
      </c>
      <c r="F6580" t="s">
        <v>25</v>
      </c>
      <c r="G6580" t="s">
        <v>63</v>
      </c>
      <c r="H6580" t="s">
        <v>36</v>
      </c>
      <c r="I6580">
        <v>22796</v>
      </c>
      <c r="J6580">
        <v>20289</v>
      </c>
    </row>
    <row r="6581" spans="1:10" x14ac:dyDescent="0.3">
      <c r="A6581" t="s">
        <v>6708</v>
      </c>
      <c r="B6581" s="1">
        <v>45677</v>
      </c>
      <c r="C6581" t="s">
        <v>17</v>
      </c>
      <c r="D6581">
        <v>4</v>
      </c>
      <c r="E6581" t="s">
        <v>33</v>
      </c>
      <c r="F6581" t="s">
        <v>43</v>
      </c>
      <c r="G6581" t="s">
        <v>20</v>
      </c>
      <c r="H6581" t="s">
        <v>151</v>
      </c>
      <c r="I6581">
        <v>37817</v>
      </c>
      <c r="J6581">
        <v>39154</v>
      </c>
    </row>
    <row r="6582" spans="1:10" x14ac:dyDescent="0.3">
      <c r="A6582" t="s">
        <v>6709</v>
      </c>
      <c r="B6582" s="1">
        <v>45885</v>
      </c>
      <c r="C6582" t="s">
        <v>113</v>
      </c>
      <c r="D6582">
        <v>33</v>
      </c>
      <c r="E6582" t="s">
        <v>24</v>
      </c>
      <c r="F6582" t="s">
        <v>140</v>
      </c>
      <c r="G6582" t="s">
        <v>145</v>
      </c>
      <c r="H6582" t="s">
        <v>211</v>
      </c>
      <c r="I6582">
        <v>23878</v>
      </c>
      <c r="J6582">
        <v>28610</v>
      </c>
    </row>
    <row r="6583" spans="1:10" x14ac:dyDescent="0.3">
      <c r="A6583" t="s">
        <v>6710</v>
      </c>
      <c r="B6583" s="1">
        <v>45684</v>
      </c>
      <c r="C6583" t="s">
        <v>17</v>
      </c>
      <c r="D6583">
        <v>5</v>
      </c>
      <c r="E6583" t="s">
        <v>18</v>
      </c>
      <c r="F6583" t="s">
        <v>29</v>
      </c>
      <c r="G6583" t="s">
        <v>20</v>
      </c>
      <c r="H6583" t="s">
        <v>151</v>
      </c>
      <c r="I6583">
        <v>20501</v>
      </c>
      <c r="J6583">
        <v>25722</v>
      </c>
    </row>
    <row r="6584" spans="1:10" x14ac:dyDescent="0.3">
      <c r="A6584" t="s">
        <v>6711</v>
      </c>
      <c r="B6584" s="1">
        <v>45746</v>
      </c>
      <c r="C6584" t="s">
        <v>95</v>
      </c>
      <c r="D6584">
        <v>13</v>
      </c>
      <c r="E6584" t="s">
        <v>24</v>
      </c>
      <c r="F6584" t="s">
        <v>13</v>
      </c>
      <c r="G6584" t="s">
        <v>206</v>
      </c>
      <c r="H6584" t="s">
        <v>116</v>
      </c>
      <c r="I6584">
        <v>36938</v>
      </c>
      <c r="J6584">
        <v>47822</v>
      </c>
    </row>
    <row r="6585" spans="1:10" x14ac:dyDescent="0.3">
      <c r="A6585" t="s">
        <v>6712</v>
      </c>
      <c r="B6585" s="1">
        <v>45882</v>
      </c>
      <c r="C6585" t="s">
        <v>113</v>
      </c>
      <c r="D6585">
        <v>33</v>
      </c>
      <c r="E6585" t="s">
        <v>33</v>
      </c>
      <c r="F6585" t="s">
        <v>122</v>
      </c>
      <c r="G6585" t="s">
        <v>199</v>
      </c>
      <c r="H6585" t="s">
        <v>103</v>
      </c>
      <c r="I6585">
        <v>31773</v>
      </c>
      <c r="J6585">
        <v>37649</v>
      </c>
    </row>
    <row r="6586" spans="1:10" x14ac:dyDescent="0.3">
      <c r="A6586" t="s">
        <v>6713</v>
      </c>
      <c r="B6586" s="1">
        <v>45849</v>
      </c>
      <c r="C6586" t="s">
        <v>11</v>
      </c>
      <c r="D6586">
        <v>28</v>
      </c>
      <c r="E6586" t="s">
        <v>18</v>
      </c>
      <c r="F6586" t="s">
        <v>122</v>
      </c>
      <c r="G6586" t="s">
        <v>107</v>
      </c>
      <c r="H6586" t="s">
        <v>119</v>
      </c>
      <c r="I6586">
        <v>33692</v>
      </c>
      <c r="J6586">
        <v>32967</v>
      </c>
    </row>
    <row r="6587" spans="1:10" x14ac:dyDescent="0.3">
      <c r="A6587" t="s">
        <v>6714</v>
      </c>
      <c r="B6587" s="1">
        <v>45943</v>
      </c>
      <c r="C6587" t="s">
        <v>66</v>
      </c>
      <c r="D6587">
        <v>42</v>
      </c>
      <c r="E6587" t="s">
        <v>61</v>
      </c>
      <c r="F6587" t="s">
        <v>140</v>
      </c>
      <c r="G6587" t="s">
        <v>160</v>
      </c>
      <c r="H6587" t="s">
        <v>133</v>
      </c>
      <c r="I6587">
        <v>34857</v>
      </c>
      <c r="J6587">
        <v>44615</v>
      </c>
    </row>
    <row r="6588" spans="1:10" x14ac:dyDescent="0.3">
      <c r="A6588" t="s">
        <v>6715</v>
      </c>
      <c r="B6588" s="1">
        <v>45917</v>
      </c>
      <c r="C6588" t="s">
        <v>38</v>
      </c>
      <c r="D6588">
        <v>38</v>
      </c>
      <c r="E6588" t="s">
        <v>61</v>
      </c>
      <c r="F6588" t="s">
        <v>29</v>
      </c>
      <c r="G6588" t="s">
        <v>191</v>
      </c>
      <c r="H6588" t="s">
        <v>111</v>
      </c>
      <c r="I6588">
        <v>23203</v>
      </c>
      <c r="J6588">
        <v>24918</v>
      </c>
    </row>
    <row r="6589" spans="1:10" x14ac:dyDescent="0.3">
      <c r="A6589" t="s">
        <v>6716</v>
      </c>
      <c r="B6589" s="1">
        <v>45887</v>
      </c>
      <c r="C6589" t="s">
        <v>113</v>
      </c>
      <c r="D6589">
        <v>34</v>
      </c>
      <c r="E6589" t="s">
        <v>33</v>
      </c>
      <c r="F6589" t="s">
        <v>109</v>
      </c>
      <c r="G6589" t="s">
        <v>253</v>
      </c>
      <c r="H6589" t="s">
        <v>155</v>
      </c>
      <c r="I6589">
        <v>33453</v>
      </c>
      <c r="J6589">
        <v>28129</v>
      </c>
    </row>
    <row r="6590" spans="1:10" x14ac:dyDescent="0.3">
      <c r="A6590" t="s">
        <v>6717</v>
      </c>
      <c r="B6590" s="1">
        <v>45950</v>
      </c>
      <c r="C6590" t="s">
        <v>66</v>
      </c>
      <c r="D6590">
        <v>43</v>
      </c>
      <c r="E6590" t="s">
        <v>70</v>
      </c>
      <c r="F6590" t="s">
        <v>75</v>
      </c>
      <c r="G6590" t="s">
        <v>107</v>
      </c>
      <c r="H6590" t="s">
        <v>21</v>
      </c>
      <c r="I6590">
        <v>21155</v>
      </c>
      <c r="J6590">
        <v>17338</v>
      </c>
    </row>
    <row r="6591" spans="1:10" x14ac:dyDescent="0.3">
      <c r="A6591" t="s">
        <v>6718</v>
      </c>
      <c r="B6591" s="1">
        <v>45678</v>
      </c>
      <c r="C6591" t="s">
        <v>17</v>
      </c>
      <c r="D6591">
        <v>4</v>
      </c>
      <c r="E6591" t="s">
        <v>61</v>
      </c>
      <c r="F6591" t="s">
        <v>140</v>
      </c>
      <c r="G6591" t="s">
        <v>230</v>
      </c>
      <c r="H6591" t="s">
        <v>21</v>
      </c>
      <c r="I6591">
        <v>23009</v>
      </c>
      <c r="J6591">
        <v>23741</v>
      </c>
    </row>
    <row r="6592" spans="1:10" x14ac:dyDescent="0.3">
      <c r="A6592" t="s">
        <v>6719</v>
      </c>
      <c r="B6592" s="1">
        <v>45935</v>
      </c>
      <c r="C6592" t="s">
        <v>66</v>
      </c>
      <c r="D6592">
        <v>40</v>
      </c>
      <c r="E6592" t="s">
        <v>12</v>
      </c>
      <c r="F6592" t="s">
        <v>43</v>
      </c>
      <c r="G6592" t="s">
        <v>191</v>
      </c>
      <c r="H6592" t="s">
        <v>59</v>
      </c>
      <c r="I6592">
        <v>17250</v>
      </c>
      <c r="J6592">
        <v>15014</v>
      </c>
    </row>
    <row r="6593" spans="1:10" x14ac:dyDescent="0.3">
      <c r="A6593" t="s">
        <v>6720</v>
      </c>
      <c r="B6593" s="1">
        <v>45727</v>
      </c>
      <c r="C6593" t="s">
        <v>95</v>
      </c>
      <c r="D6593">
        <v>11</v>
      </c>
      <c r="E6593" t="s">
        <v>18</v>
      </c>
      <c r="F6593" t="s">
        <v>92</v>
      </c>
      <c r="G6593" t="s">
        <v>72</v>
      </c>
      <c r="H6593" t="s">
        <v>36</v>
      </c>
      <c r="I6593">
        <v>34859</v>
      </c>
      <c r="J6593">
        <v>37162</v>
      </c>
    </row>
    <row r="6594" spans="1:10" x14ac:dyDescent="0.3">
      <c r="A6594" t="s">
        <v>6721</v>
      </c>
      <c r="B6594" s="1">
        <v>45953</v>
      </c>
      <c r="C6594" t="s">
        <v>66</v>
      </c>
      <c r="D6594">
        <v>43</v>
      </c>
      <c r="E6594" t="s">
        <v>33</v>
      </c>
      <c r="F6594" t="s">
        <v>43</v>
      </c>
      <c r="G6594" t="s">
        <v>171</v>
      </c>
      <c r="H6594" t="s">
        <v>188</v>
      </c>
      <c r="I6594">
        <v>30034</v>
      </c>
      <c r="J6594">
        <v>22213</v>
      </c>
    </row>
    <row r="6595" spans="1:10" x14ac:dyDescent="0.3">
      <c r="A6595" t="s">
        <v>6722</v>
      </c>
      <c r="B6595" s="1">
        <v>45904</v>
      </c>
      <c r="C6595" t="s">
        <v>38</v>
      </c>
      <c r="D6595">
        <v>36</v>
      </c>
      <c r="E6595" t="s">
        <v>39</v>
      </c>
      <c r="F6595" t="s">
        <v>75</v>
      </c>
      <c r="G6595" t="s">
        <v>83</v>
      </c>
      <c r="H6595" t="s">
        <v>211</v>
      </c>
      <c r="I6595">
        <v>17093</v>
      </c>
      <c r="J6595">
        <v>15313</v>
      </c>
    </row>
    <row r="6596" spans="1:10" x14ac:dyDescent="0.3">
      <c r="A6596" t="s">
        <v>6723</v>
      </c>
      <c r="B6596" s="1">
        <v>45791</v>
      </c>
      <c r="C6596" t="s">
        <v>90</v>
      </c>
      <c r="D6596">
        <v>20</v>
      </c>
      <c r="E6596" t="s">
        <v>39</v>
      </c>
      <c r="F6596" t="s">
        <v>29</v>
      </c>
      <c r="G6596" t="s">
        <v>58</v>
      </c>
      <c r="H6596" t="s">
        <v>243</v>
      </c>
      <c r="I6596">
        <v>15891</v>
      </c>
      <c r="J6596">
        <v>17127</v>
      </c>
    </row>
    <row r="6597" spans="1:10" x14ac:dyDescent="0.3">
      <c r="A6597" t="s">
        <v>6724</v>
      </c>
      <c r="B6597" s="1">
        <v>45804</v>
      </c>
      <c r="C6597" t="s">
        <v>90</v>
      </c>
      <c r="D6597">
        <v>22</v>
      </c>
      <c r="E6597" t="s">
        <v>33</v>
      </c>
      <c r="F6597" t="s">
        <v>140</v>
      </c>
      <c r="G6597" t="s">
        <v>126</v>
      </c>
      <c r="H6597" t="s">
        <v>188</v>
      </c>
      <c r="I6597">
        <v>19737</v>
      </c>
      <c r="J6597">
        <v>17928</v>
      </c>
    </row>
    <row r="6598" spans="1:10" x14ac:dyDescent="0.3">
      <c r="A6598" t="s">
        <v>6725</v>
      </c>
      <c r="B6598" s="1">
        <v>45990</v>
      </c>
      <c r="C6598" t="s">
        <v>23</v>
      </c>
      <c r="D6598">
        <v>48</v>
      </c>
      <c r="E6598" t="s">
        <v>18</v>
      </c>
      <c r="F6598" t="s">
        <v>29</v>
      </c>
      <c r="G6598" t="s">
        <v>230</v>
      </c>
      <c r="H6598" t="s">
        <v>103</v>
      </c>
      <c r="I6598">
        <v>19733</v>
      </c>
      <c r="J6598">
        <v>19867</v>
      </c>
    </row>
    <row r="6599" spans="1:10" x14ac:dyDescent="0.3">
      <c r="A6599" t="s">
        <v>6726</v>
      </c>
      <c r="B6599" s="1">
        <v>45799</v>
      </c>
      <c r="C6599" t="s">
        <v>90</v>
      </c>
      <c r="D6599">
        <v>21</v>
      </c>
      <c r="E6599" t="s">
        <v>24</v>
      </c>
      <c r="F6599" t="s">
        <v>50</v>
      </c>
      <c r="G6599" t="s">
        <v>14</v>
      </c>
      <c r="H6599" t="s">
        <v>64</v>
      </c>
      <c r="I6599">
        <v>33162</v>
      </c>
      <c r="J6599">
        <v>42322</v>
      </c>
    </row>
    <row r="6600" spans="1:10" x14ac:dyDescent="0.3">
      <c r="A6600" t="s">
        <v>6727</v>
      </c>
      <c r="B6600" s="1">
        <v>45733</v>
      </c>
      <c r="C6600" t="s">
        <v>95</v>
      </c>
      <c r="D6600">
        <v>12</v>
      </c>
      <c r="E6600" t="s">
        <v>70</v>
      </c>
      <c r="F6600" t="s">
        <v>62</v>
      </c>
      <c r="G6600" t="s">
        <v>230</v>
      </c>
      <c r="H6600" t="s">
        <v>31</v>
      </c>
      <c r="I6600">
        <v>31884</v>
      </c>
      <c r="J6600">
        <v>37635</v>
      </c>
    </row>
    <row r="6601" spans="1:10" x14ac:dyDescent="0.3">
      <c r="A6601" t="s">
        <v>6728</v>
      </c>
      <c r="B6601" s="1">
        <v>45925</v>
      </c>
      <c r="C6601" t="s">
        <v>38</v>
      </c>
      <c r="D6601">
        <v>39</v>
      </c>
      <c r="E6601" t="s">
        <v>70</v>
      </c>
      <c r="F6601" t="s">
        <v>46</v>
      </c>
      <c r="G6601" t="s">
        <v>137</v>
      </c>
      <c r="H6601" t="s">
        <v>36</v>
      </c>
      <c r="I6601">
        <v>34991</v>
      </c>
      <c r="J6601">
        <v>41959</v>
      </c>
    </row>
    <row r="6602" spans="1:10" x14ac:dyDescent="0.3">
      <c r="A6602" t="s">
        <v>6729</v>
      </c>
      <c r="B6602" s="1">
        <v>45764</v>
      </c>
      <c r="C6602" t="s">
        <v>86</v>
      </c>
      <c r="D6602">
        <v>16</v>
      </c>
      <c r="E6602" t="s">
        <v>70</v>
      </c>
      <c r="F6602" t="s">
        <v>140</v>
      </c>
      <c r="G6602" t="s">
        <v>107</v>
      </c>
      <c r="H6602" t="s">
        <v>48</v>
      </c>
      <c r="I6602">
        <v>34097</v>
      </c>
      <c r="J6602">
        <v>36628</v>
      </c>
    </row>
    <row r="6603" spans="1:10" x14ac:dyDescent="0.3">
      <c r="A6603" t="s">
        <v>6730</v>
      </c>
      <c r="B6603" s="1">
        <v>45662</v>
      </c>
      <c r="C6603" t="s">
        <v>17</v>
      </c>
      <c r="D6603">
        <v>1</v>
      </c>
      <c r="E6603" t="s">
        <v>39</v>
      </c>
      <c r="F6603" t="s">
        <v>62</v>
      </c>
      <c r="G6603" t="s">
        <v>47</v>
      </c>
      <c r="H6603" t="s">
        <v>59</v>
      </c>
      <c r="I6603">
        <v>31816</v>
      </c>
      <c r="J6603">
        <v>25494</v>
      </c>
    </row>
    <row r="6604" spans="1:10" x14ac:dyDescent="0.3">
      <c r="A6604" t="s">
        <v>6731</v>
      </c>
      <c r="B6604" s="1">
        <v>45675</v>
      </c>
      <c r="C6604" t="s">
        <v>17</v>
      </c>
      <c r="D6604">
        <v>3</v>
      </c>
      <c r="E6604" t="s">
        <v>33</v>
      </c>
      <c r="F6604" t="s">
        <v>87</v>
      </c>
      <c r="G6604" t="s">
        <v>79</v>
      </c>
      <c r="H6604" t="s">
        <v>157</v>
      </c>
      <c r="I6604">
        <v>35534</v>
      </c>
      <c r="J6604">
        <v>35126</v>
      </c>
    </row>
    <row r="6605" spans="1:10" x14ac:dyDescent="0.3">
      <c r="A6605" t="s">
        <v>6732</v>
      </c>
      <c r="B6605" s="1">
        <v>45914</v>
      </c>
      <c r="C6605" t="s">
        <v>38</v>
      </c>
      <c r="D6605">
        <v>37</v>
      </c>
      <c r="E6605" t="s">
        <v>70</v>
      </c>
      <c r="F6605" t="s">
        <v>34</v>
      </c>
      <c r="G6605" t="s">
        <v>88</v>
      </c>
      <c r="H6605" t="s">
        <v>103</v>
      </c>
      <c r="I6605">
        <v>38080</v>
      </c>
      <c r="J6605">
        <v>44318</v>
      </c>
    </row>
    <row r="6606" spans="1:10" x14ac:dyDescent="0.3">
      <c r="A6606" t="s">
        <v>6733</v>
      </c>
      <c r="B6606" s="1">
        <v>45802</v>
      </c>
      <c r="C6606" t="s">
        <v>90</v>
      </c>
      <c r="D6606">
        <v>21</v>
      </c>
      <c r="E6606" t="s">
        <v>12</v>
      </c>
      <c r="F6606" t="s">
        <v>29</v>
      </c>
      <c r="G6606" t="s">
        <v>40</v>
      </c>
      <c r="H6606" t="s">
        <v>98</v>
      </c>
      <c r="I6606">
        <v>15462</v>
      </c>
      <c r="J6606">
        <v>18895</v>
      </c>
    </row>
    <row r="6607" spans="1:10" x14ac:dyDescent="0.3">
      <c r="A6607" t="s">
        <v>6734</v>
      </c>
      <c r="B6607" s="1">
        <v>45986</v>
      </c>
      <c r="C6607" t="s">
        <v>23</v>
      </c>
      <c r="D6607">
        <v>48</v>
      </c>
      <c r="E6607" t="s">
        <v>39</v>
      </c>
      <c r="F6607" t="s">
        <v>50</v>
      </c>
      <c r="G6607" t="s">
        <v>291</v>
      </c>
      <c r="H6607" t="s">
        <v>243</v>
      </c>
      <c r="I6607">
        <v>21473</v>
      </c>
      <c r="J6607">
        <v>19358</v>
      </c>
    </row>
    <row r="6608" spans="1:10" x14ac:dyDescent="0.3">
      <c r="A6608" t="s">
        <v>6735</v>
      </c>
      <c r="B6608" s="1">
        <v>45846</v>
      </c>
      <c r="C6608" t="s">
        <v>11</v>
      </c>
      <c r="D6608">
        <v>28</v>
      </c>
      <c r="E6608" t="s">
        <v>12</v>
      </c>
      <c r="F6608" t="s">
        <v>29</v>
      </c>
      <c r="G6608" t="s">
        <v>93</v>
      </c>
      <c r="H6608" t="s">
        <v>155</v>
      </c>
      <c r="I6608">
        <v>25613</v>
      </c>
      <c r="J6608">
        <v>28767</v>
      </c>
    </row>
    <row r="6609" spans="1:10" x14ac:dyDescent="0.3">
      <c r="A6609" t="s">
        <v>6736</v>
      </c>
      <c r="B6609" s="1">
        <v>45811</v>
      </c>
      <c r="C6609" t="s">
        <v>74</v>
      </c>
      <c r="D6609">
        <v>23</v>
      </c>
      <c r="E6609" t="s">
        <v>39</v>
      </c>
      <c r="F6609" t="s">
        <v>62</v>
      </c>
      <c r="G6609" t="s">
        <v>79</v>
      </c>
      <c r="H6609" t="s">
        <v>188</v>
      </c>
      <c r="I6609">
        <v>26620</v>
      </c>
      <c r="J6609">
        <v>25447</v>
      </c>
    </row>
    <row r="6610" spans="1:10" x14ac:dyDescent="0.3">
      <c r="A6610" t="s">
        <v>6737</v>
      </c>
      <c r="B6610" s="1">
        <v>45752</v>
      </c>
      <c r="C6610" t="s">
        <v>86</v>
      </c>
      <c r="D6610">
        <v>14</v>
      </c>
      <c r="E6610" t="s">
        <v>39</v>
      </c>
      <c r="F6610" t="s">
        <v>109</v>
      </c>
      <c r="G6610" t="s">
        <v>40</v>
      </c>
      <c r="H6610" t="s">
        <v>59</v>
      </c>
      <c r="I6610">
        <v>38472</v>
      </c>
      <c r="J6610">
        <v>29760</v>
      </c>
    </row>
    <row r="6611" spans="1:10" x14ac:dyDescent="0.3">
      <c r="A6611" t="s">
        <v>6738</v>
      </c>
      <c r="B6611" s="1">
        <v>45804</v>
      </c>
      <c r="C6611" t="s">
        <v>90</v>
      </c>
      <c r="D6611">
        <v>22</v>
      </c>
      <c r="E6611" t="s">
        <v>70</v>
      </c>
      <c r="F6611" t="s">
        <v>140</v>
      </c>
      <c r="G6611" t="s">
        <v>147</v>
      </c>
      <c r="H6611" t="s">
        <v>98</v>
      </c>
      <c r="I6611">
        <v>32530</v>
      </c>
      <c r="J6611">
        <v>38477</v>
      </c>
    </row>
    <row r="6612" spans="1:10" x14ac:dyDescent="0.3">
      <c r="A6612" t="s">
        <v>6739</v>
      </c>
      <c r="B6612" s="1">
        <v>45679</v>
      </c>
      <c r="C6612" t="s">
        <v>17</v>
      </c>
      <c r="D6612">
        <v>4</v>
      </c>
      <c r="E6612" t="s">
        <v>33</v>
      </c>
      <c r="F6612" t="s">
        <v>140</v>
      </c>
      <c r="G6612" t="s">
        <v>40</v>
      </c>
      <c r="H6612" t="s">
        <v>151</v>
      </c>
      <c r="I6612">
        <v>33518</v>
      </c>
      <c r="J6612">
        <v>28903</v>
      </c>
    </row>
    <row r="6613" spans="1:10" x14ac:dyDescent="0.3">
      <c r="A6613" t="s">
        <v>6740</v>
      </c>
      <c r="B6613" s="1">
        <v>45791</v>
      </c>
      <c r="C6613" t="s">
        <v>90</v>
      </c>
      <c r="D6613">
        <v>20</v>
      </c>
      <c r="E6613" t="s">
        <v>70</v>
      </c>
      <c r="F6613" t="s">
        <v>62</v>
      </c>
      <c r="G6613" t="s">
        <v>324</v>
      </c>
      <c r="H6613" t="s">
        <v>165</v>
      </c>
      <c r="I6613">
        <v>35363</v>
      </c>
      <c r="J6613">
        <v>37927</v>
      </c>
    </row>
    <row r="6614" spans="1:10" x14ac:dyDescent="0.3">
      <c r="A6614" t="s">
        <v>6741</v>
      </c>
      <c r="B6614" s="1">
        <v>45737</v>
      </c>
      <c r="C6614" t="s">
        <v>95</v>
      </c>
      <c r="D6614">
        <v>12</v>
      </c>
      <c r="E6614" t="s">
        <v>70</v>
      </c>
      <c r="F6614" t="s">
        <v>62</v>
      </c>
      <c r="G6614" t="s">
        <v>58</v>
      </c>
      <c r="H6614" t="s">
        <v>15</v>
      </c>
      <c r="I6614">
        <v>39342</v>
      </c>
      <c r="J6614">
        <v>28287</v>
      </c>
    </row>
    <row r="6615" spans="1:10" x14ac:dyDescent="0.3">
      <c r="A6615" t="s">
        <v>6742</v>
      </c>
      <c r="B6615" s="1">
        <v>46012</v>
      </c>
      <c r="C6615" t="s">
        <v>100</v>
      </c>
      <c r="D6615">
        <v>51</v>
      </c>
      <c r="E6615" t="s">
        <v>12</v>
      </c>
      <c r="F6615" t="s">
        <v>19</v>
      </c>
      <c r="G6615" t="s">
        <v>14</v>
      </c>
      <c r="H6615" t="s">
        <v>96</v>
      </c>
      <c r="I6615">
        <v>21326</v>
      </c>
      <c r="J6615">
        <v>25595</v>
      </c>
    </row>
    <row r="6616" spans="1:10" x14ac:dyDescent="0.3">
      <c r="A6616" t="s">
        <v>6743</v>
      </c>
      <c r="B6616" s="1">
        <v>45665</v>
      </c>
      <c r="C6616" t="s">
        <v>17</v>
      </c>
      <c r="D6616">
        <v>2</v>
      </c>
      <c r="E6616" t="s">
        <v>70</v>
      </c>
      <c r="F6616" t="s">
        <v>101</v>
      </c>
      <c r="G6616" t="s">
        <v>160</v>
      </c>
      <c r="H6616" t="s">
        <v>48</v>
      </c>
      <c r="I6616">
        <v>35404</v>
      </c>
      <c r="J6616">
        <v>32213</v>
      </c>
    </row>
    <row r="6617" spans="1:10" x14ac:dyDescent="0.3">
      <c r="A6617" t="s">
        <v>6744</v>
      </c>
      <c r="B6617" s="1">
        <v>45981</v>
      </c>
      <c r="C6617" t="s">
        <v>23</v>
      </c>
      <c r="D6617">
        <v>47</v>
      </c>
      <c r="E6617" t="s">
        <v>24</v>
      </c>
      <c r="F6617" t="s">
        <v>101</v>
      </c>
      <c r="G6617" t="s">
        <v>30</v>
      </c>
      <c r="H6617" t="s">
        <v>103</v>
      </c>
      <c r="I6617">
        <v>31536</v>
      </c>
      <c r="J6617">
        <v>39789</v>
      </c>
    </row>
    <row r="6618" spans="1:10" x14ac:dyDescent="0.3">
      <c r="A6618" t="s">
        <v>6745</v>
      </c>
      <c r="B6618" s="1">
        <v>45856</v>
      </c>
      <c r="C6618" t="s">
        <v>11</v>
      </c>
      <c r="D6618">
        <v>29</v>
      </c>
      <c r="E6618" t="s">
        <v>12</v>
      </c>
      <c r="F6618" t="s">
        <v>62</v>
      </c>
      <c r="G6618" t="s">
        <v>51</v>
      </c>
      <c r="H6618" t="s">
        <v>103</v>
      </c>
      <c r="I6618">
        <v>33600</v>
      </c>
      <c r="J6618">
        <v>28559</v>
      </c>
    </row>
    <row r="6619" spans="1:10" x14ac:dyDescent="0.3">
      <c r="A6619" t="s">
        <v>6746</v>
      </c>
      <c r="B6619" s="1">
        <v>45863</v>
      </c>
      <c r="C6619" t="s">
        <v>11</v>
      </c>
      <c r="D6619">
        <v>30</v>
      </c>
      <c r="E6619" t="s">
        <v>24</v>
      </c>
      <c r="F6619" t="s">
        <v>62</v>
      </c>
      <c r="G6619" t="s">
        <v>102</v>
      </c>
      <c r="H6619" t="s">
        <v>84</v>
      </c>
      <c r="I6619">
        <v>30443</v>
      </c>
      <c r="J6619">
        <v>26494</v>
      </c>
    </row>
    <row r="6620" spans="1:10" x14ac:dyDescent="0.3">
      <c r="A6620" t="s">
        <v>6747</v>
      </c>
      <c r="B6620" s="1">
        <v>45993</v>
      </c>
      <c r="C6620" t="s">
        <v>100</v>
      </c>
      <c r="D6620">
        <v>49</v>
      </c>
      <c r="E6620" t="s">
        <v>61</v>
      </c>
      <c r="F6620" t="s">
        <v>75</v>
      </c>
      <c r="G6620" t="s">
        <v>132</v>
      </c>
      <c r="H6620" t="s">
        <v>119</v>
      </c>
      <c r="I6620">
        <v>25063</v>
      </c>
      <c r="J6620">
        <v>32545</v>
      </c>
    </row>
    <row r="6621" spans="1:10" x14ac:dyDescent="0.3">
      <c r="A6621" t="s">
        <v>6748</v>
      </c>
      <c r="B6621" s="1">
        <v>45889</v>
      </c>
      <c r="C6621" t="s">
        <v>113</v>
      </c>
      <c r="D6621">
        <v>34</v>
      </c>
      <c r="E6621" t="s">
        <v>61</v>
      </c>
      <c r="F6621" t="s">
        <v>122</v>
      </c>
      <c r="G6621" t="s">
        <v>206</v>
      </c>
      <c r="H6621" t="s">
        <v>119</v>
      </c>
      <c r="I6621">
        <v>24659</v>
      </c>
      <c r="J6621">
        <v>30100</v>
      </c>
    </row>
    <row r="6622" spans="1:10" x14ac:dyDescent="0.3">
      <c r="A6622" t="s">
        <v>6749</v>
      </c>
      <c r="B6622" s="1">
        <v>45701</v>
      </c>
      <c r="C6622" t="s">
        <v>82</v>
      </c>
      <c r="D6622">
        <v>7</v>
      </c>
      <c r="E6622" t="s">
        <v>18</v>
      </c>
      <c r="F6622" t="s">
        <v>140</v>
      </c>
      <c r="G6622" t="s">
        <v>58</v>
      </c>
      <c r="H6622" t="s">
        <v>211</v>
      </c>
      <c r="I6622">
        <v>23899</v>
      </c>
      <c r="J6622">
        <v>26350</v>
      </c>
    </row>
    <row r="6623" spans="1:10" x14ac:dyDescent="0.3">
      <c r="A6623" t="s">
        <v>6750</v>
      </c>
      <c r="B6623" s="1">
        <v>45834</v>
      </c>
      <c r="C6623" t="s">
        <v>74</v>
      </c>
      <c r="D6623">
        <v>26</v>
      </c>
      <c r="E6623" t="s">
        <v>39</v>
      </c>
      <c r="F6623" t="s">
        <v>19</v>
      </c>
      <c r="G6623" t="s">
        <v>47</v>
      </c>
      <c r="H6623" t="s">
        <v>84</v>
      </c>
      <c r="I6623">
        <v>27923</v>
      </c>
      <c r="J6623">
        <v>22871</v>
      </c>
    </row>
    <row r="6624" spans="1:10" x14ac:dyDescent="0.3">
      <c r="A6624" t="s">
        <v>6751</v>
      </c>
      <c r="B6624" s="1">
        <v>45880</v>
      </c>
      <c r="C6624" t="s">
        <v>113</v>
      </c>
      <c r="D6624">
        <v>33</v>
      </c>
      <c r="E6624" t="s">
        <v>24</v>
      </c>
      <c r="F6624" t="s">
        <v>92</v>
      </c>
      <c r="G6624" t="s">
        <v>83</v>
      </c>
      <c r="H6624" t="s">
        <v>27</v>
      </c>
      <c r="I6624">
        <v>17703</v>
      </c>
      <c r="J6624">
        <v>16944</v>
      </c>
    </row>
    <row r="6625" spans="1:10" x14ac:dyDescent="0.3">
      <c r="A6625" t="s">
        <v>6752</v>
      </c>
      <c r="B6625" s="1">
        <v>45911</v>
      </c>
      <c r="C6625" t="s">
        <v>38</v>
      </c>
      <c r="D6625">
        <v>37</v>
      </c>
      <c r="E6625" t="s">
        <v>33</v>
      </c>
      <c r="F6625" t="s">
        <v>29</v>
      </c>
      <c r="G6625" t="s">
        <v>182</v>
      </c>
      <c r="H6625" t="s">
        <v>98</v>
      </c>
      <c r="I6625">
        <v>18359</v>
      </c>
      <c r="J6625">
        <v>13036</v>
      </c>
    </row>
    <row r="6626" spans="1:10" x14ac:dyDescent="0.3">
      <c r="A6626" t="s">
        <v>6753</v>
      </c>
      <c r="B6626" s="1">
        <v>45831</v>
      </c>
      <c r="C6626" t="s">
        <v>74</v>
      </c>
      <c r="D6626">
        <v>26</v>
      </c>
      <c r="E6626" t="s">
        <v>33</v>
      </c>
      <c r="F6626" t="s">
        <v>140</v>
      </c>
      <c r="G6626" t="s">
        <v>47</v>
      </c>
      <c r="H6626" t="s">
        <v>36</v>
      </c>
      <c r="I6626">
        <v>33790</v>
      </c>
      <c r="J6626">
        <v>27845</v>
      </c>
    </row>
    <row r="6627" spans="1:10" x14ac:dyDescent="0.3">
      <c r="A6627" t="s">
        <v>6754</v>
      </c>
      <c r="B6627" s="1">
        <v>45792</v>
      </c>
      <c r="C6627" t="s">
        <v>90</v>
      </c>
      <c r="D6627">
        <v>20</v>
      </c>
      <c r="E6627" t="s">
        <v>12</v>
      </c>
      <c r="F6627" t="s">
        <v>78</v>
      </c>
      <c r="G6627" t="s">
        <v>30</v>
      </c>
      <c r="H6627" t="s">
        <v>64</v>
      </c>
      <c r="I6627">
        <v>33484</v>
      </c>
      <c r="J6627">
        <v>28024</v>
      </c>
    </row>
    <row r="6628" spans="1:10" x14ac:dyDescent="0.3">
      <c r="A6628" t="s">
        <v>6755</v>
      </c>
      <c r="B6628" s="1">
        <v>45803</v>
      </c>
      <c r="C6628" t="s">
        <v>90</v>
      </c>
      <c r="D6628">
        <v>22</v>
      </c>
      <c r="E6628" t="s">
        <v>33</v>
      </c>
      <c r="F6628" t="s">
        <v>46</v>
      </c>
      <c r="G6628" t="s">
        <v>115</v>
      </c>
      <c r="H6628" t="s">
        <v>41</v>
      </c>
      <c r="I6628">
        <v>31925</v>
      </c>
      <c r="J6628">
        <v>35758</v>
      </c>
    </row>
    <row r="6629" spans="1:10" x14ac:dyDescent="0.3">
      <c r="A6629" t="s">
        <v>6756</v>
      </c>
      <c r="B6629" s="1">
        <v>45955</v>
      </c>
      <c r="C6629" t="s">
        <v>66</v>
      </c>
      <c r="D6629">
        <v>43</v>
      </c>
      <c r="E6629" t="s">
        <v>12</v>
      </c>
      <c r="F6629" t="s">
        <v>75</v>
      </c>
      <c r="G6629" t="s">
        <v>26</v>
      </c>
      <c r="H6629" t="s">
        <v>116</v>
      </c>
      <c r="I6629">
        <v>29559</v>
      </c>
      <c r="J6629">
        <v>33351</v>
      </c>
    </row>
    <row r="6630" spans="1:10" x14ac:dyDescent="0.3">
      <c r="A6630" t="s">
        <v>6757</v>
      </c>
      <c r="B6630" s="1">
        <v>45753</v>
      </c>
      <c r="C6630" t="s">
        <v>86</v>
      </c>
      <c r="D6630">
        <v>14</v>
      </c>
      <c r="E6630" t="s">
        <v>18</v>
      </c>
      <c r="F6630" t="s">
        <v>87</v>
      </c>
      <c r="G6630" t="s">
        <v>201</v>
      </c>
      <c r="H6630" t="s">
        <v>111</v>
      </c>
      <c r="I6630">
        <v>36427</v>
      </c>
      <c r="J6630">
        <v>34815</v>
      </c>
    </row>
    <row r="6631" spans="1:10" x14ac:dyDescent="0.3">
      <c r="A6631" t="s">
        <v>6758</v>
      </c>
      <c r="B6631" s="1">
        <v>45731</v>
      </c>
      <c r="C6631" t="s">
        <v>95</v>
      </c>
      <c r="D6631">
        <v>11</v>
      </c>
      <c r="E6631" t="s">
        <v>12</v>
      </c>
      <c r="F6631" t="s">
        <v>19</v>
      </c>
      <c r="G6631" t="s">
        <v>149</v>
      </c>
      <c r="H6631" t="s">
        <v>27</v>
      </c>
      <c r="I6631">
        <v>18093</v>
      </c>
      <c r="J6631">
        <v>13777</v>
      </c>
    </row>
    <row r="6632" spans="1:10" x14ac:dyDescent="0.3">
      <c r="A6632" t="s">
        <v>6759</v>
      </c>
      <c r="B6632" s="1">
        <v>45927</v>
      </c>
      <c r="C6632" t="s">
        <v>38</v>
      </c>
      <c r="D6632">
        <v>39</v>
      </c>
      <c r="E6632" t="s">
        <v>70</v>
      </c>
      <c r="F6632" t="s">
        <v>140</v>
      </c>
      <c r="G6632" t="s">
        <v>240</v>
      </c>
      <c r="H6632" t="s">
        <v>59</v>
      </c>
      <c r="I6632">
        <v>34400</v>
      </c>
      <c r="J6632">
        <v>30572</v>
      </c>
    </row>
    <row r="6633" spans="1:10" x14ac:dyDescent="0.3">
      <c r="A6633" t="s">
        <v>6760</v>
      </c>
      <c r="B6633" s="1">
        <v>45806</v>
      </c>
      <c r="C6633" t="s">
        <v>90</v>
      </c>
      <c r="D6633">
        <v>22</v>
      </c>
      <c r="E6633" t="s">
        <v>33</v>
      </c>
      <c r="F6633" t="s">
        <v>50</v>
      </c>
      <c r="G6633" t="s">
        <v>171</v>
      </c>
      <c r="H6633" t="s">
        <v>52</v>
      </c>
      <c r="I6633">
        <v>21746</v>
      </c>
      <c r="J6633">
        <v>16638</v>
      </c>
    </row>
    <row r="6634" spans="1:10" x14ac:dyDescent="0.3">
      <c r="A6634" t="s">
        <v>6761</v>
      </c>
      <c r="B6634" s="1">
        <v>45734</v>
      </c>
      <c r="C6634" t="s">
        <v>95</v>
      </c>
      <c r="D6634">
        <v>12</v>
      </c>
      <c r="E6634" t="s">
        <v>33</v>
      </c>
      <c r="F6634" t="s">
        <v>78</v>
      </c>
      <c r="G6634" t="s">
        <v>88</v>
      </c>
      <c r="H6634" t="s">
        <v>64</v>
      </c>
      <c r="I6634">
        <v>25070</v>
      </c>
      <c r="J6634">
        <v>20459</v>
      </c>
    </row>
    <row r="6635" spans="1:10" x14ac:dyDescent="0.3">
      <c r="A6635" t="s">
        <v>6762</v>
      </c>
      <c r="B6635" s="1">
        <v>45840</v>
      </c>
      <c r="C6635" t="s">
        <v>11</v>
      </c>
      <c r="D6635">
        <v>27</v>
      </c>
      <c r="E6635" t="s">
        <v>12</v>
      </c>
      <c r="F6635" t="s">
        <v>75</v>
      </c>
      <c r="G6635" t="s">
        <v>240</v>
      </c>
      <c r="H6635" t="s">
        <v>15</v>
      </c>
      <c r="I6635">
        <v>38294</v>
      </c>
      <c r="J6635">
        <v>48851</v>
      </c>
    </row>
    <row r="6636" spans="1:10" x14ac:dyDescent="0.3">
      <c r="A6636" t="s">
        <v>6763</v>
      </c>
      <c r="B6636" s="1">
        <v>45941</v>
      </c>
      <c r="C6636" t="s">
        <v>66</v>
      </c>
      <c r="D6636">
        <v>41</v>
      </c>
      <c r="E6636" t="s">
        <v>18</v>
      </c>
      <c r="F6636" t="s">
        <v>75</v>
      </c>
      <c r="G6636" t="s">
        <v>63</v>
      </c>
      <c r="H6636" t="s">
        <v>31</v>
      </c>
      <c r="I6636">
        <v>21368</v>
      </c>
      <c r="J6636">
        <v>16663</v>
      </c>
    </row>
    <row r="6637" spans="1:10" x14ac:dyDescent="0.3">
      <c r="A6637" t="s">
        <v>6764</v>
      </c>
      <c r="B6637" s="1">
        <v>45790</v>
      </c>
      <c r="C6637" t="s">
        <v>90</v>
      </c>
      <c r="D6637">
        <v>20</v>
      </c>
      <c r="E6637" t="s">
        <v>70</v>
      </c>
      <c r="F6637" t="s">
        <v>75</v>
      </c>
      <c r="G6637" t="s">
        <v>72</v>
      </c>
      <c r="H6637" t="s">
        <v>96</v>
      </c>
      <c r="I6637">
        <v>32321</v>
      </c>
      <c r="J6637">
        <v>39560</v>
      </c>
    </row>
    <row r="6638" spans="1:10" x14ac:dyDescent="0.3">
      <c r="A6638" t="s">
        <v>6765</v>
      </c>
      <c r="B6638" s="1">
        <v>45956</v>
      </c>
      <c r="C6638" t="s">
        <v>66</v>
      </c>
      <c r="D6638">
        <v>43</v>
      </c>
      <c r="E6638" t="s">
        <v>33</v>
      </c>
      <c r="F6638" t="s">
        <v>75</v>
      </c>
      <c r="G6638" t="s">
        <v>266</v>
      </c>
      <c r="H6638" t="s">
        <v>103</v>
      </c>
      <c r="I6638">
        <v>30879</v>
      </c>
      <c r="J6638">
        <v>24339</v>
      </c>
    </row>
    <row r="6639" spans="1:10" x14ac:dyDescent="0.3">
      <c r="A6639" t="s">
        <v>6766</v>
      </c>
      <c r="B6639" s="1">
        <v>45853</v>
      </c>
      <c r="C6639" t="s">
        <v>11</v>
      </c>
      <c r="D6639">
        <v>29</v>
      </c>
      <c r="E6639" t="s">
        <v>24</v>
      </c>
      <c r="F6639" t="s">
        <v>46</v>
      </c>
      <c r="G6639" t="s">
        <v>58</v>
      </c>
      <c r="H6639" t="s">
        <v>163</v>
      </c>
      <c r="I6639">
        <v>38246</v>
      </c>
      <c r="J6639">
        <v>49715</v>
      </c>
    </row>
    <row r="6640" spans="1:10" x14ac:dyDescent="0.3">
      <c r="A6640" t="s">
        <v>6767</v>
      </c>
      <c r="B6640" s="1">
        <v>45908</v>
      </c>
      <c r="C6640" t="s">
        <v>38</v>
      </c>
      <c r="D6640">
        <v>37</v>
      </c>
      <c r="E6640" t="s">
        <v>18</v>
      </c>
      <c r="F6640" t="s">
        <v>140</v>
      </c>
      <c r="G6640" t="s">
        <v>240</v>
      </c>
      <c r="H6640" t="s">
        <v>36</v>
      </c>
      <c r="I6640">
        <v>28178</v>
      </c>
      <c r="J6640">
        <v>36541</v>
      </c>
    </row>
    <row r="6641" spans="1:10" x14ac:dyDescent="0.3">
      <c r="A6641" t="s">
        <v>6768</v>
      </c>
      <c r="B6641" s="1">
        <v>45969</v>
      </c>
      <c r="C6641" t="s">
        <v>23</v>
      </c>
      <c r="D6641">
        <v>45</v>
      </c>
      <c r="E6641" t="s">
        <v>61</v>
      </c>
      <c r="F6641" t="s">
        <v>140</v>
      </c>
      <c r="G6641" t="s">
        <v>266</v>
      </c>
      <c r="H6641" t="s">
        <v>188</v>
      </c>
      <c r="I6641">
        <v>25794</v>
      </c>
      <c r="J6641">
        <v>26298</v>
      </c>
    </row>
    <row r="6642" spans="1:10" x14ac:dyDescent="0.3">
      <c r="A6642" t="s">
        <v>6769</v>
      </c>
      <c r="B6642" s="1">
        <v>45791</v>
      </c>
      <c r="C6642" t="s">
        <v>90</v>
      </c>
      <c r="D6642">
        <v>20</v>
      </c>
      <c r="E6642" t="s">
        <v>61</v>
      </c>
      <c r="F6642" t="s">
        <v>43</v>
      </c>
      <c r="G6642" t="s">
        <v>191</v>
      </c>
      <c r="H6642" t="s">
        <v>119</v>
      </c>
      <c r="I6642">
        <v>19499</v>
      </c>
      <c r="J6642">
        <v>21465</v>
      </c>
    </row>
    <row r="6643" spans="1:10" x14ac:dyDescent="0.3">
      <c r="A6643" t="s">
        <v>6770</v>
      </c>
      <c r="B6643" s="1">
        <v>45923</v>
      </c>
      <c r="C6643" t="s">
        <v>38</v>
      </c>
      <c r="D6643">
        <v>39</v>
      </c>
      <c r="E6643" t="s">
        <v>18</v>
      </c>
      <c r="F6643" t="s">
        <v>122</v>
      </c>
      <c r="G6643" t="s">
        <v>147</v>
      </c>
      <c r="H6643" t="s">
        <v>21</v>
      </c>
      <c r="I6643">
        <v>17311</v>
      </c>
      <c r="J6643">
        <v>16039</v>
      </c>
    </row>
    <row r="6644" spans="1:10" x14ac:dyDescent="0.3">
      <c r="A6644" t="s">
        <v>6771</v>
      </c>
      <c r="B6644" s="1">
        <v>45872</v>
      </c>
      <c r="C6644" t="s">
        <v>113</v>
      </c>
      <c r="D6644">
        <v>31</v>
      </c>
      <c r="E6644" t="s">
        <v>39</v>
      </c>
      <c r="F6644" t="s">
        <v>114</v>
      </c>
      <c r="G6644" t="s">
        <v>88</v>
      </c>
      <c r="H6644" t="s">
        <v>163</v>
      </c>
      <c r="I6644">
        <v>15038</v>
      </c>
      <c r="J6644">
        <v>13628</v>
      </c>
    </row>
    <row r="6645" spans="1:10" x14ac:dyDescent="0.3">
      <c r="A6645" t="s">
        <v>6772</v>
      </c>
      <c r="B6645" s="1">
        <v>45687</v>
      </c>
      <c r="C6645" t="s">
        <v>17</v>
      </c>
      <c r="D6645">
        <v>5</v>
      </c>
      <c r="E6645" t="s">
        <v>70</v>
      </c>
      <c r="F6645" t="s">
        <v>34</v>
      </c>
      <c r="G6645" t="s">
        <v>135</v>
      </c>
      <c r="H6645" t="s">
        <v>31</v>
      </c>
      <c r="I6645">
        <v>24562</v>
      </c>
      <c r="J6645">
        <v>28012</v>
      </c>
    </row>
    <row r="6646" spans="1:10" x14ac:dyDescent="0.3">
      <c r="A6646" t="s">
        <v>6773</v>
      </c>
      <c r="B6646" s="1">
        <v>45661</v>
      </c>
      <c r="C6646" t="s">
        <v>17</v>
      </c>
      <c r="D6646">
        <v>1</v>
      </c>
      <c r="E6646" t="s">
        <v>12</v>
      </c>
      <c r="F6646" t="s">
        <v>29</v>
      </c>
      <c r="G6646" t="s">
        <v>149</v>
      </c>
      <c r="H6646" t="s">
        <v>84</v>
      </c>
      <c r="I6646">
        <v>25853</v>
      </c>
      <c r="J6646">
        <v>22890</v>
      </c>
    </row>
    <row r="6647" spans="1:10" x14ac:dyDescent="0.3">
      <c r="A6647" t="s">
        <v>6774</v>
      </c>
      <c r="B6647" s="1">
        <v>45857</v>
      </c>
      <c r="C6647" t="s">
        <v>11</v>
      </c>
      <c r="D6647">
        <v>29</v>
      </c>
      <c r="E6647" t="s">
        <v>12</v>
      </c>
      <c r="F6647" t="s">
        <v>62</v>
      </c>
      <c r="G6647" t="s">
        <v>126</v>
      </c>
      <c r="H6647" t="s">
        <v>36</v>
      </c>
      <c r="I6647">
        <v>36572</v>
      </c>
      <c r="J6647">
        <v>33857</v>
      </c>
    </row>
    <row r="6648" spans="1:10" x14ac:dyDescent="0.3">
      <c r="A6648" t="s">
        <v>6775</v>
      </c>
      <c r="B6648" s="1">
        <v>45741</v>
      </c>
      <c r="C6648" t="s">
        <v>95</v>
      </c>
      <c r="D6648">
        <v>13</v>
      </c>
      <c r="E6648" t="s">
        <v>39</v>
      </c>
      <c r="F6648" t="s">
        <v>87</v>
      </c>
      <c r="G6648" t="s">
        <v>76</v>
      </c>
      <c r="H6648" t="s">
        <v>84</v>
      </c>
      <c r="I6648">
        <v>21073</v>
      </c>
      <c r="J6648">
        <v>18596</v>
      </c>
    </row>
    <row r="6649" spans="1:10" x14ac:dyDescent="0.3">
      <c r="A6649" t="s">
        <v>6776</v>
      </c>
      <c r="B6649" s="1">
        <v>45960</v>
      </c>
      <c r="C6649" t="s">
        <v>66</v>
      </c>
      <c r="D6649">
        <v>44</v>
      </c>
      <c r="E6649" t="s">
        <v>12</v>
      </c>
      <c r="F6649" t="s">
        <v>92</v>
      </c>
      <c r="G6649" t="s">
        <v>44</v>
      </c>
      <c r="H6649" t="s">
        <v>68</v>
      </c>
      <c r="I6649">
        <v>25503</v>
      </c>
      <c r="J6649">
        <v>28158</v>
      </c>
    </row>
    <row r="6650" spans="1:10" x14ac:dyDescent="0.3">
      <c r="A6650" t="s">
        <v>6777</v>
      </c>
      <c r="B6650" s="1">
        <v>45896</v>
      </c>
      <c r="C6650" t="s">
        <v>113</v>
      </c>
      <c r="D6650">
        <v>35</v>
      </c>
      <c r="E6650" t="s">
        <v>61</v>
      </c>
      <c r="F6650" t="s">
        <v>122</v>
      </c>
      <c r="G6650" t="s">
        <v>47</v>
      </c>
      <c r="H6650" t="s">
        <v>155</v>
      </c>
      <c r="I6650">
        <v>20842</v>
      </c>
      <c r="J6650">
        <v>21608</v>
      </c>
    </row>
    <row r="6651" spans="1:10" x14ac:dyDescent="0.3">
      <c r="A6651" t="s">
        <v>6778</v>
      </c>
      <c r="B6651" s="1">
        <v>45847</v>
      </c>
      <c r="C6651" t="s">
        <v>11</v>
      </c>
      <c r="D6651">
        <v>28</v>
      </c>
      <c r="E6651" t="s">
        <v>70</v>
      </c>
      <c r="F6651" t="s">
        <v>43</v>
      </c>
      <c r="G6651" t="s">
        <v>107</v>
      </c>
      <c r="H6651" t="s">
        <v>163</v>
      </c>
      <c r="I6651">
        <v>24129</v>
      </c>
      <c r="J6651">
        <v>18208</v>
      </c>
    </row>
    <row r="6652" spans="1:10" x14ac:dyDescent="0.3">
      <c r="A6652" t="s">
        <v>6779</v>
      </c>
      <c r="B6652" s="1">
        <v>45826</v>
      </c>
      <c r="C6652" t="s">
        <v>74</v>
      </c>
      <c r="D6652">
        <v>25</v>
      </c>
      <c r="E6652" t="s">
        <v>33</v>
      </c>
      <c r="F6652" t="s">
        <v>19</v>
      </c>
      <c r="G6652" t="s">
        <v>149</v>
      </c>
      <c r="H6652" t="s">
        <v>155</v>
      </c>
      <c r="I6652">
        <v>29032</v>
      </c>
      <c r="J6652">
        <v>35155</v>
      </c>
    </row>
    <row r="6653" spans="1:10" x14ac:dyDescent="0.3">
      <c r="A6653" t="s">
        <v>6780</v>
      </c>
      <c r="B6653" s="1">
        <v>45686</v>
      </c>
      <c r="C6653" t="s">
        <v>17</v>
      </c>
      <c r="D6653">
        <v>5</v>
      </c>
      <c r="E6653" t="s">
        <v>12</v>
      </c>
      <c r="F6653" t="s">
        <v>114</v>
      </c>
      <c r="G6653" t="s">
        <v>171</v>
      </c>
      <c r="H6653" t="s">
        <v>55</v>
      </c>
      <c r="I6653">
        <v>25135</v>
      </c>
      <c r="J6653">
        <v>20994</v>
      </c>
    </row>
    <row r="6654" spans="1:10" x14ac:dyDescent="0.3">
      <c r="A6654" t="s">
        <v>6781</v>
      </c>
      <c r="B6654" s="1">
        <v>45910</v>
      </c>
      <c r="C6654" t="s">
        <v>38</v>
      </c>
      <c r="D6654">
        <v>37</v>
      </c>
      <c r="E6654" t="s">
        <v>70</v>
      </c>
      <c r="F6654" t="s">
        <v>34</v>
      </c>
      <c r="G6654" t="s">
        <v>135</v>
      </c>
      <c r="H6654" t="s">
        <v>64</v>
      </c>
      <c r="I6654">
        <v>34545</v>
      </c>
      <c r="J6654">
        <v>30817</v>
      </c>
    </row>
    <row r="6655" spans="1:10" x14ac:dyDescent="0.3">
      <c r="A6655" t="s">
        <v>6782</v>
      </c>
      <c r="B6655" s="1">
        <v>45927</v>
      </c>
      <c r="C6655" t="s">
        <v>38</v>
      </c>
      <c r="D6655">
        <v>39</v>
      </c>
      <c r="E6655" t="s">
        <v>12</v>
      </c>
      <c r="F6655" t="s">
        <v>19</v>
      </c>
      <c r="G6655" t="s">
        <v>141</v>
      </c>
      <c r="H6655" t="s">
        <v>103</v>
      </c>
      <c r="I6655">
        <v>17109</v>
      </c>
      <c r="J6655">
        <v>19791</v>
      </c>
    </row>
    <row r="6656" spans="1:10" x14ac:dyDescent="0.3">
      <c r="A6656" t="s">
        <v>6783</v>
      </c>
      <c r="B6656" s="1">
        <v>46012</v>
      </c>
      <c r="C6656" t="s">
        <v>100</v>
      </c>
      <c r="D6656">
        <v>51</v>
      </c>
      <c r="E6656" t="s">
        <v>18</v>
      </c>
      <c r="F6656" t="s">
        <v>50</v>
      </c>
      <c r="G6656" t="s">
        <v>51</v>
      </c>
      <c r="H6656" t="s">
        <v>103</v>
      </c>
      <c r="I6656">
        <v>25361</v>
      </c>
      <c r="J6656">
        <v>25808</v>
      </c>
    </row>
    <row r="6657" spans="1:10" x14ac:dyDescent="0.3">
      <c r="A6657" t="s">
        <v>6784</v>
      </c>
      <c r="B6657" s="1">
        <v>45694</v>
      </c>
      <c r="C6657" t="s">
        <v>82</v>
      </c>
      <c r="D6657">
        <v>6</v>
      </c>
      <c r="E6657" t="s">
        <v>33</v>
      </c>
      <c r="F6657" t="s">
        <v>92</v>
      </c>
      <c r="G6657" t="s">
        <v>115</v>
      </c>
      <c r="H6657" t="s">
        <v>98</v>
      </c>
      <c r="I6657">
        <v>23744</v>
      </c>
      <c r="J6657">
        <v>19911</v>
      </c>
    </row>
    <row r="6658" spans="1:10" x14ac:dyDescent="0.3">
      <c r="A6658" t="s">
        <v>6785</v>
      </c>
      <c r="B6658" s="1">
        <v>46008</v>
      </c>
      <c r="C6658" t="s">
        <v>100</v>
      </c>
      <c r="D6658">
        <v>51</v>
      </c>
      <c r="E6658" t="s">
        <v>18</v>
      </c>
      <c r="F6658" t="s">
        <v>29</v>
      </c>
      <c r="G6658" t="s">
        <v>206</v>
      </c>
      <c r="H6658" t="s">
        <v>21</v>
      </c>
      <c r="I6658">
        <v>25064</v>
      </c>
      <c r="J6658">
        <v>25114</v>
      </c>
    </row>
    <row r="6659" spans="1:10" x14ac:dyDescent="0.3">
      <c r="A6659" t="s">
        <v>6786</v>
      </c>
      <c r="B6659" s="1">
        <v>45926</v>
      </c>
      <c r="C6659" t="s">
        <v>38</v>
      </c>
      <c r="D6659">
        <v>39</v>
      </c>
      <c r="E6659" t="s">
        <v>33</v>
      </c>
      <c r="F6659" t="s">
        <v>87</v>
      </c>
      <c r="G6659" t="s">
        <v>79</v>
      </c>
      <c r="H6659" t="s">
        <v>157</v>
      </c>
      <c r="I6659">
        <v>17655</v>
      </c>
      <c r="J6659">
        <v>15682</v>
      </c>
    </row>
    <row r="6660" spans="1:10" x14ac:dyDescent="0.3">
      <c r="A6660" t="s">
        <v>6787</v>
      </c>
      <c r="B6660" s="1">
        <v>45980</v>
      </c>
      <c r="C6660" t="s">
        <v>23</v>
      </c>
      <c r="D6660">
        <v>47</v>
      </c>
      <c r="E6660" t="s">
        <v>39</v>
      </c>
      <c r="F6660" t="s">
        <v>19</v>
      </c>
      <c r="G6660" t="s">
        <v>76</v>
      </c>
      <c r="H6660" t="s">
        <v>211</v>
      </c>
      <c r="I6660">
        <v>37782</v>
      </c>
      <c r="J6660">
        <v>47765</v>
      </c>
    </row>
    <row r="6661" spans="1:10" x14ac:dyDescent="0.3">
      <c r="A6661" t="s">
        <v>6788</v>
      </c>
      <c r="B6661" s="1">
        <v>45812</v>
      </c>
      <c r="C6661" t="s">
        <v>74</v>
      </c>
      <c r="D6661">
        <v>23</v>
      </c>
      <c r="E6661" t="s">
        <v>18</v>
      </c>
      <c r="F6661" t="s">
        <v>101</v>
      </c>
      <c r="G6661" t="s">
        <v>67</v>
      </c>
      <c r="H6661" t="s">
        <v>111</v>
      </c>
      <c r="I6661">
        <v>31416</v>
      </c>
      <c r="J6661">
        <v>25613</v>
      </c>
    </row>
    <row r="6662" spans="1:10" x14ac:dyDescent="0.3">
      <c r="A6662" t="s">
        <v>6789</v>
      </c>
      <c r="B6662" s="1">
        <v>45909</v>
      </c>
      <c r="C6662" t="s">
        <v>38</v>
      </c>
      <c r="D6662">
        <v>37</v>
      </c>
      <c r="E6662" t="s">
        <v>33</v>
      </c>
      <c r="F6662" t="s">
        <v>29</v>
      </c>
      <c r="G6662" t="s">
        <v>135</v>
      </c>
      <c r="H6662" t="s">
        <v>163</v>
      </c>
      <c r="I6662">
        <v>36728</v>
      </c>
      <c r="J6662">
        <v>35694</v>
      </c>
    </row>
    <row r="6663" spans="1:10" x14ac:dyDescent="0.3">
      <c r="A6663" t="s">
        <v>6790</v>
      </c>
      <c r="B6663" s="1">
        <v>46018</v>
      </c>
      <c r="C6663" t="s">
        <v>100</v>
      </c>
      <c r="D6663">
        <v>52</v>
      </c>
      <c r="E6663" t="s">
        <v>33</v>
      </c>
      <c r="F6663" t="s">
        <v>78</v>
      </c>
      <c r="G6663" t="s">
        <v>110</v>
      </c>
      <c r="H6663" t="s">
        <v>151</v>
      </c>
      <c r="I6663">
        <v>27100</v>
      </c>
      <c r="J6663">
        <v>33548</v>
      </c>
    </row>
    <row r="6664" spans="1:10" x14ac:dyDescent="0.3">
      <c r="A6664" t="s">
        <v>6791</v>
      </c>
      <c r="B6664" s="1">
        <v>46019</v>
      </c>
      <c r="C6664" t="s">
        <v>100</v>
      </c>
      <c r="D6664">
        <v>52</v>
      </c>
      <c r="E6664" t="s">
        <v>39</v>
      </c>
      <c r="F6664" t="s">
        <v>13</v>
      </c>
      <c r="G6664" t="s">
        <v>20</v>
      </c>
      <c r="H6664" t="s">
        <v>48</v>
      </c>
      <c r="I6664">
        <v>32965</v>
      </c>
      <c r="J6664">
        <v>24923</v>
      </c>
    </row>
    <row r="6665" spans="1:10" x14ac:dyDescent="0.3">
      <c r="A6665" t="s">
        <v>6792</v>
      </c>
      <c r="B6665" s="1">
        <v>45907</v>
      </c>
      <c r="C6665" t="s">
        <v>38</v>
      </c>
      <c r="D6665">
        <v>36</v>
      </c>
      <c r="E6665" t="s">
        <v>12</v>
      </c>
      <c r="F6665" t="s">
        <v>43</v>
      </c>
      <c r="G6665" t="s">
        <v>44</v>
      </c>
      <c r="H6665" t="s">
        <v>133</v>
      </c>
      <c r="I6665">
        <v>27124</v>
      </c>
      <c r="J6665">
        <v>28315</v>
      </c>
    </row>
    <row r="6666" spans="1:10" x14ac:dyDescent="0.3">
      <c r="A6666" t="s">
        <v>6793</v>
      </c>
      <c r="B6666" s="1">
        <v>45883</v>
      </c>
      <c r="C6666" t="s">
        <v>113</v>
      </c>
      <c r="D6666">
        <v>33</v>
      </c>
      <c r="E6666" t="s">
        <v>33</v>
      </c>
      <c r="F6666" t="s">
        <v>46</v>
      </c>
      <c r="G6666" t="s">
        <v>88</v>
      </c>
      <c r="H6666" t="s">
        <v>188</v>
      </c>
      <c r="I6666">
        <v>20157</v>
      </c>
      <c r="J6666">
        <v>16763</v>
      </c>
    </row>
    <row r="6667" spans="1:10" x14ac:dyDescent="0.3">
      <c r="A6667" t="s">
        <v>6794</v>
      </c>
      <c r="B6667" s="1">
        <v>45712</v>
      </c>
      <c r="C6667" t="s">
        <v>82</v>
      </c>
      <c r="D6667">
        <v>9</v>
      </c>
      <c r="E6667" t="s">
        <v>24</v>
      </c>
      <c r="F6667" t="s">
        <v>13</v>
      </c>
      <c r="G6667" t="s">
        <v>191</v>
      </c>
      <c r="H6667" t="s">
        <v>111</v>
      </c>
      <c r="I6667">
        <v>39640</v>
      </c>
      <c r="J6667">
        <v>46060</v>
      </c>
    </row>
    <row r="6668" spans="1:10" x14ac:dyDescent="0.3">
      <c r="A6668" t="s">
        <v>6795</v>
      </c>
      <c r="B6668" s="1">
        <v>45675</v>
      </c>
      <c r="C6668" t="s">
        <v>17</v>
      </c>
      <c r="D6668">
        <v>3</v>
      </c>
      <c r="E6668" t="s">
        <v>33</v>
      </c>
      <c r="F6668" t="s">
        <v>50</v>
      </c>
      <c r="G6668" t="s">
        <v>171</v>
      </c>
      <c r="H6668" t="s">
        <v>151</v>
      </c>
      <c r="I6668">
        <v>21153</v>
      </c>
      <c r="J6668">
        <v>20640</v>
      </c>
    </row>
    <row r="6669" spans="1:10" x14ac:dyDescent="0.3">
      <c r="A6669" t="s">
        <v>6796</v>
      </c>
      <c r="B6669" s="1">
        <v>45867</v>
      </c>
      <c r="C6669" t="s">
        <v>11</v>
      </c>
      <c r="D6669">
        <v>31</v>
      </c>
      <c r="E6669" t="s">
        <v>61</v>
      </c>
      <c r="F6669" t="s">
        <v>57</v>
      </c>
      <c r="G6669" t="s">
        <v>206</v>
      </c>
      <c r="H6669" t="s">
        <v>55</v>
      </c>
      <c r="I6669">
        <v>17882</v>
      </c>
      <c r="J6669">
        <v>16474</v>
      </c>
    </row>
    <row r="6670" spans="1:10" x14ac:dyDescent="0.3">
      <c r="A6670" t="s">
        <v>6797</v>
      </c>
      <c r="B6670" s="1">
        <v>45746</v>
      </c>
      <c r="C6670" t="s">
        <v>95</v>
      </c>
      <c r="D6670">
        <v>13</v>
      </c>
      <c r="E6670" t="s">
        <v>33</v>
      </c>
      <c r="F6670" t="s">
        <v>75</v>
      </c>
      <c r="G6670" t="s">
        <v>72</v>
      </c>
      <c r="H6670" t="s">
        <v>165</v>
      </c>
      <c r="I6670">
        <v>33914</v>
      </c>
      <c r="J6670">
        <v>40153</v>
      </c>
    </row>
    <row r="6671" spans="1:10" x14ac:dyDescent="0.3">
      <c r="A6671" t="s">
        <v>6798</v>
      </c>
      <c r="B6671" s="1">
        <v>45874</v>
      </c>
      <c r="C6671" t="s">
        <v>113</v>
      </c>
      <c r="D6671">
        <v>32</v>
      </c>
      <c r="E6671" t="s">
        <v>24</v>
      </c>
      <c r="F6671" t="s">
        <v>57</v>
      </c>
      <c r="G6671" t="s">
        <v>76</v>
      </c>
      <c r="H6671" t="s">
        <v>119</v>
      </c>
      <c r="I6671">
        <v>28955</v>
      </c>
      <c r="J6671">
        <v>23942</v>
      </c>
    </row>
    <row r="6672" spans="1:10" x14ac:dyDescent="0.3">
      <c r="A6672" t="s">
        <v>6799</v>
      </c>
      <c r="B6672" s="1">
        <v>45708</v>
      </c>
      <c r="C6672" t="s">
        <v>82</v>
      </c>
      <c r="D6672">
        <v>8</v>
      </c>
      <c r="E6672" t="s">
        <v>39</v>
      </c>
      <c r="F6672" t="s">
        <v>140</v>
      </c>
      <c r="G6672" t="s">
        <v>40</v>
      </c>
      <c r="H6672" t="s">
        <v>52</v>
      </c>
      <c r="I6672">
        <v>28229</v>
      </c>
      <c r="J6672">
        <v>33462</v>
      </c>
    </row>
    <row r="6673" spans="1:10" x14ac:dyDescent="0.3">
      <c r="A6673" t="s">
        <v>6800</v>
      </c>
      <c r="B6673" s="1">
        <v>45864</v>
      </c>
      <c r="C6673" t="s">
        <v>11</v>
      </c>
      <c r="D6673">
        <v>30</v>
      </c>
      <c r="E6673" t="s">
        <v>33</v>
      </c>
      <c r="F6673" t="s">
        <v>43</v>
      </c>
      <c r="G6673" t="s">
        <v>141</v>
      </c>
      <c r="H6673" t="s">
        <v>211</v>
      </c>
      <c r="I6673">
        <v>20397</v>
      </c>
      <c r="J6673">
        <v>25939</v>
      </c>
    </row>
    <row r="6674" spans="1:10" x14ac:dyDescent="0.3">
      <c r="A6674" t="s">
        <v>6801</v>
      </c>
      <c r="B6674" s="1">
        <v>45851</v>
      </c>
      <c r="C6674" t="s">
        <v>11</v>
      </c>
      <c r="D6674">
        <v>28</v>
      </c>
      <c r="E6674" t="s">
        <v>39</v>
      </c>
      <c r="F6674" t="s">
        <v>13</v>
      </c>
      <c r="G6674" t="s">
        <v>40</v>
      </c>
      <c r="H6674" t="s">
        <v>36</v>
      </c>
      <c r="I6674">
        <v>18079</v>
      </c>
      <c r="J6674">
        <v>19409</v>
      </c>
    </row>
    <row r="6675" spans="1:10" x14ac:dyDescent="0.3">
      <c r="A6675" t="s">
        <v>6802</v>
      </c>
      <c r="B6675" s="1">
        <v>45802</v>
      </c>
      <c r="C6675" t="s">
        <v>90</v>
      </c>
      <c r="D6675">
        <v>21</v>
      </c>
      <c r="E6675" t="s">
        <v>70</v>
      </c>
      <c r="F6675" t="s">
        <v>87</v>
      </c>
      <c r="G6675" t="s">
        <v>137</v>
      </c>
      <c r="H6675" t="s">
        <v>55</v>
      </c>
      <c r="I6675">
        <v>26627</v>
      </c>
      <c r="J6675">
        <v>19124</v>
      </c>
    </row>
    <row r="6676" spans="1:10" x14ac:dyDescent="0.3">
      <c r="A6676" t="s">
        <v>6803</v>
      </c>
      <c r="B6676" s="1">
        <v>45723</v>
      </c>
      <c r="C6676" t="s">
        <v>95</v>
      </c>
      <c r="D6676">
        <v>10</v>
      </c>
      <c r="E6676" t="s">
        <v>33</v>
      </c>
      <c r="F6676" t="s">
        <v>34</v>
      </c>
      <c r="G6676" t="s">
        <v>47</v>
      </c>
      <c r="H6676" t="s">
        <v>116</v>
      </c>
      <c r="I6676">
        <v>37380</v>
      </c>
      <c r="J6676">
        <v>38839</v>
      </c>
    </row>
    <row r="6677" spans="1:10" x14ac:dyDescent="0.3">
      <c r="A6677" t="s">
        <v>6804</v>
      </c>
      <c r="B6677" s="1">
        <v>45665</v>
      </c>
      <c r="C6677" t="s">
        <v>17</v>
      </c>
      <c r="D6677">
        <v>2</v>
      </c>
      <c r="E6677" t="s">
        <v>33</v>
      </c>
      <c r="F6677" t="s">
        <v>87</v>
      </c>
      <c r="G6677" t="s">
        <v>93</v>
      </c>
      <c r="H6677" t="s">
        <v>52</v>
      </c>
      <c r="I6677">
        <v>36849</v>
      </c>
      <c r="J6677">
        <v>30766</v>
      </c>
    </row>
    <row r="6678" spans="1:10" x14ac:dyDescent="0.3">
      <c r="A6678" t="s">
        <v>6805</v>
      </c>
      <c r="B6678" s="1">
        <v>45729</v>
      </c>
      <c r="C6678" t="s">
        <v>95</v>
      </c>
      <c r="D6678">
        <v>11</v>
      </c>
      <c r="E6678" t="s">
        <v>70</v>
      </c>
      <c r="F6678" t="s">
        <v>29</v>
      </c>
      <c r="G6678" t="s">
        <v>20</v>
      </c>
      <c r="H6678" t="s">
        <v>157</v>
      </c>
      <c r="I6678">
        <v>26755</v>
      </c>
      <c r="J6678">
        <v>20181</v>
      </c>
    </row>
    <row r="6679" spans="1:10" x14ac:dyDescent="0.3">
      <c r="A6679" t="s">
        <v>6806</v>
      </c>
      <c r="B6679" s="1">
        <v>45678</v>
      </c>
      <c r="C6679" t="s">
        <v>17</v>
      </c>
      <c r="D6679">
        <v>4</v>
      </c>
      <c r="E6679" t="s">
        <v>24</v>
      </c>
      <c r="F6679" t="s">
        <v>87</v>
      </c>
      <c r="G6679" t="s">
        <v>224</v>
      </c>
      <c r="H6679" t="s">
        <v>163</v>
      </c>
      <c r="I6679">
        <v>21945</v>
      </c>
      <c r="J6679">
        <v>19176</v>
      </c>
    </row>
    <row r="6680" spans="1:10" x14ac:dyDescent="0.3">
      <c r="A6680" t="s">
        <v>6807</v>
      </c>
      <c r="B6680" s="1">
        <v>46014</v>
      </c>
      <c r="C6680" t="s">
        <v>100</v>
      </c>
      <c r="D6680">
        <v>52</v>
      </c>
      <c r="E6680" t="s">
        <v>39</v>
      </c>
      <c r="F6680" t="s">
        <v>34</v>
      </c>
      <c r="G6680" t="s">
        <v>47</v>
      </c>
      <c r="H6680" t="s">
        <v>68</v>
      </c>
      <c r="I6680">
        <v>39496</v>
      </c>
      <c r="J6680">
        <v>45650</v>
      </c>
    </row>
    <row r="6681" spans="1:10" x14ac:dyDescent="0.3">
      <c r="A6681" t="s">
        <v>6808</v>
      </c>
      <c r="B6681" s="1">
        <v>45742</v>
      </c>
      <c r="C6681" t="s">
        <v>95</v>
      </c>
      <c r="D6681">
        <v>13</v>
      </c>
      <c r="E6681" t="s">
        <v>61</v>
      </c>
      <c r="F6681" t="s">
        <v>122</v>
      </c>
      <c r="G6681" t="s">
        <v>58</v>
      </c>
      <c r="H6681" t="s">
        <v>103</v>
      </c>
      <c r="I6681">
        <v>26443</v>
      </c>
      <c r="J6681">
        <v>24208</v>
      </c>
    </row>
    <row r="6682" spans="1:10" x14ac:dyDescent="0.3">
      <c r="A6682" t="s">
        <v>6809</v>
      </c>
      <c r="B6682" s="1">
        <v>45802</v>
      </c>
      <c r="C6682" t="s">
        <v>90</v>
      </c>
      <c r="D6682">
        <v>21</v>
      </c>
      <c r="E6682" t="s">
        <v>24</v>
      </c>
      <c r="F6682" t="s">
        <v>57</v>
      </c>
      <c r="G6682" t="s">
        <v>145</v>
      </c>
      <c r="H6682" t="s">
        <v>188</v>
      </c>
      <c r="I6682">
        <v>25782</v>
      </c>
      <c r="J6682">
        <v>30539</v>
      </c>
    </row>
    <row r="6683" spans="1:10" x14ac:dyDescent="0.3">
      <c r="A6683" t="s">
        <v>6810</v>
      </c>
      <c r="B6683" s="1">
        <v>45752</v>
      </c>
      <c r="C6683" t="s">
        <v>86</v>
      </c>
      <c r="D6683">
        <v>14</v>
      </c>
      <c r="E6683" t="s">
        <v>61</v>
      </c>
      <c r="F6683" t="s">
        <v>13</v>
      </c>
      <c r="G6683" t="s">
        <v>171</v>
      </c>
      <c r="H6683" t="s">
        <v>119</v>
      </c>
      <c r="I6683">
        <v>38607</v>
      </c>
      <c r="J6683">
        <v>30233</v>
      </c>
    </row>
    <row r="6684" spans="1:10" x14ac:dyDescent="0.3">
      <c r="A6684" t="s">
        <v>6811</v>
      </c>
      <c r="B6684" s="1">
        <v>45917</v>
      </c>
      <c r="C6684" t="s">
        <v>38</v>
      </c>
      <c r="D6684">
        <v>38</v>
      </c>
      <c r="E6684" t="s">
        <v>18</v>
      </c>
      <c r="F6684" t="s">
        <v>13</v>
      </c>
      <c r="G6684" t="s">
        <v>182</v>
      </c>
      <c r="H6684" t="s">
        <v>41</v>
      </c>
      <c r="I6684">
        <v>30051</v>
      </c>
      <c r="J6684">
        <v>24411</v>
      </c>
    </row>
    <row r="6685" spans="1:10" x14ac:dyDescent="0.3">
      <c r="A6685" t="s">
        <v>6812</v>
      </c>
      <c r="B6685" s="1">
        <v>45754</v>
      </c>
      <c r="C6685" t="s">
        <v>86</v>
      </c>
      <c r="D6685">
        <v>15</v>
      </c>
      <c r="E6685" t="s">
        <v>39</v>
      </c>
      <c r="F6685" t="s">
        <v>75</v>
      </c>
      <c r="G6685" t="s">
        <v>199</v>
      </c>
      <c r="H6685" t="s">
        <v>157</v>
      </c>
      <c r="I6685">
        <v>24688</v>
      </c>
      <c r="J6685">
        <v>31822</v>
      </c>
    </row>
    <row r="6686" spans="1:10" x14ac:dyDescent="0.3">
      <c r="A6686" t="s">
        <v>6813</v>
      </c>
      <c r="B6686" s="1">
        <v>45999</v>
      </c>
      <c r="C6686" t="s">
        <v>100</v>
      </c>
      <c r="D6686">
        <v>50</v>
      </c>
      <c r="E6686" t="s">
        <v>24</v>
      </c>
      <c r="F6686" t="s">
        <v>101</v>
      </c>
      <c r="G6686" t="s">
        <v>199</v>
      </c>
      <c r="H6686" t="s">
        <v>188</v>
      </c>
      <c r="I6686">
        <v>30048</v>
      </c>
      <c r="J6686">
        <v>37645</v>
      </c>
    </row>
    <row r="6687" spans="1:10" x14ac:dyDescent="0.3">
      <c r="A6687" t="s">
        <v>6814</v>
      </c>
      <c r="B6687" s="1">
        <v>45828</v>
      </c>
      <c r="C6687" t="s">
        <v>74</v>
      </c>
      <c r="D6687">
        <v>25</v>
      </c>
      <c r="E6687" t="s">
        <v>12</v>
      </c>
      <c r="F6687" t="s">
        <v>193</v>
      </c>
      <c r="G6687" t="s">
        <v>266</v>
      </c>
      <c r="H6687" t="s">
        <v>36</v>
      </c>
      <c r="I6687">
        <v>23348</v>
      </c>
      <c r="J6687">
        <v>21554</v>
      </c>
    </row>
    <row r="6688" spans="1:10" x14ac:dyDescent="0.3">
      <c r="A6688" t="s">
        <v>6815</v>
      </c>
      <c r="B6688" s="1">
        <v>46015</v>
      </c>
      <c r="C6688" t="s">
        <v>100</v>
      </c>
      <c r="D6688">
        <v>52</v>
      </c>
      <c r="E6688" t="s">
        <v>61</v>
      </c>
      <c r="F6688" t="s">
        <v>19</v>
      </c>
      <c r="G6688" t="s">
        <v>54</v>
      </c>
      <c r="H6688" t="s">
        <v>211</v>
      </c>
      <c r="I6688">
        <v>18876</v>
      </c>
      <c r="J6688">
        <v>14151</v>
      </c>
    </row>
    <row r="6689" spans="1:10" x14ac:dyDescent="0.3">
      <c r="A6689" t="s">
        <v>6816</v>
      </c>
      <c r="B6689" s="1">
        <v>45791</v>
      </c>
      <c r="C6689" t="s">
        <v>90</v>
      </c>
      <c r="D6689">
        <v>20</v>
      </c>
      <c r="E6689" t="s">
        <v>24</v>
      </c>
      <c r="F6689" t="s">
        <v>50</v>
      </c>
      <c r="G6689" t="s">
        <v>14</v>
      </c>
      <c r="H6689" t="s">
        <v>84</v>
      </c>
      <c r="I6689">
        <v>16063</v>
      </c>
      <c r="J6689">
        <v>18705</v>
      </c>
    </row>
    <row r="6690" spans="1:10" x14ac:dyDescent="0.3">
      <c r="A6690" t="s">
        <v>6817</v>
      </c>
      <c r="B6690" s="1">
        <v>45937</v>
      </c>
      <c r="C6690" t="s">
        <v>66</v>
      </c>
      <c r="D6690">
        <v>41</v>
      </c>
      <c r="E6690" t="s">
        <v>18</v>
      </c>
      <c r="F6690" t="s">
        <v>87</v>
      </c>
      <c r="G6690" t="s">
        <v>118</v>
      </c>
      <c r="H6690" t="s">
        <v>188</v>
      </c>
      <c r="I6690">
        <v>22865</v>
      </c>
      <c r="J6690">
        <v>20715</v>
      </c>
    </row>
    <row r="6691" spans="1:10" x14ac:dyDescent="0.3">
      <c r="A6691" t="s">
        <v>6818</v>
      </c>
      <c r="B6691" s="1">
        <v>45906</v>
      </c>
      <c r="C6691" t="s">
        <v>38</v>
      </c>
      <c r="D6691">
        <v>36</v>
      </c>
      <c r="E6691" t="s">
        <v>61</v>
      </c>
      <c r="F6691" t="s">
        <v>193</v>
      </c>
      <c r="G6691" t="s">
        <v>14</v>
      </c>
      <c r="H6691" t="s">
        <v>31</v>
      </c>
      <c r="I6691">
        <v>23194</v>
      </c>
      <c r="J6691">
        <v>21944</v>
      </c>
    </row>
    <row r="6692" spans="1:10" x14ac:dyDescent="0.3">
      <c r="A6692" t="s">
        <v>6819</v>
      </c>
      <c r="B6692" s="1">
        <v>45674</v>
      </c>
      <c r="C6692" t="s">
        <v>17</v>
      </c>
      <c r="D6692">
        <v>3</v>
      </c>
      <c r="E6692" t="s">
        <v>61</v>
      </c>
      <c r="F6692" t="s">
        <v>78</v>
      </c>
      <c r="G6692" t="s">
        <v>88</v>
      </c>
      <c r="H6692" t="s">
        <v>59</v>
      </c>
      <c r="I6692">
        <v>23161</v>
      </c>
      <c r="J6692">
        <v>23765</v>
      </c>
    </row>
    <row r="6693" spans="1:10" x14ac:dyDescent="0.3">
      <c r="A6693" t="s">
        <v>6820</v>
      </c>
      <c r="B6693" s="1">
        <v>45879</v>
      </c>
      <c r="C6693" t="s">
        <v>113</v>
      </c>
      <c r="D6693">
        <v>32</v>
      </c>
      <c r="E6693" t="s">
        <v>61</v>
      </c>
      <c r="F6693" t="s">
        <v>193</v>
      </c>
      <c r="G6693" t="s">
        <v>102</v>
      </c>
      <c r="H6693" t="s">
        <v>123</v>
      </c>
      <c r="I6693">
        <v>17054</v>
      </c>
      <c r="J6693">
        <v>22027</v>
      </c>
    </row>
    <row r="6694" spans="1:10" x14ac:dyDescent="0.3">
      <c r="A6694" t="s">
        <v>6821</v>
      </c>
      <c r="B6694" s="1">
        <v>45921</v>
      </c>
      <c r="C6694" t="s">
        <v>38</v>
      </c>
      <c r="D6694">
        <v>38</v>
      </c>
      <c r="E6694" t="s">
        <v>61</v>
      </c>
      <c r="F6694" t="s">
        <v>25</v>
      </c>
      <c r="G6694" t="s">
        <v>199</v>
      </c>
      <c r="H6694" t="s">
        <v>157</v>
      </c>
      <c r="I6694">
        <v>17604</v>
      </c>
      <c r="J6694">
        <v>18593</v>
      </c>
    </row>
    <row r="6695" spans="1:10" x14ac:dyDescent="0.3">
      <c r="A6695" t="s">
        <v>6822</v>
      </c>
      <c r="B6695" s="1">
        <v>45746</v>
      </c>
      <c r="C6695" t="s">
        <v>95</v>
      </c>
      <c r="D6695">
        <v>13</v>
      </c>
      <c r="E6695" t="s">
        <v>39</v>
      </c>
      <c r="F6695" t="s">
        <v>62</v>
      </c>
      <c r="G6695" t="s">
        <v>54</v>
      </c>
      <c r="H6695" t="s">
        <v>111</v>
      </c>
      <c r="I6695">
        <v>29721</v>
      </c>
      <c r="J6695">
        <v>25276</v>
      </c>
    </row>
    <row r="6696" spans="1:10" x14ac:dyDescent="0.3">
      <c r="A6696" t="s">
        <v>6823</v>
      </c>
      <c r="B6696" s="1">
        <v>45861</v>
      </c>
      <c r="C6696" t="s">
        <v>11</v>
      </c>
      <c r="D6696">
        <v>30</v>
      </c>
      <c r="E6696" t="s">
        <v>18</v>
      </c>
      <c r="F6696" t="s">
        <v>101</v>
      </c>
      <c r="G6696" t="s">
        <v>40</v>
      </c>
      <c r="H6696" t="s">
        <v>80</v>
      </c>
      <c r="I6696">
        <v>17449</v>
      </c>
      <c r="J6696">
        <v>17385</v>
      </c>
    </row>
    <row r="6697" spans="1:10" x14ac:dyDescent="0.3">
      <c r="A6697" t="s">
        <v>6824</v>
      </c>
      <c r="B6697" s="1">
        <v>45659</v>
      </c>
      <c r="C6697" t="s">
        <v>17</v>
      </c>
      <c r="D6697">
        <v>1</v>
      </c>
      <c r="E6697" t="s">
        <v>24</v>
      </c>
      <c r="F6697" t="s">
        <v>92</v>
      </c>
      <c r="G6697" t="s">
        <v>291</v>
      </c>
      <c r="H6697" t="s">
        <v>36</v>
      </c>
      <c r="I6697">
        <v>21369</v>
      </c>
      <c r="J6697">
        <v>23359</v>
      </c>
    </row>
    <row r="6698" spans="1:10" x14ac:dyDescent="0.3">
      <c r="A6698" t="s">
        <v>6825</v>
      </c>
      <c r="B6698" s="1">
        <v>45902</v>
      </c>
      <c r="C6698" t="s">
        <v>38</v>
      </c>
      <c r="D6698">
        <v>36</v>
      </c>
      <c r="E6698" t="s">
        <v>18</v>
      </c>
      <c r="F6698" t="s">
        <v>46</v>
      </c>
      <c r="G6698" t="s">
        <v>130</v>
      </c>
      <c r="H6698" t="s">
        <v>116</v>
      </c>
      <c r="I6698">
        <v>33061</v>
      </c>
      <c r="J6698">
        <v>35802</v>
      </c>
    </row>
    <row r="6699" spans="1:10" x14ac:dyDescent="0.3">
      <c r="A6699" t="s">
        <v>6826</v>
      </c>
      <c r="B6699" s="1">
        <v>45688</v>
      </c>
      <c r="C6699" t="s">
        <v>17</v>
      </c>
      <c r="D6699">
        <v>5</v>
      </c>
      <c r="E6699" t="s">
        <v>33</v>
      </c>
      <c r="F6699" t="s">
        <v>109</v>
      </c>
      <c r="G6699" t="s">
        <v>14</v>
      </c>
      <c r="H6699" t="s">
        <v>59</v>
      </c>
      <c r="I6699">
        <v>29834</v>
      </c>
      <c r="J6699">
        <v>27763</v>
      </c>
    </row>
    <row r="6700" spans="1:10" x14ac:dyDescent="0.3">
      <c r="A6700" t="s">
        <v>6827</v>
      </c>
      <c r="B6700" s="1">
        <v>45698</v>
      </c>
      <c r="C6700" t="s">
        <v>82</v>
      </c>
      <c r="D6700">
        <v>7</v>
      </c>
      <c r="E6700" t="s">
        <v>70</v>
      </c>
      <c r="F6700" t="s">
        <v>34</v>
      </c>
      <c r="G6700" t="s">
        <v>107</v>
      </c>
      <c r="H6700" t="s">
        <v>84</v>
      </c>
      <c r="I6700">
        <v>34991</v>
      </c>
      <c r="J6700">
        <v>29148</v>
      </c>
    </row>
    <row r="6701" spans="1:10" x14ac:dyDescent="0.3">
      <c r="A6701" t="s">
        <v>6828</v>
      </c>
      <c r="B6701" s="1">
        <v>45767</v>
      </c>
      <c r="C6701" t="s">
        <v>86</v>
      </c>
      <c r="D6701">
        <v>16</v>
      </c>
      <c r="E6701" t="s">
        <v>70</v>
      </c>
      <c r="F6701" t="s">
        <v>78</v>
      </c>
      <c r="G6701" t="s">
        <v>149</v>
      </c>
      <c r="H6701" t="s">
        <v>211</v>
      </c>
      <c r="I6701">
        <v>16434</v>
      </c>
      <c r="J6701">
        <v>12031</v>
      </c>
    </row>
    <row r="6702" spans="1:10" x14ac:dyDescent="0.3">
      <c r="A6702" t="s">
        <v>6829</v>
      </c>
      <c r="B6702" s="1">
        <v>45817</v>
      </c>
      <c r="C6702" t="s">
        <v>74</v>
      </c>
      <c r="D6702">
        <v>24</v>
      </c>
      <c r="E6702" t="s">
        <v>33</v>
      </c>
      <c r="F6702" t="s">
        <v>29</v>
      </c>
      <c r="G6702" t="s">
        <v>135</v>
      </c>
      <c r="H6702" t="s">
        <v>188</v>
      </c>
      <c r="I6702">
        <v>28936</v>
      </c>
      <c r="J6702">
        <v>29139</v>
      </c>
    </row>
    <row r="6703" spans="1:10" x14ac:dyDescent="0.3">
      <c r="A6703" t="s">
        <v>6830</v>
      </c>
      <c r="B6703" s="1">
        <v>45843</v>
      </c>
      <c r="C6703" t="s">
        <v>11</v>
      </c>
      <c r="D6703">
        <v>27</v>
      </c>
      <c r="E6703" t="s">
        <v>33</v>
      </c>
      <c r="F6703" t="s">
        <v>140</v>
      </c>
      <c r="G6703" t="s">
        <v>14</v>
      </c>
      <c r="H6703" t="s">
        <v>15</v>
      </c>
      <c r="I6703">
        <v>24020</v>
      </c>
      <c r="J6703">
        <v>23689</v>
      </c>
    </row>
    <row r="6704" spans="1:10" x14ac:dyDescent="0.3">
      <c r="A6704" t="s">
        <v>6831</v>
      </c>
      <c r="B6704" s="1">
        <v>45999</v>
      </c>
      <c r="C6704" t="s">
        <v>100</v>
      </c>
      <c r="D6704">
        <v>50</v>
      </c>
      <c r="E6704" t="s">
        <v>39</v>
      </c>
      <c r="F6704" t="s">
        <v>114</v>
      </c>
      <c r="G6704" t="s">
        <v>324</v>
      </c>
      <c r="H6704" t="s">
        <v>155</v>
      </c>
      <c r="I6704">
        <v>27145</v>
      </c>
      <c r="J6704">
        <v>23282</v>
      </c>
    </row>
    <row r="6705" spans="1:10" x14ac:dyDescent="0.3">
      <c r="A6705" t="s">
        <v>6832</v>
      </c>
      <c r="B6705" s="1">
        <v>45945</v>
      </c>
      <c r="C6705" t="s">
        <v>66</v>
      </c>
      <c r="D6705">
        <v>42</v>
      </c>
      <c r="E6705" t="s">
        <v>24</v>
      </c>
      <c r="F6705" t="s">
        <v>101</v>
      </c>
      <c r="G6705" t="s">
        <v>130</v>
      </c>
      <c r="H6705" t="s">
        <v>243</v>
      </c>
      <c r="I6705">
        <v>39308</v>
      </c>
      <c r="J6705">
        <v>46804</v>
      </c>
    </row>
    <row r="6706" spans="1:10" x14ac:dyDescent="0.3">
      <c r="A6706" t="s">
        <v>6833</v>
      </c>
      <c r="B6706" s="1">
        <v>45973</v>
      </c>
      <c r="C6706" t="s">
        <v>23</v>
      </c>
      <c r="D6706">
        <v>46</v>
      </c>
      <c r="E6706" t="s">
        <v>61</v>
      </c>
      <c r="F6706" t="s">
        <v>140</v>
      </c>
      <c r="G6706" t="s">
        <v>58</v>
      </c>
      <c r="H6706" t="s">
        <v>111</v>
      </c>
      <c r="I6706">
        <v>34326</v>
      </c>
      <c r="J6706">
        <v>42230</v>
      </c>
    </row>
    <row r="6707" spans="1:10" x14ac:dyDescent="0.3">
      <c r="A6707" t="s">
        <v>6834</v>
      </c>
      <c r="B6707" s="1">
        <v>45832</v>
      </c>
      <c r="C6707" t="s">
        <v>74</v>
      </c>
      <c r="D6707">
        <v>26</v>
      </c>
      <c r="E6707" t="s">
        <v>12</v>
      </c>
      <c r="F6707" t="s">
        <v>193</v>
      </c>
      <c r="G6707" t="s">
        <v>182</v>
      </c>
      <c r="H6707" t="s">
        <v>103</v>
      </c>
      <c r="I6707">
        <v>19167</v>
      </c>
      <c r="J6707">
        <v>22524</v>
      </c>
    </row>
    <row r="6708" spans="1:10" x14ac:dyDescent="0.3">
      <c r="A6708" t="s">
        <v>6835</v>
      </c>
      <c r="B6708" s="1">
        <v>45810</v>
      </c>
      <c r="C6708" t="s">
        <v>74</v>
      </c>
      <c r="D6708">
        <v>23</v>
      </c>
      <c r="E6708" t="s">
        <v>18</v>
      </c>
      <c r="F6708" t="s">
        <v>57</v>
      </c>
      <c r="G6708" t="s">
        <v>107</v>
      </c>
      <c r="H6708" t="s">
        <v>111</v>
      </c>
      <c r="I6708">
        <v>37623</v>
      </c>
      <c r="J6708">
        <v>31575</v>
      </c>
    </row>
    <row r="6709" spans="1:10" x14ac:dyDescent="0.3">
      <c r="A6709" t="s">
        <v>6836</v>
      </c>
      <c r="B6709" s="1">
        <v>45764</v>
      </c>
      <c r="C6709" t="s">
        <v>86</v>
      </c>
      <c r="D6709">
        <v>16</v>
      </c>
      <c r="E6709" t="s">
        <v>70</v>
      </c>
      <c r="F6709" t="s">
        <v>43</v>
      </c>
      <c r="G6709" t="s">
        <v>149</v>
      </c>
      <c r="H6709" t="s">
        <v>165</v>
      </c>
      <c r="I6709">
        <v>28447</v>
      </c>
      <c r="J6709">
        <v>33926</v>
      </c>
    </row>
    <row r="6710" spans="1:10" x14ac:dyDescent="0.3">
      <c r="A6710" t="s">
        <v>6837</v>
      </c>
      <c r="B6710" s="1">
        <v>45788</v>
      </c>
      <c r="C6710" t="s">
        <v>90</v>
      </c>
      <c r="D6710">
        <v>19</v>
      </c>
      <c r="E6710" t="s">
        <v>61</v>
      </c>
      <c r="F6710" t="s">
        <v>122</v>
      </c>
      <c r="G6710" t="s">
        <v>107</v>
      </c>
      <c r="H6710" t="s">
        <v>15</v>
      </c>
      <c r="I6710">
        <v>21754</v>
      </c>
      <c r="J6710">
        <v>17026</v>
      </c>
    </row>
    <row r="6711" spans="1:10" x14ac:dyDescent="0.3">
      <c r="A6711" t="s">
        <v>6838</v>
      </c>
      <c r="B6711" s="1">
        <v>45954</v>
      </c>
      <c r="C6711" t="s">
        <v>66</v>
      </c>
      <c r="D6711">
        <v>43</v>
      </c>
      <c r="E6711" t="s">
        <v>18</v>
      </c>
      <c r="F6711" t="s">
        <v>25</v>
      </c>
      <c r="G6711" t="s">
        <v>147</v>
      </c>
      <c r="H6711" t="s">
        <v>103</v>
      </c>
      <c r="I6711">
        <v>19634</v>
      </c>
      <c r="J6711">
        <v>17601</v>
      </c>
    </row>
    <row r="6712" spans="1:10" x14ac:dyDescent="0.3">
      <c r="A6712" t="s">
        <v>6839</v>
      </c>
      <c r="B6712" s="1">
        <v>45748</v>
      </c>
      <c r="C6712" t="s">
        <v>86</v>
      </c>
      <c r="D6712">
        <v>14</v>
      </c>
      <c r="E6712" t="s">
        <v>12</v>
      </c>
      <c r="F6712" t="s">
        <v>46</v>
      </c>
      <c r="G6712" t="s">
        <v>47</v>
      </c>
      <c r="H6712" t="s">
        <v>151</v>
      </c>
      <c r="I6712">
        <v>21490</v>
      </c>
      <c r="J6712">
        <v>17856</v>
      </c>
    </row>
    <row r="6713" spans="1:10" x14ac:dyDescent="0.3">
      <c r="A6713" t="s">
        <v>6840</v>
      </c>
      <c r="B6713" s="1">
        <v>45839</v>
      </c>
      <c r="C6713" t="s">
        <v>11</v>
      </c>
      <c r="D6713">
        <v>27</v>
      </c>
      <c r="E6713" t="s">
        <v>24</v>
      </c>
      <c r="F6713" t="s">
        <v>29</v>
      </c>
      <c r="G6713" t="s">
        <v>132</v>
      </c>
      <c r="H6713" t="s">
        <v>96</v>
      </c>
      <c r="I6713">
        <v>15675</v>
      </c>
      <c r="J6713">
        <v>18218</v>
      </c>
    </row>
    <row r="6714" spans="1:10" x14ac:dyDescent="0.3">
      <c r="A6714" t="s">
        <v>6841</v>
      </c>
      <c r="B6714" s="1">
        <v>45845</v>
      </c>
      <c r="C6714" t="s">
        <v>11</v>
      </c>
      <c r="D6714">
        <v>28</v>
      </c>
      <c r="E6714" t="s">
        <v>70</v>
      </c>
      <c r="F6714" t="s">
        <v>92</v>
      </c>
      <c r="G6714" t="s">
        <v>224</v>
      </c>
      <c r="H6714" t="s">
        <v>59</v>
      </c>
      <c r="I6714">
        <v>38848</v>
      </c>
      <c r="J6714">
        <v>37952</v>
      </c>
    </row>
    <row r="6715" spans="1:10" x14ac:dyDescent="0.3">
      <c r="A6715" t="s">
        <v>6842</v>
      </c>
      <c r="B6715" s="1">
        <v>45659</v>
      </c>
      <c r="C6715" t="s">
        <v>17</v>
      </c>
      <c r="D6715">
        <v>1</v>
      </c>
      <c r="E6715" t="s">
        <v>70</v>
      </c>
      <c r="F6715" t="s">
        <v>193</v>
      </c>
      <c r="G6715" t="s">
        <v>40</v>
      </c>
      <c r="H6715" t="s">
        <v>41</v>
      </c>
      <c r="I6715">
        <v>28885</v>
      </c>
      <c r="J6715">
        <v>31440</v>
      </c>
    </row>
    <row r="6716" spans="1:10" x14ac:dyDescent="0.3">
      <c r="A6716" t="s">
        <v>6843</v>
      </c>
      <c r="B6716" s="1">
        <v>45791</v>
      </c>
      <c r="C6716" t="s">
        <v>90</v>
      </c>
      <c r="D6716">
        <v>20</v>
      </c>
      <c r="E6716" t="s">
        <v>24</v>
      </c>
      <c r="F6716" t="s">
        <v>19</v>
      </c>
      <c r="G6716" t="s">
        <v>130</v>
      </c>
      <c r="H6716" t="s">
        <v>211</v>
      </c>
      <c r="I6716">
        <v>39635</v>
      </c>
      <c r="J6716">
        <v>43643</v>
      </c>
    </row>
    <row r="6717" spans="1:10" x14ac:dyDescent="0.3">
      <c r="A6717" t="s">
        <v>6844</v>
      </c>
      <c r="B6717" s="1">
        <v>45909</v>
      </c>
      <c r="C6717" t="s">
        <v>38</v>
      </c>
      <c r="D6717">
        <v>37</v>
      </c>
      <c r="E6717" t="s">
        <v>33</v>
      </c>
      <c r="F6717" t="s">
        <v>43</v>
      </c>
      <c r="G6717" t="s">
        <v>266</v>
      </c>
      <c r="H6717" t="s">
        <v>123</v>
      </c>
      <c r="I6717">
        <v>24685</v>
      </c>
      <c r="J6717">
        <v>19079</v>
      </c>
    </row>
    <row r="6718" spans="1:10" x14ac:dyDescent="0.3">
      <c r="A6718" t="s">
        <v>6845</v>
      </c>
      <c r="B6718" s="1">
        <v>45850</v>
      </c>
      <c r="C6718" t="s">
        <v>11</v>
      </c>
      <c r="D6718">
        <v>28</v>
      </c>
      <c r="E6718" t="s">
        <v>70</v>
      </c>
      <c r="F6718" t="s">
        <v>101</v>
      </c>
      <c r="G6718" t="s">
        <v>72</v>
      </c>
      <c r="H6718" t="s">
        <v>119</v>
      </c>
      <c r="I6718">
        <v>31888</v>
      </c>
      <c r="J6718">
        <v>39710</v>
      </c>
    </row>
    <row r="6719" spans="1:10" x14ac:dyDescent="0.3">
      <c r="A6719" t="s">
        <v>6846</v>
      </c>
      <c r="B6719" s="1">
        <v>45895</v>
      </c>
      <c r="C6719" t="s">
        <v>113</v>
      </c>
      <c r="D6719">
        <v>35</v>
      </c>
      <c r="E6719" t="s">
        <v>70</v>
      </c>
      <c r="F6719" t="s">
        <v>46</v>
      </c>
      <c r="G6719" t="s">
        <v>54</v>
      </c>
      <c r="H6719" t="s">
        <v>123</v>
      </c>
      <c r="I6719">
        <v>25955</v>
      </c>
      <c r="J6719">
        <v>18468</v>
      </c>
    </row>
    <row r="6720" spans="1:10" x14ac:dyDescent="0.3">
      <c r="A6720" t="s">
        <v>6847</v>
      </c>
      <c r="B6720" s="1">
        <v>45971</v>
      </c>
      <c r="C6720" t="s">
        <v>23</v>
      </c>
      <c r="D6720">
        <v>46</v>
      </c>
      <c r="E6720" t="s">
        <v>18</v>
      </c>
      <c r="F6720" t="s">
        <v>57</v>
      </c>
      <c r="G6720" t="s">
        <v>79</v>
      </c>
      <c r="H6720" t="s">
        <v>133</v>
      </c>
      <c r="I6720">
        <v>36364</v>
      </c>
      <c r="J6720">
        <v>41900</v>
      </c>
    </row>
    <row r="6721" spans="1:10" x14ac:dyDescent="0.3">
      <c r="A6721" t="s">
        <v>6848</v>
      </c>
      <c r="B6721" s="1">
        <v>45713</v>
      </c>
      <c r="C6721" t="s">
        <v>82</v>
      </c>
      <c r="D6721">
        <v>9</v>
      </c>
      <c r="E6721" t="s">
        <v>39</v>
      </c>
      <c r="F6721" t="s">
        <v>34</v>
      </c>
      <c r="G6721" t="s">
        <v>72</v>
      </c>
      <c r="H6721" t="s">
        <v>31</v>
      </c>
      <c r="I6721">
        <v>36908</v>
      </c>
      <c r="J6721">
        <v>28922</v>
      </c>
    </row>
    <row r="6722" spans="1:10" x14ac:dyDescent="0.3">
      <c r="A6722" t="s">
        <v>6849</v>
      </c>
      <c r="B6722" s="1">
        <v>45883</v>
      </c>
      <c r="C6722" t="s">
        <v>113</v>
      </c>
      <c r="D6722">
        <v>33</v>
      </c>
      <c r="E6722" t="s">
        <v>18</v>
      </c>
      <c r="F6722" t="s">
        <v>109</v>
      </c>
      <c r="G6722" t="s">
        <v>206</v>
      </c>
      <c r="H6722" t="s">
        <v>188</v>
      </c>
      <c r="I6722">
        <v>29894</v>
      </c>
      <c r="J6722">
        <v>37544</v>
      </c>
    </row>
    <row r="6723" spans="1:10" x14ac:dyDescent="0.3">
      <c r="A6723" t="s">
        <v>6850</v>
      </c>
      <c r="B6723" s="1">
        <v>45714</v>
      </c>
      <c r="C6723" t="s">
        <v>82</v>
      </c>
      <c r="D6723">
        <v>9</v>
      </c>
      <c r="E6723" t="s">
        <v>61</v>
      </c>
      <c r="F6723" t="s">
        <v>109</v>
      </c>
      <c r="G6723" t="s">
        <v>51</v>
      </c>
      <c r="H6723" t="s">
        <v>31</v>
      </c>
      <c r="I6723">
        <v>39013</v>
      </c>
      <c r="J6723">
        <v>30173</v>
      </c>
    </row>
    <row r="6724" spans="1:10" x14ac:dyDescent="0.3">
      <c r="A6724" t="s">
        <v>6851</v>
      </c>
      <c r="B6724" s="1">
        <v>45913</v>
      </c>
      <c r="C6724" t="s">
        <v>38</v>
      </c>
      <c r="D6724">
        <v>37</v>
      </c>
      <c r="E6724" t="s">
        <v>33</v>
      </c>
      <c r="F6724" t="s">
        <v>50</v>
      </c>
      <c r="G6724" t="s">
        <v>149</v>
      </c>
      <c r="H6724" t="s">
        <v>119</v>
      </c>
      <c r="I6724">
        <v>26116</v>
      </c>
      <c r="J6724">
        <v>26198</v>
      </c>
    </row>
    <row r="6725" spans="1:10" x14ac:dyDescent="0.3">
      <c r="A6725" t="s">
        <v>6852</v>
      </c>
      <c r="B6725" s="1">
        <v>45931</v>
      </c>
      <c r="C6725" t="s">
        <v>66</v>
      </c>
      <c r="D6725">
        <v>40</v>
      </c>
      <c r="E6725" t="s">
        <v>33</v>
      </c>
      <c r="F6725" t="s">
        <v>62</v>
      </c>
      <c r="G6725" t="s">
        <v>191</v>
      </c>
      <c r="H6725" t="s">
        <v>41</v>
      </c>
      <c r="I6725">
        <v>27883</v>
      </c>
      <c r="J6725">
        <v>31566</v>
      </c>
    </row>
    <row r="6726" spans="1:10" x14ac:dyDescent="0.3">
      <c r="A6726" t="s">
        <v>6853</v>
      </c>
      <c r="B6726" s="1">
        <v>45706</v>
      </c>
      <c r="C6726" t="s">
        <v>82</v>
      </c>
      <c r="D6726">
        <v>8</v>
      </c>
      <c r="E6726" t="s">
        <v>24</v>
      </c>
      <c r="F6726" t="s">
        <v>87</v>
      </c>
      <c r="G6726" t="s">
        <v>230</v>
      </c>
      <c r="H6726" t="s">
        <v>36</v>
      </c>
      <c r="I6726">
        <v>30615</v>
      </c>
      <c r="J6726">
        <v>30162</v>
      </c>
    </row>
    <row r="6727" spans="1:10" x14ac:dyDescent="0.3">
      <c r="A6727" t="s">
        <v>6854</v>
      </c>
      <c r="B6727" s="1">
        <v>45843</v>
      </c>
      <c r="C6727" t="s">
        <v>11</v>
      </c>
      <c r="D6727">
        <v>27</v>
      </c>
      <c r="E6727" t="s">
        <v>61</v>
      </c>
      <c r="F6727" t="s">
        <v>43</v>
      </c>
      <c r="G6727" t="s">
        <v>63</v>
      </c>
      <c r="H6727" t="s">
        <v>52</v>
      </c>
      <c r="I6727">
        <v>28993</v>
      </c>
      <c r="J6727">
        <v>32233</v>
      </c>
    </row>
    <row r="6728" spans="1:10" x14ac:dyDescent="0.3">
      <c r="A6728" t="s">
        <v>6855</v>
      </c>
      <c r="B6728" s="1">
        <v>45869</v>
      </c>
      <c r="C6728" t="s">
        <v>11</v>
      </c>
      <c r="D6728">
        <v>31</v>
      </c>
      <c r="E6728" t="s">
        <v>33</v>
      </c>
      <c r="F6728" t="s">
        <v>62</v>
      </c>
      <c r="G6728" t="s">
        <v>115</v>
      </c>
      <c r="H6728" t="s">
        <v>64</v>
      </c>
      <c r="I6728">
        <v>36197</v>
      </c>
      <c r="J6728">
        <v>39697</v>
      </c>
    </row>
    <row r="6729" spans="1:10" x14ac:dyDescent="0.3">
      <c r="A6729" t="s">
        <v>6856</v>
      </c>
      <c r="B6729" s="1">
        <v>45938</v>
      </c>
      <c r="C6729" t="s">
        <v>66</v>
      </c>
      <c r="D6729">
        <v>41</v>
      </c>
      <c r="E6729" t="s">
        <v>18</v>
      </c>
      <c r="F6729" t="s">
        <v>25</v>
      </c>
      <c r="G6729" t="s">
        <v>191</v>
      </c>
      <c r="H6729" t="s">
        <v>155</v>
      </c>
      <c r="I6729">
        <v>19905</v>
      </c>
      <c r="J6729">
        <v>22111</v>
      </c>
    </row>
    <row r="6730" spans="1:10" x14ac:dyDescent="0.3">
      <c r="A6730" t="s">
        <v>6857</v>
      </c>
      <c r="B6730" s="1">
        <v>45892</v>
      </c>
      <c r="C6730" t="s">
        <v>113</v>
      </c>
      <c r="D6730">
        <v>34</v>
      </c>
      <c r="E6730" t="s">
        <v>39</v>
      </c>
      <c r="F6730" t="s">
        <v>34</v>
      </c>
      <c r="G6730" t="s">
        <v>72</v>
      </c>
      <c r="H6730" t="s">
        <v>123</v>
      </c>
      <c r="I6730">
        <v>17665</v>
      </c>
      <c r="J6730">
        <v>16132</v>
      </c>
    </row>
    <row r="6731" spans="1:10" x14ac:dyDescent="0.3">
      <c r="A6731" t="s">
        <v>6858</v>
      </c>
      <c r="B6731" s="1">
        <v>45829</v>
      </c>
      <c r="C6731" t="s">
        <v>74</v>
      </c>
      <c r="D6731">
        <v>25</v>
      </c>
      <c r="E6731" t="s">
        <v>70</v>
      </c>
      <c r="F6731" t="s">
        <v>101</v>
      </c>
      <c r="G6731" t="s">
        <v>224</v>
      </c>
      <c r="H6731" t="s">
        <v>84</v>
      </c>
      <c r="I6731">
        <v>24605</v>
      </c>
      <c r="J6731">
        <v>20462</v>
      </c>
    </row>
    <row r="6732" spans="1:10" x14ac:dyDescent="0.3">
      <c r="A6732" t="s">
        <v>6859</v>
      </c>
      <c r="B6732" s="1">
        <v>45715</v>
      </c>
      <c r="C6732" t="s">
        <v>82</v>
      </c>
      <c r="D6732">
        <v>9</v>
      </c>
      <c r="E6732" t="s">
        <v>70</v>
      </c>
      <c r="F6732" t="s">
        <v>46</v>
      </c>
      <c r="G6732" t="s">
        <v>206</v>
      </c>
      <c r="H6732" t="s">
        <v>188</v>
      </c>
      <c r="I6732">
        <v>30977</v>
      </c>
      <c r="J6732">
        <v>36320</v>
      </c>
    </row>
    <row r="6733" spans="1:10" x14ac:dyDescent="0.3">
      <c r="A6733" t="s">
        <v>6860</v>
      </c>
      <c r="B6733" s="1">
        <v>45675</v>
      </c>
      <c r="C6733" t="s">
        <v>17</v>
      </c>
      <c r="D6733">
        <v>3</v>
      </c>
      <c r="E6733" t="s">
        <v>18</v>
      </c>
      <c r="F6733" t="s">
        <v>62</v>
      </c>
      <c r="G6733" t="s">
        <v>191</v>
      </c>
      <c r="H6733" t="s">
        <v>21</v>
      </c>
      <c r="I6733">
        <v>20264</v>
      </c>
      <c r="J6733">
        <v>25271</v>
      </c>
    </row>
    <row r="6734" spans="1:10" x14ac:dyDescent="0.3">
      <c r="A6734" t="s">
        <v>6861</v>
      </c>
      <c r="B6734" s="1">
        <v>45678</v>
      </c>
      <c r="C6734" t="s">
        <v>17</v>
      </c>
      <c r="D6734">
        <v>4</v>
      </c>
      <c r="E6734" t="s">
        <v>39</v>
      </c>
      <c r="F6734" t="s">
        <v>101</v>
      </c>
      <c r="G6734" t="s">
        <v>291</v>
      </c>
      <c r="H6734" t="s">
        <v>52</v>
      </c>
      <c r="I6734">
        <v>23507</v>
      </c>
      <c r="J6734">
        <v>22446</v>
      </c>
    </row>
    <row r="6735" spans="1:10" x14ac:dyDescent="0.3">
      <c r="A6735" t="s">
        <v>6862</v>
      </c>
      <c r="B6735" s="1">
        <v>45821</v>
      </c>
      <c r="C6735" t="s">
        <v>74</v>
      </c>
      <c r="D6735">
        <v>24</v>
      </c>
      <c r="E6735" t="s">
        <v>33</v>
      </c>
      <c r="F6735" t="s">
        <v>122</v>
      </c>
      <c r="G6735" t="s">
        <v>58</v>
      </c>
      <c r="H6735" t="s">
        <v>119</v>
      </c>
      <c r="I6735">
        <v>18179</v>
      </c>
      <c r="J6735">
        <v>15481</v>
      </c>
    </row>
    <row r="6736" spans="1:10" x14ac:dyDescent="0.3">
      <c r="A6736" t="s">
        <v>6863</v>
      </c>
      <c r="B6736" s="1">
        <v>45700</v>
      </c>
      <c r="C6736" t="s">
        <v>82</v>
      </c>
      <c r="D6736">
        <v>7</v>
      </c>
      <c r="E6736" t="s">
        <v>18</v>
      </c>
      <c r="F6736" t="s">
        <v>101</v>
      </c>
      <c r="G6736" t="s">
        <v>291</v>
      </c>
      <c r="H6736" t="s">
        <v>84</v>
      </c>
      <c r="I6736">
        <v>27817</v>
      </c>
      <c r="J6736">
        <v>31405</v>
      </c>
    </row>
    <row r="6737" spans="1:10" x14ac:dyDescent="0.3">
      <c r="A6737" t="s">
        <v>6864</v>
      </c>
      <c r="B6737" s="1">
        <v>46022</v>
      </c>
      <c r="C6737" t="s">
        <v>100</v>
      </c>
      <c r="D6737">
        <v>1</v>
      </c>
      <c r="E6737" t="s">
        <v>61</v>
      </c>
      <c r="F6737" t="s">
        <v>193</v>
      </c>
      <c r="G6737" t="s">
        <v>35</v>
      </c>
      <c r="H6737" t="s">
        <v>48</v>
      </c>
      <c r="I6737">
        <v>28932</v>
      </c>
      <c r="J6737">
        <v>21783</v>
      </c>
    </row>
    <row r="6738" spans="1:10" x14ac:dyDescent="0.3">
      <c r="A6738" t="s">
        <v>6865</v>
      </c>
      <c r="B6738" s="1">
        <v>46016</v>
      </c>
      <c r="C6738" t="s">
        <v>100</v>
      </c>
      <c r="D6738">
        <v>52</v>
      </c>
      <c r="E6738" t="s">
        <v>18</v>
      </c>
      <c r="F6738" t="s">
        <v>114</v>
      </c>
      <c r="G6738" t="s">
        <v>253</v>
      </c>
      <c r="H6738" t="s">
        <v>31</v>
      </c>
      <c r="I6738">
        <v>25269</v>
      </c>
      <c r="J6738">
        <v>29548</v>
      </c>
    </row>
    <row r="6739" spans="1:10" x14ac:dyDescent="0.3">
      <c r="A6739" t="s">
        <v>6866</v>
      </c>
      <c r="B6739" s="1">
        <v>45728</v>
      </c>
      <c r="C6739" t="s">
        <v>95</v>
      </c>
      <c r="D6739">
        <v>11</v>
      </c>
      <c r="E6739" t="s">
        <v>24</v>
      </c>
      <c r="F6739" t="s">
        <v>122</v>
      </c>
      <c r="G6739" t="s">
        <v>126</v>
      </c>
      <c r="H6739" t="s">
        <v>84</v>
      </c>
      <c r="I6739">
        <v>24303</v>
      </c>
      <c r="J6739">
        <v>18189</v>
      </c>
    </row>
    <row r="6740" spans="1:10" x14ac:dyDescent="0.3">
      <c r="A6740" t="s">
        <v>6867</v>
      </c>
      <c r="B6740" s="1">
        <v>45707</v>
      </c>
      <c r="C6740" t="s">
        <v>82</v>
      </c>
      <c r="D6740">
        <v>8</v>
      </c>
      <c r="E6740" t="s">
        <v>12</v>
      </c>
      <c r="F6740" t="s">
        <v>46</v>
      </c>
      <c r="G6740" t="s">
        <v>324</v>
      </c>
      <c r="H6740" t="s">
        <v>98</v>
      </c>
      <c r="I6740">
        <v>32105</v>
      </c>
      <c r="J6740">
        <v>34283</v>
      </c>
    </row>
    <row r="6741" spans="1:10" x14ac:dyDescent="0.3">
      <c r="A6741" t="s">
        <v>6868</v>
      </c>
      <c r="B6741" s="1">
        <v>45837</v>
      </c>
      <c r="C6741" t="s">
        <v>74</v>
      </c>
      <c r="D6741">
        <v>26</v>
      </c>
      <c r="E6741" t="s">
        <v>24</v>
      </c>
      <c r="F6741" t="s">
        <v>13</v>
      </c>
      <c r="G6741" t="s">
        <v>26</v>
      </c>
      <c r="H6741" t="s">
        <v>211</v>
      </c>
      <c r="I6741">
        <v>17616</v>
      </c>
      <c r="J6741">
        <v>19451</v>
      </c>
    </row>
    <row r="6742" spans="1:10" x14ac:dyDescent="0.3">
      <c r="A6742" t="s">
        <v>6869</v>
      </c>
      <c r="B6742" s="1">
        <v>45670</v>
      </c>
      <c r="C6742" t="s">
        <v>17</v>
      </c>
      <c r="D6742">
        <v>3</v>
      </c>
      <c r="E6742" t="s">
        <v>39</v>
      </c>
      <c r="F6742" t="s">
        <v>92</v>
      </c>
      <c r="G6742" t="s">
        <v>51</v>
      </c>
      <c r="H6742" t="s">
        <v>155</v>
      </c>
      <c r="I6742">
        <v>24600</v>
      </c>
      <c r="J6742">
        <v>25957</v>
      </c>
    </row>
    <row r="6743" spans="1:10" x14ac:dyDescent="0.3">
      <c r="A6743" t="s">
        <v>6870</v>
      </c>
      <c r="B6743" s="1">
        <v>45819</v>
      </c>
      <c r="C6743" t="s">
        <v>74</v>
      </c>
      <c r="D6743">
        <v>24</v>
      </c>
      <c r="E6743" t="s">
        <v>18</v>
      </c>
      <c r="F6743" t="s">
        <v>25</v>
      </c>
      <c r="G6743" t="s">
        <v>149</v>
      </c>
      <c r="H6743" t="s">
        <v>41</v>
      </c>
      <c r="I6743">
        <v>15288</v>
      </c>
      <c r="J6743">
        <v>18826</v>
      </c>
    </row>
    <row r="6744" spans="1:10" x14ac:dyDescent="0.3">
      <c r="A6744" t="s">
        <v>6871</v>
      </c>
      <c r="B6744" s="1">
        <v>45927</v>
      </c>
      <c r="C6744" t="s">
        <v>38</v>
      </c>
      <c r="D6744">
        <v>39</v>
      </c>
      <c r="E6744" t="s">
        <v>39</v>
      </c>
      <c r="F6744" t="s">
        <v>19</v>
      </c>
      <c r="G6744" t="s">
        <v>102</v>
      </c>
      <c r="H6744" t="s">
        <v>133</v>
      </c>
      <c r="I6744">
        <v>30702</v>
      </c>
      <c r="J6744">
        <v>34002</v>
      </c>
    </row>
    <row r="6745" spans="1:10" x14ac:dyDescent="0.3">
      <c r="A6745" t="s">
        <v>6872</v>
      </c>
      <c r="B6745" s="1">
        <v>45858</v>
      </c>
      <c r="C6745" t="s">
        <v>11</v>
      </c>
      <c r="D6745">
        <v>29</v>
      </c>
      <c r="E6745" t="s">
        <v>18</v>
      </c>
      <c r="F6745" t="s">
        <v>25</v>
      </c>
      <c r="G6745" t="s">
        <v>149</v>
      </c>
      <c r="H6745" t="s">
        <v>155</v>
      </c>
      <c r="I6745">
        <v>27449</v>
      </c>
      <c r="J6745">
        <v>31331</v>
      </c>
    </row>
    <row r="6746" spans="1:10" x14ac:dyDescent="0.3">
      <c r="A6746" t="s">
        <v>6873</v>
      </c>
      <c r="B6746" s="1">
        <v>45764</v>
      </c>
      <c r="C6746" t="s">
        <v>86</v>
      </c>
      <c r="D6746">
        <v>16</v>
      </c>
      <c r="E6746" t="s">
        <v>61</v>
      </c>
      <c r="F6746" t="s">
        <v>13</v>
      </c>
      <c r="G6746" t="s">
        <v>102</v>
      </c>
      <c r="H6746" t="s">
        <v>157</v>
      </c>
      <c r="I6746">
        <v>23388</v>
      </c>
      <c r="J6746">
        <v>29754</v>
      </c>
    </row>
    <row r="6747" spans="1:10" x14ac:dyDescent="0.3">
      <c r="A6747" t="s">
        <v>6874</v>
      </c>
      <c r="B6747" s="1">
        <v>45833</v>
      </c>
      <c r="C6747" t="s">
        <v>74</v>
      </c>
      <c r="D6747">
        <v>26</v>
      </c>
      <c r="E6747" t="s">
        <v>39</v>
      </c>
      <c r="F6747" t="s">
        <v>193</v>
      </c>
      <c r="G6747" t="s">
        <v>234</v>
      </c>
      <c r="H6747" t="s">
        <v>119</v>
      </c>
      <c r="I6747">
        <v>16942</v>
      </c>
      <c r="J6747">
        <v>12751</v>
      </c>
    </row>
    <row r="6748" spans="1:10" x14ac:dyDescent="0.3">
      <c r="A6748" t="s">
        <v>6875</v>
      </c>
      <c r="B6748" s="1">
        <v>45739</v>
      </c>
      <c r="C6748" t="s">
        <v>95</v>
      </c>
      <c r="D6748">
        <v>12</v>
      </c>
      <c r="E6748" t="s">
        <v>61</v>
      </c>
      <c r="F6748" t="s">
        <v>75</v>
      </c>
      <c r="G6748" t="s">
        <v>115</v>
      </c>
      <c r="H6748" t="s">
        <v>48</v>
      </c>
      <c r="I6748">
        <v>23318</v>
      </c>
      <c r="J6748">
        <v>24802</v>
      </c>
    </row>
    <row r="6749" spans="1:10" x14ac:dyDescent="0.3">
      <c r="A6749" t="s">
        <v>6876</v>
      </c>
      <c r="B6749" s="1">
        <v>45681</v>
      </c>
      <c r="C6749" t="s">
        <v>17</v>
      </c>
      <c r="D6749">
        <v>4</v>
      </c>
      <c r="E6749" t="s">
        <v>18</v>
      </c>
      <c r="F6749" t="s">
        <v>13</v>
      </c>
      <c r="G6749" t="s">
        <v>171</v>
      </c>
      <c r="H6749" t="s">
        <v>188</v>
      </c>
      <c r="I6749">
        <v>23753</v>
      </c>
      <c r="J6749">
        <v>23756</v>
      </c>
    </row>
    <row r="6750" spans="1:10" x14ac:dyDescent="0.3">
      <c r="A6750" t="s">
        <v>6877</v>
      </c>
      <c r="B6750" s="1">
        <v>45855</v>
      </c>
      <c r="C6750" t="s">
        <v>11</v>
      </c>
      <c r="D6750">
        <v>29</v>
      </c>
      <c r="E6750" t="s">
        <v>70</v>
      </c>
      <c r="F6750" t="s">
        <v>193</v>
      </c>
      <c r="G6750" t="s">
        <v>14</v>
      </c>
      <c r="H6750" t="s">
        <v>36</v>
      </c>
      <c r="I6750">
        <v>36125</v>
      </c>
      <c r="J6750">
        <v>32841</v>
      </c>
    </row>
    <row r="6751" spans="1:10" x14ac:dyDescent="0.3">
      <c r="A6751" t="s">
        <v>6878</v>
      </c>
      <c r="B6751" s="1">
        <v>46010</v>
      </c>
      <c r="C6751" t="s">
        <v>100</v>
      </c>
      <c r="D6751">
        <v>51</v>
      </c>
      <c r="E6751" t="s">
        <v>18</v>
      </c>
      <c r="F6751" t="s">
        <v>46</v>
      </c>
      <c r="G6751" t="s">
        <v>206</v>
      </c>
      <c r="H6751" t="s">
        <v>188</v>
      </c>
      <c r="I6751">
        <v>26763</v>
      </c>
      <c r="J6751">
        <v>31001</v>
      </c>
    </row>
    <row r="6752" spans="1:10" x14ac:dyDescent="0.3">
      <c r="A6752" t="s">
        <v>6879</v>
      </c>
      <c r="B6752" s="1">
        <v>45858</v>
      </c>
      <c r="C6752" t="s">
        <v>11</v>
      </c>
      <c r="D6752">
        <v>29</v>
      </c>
      <c r="E6752" t="s">
        <v>70</v>
      </c>
      <c r="F6752" t="s">
        <v>78</v>
      </c>
      <c r="G6752" t="s">
        <v>35</v>
      </c>
      <c r="H6752" t="s">
        <v>80</v>
      </c>
      <c r="I6752">
        <v>20076</v>
      </c>
      <c r="J6752">
        <v>16025</v>
      </c>
    </row>
    <row r="6753" spans="1:10" x14ac:dyDescent="0.3">
      <c r="A6753" t="s">
        <v>6880</v>
      </c>
      <c r="B6753" s="1">
        <v>45777</v>
      </c>
      <c r="C6753" t="s">
        <v>86</v>
      </c>
      <c r="D6753">
        <v>18</v>
      </c>
      <c r="E6753" t="s">
        <v>24</v>
      </c>
      <c r="F6753" t="s">
        <v>92</v>
      </c>
      <c r="G6753" t="s">
        <v>291</v>
      </c>
      <c r="H6753" t="s">
        <v>133</v>
      </c>
      <c r="I6753">
        <v>15415</v>
      </c>
      <c r="J6753">
        <v>17736</v>
      </c>
    </row>
    <row r="6754" spans="1:10" x14ac:dyDescent="0.3">
      <c r="A6754" t="s">
        <v>6881</v>
      </c>
      <c r="B6754" s="1">
        <v>45707</v>
      </c>
      <c r="C6754" t="s">
        <v>82</v>
      </c>
      <c r="D6754">
        <v>8</v>
      </c>
      <c r="E6754" t="s">
        <v>18</v>
      </c>
      <c r="F6754" t="s">
        <v>92</v>
      </c>
      <c r="G6754" t="s">
        <v>115</v>
      </c>
      <c r="H6754" t="s">
        <v>27</v>
      </c>
      <c r="I6754">
        <v>24316</v>
      </c>
      <c r="J6754">
        <v>29414</v>
      </c>
    </row>
    <row r="6755" spans="1:10" x14ac:dyDescent="0.3">
      <c r="A6755" t="s">
        <v>6882</v>
      </c>
      <c r="B6755" s="1">
        <v>45788</v>
      </c>
      <c r="C6755" t="s">
        <v>90</v>
      </c>
      <c r="D6755">
        <v>19</v>
      </c>
      <c r="E6755" t="s">
        <v>18</v>
      </c>
      <c r="F6755" t="s">
        <v>114</v>
      </c>
      <c r="G6755" t="s">
        <v>47</v>
      </c>
      <c r="H6755" t="s">
        <v>243</v>
      </c>
      <c r="I6755">
        <v>17370</v>
      </c>
      <c r="J6755">
        <v>22244</v>
      </c>
    </row>
    <row r="6756" spans="1:10" x14ac:dyDescent="0.3">
      <c r="A6756" t="s">
        <v>6883</v>
      </c>
      <c r="B6756" s="1">
        <v>45749</v>
      </c>
      <c r="C6756" t="s">
        <v>86</v>
      </c>
      <c r="D6756">
        <v>14</v>
      </c>
      <c r="E6756" t="s">
        <v>61</v>
      </c>
      <c r="F6756" t="s">
        <v>193</v>
      </c>
      <c r="G6756" t="s">
        <v>240</v>
      </c>
      <c r="H6756" t="s">
        <v>116</v>
      </c>
      <c r="I6756">
        <v>38610</v>
      </c>
      <c r="J6756">
        <v>38062</v>
      </c>
    </row>
    <row r="6757" spans="1:10" x14ac:dyDescent="0.3">
      <c r="A6757" t="s">
        <v>6884</v>
      </c>
      <c r="B6757" s="1">
        <v>45937</v>
      </c>
      <c r="C6757" t="s">
        <v>66</v>
      </c>
      <c r="D6757">
        <v>41</v>
      </c>
      <c r="E6757" t="s">
        <v>33</v>
      </c>
      <c r="F6757" t="s">
        <v>13</v>
      </c>
      <c r="G6757" t="s">
        <v>115</v>
      </c>
      <c r="H6757" t="s">
        <v>36</v>
      </c>
      <c r="I6757">
        <v>24902</v>
      </c>
      <c r="J6757">
        <v>32311</v>
      </c>
    </row>
    <row r="6758" spans="1:10" x14ac:dyDescent="0.3">
      <c r="A6758" t="s">
        <v>6885</v>
      </c>
      <c r="B6758" s="1">
        <v>45956</v>
      </c>
      <c r="C6758" t="s">
        <v>66</v>
      </c>
      <c r="D6758">
        <v>43</v>
      </c>
      <c r="E6758" t="s">
        <v>70</v>
      </c>
      <c r="F6758" t="s">
        <v>29</v>
      </c>
      <c r="G6758" t="s">
        <v>54</v>
      </c>
      <c r="H6758" t="s">
        <v>123</v>
      </c>
      <c r="I6758">
        <v>19003</v>
      </c>
      <c r="J6758">
        <v>23365</v>
      </c>
    </row>
    <row r="6759" spans="1:10" x14ac:dyDescent="0.3">
      <c r="A6759" t="s">
        <v>6886</v>
      </c>
      <c r="B6759" s="1">
        <v>45899</v>
      </c>
      <c r="C6759" t="s">
        <v>113</v>
      </c>
      <c r="D6759">
        <v>35</v>
      </c>
      <c r="E6759" t="s">
        <v>33</v>
      </c>
      <c r="F6759" t="s">
        <v>140</v>
      </c>
      <c r="G6759" t="s">
        <v>145</v>
      </c>
      <c r="H6759" t="s">
        <v>27</v>
      </c>
      <c r="I6759">
        <v>19310</v>
      </c>
      <c r="J6759">
        <v>24523</v>
      </c>
    </row>
    <row r="6760" spans="1:10" x14ac:dyDescent="0.3">
      <c r="A6760" t="s">
        <v>6887</v>
      </c>
      <c r="B6760" s="1">
        <v>45767</v>
      </c>
      <c r="C6760" t="s">
        <v>86</v>
      </c>
      <c r="D6760">
        <v>16</v>
      </c>
      <c r="E6760" t="s">
        <v>12</v>
      </c>
      <c r="F6760" t="s">
        <v>57</v>
      </c>
      <c r="G6760" t="s">
        <v>58</v>
      </c>
      <c r="H6760" t="s">
        <v>68</v>
      </c>
      <c r="I6760">
        <v>26304</v>
      </c>
      <c r="J6760">
        <v>29332</v>
      </c>
    </row>
    <row r="6761" spans="1:10" x14ac:dyDescent="0.3">
      <c r="A6761" t="s">
        <v>6888</v>
      </c>
      <c r="B6761" s="1">
        <v>45684</v>
      </c>
      <c r="C6761" t="s">
        <v>17</v>
      </c>
      <c r="D6761">
        <v>5</v>
      </c>
      <c r="E6761" t="s">
        <v>24</v>
      </c>
      <c r="F6761" t="s">
        <v>43</v>
      </c>
      <c r="G6761" t="s">
        <v>63</v>
      </c>
      <c r="H6761" t="s">
        <v>165</v>
      </c>
      <c r="I6761">
        <v>39609</v>
      </c>
      <c r="J6761">
        <v>36733</v>
      </c>
    </row>
    <row r="6762" spans="1:10" x14ac:dyDescent="0.3">
      <c r="A6762" t="s">
        <v>6889</v>
      </c>
      <c r="B6762" s="1">
        <v>45761</v>
      </c>
      <c r="C6762" t="s">
        <v>86</v>
      </c>
      <c r="D6762">
        <v>16</v>
      </c>
      <c r="E6762" t="s">
        <v>39</v>
      </c>
      <c r="F6762" t="s">
        <v>140</v>
      </c>
      <c r="G6762" t="s">
        <v>88</v>
      </c>
      <c r="H6762" t="s">
        <v>80</v>
      </c>
      <c r="I6762">
        <v>20265</v>
      </c>
      <c r="J6762">
        <v>24308</v>
      </c>
    </row>
    <row r="6763" spans="1:10" x14ac:dyDescent="0.3">
      <c r="A6763" t="s">
        <v>6890</v>
      </c>
      <c r="B6763" s="1">
        <v>45946</v>
      </c>
      <c r="C6763" t="s">
        <v>66</v>
      </c>
      <c r="D6763">
        <v>42</v>
      </c>
      <c r="E6763" t="s">
        <v>24</v>
      </c>
      <c r="F6763" t="s">
        <v>57</v>
      </c>
      <c r="G6763" t="s">
        <v>132</v>
      </c>
      <c r="H6763" t="s">
        <v>163</v>
      </c>
      <c r="I6763">
        <v>30871</v>
      </c>
      <c r="J6763">
        <v>22333</v>
      </c>
    </row>
    <row r="6764" spans="1:10" x14ac:dyDescent="0.3">
      <c r="A6764" t="s">
        <v>6891</v>
      </c>
      <c r="B6764" s="1">
        <v>46019</v>
      </c>
      <c r="C6764" t="s">
        <v>100</v>
      </c>
      <c r="D6764">
        <v>52</v>
      </c>
      <c r="E6764" t="s">
        <v>12</v>
      </c>
      <c r="F6764" t="s">
        <v>50</v>
      </c>
      <c r="G6764" t="s">
        <v>35</v>
      </c>
      <c r="H6764" t="s">
        <v>15</v>
      </c>
      <c r="I6764">
        <v>35898</v>
      </c>
      <c r="J6764">
        <v>37592</v>
      </c>
    </row>
    <row r="6765" spans="1:10" x14ac:dyDescent="0.3">
      <c r="A6765" t="s">
        <v>6892</v>
      </c>
      <c r="B6765" s="1">
        <v>45823</v>
      </c>
      <c r="C6765" t="s">
        <v>74</v>
      </c>
      <c r="D6765">
        <v>24</v>
      </c>
      <c r="E6765" t="s">
        <v>61</v>
      </c>
      <c r="F6765" t="s">
        <v>57</v>
      </c>
      <c r="G6765" t="s">
        <v>58</v>
      </c>
      <c r="H6765" t="s">
        <v>27</v>
      </c>
      <c r="I6765">
        <v>20406</v>
      </c>
      <c r="J6765">
        <v>25726</v>
      </c>
    </row>
    <row r="6766" spans="1:10" x14ac:dyDescent="0.3">
      <c r="A6766" t="s">
        <v>6893</v>
      </c>
      <c r="B6766" s="1">
        <v>45750</v>
      </c>
      <c r="C6766" t="s">
        <v>86</v>
      </c>
      <c r="D6766">
        <v>14</v>
      </c>
      <c r="E6766" t="s">
        <v>61</v>
      </c>
      <c r="F6766" t="s">
        <v>50</v>
      </c>
      <c r="G6766" t="s">
        <v>67</v>
      </c>
      <c r="H6766" t="s">
        <v>55</v>
      </c>
      <c r="I6766">
        <v>15048</v>
      </c>
      <c r="J6766">
        <v>13483</v>
      </c>
    </row>
    <row r="6767" spans="1:10" x14ac:dyDescent="0.3">
      <c r="A6767" t="s">
        <v>6894</v>
      </c>
      <c r="B6767" s="1">
        <v>45701</v>
      </c>
      <c r="C6767" t="s">
        <v>82</v>
      </c>
      <c r="D6767">
        <v>7</v>
      </c>
      <c r="E6767" t="s">
        <v>12</v>
      </c>
      <c r="F6767" t="s">
        <v>29</v>
      </c>
      <c r="G6767" t="s">
        <v>76</v>
      </c>
      <c r="H6767" t="s">
        <v>103</v>
      </c>
      <c r="I6767">
        <v>39519</v>
      </c>
      <c r="J6767">
        <v>28275</v>
      </c>
    </row>
    <row r="6768" spans="1:10" x14ac:dyDescent="0.3">
      <c r="A6768" t="s">
        <v>6895</v>
      </c>
      <c r="B6768" s="1">
        <v>45809</v>
      </c>
      <c r="C6768" t="s">
        <v>74</v>
      </c>
      <c r="D6768">
        <v>22</v>
      </c>
      <c r="E6768" t="s">
        <v>39</v>
      </c>
      <c r="F6768" t="s">
        <v>57</v>
      </c>
      <c r="G6768" t="s">
        <v>130</v>
      </c>
      <c r="H6768" t="s">
        <v>163</v>
      </c>
      <c r="I6768">
        <v>28576</v>
      </c>
      <c r="J6768">
        <v>33348</v>
      </c>
    </row>
    <row r="6769" spans="1:10" x14ac:dyDescent="0.3">
      <c r="A6769" t="s">
        <v>6896</v>
      </c>
      <c r="B6769" s="1">
        <v>46003</v>
      </c>
      <c r="C6769" t="s">
        <v>100</v>
      </c>
      <c r="D6769">
        <v>50</v>
      </c>
      <c r="E6769" t="s">
        <v>61</v>
      </c>
      <c r="F6769" t="s">
        <v>13</v>
      </c>
      <c r="G6769" t="s">
        <v>201</v>
      </c>
      <c r="H6769" t="s">
        <v>15</v>
      </c>
      <c r="I6769">
        <v>31172</v>
      </c>
      <c r="J6769">
        <v>24717</v>
      </c>
    </row>
    <row r="6770" spans="1:10" x14ac:dyDescent="0.3">
      <c r="A6770" t="s">
        <v>6897</v>
      </c>
      <c r="B6770" s="1">
        <v>45815</v>
      </c>
      <c r="C6770" t="s">
        <v>74</v>
      </c>
      <c r="D6770">
        <v>23</v>
      </c>
      <c r="E6770" t="s">
        <v>39</v>
      </c>
      <c r="F6770" t="s">
        <v>19</v>
      </c>
      <c r="G6770" t="s">
        <v>54</v>
      </c>
      <c r="H6770" t="s">
        <v>119</v>
      </c>
      <c r="I6770">
        <v>29177</v>
      </c>
      <c r="J6770">
        <v>37597</v>
      </c>
    </row>
    <row r="6771" spans="1:10" x14ac:dyDescent="0.3">
      <c r="A6771" t="s">
        <v>6898</v>
      </c>
      <c r="B6771" s="1">
        <v>45867</v>
      </c>
      <c r="C6771" t="s">
        <v>11</v>
      </c>
      <c r="D6771">
        <v>31</v>
      </c>
      <c r="E6771" t="s">
        <v>24</v>
      </c>
      <c r="F6771" t="s">
        <v>78</v>
      </c>
      <c r="G6771" t="s">
        <v>76</v>
      </c>
      <c r="H6771" t="s">
        <v>155</v>
      </c>
      <c r="I6771">
        <v>23239</v>
      </c>
      <c r="J6771">
        <v>29954</v>
      </c>
    </row>
    <row r="6772" spans="1:10" x14ac:dyDescent="0.3">
      <c r="A6772" t="s">
        <v>6899</v>
      </c>
      <c r="B6772" s="1">
        <v>45680</v>
      </c>
      <c r="C6772" t="s">
        <v>17</v>
      </c>
      <c r="D6772">
        <v>4</v>
      </c>
      <c r="E6772" t="s">
        <v>61</v>
      </c>
      <c r="F6772" t="s">
        <v>29</v>
      </c>
      <c r="G6772" t="s">
        <v>201</v>
      </c>
      <c r="H6772" t="s">
        <v>151</v>
      </c>
      <c r="I6772">
        <v>20111</v>
      </c>
      <c r="J6772">
        <v>16025</v>
      </c>
    </row>
    <row r="6773" spans="1:10" x14ac:dyDescent="0.3">
      <c r="A6773" t="s">
        <v>6900</v>
      </c>
      <c r="B6773" s="1">
        <v>45872</v>
      </c>
      <c r="C6773" t="s">
        <v>113</v>
      </c>
      <c r="D6773">
        <v>31</v>
      </c>
      <c r="E6773" t="s">
        <v>12</v>
      </c>
      <c r="F6773" t="s">
        <v>34</v>
      </c>
      <c r="G6773" t="s">
        <v>191</v>
      </c>
      <c r="H6773" t="s">
        <v>98</v>
      </c>
      <c r="I6773">
        <v>39051</v>
      </c>
      <c r="J6773">
        <v>36692</v>
      </c>
    </row>
    <row r="6774" spans="1:10" x14ac:dyDescent="0.3">
      <c r="A6774" t="s">
        <v>6901</v>
      </c>
      <c r="B6774" s="1">
        <v>46012</v>
      </c>
      <c r="C6774" t="s">
        <v>100</v>
      </c>
      <c r="D6774">
        <v>51</v>
      </c>
      <c r="E6774" t="s">
        <v>12</v>
      </c>
      <c r="F6774" t="s">
        <v>46</v>
      </c>
      <c r="G6774" t="s">
        <v>107</v>
      </c>
      <c r="H6774" t="s">
        <v>21</v>
      </c>
      <c r="I6774">
        <v>33836</v>
      </c>
      <c r="J6774">
        <v>39193</v>
      </c>
    </row>
    <row r="6775" spans="1:10" x14ac:dyDescent="0.3">
      <c r="A6775" t="s">
        <v>6902</v>
      </c>
      <c r="B6775" s="1">
        <v>45712</v>
      </c>
      <c r="C6775" t="s">
        <v>82</v>
      </c>
      <c r="D6775">
        <v>9</v>
      </c>
      <c r="E6775" t="s">
        <v>61</v>
      </c>
      <c r="F6775" t="s">
        <v>46</v>
      </c>
      <c r="G6775" t="s">
        <v>182</v>
      </c>
      <c r="H6775" t="s">
        <v>211</v>
      </c>
      <c r="I6775">
        <v>18165</v>
      </c>
      <c r="J6775">
        <v>13490</v>
      </c>
    </row>
    <row r="6776" spans="1:10" x14ac:dyDescent="0.3">
      <c r="A6776" t="s">
        <v>6903</v>
      </c>
      <c r="B6776" s="1">
        <v>45995</v>
      </c>
      <c r="C6776" t="s">
        <v>100</v>
      </c>
      <c r="D6776">
        <v>49</v>
      </c>
      <c r="E6776" t="s">
        <v>12</v>
      </c>
      <c r="F6776" t="s">
        <v>13</v>
      </c>
      <c r="G6776" t="s">
        <v>224</v>
      </c>
      <c r="H6776" t="s">
        <v>48</v>
      </c>
      <c r="I6776">
        <v>21457</v>
      </c>
      <c r="J6776">
        <v>18719</v>
      </c>
    </row>
    <row r="6777" spans="1:10" x14ac:dyDescent="0.3">
      <c r="A6777" t="s">
        <v>6904</v>
      </c>
      <c r="B6777" s="1">
        <v>45724</v>
      </c>
      <c r="C6777" t="s">
        <v>95</v>
      </c>
      <c r="D6777">
        <v>10</v>
      </c>
      <c r="E6777" t="s">
        <v>39</v>
      </c>
      <c r="F6777" t="s">
        <v>43</v>
      </c>
      <c r="G6777" t="s">
        <v>137</v>
      </c>
      <c r="H6777" t="s">
        <v>98</v>
      </c>
      <c r="I6777">
        <v>32074</v>
      </c>
      <c r="J6777">
        <v>29726</v>
      </c>
    </row>
    <row r="6778" spans="1:10" x14ac:dyDescent="0.3">
      <c r="A6778" t="s">
        <v>6905</v>
      </c>
      <c r="B6778" s="1">
        <v>45990</v>
      </c>
      <c r="C6778" t="s">
        <v>23</v>
      </c>
      <c r="D6778">
        <v>48</v>
      </c>
      <c r="E6778" t="s">
        <v>39</v>
      </c>
      <c r="F6778" t="s">
        <v>109</v>
      </c>
      <c r="G6778" t="s">
        <v>118</v>
      </c>
      <c r="H6778" t="s">
        <v>48</v>
      </c>
      <c r="I6778">
        <v>16694</v>
      </c>
      <c r="J6778">
        <v>12567</v>
      </c>
    </row>
    <row r="6779" spans="1:10" x14ac:dyDescent="0.3">
      <c r="A6779" t="s">
        <v>6906</v>
      </c>
      <c r="B6779" s="1">
        <v>45746</v>
      </c>
      <c r="C6779" t="s">
        <v>95</v>
      </c>
      <c r="D6779">
        <v>13</v>
      </c>
      <c r="E6779" t="s">
        <v>24</v>
      </c>
      <c r="F6779" t="s">
        <v>78</v>
      </c>
      <c r="G6779" t="s">
        <v>115</v>
      </c>
      <c r="H6779" t="s">
        <v>41</v>
      </c>
      <c r="I6779">
        <v>32347</v>
      </c>
      <c r="J6779">
        <v>39136</v>
      </c>
    </row>
    <row r="6780" spans="1:10" x14ac:dyDescent="0.3">
      <c r="A6780" t="s">
        <v>6907</v>
      </c>
      <c r="B6780" s="1">
        <v>45662</v>
      </c>
      <c r="C6780" t="s">
        <v>17</v>
      </c>
      <c r="D6780">
        <v>1</v>
      </c>
      <c r="E6780" t="s">
        <v>39</v>
      </c>
      <c r="F6780" t="s">
        <v>75</v>
      </c>
      <c r="G6780" t="s">
        <v>191</v>
      </c>
      <c r="H6780" t="s">
        <v>133</v>
      </c>
      <c r="I6780">
        <v>35896</v>
      </c>
      <c r="J6780">
        <v>40625</v>
      </c>
    </row>
    <row r="6781" spans="1:10" x14ac:dyDescent="0.3">
      <c r="A6781" t="s">
        <v>6908</v>
      </c>
      <c r="B6781" s="1">
        <v>45793</v>
      </c>
      <c r="C6781" t="s">
        <v>90</v>
      </c>
      <c r="D6781">
        <v>20</v>
      </c>
      <c r="E6781" t="s">
        <v>12</v>
      </c>
      <c r="F6781" t="s">
        <v>78</v>
      </c>
      <c r="G6781" t="s">
        <v>240</v>
      </c>
      <c r="H6781" t="s">
        <v>48</v>
      </c>
      <c r="I6781">
        <v>15051</v>
      </c>
      <c r="J6781">
        <v>16743</v>
      </c>
    </row>
    <row r="6782" spans="1:10" x14ac:dyDescent="0.3">
      <c r="A6782" t="s">
        <v>6909</v>
      </c>
      <c r="B6782" s="1">
        <v>46006</v>
      </c>
      <c r="C6782" t="s">
        <v>100</v>
      </c>
      <c r="D6782">
        <v>51</v>
      </c>
      <c r="E6782" t="s">
        <v>18</v>
      </c>
      <c r="F6782" t="s">
        <v>101</v>
      </c>
      <c r="G6782" t="s">
        <v>126</v>
      </c>
      <c r="H6782" t="s">
        <v>41</v>
      </c>
      <c r="I6782">
        <v>19662</v>
      </c>
      <c r="J6782">
        <v>19326</v>
      </c>
    </row>
    <row r="6783" spans="1:10" x14ac:dyDescent="0.3">
      <c r="A6783" t="s">
        <v>6910</v>
      </c>
      <c r="B6783" s="1">
        <v>45916</v>
      </c>
      <c r="C6783" t="s">
        <v>38</v>
      </c>
      <c r="D6783">
        <v>38</v>
      </c>
      <c r="E6783" t="s">
        <v>39</v>
      </c>
      <c r="F6783" t="s">
        <v>43</v>
      </c>
      <c r="G6783" t="s">
        <v>58</v>
      </c>
      <c r="H6783" t="s">
        <v>157</v>
      </c>
      <c r="I6783">
        <v>36918</v>
      </c>
      <c r="J6783">
        <v>45207</v>
      </c>
    </row>
    <row r="6784" spans="1:10" x14ac:dyDescent="0.3">
      <c r="A6784" t="s">
        <v>6911</v>
      </c>
      <c r="B6784" s="1">
        <v>45858</v>
      </c>
      <c r="C6784" t="s">
        <v>11</v>
      </c>
      <c r="D6784">
        <v>29</v>
      </c>
      <c r="E6784" t="s">
        <v>24</v>
      </c>
      <c r="F6784" t="s">
        <v>87</v>
      </c>
      <c r="G6784" t="s">
        <v>224</v>
      </c>
      <c r="H6784" t="s">
        <v>188</v>
      </c>
      <c r="I6784">
        <v>21517</v>
      </c>
      <c r="J6784">
        <v>19795</v>
      </c>
    </row>
    <row r="6785" spans="1:10" x14ac:dyDescent="0.3">
      <c r="A6785" t="s">
        <v>6912</v>
      </c>
      <c r="B6785" s="1">
        <v>45769</v>
      </c>
      <c r="C6785" t="s">
        <v>86</v>
      </c>
      <c r="D6785">
        <v>17</v>
      </c>
      <c r="E6785" t="s">
        <v>33</v>
      </c>
      <c r="F6785" t="s">
        <v>25</v>
      </c>
      <c r="G6785" t="s">
        <v>79</v>
      </c>
      <c r="H6785" t="s">
        <v>133</v>
      </c>
      <c r="I6785">
        <v>27244</v>
      </c>
      <c r="J6785">
        <v>25614</v>
      </c>
    </row>
    <row r="6786" spans="1:10" x14ac:dyDescent="0.3">
      <c r="A6786" t="s">
        <v>6913</v>
      </c>
      <c r="B6786" s="1">
        <v>45988</v>
      </c>
      <c r="C6786" t="s">
        <v>23</v>
      </c>
      <c r="D6786">
        <v>48</v>
      </c>
      <c r="E6786" t="s">
        <v>24</v>
      </c>
      <c r="F6786" t="s">
        <v>43</v>
      </c>
      <c r="G6786" t="s">
        <v>118</v>
      </c>
      <c r="H6786" t="s">
        <v>15</v>
      </c>
      <c r="I6786">
        <v>15917</v>
      </c>
      <c r="J6786">
        <v>12147</v>
      </c>
    </row>
    <row r="6787" spans="1:10" x14ac:dyDescent="0.3">
      <c r="A6787" t="s">
        <v>6914</v>
      </c>
      <c r="B6787" s="1">
        <v>45714</v>
      </c>
      <c r="C6787" t="s">
        <v>82</v>
      </c>
      <c r="D6787">
        <v>9</v>
      </c>
      <c r="E6787" t="s">
        <v>24</v>
      </c>
      <c r="F6787" t="s">
        <v>19</v>
      </c>
      <c r="G6787" t="s">
        <v>35</v>
      </c>
      <c r="H6787" t="s">
        <v>111</v>
      </c>
      <c r="I6787">
        <v>35144</v>
      </c>
      <c r="J6787">
        <v>41019</v>
      </c>
    </row>
    <row r="6788" spans="1:10" x14ac:dyDescent="0.3">
      <c r="A6788" t="s">
        <v>6915</v>
      </c>
      <c r="B6788" s="1">
        <v>45911</v>
      </c>
      <c r="C6788" t="s">
        <v>38</v>
      </c>
      <c r="D6788">
        <v>37</v>
      </c>
      <c r="E6788" t="s">
        <v>70</v>
      </c>
      <c r="F6788" t="s">
        <v>62</v>
      </c>
      <c r="G6788" t="s">
        <v>47</v>
      </c>
      <c r="H6788" t="s">
        <v>119</v>
      </c>
      <c r="I6788">
        <v>29248</v>
      </c>
      <c r="J6788">
        <v>28632</v>
      </c>
    </row>
    <row r="6789" spans="1:10" x14ac:dyDescent="0.3">
      <c r="A6789" t="s">
        <v>6916</v>
      </c>
      <c r="B6789" s="1">
        <v>45718</v>
      </c>
      <c r="C6789" t="s">
        <v>95</v>
      </c>
      <c r="D6789">
        <v>9</v>
      </c>
      <c r="E6789" t="s">
        <v>24</v>
      </c>
      <c r="F6789" t="s">
        <v>122</v>
      </c>
      <c r="G6789" t="s">
        <v>145</v>
      </c>
      <c r="H6789" t="s">
        <v>163</v>
      </c>
      <c r="I6789">
        <v>30123</v>
      </c>
      <c r="J6789">
        <v>33632</v>
      </c>
    </row>
    <row r="6790" spans="1:10" x14ac:dyDescent="0.3">
      <c r="A6790" t="s">
        <v>6917</v>
      </c>
      <c r="B6790" s="1">
        <v>45887</v>
      </c>
      <c r="C6790" t="s">
        <v>113</v>
      </c>
      <c r="D6790">
        <v>34</v>
      </c>
      <c r="E6790" t="s">
        <v>39</v>
      </c>
      <c r="F6790" t="s">
        <v>46</v>
      </c>
      <c r="G6790" t="s">
        <v>128</v>
      </c>
      <c r="H6790" t="s">
        <v>68</v>
      </c>
      <c r="I6790">
        <v>37219</v>
      </c>
      <c r="J6790">
        <v>45958</v>
      </c>
    </row>
    <row r="6791" spans="1:10" x14ac:dyDescent="0.3">
      <c r="A6791" t="s">
        <v>6918</v>
      </c>
      <c r="B6791" s="1">
        <v>46011</v>
      </c>
      <c r="C6791" t="s">
        <v>100</v>
      </c>
      <c r="D6791">
        <v>51</v>
      </c>
      <c r="E6791" t="s">
        <v>39</v>
      </c>
      <c r="F6791" t="s">
        <v>87</v>
      </c>
      <c r="G6791" t="s">
        <v>118</v>
      </c>
      <c r="H6791" t="s">
        <v>48</v>
      </c>
      <c r="I6791">
        <v>26669</v>
      </c>
      <c r="J6791">
        <v>25133</v>
      </c>
    </row>
    <row r="6792" spans="1:10" x14ac:dyDescent="0.3">
      <c r="A6792" t="s">
        <v>6919</v>
      </c>
      <c r="B6792" s="1">
        <v>45668</v>
      </c>
      <c r="C6792" t="s">
        <v>17</v>
      </c>
      <c r="D6792">
        <v>2</v>
      </c>
      <c r="E6792" t="s">
        <v>61</v>
      </c>
      <c r="F6792" t="s">
        <v>34</v>
      </c>
      <c r="G6792" t="s">
        <v>128</v>
      </c>
      <c r="H6792" t="s">
        <v>64</v>
      </c>
      <c r="I6792">
        <v>37856</v>
      </c>
      <c r="J6792">
        <v>34051</v>
      </c>
    </row>
    <row r="6793" spans="1:10" x14ac:dyDescent="0.3">
      <c r="A6793" t="s">
        <v>6920</v>
      </c>
      <c r="B6793" s="1">
        <v>45902</v>
      </c>
      <c r="C6793" t="s">
        <v>38</v>
      </c>
      <c r="D6793">
        <v>36</v>
      </c>
      <c r="E6793" t="s">
        <v>61</v>
      </c>
      <c r="F6793" t="s">
        <v>29</v>
      </c>
      <c r="G6793" t="s">
        <v>141</v>
      </c>
      <c r="H6793" t="s">
        <v>80</v>
      </c>
      <c r="I6793">
        <v>34630</v>
      </c>
      <c r="J6793">
        <v>29862</v>
      </c>
    </row>
    <row r="6794" spans="1:10" x14ac:dyDescent="0.3">
      <c r="A6794" t="s">
        <v>6921</v>
      </c>
      <c r="B6794" s="1">
        <v>45829</v>
      </c>
      <c r="C6794" t="s">
        <v>74</v>
      </c>
      <c r="D6794">
        <v>25</v>
      </c>
      <c r="E6794" t="s">
        <v>33</v>
      </c>
      <c r="F6794" t="s">
        <v>34</v>
      </c>
      <c r="G6794" t="s">
        <v>35</v>
      </c>
      <c r="H6794" t="s">
        <v>123</v>
      </c>
      <c r="I6794">
        <v>24080</v>
      </c>
      <c r="J6794">
        <v>17030</v>
      </c>
    </row>
    <row r="6795" spans="1:10" x14ac:dyDescent="0.3">
      <c r="A6795" t="s">
        <v>6922</v>
      </c>
      <c r="B6795" s="1">
        <v>45980</v>
      </c>
      <c r="C6795" t="s">
        <v>23</v>
      </c>
      <c r="D6795">
        <v>47</v>
      </c>
      <c r="E6795" t="s">
        <v>33</v>
      </c>
      <c r="F6795" t="s">
        <v>109</v>
      </c>
      <c r="G6795" t="s">
        <v>72</v>
      </c>
      <c r="H6795" t="s">
        <v>188</v>
      </c>
      <c r="I6795">
        <v>26997</v>
      </c>
      <c r="J6795">
        <v>26285</v>
      </c>
    </row>
    <row r="6796" spans="1:10" x14ac:dyDescent="0.3">
      <c r="A6796" t="s">
        <v>6923</v>
      </c>
      <c r="B6796" s="1">
        <v>45926</v>
      </c>
      <c r="C6796" t="s">
        <v>38</v>
      </c>
      <c r="D6796">
        <v>39</v>
      </c>
      <c r="E6796" t="s">
        <v>12</v>
      </c>
      <c r="F6796" t="s">
        <v>101</v>
      </c>
      <c r="G6796" t="s">
        <v>63</v>
      </c>
      <c r="H6796" t="s">
        <v>36</v>
      </c>
      <c r="I6796">
        <v>21786</v>
      </c>
      <c r="J6796">
        <v>20458</v>
      </c>
    </row>
    <row r="6797" spans="1:10" x14ac:dyDescent="0.3">
      <c r="A6797" t="s">
        <v>6924</v>
      </c>
      <c r="B6797" s="1">
        <v>45697</v>
      </c>
      <c r="C6797" t="s">
        <v>82</v>
      </c>
      <c r="D6797">
        <v>6</v>
      </c>
      <c r="E6797" t="s">
        <v>33</v>
      </c>
      <c r="F6797" t="s">
        <v>109</v>
      </c>
      <c r="G6797" t="s">
        <v>20</v>
      </c>
      <c r="H6797" t="s">
        <v>116</v>
      </c>
      <c r="I6797">
        <v>37101</v>
      </c>
      <c r="J6797">
        <v>46295</v>
      </c>
    </row>
    <row r="6798" spans="1:10" x14ac:dyDescent="0.3">
      <c r="A6798" t="s">
        <v>6925</v>
      </c>
      <c r="B6798" s="1">
        <v>45860</v>
      </c>
      <c r="C6798" t="s">
        <v>11</v>
      </c>
      <c r="D6798">
        <v>30</v>
      </c>
      <c r="E6798" t="s">
        <v>70</v>
      </c>
      <c r="F6798" t="s">
        <v>46</v>
      </c>
      <c r="G6798" t="s">
        <v>118</v>
      </c>
      <c r="H6798" t="s">
        <v>243</v>
      </c>
      <c r="I6798">
        <v>20519</v>
      </c>
      <c r="J6798">
        <v>16919</v>
      </c>
    </row>
    <row r="6799" spans="1:10" x14ac:dyDescent="0.3">
      <c r="A6799" t="s">
        <v>6926</v>
      </c>
      <c r="B6799" s="1">
        <v>46010</v>
      </c>
      <c r="C6799" t="s">
        <v>100</v>
      </c>
      <c r="D6799">
        <v>51</v>
      </c>
      <c r="E6799" t="s">
        <v>24</v>
      </c>
      <c r="F6799" t="s">
        <v>50</v>
      </c>
      <c r="G6799" t="s">
        <v>54</v>
      </c>
      <c r="H6799" t="s">
        <v>21</v>
      </c>
      <c r="I6799">
        <v>27831</v>
      </c>
      <c r="J6799">
        <v>27995</v>
      </c>
    </row>
    <row r="6800" spans="1:10" x14ac:dyDescent="0.3">
      <c r="A6800" t="s">
        <v>6927</v>
      </c>
      <c r="B6800" s="1">
        <v>45929</v>
      </c>
      <c r="C6800" t="s">
        <v>38</v>
      </c>
      <c r="D6800">
        <v>40</v>
      </c>
      <c r="E6800" t="s">
        <v>24</v>
      </c>
      <c r="F6800" t="s">
        <v>29</v>
      </c>
      <c r="G6800" t="s">
        <v>266</v>
      </c>
      <c r="H6800" t="s">
        <v>116</v>
      </c>
      <c r="I6800">
        <v>38704</v>
      </c>
      <c r="J6800">
        <v>32941</v>
      </c>
    </row>
    <row r="6801" spans="1:10" x14ac:dyDescent="0.3">
      <c r="A6801" t="s">
        <v>6928</v>
      </c>
      <c r="B6801" s="1">
        <v>45851</v>
      </c>
      <c r="C6801" t="s">
        <v>11</v>
      </c>
      <c r="D6801">
        <v>28</v>
      </c>
      <c r="E6801" t="s">
        <v>70</v>
      </c>
      <c r="F6801" t="s">
        <v>114</v>
      </c>
      <c r="G6801" t="s">
        <v>130</v>
      </c>
      <c r="H6801" t="s">
        <v>59</v>
      </c>
      <c r="I6801">
        <v>26646</v>
      </c>
      <c r="J6801">
        <v>21552</v>
      </c>
    </row>
    <row r="6802" spans="1:10" x14ac:dyDescent="0.3">
      <c r="A6802" t="s">
        <v>6929</v>
      </c>
      <c r="B6802" s="1">
        <v>45665</v>
      </c>
      <c r="C6802" t="s">
        <v>17</v>
      </c>
      <c r="D6802">
        <v>2</v>
      </c>
      <c r="E6802" t="s">
        <v>39</v>
      </c>
      <c r="F6802" t="s">
        <v>25</v>
      </c>
      <c r="G6802" t="s">
        <v>76</v>
      </c>
      <c r="H6802" t="s">
        <v>111</v>
      </c>
      <c r="I6802">
        <v>18823</v>
      </c>
      <c r="J6802">
        <v>22646</v>
      </c>
    </row>
    <row r="6803" spans="1:10" x14ac:dyDescent="0.3">
      <c r="A6803" t="s">
        <v>6930</v>
      </c>
      <c r="B6803" s="1">
        <v>45965</v>
      </c>
      <c r="C6803" t="s">
        <v>23</v>
      </c>
      <c r="D6803">
        <v>45</v>
      </c>
      <c r="E6803" t="s">
        <v>61</v>
      </c>
      <c r="F6803" t="s">
        <v>43</v>
      </c>
      <c r="G6803" t="s">
        <v>20</v>
      </c>
      <c r="H6803" t="s">
        <v>36</v>
      </c>
      <c r="I6803">
        <v>39962</v>
      </c>
      <c r="J6803">
        <v>50762</v>
      </c>
    </row>
    <row r="6804" spans="1:10" x14ac:dyDescent="0.3">
      <c r="A6804" t="s">
        <v>6931</v>
      </c>
      <c r="B6804" s="1">
        <v>45871</v>
      </c>
      <c r="C6804" t="s">
        <v>113</v>
      </c>
      <c r="D6804">
        <v>31</v>
      </c>
      <c r="E6804" t="s">
        <v>61</v>
      </c>
      <c r="F6804" t="s">
        <v>87</v>
      </c>
      <c r="G6804" t="s">
        <v>63</v>
      </c>
      <c r="H6804" t="s">
        <v>211</v>
      </c>
      <c r="I6804">
        <v>38641</v>
      </c>
      <c r="J6804">
        <v>28755</v>
      </c>
    </row>
    <row r="6805" spans="1:10" x14ac:dyDescent="0.3">
      <c r="A6805" t="s">
        <v>6932</v>
      </c>
      <c r="B6805" s="1">
        <v>46009</v>
      </c>
      <c r="C6805" t="s">
        <v>100</v>
      </c>
      <c r="D6805">
        <v>51</v>
      </c>
      <c r="E6805" t="s">
        <v>33</v>
      </c>
      <c r="F6805" t="s">
        <v>87</v>
      </c>
      <c r="G6805" t="s">
        <v>51</v>
      </c>
      <c r="H6805" t="s">
        <v>31</v>
      </c>
      <c r="I6805">
        <v>24480</v>
      </c>
      <c r="J6805">
        <v>21746</v>
      </c>
    </row>
    <row r="6806" spans="1:10" x14ac:dyDescent="0.3">
      <c r="A6806" t="s">
        <v>6933</v>
      </c>
      <c r="B6806" s="1">
        <v>46010</v>
      </c>
      <c r="C6806" t="s">
        <v>100</v>
      </c>
      <c r="D6806">
        <v>51</v>
      </c>
      <c r="E6806" t="s">
        <v>70</v>
      </c>
      <c r="F6806" t="s">
        <v>50</v>
      </c>
      <c r="G6806" t="s">
        <v>141</v>
      </c>
      <c r="H6806" t="s">
        <v>21</v>
      </c>
      <c r="I6806">
        <v>34251</v>
      </c>
      <c r="J6806">
        <v>32781</v>
      </c>
    </row>
    <row r="6807" spans="1:10" x14ac:dyDescent="0.3">
      <c r="A6807" t="s">
        <v>6934</v>
      </c>
      <c r="B6807" s="1">
        <v>45758</v>
      </c>
      <c r="C6807" t="s">
        <v>86</v>
      </c>
      <c r="D6807">
        <v>15</v>
      </c>
      <c r="E6807" t="s">
        <v>24</v>
      </c>
      <c r="F6807" t="s">
        <v>29</v>
      </c>
      <c r="G6807" t="s">
        <v>126</v>
      </c>
      <c r="H6807" t="s">
        <v>98</v>
      </c>
      <c r="I6807">
        <v>15196</v>
      </c>
      <c r="J6807">
        <v>13866</v>
      </c>
    </row>
    <row r="6808" spans="1:10" x14ac:dyDescent="0.3">
      <c r="A6808" t="s">
        <v>6935</v>
      </c>
      <c r="B6808" s="1">
        <v>45679</v>
      </c>
      <c r="C6808" t="s">
        <v>17</v>
      </c>
      <c r="D6808">
        <v>4</v>
      </c>
      <c r="E6808" t="s">
        <v>12</v>
      </c>
      <c r="F6808" t="s">
        <v>101</v>
      </c>
      <c r="G6808" t="s">
        <v>51</v>
      </c>
      <c r="H6808" t="s">
        <v>27</v>
      </c>
      <c r="I6808">
        <v>15774</v>
      </c>
      <c r="J6808">
        <v>13754</v>
      </c>
    </row>
    <row r="6809" spans="1:10" x14ac:dyDescent="0.3">
      <c r="A6809" t="s">
        <v>6936</v>
      </c>
      <c r="B6809" s="1">
        <v>45906</v>
      </c>
      <c r="C6809" t="s">
        <v>38</v>
      </c>
      <c r="D6809">
        <v>36</v>
      </c>
      <c r="E6809" t="s">
        <v>61</v>
      </c>
      <c r="F6809" t="s">
        <v>114</v>
      </c>
      <c r="G6809" t="s">
        <v>110</v>
      </c>
      <c r="H6809" t="s">
        <v>41</v>
      </c>
      <c r="I6809">
        <v>24722</v>
      </c>
      <c r="J6809">
        <v>19289</v>
      </c>
    </row>
    <row r="6810" spans="1:10" x14ac:dyDescent="0.3">
      <c r="A6810" t="s">
        <v>6937</v>
      </c>
      <c r="B6810" s="1">
        <v>45826</v>
      </c>
      <c r="C6810" t="s">
        <v>74</v>
      </c>
      <c r="D6810">
        <v>25</v>
      </c>
      <c r="E6810" t="s">
        <v>33</v>
      </c>
      <c r="F6810" t="s">
        <v>78</v>
      </c>
      <c r="G6810" t="s">
        <v>130</v>
      </c>
      <c r="H6810" t="s">
        <v>68</v>
      </c>
      <c r="I6810">
        <v>29034</v>
      </c>
      <c r="J6810">
        <v>34437</v>
      </c>
    </row>
    <row r="6811" spans="1:10" x14ac:dyDescent="0.3">
      <c r="A6811" t="s">
        <v>6938</v>
      </c>
      <c r="B6811" s="1">
        <v>45929</v>
      </c>
      <c r="C6811" t="s">
        <v>38</v>
      </c>
      <c r="D6811">
        <v>40</v>
      </c>
      <c r="E6811" t="s">
        <v>39</v>
      </c>
      <c r="F6811" t="s">
        <v>75</v>
      </c>
      <c r="G6811" t="s">
        <v>30</v>
      </c>
      <c r="H6811" t="s">
        <v>116</v>
      </c>
      <c r="I6811">
        <v>25290</v>
      </c>
      <c r="J6811">
        <v>20540</v>
      </c>
    </row>
    <row r="6812" spans="1:10" x14ac:dyDescent="0.3">
      <c r="A6812" t="s">
        <v>6939</v>
      </c>
      <c r="B6812" s="1">
        <v>45886</v>
      </c>
      <c r="C6812" t="s">
        <v>113</v>
      </c>
      <c r="D6812">
        <v>33</v>
      </c>
      <c r="E6812" t="s">
        <v>61</v>
      </c>
      <c r="F6812" t="s">
        <v>109</v>
      </c>
      <c r="G6812" t="s">
        <v>20</v>
      </c>
      <c r="H6812" t="s">
        <v>27</v>
      </c>
      <c r="I6812">
        <v>29679</v>
      </c>
      <c r="J6812">
        <v>26756</v>
      </c>
    </row>
    <row r="6813" spans="1:10" x14ac:dyDescent="0.3">
      <c r="A6813" t="s">
        <v>6940</v>
      </c>
      <c r="B6813" s="1">
        <v>46000</v>
      </c>
      <c r="C6813" t="s">
        <v>100</v>
      </c>
      <c r="D6813">
        <v>50</v>
      </c>
      <c r="E6813" t="s">
        <v>39</v>
      </c>
      <c r="F6813" t="s">
        <v>92</v>
      </c>
      <c r="G6813" t="s">
        <v>291</v>
      </c>
      <c r="H6813" t="s">
        <v>98</v>
      </c>
      <c r="I6813">
        <v>32767</v>
      </c>
      <c r="J6813">
        <v>42567</v>
      </c>
    </row>
    <row r="6814" spans="1:10" x14ac:dyDescent="0.3">
      <c r="A6814" t="s">
        <v>6941</v>
      </c>
      <c r="B6814" s="1">
        <v>45905</v>
      </c>
      <c r="C6814" t="s">
        <v>38</v>
      </c>
      <c r="D6814">
        <v>36</v>
      </c>
      <c r="E6814" t="s">
        <v>33</v>
      </c>
      <c r="F6814" t="s">
        <v>13</v>
      </c>
      <c r="G6814" t="s">
        <v>126</v>
      </c>
      <c r="H6814" t="s">
        <v>163</v>
      </c>
      <c r="I6814">
        <v>19875</v>
      </c>
      <c r="J6814">
        <v>17299</v>
      </c>
    </row>
    <row r="6815" spans="1:10" x14ac:dyDescent="0.3">
      <c r="A6815" t="s">
        <v>6942</v>
      </c>
      <c r="B6815" s="1">
        <v>45885</v>
      </c>
      <c r="C6815" t="s">
        <v>113</v>
      </c>
      <c r="D6815">
        <v>33</v>
      </c>
      <c r="E6815" t="s">
        <v>33</v>
      </c>
      <c r="F6815" t="s">
        <v>87</v>
      </c>
      <c r="G6815" t="s">
        <v>147</v>
      </c>
      <c r="H6815" t="s">
        <v>68</v>
      </c>
      <c r="I6815">
        <v>16136</v>
      </c>
      <c r="J6815">
        <v>11775</v>
      </c>
    </row>
    <row r="6816" spans="1:10" x14ac:dyDescent="0.3">
      <c r="A6816" t="s">
        <v>6943</v>
      </c>
      <c r="B6816" s="1">
        <v>45689</v>
      </c>
      <c r="C6816" t="s">
        <v>82</v>
      </c>
      <c r="D6816">
        <v>5</v>
      </c>
      <c r="E6816" t="s">
        <v>33</v>
      </c>
      <c r="F6816" t="s">
        <v>62</v>
      </c>
      <c r="G6816" t="s">
        <v>79</v>
      </c>
      <c r="H6816" t="s">
        <v>163</v>
      </c>
      <c r="I6816">
        <v>16098</v>
      </c>
      <c r="J6816">
        <v>19381</v>
      </c>
    </row>
    <row r="6817" spans="1:10" x14ac:dyDescent="0.3">
      <c r="A6817" t="s">
        <v>6944</v>
      </c>
      <c r="B6817" s="1">
        <v>45979</v>
      </c>
      <c r="C6817" t="s">
        <v>23</v>
      </c>
      <c r="D6817">
        <v>47</v>
      </c>
      <c r="E6817" t="s">
        <v>70</v>
      </c>
      <c r="F6817" t="s">
        <v>43</v>
      </c>
      <c r="G6817" t="s">
        <v>110</v>
      </c>
      <c r="H6817" t="s">
        <v>211</v>
      </c>
      <c r="I6817">
        <v>29042</v>
      </c>
      <c r="J6817">
        <v>33748</v>
      </c>
    </row>
    <row r="6818" spans="1:10" x14ac:dyDescent="0.3">
      <c r="A6818" t="s">
        <v>6945</v>
      </c>
      <c r="B6818" s="1">
        <v>45956</v>
      </c>
      <c r="C6818" t="s">
        <v>66</v>
      </c>
      <c r="D6818">
        <v>43</v>
      </c>
      <c r="E6818" t="s">
        <v>61</v>
      </c>
      <c r="F6818" t="s">
        <v>62</v>
      </c>
      <c r="G6818" t="s">
        <v>79</v>
      </c>
      <c r="H6818" t="s">
        <v>111</v>
      </c>
      <c r="I6818">
        <v>15970</v>
      </c>
      <c r="J6818">
        <v>12958</v>
      </c>
    </row>
    <row r="6819" spans="1:10" x14ac:dyDescent="0.3">
      <c r="A6819" t="s">
        <v>6946</v>
      </c>
      <c r="B6819" s="1">
        <v>45673</v>
      </c>
      <c r="C6819" t="s">
        <v>17</v>
      </c>
      <c r="D6819">
        <v>3</v>
      </c>
      <c r="E6819" t="s">
        <v>61</v>
      </c>
      <c r="F6819" t="s">
        <v>193</v>
      </c>
      <c r="G6819" t="s">
        <v>291</v>
      </c>
      <c r="H6819" t="s">
        <v>211</v>
      </c>
      <c r="I6819">
        <v>28341</v>
      </c>
      <c r="J6819">
        <v>31404</v>
      </c>
    </row>
    <row r="6820" spans="1:10" x14ac:dyDescent="0.3">
      <c r="A6820" t="s">
        <v>6947</v>
      </c>
      <c r="B6820" s="1">
        <v>45906</v>
      </c>
      <c r="C6820" t="s">
        <v>38</v>
      </c>
      <c r="D6820">
        <v>36</v>
      </c>
      <c r="E6820" t="s">
        <v>12</v>
      </c>
      <c r="F6820" t="s">
        <v>87</v>
      </c>
      <c r="G6820" t="s">
        <v>206</v>
      </c>
      <c r="H6820" t="s">
        <v>27</v>
      </c>
      <c r="I6820">
        <v>36677</v>
      </c>
      <c r="J6820">
        <v>32178</v>
      </c>
    </row>
    <row r="6821" spans="1:10" x14ac:dyDescent="0.3">
      <c r="A6821" t="s">
        <v>6948</v>
      </c>
      <c r="B6821" s="1">
        <v>45957</v>
      </c>
      <c r="C6821" t="s">
        <v>66</v>
      </c>
      <c r="D6821">
        <v>44</v>
      </c>
      <c r="E6821" t="s">
        <v>24</v>
      </c>
      <c r="F6821" t="s">
        <v>62</v>
      </c>
      <c r="G6821" t="s">
        <v>20</v>
      </c>
      <c r="H6821" t="s">
        <v>59</v>
      </c>
      <c r="I6821">
        <v>36151</v>
      </c>
      <c r="J6821">
        <v>26342</v>
      </c>
    </row>
    <row r="6822" spans="1:10" x14ac:dyDescent="0.3">
      <c r="A6822" t="s">
        <v>6949</v>
      </c>
      <c r="B6822" s="1">
        <v>45746</v>
      </c>
      <c r="C6822" t="s">
        <v>95</v>
      </c>
      <c r="D6822">
        <v>13</v>
      </c>
      <c r="E6822" t="s">
        <v>18</v>
      </c>
      <c r="F6822" t="s">
        <v>57</v>
      </c>
      <c r="G6822" t="s">
        <v>130</v>
      </c>
      <c r="H6822" t="s">
        <v>111</v>
      </c>
      <c r="I6822">
        <v>26397</v>
      </c>
      <c r="J6822">
        <v>24214</v>
      </c>
    </row>
    <row r="6823" spans="1:10" x14ac:dyDescent="0.3">
      <c r="A6823" t="s">
        <v>6950</v>
      </c>
      <c r="B6823" s="1">
        <v>45710</v>
      </c>
      <c r="C6823" t="s">
        <v>82</v>
      </c>
      <c r="D6823">
        <v>8</v>
      </c>
      <c r="E6823" t="s">
        <v>61</v>
      </c>
      <c r="F6823" t="s">
        <v>34</v>
      </c>
      <c r="G6823" t="s">
        <v>118</v>
      </c>
      <c r="H6823" t="s">
        <v>96</v>
      </c>
      <c r="I6823">
        <v>34300</v>
      </c>
      <c r="J6823">
        <v>39402</v>
      </c>
    </row>
    <row r="6824" spans="1:10" x14ac:dyDescent="0.3">
      <c r="A6824" t="s">
        <v>6951</v>
      </c>
      <c r="B6824" s="1">
        <v>45762</v>
      </c>
      <c r="C6824" t="s">
        <v>86</v>
      </c>
      <c r="D6824">
        <v>16</v>
      </c>
      <c r="E6824" t="s">
        <v>33</v>
      </c>
      <c r="F6824" t="s">
        <v>140</v>
      </c>
      <c r="G6824" t="s">
        <v>88</v>
      </c>
      <c r="H6824" t="s">
        <v>123</v>
      </c>
      <c r="I6824">
        <v>27474</v>
      </c>
      <c r="J6824">
        <v>28119</v>
      </c>
    </row>
    <row r="6825" spans="1:10" x14ac:dyDescent="0.3">
      <c r="A6825" t="s">
        <v>6952</v>
      </c>
      <c r="B6825" s="1">
        <v>45714</v>
      </c>
      <c r="C6825" t="s">
        <v>82</v>
      </c>
      <c r="D6825">
        <v>9</v>
      </c>
      <c r="E6825" t="s">
        <v>70</v>
      </c>
      <c r="F6825" t="s">
        <v>101</v>
      </c>
      <c r="G6825" t="s">
        <v>58</v>
      </c>
      <c r="H6825" t="s">
        <v>119</v>
      </c>
      <c r="I6825">
        <v>29595</v>
      </c>
      <c r="J6825">
        <v>29325</v>
      </c>
    </row>
    <row r="6826" spans="1:10" x14ac:dyDescent="0.3">
      <c r="A6826" t="s">
        <v>6953</v>
      </c>
      <c r="B6826" s="1">
        <v>45860</v>
      </c>
      <c r="C6826" t="s">
        <v>11</v>
      </c>
      <c r="D6826">
        <v>30</v>
      </c>
      <c r="E6826" t="s">
        <v>33</v>
      </c>
      <c r="F6826" t="s">
        <v>13</v>
      </c>
      <c r="G6826" t="s">
        <v>107</v>
      </c>
      <c r="H6826" t="s">
        <v>116</v>
      </c>
      <c r="I6826">
        <v>38733</v>
      </c>
      <c r="J6826">
        <v>33676</v>
      </c>
    </row>
    <row r="6827" spans="1:10" x14ac:dyDescent="0.3">
      <c r="A6827" t="s">
        <v>6954</v>
      </c>
      <c r="B6827" s="1">
        <v>45753</v>
      </c>
      <c r="C6827" t="s">
        <v>86</v>
      </c>
      <c r="D6827">
        <v>14</v>
      </c>
      <c r="E6827" t="s">
        <v>39</v>
      </c>
      <c r="F6827" t="s">
        <v>101</v>
      </c>
      <c r="G6827" t="s">
        <v>182</v>
      </c>
      <c r="H6827" t="s">
        <v>55</v>
      </c>
      <c r="I6827">
        <v>31628</v>
      </c>
      <c r="J6827">
        <v>29729</v>
      </c>
    </row>
    <row r="6828" spans="1:10" x14ac:dyDescent="0.3">
      <c r="A6828" t="s">
        <v>6955</v>
      </c>
      <c r="B6828" s="1">
        <v>45905</v>
      </c>
      <c r="C6828" t="s">
        <v>38</v>
      </c>
      <c r="D6828">
        <v>36</v>
      </c>
      <c r="E6828" t="s">
        <v>70</v>
      </c>
      <c r="F6828" t="s">
        <v>78</v>
      </c>
      <c r="G6828" t="s">
        <v>72</v>
      </c>
      <c r="H6828" t="s">
        <v>157</v>
      </c>
      <c r="I6828">
        <v>38578</v>
      </c>
      <c r="J6828">
        <v>37798</v>
      </c>
    </row>
    <row r="6829" spans="1:10" x14ac:dyDescent="0.3">
      <c r="A6829" t="s">
        <v>6956</v>
      </c>
      <c r="B6829" s="1">
        <v>45969</v>
      </c>
      <c r="C6829" t="s">
        <v>23</v>
      </c>
      <c r="D6829">
        <v>45</v>
      </c>
      <c r="E6829" t="s">
        <v>70</v>
      </c>
      <c r="F6829" t="s">
        <v>140</v>
      </c>
      <c r="G6829" t="s">
        <v>88</v>
      </c>
      <c r="H6829" t="s">
        <v>116</v>
      </c>
      <c r="I6829">
        <v>19410</v>
      </c>
      <c r="J6829">
        <v>24034</v>
      </c>
    </row>
    <row r="6830" spans="1:10" x14ac:dyDescent="0.3">
      <c r="A6830" t="s">
        <v>6957</v>
      </c>
      <c r="B6830" s="1">
        <v>45692</v>
      </c>
      <c r="C6830" t="s">
        <v>82</v>
      </c>
      <c r="D6830">
        <v>6</v>
      </c>
      <c r="E6830" t="s">
        <v>61</v>
      </c>
      <c r="F6830" t="s">
        <v>13</v>
      </c>
      <c r="G6830" t="s">
        <v>149</v>
      </c>
      <c r="H6830" t="s">
        <v>188</v>
      </c>
      <c r="I6830">
        <v>36065</v>
      </c>
      <c r="J6830">
        <v>35405</v>
      </c>
    </row>
    <row r="6831" spans="1:10" x14ac:dyDescent="0.3">
      <c r="A6831" t="s">
        <v>6958</v>
      </c>
      <c r="B6831" s="1">
        <v>45988</v>
      </c>
      <c r="C6831" t="s">
        <v>23</v>
      </c>
      <c r="D6831">
        <v>48</v>
      </c>
      <c r="E6831" t="s">
        <v>18</v>
      </c>
      <c r="F6831" t="s">
        <v>140</v>
      </c>
      <c r="G6831" t="s">
        <v>141</v>
      </c>
      <c r="H6831" t="s">
        <v>64</v>
      </c>
      <c r="I6831">
        <v>15709</v>
      </c>
      <c r="J6831">
        <v>14231</v>
      </c>
    </row>
    <row r="6832" spans="1:10" x14ac:dyDescent="0.3">
      <c r="A6832" t="s">
        <v>6959</v>
      </c>
      <c r="B6832" s="1">
        <v>45801</v>
      </c>
      <c r="C6832" t="s">
        <v>90</v>
      </c>
      <c r="D6832">
        <v>21</v>
      </c>
      <c r="E6832" t="s">
        <v>70</v>
      </c>
      <c r="F6832" t="s">
        <v>29</v>
      </c>
      <c r="G6832" t="s">
        <v>30</v>
      </c>
      <c r="H6832" t="s">
        <v>243</v>
      </c>
      <c r="I6832">
        <v>16860</v>
      </c>
      <c r="J6832">
        <v>12879</v>
      </c>
    </row>
    <row r="6833" spans="1:10" x14ac:dyDescent="0.3">
      <c r="A6833" t="s">
        <v>6960</v>
      </c>
      <c r="B6833" s="1">
        <v>45851</v>
      </c>
      <c r="C6833" t="s">
        <v>11</v>
      </c>
      <c r="D6833">
        <v>28</v>
      </c>
      <c r="E6833" t="s">
        <v>70</v>
      </c>
      <c r="F6833" t="s">
        <v>78</v>
      </c>
      <c r="G6833" t="s">
        <v>58</v>
      </c>
      <c r="H6833" t="s">
        <v>103</v>
      </c>
      <c r="I6833">
        <v>16767</v>
      </c>
      <c r="J6833">
        <v>12149</v>
      </c>
    </row>
    <row r="6834" spans="1:10" x14ac:dyDescent="0.3">
      <c r="A6834" t="s">
        <v>6961</v>
      </c>
      <c r="B6834" s="1">
        <v>45818</v>
      </c>
      <c r="C6834" t="s">
        <v>74</v>
      </c>
      <c r="D6834">
        <v>24</v>
      </c>
      <c r="E6834" t="s">
        <v>18</v>
      </c>
      <c r="F6834" t="s">
        <v>87</v>
      </c>
      <c r="G6834" t="s">
        <v>26</v>
      </c>
      <c r="H6834" t="s">
        <v>52</v>
      </c>
      <c r="I6834">
        <v>16822</v>
      </c>
      <c r="J6834">
        <v>20220</v>
      </c>
    </row>
    <row r="6835" spans="1:10" x14ac:dyDescent="0.3">
      <c r="A6835" t="s">
        <v>6962</v>
      </c>
      <c r="B6835" s="1">
        <v>45987</v>
      </c>
      <c r="C6835" t="s">
        <v>23</v>
      </c>
      <c r="D6835">
        <v>48</v>
      </c>
      <c r="E6835" t="s">
        <v>12</v>
      </c>
      <c r="F6835" t="s">
        <v>29</v>
      </c>
      <c r="G6835" t="s">
        <v>137</v>
      </c>
      <c r="H6835" t="s">
        <v>15</v>
      </c>
      <c r="I6835">
        <v>32301</v>
      </c>
      <c r="J6835">
        <v>35555</v>
      </c>
    </row>
    <row r="6836" spans="1:10" x14ac:dyDescent="0.3">
      <c r="A6836" t="s">
        <v>6963</v>
      </c>
      <c r="B6836" s="1">
        <v>45689</v>
      </c>
      <c r="C6836" t="s">
        <v>82</v>
      </c>
      <c r="D6836">
        <v>5</v>
      </c>
      <c r="E6836" t="s">
        <v>24</v>
      </c>
      <c r="F6836" t="s">
        <v>101</v>
      </c>
      <c r="G6836" t="s">
        <v>291</v>
      </c>
      <c r="H6836" t="s">
        <v>52</v>
      </c>
      <c r="I6836">
        <v>30213</v>
      </c>
      <c r="J6836">
        <v>38131</v>
      </c>
    </row>
    <row r="6837" spans="1:10" x14ac:dyDescent="0.3">
      <c r="A6837" t="s">
        <v>6964</v>
      </c>
      <c r="B6837" s="1">
        <v>45821</v>
      </c>
      <c r="C6837" t="s">
        <v>74</v>
      </c>
      <c r="D6837">
        <v>24</v>
      </c>
      <c r="E6837" t="s">
        <v>12</v>
      </c>
      <c r="F6837" t="s">
        <v>87</v>
      </c>
      <c r="G6837" t="s">
        <v>191</v>
      </c>
      <c r="H6837" t="s">
        <v>15</v>
      </c>
      <c r="I6837">
        <v>39978</v>
      </c>
      <c r="J6837">
        <v>40510</v>
      </c>
    </row>
    <row r="6838" spans="1:10" x14ac:dyDescent="0.3">
      <c r="A6838" t="s">
        <v>6965</v>
      </c>
      <c r="B6838" s="1">
        <v>46005</v>
      </c>
      <c r="C6838" t="s">
        <v>100</v>
      </c>
      <c r="D6838">
        <v>50</v>
      </c>
      <c r="E6838" t="s">
        <v>61</v>
      </c>
      <c r="F6838" t="s">
        <v>57</v>
      </c>
      <c r="G6838" t="s">
        <v>83</v>
      </c>
      <c r="H6838" t="s">
        <v>243</v>
      </c>
      <c r="I6838">
        <v>29056</v>
      </c>
      <c r="J6838">
        <v>33718</v>
      </c>
    </row>
    <row r="6839" spans="1:10" x14ac:dyDescent="0.3">
      <c r="A6839" t="s">
        <v>6966</v>
      </c>
      <c r="B6839" s="1">
        <v>45860</v>
      </c>
      <c r="C6839" t="s">
        <v>11</v>
      </c>
      <c r="D6839">
        <v>30</v>
      </c>
      <c r="E6839" t="s">
        <v>12</v>
      </c>
      <c r="F6839" t="s">
        <v>101</v>
      </c>
      <c r="G6839" t="s">
        <v>93</v>
      </c>
      <c r="H6839" t="s">
        <v>48</v>
      </c>
      <c r="I6839">
        <v>33195</v>
      </c>
      <c r="J6839">
        <v>26173</v>
      </c>
    </row>
    <row r="6840" spans="1:10" x14ac:dyDescent="0.3">
      <c r="A6840" t="s">
        <v>6967</v>
      </c>
      <c r="B6840" s="1">
        <v>46000</v>
      </c>
      <c r="C6840" t="s">
        <v>100</v>
      </c>
      <c r="D6840">
        <v>50</v>
      </c>
      <c r="E6840" t="s">
        <v>24</v>
      </c>
      <c r="F6840" t="s">
        <v>109</v>
      </c>
      <c r="G6840" t="s">
        <v>147</v>
      </c>
      <c r="H6840" t="s">
        <v>163</v>
      </c>
      <c r="I6840">
        <v>29220</v>
      </c>
      <c r="J6840">
        <v>32753</v>
      </c>
    </row>
    <row r="6841" spans="1:10" x14ac:dyDescent="0.3">
      <c r="A6841" t="s">
        <v>6968</v>
      </c>
      <c r="B6841" s="1">
        <v>45743</v>
      </c>
      <c r="C6841" t="s">
        <v>95</v>
      </c>
      <c r="D6841">
        <v>13</v>
      </c>
      <c r="E6841" t="s">
        <v>24</v>
      </c>
      <c r="F6841" t="s">
        <v>29</v>
      </c>
      <c r="G6841" t="s">
        <v>230</v>
      </c>
      <c r="H6841" t="s">
        <v>59</v>
      </c>
      <c r="I6841">
        <v>15594</v>
      </c>
      <c r="J6841">
        <v>18401</v>
      </c>
    </row>
    <row r="6842" spans="1:10" x14ac:dyDescent="0.3">
      <c r="A6842" t="s">
        <v>6969</v>
      </c>
      <c r="B6842" s="1">
        <v>45873</v>
      </c>
      <c r="C6842" t="s">
        <v>113</v>
      </c>
      <c r="D6842">
        <v>32</v>
      </c>
      <c r="E6842" t="s">
        <v>33</v>
      </c>
      <c r="F6842" t="s">
        <v>62</v>
      </c>
      <c r="G6842" t="s">
        <v>149</v>
      </c>
      <c r="H6842" t="s">
        <v>15</v>
      </c>
      <c r="I6842">
        <v>22033</v>
      </c>
      <c r="J6842">
        <v>27518</v>
      </c>
    </row>
    <row r="6843" spans="1:10" x14ac:dyDescent="0.3">
      <c r="A6843" t="s">
        <v>6970</v>
      </c>
      <c r="B6843" s="1">
        <v>45853</v>
      </c>
      <c r="C6843" t="s">
        <v>11</v>
      </c>
      <c r="D6843">
        <v>29</v>
      </c>
      <c r="E6843" t="s">
        <v>61</v>
      </c>
      <c r="F6843" t="s">
        <v>140</v>
      </c>
      <c r="G6843" t="s">
        <v>145</v>
      </c>
      <c r="H6843" t="s">
        <v>96</v>
      </c>
      <c r="I6843">
        <v>33884</v>
      </c>
      <c r="J6843">
        <v>42457</v>
      </c>
    </row>
    <row r="6844" spans="1:10" x14ac:dyDescent="0.3">
      <c r="A6844" t="s">
        <v>6971</v>
      </c>
      <c r="B6844" s="1">
        <v>45775</v>
      </c>
      <c r="C6844" t="s">
        <v>86</v>
      </c>
      <c r="D6844">
        <v>18</v>
      </c>
      <c r="E6844" t="s">
        <v>24</v>
      </c>
      <c r="F6844" t="s">
        <v>62</v>
      </c>
      <c r="G6844" t="s">
        <v>324</v>
      </c>
      <c r="H6844" t="s">
        <v>151</v>
      </c>
      <c r="I6844">
        <v>36485</v>
      </c>
      <c r="J6844">
        <v>45620</v>
      </c>
    </row>
    <row r="6845" spans="1:10" x14ac:dyDescent="0.3">
      <c r="A6845" t="s">
        <v>6972</v>
      </c>
      <c r="B6845" s="1">
        <v>45953</v>
      </c>
      <c r="C6845" t="s">
        <v>66</v>
      </c>
      <c r="D6845">
        <v>43</v>
      </c>
      <c r="E6845" t="s">
        <v>39</v>
      </c>
      <c r="F6845" t="s">
        <v>193</v>
      </c>
      <c r="G6845" t="s">
        <v>14</v>
      </c>
      <c r="H6845" t="s">
        <v>165</v>
      </c>
      <c r="I6845">
        <v>21666</v>
      </c>
      <c r="J6845">
        <v>27575</v>
      </c>
    </row>
    <row r="6846" spans="1:10" x14ac:dyDescent="0.3">
      <c r="A6846" t="s">
        <v>6973</v>
      </c>
      <c r="B6846" s="1">
        <v>45931</v>
      </c>
      <c r="C6846" t="s">
        <v>66</v>
      </c>
      <c r="D6846">
        <v>40</v>
      </c>
      <c r="E6846" t="s">
        <v>24</v>
      </c>
      <c r="F6846" t="s">
        <v>57</v>
      </c>
      <c r="G6846" t="s">
        <v>201</v>
      </c>
      <c r="H6846" t="s">
        <v>98</v>
      </c>
      <c r="I6846">
        <v>33198</v>
      </c>
      <c r="J6846">
        <v>25048</v>
      </c>
    </row>
    <row r="6847" spans="1:10" x14ac:dyDescent="0.3">
      <c r="A6847" t="s">
        <v>6974</v>
      </c>
      <c r="B6847" s="1">
        <v>45904</v>
      </c>
      <c r="C6847" t="s">
        <v>38</v>
      </c>
      <c r="D6847">
        <v>36</v>
      </c>
      <c r="E6847" t="s">
        <v>18</v>
      </c>
      <c r="F6847" t="s">
        <v>62</v>
      </c>
      <c r="G6847" t="s">
        <v>54</v>
      </c>
      <c r="H6847" t="s">
        <v>243</v>
      </c>
      <c r="I6847">
        <v>22959</v>
      </c>
      <c r="J6847">
        <v>22192</v>
      </c>
    </row>
    <row r="6848" spans="1:10" x14ac:dyDescent="0.3">
      <c r="A6848" t="s">
        <v>6975</v>
      </c>
      <c r="B6848" s="1">
        <v>45991</v>
      </c>
      <c r="C6848" t="s">
        <v>23</v>
      </c>
      <c r="D6848">
        <v>48</v>
      </c>
      <c r="E6848" t="s">
        <v>39</v>
      </c>
      <c r="F6848" t="s">
        <v>46</v>
      </c>
      <c r="G6848" t="s">
        <v>149</v>
      </c>
      <c r="H6848" t="s">
        <v>48</v>
      </c>
      <c r="I6848">
        <v>29460</v>
      </c>
      <c r="J6848">
        <v>32371</v>
      </c>
    </row>
    <row r="6849" spans="1:10" x14ac:dyDescent="0.3">
      <c r="A6849" t="s">
        <v>6976</v>
      </c>
      <c r="B6849" s="1">
        <v>45905</v>
      </c>
      <c r="C6849" t="s">
        <v>38</v>
      </c>
      <c r="D6849">
        <v>36</v>
      </c>
      <c r="E6849" t="s">
        <v>70</v>
      </c>
      <c r="F6849" t="s">
        <v>46</v>
      </c>
      <c r="G6849" t="s">
        <v>324</v>
      </c>
      <c r="H6849" t="s">
        <v>96</v>
      </c>
      <c r="I6849">
        <v>21282</v>
      </c>
      <c r="J6849">
        <v>21022</v>
      </c>
    </row>
    <row r="6850" spans="1:10" x14ac:dyDescent="0.3">
      <c r="A6850" t="s">
        <v>6977</v>
      </c>
      <c r="B6850" s="1">
        <v>45948</v>
      </c>
      <c r="C6850" t="s">
        <v>66</v>
      </c>
      <c r="D6850">
        <v>42</v>
      </c>
      <c r="E6850" t="s">
        <v>39</v>
      </c>
      <c r="F6850" t="s">
        <v>29</v>
      </c>
      <c r="G6850" t="s">
        <v>326</v>
      </c>
      <c r="H6850" t="s">
        <v>133</v>
      </c>
      <c r="I6850">
        <v>34778</v>
      </c>
      <c r="J6850">
        <v>43222</v>
      </c>
    </row>
    <row r="6851" spans="1:10" x14ac:dyDescent="0.3">
      <c r="A6851" t="s">
        <v>6978</v>
      </c>
      <c r="B6851" s="1">
        <v>45722</v>
      </c>
      <c r="C6851" t="s">
        <v>95</v>
      </c>
      <c r="D6851">
        <v>10</v>
      </c>
      <c r="E6851" t="s">
        <v>24</v>
      </c>
      <c r="F6851" t="s">
        <v>140</v>
      </c>
      <c r="G6851" t="s">
        <v>54</v>
      </c>
      <c r="H6851" t="s">
        <v>55</v>
      </c>
      <c r="I6851">
        <v>17165</v>
      </c>
      <c r="J6851">
        <v>20877</v>
      </c>
    </row>
    <row r="6852" spans="1:10" x14ac:dyDescent="0.3">
      <c r="A6852" t="s">
        <v>6979</v>
      </c>
      <c r="B6852" s="1">
        <v>46021</v>
      </c>
      <c r="C6852" t="s">
        <v>100</v>
      </c>
      <c r="D6852">
        <v>1</v>
      </c>
      <c r="E6852" t="s">
        <v>39</v>
      </c>
      <c r="F6852" t="s">
        <v>101</v>
      </c>
      <c r="G6852" t="s">
        <v>30</v>
      </c>
      <c r="H6852" t="s">
        <v>96</v>
      </c>
      <c r="I6852">
        <v>26584</v>
      </c>
      <c r="J6852">
        <v>32192</v>
      </c>
    </row>
    <row r="6853" spans="1:10" x14ac:dyDescent="0.3">
      <c r="A6853" t="s">
        <v>6980</v>
      </c>
      <c r="B6853" s="1">
        <v>45847</v>
      </c>
      <c r="C6853" t="s">
        <v>11</v>
      </c>
      <c r="D6853">
        <v>28</v>
      </c>
      <c r="E6853" t="s">
        <v>12</v>
      </c>
      <c r="F6853" t="s">
        <v>50</v>
      </c>
      <c r="G6853" t="s">
        <v>130</v>
      </c>
      <c r="H6853" t="s">
        <v>243</v>
      </c>
      <c r="I6853">
        <v>38592</v>
      </c>
      <c r="J6853">
        <v>39268</v>
      </c>
    </row>
    <row r="6854" spans="1:10" x14ac:dyDescent="0.3">
      <c r="A6854" t="s">
        <v>6981</v>
      </c>
      <c r="B6854" s="1">
        <v>45877</v>
      </c>
      <c r="C6854" t="s">
        <v>113</v>
      </c>
      <c r="D6854">
        <v>32</v>
      </c>
      <c r="E6854" t="s">
        <v>33</v>
      </c>
      <c r="F6854" t="s">
        <v>29</v>
      </c>
      <c r="G6854" t="s">
        <v>135</v>
      </c>
      <c r="H6854" t="s">
        <v>165</v>
      </c>
      <c r="I6854">
        <v>36922</v>
      </c>
      <c r="J6854">
        <v>31477</v>
      </c>
    </row>
    <row r="6855" spans="1:10" x14ac:dyDescent="0.3">
      <c r="A6855" t="s">
        <v>6982</v>
      </c>
      <c r="B6855" s="1">
        <v>45756</v>
      </c>
      <c r="C6855" t="s">
        <v>86</v>
      </c>
      <c r="D6855">
        <v>15</v>
      </c>
      <c r="E6855" t="s">
        <v>39</v>
      </c>
      <c r="F6855" t="s">
        <v>140</v>
      </c>
      <c r="G6855" t="s">
        <v>326</v>
      </c>
      <c r="H6855" t="s">
        <v>41</v>
      </c>
      <c r="I6855">
        <v>26160</v>
      </c>
      <c r="J6855">
        <v>19847</v>
      </c>
    </row>
    <row r="6856" spans="1:10" x14ac:dyDescent="0.3">
      <c r="A6856" t="s">
        <v>6983</v>
      </c>
      <c r="B6856" s="1">
        <v>45789</v>
      </c>
      <c r="C6856" t="s">
        <v>90</v>
      </c>
      <c r="D6856">
        <v>20</v>
      </c>
      <c r="E6856" t="s">
        <v>33</v>
      </c>
      <c r="F6856" t="s">
        <v>193</v>
      </c>
      <c r="G6856" t="s">
        <v>224</v>
      </c>
      <c r="H6856" t="s">
        <v>27</v>
      </c>
      <c r="I6856">
        <v>33545</v>
      </c>
      <c r="J6856">
        <v>25716</v>
      </c>
    </row>
    <row r="6857" spans="1:10" x14ac:dyDescent="0.3">
      <c r="A6857" t="s">
        <v>6984</v>
      </c>
      <c r="B6857" s="1">
        <v>45844</v>
      </c>
      <c r="C6857" t="s">
        <v>11</v>
      </c>
      <c r="D6857">
        <v>27</v>
      </c>
      <c r="E6857" t="s">
        <v>12</v>
      </c>
      <c r="F6857" t="s">
        <v>19</v>
      </c>
      <c r="G6857" t="s">
        <v>63</v>
      </c>
      <c r="H6857" t="s">
        <v>96</v>
      </c>
      <c r="I6857">
        <v>35304</v>
      </c>
      <c r="J6857">
        <v>28827</v>
      </c>
    </row>
    <row r="6858" spans="1:10" x14ac:dyDescent="0.3">
      <c r="A6858" t="s">
        <v>6985</v>
      </c>
      <c r="B6858" s="1">
        <v>45759</v>
      </c>
      <c r="C6858" t="s">
        <v>86</v>
      </c>
      <c r="D6858">
        <v>15</v>
      </c>
      <c r="E6858" t="s">
        <v>61</v>
      </c>
      <c r="F6858" t="s">
        <v>62</v>
      </c>
      <c r="G6858" t="s">
        <v>20</v>
      </c>
      <c r="H6858" t="s">
        <v>98</v>
      </c>
      <c r="I6858">
        <v>26368</v>
      </c>
      <c r="J6858">
        <v>24206</v>
      </c>
    </row>
    <row r="6859" spans="1:10" x14ac:dyDescent="0.3">
      <c r="A6859" t="s">
        <v>6986</v>
      </c>
      <c r="B6859" s="1">
        <v>45722</v>
      </c>
      <c r="C6859" t="s">
        <v>95</v>
      </c>
      <c r="D6859">
        <v>10</v>
      </c>
      <c r="E6859" t="s">
        <v>39</v>
      </c>
      <c r="F6859" t="s">
        <v>114</v>
      </c>
      <c r="G6859" t="s">
        <v>326</v>
      </c>
      <c r="H6859" t="s">
        <v>123</v>
      </c>
      <c r="I6859">
        <v>33429</v>
      </c>
      <c r="J6859">
        <v>27242</v>
      </c>
    </row>
    <row r="6860" spans="1:10" x14ac:dyDescent="0.3">
      <c r="A6860" t="s">
        <v>6987</v>
      </c>
      <c r="B6860" s="1">
        <v>45738</v>
      </c>
      <c r="C6860" t="s">
        <v>95</v>
      </c>
      <c r="D6860">
        <v>12</v>
      </c>
      <c r="E6860" t="s">
        <v>70</v>
      </c>
      <c r="F6860" t="s">
        <v>25</v>
      </c>
      <c r="G6860" t="s">
        <v>145</v>
      </c>
      <c r="H6860" t="s">
        <v>123</v>
      </c>
      <c r="I6860">
        <v>26890</v>
      </c>
      <c r="J6860">
        <v>24628</v>
      </c>
    </row>
    <row r="6861" spans="1:10" x14ac:dyDescent="0.3">
      <c r="A6861" t="s">
        <v>6988</v>
      </c>
      <c r="B6861" s="1">
        <v>45696</v>
      </c>
      <c r="C6861" t="s">
        <v>82</v>
      </c>
      <c r="D6861">
        <v>6</v>
      </c>
      <c r="E6861" t="s">
        <v>18</v>
      </c>
      <c r="F6861" t="s">
        <v>109</v>
      </c>
      <c r="G6861" t="s">
        <v>145</v>
      </c>
      <c r="H6861" t="s">
        <v>52</v>
      </c>
      <c r="I6861">
        <v>37081</v>
      </c>
      <c r="J6861">
        <v>31355</v>
      </c>
    </row>
    <row r="6862" spans="1:10" x14ac:dyDescent="0.3">
      <c r="A6862" t="s">
        <v>6989</v>
      </c>
      <c r="B6862" s="1">
        <v>45861</v>
      </c>
      <c r="C6862" t="s">
        <v>11</v>
      </c>
      <c r="D6862">
        <v>30</v>
      </c>
      <c r="E6862" t="s">
        <v>61</v>
      </c>
      <c r="F6862" t="s">
        <v>87</v>
      </c>
      <c r="G6862" t="s">
        <v>141</v>
      </c>
      <c r="H6862" t="s">
        <v>27</v>
      </c>
      <c r="I6862">
        <v>22729</v>
      </c>
      <c r="J6862">
        <v>29001</v>
      </c>
    </row>
    <row r="6863" spans="1:10" x14ac:dyDescent="0.3">
      <c r="A6863" t="s">
        <v>6990</v>
      </c>
      <c r="B6863" s="1">
        <v>46014</v>
      </c>
      <c r="C6863" t="s">
        <v>100</v>
      </c>
      <c r="D6863">
        <v>52</v>
      </c>
      <c r="E6863" t="s">
        <v>33</v>
      </c>
      <c r="F6863" t="s">
        <v>29</v>
      </c>
      <c r="G6863" t="s">
        <v>26</v>
      </c>
      <c r="H6863" t="s">
        <v>157</v>
      </c>
      <c r="I6863">
        <v>32792</v>
      </c>
      <c r="J6863">
        <v>33835</v>
      </c>
    </row>
    <row r="6864" spans="1:10" x14ac:dyDescent="0.3">
      <c r="A6864" t="s">
        <v>6991</v>
      </c>
      <c r="B6864" s="1">
        <v>45744</v>
      </c>
      <c r="C6864" t="s">
        <v>95</v>
      </c>
      <c r="D6864">
        <v>13</v>
      </c>
      <c r="E6864" t="s">
        <v>39</v>
      </c>
      <c r="F6864" t="s">
        <v>87</v>
      </c>
      <c r="G6864" t="s">
        <v>182</v>
      </c>
      <c r="H6864" t="s">
        <v>36</v>
      </c>
      <c r="I6864">
        <v>18466</v>
      </c>
      <c r="J6864">
        <v>19583</v>
      </c>
    </row>
    <row r="6865" spans="1:10" x14ac:dyDescent="0.3">
      <c r="A6865" t="s">
        <v>6992</v>
      </c>
      <c r="B6865" s="1">
        <v>45732</v>
      </c>
      <c r="C6865" t="s">
        <v>95</v>
      </c>
      <c r="D6865">
        <v>11</v>
      </c>
      <c r="E6865" t="s">
        <v>12</v>
      </c>
      <c r="F6865" t="s">
        <v>19</v>
      </c>
      <c r="G6865" t="s">
        <v>199</v>
      </c>
      <c r="H6865" t="s">
        <v>98</v>
      </c>
      <c r="I6865">
        <v>27300</v>
      </c>
      <c r="J6865">
        <v>34157</v>
      </c>
    </row>
    <row r="6866" spans="1:10" x14ac:dyDescent="0.3">
      <c r="A6866" t="s">
        <v>6993</v>
      </c>
      <c r="B6866" s="1">
        <v>45996</v>
      </c>
      <c r="C6866" t="s">
        <v>100</v>
      </c>
      <c r="D6866">
        <v>49</v>
      </c>
      <c r="E6866" t="s">
        <v>39</v>
      </c>
      <c r="F6866" t="s">
        <v>78</v>
      </c>
      <c r="G6866" t="s">
        <v>137</v>
      </c>
      <c r="H6866" t="s">
        <v>21</v>
      </c>
      <c r="I6866">
        <v>20330</v>
      </c>
      <c r="J6866">
        <v>18559</v>
      </c>
    </row>
    <row r="6867" spans="1:10" x14ac:dyDescent="0.3">
      <c r="A6867" t="s">
        <v>6994</v>
      </c>
      <c r="B6867" s="1">
        <v>45775</v>
      </c>
      <c r="C6867" t="s">
        <v>86</v>
      </c>
      <c r="D6867">
        <v>18</v>
      </c>
      <c r="E6867" t="s">
        <v>33</v>
      </c>
      <c r="F6867" t="s">
        <v>62</v>
      </c>
      <c r="G6867" t="s">
        <v>118</v>
      </c>
      <c r="H6867" t="s">
        <v>103</v>
      </c>
      <c r="I6867">
        <v>32889</v>
      </c>
      <c r="J6867">
        <v>34757</v>
      </c>
    </row>
    <row r="6868" spans="1:10" x14ac:dyDescent="0.3">
      <c r="A6868" t="s">
        <v>6995</v>
      </c>
      <c r="B6868" s="1">
        <v>45993</v>
      </c>
      <c r="C6868" t="s">
        <v>100</v>
      </c>
      <c r="D6868">
        <v>49</v>
      </c>
      <c r="E6868" t="s">
        <v>39</v>
      </c>
      <c r="F6868" t="s">
        <v>92</v>
      </c>
      <c r="G6868" t="s">
        <v>118</v>
      </c>
      <c r="H6868" t="s">
        <v>123</v>
      </c>
      <c r="I6868">
        <v>16543</v>
      </c>
      <c r="J6868">
        <v>12568</v>
      </c>
    </row>
    <row r="6869" spans="1:10" x14ac:dyDescent="0.3">
      <c r="A6869" t="s">
        <v>6996</v>
      </c>
      <c r="B6869" s="1">
        <v>45678</v>
      </c>
      <c r="C6869" t="s">
        <v>17</v>
      </c>
      <c r="D6869">
        <v>4</v>
      </c>
      <c r="E6869" t="s">
        <v>33</v>
      </c>
      <c r="F6869" t="s">
        <v>87</v>
      </c>
      <c r="G6869" t="s">
        <v>253</v>
      </c>
      <c r="H6869" t="s">
        <v>243</v>
      </c>
      <c r="I6869">
        <v>24300</v>
      </c>
      <c r="J6869">
        <v>27763</v>
      </c>
    </row>
    <row r="6870" spans="1:10" x14ac:dyDescent="0.3">
      <c r="A6870" t="s">
        <v>6997</v>
      </c>
      <c r="B6870" s="1">
        <v>46004</v>
      </c>
      <c r="C6870" t="s">
        <v>100</v>
      </c>
      <c r="D6870">
        <v>50</v>
      </c>
      <c r="E6870" t="s">
        <v>18</v>
      </c>
      <c r="F6870" t="s">
        <v>34</v>
      </c>
      <c r="G6870" t="s">
        <v>201</v>
      </c>
      <c r="H6870" t="s">
        <v>155</v>
      </c>
      <c r="I6870">
        <v>26080</v>
      </c>
      <c r="J6870">
        <v>20952</v>
      </c>
    </row>
    <row r="6871" spans="1:10" x14ac:dyDescent="0.3">
      <c r="A6871" t="s">
        <v>6998</v>
      </c>
      <c r="B6871" s="1">
        <v>45791</v>
      </c>
      <c r="C6871" t="s">
        <v>90</v>
      </c>
      <c r="D6871">
        <v>20</v>
      </c>
      <c r="E6871" t="s">
        <v>18</v>
      </c>
      <c r="F6871" t="s">
        <v>140</v>
      </c>
      <c r="G6871" t="s">
        <v>128</v>
      </c>
      <c r="H6871" t="s">
        <v>155</v>
      </c>
      <c r="I6871">
        <v>35217</v>
      </c>
      <c r="J6871">
        <v>27407</v>
      </c>
    </row>
    <row r="6872" spans="1:10" x14ac:dyDescent="0.3">
      <c r="A6872" t="s">
        <v>6999</v>
      </c>
      <c r="B6872" s="1">
        <v>45678</v>
      </c>
      <c r="C6872" t="s">
        <v>17</v>
      </c>
      <c r="D6872">
        <v>4</v>
      </c>
      <c r="E6872" t="s">
        <v>12</v>
      </c>
      <c r="F6872" t="s">
        <v>29</v>
      </c>
      <c r="G6872" t="s">
        <v>126</v>
      </c>
      <c r="H6872" t="s">
        <v>133</v>
      </c>
      <c r="I6872">
        <v>38043</v>
      </c>
      <c r="J6872">
        <v>46992</v>
      </c>
    </row>
    <row r="6873" spans="1:10" x14ac:dyDescent="0.3">
      <c r="A6873" t="s">
        <v>7000</v>
      </c>
      <c r="B6873" s="1">
        <v>46022</v>
      </c>
      <c r="C6873" t="s">
        <v>100</v>
      </c>
      <c r="D6873">
        <v>1</v>
      </c>
      <c r="E6873" t="s">
        <v>70</v>
      </c>
      <c r="F6873" t="s">
        <v>50</v>
      </c>
      <c r="G6873" t="s">
        <v>102</v>
      </c>
      <c r="H6873" t="s">
        <v>123</v>
      </c>
      <c r="I6873">
        <v>38088</v>
      </c>
      <c r="J6873">
        <v>40736</v>
      </c>
    </row>
    <row r="6874" spans="1:10" x14ac:dyDescent="0.3">
      <c r="A6874" t="s">
        <v>7001</v>
      </c>
      <c r="B6874" s="1">
        <v>45731</v>
      </c>
      <c r="C6874" t="s">
        <v>95</v>
      </c>
      <c r="D6874">
        <v>11</v>
      </c>
      <c r="E6874" t="s">
        <v>61</v>
      </c>
      <c r="F6874" t="s">
        <v>193</v>
      </c>
      <c r="G6874" t="s">
        <v>20</v>
      </c>
      <c r="H6874" t="s">
        <v>165</v>
      </c>
      <c r="I6874">
        <v>38333</v>
      </c>
      <c r="J6874">
        <v>33161</v>
      </c>
    </row>
    <row r="6875" spans="1:10" x14ac:dyDescent="0.3">
      <c r="A6875" t="s">
        <v>7002</v>
      </c>
      <c r="B6875" s="1">
        <v>45971</v>
      </c>
      <c r="C6875" t="s">
        <v>23</v>
      </c>
      <c r="D6875">
        <v>46</v>
      </c>
      <c r="E6875" t="s">
        <v>39</v>
      </c>
      <c r="F6875" t="s">
        <v>19</v>
      </c>
      <c r="G6875" t="s">
        <v>141</v>
      </c>
      <c r="H6875" t="s">
        <v>55</v>
      </c>
      <c r="I6875">
        <v>33424</v>
      </c>
      <c r="J6875">
        <v>23793</v>
      </c>
    </row>
    <row r="6876" spans="1:10" x14ac:dyDescent="0.3">
      <c r="A6876" t="s">
        <v>7003</v>
      </c>
      <c r="B6876" s="1">
        <v>45927</v>
      </c>
      <c r="C6876" t="s">
        <v>38</v>
      </c>
      <c r="D6876">
        <v>39</v>
      </c>
      <c r="E6876" t="s">
        <v>70</v>
      </c>
      <c r="F6876" t="s">
        <v>62</v>
      </c>
      <c r="G6876" t="s">
        <v>51</v>
      </c>
      <c r="H6876" t="s">
        <v>163</v>
      </c>
      <c r="I6876">
        <v>31911</v>
      </c>
      <c r="J6876">
        <v>26585</v>
      </c>
    </row>
    <row r="6877" spans="1:10" x14ac:dyDescent="0.3">
      <c r="A6877" t="s">
        <v>7004</v>
      </c>
      <c r="B6877" s="1">
        <v>45774</v>
      </c>
      <c r="C6877" t="s">
        <v>86</v>
      </c>
      <c r="D6877">
        <v>17</v>
      </c>
      <c r="E6877" t="s">
        <v>70</v>
      </c>
      <c r="F6877" t="s">
        <v>109</v>
      </c>
      <c r="G6877" t="s">
        <v>141</v>
      </c>
      <c r="H6877" t="s">
        <v>123</v>
      </c>
      <c r="I6877">
        <v>38961</v>
      </c>
      <c r="J6877">
        <v>46021</v>
      </c>
    </row>
    <row r="6878" spans="1:10" x14ac:dyDescent="0.3">
      <c r="A6878" t="s">
        <v>7005</v>
      </c>
      <c r="B6878" s="1">
        <v>45857</v>
      </c>
      <c r="C6878" t="s">
        <v>11</v>
      </c>
      <c r="D6878">
        <v>29</v>
      </c>
      <c r="E6878" t="s">
        <v>33</v>
      </c>
      <c r="F6878" t="s">
        <v>25</v>
      </c>
      <c r="G6878" t="s">
        <v>20</v>
      </c>
      <c r="H6878" t="s">
        <v>157</v>
      </c>
      <c r="I6878">
        <v>25782</v>
      </c>
      <c r="J6878">
        <v>32685</v>
      </c>
    </row>
    <row r="6879" spans="1:10" x14ac:dyDescent="0.3">
      <c r="A6879" t="s">
        <v>7006</v>
      </c>
      <c r="B6879" s="1">
        <v>45904</v>
      </c>
      <c r="C6879" t="s">
        <v>38</v>
      </c>
      <c r="D6879">
        <v>36</v>
      </c>
      <c r="E6879" t="s">
        <v>18</v>
      </c>
      <c r="F6879" t="s">
        <v>57</v>
      </c>
      <c r="G6879" t="s">
        <v>147</v>
      </c>
      <c r="H6879" t="s">
        <v>123</v>
      </c>
      <c r="I6879">
        <v>27093</v>
      </c>
      <c r="J6879">
        <v>23135</v>
      </c>
    </row>
    <row r="6880" spans="1:10" x14ac:dyDescent="0.3">
      <c r="A6880" t="s">
        <v>7007</v>
      </c>
      <c r="B6880" s="1">
        <v>45821</v>
      </c>
      <c r="C6880" t="s">
        <v>74</v>
      </c>
      <c r="D6880">
        <v>24</v>
      </c>
      <c r="E6880" t="s">
        <v>18</v>
      </c>
      <c r="F6880" t="s">
        <v>109</v>
      </c>
      <c r="G6880" t="s">
        <v>20</v>
      </c>
      <c r="H6880" t="s">
        <v>41</v>
      </c>
      <c r="I6880">
        <v>31322</v>
      </c>
      <c r="J6880">
        <v>39774</v>
      </c>
    </row>
    <row r="6881" spans="1:10" x14ac:dyDescent="0.3">
      <c r="A6881" t="s">
        <v>7008</v>
      </c>
      <c r="B6881" s="1">
        <v>45725</v>
      </c>
      <c r="C6881" t="s">
        <v>95</v>
      </c>
      <c r="D6881">
        <v>10</v>
      </c>
      <c r="E6881" t="s">
        <v>61</v>
      </c>
      <c r="F6881" t="s">
        <v>13</v>
      </c>
      <c r="G6881" t="s">
        <v>324</v>
      </c>
      <c r="H6881" t="s">
        <v>80</v>
      </c>
      <c r="I6881">
        <v>21561</v>
      </c>
      <c r="J6881">
        <v>26947</v>
      </c>
    </row>
    <row r="6882" spans="1:10" x14ac:dyDescent="0.3">
      <c r="A6882" t="s">
        <v>7009</v>
      </c>
      <c r="B6882" s="1">
        <v>45915</v>
      </c>
      <c r="C6882" t="s">
        <v>38</v>
      </c>
      <c r="D6882">
        <v>38</v>
      </c>
      <c r="E6882" t="s">
        <v>39</v>
      </c>
      <c r="F6882" t="s">
        <v>140</v>
      </c>
      <c r="G6882" t="s">
        <v>20</v>
      </c>
      <c r="H6882" t="s">
        <v>64</v>
      </c>
      <c r="I6882">
        <v>16332</v>
      </c>
      <c r="J6882">
        <v>14001</v>
      </c>
    </row>
    <row r="6883" spans="1:10" x14ac:dyDescent="0.3">
      <c r="A6883" t="s">
        <v>7010</v>
      </c>
      <c r="B6883" s="1">
        <v>45665</v>
      </c>
      <c r="C6883" t="s">
        <v>17</v>
      </c>
      <c r="D6883">
        <v>2</v>
      </c>
      <c r="E6883" t="s">
        <v>39</v>
      </c>
      <c r="F6883" t="s">
        <v>87</v>
      </c>
      <c r="G6883" t="s">
        <v>266</v>
      </c>
      <c r="H6883" t="s">
        <v>48</v>
      </c>
      <c r="I6883">
        <v>18167</v>
      </c>
      <c r="J6883">
        <v>14699</v>
      </c>
    </row>
    <row r="6884" spans="1:10" x14ac:dyDescent="0.3">
      <c r="A6884" t="s">
        <v>7011</v>
      </c>
      <c r="B6884" s="1">
        <v>45807</v>
      </c>
      <c r="C6884" t="s">
        <v>90</v>
      </c>
      <c r="D6884">
        <v>22</v>
      </c>
      <c r="E6884" t="s">
        <v>39</v>
      </c>
      <c r="F6884" t="s">
        <v>101</v>
      </c>
      <c r="G6884" t="s">
        <v>149</v>
      </c>
      <c r="H6884" t="s">
        <v>243</v>
      </c>
      <c r="I6884">
        <v>38867</v>
      </c>
      <c r="J6884">
        <v>36941</v>
      </c>
    </row>
    <row r="6885" spans="1:10" x14ac:dyDescent="0.3">
      <c r="A6885" t="s">
        <v>7012</v>
      </c>
      <c r="B6885" s="1">
        <v>45736</v>
      </c>
      <c r="C6885" t="s">
        <v>95</v>
      </c>
      <c r="D6885">
        <v>12</v>
      </c>
      <c r="E6885" t="s">
        <v>61</v>
      </c>
      <c r="F6885" t="s">
        <v>57</v>
      </c>
      <c r="G6885" t="s">
        <v>44</v>
      </c>
      <c r="H6885" t="s">
        <v>157</v>
      </c>
      <c r="I6885">
        <v>18283</v>
      </c>
      <c r="J6885">
        <v>12911</v>
      </c>
    </row>
    <row r="6886" spans="1:10" x14ac:dyDescent="0.3">
      <c r="A6886" t="s">
        <v>7013</v>
      </c>
      <c r="B6886" s="1">
        <v>45811</v>
      </c>
      <c r="C6886" t="s">
        <v>74</v>
      </c>
      <c r="D6886">
        <v>23</v>
      </c>
      <c r="E6886" t="s">
        <v>39</v>
      </c>
      <c r="F6886" t="s">
        <v>34</v>
      </c>
      <c r="G6886" t="s">
        <v>20</v>
      </c>
      <c r="H6886" t="s">
        <v>52</v>
      </c>
      <c r="I6886">
        <v>20518</v>
      </c>
      <c r="J6886">
        <v>17342</v>
      </c>
    </row>
    <row r="6887" spans="1:10" x14ac:dyDescent="0.3">
      <c r="A6887" t="s">
        <v>7014</v>
      </c>
      <c r="B6887" s="1">
        <v>45849</v>
      </c>
      <c r="C6887" t="s">
        <v>11</v>
      </c>
      <c r="D6887">
        <v>28</v>
      </c>
      <c r="E6887" t="s">
        <v>12</v>
      </c>
      <c r="F6887" t="s">
        <v>78</v>
      </c>
      <c r="G6887" t="s">
        <v>20</v>
      </c>
      <c r="H6887" t="s">
        <v>119</v>
      </c>
      <c r="I6887">
        <v>24489</v>
      </c>
      <c r="J6887">
        <v>25968</v>
      </c>
    </row>
    <row r="6888" spans="1:10" x14ac:dyDescent="0.3">
      <c r="A6888" t="s">
        <v>7015</v>
      </c>
      <c r="B6888" s="1">
        <v>45777</v>
      </c>
      <c r="C6888" t="s">
        <v>86</v>
      </c>
      <c r="D6888">
        <v>18</v>
      </c>
      <c r="E6888" t="s">
        <v>18</v>
      </c>
      <c r="F6888" t="s">
        <v>193</v>
      </c>
      <c r="G6888" t="s">
        <v>145</v>
      </c>
      <c r="H6888" t="s">
        <v>151</v>
      </c>
      <c r="I6888">
        <v>26690</v>
      </c>
      <c r="J6888">
        <v>29178</v>
      </c>
    </row>
    <row r="6889" spans="1:10" x14ac:dyDescent="0.3">
      <c r="A6889" t="s">
        <v>7016</v>
      </c>
      <c r="B6889" s="1">
        <v>45915</v>
      </c>
      <c r="C6889" t="s">
        <v>38</v>
      </c>
      <c r="D6889">
        <v>38</v>
      </c>
      <c r="E6889" t="s">
        <v>61</v>
      </c>
      <c r="F6889" t="s">
        <v>34</v>
      </c>
      <c r="G6889" t="s">
        <v>20</v>
      </c>
      <c r="H6889" t="s">
        <v>41</v>
      </c>
      <c r="I6889">
        <v>30246</v>
      </c>
      <c r="J6889">
        <v>36721</v>
      </c>
    </row>
    <row r="6890" spans="1:10" x14ac:dyDescent="0.3">
      <c r="A6890" t="s">
        <v>7017</v>
      </c>
      <c r="B6890" s="1">
        <v>45959</v>
      </c>
      <c r="C6890" t="s">
        <v>66</v>
      </c>
      <c r="D6890">
        <v>44</v>
      </c>
      <c r="E6890" t="s">
        <v>24</v>
      </c>
      <c r="F6890" t="s">
        <v>101</v>
      </c>
      <c r="G6890" t="s">
        <v>83</v>
      </c>
      <c r="H6890" t="s">
        <v>119</v>
      </c>
      <c r="I6890">
        <v>37554</v>
      </c>
      <c r="J6890">
        <v>32505</v>
      </c>
    </row>
    <row r="6891" spans="1:10" x14ac:dyDescent="0.3">
      <c r="A6891" t="s">
        <v>7018</v>
      </c>
      <c r="B6891" s="1">
        <v>46005</v>
      </c>
      <c r="C6891" t="s">
        <v>100</v>
      </c>
      <c r="D6891">
        <v>50</v>
      </c>
      <c r="E6891" t="s">
        <v>12</v>
      </c>
      <c r="F6891" t="s">
        <v>25</v>
      </c>
      <c r="G6891" t="s">
        <v>30</v>
      </c>
      <c r="H6891" t="s">
        <v>52</v>
      </c>
      <c r="I6891">
        <v>26223</v>
      </c>
      <c r="J6891">
        <v>19058</v>
      </c>
    </row>
    <row r="6892" spans="1:10" x14ac:dyDescent="0.3">
      <c r="A6892" t="s">
        <v>7019</v>
      </c>
      <c r="B6892" s="1">
        <v>45685</v>
      </c>
      <c r="C6892" t="s">
        <v>17</v>
      </c>
      <c r="D6892">
        <v>5</v>
      </c>
      <c r="E6892" t="s">
        <v>33</v>
      </c>
      <c r="F6892" t="s">
        <v>29</v>
      </c>
      <c r="G6892" t="s">
        <v>132</v>
      </c>
      <c r="H6892" t="s">
        <v>68</v>
      </c>
      <c r="I6892">
        <v>19753</v>
      </c>
      <c r="J6892">
        <v>23873</v>
      </c>
    </row>
    <row r="6893" spans="1:10" x14ac:dyDescent="0.3">
      <c r="A6893" t="s">
        <v>7020</v>
      </c>
      <c r="B6893" s="1">
        <v>45906</v>
      </c>
      <c r="C6893" t="s">
        <v>38</v>
      </c>
      <c r="D6893">
        <v>36</v>
      </c>
      <c r="E6893" t="s">
        <v>18</v>
      </c>
      <c r="F6893" t="s">
        <v>109</v>
      </c>
      <c r="G6893" t="s">
        <v>47</v>
      </c>
      <c r="H6893" t="s">
        <v>165</v>
      </c>
      <c r="I6893">
        <v>18707</v>
      </c>
      <c r="J6893">
        <v>20196</v>
      </c>
    </row>
    <row r="6894" spans="1:10" x14ac:dyDescent="0.3">
      <c r="A6894" t="s">
        <v>7021</v>
      </c>
      <c r="B6894" s="1">
        <v>45872</v>
      </c>
      <c r="C6894" t="s">
        <v>113</v>
      </c>
      <c r="D6894">
        <v>31</v>
      </c>
      <c r="E6894" t="s">
        <v>12</v>
      </c>
      <c r="F6894" t="s">
        <v>34</v>
      </c>
      <c r="G6894" t="s">
        <v>240</v>
      </c>
      <c r="H6894" t="s">
        <v>52</v>
      </c>
      <c r="I6894">
        <v>25304</v>
      </c>
      <c r="J6894">
        <v>22850</v>
      </c>
    </row>
    <row r="6895" spans="1:10" x14ac:dyDescent="0.3">
      <c r="A6895" t="s">
        <v>7022</v>
      </c>
      <c r="B6895" s="1">
        <v>45716</v>
      </c>
      <c r="C6895" t="s">
        <v>82</v>
      </c>
      <c r="D6895">
        <v>9</v>
      </c>
      <c r="E6895" t="s">
        <v>33</v>
      </c>
      <c r="F6895" t="s">
        <v>46</v>
      </c>
      <c r="G6895" t="s">
        <v>128</v>
      </c>
      <c r="H6895" t="s">
        <v>133</v>
      </c>
      <c r="I6895">
        <v>37090</v>
      </c>
      <c r="J6895">
        <v>26589</v>
      </c>
    </row>
    <row r="6896" spans="1:10" x14ac:dyDescent="0.3">
      <c r="A6896" t="s">
        <v>7023</v>
      </c>
      <c r="B6896" s="1">
        <v>45806</v>
      </c>
      <c r="C6896" t="s">
        <v>90</v>
      </c>
      <c r="D6896">
        <v>22</v>
      </c>
      <c r="E6896" t="s">
        <v>39</v>
      </c>
      <c r="F6896" t="s">
        <v>75</v>
      </c>
      <c r="G6896" t="s">
        <v>160</v>
      </c>
      <c r="H6896" t="s">
        <v>133</v>
      </c>
      <c r="I6896">
        <v>15705</v>
      </c>
      <c r="J6896">
        <v>15726</v>
      </c>
    </row>
    <row r="6897" spans="1:10" x14ac:dyDescent="0.3">
      <c r="A6897" t="s">
        <v>7024</v>
      </c>
      <c r="B6897" s="1">
        <v>45788</v>
      </c>
      <c r="C6897" t="s">
        <v>90</v>
      </c>
      <c r="D6897">
        <v>19</v>
      </c>
      <c r="E6897" t="s">
        <v>39</v>
      </c>
      <c r="F6897" t="s">
        <v>109</v>
      </c>
      <c r="G6897" t="s">
        <v>230</v>
      </c>
      <c r="H6897" t="s">
        <v>98</v>
      </c>
      <c r="I6897">
        <v>23337</v>
      </c>
      <c r="J6897">
        <v>16807</v>
      </c>
    </row>
    <row r="6898" spans="1:10" x14ac:dyDescent="0.3">
      <c r="A6898" t="s">
        <v>7025</v>
      </c>
      <c r="B6898" s="1">
        <v>45794</v>
      </c>
      <c r="C6898" t="s">
        <v>90</v>
      </c>
      <c r="D6898">
        <v>20</v>
      </c>
      <c r="E6898" t="s">
        <v>39</v>
      </c>
      <c r="F6898" t="s">
        <v>34</v>
      </c>
      <c r="G6898" t="s">
        <v>201</v>
      </c>
      <c r="H6898" t="s">
        <v>15</v>
      </c>
      <c r="I6898">
        <v>19671</v>
      </c>
      <c r="J6898">
        <v>15189</v>
      </c>
    </row>
    <row r="6899" spans="1:10" x14ac:dyDescent="0.3">
      <c r="A6899" t="s">
        <v>7026</v>
      </c>
      <c r="B6899" s="1">
        <v>45873</v>
      </c>
      <c r="C6899" t="s">
        <v>113</v>
      </c>
      <c r="D6899">
        <v>32</v>
      </c>
      <c r="E6899" t="s">
        <v>24</v>
      </c>
      <c r="F6899" t="s">
        <v>193</v>
      </c>
      <c r="G6899" t="s">
        <v>115</v>
      </c>
      <c r="H6899" t="s">
        <v>155</v>
      </c>
      <c r="I6899">
        <v>37941</v>
      </c>
      <c r="J6899">
        <v>29253</v>
      </c>
    </row>
    <row r="6900" spans="1:10" x14ac:dyDescent="0.3">
      <c r="A6900" t="s">
        <v>7027</v>
      </c>
      <c r="B6900" s="1">
        <v>45693</v>
      </c>
      <c r="C6900" t="s">
        <v>82</v>
      </c>
      <c r="D6900">
        <v>6</v>
      </c>
      <c r="E6900" t="s">
        <v>12</v>
      </c>
      <c r="F6900" t="s">
        <v>87</v>
      </c>
      <c r="G6900" t="s">
        <v>141</v>
      </c>
      <c r="H6900" t="s">
        <v>64</v>
      </c>
      <c r="I6900">
        <v>20738</v>
      </c>
      <c r="J6900">
        <v>26199</v>
      </c>
    </row>
    <row r="6901" spans="1:10" x14ac:dyDescent="0.3">
      <c r="A6901" t="s">
        <v>7028</v>
      </c>
      <c r="B6901" s="1">
        <v>45950</v>
      </c>
      <c r="C6901" t="s">
        <v>66</v>
      </c>
      <c r="D6901">
        <v>43</v>
      </c>
      <c r="E6901" t="s">
        <v>18</v>
      </c>
      <c r="F6901" t="s">
        <v>43</v>
      </c>
      <c r="G6901" t="s">
        <v>253</v>
      </c>
      <c r="H6901" t="s">
        <v>111</v>
      </c>
      <c r="I6901">
        <v>31360</v>
      </c>
      <c r="J6901">
        <v>22383</v>
      </c>
    </row>
    <row r="6902" spans="1:10" x14ac:dyDescent="0.3">
      <c r="A6902" t="s">
        <v>7029</v>
      </c>
      <c r="B6902" s="1">
        <v>45848</v>
      </c>
      <c r="C6902" t="s">
        <v>11</v>
      </c>
      <c r="D6902">
        <v>28</v>
      </c>
      <c r="E6902" t="s">
        <v>70</v>
      </c>
      <c r="F6902" t="s">
        <v>140</v>
      </c>
      <c r="G6902" t="s">
        <v>132</v>
      </c>
      <c r="H6902" t="s">
        <v>80</v>
      </c>
      <c r="I6902">
        <v>18300</v>
      </c>
      <c r="J6902">
        <v>20304</v>
      </c>
    </row>
    <row r="6903" spans="1:10" x14ac:dyDescent="0.3">
      <c r="A6903" t="s">
        <v>7030</v>
      </c>
      <c r="B6903" s="1">
        <v>45782</v>
      </c>
      <c r="C6903" t="s">
        <v>90</v>
      </c>
      <c r="D6903">
        <v>19</v>
      </c>
      <c r="E6903" t="s">
        <v>39</v>
      </c>
      <c r="F6903" t="s">
        <v>29</v>
      </c>
      <c r="G6903" t="s">
        <v>266</v>
      </c>
      <c r="H6903" t="s">
        <v>116</v>
      </c>
      <c r="I6903">
        <v>20491</v>
      </c>
      <c r="J6903">
        <v>15233</v>
      </c>
    </row>
    <row r="6904" spans="1:10" x14ac:dyDescent="0.3">
      <c r="A6904" t="s">
        <v>7031</v>
      </c>
      <c r="B6904" s="1">
        <v>45956</v>
      </c>
      <c r="C6904" t="s">
        <v>66</v>
      </c>
      <c r="D6904">
        <v>43</v>
      </c>
      <c r="E6904" t="s">
        <v>33</v>
      </c>
      <c r="F6904" t="s">
        <v>57</v>
      </c>
      <c r="G6904" t="s">
        <v>63</v>
      </c>
      <c r="H6904" t="s">
        <v>84</v>
      </c>
      <c r="I6904">
        <v>16333</v>
      </c>
      <c r="J6904">
        <v>14523</v>
      </c>
    </row>
    <row r="6905" spans="1:10" x14ac:dyDescent="0.3">
      <c r="A6905" t="s">
        <v>7032</v>
      </c>
      <c r="B6905" s="1">
        <v>45729</v>
      </c>
      <c r="C6905" t="s">
        <v>95</v>
      </c>
      <c r="D6905">
        <v>11</v>
      </c>
      <c r="E6905" t="s">
        <v>24</v>
      </c>
      <c r="F6905" t="s">
        <v>78</v>
      </c>
      <c r="G6905" t="s">
        <v>72</v>
      </c>
      <c r="H6905" t="s">
        <v>98</v>
      </c>
      <c r="I6905">
        <v>35321</v>
      </c>
      <c r="J6905">
        <v>27341</v>
      </c>
    </row>
    <row r="6906" spans="1:10" x14ac:dyDescent="0.3">
      <c r="A6906" t="s">
        <v>7033</v>
      </c>
      <c r="B6906" s="1">
        <v>45711</v>
      </c>
      <c r="C6906" t="s">
        <v>82</v>
      </c>
      <c r="D6906">
        <v>8</v>
      </c>
      <c r="E6906" t="s">
        <v>61</v>
      </c>
      <c r="F6906" t="s">
        <v>92</v>
      </c>
      <c r="G6906" t="s">
        <v>160</v>
      </c>
      <c r="H6906" t="s">
        <v>133</v>
      </c>
      <c r="I6906">
        <v>28532</v>
      </c>
      <c r="J6906">
        <v>23072</v>
      </c>
    </row>
    <row r="6907" spans="1:10" x14ac:dyDescent="0.3">
      <c r="A6907" t="s">
        <v>7034</v>
      </c>
      <c r="B6907" s="1">
        <v>46005</v>
      </c>
      <c r="C6907" t="s">
        <v>100</v>
      </c>
      <c r="D6907">
        <v>50</v>
      </c>
      <c r="E6907" t="s">
        <v>24</v>
      </c>
      <c r="F6907" t="s">
        <v>29</v>
      </c>
      <c r="G6907" t="s">
        <v>160</v>
      </c>
      <c r="H6907" t="s">
        <v>116</v>
      </c>
      <c r="I6907">
        <v>15934</v>
      </c>
      <c r="J6907">
        <v>15497</v>
      </c>
    </row>
    <row r="6908" spans="1:10" x14ac:dyDescent="0.3">
      <c r="A6908" t="s">
        <v>7035</v>
      </c>
      <c r="B6908" s="1">
        <v>45916</v>
      </c>
      <c r="C6908" t="s">
        <v>38</v>
      </c>
      <c r="D6908">
        <v>38</v>
      </c>
      <c r="E6908" t="s">
        <v>70</v>
      </c>
      <c r="F6908" t="s">
        <v>13</v>
      </c>
      <c r="G6908" t="s">
        <v>324</v>
      </c>
      <c r="H6908" t="s">
        <v>119</v>
      </c>
      <c r="I6908">
        <v>38412</v>
      </c>
      <c r="J6908">
        <v>43140</v>
      </c>
    </row>
    <row r="6909" spans="1:10" x14ac:dyDescent="0.3">
      <c r="A6909" t="s">
        <v>7036</v>
      </c>
      <c r="B6909" s="1">
        <v>45871</v>
      </c>
      <c r="C6909" t="s">
        <v>113</v>
      </c>
      <c r="D6909">
        <v>31</v>
      </c>
      <c r="E6909" t="s">
        <v>18</v>
      </c>
      <c r="F6909" t="s">
        <v>92</v>
      </c>
      <c r="G6909" t="s">
        <v>126</v>
      </c>
      <c r="H6909" t="s">
        <v>243</v>
      </c>
      <c r="I6909">
        <v>21435</v>
      </c>
      <c r="J6909">
        <v>26468</v>
      </c>
    </row>
    <row r="6910" spans="1:10" x14ac:dyDescent="0.3">
      <c r="A6910" t="s">
        <v>7037</v>
      </c>
      <c r="B6910" s="1">
        <v>45854</v>
      </c>
      <c r="C6910" t="s">
        <v>11</v>
      </c>
      <c r="D6910">
        <v>29</v>
      </c>
      <c r="E6910" t="s">
        <v>33</v>
      </c>
      <c r="F6910" t="s">
        <v>50</v>
      </c>
      <c r="G6910" t="s">
        <v>63</v>
      </c>
      <c r="H6910" t="s">
        <v>98</v>
      </c>
      <c r="I6910">
        <v>31402</v>
      </c>
      <c r="J6910">
        <v>37296</v>
      </c>
    </row>
    <row r="6911" spans="1:10" x14ac:dyDescent="0.3">
      <c r="A6911" t="s">
        <v>7038</v>
      </c>
      <c r="B6911" s="1">
        <v>45774</v>
      </c>
      <c r="C6911" t="s">
        <v>86</v>
      </c>
      <c r="D6911">
        <v>17</v>
      </c>
      <c r="E6911" t="s">
        <v>39</v>
      </c>
      <c r="F6911" t="s">
        <v>75</v>
      </c>
      <c r="G6911" t="s">
        <v>324</v>
      </c>
      <c r="H6911" t="s">
        <v>103</v>
      </c>
      <c r="I6911">
        <v>25566</v>
      </c>
      <c r="J6911">
        <v>32155</v>
      </c>
    </row>
    <row r="6912" spans="1:10" x14ac:dyDescent="0.3">
      <c r="A6912" t="s">
        <v>7039</v>
      </c>
      <c r="B6912" s="1">
        <v>45680</v>
      </c>
      <c r="C6912" t="s">
        <v>17</v>
      </c>
      <c r="D6912">
        <v>4</v>
      </c>
      <c r="E6912" t="s">
        <v>24</v>
      </c>
      <c r="F6912" t="s">
        <v>62</v>
      </c>
      <c r="G6912" t="s">
        <v>88</v>
      </c>
      <c r="H6912" t="s">
        <v>98</v>
      </c>
      <c r="I6912">
        <v>26664</v>
      </c>
      <c r="J6912">
        <v>23771</v>
      </c>
    </row>
    <row r="6913" spans="1:10" x14ac:dyDescent="0.3">
      <c r="A6913" t="s">
        <v>7040</v>
      </c>
      <c r="B6913" s="1">
        <v>45723</v>
      </c>
      <c r="C6913" t="s">
        <v>95</v>
      </c>
      <c r="D6913">
        <v>10</v>
      </c>
      <c r="E6913" t="s">
        <v>12</v>
      </c>
      <c r="F6913" t="s">
        <v>29</v>
      </c>
      <c r="G6913" t="s">
        <v>83</v>
      </c>
      <c r="H6913" t="s">
        <v>48</v>
      </c>
      <c r="I6913">
        <v>38743</v>
      </c>
      <c r="J6913">
        <v>36251</v>
      </c>
    </row>
    <row r="6914" spans="1:10" x14ac:dyDescent="0.3">
      <c r="A6914" t="s">
        <v>7041</v>
      </c>
      <c r="B6914" s="1">
        <v>45844</v>
      </c>
      <c r="C6914" t="s">
        <v>11</v>
      </c>
      <c r="D6914">
        <v>27</v>
      </c>
      <c r="E6914" t="s">
        <v>24</v>
      </c>
      <c r="F6914" t="s">
        <v>92</v>
      </c>
      <c r="G6914" t="s">
        <v>20</v>
      </c>
      <c r="H6914" t="s">
        <v>103</v>
      </c>
      <c r="I6914">
        <v>31816</v>
      </c>
      <c r="J6914">
        <v>33278</v>
      </c>
    </row>
    <row r="6915" spans="1:10" x14ac:dyDescent="0.3">
      <c r="A6915" t="s">
        <v>7042</v>
      </c>
      <c r="B6915" s="1">
        <v>45753</v>
      </c>
      <c r="C6915" t="s">
        <v>86</v>
      </c>
      <c r="D6915">
        <v>14</v>
      </c>
      <c r="E6915" t="s">
        <v>18</v>
      </c>
      <c r="F6915" t="s">
        <v>57</v>
      </c>
      <c r="G6915" t="s">
        <v>102</v>
      </c>
      <c r="H6915" t="s">
        <v>31</v>
      </c>
      <c r="I6915">
        <v>17308</v>
      </c>
      <c r="J6915">
        <v>12170</v>
      </c>
    </row>
    <row r="6916" spans="1:10" x14ac:dyDescent="0.3">
      <c r="A6916" t="s">
        <v>7043</v>
      </c>
      <c r="B6916" s="1">
        <v>45886</v>
      </c>
      <c r="C6916" t="s">
        <v>113</v>
      </c>
      <c r="D6916">
        <v>33</v>
      </c>
      <c r="E6916" t="s">
        <v>33</v>
      </c>
      <c r="F6916" t="s">
        <v>92</v>
      </c>
      <c r="G6916" t="s">
        <v>182</v>
      </c>
      <c r="H6916" t="s">
        <v>27</v>
      </c>
      <c r="I6916">
        <v>31011</v>
      </c>
      <c r="J6916">
        <v>38584</v>
      </c>
    </row>
    <row r="6917" spans="1:10" x14ac:dyDescent="0.3">
      <c r="A6917" t="s">
        <v>7044</v>
      </c>
      <c r="B6917" s="1">
        <v>45927</v>
      </c>
      <c r="C6917" t="s">
        <v>38</v>
      </c>
      <c r="D6917">
        <v>39</v>
      </c>
      <c r="E6917" t="s">
        <v>70</v>
      </c>
      <c r="F6917" t="s">
        <v>46</v>
      </c>
      <c r="G6917" t="s">
        <v>83</v>
      </c>
      <c r="H6917" t="s">
        <v>119</v>
      </c>
      <c r="I6917">
        <v>23843</v>
      </c>
      <c r="J6917">
        <v>18900</v>
      </c>
    </row>
    <row r="6918" spans="1:10" x14ac:dyDescent="0.3">
      <c r="A6918" t="s">
        <v>7045</v>
      </c>
      <c r="B6918" s="1">
        <v>45892</v>
      </c>
      <c r="C6918" t="s">
        <v>113</v>
      </c>
      <c r="D6918">
        <v>34</v>
      </c>
      <c r="E6918" t="s">
        <v>24</v>
      </c>
      <c r="F6918" t="s">
        <v>29</v>
      </c>
      <c r="G6918" t="s">
        <v>132</v>
      </c>
      <c r="H6918" t="s">
        <v>155</v>
      </c>
      <c r="I6918">
        <v>35807</v>
      </c>
      <c r="J6918">
        <v>38182</v>
      </c>
    </row>
    <row r="6919" spans="1:10" x14ac:dyDescent="0.3">
      <c r="A6919" t="s">
        <v>7046</v>
      </c>
      <c r="B6919" s="1">
        <v>45791</v>
      </c>
      <c r="C6919" t="s">
        <v>90</v>
      </c>
      <c r="D6919">
        <v>20</v>
      </c>
      <c r="E6919" t="s">
        <v>24</v>
      </c>
      <c r="F6919" t="s">
        <v>140</v>
      </c>
      <c r="G6919" t="s">
        <v>67</v>
      </c>
      <c r="H6919" t="s">
        <v>52</v>
      </c>
      <c r="I6919">
        <v>15951</v>
      </c>
      <c r="J6919">
        <v>19456</v>
      </c>
    </row>
    <row r="6920" spans="1:10" x14ac:dyDescent="0.3">
      <c r="A6920" t="s">
        <v>7047</v>
      </c>
      <c r="B6920" s="1">
        <v>45820</v>
      </c>
      <c r="C6920" t="s">
        <v>74</v>
      </c>
      <c r="D6920">
        <v>24</v>
      </c>
      <c r="E6920" t="s">
        <v>70</v>
      </c>
      <c r="F6920" t="s">
        <v>87</v>
      </c>
      <c r="G6920" t="s">
        <v>93</v>
      </c>
      <c r="H6920" t="s">
        <v>157</v>
      </c>
      <c r="I6920">
        <v>32389</v>
      </c>
      <c r="J6920">
        <v>40338</v>
      </c>
    </row>
    <row r="6921" spans="1:10" x14ac:dyDescent="0.3">
      <c r="A6921" t="s">
        <v>7048</v>
      </c>
      <c r="B6921" s="1">
        <v>45935</v>
      </c>
      <c r="C6921" t="s">
        <v>66</v>
      </c>
      <c r="D6921">
        <v>40</v>
      </c>
      <c r="E6921" t="s">
        <v>18</v>
      </c>
      <c r="F6921" t="s">
        <v>140</v>
      </c>
      <c r="G6921" t="s">
        <v>199</v>
      </c>
      <c r="H6921" t="s">
        <v>48</v>
      </c>
      <c r="I6921">
        <v>16913</v>
      </c>
      <c r="J6921">
        <v>13274</v>
      </c>
    </row>
    <row r="6922" spans="1:10" x14ac:dyDescent="0.3">
      <c r="A6922" t="s">
        <v>7049</v>
      </c>
      <c r="B6922" s="1">
        <v>45970</v>
      </c>
      <c r="C6922" t="s">
        <v>23</v>
      </c>
      <c r="D6922">
        <v>45</v>
      </c>
      <c r="E6922" t="s">
        <v>12</v>
      </c>
      <c r="F6922" t="s">
        <v>62</v>
      </c>
      <c r="G6922" t="s">
        <v>149</v>
      </c>
      <c r="H6922" t="s">
        <v>55</v>
      </c>
      <c r="I6922">
        <v>20980</v>
      </c>
      <c r="J6922">
        <v>21938</v>
      </c>
    </row>
    <row r="6923" spans="1:10" x14ac:dyDescent="0.3">
      <c r="A6923" t="s">
        <v>7050</v>
      </c>
      <c r="B6923" s="1">
        <v>45872</v>
      </c>
      <c r="C6923" t="s">
        <v>113</v>
      </c>
      <c r="D6923">
        <v>31</v>
      </c>
      <c r="E6923" t="s">
        <v>70</v>
      </c>
      <c r="F6923" t="s">
        <v>109</v>
      </c>
      <c r="G6923" t="s">
        <v>182</v>
      </c>
      <c r="H6923" t="s">
        <v>116</v>
      </c>
      <c r="I6923">
        <v>38082</v>
      </c>
      <c r="J6923">
        <v>45847</v>
      </c>
    </row>
    <row r="6924" spans="1:10" x14ac:dyDescent="0.3">
      <c r="A6924" t="s">
        <v>7051</v>
      </c>
      <c r="B6924" s="1">
        <v>45981</v>
      </c>
      <c r="C6924" t="s">
        <v>23</v>
      </c>
      <c r="D6924">
        <v>47</v>
      </c>
      <c r="E6924" t="s">
        <v>70</v>
      </c>
      <c r="F6924" t="s">
        <v>43</v>
      </c>
      <c r="G6924" t="s">
        <v>160</v>
      </c>
      <c r="H6924" t="s">
        <v>123</v>
      </c>
      <c r="I6924">
        <v>35508</v>
      </c>
      <c r="J6924">
        <v>34098</v>
      </c>
    </row>
    <row r="6925" spans="1:10" x14ac:dyDescent="0.3">
      <c r="A6925" t="s">
        <v>7052</v>
      </c>
      <c r="B6925" s="1">
        <v>45856</v>
      </c>
      <c r="C6925" t="s">
        <v>11</v>
      </c>
      <c r="D6925">
        <v>29</v>
      </c>
      <c r="E6925" t="s">
        <v>39</v>
      </c>
      <c r="F6925" t="s">
        <v>25</v>
      </c>
      <c r="G6925" t="s">
        <v>20</v>
      </c>
      <c r="H6925" t="s">
        <v>80</v>
      </c>
      <c r="I6925">
        <v>24271</v>
      </c>
      <c r="J6925">
        <v>19274</v>
      </c>
    </row>
    <row r="6926" spans="1:10" x14ac:dyDescent="0.3">
      <c r="A6926" t="s">
        <v>7053</v>
      </c>
      <c r="B6926" s="1">
        <v>45934</v>
      </c>
      <c r="C6926" t="s">
        <v>66</v>
      </c>
      <c r="D6926">
        <v>40</v>
      </c>
      <c r="E6926" t="s">
        <v>24</v>
      </c>
      <c r="F6926" t="s">
        <v>13</v>
      </c>
      <c r="G6926" t="s">
        <v>47</v>
      </c>
      <c r="H6926" t="s">
        <v>96</v>
      </c>
      <c r="I6926">
        <v>34053</v>
      </c>
      <c r="J6926">
        <v>35334</v>
      </c>
    </row>
    <row r="6927" spans="1:10" x14ac:dyDescent="0.3">
      <c r="A6927" t="s">
        <v>7054</v>
      </c>
      <c r="B6927" s="1">
        <v>45927</v>
      </c>
      <c r="C6927" t="s">
        <v>38</v>
      </c>
      <c r="D6927">
        <v>39</v>
      </c>
      <c r="E6927" t="s">
        <v>70</v>
      </c>
      <c r="F6927" t="s">
        <v>57</v>
      </c>
      <c r="G6927" t="s">
        <v>141</v>
      </c>
      <c r="H6927" t="s">
        <v>103</v>
      </c>
      <c r="I6927">
        <v>23429</v>
      </c>
      <c r="J6927">
        <v>17028</v>
      </c>
    </row>
    <row r="6928" spans="1:10" x14ac:dyDescent="0.3">
      <c r="A6928" t="s">
        <v>7055</v>
      </c>
      <c r="B6928" s="1">
        <v>45925</v>
      </c>
      <c r="C6928" t="s">
        <v>38</v>
      </c>
      <c r="D6928">
        <v>39</v>
      </c>
      <c r="E6928" t="s">
        <v>33</v>
      </c>
      <c r="F6928" t="s">
        <v>101</v>
      </c>
      <c r="G6928" t="s">
        <v>20</v>
      </c>
      <c r="H6928" t="s">
        <v>96</v>
      </c>
      <c r="I6928">
        <v>31793</v>
      </c>
      <c r="J6928">
        <v>40363</v>
      </c>
    </row>
    <row r="6929" spans="1:10" x14ac:dyDescent="0.3">
      <c r="A6929" t="s">
        <v>7056</v>
      </c>
      <c r="B6929" s="1">
        <v>45988</v>
      </c>
      <c r="C6929" t="s">
        <v>23</v>
      </c>
      <c r="D6929">
        <v>48</v>
      </c>
      <c r="E6929" t="s">
        <v>12</v>
      </c>
      <c r="F6929" t="s">
        <v>122</v>
      </c>
      <c r="G6929" t="s">
        <v>324</v>
      </c>
      <c r="H6929" t="s">
        <v>27</v>
      </c>
      <c r="I6929">
        <v>38145</v>
      </c>
      <c r="J6929">
        <v>38253</v>
      </c>
    </row>
    <row r="6930" spans="1:10" x14ac:dyDescent="0.3">
      <c r="A6930" t="s">
        <v>7057</v>
      </c>
      <c r="B6930" s="1">
        <v>45788</v>
      </c>
      <c r="C6930" t="s">
        <v>90</v>
      </c>
      <c r="D6930">
        <v>19</v>
      </c>
      <c r="E6930" t="s">
        <v>18</v>
      </c>
      <c r="F6930" t="s">
        <v>25</v>
      </c>
      <c r="G6930" t="s">
        <v>102</v>
      </c>
      <c r="H6930" t="s">
        <v>133</v>
      </c>
      <c r="I6930">
        <v>20651</v>
      </c>
      <c r="J6930">
        <v>23967</v>
      </c>
    </row>
    <row r="6931" spans="1:10" x14ac:dyDescent="0.3">
      <c r="A6931" t="s">
        <v>7058</v>
      </c>
      <c r="B6931" s="1">
        <v>45681</v>
      </c>
      <c r="C6931" t="s">
        <v>17</v>
      </c>
      <c r="D6931">
        <v>4</v>
      </c>
      <c r="E6931" t="s">
        <v>61</v>
      </c>
      <c r="F6931" t="s">
        <v>114</v>
      </c>
      <c r="G6931" t="s">
        <v>20</v>
      </c>
      <c r="H6931" t="s">
        <v>103</v>
      </c>
      <c r="I6931">
        <v>39785</v>
      </c>
      <c r="J6931">
        <v>41664</v>
      </c>
    </row>
    <row r="6932" spans="1:10" x14ac:dyDescent="0.3">
      <c r="A6932" t="s">
        <v>7059</v>
      </c>
      <c r="B6932" s="1">
        <v>45962</v>
      </c>
      <c r="C6932" t="s">
        <v>23</v>
      </c>
      <c r="D6932">
        <v>44</v>
      </c>
      <c r="E6932" t="s">
        <v>18</v>
      </c>
      <c r="F6932" t="s">
        <v>62</v>
      </c>
      <c r="G6932" t="s">
        <v>199</v>
      </c>
      <c r="H6932" t="s">
        <v>84</v>
      </c>
      <c r="I6932">
        <v>22567</v>
      </c>
      <c r="J6932">
        <v>16017</v>
      </c>
    </row>
    <row r="6933" spans="1:10" x14ac:dyDescent="0.3">
      <c r="A6933" t="s">
        <v>7060</v>
      </c>
      <c r="B6933" s="1">
        <v>45696</v>
      </c>
      <c r="C6933" t="s">
        <v>82</v>
      </c>
      <c r="D6933">
        <v>6</v>
      </c>
      <c r="E6933" t="s">
        <v>39</v>
      </c>
      <c r="F6933" t="s">
        <v>43</v>
      </c>
      <c r="G6933" t="s">
        <v>110</v>
      </c>
      <c r="H6933" t="s">
        <v>27</v>
      </c>
      <c r="I6933">
        <v>17518</v>
      </c>
      <c r="J6933">
        <v>14741</v>
      </c>
    </row>
    <row r="6934" spans="1:10" x14ac:dyDescent="0.3">
      <c r="A6934" t="s">
        <v>7061</v>
      </c>
      <c r="B6934" s="1">
        <v>45747</v>
      </c>
      <c r="C6934" t="s">
        <v>95</v>
      </c>
      <c r="D6934">
        <v>14</v>
      </c>
      <c r="E6934" t="s">
        <v>70</v>
      </c>
      <c r="F6934" t="s">
        <v>46</v>
      </c>
      <c r="G6934" t="s">
        <v>137</v>
      </c>
      <c r="H6934" t="s">
        <v>98</v>
      </c>
      <c r="I6934">
        <v>34379</v>
      </c>
      <c r="J6934">
        <v>34338</v>
      </c>
    </row>
    <row r="6935" spans="1:10" x14ac:dyDescent="0.3">
      <c r="A6935" t="s">
        <v>7062</v>
      </c>
      <c r="B6935" s="1">
        <v>45949</v>
      </c>
      <c r="C6935" t="s">
        <v>66</v>
      </c>
      <c r="D6935">
        <v>42</v>
      </c>
      <c r="E6935" t="s">
        <v>18</v>
      </c>
      <c r="F6935" t="s">
        <v>46</v>
      </c>
      <c r="G6935" t="s">
        <v>206</v>
      </c>
      <c r="H6935" t="s">
        <v>188</v>
      </c>
      <c r="I6935">
        <v>20442</v>
      </c>
      <c r="J6935">
        <v>22304</v>
      </c>
    </row>
    <row r="6936" spans="1:10" x14ac:dyDescent="0.3">
      <c r="A6936" t="s">
        <v>7063</v>
      </c>
      <c r="B6936" s="1">
        <v>45817</v>
      </c>
      <c r="C6936" t="s">
        <v>74</v>
      </c>
      <c r="D6936">
        <v>24</v>
      </c>
      <c r="E6936" t="s">
        <v>18</v>
      </c>
      <c r="F6936" t="s">
        <v>57</v>
      </c>
      <c r="G6936" t="s">
        <v>141</v>
      </c>
      <c r="H6936" t="s">
        <v>151</v>
      </c>
      <c r="I6936">
        <v>36319</v>
      </c>
      <c r="J6936">
        <v>37837</v>
      </c>
    </row>
    <row r="6937" spans="1:10" x14ac:dyDescent="0.3">
      <c r="A6937" t="s">
        <v>7064</v>
      </c>
      <c r="B6937" s="1">
        <v>45757</v>
      </c>
      <c r="C6937" t="s">
        <v>86</v>
      </c>
      <c r="D6937">
        <v>15</v>
      </c>
      <c r="E6937" t="s">
        <v>24</v>
      </c>
      <c r="F6937" t="s">
        <v>122</v>
      </c>
      <c r="G6937" t="s">
        <v>79</v>
      </c>
      <c r="H6937" t="s">
        <v>15</v>
      </c>
      <c r="I6937">
        <v>31940</v>
      </c>
      <c r="J6937">
        <v>24706</v>
      </c>
    </row>
    <row r="6938" spans="1:10" x14ac:dyDescent="0.3">
      <c r="A6938" t="s">
        <v>7065</v>
      </c>
      <c r="B6938" s="1">
        <v>45999</v>
      </c>
      <c r="C6938" t="s">
        <v>100</v>
      </c>
      <c r="D6938">
        <v>50</v>
      </c>
      <c r="E6938" t="s">
        <v>39</v>
      </c>
      <c r="F6938" t="s">
        <v>101</v>
      </c>
      <c r="G6938" t="s">
        <v>182</v>
      </c>
      <c r="H6938" t="s">
        <v>21</v>
      </c>
      <c r="I6938">
        <v>39707</v>
      </c>
      <c r="J6938">
        <v>36373</v>
      </c>
    </row>
    <row r="6939" spans="1:10" x14ac:dyDescent="0.3">
      <c r="A6939" t="s">
        <v>7066</v>
      </c>
      <c r="B6939" s="1">
        <v>45896</v>
      </c>
      <c r="C6939" t="s">
        <v>113</v>
      </c>
      <c r="D6939">
        <v>35</v>
      </c>
      <c r="E6939" t="s">
        <v>70</v>
      </c>
      <c r="F6939" t="s">
        <v>75</v>
      </c>
      <c r="G6939" t="s">
        <v>149</v>
      </c>
      <c r="H6939" t="s">
        <v>64</v>
      </c>
      <c r="I6939">
        <v>39344</v>
      </c>
      <c r="J6939">
        <v>42861</v>
      </c>
    </row>
    <row r="6940" spans="1:10" x14ac:dyDescent="0.3">
      <c r="A6940" t="s">
        <v>7067</v>
      </c>
      <c r="B6940" s="1">
        <v>45932</v>
      </c>
      <c r="C6940" t="s">
        <v>66</v>
      </c>
      <c r="D6940">
        <v>40</v>
      </c>
      <c r="E6940" t="s">
        <v>24</v>
      </c>
      <c r="F6940" t="s">
        <v>29</v>
      </c>
      <c r="G6940" t="s">
        <v>118</v>
      </c>
      <c r="H6940" t="s">
        <v>15</v>
      </c>
      <c r="I6940">
        <v>38297</v>
      </c>
      <c r="J6940">
        <v>39040</v>
      </c>
    </row>
    <row r="6941" spans="1:10" x14ac:dyDescent="0.3">
      <c r="A6941" t="s">
        <v>7068</v>
      </c>
      <c r="B6941" s="1">
        <v>45660</v>
      </c>
      <c r="C6941" t="s">
        <v>17</v>
      </c>
      <c r="D6941">
        <v>1</v>
      </c>
      <c r="E6941" t="s">
        <v>70</v>
      </c>
      <c r="F6941" t="s">
        <v>50</v>
      </c>
      <c r="G6941" t="s">
        <v>201</v>
      </c>
      <c r="H6941" t="s">
        <v>123</v>
      </c>
      <c r="I6941">
        <v>19743</v>
      </c>
      <c r="J6941">
        <v>16569</v>
      </c>
    </row>
    <row r="6942" spans="1:10" x14ac:dyDescent="0.3">
      <c r="A6942" t="s">
        <v>7069</v>
      </c>
      <c r="B6942" s="1">
        <v>45951</v>
      </c>
      <c r="C6942" t="s">
        <v>66</v>
      </c>
      <c r="D6942">
        <v>43</v>
      </c>
      <c r="E6942" t="s">
        <v>61</v>
      </c>
      <c r="F6942" t="s">
        <v>13</v>
      </c>
      <c r="G6942" t="s">
        <v>115</v>
      </c>
      <c r="H6942" t="s">
        <v>98</v>
      </c>
      <c r="I6942">
        <v>17111</v>
      </c>
      <c r="J6942">
        <v>20931</v>
      </c>
    </row>
    <row r="6943" spans="1:10" x14ac:dyDescent="0.3">
      <c r="A6943" t="s">
        <v>7070</v>
      </c>
      <c r="B6943" s="1">
        <v>45836</v>
      </c>
      <c r="C6943" t="s">
        <v>74</v>
      </c>
      <c r="D6943">
        <v>26</v>
      </c>
      <c r="E6943" t="s">
        <v>61</v>
      </c>
      <c r="F6943" t="s">
        <v>193</v>
      </c>
      <c r="G6943" t="s">
        <v>266</v>
      </c>
      <c r="H6943" t="s">
        <v>84</v>
      </c>
      <c r="I6943">
        <v>35122</v>
      </c>
      <c r="J6943">
        <v>38432</v>
      </c>
    </row>
    <row r="6944" spans="1:10" x14ac:dyDescent="0.3">
      <c r="A6944" t="s">
        <v>7071</v>
      </c>
      <c r="B6944" s="1">
        <v>45758</v>
      </c>
      <c r="C6944" t="s">
        <v>86</v>
      </c>
      <c r="D6944">
        <v>15</v>
      </c>
      <c r="E6944" t="s">
        <v>39</v>
      </c>
      <c r="F6944" t="s">
        <v>92</v>
      </c>
      <c r="G6944" t="s">
        <v>26</v>
      </c>
      <c r="H6944" t="s">
        <v>41</v>
      </c>
      <c r="I6944">
        <v>34556</v>
      </c>
      <c r="J6944">
        <v>36815</v>
      </c>
    </row>
    <row r="6945" spans="1:10" x14ac:dyDescent="0.3">
      <c r="A6945" t="s">
        <v>7072</v>
      </c>
      <c r="B6945" s="1">
        <v>45872</v>
      </c>
      <c r="C6945" t="s">
        <v>113</v>
      </c>
      <c r="D6945">
        <v>31</v>
      </c>
      <c r="E6945" t="s">
        <v>39</v>
      </c>
      <c r="F6945" t="s">
        <v>75</v>
      </c>
      <c r="G6945" t="s">
        <v>253</v>
      </c>
      <c r="H6945" t="s">
        <v>48</v>
      </c>
      <c r="I6945">
        <v>18563</v>
      </c>
      <c r="J6945">
        <v>22020</v>
      </c>
    </row>
    <row r="6946" spans="1:10" x14ac:dyDescent="0.3">
      <c r="A6946" t="s">
        <v>7073</v>
      </c>
      <c r="B6946" s="1">
        <v>45753</v>
      </c>
      <c r="C6946" t="s">
        <v>86</v>
      </c>
      <c r="D6946">
        <v>14</v>
      </c>
      <c r="E6946" t="s">
        <v>33</v>
      </c>
      <c r="F6946" t="s">
        <v>75</v>
      </c>
      <c r="G6946" t="s">
        <v>171</v>
      </c>
      <c r="H6946" t="s">
        <v>165</v>
      </c>
      <c r="I6946">
        <v>31595</v>
      </c>
      <c r="J6946">
        <v>40390</v>
      </c>
    </row>
    <row r="6947" spans="1:10" x14ac:dyDescent="0.3">
      <c r="A6947" t="s">
        <v>7074</v>
      </c>
      <c r="B6947" s="1">
        <v>45701</v>
      </c>
      <c r="C6947" t="s">
        <v>82</v>
      </c>
      <c r="D6947">
        <v>7</v>
      </c>
      <c r="E6947" t="s">
        <v>33</v>
      </c>
      <c r="F6947" t="s">
        <v>75</v>
      </c>
      <c r="G6947" t="s">
        <v>182</v>
      </c>
      <c r="H6947" t="s">
        <v>27</v>
      </c>
      <c r="I6947">
        <v>27706</v>
      </c>
      <c r="J6947">
        <v>24238</v>
      </c>
    </row>
    <row r="6948" spans="1:10" x14ac:dyDescent="0.3">
      <c r="A6948" t="s">
        <v>7075</v>
      </c>
      <c r="B6948" s="1">
        <v>46021</v>
      </c>
      <c r="C6948" t="s">
        <v>100</v>
      </c>
      <c r="D6948">
        <v>1</v>
      </c>
      <c r="E6948" t="s">
        <v>61</v>
      </c>
      <c r="F6948" t="s">
        <v>140</v>
      </c>
      <c r="G6948" t="s">
        <v>240</v>
      </c>
      <c r="H6948" t="s">
        <v>27</v>
      </c>
      <c r="I6948">
        <v>36448</v>
      </c>
      <c r="J6948">
        <v>34354</v>
      </c>
    </row>
    <row r="6949" spans="1:10" x14ac:dyDescent="0.3">
      <c r="A6949" t="s">
        <v>7076</v>
      </c>
      <c r="B6949" s="1">
        <v>45814</v>
      </c>
      <c r="C6949" t="s">
        <v>74</v>
      </c>
      <c r="D6949">
        <v>23</v>
      </c>
      <c r="E6949" t="s">
        <v>39</v>
      </c>
      <c r="F6949" t="s">
        <v>29</v>
      </c>
      <c r="G6949" t="s">
        <v>191</v>
      </c>
      <c r="H6949" t="s">
        <v>48</v>
      </c>
      <c r="I6949">
        <v>32407</v>
      </c>
      <c r="J6949">
        <v>39169</v>
      </c>
    </row>
    <row r="6950" spans="1:10" x14ac:dyDescent="0.3">
      <c r="A6950" t="s">
        <v>7077</v>
      </c>
      <c r="B6950" s="1">
        <v>45907</v>
      </c>
      <c r="C6950" t="s">
        <v>38</v>
      </c>
      <c r="D6950">
        <v>36</v>
      </c>
      <c r="E6950" t="s">
        <v>18</v>
      </c>
      <c r="F6950" t="s">
        <v>19</v>
      </c>
      <c r="G6950" t="s">
        <v>76</v>
      </c>
      <c r="H6950" t="s">
        <v>111</v>
      </c>
      <c r="I6950">
        <v>22380</v>
      </c>
      <c r="J6950">
        <v>28188</v>
      </c>
    </row>
    <row r="6951" spans="1:10" x14ac:dyDescent="0.3">
      <c r="A6951" t="s">
        <v>7078</v>
      </c>
      <c r="B6951" s="1">
        <v>45867</v>
      </c>
      <c r="C6951" t="s">
        <v>11</v>
      </c>
      <c r="D6951">
        <v>31</v>
      </c>
      <c r="E6951" t="s">
        <v>70</v>
      </c>
      <c r="F6951" t="s">
        <v>78</v>
      </c>
      <c r="G6951" t="s">
        <v>51</v>
      </c>
      <c r="H6951" t="s">
        <v>163</v>
      </c>
      <c r="I6951">
        <v>29919</v>
      </c>
      <c r="J6951">
        <v>26739</v>
      </c>
    </row>
    <row r="6952" spans="1:10" x14ac:dyDescent="0.3">
      <c r="A6952" t="s">
        <v>7079</v>
      </c>
      <c r="B6952" s="1">
        <v>45677</v>
      </c>
      <c r="C6952" t="s">
        <v>17</v>
      </c>
      <c r="D6952">
        <v>4</v>
      </c>
      <c r="E6952" t="s">
        <v>70</v>
      </c>
      <c r="F6952" t="s">
        <v>87</v>
      </c>
      <c r="G6952" t="s">
        <v>171</v>
      </c>
      <c r="H6952" t="s">
        <v>243</v>
      </c>
      <c r="I6952">
        <v>27558</v>
      </c>
      <c r="J6952">
        <v>31254</v>
      </c>
    </row>
    <row r="6953" spans="1:10" x14ac:dyDescent="0.3">
      <c r="A6953" t="s">
        <v>7080</v>
      </c>
      <c r="B6953" s="1">
        <v>45894</v>
      </c>
      <c r="C6953" t="s">
        <v>113</v>
      </c>
      <c r="D6953">
        <v>35</v>
      </c>
      <c r="E6953" t="s">
        <v>33</v>
      </c>
      <c r="F6953" t="s">
        <v>122</v>
      </c>
      <c r="G6953" t="s">
        <v>160</v>
      </c>
      <c r="H6953" t="s">
        <v>52</v>
      </c>
      <c r="I6953">
        <v>27547</v>
      </c>
      <c r="J6953">
        <v>28959</v>
      </c>
    </row>
    <row r="6954" spans="1:10" x14ac:dyDescent="0.3">
      <c r="A6954" t="s">
        <v>7081</v>
      </c>
      <c r="B6954" s="1">
        <v>45947</v>
      </c>
      <c r="C6954" t="s">
        <v>66</v>
      </c>
      <c r="D6954">
        <v>42</v>
      </c>
      <c r="E6954" t="s">
        <v>33</v>
      </c>
      <c r="F6954" t="s">
        <v>25</v>
      </c>
      <c r="G6954" t="s">
        <v>130</v>
      </c>
      <c r="H6954" t="s">
        <v>80</v>
      </c>
      <c r="I6954">
        <v>38329</v>
      </c>
      <c r="J6954">
        <v>42870</v>
      </c>
    </row>
    <row r="6955" spans="1:10" x14ac:dyDescent="0.3">
      <c r="A6955" t="s">
        <v>7082</v>
      </c>
      <c r="B6955" s="1">
        <v>45850</v>
      </c>
      <c r="C6955" t="s">
        <v>11</v>
      </c>
      <c r="D6955">
        <v>28</v>
      </c>
      <c r="E6955" t="s">
        <v>39</v>
      </c>
      <c r="F6955" t="s">
        <v>78</v>
      </c>
      <c r="G6955" t="s">
        <v>266</v>
      </c>
      <c r="H6955" t="s">
        <v>163</v>
      </c>
      <c r="I6955">
        <v>30137</v>
      </c>
      <c r="J6955">
        <v>29860</v>
      </c>
    </row>
    <row r="6956" spans="1:10" x14ac:dyDescent="0.3">
      <c r="A6956" t="s">
        <v>7083</v>
      </c>
      <c r="B6956" s="1">
        <v>45705</v>
      </c>
      <c r="C6956" t="s">
        <v>82</v>
      </c>
      <c r="D6956">
        <v>8</v>
      </c>
      <c r="E6956" t="s">
        <v>24</v>
      </c>
      <c r="F6956" t="s">
        <v>78</v>
      </c>
      <c r="G6956" t="s">
        <v>145</v>
      </c>
      <c r="H6956" t="s">
        <v>55</v>
      </c>
      <c r="I6956">
        <v>36915</v>
      </c>
      <c r="J6956">
        <v>41682</v>
      </c>
    </row>
    <row r="6957" spans="1:10" x14ac:dyDescent="0.3">
      <c r="A6957" t="s">
        <v>7084</v>
      </c>
      <c r="B6957" s="1">
        <v>45822</v>
      </c>
      <c r="C6957" t="s">
        <v>74</v>
      </c>
      <c r="D6957">
        <v>24</v>
      </c>
      <c r="E6957" t="s">
        <v>12</v>
      </c>
      <c r="F6957" t="s">
        <v>87</v>
      </c>
      <c r="G6957" t="s">
        <v>107</v>
      </c>
      <c r="H6957" t="s">
        <v>98</v>
      </c>
      <c r="I6957">
        <v>37730</v>
      </c>
      <c r="J6957">
        <v>41113</v>
      </c>
    </row>
    <row r="6958" spans="1:10" x14ac:dyDescent="0.3">
      <c r="A6958" t="s">
        <v>7085</v>
      </c>
      <c r="B6958" s="1">
        <v>45718</v>
      </c>
      <c r="C6958" t="s">
        <v>95</v>
      </c>
      <c r="D6958">
        <v>9</v>
      </c>
      <c r="E6958" t="s">
        <v>24</v>
      </c>
      <c r="F6958" t="s">
        <v>43</v>
      </c>
      <c r="G6958" t="s">
        <v>83</v>
      </c>
      <c r="H6958" t="s">
        <v>27</v>
      </c>
      <c r="I6958">
        <v>29499</v>
      </c>
      <c r="J6958">
        <v>28251</v>
      </c>
    </row>
    <row r="6959" spans="1:10" x14ac:dyDescent="0.3">
      <c r="A6959" t="s">
        <v>7086</v>
      </c>
      <c r="B6959" s="1">
        <v>45712</v>
      </c>
      <c r="C6959" t="s">
        <v>82</v>
      </c>
      <c r="D6959">
        <v>9</v>
      </c>
      <c r="E6959" t="s">
        <v>70</v>
      </c>
      <c r="F6959" t="s">
        <v>140</v>
      </c>
      <c r="G6959" t="s">
        <v>234</v>
      </c>
      <c r="H6959" t="s">
        <v>68</v>
      </c>
      <c r="I6959">
        <v>25651</v>
      </c>
      <c r="J6959">
        <v>22805</v>
      </c>
    </row>
    <row r="6960" spans="1:10" x14ac:dyDescent="0.3">
      <c r="A6960" t="s">
        <v>7087</v>
      </c>
      <c r="B6960" s="1">
        <v>45681</v>
      </c>
      <c r="C6960" t="s">
        <v>17</v>
      </c>
      <c r="D6960">
        <v>4</v>
      </c>
      <c r="E6960" t="s">
        <v>61</v>
      </c>
      <c r="F6960" t="s">
        <v>34</v>
      </c>
      <c r="G6960" t="s">
        <v>26</v>
      </c>
      <c r="H6960" t="s">
        <v>211</v>
      </c>
      <c r="I6960">
        <v>33948</v>
      </c>
      <c r="J6960">
        <v>28904</v>
      </c>
    </row>
    <row r="6961" spans="1:10" x14ac:dyDescent="0.3">
      <c r="A6961" t="s">
        <v>7088</v>
      </c>
      <c r="B6961" s="1">
        <v>45872</v>
      </c>
      <c r="C6961" t="s">
        <v>113</v>
      </c>
      <c r="D6961">
        <v>31</v>
      </c>
      <c r="E6961" t="s">
        <v>18</v>
      </c>
      <c r="F6961" t="s">
        <v>62</v>
      </c>
      <c r="G6961" t="s">
        <v>291</v>
      </c>
      <c r="H6961" t="s">
        <v>165</v>
      </c>
      <c r="I6961">
        <v>28875</v>
      </c>
      <c r="J6961">
        <v>28457</v>
      </c>
    </row>
    <row r="6962" spans="1:10" x14ac:dyDescent="0.3">
      <c r="A6962" t="s">
        <v>7089</v>
      </c>
      <c r="B6962" s="1">
        <v>45914</v>
      </c>
      <c r="C6962" t="s">
        <v>38</v>
      </c>
      <c r="D6962">
        <v>37</v>
      </c>
      <c r="E6962" t="s">
        <v>18</v>
      </c>
      <c r="F6962" t="s">
        <v>43</v>
      </c>
      <c r="G6962" t="s">
        <v>14</v>
      </c>
      <c r="H6962" t="s">
        <v>64</v>
      </c>
      <c r="I6962">
        <v>28439</v>
      </c>
      <c r="J6962">
        <v>36868</v>
      </c>
    </row>
    <row r="6963" spans="1:10" x14ac:dyDescent="0.3">
      <c r="A6963" t="s">
        <v>7090</v>
      </c>
      <c r="B6963" s="1">
        <v>45923</v>
      </c>
      <c r="C6963" t="s">
        <v>38</v>
      </c>
      <c r="D6963">
        <v>39</v>
      </c>
      <c r="E6963" t="s">
        <v>39</v>
      </c>
      <c r="F6963" t="s">
        <v>34</v>
      </c>
      <c r="G6963" t="s">
        <v>266</v>
      </c>
      <c r="H6963" t="s">
        <v>98</v>
      </c>
      <c r="I6963">
        <v>19637</v>
      </c>
      <c r="J6963">
        <v>15819</v>
      </c>
    </row>
    <row r="6964" spans="1:10" x14ac:dyDescent="0.3">
      <c r="A6964" t="s">
        <v>7091</v>
      </c>
      <c r="B6964" s="1">
        <v>45754</v>
      </c>
      <c r="C6964" t="s">
        <v>86</v>
      </c>
      <c r="D6964">
        <v>15</v>
      </c>
      <c r="E6964" t="s">
        <v>12</v>
      </c>
      <c r="F6964" t="s">
        <v>25</v>
      </c>
      <c r="G6964" t="s">
        <v>67</v>
      </c>
      <c r="H6964" t="s">
        <v>188</v>
      </c>
      <c r="I6964">
        <v>22362</v>
      </c>
      <c r="J6964">
        <v>16831</v>
      </c>
    </row>
    <row r="6965" spans="1:10" x14ac:dyDescent="0.3">
      <c r="A6965" t="s">
        <v>7092</v>
      </c>
      <c r="B6965" s="1">
        <v>45849</v>
      </c>
      <c r="C6965" t="s">
        <v>11</v>
      </c>
      <c r="D6965">
        <v>28</v>
      </c>
      <c r="E6965" t="s">
        <v>33</v>
      </c>
      <c r="F6965" t="s">
        <v>13</v>
      </c>
      <c r="G6965" t="s">
        <v>126</v>
      </c>
      <c r="H6965" t="s">
        <v>157</v>
      </c>
      <c r="I6965">
        <v>38528</v>
      </c>
      <c r="J6965">
        <v>42661</v>
      </c>
    </row>
    <row r="6966" spans="1:10" x14ac:dyDescent="0.3">
      <c r="A6966" t="s">
        <v>7093</v>
      </c>
      <c r="B6966" s="1">
        <v>45897</v>
      </c>
      <c r="C6966" t="s">
        <v>113</v>
      </c>
      <c r="D6966">
        <v>35</v>
      </c>
      <c r="E6966" t="s">
        <v>33</v>
      </c>
      <c r="F6966" t="s">
        <v>19</v>
      </c>
      <c r="G6966" t="s">
        <v>126</v>
      </c>
      <c r="H6966" t="s">
        <v>103</v>
      </c>
      <c r="I6966">
        <v>38951</v>
      </c>
      <c r="J6966">
        <v>46661</v>
      </c>
    </row>
    <row r="6967" spans="1:10" x14ac:dyDescent="0.3">
      <c r="A6967" t="s">
        <v>7094</v>
      </c>
      <c r="B6967" s="1">
        <v>45937</v>
      </c>
      <c r="C6967" t="s">
        <v>66</v>
      </c>
      <c r="D6967">
        <v>41</v>
      </c>
      <c r="E6967" t="s">
        <v>12</v>
      </c>
      <c r="F6967" t="s">
        <v>25</v>
      </c>
      <c r="G6967" t="s">
        <v>171</v>
      </c>
      <c r="H6967" t="s">
        <v>21</v>
      </c>
      <c r="I6967">
        <v>24759</v>
      </c>
      <c r="J6967">
        <v>26905</v>
      </c>
    </row>
    <row r="6968" spans="1:10" x14ac:dyDescent="0.3">
      <c r="A6968" t="s">
        <v>7095</v>
      </c>
      <c r="B6968" s="1">
        <v>45823</v>
      </c>
      <c r="C6968" t="s">
        <v>74</v>
      </c>
      <c r="D6968">
        <v>24</v>
      </c>
      <c r="E6968" t="s">
        <v>33</v>
      </c>
      <c r="F6968" t="s">
        <v>193</v>
      </c>
      <c r="G6968" t="s">
        <v>118</v>
      </c>
      <c r="H6968" t="s">
        <v>111</v>
      </c>
      <c r="I6968">
        <v>25180</v>
      </c>
      <c r="J6968">
        <v>23795</v>
      </c>
    </row>
    <row r="6969" spans="1:10" x14ac:dyDescent="0.3">
      <c r="A6969" t="s">
        <v>7096</v>
      </c>
      <c r="B6969" s="1">
        <v>45965</v>
      </c>
      <c r="C6969" t="s">
        <v>23</v>
      </c>
      <c r="D6969">
        <v>45</v>
      </c>
      <c r="E6969" t="s">
        <v>33</v>
      </c>
      <c r="F6969" t="s">
        <v>46</v>
      </c>
      <c r="G6969" t="s">
        <v>93</v>
      </c>
      <c r="H6969" t="s">
        <v>188</v>
      </c>
      <c r="I6969">
        <v>26991</v>
      </c>
      <c r="J6969">
        <v>22254</v>
      </c>
    </row>
    <row r="6970" spans="1:10" x14ac:dyDescent="0.3">
      <c r="A6970" t="s">
        <v>7097</v>
      </c>
      <c r="B6970" s="1">
        <v>45805</v>
      </c>
      <c r="C6970" t="s">
        <v>90</v>
      </c>
      <c r="D6970">
        <v>22</v>
      </c>
      <c r="E6970" t="s">
        <v>39</v>
      </c>
      <c r="F6970" t="s">
        <v>50</v>
      </c>
      <c r="G6970" t="s">
        <v>102</v>
      </c>
      <c r="H6970" t="s">
        <v>133</v>
      </c>
      <c r="I6970">
        <v>39576</v>
      </c>
      <c r="J6970">
        <v>44193</v>
      </c>
    </row>
    <row r="6971" spans="1:10" x14ac:dyDescent="0.3">
      <c r="A6971" t="s">
        <v>7098</v>
      </c>
      <c r="B6971" s="1">
        <v>45664</v>
      </c>
      <c r="C6971" t="s">
        <v>17</v>
      </c>
      <c r="D6971">
        <v>2</v>
      </c>
      <c r="E6971" t="s">
        <v>33</v>
      </c>
      <c r="F6971" t="s">
        <v>122</v>
      </c>
      <c r="G6971" t="s">
        <v>191</v>
      </c>
      <c r="H6971" t="s">
        <v>59</v>
      </c>
      <c r="I6971">
        <v>25392</v>
      </c>
      <c r="J6971">
        <v>17913</v>
      </c>
    </row>
    <row r="6972" spans="1:10" x14ac:dyDescent="0.3">
      <c r="A6972" t="s">
        <v>7099</v>
      </c>
      <c r="B6972" s="1">
        <v>45711</v>
      </c>
      <c r="C6972" t="s">
        <v>82</v>
      </c>
      <c r="D6972">
        <v>8</v>
      </c>
      <c r="E6972" t="s">
        <v>33</v>
      </c>
      <c r="F6972" t="s">
        <v>78</v>
      </c>
      <c r="G6972" t="s">
        <v>182</v>
      </c>
      <c r="H6972" t="s">
        <v>41</v>
      </c>
      <c r="I6972">
        <v>22658</v>
      </c>
      <c r="J6972">
        <v>24644</v>
      </c>
    </row>
    <row r="6973" spans="1:10" x14ac:dyDescent="0.3">
      <c r="A6973" t="s">
        <v>7100</v>
      </c>
      <c r="B6973" s="1">
        <v>45844</v>
      </c>
      <c r="C6973" t="s">
        <v>11</v>
      </c>
      <c r="D6973">
        <v>27</v>
      </c>
      <c r="E6973" t="s">
        <v>24</v>
      </c>
      <c r="F6973" t="s">
        <v>193</v>
      </c>
      <c r="G6973" t="s">
        <v>199</v>
      </c>
      <c r="H6973" t="s">
        <v>36</v>
      </c>
      <c r="I6973">
        <v>35548</v>
      </c>
      <c r="J6973">
        <v>28739</v>
      </c>
    </row>
    <row r="6974" spans="1:10" x14ac:dyDescent="0.3">
      <c r="A6974" t="s">
        <v>7101</v>
      </c>
      <c r="B6974" s="1">
        <v>45765</v>
      </c>
      <c r="C6974" t="s">
        <v>86</v>
      </c>
      <c r="D6974">
        <v>16</v>
      </c>
      <c r="E6974" t="s">
        <v>61</v>
      </c>
      <c r="F6974" t="s">
        <v>78</v>
      </c>
      <c r="G6974" t="s">
        <v>182</v>
      </c>
      <c r="H6974" t="s">
        <v>188</v>
      </c>
      <c r="I6974">
        <v>25251</v>
      </c>
      <c r="J6974">
        <v>29106</v>
      </c>
    </row>
    <row r="6975" spans="1:10" x14ac:dyDescent="0.3">
      <c r="A6975" t="s">
        <v>7102</v>
      </c>
      <c r="B6975" s="1">
        <v>45853</v>
      </c>
      <c r="C6975" t="s">
        <v>11</v>
      </c>
      <c r="D6975">
        <v>29</v>
      </c>
      <c r="E6975" t="s">
        <v>70</v>
      </c>
      <c r="F6975" t="s">
        <v>122</v>
      </c>
      <c r="G6975" t="s">
        <v>326</v>
      </c>
      <c r="H6975" t="s">
        <v>52</v>
      </c>
      <c r="I6975">
        <v>21699</v>
      </c>
      <c r="J6975">
        <v>24528</v>
      </c>
    </row>
    <row r="6976" spans="1:10" x14ac:dyDescent="0.3">
      <c r="A6976" t="s">
        <v>7103</v>
      </c>
      <c r="B6976" s="1">
        <v>45819</v>
      </c>
      <c r="C6976" t="s">
        <v>74</v>
      </c>
      <c r="D6976">
        <v>24</v>
      </c>
      <c r="E6976" t="s">
        <v>18</v>
      </c>
      <c r="F6976" t="s">
        <v>92</v>
      </c>
      <c r="G6976" t="s">
        <v>14</v>
      </c>
      <c r="H6976" t="s">
        <v>157</v>
      </c>
      <c r="I6976">
        <v>23085</v>
      </c>
      <c r="J6976">
        <v>25451</v>
      </c>
    </row>
    <row r="6977" spans="1:10" x14ac:dyDescent="0.3">
      <c r="A6977" t="s">
        <v>7104</v>
      </c>
      <c r="B6977" s="1">
        <v>45695</v>
      </c>
      <c r="C6977" t="s">
        <v>82</v>
      </c>
      <c r="D6977">
        <v>6</v>
      </c>
      <c r="E6977" t="s">
        <v>70</v>
      </c>
      <c r="F6977" t="s">
        <v>87</v>
      </c>
      <c r="G6977" t="s">
        <v>291</v>
      </c>
      <c r="H6977" t="s">
        <v>133</v>
      </c>
      <c r="I6977">
        <v>21760</v>
      </c>
      <c r="J6977">
        <v>27124</v>
      </c>
    </row>
    <row r="6978" spans="1:10" x14ac:dyDescent="0.3">
      <c r="A6978" t="s">
        <v>7105</v>
      </c>
      <c r="B6978" s="1">
        <v>45825</v>
      </c>
      <c r="C6978" t="s">
        <v>74</v>
      </c>
      <c r="D6978">
        <v>25</v>
      </c>
      <c r="E6978" t="s">
        <v>24</v>
      </c>
      <c r="F6978" t="s">
        <v>46</v>
      </c>
      <c r="G6978" t="s">
        <v>54</v>
      </c>
      <c r="H6978" t="s">
        <v>157</v>
      </c>
      <c r="I6978">
        <v>18356</v>
      </c>
      <c r="J6978">
        <v>18203</v>
      </c>
    </row>
    <row r="6979" spans="1:10" x14ac:dyDescent="0.3">
      <c r="A6979" t="s">
        <v>7106</v>
      </c>
      <c r="B6979" s="1">
        <v>45711</v>
      </c>
      <c r="C6979" t="s">
        <v>82</v>
      </c>
      <c r="D6979">
        <v>8</v>
      </c>
      <c r="E6979" t="s">
        <v>70</v>
      </c>
      <c r="F6979" t="s">
        <v>193</v>
      </c>
      <c r="G6979" t="s">
        <v>182</v>
      </c>
      <c r="H6979" t="s">
        <v>211</v>
      </c>
      <c r="I6979">
        <v>32719</v>
      </c>
      <c r="J6979">
        <v>40109</v>
      </c>
    </row>
    <row r="6980" spans="1:10" x14ac:dyDescent="0.3">
      <c r="A6980" t="s">
        <v>7107</v>
      </c>
      <c r="B6980" s="1">
        <v>45721</v>
      </c>
      <c r="C6980" t="s">
        <v>95</v>
      </c>
      <c r="D6980">
        <v>10</v>
      </c>
      <c r="E6980" t="s">
        <v>61</v>
      </c>
      <c r="F6980" t="s">
        <v>13</v>
      </c>
      <c r="G6980" t="s">
        <v>107</v>
      </c>
      <c r="H6980" t="s">
        <v>165</v>
      </c>
      <c r="I6980">
        <v>29630</v>
      </c>
      <c r="J6980">
        <v>21355</v>
      </c>
    </row>
    <row r="6981" spans="1:10" x14ac:dyDescent="0.3">
      <c r="A6981" t="s">
        <v>7108</v>
      </c>
      <c r="B6981" s="1">
        <v>45999</v>
      </c>
      <c r="C6981" t="s">
        <v>100</v>
      </c>
      <c r="D6981">
        <v>50</v>
      </c>
      <c r="E6981" t="s">
        <v>12</v>
      </c>
      <c r="F6981" t="s">
        <v>43</v>
      </c>
      <c r="G6981" t="s">
        <v>93</v>
      </c>
      <c r="H6981" t="s">
        <v>52</v>
      </c>
      <c r="I6981">
        <v>27554</v>
      </c>
      <c r="J6981">
        <v>27188</v>
      </c>
    </row>
    <row r="6982" spans="1:10" x14ac:dyDescent="0.3">
      <c r="A6982" t="s">
        <v>7109</v>
      </c>
      <c r="B6982" s="1">
        <v>45895</v>
      </c>
      <c r="C6982" t="s">
        <v>113</v>
      </c>
      <c r="D6982">
        <v>35</v>
      </c>
      <c r="E6982" t="s">
        <v>70</v>
      </c>
      <c r="F6982" t="s">
        <v>46</v>
      </c>
      <c r="G6982" t="s">
        <v>40</v>
      </c>
      <c r="H6982" t="s">
        <v>48</v>
      </c>
      <c r="I6982">
        <v>38472</v>
      </c>
      <c r="J6982">
        <v>29546</v>
      </c>
    </row>
    <row r="6983" spans="1:10" x14ac:dyDescent="0.3">
      <c r="A6983" t="s">
        <v>7110</v>
      </c>
      <c r="B6983" s="1">
        <v>45998</v>
      </c>
      <c r="C6983" t="s">
        <v>100</v>
      </c>
      <c r="D6983">
        <v>49</v>
      </c>
      <c r="E6983" t="s">
        <v>24</v>
      </c>
      <c r="F6983" t="s">
        <v>122</v>
      </c>
      <c r="G6983" t="s">
        <v>126</v>
      </c>
      <c r="H6983" t="s">
        <v>111</v>
      </c>
      <c r="I6983">
        <v>25810</v>
      </c>
      <c r="J6983">
        <v>19152</v>
      </c>
    </row>
    <row r="6984" spans="1:10" x14ac:dyDescent="0.3">
      <c r="A6984" t="s">
        <v>7111</v>
      </c>
      <c r="B6984" s="1">
        <v>45764</v>
      </c>
      <c r="C6984" t="s">
        <v>86</v>
      </c>
      <c r="D6984">
        <v>16</v>
      </c>
      <c r="E6984" t="s">
        <v>70</v>
      </c>
      <c r="F6984" t="s">
        <v>109</v>
      </c>
      <c r="G6984" t="s">
        <v>141</v>
      </c>
      <c r="H6984" t="s">
        <v>133</v>
      </c>
      <c r="I6984">
        <v>39921</v>
      </c>
      <c r="J6984">
        <v>42115</v>
      </c>
    </row>
    <row r="6985" spans="1:10" x14ac:dyDescent="0.3">
      <c r="A6985" t="s">
        <v>7112</v>
      </c>
      <c r="B6985" s="1">
        <v>45827</v>
      </c>
      <c r="C6985" t="s">
        <v>74</v>
      </c>
      <c r="D6985">
        <v>25</v>
      </c>
      <c r="E6985" t="s">
        <v>18</v>
      </c>
      <c r="F6985" t="s">
        <v>78</v>
      </c>
      <c r="G6985" t="s">
        <v>326</v>
      </c>
      <c r="H6985" t="s">
        <v>68</v>
      </c>
      <c r="I6985">
        <v>33486</v>
      </c>
      <c r="J6985">
        <v>39316</v>
      </c>
    </row>
    <row r="6986" spans="1:10" x14ac:dyDescent="0.3">
      <c r="A6986" t="s">
        <v>7113</v>
      </c>
      <c r="B6986" s="1">
        <v>45850</v>
      </c>
      <c r="C6986" t="s">
        <v>11</v>
      </c>
      <c r="D6986">
        <v>28</v>
      </c>
      <c r="E6986" t="s">
        <v>18</v>
      </c>
      <c r="F6986" t="s">
        <v>57</v>
      </c>
      <c r="G6986" t="s">
        <v>79</v>
      </c>
      <c r="H6986" t="s">
        <v>41</v>
      </c>
      <c r="I6986">
        <v>29899</v>
      </c>
      <c r="J6986">
        <v>22887</v>
      </c>
    </row>
    <row r="6987" spans="1:10" x14ac:dyDescent="0.3">
      <c r="A6987" t="s">
        <v>7114</v>
      </c>
      <c r="B6987" s="1">
        <v>45881</v>
      </c>
      <c r="C6987" t="s">
        <v>113</v>
      </c>
      <c r="D6987">
        <v>33</v>
      </c>
      <c r="E6987" t="s">
        <v>18</v>
      </c>
      <c r="F6987" t="s">
        <v>109</v>
      </c>
      <c r="G6987" t="s">
        <v>44</v>
      </c>
      <c r="H6987" t="s">
        <v>59</v>
      </c>
      <c r="I6987">
        <v>15834</v>
      </c>
      <c r="J6987">
        <v>15389</v>
      </c>
    </row>
    <row r="6988" spans="1:10" x14ac:dyDescent="0.3">
      <c r="A6988" t="s">
        <v>7115</v>
      </c>
      <c r="B6988" s="1">
        <v>45694</v>
      </c>
      <c r="C6988" t="s">
        <v>82</v>
      </c>
      <c r="D6988">
        <v>6</v>
      </c>
      <c r="E6988" t="s">
        <v>39</v>
      </c>
      <c r="F6988" t="s">
        <v>34</v>
      </c>
      <c r="G6988" t="s">
        <v>67</v>
      </c>
      <c r="H6988" t="s">
        <v>111</v>
      </c>
      <c r="I6988">
        <v>16095</v>
      </c>
      <c r="J6988">
        <v>13625</v>
      </c>
    </row>
    <row r="6989" spans="1:10" x14ac:dyDescent="0.3">
      <c r="A6989" t="s">
        <v>7116</v>
      </c>
      <c r="B6989" s="1">
        <v>45820</v>
      </c>
      <c r="C6989" t="s">
        <v>74</v>
      </c>
      <c r="D6989">
        <v>24</v>
      </c>
      <c r="E6989" t="s">
        <v>24</v>
      </c>
      <c r="F6989" t="s">
        <v>57</v>
      </c>
      <c r="G6989" t="s">
        <v>107</v>
      </c>
      <c r="H6989" t="s">
        <v>15</v>
      </c>
      <c r="I6989">
        <v>18732</v>
      </c>
      <c r="J6989">
        <v>13947</v>
      </c>
    </row>
    <row r="6990" spans="1:10" x14ac:dyDescent="0.3">
      <c r="A6990" t="s">
        <v>7117</v>
      </c>
      <c r="B6990" s="1">
        <v>45740</v>
      </c>
      <c r="C6990" t="s">
        <v>95</v>
      </c>
      <c r="D6990">
        <v>13</v>
      </c>
      <c r="E6990" t="s">
        <v>24</v>
      </c>
      <c r="F6990" t="s">
        <v>87</v>
      </c>
      <c r="G6990" t="s">
        <v>147</v>
      </c>
      <c r="H6990" t="s">
        <v>243</v>
      </c>
      <c r="I6990">
        <v>31243</v>
      </c>
      <c r="J6990">
        <v>29138</v>
      </c>
    </row>
    <row r="6991" spans="1:10" x14ac:dyDescent="0.3">
      <c r="A6991" t="s">
        <v>7118</v>
      </c>
      <c r="B6991" s="1">
        <v>45745</v>
      </c>
      <c r="C6991" t="s">
        <v>95</v>
      </c>
      <c r="D6991">
        <v>13</v>
      </c>
      <c r="E6991" t="s">
        <v>33</v>
      </c>
      <c r="F6991" t="s">
        <v>46</v>
      </c>
      <c r="G6991" t="s">
        <v>35</v>
      </c>
      <c r="H6991" t="s">
        <v>116</v>
      </c>
      <c r="I6991">
        <v>39462</v>
      </c>
      <c r="J6991">
        <v>43091</v>
      </c>
    </row>
    <row r="6992" spans="1:10" x14ac:dyDescent="0.3">
      <c r="A6992" t="s">
        <v>7119</v>
      </c>
      <c r="B6992" s="1">
        <v>45754</v>
      </c>
      <c r="C6992" t="s">
        <v>86</v>
      </c>
      <c r="D6992">
        <v>15</v>
      </c>
      <c r="E6992" t="s">
        <v>70</v>
      </c>
      <c r="F6992" t="s">
        <v>46</v>
      </c>
      <c r="G6992" t="s">
        <v>40</v>
      </c>
      <c r="H6992" t="s">
        <v>103</v>
      </c>
      <c r="I6992">
        <v>20917</v>
      </c>
      <c r="J6992">
        <v>26467</v>
      </c>
    </row>
    <row r="6993" spans="1:10" x14ac:dyDescent="0.3">
      <c r="A6993" t="s">
        <v>7120</v>
      </c>
      <c r="B6993" s="1">
        <v>45680</v>
      </c>
      <c r="C6993" t="s">
        <v>17</v>
      </c>
      <c r="D6993">
        <v>4</v>
      </c>
      <c r="E6993" t="s">
        <v>18</v>
      </c>
      <c r="F6993" t="s">
        <v>75</v>
      </c>
      <c r="G6993" t="s">
        <v>182</v>
      </c>
      <c r="H6993" t="s">
        <v>157</v>
      </c>
      <c r="I6993">
        <v>39733</v>
      </c>
      <c r="J6993">
        <v>47644</v>
      </c>
    </row>
    <row r="6994" spans="1:10" x14ac:dyDescent="0.3">
      <c r="A6994" t="s">
        <v>7121</v>
      </c>
      <c r="B6994" s="1">
        <v>45814</v>
      </c>
      <c r="C6994" t="s">
        <v>74</v>
      </c>
      <c r="D6994">
        <v>23</v>
      </c>
      <c r="E6994" t="s">
        <v>70</v>
      </c>
      <c r="F6994" t="s">
        <v>46</v>
      </c>
      <c r="G6994" t="s">
        <v>102</v>
      </c>
      <c r="H6994" t="s">
        <v>64</v>
      </c>
      <c r="I6994">
        <v>28501</v>
      </c>
      <c r="J6994">
        <v>36357</v>
      </c>
    </row>
    <row r="6995" spans="1:10" x14ac:dyDescent="0.3">
      <c r="A6995" t="s">
        <v>7122</v>
      </c>
      <c r="B6995" s="1">
        <v>45855</v>
      </c>
      <c r="C6995" t="s">
        <v>11</v>
      </c>
      <c r="D6995">
        <v>29</v>
      </c>
      <c r="E6995" t="s">
        <v>61</v>
      </c>
      <c r="F6995" t="s">
        <v>25</v>
      </c>
      <c r="G6995" t="s">
        <v>240</v>
      </c>
      <c r="H6995" t="s">
        <v>119</v>
      </c>
      <c r="I6995">
        <v>15953</v>
      </c>
      <c r="J6995">
        <v>14126</v>
      </c>
    </row>
    <row r="6996" spans="1:10" x14ac:dyDescent="0.3">
      <c r="A6996" t="s">
        <v>7123</v>
      </c>
      <c r="B6996" s="1">
        <v>45860</v>
      </c>
      <c r="C6996" t="s">
        <v>11</v>
      </c>
      <c r="D6996">
        <v>30</v>
      </c>
      <c r="E6996" t="s">
        <v>12</v>
      </c>
      <c r="F6996" t="s">
        <v>122</v>
      </c>
      <c r="G6996" t="s">
        <v>199</v>
      </c>
      <c r="H6996" t="s">
        <v>84</v>
      </c>
      <c r="I6996">
        <v>37796</v>
      </c>
      <c r="J6996">
        <v>30787</v>
      </c>
    </row>
    <row r="6997" spans="1:10" x14ac:dyDescent="0.3">
      <c r="A6997" t="s">
        <v>7124</v>
      </c>
      <c r="B6997" s="1">
        <v>45818</v>
      </c>
      <c r="C6997" t="s">
        <v>74</v>
      </c>
      <c r="D6997">
        <v>24</v>
      </c>
      <c r="E6997" t="s">
        <v>33</v>
      </c>
      <c r="F6997" t="s">
        <v>43</v>
      </c>
      <c r="G6997" t="s">
        <v>14</v>
      </c>
      <c r="H6997" t="s">
        <v>41</v>
      </c>
      <c r="I6997">
        <v>32603</v>
      </c>
      <c r="J6997">
        <v>30415</v>
      </c>
    </row>
    <row r="6998" spans="1:10" x14ac:dyDescent="0.3">
      <c r="A6998" t="s">
        <v>7125</v>
      </c>
      <c r="B6998" s="1">
        <v>45761</v>
      </c>
      <c r="C6998" t="s">
        <v>86</v>
      </c>
      <c r="D6998">
        <v>16</v>
      </c>
      <c r="E6998" t="s">
        <v>39</v>
      </c>
      <c r="F6998" t="s">
        <v>13</v>
      </c>
      <c r="G6998" t="s">
        <v>230</v>
      </c>
      <c r="H6998" t="s">
        <v>111</v>
      </c>
      <c r="I6998">
        <v>20244</v>
      </c>
      <c r="J6998">
        <v>21148</v>
      </c>
    </row>
    <row r="6999" spans="1:10" x14ac:dyDescent="0.3">
      <c r="A6999" t="s">
        <v>7126</v>
      </c>
      <c r="B6999" s="1">
        <v>45928</v>
      </c>
      <c r="C6999" t="s">
        <v>38</v>
      </c>
      <c r="D6999">
        <v>39</v>
      </c>
      <c r="E6999" t="s">
        <v>33</v>
      </c>
      <c r="F6999" t="s">
        <v>193</v>
      </c>
      <c r="G6999" t="s">
        <v>40</v>
      </c>
      <c r="H6999" t="s">
        <v>211</v>
      </c>
      <c r="I6999">
        <v>22046</v>
      </c>
      <c r="J6999">
        <v>23011</v>
      </c>
    </row>
    <row r="7000" spans="1:10" x14ac:dyDescent="0.3">
      <c r="A7000" t="s">
        <v>7127</v>
      </c>
      <c r="B7000" s="1">
        <v>45781</v>
      </c>
      <c r="C7000" t="s">
        <v>90</v>
      </c>
      <c r="D7000">
        <v>18</v>
      </c>
      <c r="E7000" t="s">
        <v>61</v>
      </c>
      <c r="F7000" t="s">
        <v>19</v>
      </c>
      <c r="G7000" t="s">
        <v>145</v>
      </c>
      <c r="H7000" t="s">
        <v>52</v>
      </c>
      <c r="I7000">
        <v>32897</v>
      </c>
      <c r="J7000">
        <v>29580</v>
      </c>
    </row>
    <row r="7001" spans="1:10" x14ac:dyDescent="0.3">
      <c r="A7001" t="s">
        <v>7128</v>
      </c>
      <c r="B7001" s="1">
        <v>45771</v>
      </c>
      <c r="C7001" t="s">
        <v>86</v>
      </c>
      <c r="D7001">
        <v>17</v>
      </c>
      <c r="E7001" t="s">
        <v>12</v>
      </c>
      <c r="F7001" t="s">
        <v>87</v>
      </c>
      <c r="G7001" t="s">
        <v>149</v>
      </c>
      <c r="H7001" t="s">
        <v>103</v>
      </c>
      <c r="I7001">
        <v>28779</v>
      </c>
      <c r="J7001">
        <v>24835</v>
      </c>
    </row>
    <row r="7002" spans="1:10" x14ac:dyDescent="0.3">
      <c r="A7002" t="s">
        <v>7129</v>
      </c>
      <c r="B7002" s="1">
        <v>45787</v>
      </c>
      <c r="C7002" t="s">
        <v>90</v>
      </c>
      <c r="D7002">
        <v>19</v>
      </c>
      <c r="E7002" t="s">
        <v>24</v>
      </c>
      <c r="F7002" t="s">
        <v>122</v>
      </c>
      <c r="G7002" t="s">
        <v>324</v>
      </c>
      <c r="H7002" t="s">
        <v>119</v>
      </c>
      <c r="I7002">
        <v>32690</v>
      </c>
      <c r="J7002">
        <v>41021</v>
      </c>
    </row>
    <row r="7003" spans="1:10" x14ac:dyDescent="0.3">
      <c r="A7003" t="s">
        <v>7130</v>
      </c>
      <c r="B7003" s="1">
        <v>45903</v>
      </c>
      <c r="C7003" t="s">
        <v>38</v>
      </c>
      <c r="D7003">
        <v>36</v>
      </c>
      <c r="E7003" t="s">
        <v>39</v>
      </c>
      <c r="F7003" t="s">
        <v>101</v>
      </c>
      <c r="G7003" t="s">
        <v>326</v>
      </c>
      <c r="H7003" t="s">
        <v>151</v>
      </c>
      <c r="I7003">
        <v>29139</v>
      </c>
      <c r="J7003">
        <v>37627</v>
      </c>
    </row>
    <row r="7004" spans="1:10" x14ac:dyDescent="0.3">
      <c r="A7004" t="s">
        <v>7131</v>
      </c>
      <c r="B7004" s="1">
        <v>45690</v>
      </c>
      <c r="C7004" t="s">
        <v>82</v>
      </c>
      <c r="D7004">
        <v>5</v>
      </c>
      <c r="E7004" t="s">
        <v>18</v>
      </c>
      <c r="F7004" t="s">
        <v>75</v>
      </c>
      <c r="G7004" t="s">
        <v>132</v>
      </c>
      <c r="H7004" t="s">
        <v>21</v>
      </c>
      <c r="I7004">
        <v>38563</v>
      </c>
      <c r="J7004">
        <v>49470</v>
      </c>
    </row>
    <row r="7005" spans="1:10" x14ac:dyDescent="0.3">
      <c r="A7005" t="s">
        <v>7132</v>
      </c>
      <c r="B7005" s="1">
        <v>45672</v>
      </c>
      <c r="C7005" t="s">
        <v>17</v>
      </c>
      <c r="D7005">
        <v>3</v>
      </c>
      <c r="E7005" t="s">
        <v>12</v>
      </c>
      <c r="F7005" t="s">
        <v>114</v>
      </c>
      <c r="G7005" t="s">
        <v>67</v>
      </c>
      <c r="H7005" t="s">
        <v>211</v>
      </c>
      <c r="I7005">
        <v>16739</v>
      </c>
      <c r="J7005">
        <v>21749</v>
      </c>
    </row>
    <row r="7006" spans="1:10" x14ac:dyDescent="0.3">
      <c r="A7006" t="s">
        <v>7133</v>
      </c>
      <c r="B7006" s="1">
        <v>45907</v>
      </c>
      <c r="C7006" t="s">
        <v>38</v>
      </c>
      <c r="D7006">
        <v>36</v>
      </c>
      <c r="E7006" t="s">
        <v>18</v>
      </c>
      <c r="F7006" t="s">
        <v>140</v>
      </c>
      <c r="G7006" t="s">
        <v>171</v>
      </c>
      <c r="H7006" t="s">
        <v>64</v>
      </c>
      <c r="I7006">
        <v>35276</v>
      </c>
      <c r="J7006">
        <v>44183</v>
      </c>
    </row>
    <row r="7007" spans="1:10" x14ac:dyDescent="0.3">
      <c r="A7007" t="s">
        <v>7134</v>
      </c>
      <c r="B7007" s="1">
        <v>45854</v>
      </c>
      <c r="C7007" t="s">
        <v>11</v>
      </c>
      <c r="D7007">
        <v>29</v>
      </c>
      <c r="E7007" t="s">
        <v>39</v>
      </c>
      <c r="F7007" t="s">
        <v>34</v>
      </c>
      <c r="G7007" t="s">
        <v>135</v>
      </c>
      <c r="H7007" t="s">
        <v>41</v>
      </c>
      <c r="I7007">
        <v>36417</v>
      </c>
      <c r="J7007">
        <v>29600</v>
      </c>
    </row>
    <row r="7008" spans="1:10" x14ac:dyDescent="0.3">
      <c r="A7008" t="s">
        <v>7135</v>
      </c>
      <c r="B7008" s="1">
        <v>45699</v>
      </c>
      <c r="C7008" t="s">
        <v>82</v>
      </c>
      <c r="D7008">
        <v>7</v>
      </c>
      <c r="E7008" t="s">
        <v>61</v>
      </c>
      <c r="F7008" t="s">
        <v>34</v>
      </c>
      <c r="G7008" t="s">
        <v>160</v>
      </c>
      <c r="H7008" t="s">
        <v>55</v>
      </c>
      <c r="I7008">
        <v>20602</v>
      </c>
      <c r="J7008">
        <v>22614</v>
      </c>
    </row>
    <row r="7009" spans="1:10" x14ac:dyDescent="0.3">
      <c r="A7009" t="s">
        <v>7136</v>
      </c>
      <c r="B7009" s="1">
        <v>45903</v>
      </c>
      <c r="C7009" t="s">
        <v>38</v>
      </c>
      <c r="D7009">
        <v>36</v>
      </c>
      <c r="E7009" t="s">
        <v>12</v>
      </c>
      <c r="F7009" t="s">
        <v>78</v>
      </c>
      <c r="G7009" t="s">
        <v>130</v>
      </c>
      <c r="H7009" t="s">
        <v>21</v>
      </c>
      <c r="I7009">
        <v>38436</v>
      </c>
      <c r="J7009">
        <v>41820</v>
      </c>
    </row>
    <row r="7010" spans="1:10" x14ac:dyDescent="0.3">
      <c r="A7010" t="s">
        <v>7137</v>
      </c>
      <c r="B7010" s="1">
        <v>45989</v>
      </c>
      <c r="C7010" t="s">
        <v>23</v>
      </c>
      <c r="D7010">
        <v>48</v>
      </c>
      <c r="E7010" t="s">
        <v>12</v>
      </c>
      <c r="F7010" t="s">
        <v>75</v>
      </c>
      <c r="G7010" t="s">
        <v>230</v>
      </c>
      <c r="H7010" t="s">
        <v>55</v>
      </c>
      <c r="I7010">
        <v>16861</v>
      </c>
      <c r="J7010">
        <v>18692</v>
      </c>
    </row>
    <row r="7011" spans="1:10" x14ac:dyDescent="0.3">
      <c r="A7011" t="s">
        <v>7138</v>
      </c>
      <c r="B7011" s="1">
        <v>45759</v>
      </c>
      <c r="C7011" t="s">
        <v>86</v>
      </c>
      <c r="D7011">
        <v>15</v>
      </c>
      <c r="E7011" t="s">
        <v>61</v>
      </c>
      <c r="F7011" t="s">
        <v>19</v>
      </c>
      <c r="G7011" t="s">
        <v>224</v>
      </c>
      <c r="H7011" t="s">
        <v>119</v>
      </c>
      <c r="I7011">
        <v>15832</v>
      </c>
      <c r="J7011">
        <v>17388</v>
      </c>
    </row>
    <row r="7012" spans="1:10" x14ac:dyDescent="0.3">
      <c r="A7012" t="s">
        <v>7139</v>
      </c>
      <c r="B7012" s="1">
        <v>45721</v>
      </c>
      <c r="C7012" t="s">
        <v>95</v>
      </c>
      <c r="D7012">
        <v>10</v>
      </c>
      <c r="E7012" t="s">
        <v>39</v>
      </c>
      <c r="F7012" t="s">
        <v>43</v>
      </c>
      <c r="G7012" t="s">
        <v>224</v>
      </c>
      <c r="H7012" t="s">
        <v>84</v>
      </c>
      <c r="I7012">
        <v>27420</v>
      </c>
      <c r="J7012">
        <v>25775</v>
      </c>
    </row>
    <row r="7013" spans="1:10" x14ac:dyDescent="0.3">
      <c r="A7013" t="s">
        <v>7140</v>
      </c>
      <c r="B7013" s="1">
        <v>45931</v>
      </c>
      <c r="C7013" t="s">
        <v>66</v>
      </c>
      <c r="D7013">
        <v>40</v>
      </c>
      <c r="E7013" t="s">
        <v>33</v>
      </c>
      <c r="F7013" t="s">
        <v>122</v>
      </c>
      <c r="G7013" t="s">
        <v>230</v>
      </c>
      <c r="H7013" t="s">
        <v>55</v>
      </c>
      <c r="I7013">
        <v>32975</v>
      </c>
      <c r="J7013">
        <v>25889</v>
      </c>
    </row>
    <row r="7014" spans="1:10" x14ac:dyDescent="0.3">
      <c r="A7014" t="s">
        <v>7141</v>
      </c>
      <c r="B7014" s="1">
        <v>45920</v>
      </c>
      <c r="C7014" t="s">
        <v>38</v>
      </c>
      <c r="D7014">
        <v>38</v>
      </c>
      <c r="E7014" t="s">
        <v>61</v>
      </c>
      <c r="F7014" t="s">
        <v>122</v>
      </c>
      <c r="G7014" t="s">
        <v>20</v>
      </c>
      <c r="H7014" t="s">
        <v>243</v>
      </c>
      <c r="I7014">
        <v>39171</v>
      </c>
      <c r="J7014">
        <v>42414</v>
      </c>
    </row>
    <row r="7015" spans="1:10" x14ac:dyDescent="0.3">
      <c r="A7015" t="s">
        <v>7142</v>
      </c>
      <c r="B7015" s="1">
        <v>45845</v>
      </c>
      <c r="C7015" t="s">
        <v>11</v>
      </c>
      <c r="D7015">
        <v>28</v>
      </c>
      <c r="E7015" t="s">
        <v>33</v>
      </c>
      <c r="F7015" t="s">
        <v>13</v>
      </c>
      <c r="G7015" t="s">
        <v>224</v>
      </c>
      <c r="H7015" t="s">
        <v>96</v>
      </c>
      <c r="I7015">
        <v>23115</v>
      </c>
      <c r="J7015">
        <v>28768</v>
      </c>
    </row>
    <row r="7016" spans="1:10" x14ac:dyDescent="0.3">
      <c r="A7016" t="s">
        <v>7143</v>
      </c>
      <c r="B7016" s="1">
        <v>45789</v>
      </c>
      <c r="C7016" t="s">
        <v>90</v>
      </c>
      <c r="D7016">
        <v>20</v>
      </c>
      <c r="E7016" t="s">
        <v>33</v>
      </c>
      <c r="F7016" t="s">
        <v>114</v>
      </c>
      <c r="G7016" t="s">
        <v>26</v>
      </c>
      <c r="H7016" t="s">
        <v>133</v>
      </c>
      <c r="I7016">
        <v>26234</v>
      </c>
      <c r="J7016">
        <v>22544</v>
      </c>
    </row>
    <row r="7017" spans="1:10" x14ac:dyDescent="0.3">
      <c r="A7017" t="s">
        <v>7144</v>
      </c>
      <c r="B7017" s="1">
        <v>45773</v>
      </c>
      <c r="C7017" t="s">
        <v>86</v>
      </c>
      <c r="D7017">
        <v>17</v>
      </c>
      <c r="E7017" t="s">
        <v>12</v>
      </c>
      <c r="F7017" t="s">
        <v>46</v>
      </c>
      <c r="G7017" t="s">
        <v>126</v>
      </c>
      <c r="H7017" t="s">
        <v>123</v>
      </c>
      <c r="I7017">
        <v>30389</v>
      </c>
      <c r="J7017">
        <v>32617</v>
      </c>
    </row>
    <row r="7018" spans="1:10" x14ac:dyDescent="0.3">
      <c r="A7018" t="s">
        <v>7145</v>
      </c>
      <c r="B7018" s="1">
        <v>45803</v>
      </c>
      <c r="C7018" t="s">
        <v>90</v>
      </c>
      <c r="D7018">
        <v>22</v>
      </c>
      <c r="E7018" t="s">
        <v>70</v>
      </c>
      <c r="F7018" t="s">
        <v>109</v>
      </c>
      <c r="G7018" t="s">
        <v>199</v>
      </c>
      <c r="H7018" t="s">
        <v>119</v>
      </c>
      <c r="I7018">
        <v>24688</v>
      </c>
      <c r="J7018">
        <v>22864</v>
      </c>
    </row>
    <row r="7019" spans="1:10" x14ac:dyDescent="0.3">
      <c r="A7019" t="s">
        <v>7146</v>
      </c>
      <c r="B7019" s="1">
        <v>45995</v>
      </c>
      <c r="C7019" t="s">
        <v>100</v>
      </c>
      <c r="D7019">
        <v>49</v>
      </c>
      <c r="E7019" t="s">
        <v>12</v>
      </c>
      <c r="F7019" t="s">
        <v>75</v>
      </c>
      <c r="G7019" t="s">
        <v>76</v>
      </c>
      <c r="H7019" t="s">
        <v>36</v>
      </c>
      <c r="I7019">
        <v>37748</v>
      </c>
      <c r="J7019">
        <v>41903</v>
      </c>
    </row>
    <row r="7020" spans="1:10" x14ac:dyDescent="0.3">
      <c r="A7020" t="s">
        <v>7147</v>
      </c>
      <c r="B7020" s="1">
        <v>45724</v>
      </c>
      <c r="C7020" t="s">
        <v>95</v>
      </c>
      <c r="D7020">
        <v>10</v>
      </c>
      <c r="E7020" t="s">
        <v>18</v>
      </c>
      <c r="F7020" t="s">
        <v>34</v>
      </c>
      <c r="G7020" t="s">
        <v>132</v>
      </c>
      <c r="H7020" t="s">
        <v>80</v>
      </c>
      <c r="I7020">
        <v>33492</v>
      </c>
      <c r="J7020">
        <v>39985</v>
      </c>
    </row>
    <row r="7021" spans="1:10" x14ac:dyDescent="0.3">
      <c r="A7021" t="s">
        <v>7148</v>
      </c>
      <c r="B7021" s="1">
        <v>45796</v>
      </c>
      <c r="C7021" t="s">
        <v>90</v>
      </c>
      <c r="D7021">
        <v>21</v>
      </c>
      <c r="E7021" t="s">
        <v>70</v>
      </c>
      <c r="F7021" t="s">
        <v>46</v>
      </c>
      <c r="G7021" t="s">
        <v>266</v>
      </c>
      <c r="H7021" t="s">
        <v>36</v>
      </c>
      <c r="I7021">
        <v>20962</v>
      </c>
      <c r="J7021">
        <v>18958</v>
      </c>
    </row>
    <row r="7022" spans="1:10" x14ac:dyDescent="0.3">
      <c r="A7022" t="s">
        <v>7149</v>
      </c>
      <c r="B7022" s="1">
        <v>45865</v>
      </c>
      <c r="C7022" t="s">
        <v>11</v>
      </c>
      <c r="D7022">
        <v>30</v>
      </c>
      <c r="E7022" t="s">
        <v>61</v>
      </c>
      <c r="F7022" t="s">
        <v>25</v>
      </c>
      <c r="G7022" t="s">
        <v>107</v>
      </c>
      <c r="H7022" t="s">
        <v>98</v>
      </c>
      <c r="I7022">
        <v>26354</v>
      </c>
      <c r="J7022">
        <v>21848</v>
      </c>
    </row>
    <row r="7023" spans="1:10" x14ac:dyDescent="0.3">
      <c r="A7023" t="s">
        <v>7150</v>
      </c>
      <c r="B7023" s="1">
        <v>45882</v>
      </c>
      <c r="C7023" t="s">
        <v>113</v>
      </c>
      <c r="D7023">
        <v>33</v>
      </c>
      <c r="E7023" t="s">
        <v>33</v>
      </c>
      <c r="F7023" t="s">
        <v>101</v>
      </c>
      <c r="G7023" t="s">
        <v>171</v>
      </c>
      <c r="H7023" t="s">
        <v>96</v>
      </c>
      <c r="I7023">
        <v>27793</v>
      </c>
      <c r="J7023">
        <v>31928</v>
      </c>
    </row>
    <row r="7024" spans="1:10" x14ac:dyDescent="0.3">
      <c r="A7024" t="s">
        <v>7151</v>
      </c>
      <c r="B7024" s="1">
        <v>45669</v>
      </c>
      <c r="C7024" t="s">
        <v>17</v>
      </c>
      <c r="D7024">
        <v>2</v>
      </c>
      <c r="E7024" t="s">
        <v>33</v>
      </c>
      <c r="F7024" t="s">
        <v>101</v>
      </c>
      <c r="G7024" t="s">
        <v>14</v>
      </c>
      <c r="H7024" t="s">
        <v>123</v>
      </c>
      <c r="I7024">
        <v>18666</v>
      </c>
      <c r="J7024">
        <v>17707</v>
      </c>
    </row>
    <row r="7025" spans="1:10" x14ac:dyDescent="0.3">
      <c r="A7025" t="s">
        <v>7152</v>
      </c>
      <c r="B7025" s="1">
        <v>45990</v>
      </c>
      <c r="C7025" t="s">
        <v>23</v>
      </c>
      <c r="D7025">
        <v>48</v>
      </c>
      <c r="E7025" t="s">
        <v>70</v>
      </c>
      <c r="F7025" t="s">
        <v>29</v>
      </c>
      <c r="G7025" t="s">
        <v>135</v>
      </c>
      <c r="H7025" t="s">
        <v>103</v>
      </c>
      <c r="I7025">
        <v>29009</v>
      </c>
      <c r="J7025">
        <v>30201</v>
      </c>
    </row>
    <row r="7026" spans="1:10" x14ac:dyDescent="0.3">
      <c r="A7026" t="s">
        <v>7153</v>
      </c>
      <c r="B7026" s="1">
        <v>45929</v>
      </c>
      <c r="C7026" t="s">
        <v>38</v>
      </c>
      <c r="D7026">
        <v>40</v>
      </c>
      <c r="E7026" t="s">
        <v>61</v>
      </c>
      <c r="F7026" t="s">
        <v>75</v>
      </c>
      <c r="G7026" t="s">
        <v>253</v>
      </c>
      <c r="H7026" t="s">
        <v>52</v>
      </c>
      <c r="I7026">
        <v>33291</v>
      </c>
      <c r="J7026">
        <v>38812</v>
      </c>
    </row>
    <row r="7027" spans="1:10" x14ac:dyDescent="0.3">
      <c r="A7027" t="s">
        <v>7154</v>
      </c>
      <c r="B7027" s="1">
        <v>45842</v>
      </c>
      <c r="C7027" t="s">
        <v>11</v>
      </c>
      <c r="D7027">
        <v>27</v>
      </c>
      <c r="E7027" t="s">
        <v>70</v>
      </c>
      <c r="F7027" t="s">
        <v>122</v>
      </c>
      <c r="G7027" t="s">
        <v>324</v>
      </c>
      <c r="H7027" t="s">
        <v>243</v>
      </c>
      <c r="I7027">
        <v>26066</v>
      </c>
      <c r="J7027">
        <v>25265</v>
      </c>
    </row>
    <row r="7028" spans="1:10" x14ac:dyDescent="0.3">
      <c r="A7028" t="s">
        <v>7155</v>
      </c>
      <c r="B7028" s="1">
        <v>45910</v>
      </c>
      <c r="C7028" t="s">
        <v>38</v>
      </c>
      <c r="D7028">
        <v>37</v>
      </c>
      <c r="E7028" t="s">
        <v>18</v>
      </c>
      <c r="F7028" t="s">
        <v>19</v>
      </c>
      <c r="G7028" t="s">
        <v>149</v>
      </c>
      <c r="H7028" t="s">
        <v>98</v>
      </c>
      <c r="I7028">
        <v>15605</v>
      </c>
      <c r="J7028">
        <v>17222</v>
      </c>
    </row>
    <row r="7029" spans="1:10" x14ac:dyDescent="0.3">
      <c r="A7029" t="s">
        <v>7156</v>
      </c>
      <c r="B7029" s="1">
        <v>45893</v>
      </c>
      <c r="C7029" t="s">
        <v>113</v>
      </c>
      <c r="D7029">
        <v>34</v>
      </c>
      <c r="E7029" t="s">
        <v>70</v>
      </c>
      <c r="F7029" t="s">
        <v>62</v>
      </c>
      <c r="G7029" t="s">
        <v>135</v>
      </c>
      <c r="H7029" t="s">
        <v>103</v>
      </c>
      <c r="I7029">
        <v>34224</v>
      </c>
      <c r="J7029">
        <v>35249</v>
      </c>
    </row>
    <row r="7030" spans="1:10" x14ac:dyDescent="0.3">
      <c r="A7030" t="s">
        <v>7157</v>
      </c>
      <c r="B7030" s="1">
        <v>45913</v>
      </c>
      <c r="C7030" t="s">
        <v>38</v>
      </c>
      <c r="D7030">
        <v>37</v>
      </c>
      <c r="E7030" t="s">
        <v>24</v>
      </c>
      <c r="F7030" t="s">
        <v>34</v>
      </c>
      <c r="G7030" t="s">
        <v>147</v>
      </c>
      <c r="H7030" t="s">
        <v>36</v>
      </c>
      <c r="I7030">
        <v>16939</v>
      </c>
      <c r="J7030">
        <v>16651</v>
      </c>
    </row>
    <row r="7031" spans="1:10" x14ac:dyDescent="0.3">
      <c r="A7031" t="s">
        <v>7158</v>
      </c>
      <c r="B7031" s="1">
        <v>45707</v>
      </c>
      <c r="C7031" t="s">
        <v>82</v>
      </c>
      <c r="D7031">
        <v>8</v>
      </c>
      <c r="E7031" t="s">
        <v>70</v>
      </c>
      <c r="F7031" t="s">
        <v>78</v>
      </c>
      <c r="G7031" t="s">
        <v>93</v>
      </c>
      <c r="H7031" t="s">
        <v>211</v>
      </c>
      <c r="I7031">
        <v>39198</v>
      </c>
      <c r="J7031">
        <v>29447</v>
      </c>
    </row>
    <row r="7032" spans="1:10" x14ac:dyDescent="0.3">
      <c r="A7032" t="s">
        <v>7159</v>
      </c>
      <c r="B7032" s="1">
        <v>45803</v>
      </c>
      <c r="C7032" t="s">
        <v>90</v>
      </c>
      <c r="D7032">
        <v>22</v>
      </c>
      <c r="E7032" t="s">
        <v>18</v>
      </c>
      <c r="F7032" t="s">
        <v>25</v>
      </c>
      <c r="G7032" t="s">
        <v>20</v>
      </c>
      <c r="H7032" t="s">
        <v>36</v>
      </c>
      <c r="I7032">
        <v>15341</v>
      </c>
      <c r="J7032">
        <v>13685</v>
      </c>
    </row>
    <row r="7033" spans="1:10" x14ac:dyDescent="0.3">
      <c r="A7033" t="s">
        <v>7160</v>
      </c>
      <c r="B7033" s="1">
        <v>46014</v>
      </c>
      <c r="C7033" t="s">
        <v>100</v>
      </c>
      <c r="D7033">
        <v>52</v>
      </c>
      <c r="E7033" t="s">
        <v>18</v>
      </c>
      <c r="F7033" t="s">
        <v>92</v>
      </c>
      <c r="G7033" t="s">
        <v>44</v>
      </c>
      <c r="H7033" t="s">
        <v>41</v>
      </c>
      <c r="I7033">
        <v>33628</v>
      </c>
      <c r="J7033">
        <v>30223</v>
      </c>
    </row>
    <row r="7034" spans="1:10" x14ac:dyDescent="0.3">
      <c r="A7034" t="s">
        <v>7161</v>
      </c>
      <c r="B7034" s="1">
        <v>45935</v>
      </c>
      <c r="C7034" t="s">
        <v>66</v>
      </c>
      <c r="D7034">
        <v>40</v>
      </c>
      <c r="E7034" t="s">
        <v>61</v>
      </c>
      <c r="F7034" t="s">
        <v>109</v>
      </c>
      <c r="G7034" t="s">
        <v>191</v>
      </c>
      <c r="H7034" t="s">
        <v>133</v>
      </c>
      <c r="I7034">
        <v>33367</v>
      </c>
      <c r="J7034">
        <v>38590</v>
      </c>
    </row>
    <row r="7035" spans="1:10" x14ac:dyDescent="0.3">
      <c r="A7035" t="s">
        <v>7162</v>
      </c>
      <c r="B7035" s="1">
        <v>46000</v>
      </c>
      <c r="C7035" t="s">
        <v>100</v>
      </c>
      <c r="D7035">
        <v>50</v>
      </c>
      <c r="E7035" t="s">
        <v>33</v>
      </c>
      <c r="F7035" t="s">
        <v>29</v>
      </c>
      <c r="G7035" t="s">
        <v>44</v>
      </c>
      <c r="H7035" t="s">
        <v>119</v>
      </c>
      <c r="I7035">
        <v>34663</v>
      </c>
      <c r="J7035">
        <v>38387</v>
      </c>
    </row>
    <row r="7036" spans="1:10" x14ac:dyDescent="0.3">
      <c r="A7036" t="s">
        <v>7163</v>
      </c>
      <c r="B7036" s="1">
        <v>45794</v>
      </c>
      <c r="C7036" t="s">
        <v>90</v>
      </c>
      <c r="D7036">
        <v>20</v>
      </c>
      <c r="E7036" t="s">
        <v>70</v>
      </c>
      <c r="F7036" t="s">
        <v>13</v>
      </c>
      <c r="G7036" t="s">
        <v>326</v>
      </c>
      <c r="H7036" t="s">
        <v>48</v>
      </c>
      <c r="I7036">
        <v>25324</v>
      </c>
      <c r="J7036">
        <v>21152</v>
      </c>
    </row>
    <row r="7037" spans="1:10" x14ac:dyDescent="0.3">
      <c r="A7037" t="s">
        <v>7164</v>
      </c>
      <c r="B7037" s="1">
        <v>45997</v>
      </c>
      <c r="C7037" t="s">
        <v>100</v>
      </c>
      <c r="D7037">
        <v>49</v>
      </c>
      <c r="E7037" t="s">
        <v>18</v>
      </c>
      <c r="F7037" t="s">
        <v>29</v>
      </c>
      <c r="G7037" t="s">
        <v>88</v>
      </c>
      <c r="H7037" t="s">
        <v>96</v>
      </c>
      <c r="I7037">
        <v>30203</v>
      </c>
      <c r="J7037">
        <v>30269</v>
      </c>
    </row>
    <row r="7038" spans="1:10" x14ac:dyDescent="0.3">
      <c r="A7038" t="s">
        <v>7165</v>
      </c>
      <c r="B7038" s="1">
        <v>45782</v>
      </c>
      <c r="C7038" t="s">
        <v>90</v>
      </c>
      <c r="D7038">
        <v>19</v>
      </c>
      <c r="E7038" t="s">
        <v>70</v>
      </c>
      <c r="F7038" t="s">
        <v>46</v>
      </c>
      <c r="G7038" t="s">
        <v>110</v>
      </c>
      <c r="H7038" t="s">
        <v>36</v>
      </c>
      <c r="I7038">
        <v>20835</v>
      </c>
      <c r="J7038">
        <v>26285</v>
      </c>
    </row>
    <row r="7039" spans="1:10" x14ac:dyDescent="0.3">
      <c r="A7039" t="s">
        <v>7166</v>
      </c>
      <c r="B7039" s="1">
        <v>45865</v>
      </c>
      <c r="C7039" t="s">
        <v>11</v>
      </c>
      <c r="D7039">
        <v>30</v>
      </c>
      <c r="E7039" t="s">
        <v>24</v>
      </c>
      <c r="F7039" t="s">
        <v>19</v>
      </c>
      <c r="G7039" t="s">
        <v>83</v>
      </c>
      <c r="H7039" t="s">
        <v>96</v>
      </c>
      <c r="I7039">
        <v>36337</v>
      </c>
      <c r="J7039">
        <v>37486</v>
      </c>
    </row>
    <row r="7040" spans="1:10" x14ac:dyDescent="0.3">
      <c r="A7040" t="s">
        <v>7167</v>
      </c>
      <c r="B7040" s="1">
        <v>45978</v>
      </c>
      <c r="C7040" t="s">
        <v>23</v>
      </c>
      <c r="D7040">
        <v>47</v>
      </c>
      <c r="E7040" t="s">
        <v>39</v>
      </c>
      <c r="F7040" t="s">
        <v>34</v>
      </c>
      <c r="G7040" t="s">
        <v>30</v>
      </c>
      <c r="H7040" t="s">
        <v>84</v>
      </c>
      <c r="I7040">
        <v>30115</v>
      </c>
      <c r="J7040">
        <v>28511</v>
      </c>
    </row>
    <row r="7041" spans="1:10" x14ac:dyDescent="0.3">
      <c r="A7041" t="s">
        <v>7168</v>
      </c>
      <c r="B7041" s="1">
        <v>45688</v>
      </c>
      <c r="C7041" t="s">
        <v>17</v>
      </c>
      <c r="D7041">
        <v>5</v>
      </c>
      <c r="E7041" t="s">
        <v>70</v>
      </c>
      <c r="F7041" t="s">
        <v>13</v>
      </c>
      <c r="G7041" t="s">
        <v>130</v>
      </c>
      <c r="H7041" t="s">
        <v>55</v>
      </c>
      <c r="I7041">
        <v>19308</v>
      </c>
      <c r="J7041">
        <v>22663</v>
      </c>
    </row>
    <row r="7042" spans="1:10" x14ac:dyDescent="0.3">
      <c r="A7042" t="s">
        <v>7169</v>
      </c>
      <c r="B7042" s="1">
        <v>45864</v>
      </c>
      <c r="C7042" t="s">
        <v>11</v>
      </c>
      <c r="D7042">
        <v>30</v>
      </c>
      <c r="E7042" t="s">
        <v>18</v>
      </c>
      <c r="F7042" t="s">
        <v>62</v>
      </c>
      <c r="G7042" t="s">
        <v>35</v>
      </c>
      <c r="H7042" t="s">
        <v>27</v>
      </c>
      <c r="I7042">
        <v>26209</v>
      </c>
      <c r="J7042">
        <v>30673</v>
      </c>
    </row>
    <row r="7043" spans="1:10" x14ac:dyDescent="0.3">
      <c r="A7043" t="s">
        <v>7170</v>
      </c>
      <c r="B7043" s="1">
        <v>45756</v>
      </c>
      <c r="C7043" t="s">
        <v>86</v>
      </c>
      <c r="D7043">
        <v>15</v>
      </c>
      <c r="E7043" t="s">
        <v>61</v>
      </c>
      <c r="F7043" t="s">
        <v>57</v>
      </c>
      <c r="G7043" t="s">
        <v>40</v>
      </c>
      <c r="H7043" t="s">
        <v>163</v>
      </c>
      <c r="I7043">
        <v>24238</v>
      </c>
      <c r="J7043">
        <v>16984</v>
      </c>
    </row>
    <row r="7044" spans="1:10" x14ac:dyDescent="0.3">
      <c r="A7044" t="s">
        <v>7171</v>
      </c>
      <c r="B7044" s="1">
        <v>45976</v>
      </c>
      <c r="C7044" t="s">
        <v>23</v>
      </c>
      <c r="D7044">
        <v>46</v>
      </c>
      <c r="E7044" t="s">
        <v>24</v>
      </c>
      <c r="F7044" t="s">
        <v>62</v>
      </c>
      <c r="G7044" t="s">
        <v>20</v>
      </c>
      <c r="H7044" t="s">
        <v>103</v>
      </c>
      <c r="I7044">
        <v>38460</v>
      </c>
      <c r="J7044">
        <v>48708</v>
      </c>
    </row>
    <row r="7045" spans="1:10" x14ac:dyDescent="0.3">
      <c r="A7045" t="s">
        <v>7172</v>
      </c>
      <c r="B7045" s="1">
        <v>45772</v>
      </c>
      <c r="C7045" t="s">
        <v>86</v>
      </c>
      <c r="D7045">
        <v>17</v>
      </c>
      <c r="E7045" t="s">
        <v>33</v>
      </c>
      <c r="F7045" t="s">
        <v>34</v>
      </c>
      <c r="G7045" t="s">
        <v>63</v>
      </c>
      <c r="H7045" t="s">
        <v>15</v>
      </c>
      <c r="I7045">
        <v>18257</v>
      </c>
      <c r="J7045">
        <v>21547</v>
      </c>
    </row>
    <row r="7046" spans="1:10" x14ac:dyDescent="0.3">
      <c r="A7046" t="s">
        <v>7173</v>
      </c>
      <c r="B7046" s="1">
        <v>45993</v>
      </c>
      <c r="C7046" t="s">
        <v>100</v>
      </c>
      <c r="D7046">
        <v>49</v>
      </c>
      <c r="E7046" t="s">
        <v>12</v>
      </c>
      <c r="F7046" t="s">
        <v>101</v>
      </c>
      <c r="G7046" t="s">
        <v>110</v>
      </c>
      <c r="H7046" t="s">
        <v>84</v>
      </c>
      <c r="I7046">
        <v>25986</v>
      </c>
      <c r="J7046">
        <v>23658</v>
      </c>
    </row>
    <row r="7047" spans="1:10" x14ac:dyDescent="0.3">
      <c r="A7047" t="s">
        <v>7174</v>
      </c>
      <c r="B7047" s="1">
        <v>45835</v>
      </c>
      <c r="C7047" t="s">
        <v>74</v>
      </c>
      <c r="D7047">
        <v>26</v>
      </c>
      <c r="E7047" t="s">
        <v>24</v>
      </c>
      <c r="F7047" t="s">
        <v>109</v>
      </c>
      <c r="G7047" t="s">
        <v>199</v>
      </c>
      <c r="H7047" t="s">
        <v>165</v>
      </c>
      <c r="I7047">
        <v>33248</v>
      </c>
      <c r="J7047">
        <v>24163</v>
      </c>
    </row>
    <row r="7048" spans="1:10" x14ac:dyDescent="0.3">
      <c r="A7048" t="s">
        <v>7175</v>
      </c>
      <c r="B7048" s="1">
        <v>45864</v>
      </c>
      <c r="C7048" t="s">
        <v>11</v>
      </c>
      <c r="D7048">
        <v>30</v>
      </c>
      <c r="E7048" t="s">
        <v>70</v>
      </c>
      <c r="F7048" t="s">
        <v>43</v>
      </c>
      <c r="G7048" t="s">
        <v>145</v>
      </c>
      <c r="H7048" t="s">
        <v>36</v>
      </c>
      <c r="I7048">
        <v>16435</v>
      </c>
      <c r="J7048">
        <v>19840</v>
      </c>
    </row>
    <row r="7049" spans="1:10" x14ac:dyDescent="0.3">
      <c r="A7049" t="s">
        <v>7176</v>
      </c>
      <c r="B7049" s="1">
        <v>45863</v>
      </c>
      <c r="C7049" t="s">
        <v>11</v>
      </c>
      <c r="D7049">
        <v>30</v>
      </c>
      <c r="E7049" t="s">
        <v>33</v>
      </c>
      <c r="F7049" t="s">
        <v>50</v>
      </c>
      <c r="G7049" t="s">
        <v>132</v>
      </c>
      <c r="H7049" t="s">
        <v>52</v>
      </c>
      <c r="I7049">
        <v>26426</v>
      </c>
      <c r="J7049">
        <v>24317</v>
      </c>
    </row>
    <row r="7050" spans="1:10" x14ac:dyDescent="0.3">
      <c r="A7050" t="s">
        <v>7177</v>
      </c>
      <c r="B7050" s="1">
        <v>45848</v>
      </c>
      <c r="C7050" t="s">
        <v>11</v>
      </c>
      <c r="D7050">
        <v>28</v>
      </c>
      <c r="E7050" t="s">
        <v>39</v>
      </c>
      <c r="F7050" t="s">
        <v>101</v>
      </c>
      <c r="G7050" t="s">
        <v>128</v>
      </c>
      <c r="H7050" t="s">
        <v>188</v>
      </c>
      <c r="I7050">
        <v>17357</v>
      </c>
      <c r="J7050">
        <v>18460</v>
      </c>
    </row>
    <row r="7051" spans="1:10" x14ac:dyDescent="0.3">
      <c r="A7051" t="s">
        <v>7178</v>
      </c>
      <c r="B7051" s="1">
        <v>45985</v>
      </c>
      <c r="C7051" t="s">
        <v>23</v>
      </c>
      <c r="D7051">
        <v>48</v>
      </c>
      <c r="E7051" t="s">
        <v>12</v>
      </c>
      <c r="F7051" t="s">
        <v>13</v>
      </c>
      <c r="G7051" t="s">
        <v>266</v>
      </c>
      <c r="H7051" t="s">
        <v>31</v>
      </c>
      <c r="I7051">
        <v>22978</v>
      </c>
      <c r="J7051">
        <v>17250</v>
      </c>
    </row>
    <row r="7052" spans="1:10" x14ac:dyDescent="0.3">
      <c r="A7052" t="s">
        <v>7179</v>
      </c>
      <c r="B7052" s="1">
        <v>45742</v>
      </c>
      <c r="C7052" t="s">
        <v>95</v>
      </c>
      <c r="D7052">
        <v>13</v>
      </c>
      <c r="E7052" t="s">
        <v>12</v>
      </c>
      <c r="F7052" t="s">
        <v>92</v>
      </c>
      <c r="G7052" t="s">
        <v>110</v>
      </c>
      <c r="H7052" t="s">
        <v>21</v>
      </c>
      <c r="I7052">
        <v>19812</v>
      </c>
      <c r="J7052">
        <v>18110</v>
      </c>
    </row>
    <row r="7053" spans="1:10" x14ac:dyDescent="0.3">
      <c r="A7053" t="s">
        <v>7180</v>
      </c>
      <c r="B7053" s="1">
        <v>45891</v>
      </c>
      <c r="C7053" t="s">
        <v>113</v>
      </c>
      <c r="D7053">
        <v>34</v>
      </c>
      <c r="E7053" t="s">
        <v>18</v>
      </c>
      <c r="F7053" t="s">
        <v>19</v>
      </c>
      <c r="G7053" t="s">
        <v>30</v>
      </c>
      <c r="H7053" t="s">
        <v>41</v>
      </c>
      <c r="I7053">
        <v>28038</v>
      </c>
      <c r="J7053">
        <v>21527</v>
      </c>
    </row>
    <row r="7054" spans="1:10" x14ac:dyDescent="0.3">
      <c r="A7054" t="s">
        <v>7181</v>
      </c>
      <c r="B7054" s="1">
        <v>46015</v>
      </c>
      <c r="C7054" t="s">
        <v>100</v>
      </c>
      <c r="D7054">
        <v>52</v>
      </c>
      <c r="E7054" t="s">
        <v>39</v>
      </c>
      <c r="F7054" t="s">
        <v>43</v>
      </c>
      <c r="G7054" t="s">
        <v>135</v>
      </c>
      <c r="H7054" t="s">
        <v>116</v>
      </c>
      <c r="I7054">
        <v>31781</v>
      </c>
      <c r="J7054">
        <v>39485</v>
      </c>
    </row>
    <row r="7055" spans="1:10" x14ac:dyDescent="0.3">
      <c r="A7055" t="s">
        <v>7182</v>
      </c>
      <c r="B7055" s="1">
        <v>45907</v>
      </c>
      <c r="C7055" t="s">
        <v>38</v>
      </c>
      <c r="D7055">
        <v>36</v>
      </c>
      <c r="E7055" t="s">
        <v>70</v>
      </c>
      <c r="F7055" t="s">
        <v>109</v>
      </c>
      <c r="G7055" t="s">
        <v>63</v>
      </c>
      <c r="H7055" t="s">
        <v>188</v>
      </c>
      <c r="I7055">
        <v>21287</v>
      </c>
      <c r="J7055">
        <v>19349</v>
      </c>
    </row>
    <row r="7056" spans="1:10" x14ac:dyDescent="0.3">
      <c r="A7056" t="s">
        <v>7183</v>
      </c>
      <c r="B7056" s="1">
        <v>45703</v>
      </c>
      <c r="C7056" t="s">
        <v>82</v>
      </c>
      <c r="D7056">
        <v>7</v>
      </c>
      <c r="E7056" t="s">
        <v>33</v>
      </c>
      <c r="F7056" t="s">
        <v>193</v>
      </c>
      <c r="G7056" t="s">
        <v>199</v>
      </c>
      <c r="H7056" t="s">
        <v>188</v>
      </c>
      <c r="I7056">
        <v>17011</v>
      </c>
      <c r="J7056">
        <v>15152</v>
      </c>
    </row>
    <row r="7057" spans="1:10" x14ac:dyDescent="0.3">
      <c r="A7057" t="s">
        <v>7184</v>
      </c>
      <c r="B7057" s="1">
        <v>45766</v>
      </c>
      <c r="C7057" t="s">
        <v>86</v>
      </c>
      <c r="D7057">
        <v>16</v>
      </c>
      <c r="E7057" t="s">
        <v>39</v>
      </c>
      <c r="F7057" t="s">
        <v>29</v>
      </c>
      <c r="G7057" t="s">
        <v>110</v>
      </c>
      <c r="H7057" t="s">
        <v>96</v>
      </c>
      <c r="I7057">
        <v>24248</v>
      </c>
      <c r="J7057">
        <v>25234</v>
      </c>
    </row>
    <row r="7058" spans="1:10" x14ac:dyDescent="0.3">
      <c r="A7058" t="s">
        <v>7185</v>
      </c>
      <c r="B7058" s="1">
        <v>45820</v>
      </c>
      <c r="C7058" t="s">
        <v>74</v>
      </c>
      <c r="D7058">
        <v>24</v>
      </c>
      <c r="E7058" t="s">
        <v>61</v>
      </c>
      <c r="F7058" t="s">
        <v>50</v>
      </c>
      <c r="G7058" t="s">
        <v>67</v>
      </c>
      <c r="H7058" t="s">
        <v>103</v>
      </c>
      <c r="I7058">
        <v>22971</v>
      </c>
      <c r="J7058">
        <v>28627</v>
      </c>
    </row>
    <row r="7059" spans="1:10" x14ac:dyDescent="0.3">
      <c r="A7059" t="s">
        <v>7186</v>
      </c>
      <c r="B7059" s="1">
        <v>45884</v>
      </c>
      <c r="C7059" t="s">
        <v>113</v>
      </c>
      <c r="D7059">
        <v>33</v>
      </c>
      <c r="E7059" t="s">
        <v>33</v>
      </c>
      <c r="F7059" t="s">
        <v>78</v>
      </c>
      <c r="G7059" t="s">
        <v>76</v>
      </c>
      <c r="H7059" t="s">
        <v>55</v>
      </c>
      <c r="I7059">
        <v>28668</v>
      </c>
      <c r="J7059">
        <v>26741</v>
      </c>
    </row>
    <row r="7060" spans="1:10" x14ac:dyDescent="0.3">
      <c r="A7060" t="s">
        <v>7187</v>
      </c>
      <c r="B7060" s="1">
        <v>45820</v>
      </c>
      <c r="C7060" t="s">
        <v>74</v>
      </c>
      <c r="D7060">
        <v>24</v>
      </c>
      <c r="E7060" t="s">
        <v>61</v>
      </c>
      <c r="F7060" t="s">
        <v>25</v>
      </c>
      <c r="G7060" t="s">
        <v>20</v>
      </c>
      <c r="H7060" t="s">
        <v>31</v>
      </c>
      <c r="I7060">
        <v>23081</v>
      </c>
      <c r="J7060">
        <v>29854</v>
      </c>
    </row>
    <row r="7061" spans="1:10" x14ac:dyDescent="0.3">
      <c r="A7061" t="s">
        <v>7188</v>
      </c>
      <c r="B7061" s="1">
        <v>45795</v>
      </c>
      <c r="C7061" t="s">
        <v>90</v>
      </c>
      <c r="D7061">
        <v>20</v>
      </c>
      <c r="E7061" t="s">
        <v>12</v>
      </c>
      <c r="F7061" t="s">
        <v>75</v>
      </c>
      <c r="G7061" t="s">
        <v>126</v>
      </c>
      <c r="H7061" t="s">
        <v>52</v>
      </c>
      <c r="I7061">
        <v>34679</v>
      </c>
      <c r="J7061">
        <v>31261</v>
      </c>
    </row>
    <row r="7062" spans="1:10" x14ac:dyDescent="0.3">
      <c r="A7062" t="s">
        <v>7189</v>
      </c>
      <c r="B7062" s="1">
        <v>45915</v>
      </c>
      <c r="C7062" t="s">
        <v>38</v>
      </c>
      <c r="D7062">
        <v>38</v>
      </c>
      <c r="E7062" t="s">
        <v>24</v>
      </c>
      <c r="F7062" t="s">
        <v>13</v>
      </c>
      <c r="G7062" t="s">
        <v>44</v>
      </c>
      <c r="H7062" t="s">
        <v>84</v>
      </c>
      <c r="I7062">
        <v>30783</v>
      </c>
      <c r="J7062">
        <v>38094</v>
      </c>
    </row>
    <row r="7063" spans="1:10" x14ac:dyDescent="0.3">
      <c r="A7063" t="s">
        <v>7190</v>
      </c>
      <c r="B7063" s="1">
        <v>45937</v>
      </c>
      <c r="C7063" t="s">
        <v>66</v>
      </c>
      <c r="D7063">
        <v>41</v>
      </c>
      <c r="E7063" t="s">
        <v>70</v>
      </c>
      <c r="F7063" t="s">
        <v>43</v>
      </c>
      <c r="G7063" t="s">
        <v>291</v>
      </c>
      <c r="H7063" t="s">
        <v>48</v>
      </c>
      <c r="I7063">
        <v>34499</v>
      </c>
      <c r="J7063">
        <v>26239</v>
      </c>
    </row>
    <row r="7064" spans="1:10" x14ac:dyDescent="0.3">
      <c r="A7064" t="s">
        <v>7191</v>
      </c>
      <c r="B7064" s="1">
        <v>45955</v>
      </c>
      <c r="C7064" t="s">
        <v>66</v>
      </c>
      <c r="D7064">
        <v>43</v>
      </c>
      <c r="E7064" t="s">
        <v>24</v>
      </c>
      <c r="F7064" t="s">
        <v>87</v>
      </c>
      <c r="G7064" t="s">
        <v>72</v>
      </c>
      <c r="H7064" t="s">
        <v>36</v>
      </c>
      <c r="I7064">
        <v>37724</v>
      </c>
      <c r="J7064">
        <v>35742</v>
      </c>
    </row>
    <row r="7065" spans="1:10" x14ac:dyDescent="0.3">
      <c r="A7065" t="s">
        <v>7192</v>
      </c>
      <c r="B7065" s="1">
        <v>45733</v>
      </c>
      <c r="C7065" t="s">
        <v>95</v>
      </c>
      <c r="D7065">
        <v>12</v>
      </c>
      <c r="E7065" t="s">
        <v>61</v>
      </c>
      <c r="F7065" t="s">
        <v>29</v>
      </c>
      <c r="G7065" t="s">
        <v>88</v>
      </c>
      <c r="H7065" t="s">
        <v>151</v>
      </c>
      <c r="I7065">
        <v>30147</v>
      </c>
      <c r="J7065">
        <v>23355</v>
      </c>
    </row>
    <row r="7066" spans="1:10" x14ac:dyDescent="0.3">
      <c r="A7066" t="s">
        <v>7193</v>
      </c>
      <c r="B7066" s="1">
        <v>45670</v>
      </c>
      <c r="C7066" t="s">
        <v>17</v>
      </c>
      <c r="D7066">
        <v>3</v>
      </c>
      <c r="E7066" t="s">
        <v>18</v>
      </c>
      <c r="F7066" t="s">
        <v>140</v>
      </c>
      <c r="G7066" t="s">
        <v>135</v>
      </c>
      <c r="H7066" t="s">
        <v>165</v>
      </c>
      <c r="I7066">
        <v>38164</v>
      </c>
      <c r="J7066">
        <v>27876</v>
      </c>
    </row>
    <row r="7067" spans="1:10" x14ac:dyDescent="0.3">
      <c r="A7067" t="s">
        <v>7194</v>
      </c>
      <c r="B7067" s="1">
        <v>45853</v>
      </c>
      <c r="C7067" t="s">
        <v>11</v>
      </c>
      <c r="D7067">
        <v>29</v>
      </c>
      <c r="E7067" t="s">
        <v>70</v>
      </c>
      <c r="F7067" t="s">
        <v>101</v>
      </c>
      <c r="G7067" t="s">
        <v>44</v>
      </c>
      <c r="H7067" t="s">
        <v>31</v>
      </c>
      <c r="I7067">
        <v>33058</v>
      </c>
      <c r="J7067">
        <v>26512</v>
      </c>
    </row>
    <row r="7068" spans="1:10" x14ac:dyDescent="0.3">
      <c r="A7068" t="s">
        <v>7195</v>
      </c>
      <c r="B7068" s="1">
        <v>45784</v>
      </c>
      <c r="C7068" t="s">
        <v>90</v>
      </c>
      <c r="D7068">
        <v>19</v>
      </c>
      <c r="E7068" t="s">
        <v>33</v>
      </c>
      <c r="F7068" t="s">
        <v>193</v>
      </c>
      <c r="G7068" t="s">
        <v>145</v>
      </c>
      <c r="H7068" t="s">
        <v>98</v>
      </c>
      <c r="I7068">
        <v>31946</v>
      </c>
      <c r="J7068">
        <v>41015</v>
      </c>
    </row>
    <row r="7069" spans="1:10" x14ac:dyDescent="0.3">
      <c r="A7069" t="s">
        <v>7196</v>
      </c>
      <c r="B7069" s="1">
        <v>45903</v>
      </c>
      <c r="C7069" t="s">
        <v>38</v>
      </c>
      <c r="D7069">
        <v>36</v>
      </c>
      <c r="E7069" t="s">
        <v>61</v>
      </c>
      <c r="F7069" t="s">
        <v>19</v>
      </c>
      <c r="G7069" t="s">
        <v>102</v>
      </c>
      <c r="H7069" t="s">
        <v>211</v>
      </c>
      <c r="I7069">
        <v>29952</v>
      </c>
      <c r="J7069">
        <v>30096</v>
      </c>
    </row>
    <row r="7070" spans="1:10" x14ac:dyDescent="0.3">
      <c r="A7070" t="s">
        <v>7197</v>
      </c>
      <c r="B7070" s="1">
        <v>45785</v>
      </c>
      <c r="C7070" t="s">
        <v>90</v>
      </c>
      <c r="D7070">
        <v>19</v>
      </c>
      <c r="E7070" t="s">
        <v>70</v>
      </c>
      <c r="F7070" t="s">
        <v>109</v>
      </c>
      <c r="G7070" t="s">
        <v>149</v>
      </c>
      <c r="H7070" t="s">
        <v>165</v>
      </c>
      <c r="I7070">
        <v>33219</v>
      </c>
      <c r="J7070">
        <v>26128</v>
      </c>
    </row>
    <row r="7071" spans="1:10" x14ac:dyDescent="0.3">
      <c r="A7071" t="s">
        <v>7198</v>
      </c>
      <c r="B7071" s="1">
        <v>45668</v>
      </c>
      <c r="C7071" t="s">
        <v>17</v>
      </c>
      <c r="D7071">
        <v>2</v>
      </c>
      <c r="E7071" t="s">
        <v>61</v>
      </c>
      <c r="F7071" t="s">
        <v>140</v>
      </c>
      <c r="G7071" t="s">
        <v>88</v>
      </c>
      <c r="H7071" t="s">
        <v>157</v>
      </c>
      <c r="I7071">
        <v>37107</v>
      </c>
      <c r="J7071">
        <v>28159</v>
      </c>
    </row>
    <row r="7072" spans="1:10" x14ac:dyDescent="0.3">
      <c r="A7072" t="s">
        <v>7199</v>
      </c>
      <c r="B7072" s="1">
        <v>45722</v>
      </c>
      <c r="C7072" t="s">
        <v>95</v>
      </c>
      <c r="D7072">
        <v>10</v>
      </c>
      <c r="E7072" t="s">
        <v>24</v>
      </c>
      <c r="F7072" t="s">
        <v>19</v>
      </c>
      <c r="G7072" t="s">
        <v>224</v>
      </c>
      <c r="H7072" t="s">
        <v>36</v>
      </c>
      <c r="I7072">
        <v>22693</v>
      </c>
      <c r="J7072">
        <v>23823</v>
      </c>
    </row>
    <row r="7073" spans="1:10" x14ac:dyDescent="0.3">
      <c r="A7073" t="s">
        <v>7200</v>
      </c>
      <c r="B7073" s="1">
        <v>45804</v>
      </c>
      <c r="C7073" t="s">
        <v>90</v>
      </c>
      <c r="D7073">
        <v>22</v>
      </c>
      <c r="E7073" t="s">
        <v>61</v>
      </c>
      <c r="F7073" t="s">
        <v>34</v>
      </c>
      <c r="G7073" t="s">
        <v>88</v>
      </c>
      <c r="H7073" t="s">
        <v>15</v>
      </c>
      <c r="I7073">
        <v>26273</v>
      </c>
      <c r="J7073">
        <v>30692</v>
      </c>
    </row>
    <row r="7074" spans="1:10" x14ac:dyDescent="0.3">
      <c r="A7074" t="s">
        <v>7201</v>
      </c>
      <c r="B7074" s="1">
        <v>45927</v>
      </c>
      <c r="C7074" t="s">
        <v>38</v>
      </c>
      <c r="D7074">
        <v>39</v>
      </c>
      <c r="E7074" t="s">
        <v>61</v>
      </c>
      <c r="F7074" t="s">
        <v>50</v>
      </c>
      <c r="G7074" t="s">
        <v>182</v>
      </c>
      <c r="H7074" t="s">
        <v>163</v>
      </c>
      <c r="I7074">
        <v>24641</v>
      </c>
      <c r="J7074">
        <v>29004</v>
      </c>
    </row>
    <row r="7075" spans="1:10" x14ac:dyDescent="0.3">
      <c r="A7075" t="s">
        <v>7202</v>
      </c>
      <c r="B7075" s="1">
        <v>45821</v>
      </c>
      <c r="C7075" t="s">
        <v>74</v>
      </c>
      <c r="D7075">
        <v>24</v>
      </c>
      <c r="E7075" t="s">
        <v>61</v>
      </c>
      <c r="F7075" t="s">
        <v>19</v>
      </c>
      <c r="G7075" t="s">
        <v>132</v>
      </c>
      <c r="H7075" t="s">
        <v>64</v>
      </c>
      <c r="I7075">
        <v>18819</v>
      </c>
      <c r="J7075">
        <v>14885</v>
      </c>
    </row>
    <row r="7076" spans="1:10" x14ac:dyDescent="0.3">
      <c r="A7076" t="s">
        <v>7203</v>
      </c>
      <c r="B7076" s="1">
        <v>45785</v>
      </c>
      <c r="C7076" t="s">
        <v>90</v>
      </c>
      <c r="D7076">
        <v>19</v>
      </c>
      <c r="E7076" t="s">
        <v>18</v>
      </c>
      <c r="F7076" t="s">
        <v>46</v>
      </c>
      <c r="G7076" t="s">
        <v>230</v>
      </c>
      <c r="H7076" t="s">
        <v>21</v>
      </c>
      <c r="I7076">
        <v>26416</v>
      </c>
      <c r="J7076">
        <v>23198</v>
      </c>
    </row>
    <row r="7077" spans="1:10" x14ac:dyDescent="0.3">
      <c r="A7077" t="s">
        <v>7204</v>
      </c>
      <c r="B7077" s="1">
        <v>45935</v>
      </c>
      <c r="C7077" t="s">
        <v>66</v>
      </c>
      <c r="D7077">
        <v>40</v>
      </c>
      <c r="E7077" t="s">
        <v>61</v>
      </c>
      <c r="F7077" t="s">
        <v>92</v>
      </c>
      <c r="G7077" t="s">
        <v>54</v>
      </c>
      <c r="H7077" t="s">
        <v>103</v>
      </c>
      <c r="I7077">
        <v>26783</v>
      </c>
      <c r="J7077">
        <v>25578</v>
      </c>
    </row>
    <row r="7078" spans="1:10" x14ac:dyDescent="0.3">
      <c r="A7078" t="s">
        <v>7205</v>
      </c>
      <c r="B7078" s="1">
        <v>45826</v>
      </c>
      <c r="C7078" t="s">
        <v>74</v>
      </c>
      <c r="D7078">
        <v>25</v>
      </c>
      <c r="E7078" t="s">
        <v>61</v>
      </c>
      <c r="F7078" t="s">
        <v>109</v>
      </c>
      <c r="G7078" t="s">
        <v>126</v>
      </c>
      <c r="H7078" t="s">
        <v>84</v>
      </c>
      <c r="I7078">
        <v>30825</v>
      </c>
      <c r="J7078">
        <v>27974</v>
      </c>
    </row>
    <row r="7079" spans="1:10" x14ac:dyDescent="0.3">
      <c r="A7079" t="s">
        <v>7206</v>
      </c>
      <c r="B7079" s="1">
        <v>45687</v>
      </c>
      <c r="C7079" t="s">
        <v>17</v>
      </c>
      <c r="D7079">
        <v>5</v>
      </c>
      <c r="E7079" t="s">
        <v>61</v>
      </c>
      <c r="F7079" t="s">
        <v>50</v>
      </c>
      <c r="G7079" t="s">
        <v>132</v>
      </c>
      <c r="H7079" t="s">
        <v>123</v>
      </c>
      <c r="I7079">
        <v>28141</v>
      </c>
      <c r="J7079">
        <v>31472</v>
      </c>
    </row>
    <row r="7080" spans="1:10" x14ac:dyDescent="0.3">
      <c r="A7080" t="s">
        <v>7207</v>
      </c>
      <c r="B7080" s="1">
        <v>45822</v>
      </c>
      <c r="C7080" t="s">
        <v>74</v>
      </c>
      <c r="D7080">
        <v>24</v>
      </c>
      <c r="E7080" t="s">
        <v>39</v>
      </c>
      <c r="F7080" t="s">
        <v>122</v>
      </c>
      <c r="G7080" t="s">
        <v>291</v>
      </c>
      <c r="H7080" t="s">
        <v>116</v>
      </c>
      <c r="I7080">
        <v>34257</v>
      </c>
      <c r="J7080">
        <v>30560</v>
      </c>
    </row>
    <row r="7081" spans="1:10" x14ac:dyDescent="0.3">
      <c r="A7081" t="s">
        <v>7208</v>
      </c>
      <c r="B7081" s="1">
        <v>45671</v>
      </c>
      <c r="C7081" t="s">
        <v>17</v>
      </c>
      <c r="D7081">
        <v>3</v>
      </c>
      <c r="E7081" t="s">
        <v>24</v>
      </c>
      <c r="F7081" t="s">
        <v>25</v>
      </c>
      <c r="G7081" t="s">
        <v>240</v>
      </c>
      <c r="H7081" t="s">
        <v>31</v>
      </c>
      <c r="I7081">
        <v>20351</v>
      </c>
      <c r="J7081">
        <v>18961</v>
      </c>
    </row>
    <row r="7082" spans="1:10" x14ac:dyDescent="0.3">
      <c r="A7082" t="s">
        <v>7209</v>
      </c>
      <c r="B7082" s="1">
        <v>45966</v>
      </c>
      <c r="C7082" t="s">
        <v>23</v>
      </c>
      <c r="D7082">
        <v>45</v>
      </c>
      <c r="E7082" t="s">
        <v>70</v>
      </c>
      <c r="F7082" t="s">
        <v>78</v>
      </c>
      <c r="G7082" t="s">
        <v>20</v>
      </c>
      <c r="H7082" t="s">
        <v>165</v>
      </c>
      <c r="I7082">
        <v>24397</v>
      </c>
      <c r="J7082">
        <v>27828</v>
      </c>
    </row>
    <row r="7083" spans="1:10" x14ac:dyDescent="0.3">
      <c r="A7083" t="s">
        <v>7210</v>
      </c>
      <c r="B7083" s="1">
        <v>45668</v>
      </c>
      <c r="C7083" t="s">
        <v>17</v>
      </c>
      <c r="D7083">
        <v>2</v>
      </c>
      <c r="E7083" t="s">
        <v>18</v>
      </c>
      <c r="F7083" t="s">
        <v>109</v>
      </c>
      <c r="G7083" t="s">
        <v>326</v>
      </c>
      <c r="H7083" t="s">
        <v>52</v>
      </c>
      <c r="I7083">
        <v>27308</v>
      </c>
      <c r="J7083">
        <v>24183</v>
      </c>
    </row>
    <row r="7084" spans="1:10" x14ac:dyDescent="0.3">
      <c r="A7084" t="s">
        <v>7211</v>
      </c>
      <c r="B7084" s="1">
        <v>45724</v>
      </c>
      <c r="C7084" t="s">
        <v>95</v>
      </c>
      <c r="D7084">
        <v>10</v>
      </c>
      <c r="E7084" t="s">
        <v>12</v>
      </c>
      <c r="F7084" t="s">
        <v>122</v>
      </c>
      <c r="G7084" t="s">
        <v>110</v>
      </c>
      <c r="H7084" t="s">
        <v>64</v>
      </c>
      <c r="I7084">
        <v>18469</v>
      </c>
      <c r="J7084">
        <v>20126</v>
      </c>
    </row>
    <row r="7085" spans="1:10" x14ac:dyDescent="0.3">
      <c r="A7085" t="s">
        <v>7212</v>
      </c>
      <c r="B7085" s="1">
        <v>45840</v>
      </c>
      <c r="C7085" t="s">
        <v>11</v>
      </c>
      <c r="D7085">
        <v>27</v>
      </c>
      <c r="E7085" t="s">
        <v>12</v>
      </c>
      <c r="F7085" t="s">
        <v>87</v>
      </c>
      <c r="G7085" t="s">
        <v>118</v>
      </c>
      <c r="H7085" t="s">
        <v>157</v>
      </c>
      <c r="I7085">
        <v>22079</v>
      </c>
      <c r="J7085">
        <v>20740</v>
      </c>
    </row>
    <row r="7086" spans="1:10" x14ac:dyDescent="0.3">
      <c r="A7086" t="s">
        <v>7213</v>
      </c>
      <c r="B7086" s="1">
        <v>45665</v>
      </c>
      <c r="C7086" t="s">
        <v>17</v>
      </c>
      <c r="D7086">
        <v>2</v>
      </c>
      <c r="E7086" t="s">
        <v>18</v>
      </c>
      <c r="F7086" t="s">
        <v>87</v>
      </c>
      <c r="G7086" t="s">
        <v>206</v>
      </c>
      <c r="H7086" t="s">
        <v>211</v>
      </c>
      <c r="I7086">
        <v>21020</v>
      </c>
      <c r="J7086">
        <v>22065</v>
      </c>
    </row>
    <row r="7087" spans="1:10" x14ac:dyDescent="0.3">
      <c r="A7087" t="s">
        <v>7214</v>
      </c>
      <c r="B7087" s="1">
        <v>45715</v>
      </c>
      <c r="C7087" t="s">
        <v>82</v>
      </c>
      <c r="D7087">
        <v>9</v>
      </c>
      <c r="E7087" t="s">
        <v>12</v>
      </c>
      <c r="F7087" t="s">
        <v>25</v>
      </c>
      <c r="G7087" t="s">
        <v>115</v>
      </c>
      <c r="H7087" t="s">
        <v>68</v>
      </c>
      <c r="I7087">
        <v>18232</v>
      </c>
      <c r="J7087">
        <v>15223</v>
      </c>
    </row>
    <row r="7088" spans="1:10" x14ac:dyDescent="0.3">
      <c r="A7088" t="s">
        <v>7215</v>
      </c>
      <c r="B7088" s="1">
        <v>45881</v>
      </c>
      <c r="C7088" t="s">
        <v>113</v>
      </c>
      <c r="D7088">
        <v>33</v>
      </c>
      <c r="E7088" t="s">
        <v>18</v>
      </c>
      <c r="F7088" t="s">
        <v>13</v>
      </c>
      <c r="G7088" t="s">
        <v>160</v>
      </c>
      <c r="H7088" t="s">
        <v>52</v>
      </c>
      <c r="I7088">
        <v>21576</v>
      </c>
      <c r="J7088">
        <v>22617</v>
      </c>
    </row>
    <row r="7089" spans="1:10" x14ac:dyDescent="0.3">
      <c r="A7089" t="s">
        <v>7216</v>
      </c>
      <c r="B7089" s="1">
        <v>46002</v>
      </c>
      <c r="C7089" t="s">
        <v>100</v>
      </c>
      <c r="D7089">
        <v>50</v>
      </c>
      <c r="E7089" t="s">
        <v>39</v>
      </c>
      <c r="F7089" t="s">
        <v>62</v>
      </c>
      <c r="G7089" t="s">
        <v>51</v>
      </c>
      <c r="H7089" t="s">
        <v>55</v>
      </c>
      <c r="I7089">
        <v>20141</v>
      </c>
      <c r="J7089">
        <v>24946</v>
      </c>
    </row>
    <row r="7090" spans="1:10" x14ac:dyDescent="0.3">
      <c r="A7090" t="s">
        <v>7217</v>
      </c>
      <c r="B7090" s="1">
        <v>45746</v>
      </c>
      <c r="C7090" t="s">
        <v>95</v>
      </c>
      <c r="D7090">
        <v>13</v>
      </c>
      <c r="E7090" t="s">
        <v>18</v>
      </c>
      <c r="F7090" t="s">
        <v>43</v>
      </c>
      <c r="G7090" t="s">
        <v>206</v>
      </c>
      <c r="H7090" t="s">
        <v>36</v>
      </c>
      <c r="I7090">
        <v>15821</v>
      </c>
      <c r="J7090">
        <v>15644</v>
      </c>
    </row>
    <row r="7091" spans="1:10" x14ac:dyDescent="0.3">
      <c r="A7091" t="s">
        <v>7218</v>
      </c>
      <c r="B7091" s="1">
        <v>46005</v>
      </c>
      <c r="C7091" t="s">
        <v>100</v>
      </c>
      <c r="D7091">
        <v>50</v>
      </c>
      <c r="E7091" t="s">
        <v>61</v>
      </c>
      <c r="F7091" t="s">
        <v>122</v>
      </c>
      <c r="G7091" t="s">
        <v>44</v>
      </c>
      <c r="H7091" t="s">
        <v>68</v>
      </c>
      <c r="I7091">
        <v>18370</v>
      </c>
      <c r="J7091">
        <v>17884</v>
      </c>
    </row>
    <row r="7092" spans="1:10" x14ac:dyDescent="0.3">
      <c r="A7092" t="s">
        <v>7219</v>
      </c>
      <c r="B7092" s="1">
        <v>45667</v>
      </c>
      <c r="C7092" t="s">
        <v>17</v>
      </c>
      <c r="D7092">
        <v>2</v>
      </c>
      <c r="E7092" t="s">
        <v>70</v>
      </c>
      <c r="F7092" t="s">
        <v>114</v>
      </c>
      <c r="G7092" t="s">
        <v>147</v>
      </c>
      <c r="H7092" t="s">
        <v>98</v>
      </c>
      <c r="I7092">
        <v>34226</v>
      </c>
      <c r="J7092">
        <v>42126</v>
      </c>
    </row>
    <row r="7093" spans="1:10" x14ac:dyDescent="0.3">
      <c r="A7093" t="s">
        <v>7220</v>
      </c>
      <c r="B7093" s="1">
        <v>45775</v>
      </c>
      <c r="C7093" t="s">
        <v>86</v>
      </c>
      <c r="D7093">
        <v>18</v>
      </c>
      <c r="E7093" t="s">
        <v>61</v>
      </c>
      <c r="F7093" t="s">
        <v>57</v>
      </c>
      <c r="G7093" t="s">
        <v>51</v>
      </c>
      <c r="H7093" t="s">
        <v>55</v>
      </c>
      <c r="I7093">
        <v>38742</v>
      </c>
      <c r="J7093">
        <v>38763</v>
      </c>
    </row>
    <row r="7094" spans="1:10" x14ac:dyDescent="0.3">
      <c r="A7094" t="s">
        <v>7221</v>
      </c>
      <c r="B7094" s="1">
        <v>45758</v>
      </c>
      <c r="C7094" t="s">
        <v>86</v>
      </c>
      <c r="D7094">
        <v>15</v>
      </c>
      <c r="E7094" t="s">
        <v>24</v>
      </c>
      <c r="F7094" t="s">
        <v>101</v>
      </c>
      <c r="G7094" t="s">
        <v>118</v>
      </c>
      <c r="H7094" t="s">
        <v>119</v>
      </c>
      <c r="I7094">
        <v>26802</v>
      </c>
      <c r="J7094">
        <v>32002</v>
      </c>
    </row>
    <row r="7095" spans="1:10" x14ac:dyDescent="0.3">
      <c r="A7095" t="s">
        <v>7222</v>
      </c>
      <c r="B7095" s="1">
        <v>45918</v>
      </c>
      <c r="C7095" t="s">
        <v>38</v>
      </c>
      <c r="D7095">
        <v>38</v>
      </c>
      <c r="E7095" t="s">
        <v>70</v>
      </c>
      <c r="F7095" t="s">
        <v>46</v>
      </c>
      <c r="G7095" t="s">
        <v>110</v>
      </c>
      <c r="H7095" t="s">
        <v>21</v>
      </c>
      <c r="I7095">
        <v>19727</v>
      </c>
      <c r="J7095">
        <v>13840</v>
      </c>
    </row>
    <row r="7096" spans="1:10" x14ac:dyDescent="0.3">
      <c r="A7096" t="s">
        <v>7223</v>
      </c>
      <c r="B7096" s="1">
        <v>45798</v>
      </c>
      <c r="C7096" t="s">
        <v>90</v>
      </c>
      <c r="D7096">
        <v>21</v>
      </c>
      <c r="E7096" t="s">
        <v>12</v>
      </c>
      <c r="F7096" t="s">
        <v>101</v>
      </c>
      <c r="G7096" t="s">
        <v>126</v>
      </c>
      <c r="H7096" t="s">
        <v>243</v>
      </c>
      <c r="I7096">
        <v>29467</v>
      </c>
      <c r="J7096">
        <v>34325</v>
      </c>
    </row>
    <row r="7097" spans="1:10" x14ac:dyDescent="0.3">
      <c r="A7097" t="s">
        <v>7224</v>
      </c>
      <c r="B7097" s="1">
        <v>45924</v>
      </c>
      <c r="C7097" t="s">
        <v>38</v>
      </c>
      <c r="D7097">
        <v>39</v>
      </c>
      <c r="E7097" t="s">
        <v>12</v>
      </c>
      <c r="F7097" t="s">
        <v>46</v>
      </c>
      <c r="G7097" t="s">
        <v>240</v>
      </c>
      <c r="H7097" t="s">
        <v>59</v>
      </c>
      <c r="I7097">
        <v>16748</v>
      </c>
      <c r="J7097">
        <v>13827</v>
      </c>
    </row>
    <row r="7098" spans="1:10" x14ac:dyDescent="0.3">
      <c r="A7098" t="s">
        <v>7225</v>
      </c>
      <c r="B7098" s="1">
        <v>45877</v>
      </c>
      <c r="C7098" t="s">
        <v>113</v>
      </c>
      <c r="D7098">
        <v>32</v>
      </c>
      <c r="E7098" t="s">
        <v>70</v>
      </c>
      <c r="F7098" t="s">
        <v>78</v>
      </c>
      <c r="G7098" t="s">
        <v>110</v>
      </c>
      <c r="H7098" t="s">
        <v>211</v>
      </c>
      <c r="I7098">
        <v>17158</v>
      </c>
      <c r="J7098">
        <v>20227</v>
      </c>
    </row>
    <row r="7099" spans="1:10" x14ac:dyDescent="0.3">
      <c r="A7099" t="s">
        <v>7226</v>
      </c>
      <c r="B7099" s="1">
        <v>45917</v>
      </c>
      <c r="C7099" t="s">
        <v>38</v>
      </c>
      <c r="D7099">
        <v>38</v>
      </c>
      <c r="E7099" t="s">
        <v>39</v>
      </c>
      <c r="F7099" t="s">
        <v>43</v>
      </c>
      <c r="G7099" t="s">
        <v>266</v>
      </c>
      <c r="H7099" t="s">
        <v>96</v>
      </c>
      <c r="I7099">
        <v>29396</v>
      </c>
      <c r="J7099">
        <v>36849</v>
      </c>
    </row>
    <row r="7100" spans="1:10" x14ac:dyDescent="0.3">
      <c r="A7100" t="s">
        <v>7227</v>
      </c>
      <c r="B7100" s="1">
        <v>45786</v>
      </c>
      <c r="C7100" t="s">
        <v>90</v>
      </c>
      <c r="D7100">
        <v>19</v>
      </c>
      <c r="E7100" t="s">
        <v>33</v>
      </c>
      <c r="F7100" t="s">
        <v>87</v>
      </c>
      <c r="G7100" t="s">
        <v>107</v>
      </c>
      <c r="H7100" t="s">
        <v>27</v>
      </c>
      <c r="I7100">
        <v>26043</v>
      </c>
      <c r="J7100">
        <v>28063</v>
      </c>
    </row>
    <row r="7101" spans="1:10" x14ac:dyDescent="0.3">
      <c r="A7101" t="s">
        <v>7228</v>
      </c>
      <c r="B7101" s="1">
        <v>45837</v>
      </c>
      <c r="C7101" t="s">
        <v>74</v>
      </c>
      <c r="D7101">
        <v>26</v>
      </c>
      <c r="E7101" t="s">
        <v>39</v>
      </c>
      <c r="F7101" t="s">
        <v>13</v>
      </c>
      <c r="G7101" t="s">
        <v>291</v>
      </c>
      <c r="H7101" t="s">
        <v>15</v>
      </c>
      <c r="I7101">
        <v>27949</v>
      </c>
      <c r="J7101">
        <v>29121</v>
      </c>
    </row>
    <row r="7102" spans="1:10" x14ac:dyDescent="0.3">
      <c r="A7102" t="s">
        <v>7229</v>
      </c>
      <c r="B7102" s="1">
        <v>45872</v>
      </c>
      <c r="C7102" t="s">
        <v>113</v>
      </c>
      <c r="D7102">
        <v>31</v>
      </c>
      <c r="E7102" t="s">
        <v>18</v>
      </c>
      <c r="F7102" t="s">
        <v>34</v>
      </c>
      <c r="G7102" t="s">
        <v>26</v>
      </c>
      <c r="H7102" t="s">
        <v>55</v>
      </c>
      <c r="I7102">
        <v>17138</v>
      </c>
      <c r="J7102">
        <v>15250</v>
      </c>
    </row>
    <row r="7103" spans="1:10" x14ac:dyDescent="0.3">
      <c r="A7103" t="s">
        <v>7230</v>
      </c>
      <c r="B7103" s="1">
        <v>45945</v>
      </c>
      <c r="C7103" t="s">
        <v>66</v>
      </c>
      <c r="D7103">
        <v>42</v>
      </c>
      <c r="E7103" t="s">
        <v>70</v>
      </c>
      <c r="F7103" t="s">
        <v>193</v>
      </c>
      <c r="G7103" t="s">
        <v>147</v>
      </c>
      <c r="H7103" t="s">
        <v>155</v>
      </c>
      <c r="I7103">
        <v>37523</v>
      </c>
      <c r="J7103">
        <v>30914</v>
      </c>
    </row>
    <row r="7104" spans="1:10" x14ac:dyDescent="0.3">
      <c r="A7104" t="s">
        <v>7231</v>
      </c>
      <c r="B7104" s="1">
        <v>45676</v>
      </c>
      <c r="C7104" t="s">
        <v>17</v>
      </c>
      <c r="D7104">
        <v>3</v>
      </c>
      <c r="E7104" t="s">
        <v>33</v>
      </c>
      <c r="F7104" t="s">
        <v>193</v>
      </c>
      <c r="G7104" t="s">
        <v>326</v>
      </c>
      <c r="H7104" t="s">
        <v>211</v>
      </c>
      <c r="I7104">
        <v>30574</v>
      </c>
      <c r="J7104">
        <v>34698</v>
      </c>
    </row>
    <row r="7105" spans="1:10" x14ac:dyDescent="0.3">
      <c r="A7105" t="s">
        <v>7232</v>
      </c>
      <c r="B7105" s="1">
        <v>45716</v>
      </c>
      <c r="C7105" t="s">
        <v>82</v>
      </c>
      <c r="D7105">
        <v>9</v>
      </c>
      <c r="E7105" t="s">
        <v>61</v>
      </c>
      <c r="F7105" t="s">
        <v>101</v>
      </c>
      <c r="G7105" t="s">
        <v>93</v>
      </c>
      <c r="H7105" t="s">
        <v>123</v>
      </c>
      <c r="I7105">
        <v>31714</v>
      </c>
      <c r="J7105">
        <v>32799</v>
      </c>
    </row>
    <row r="7106" spans="1:10" x14ac:dyDescent="0.3">
      <c r="A7106" t="s">
        <v>7233</v>
      </c>
      <c r="B7106" s="1">
        <v>45728</v>
      </c>
      <c r="C7106" t="s">
        <v>95</v>
      </c>
      <c r="D7106">
        <v>11</v>
      </c>
      <c r="E7106" t="s">
        <v>39</v>
      </c>
      <c r="F7106" t="s">
        <v>193</v>
      </c>
      <c r="G7106" t="s">
        <v>160</v>
      </c>
      <c r="H7106" t="s">
        <v>27</v>
      </c>
      <c r="I7106">
        <v>18705</v>
      </c>
      <c r="J7106">
        <v>23175</v>
      </c>
    </row>
    <row r="7107" spans="1:10" x14ac:dyDescent="0.3">
      <c r="A7107" t="s">
        <v>7234</v>
      </c>
      <c r="B7107" s="1">
        <v>45689</v>
      </c>
      <c r="C7107" t="s">
        <v>82</v>
      </c>
      <c r="D7107">
        <v>5</v>
      </c>
      <c r="E7107" t="s">
        <v>39</v>
      </c>
      <c r="F7107" t="s">
        <v>50</v>
      </c>
      <c r="G7107" t="s">
        <v>291</v>
      </c>
      <c r="H7107" t="s">
        <v>123</v>
      </c>
      <c r="I7107">
        <v>20141</v>
      </c>
      <c r="J7107">
        <v>17971</v>
      </c>
    </row>
    <row r="7108" spans="1:10" x14ac:dyDescent="0.3">
      <c r="A7108" t="s">
        <v>7235</v>
      </c>
      <c r="B7108" s="1">
        <v>45676</v>
      </c>
      <c r="C7108" t="s">
        <v>17</v>
      </c>
      <c r="D7108">
        <v>3</v>
      </c>
      <c r="E7108" t="s">
        <v>70</v>
      </c>
      <c r="F7108" t="s">
        <v>140</v>
      </c>
      <c r="G7108" t="s">
        <v>58</v>
      </c>
      <c r="H7108" t="s">
        <v>64</v>
      </c>
      <c r="I7108">
        <v>28776</v>
      </c>
      <c r="J7108">
        <v>32658</v>
      </c>
    </row>
    <row r="7109" spans="1:10" x14ac:dyDescent="0.3">
      <c r="A7109" t="s">
        <v>7236</v>
      </c>
      <c r="B7109" s="1">
        <v>45906</v>
      </c>
      <c r="C7109" t="s">
        <v>38</v>
      </c>
      <c r="D7109">
        <v>36</v>
      </c>
      <c r="E7109" t="s">
        <v>70</v>
      </c>
      <c r="F7109" t="s">
        <v>78</v>
      </c>
      <c r="G7109" t="s">
        <v>93</v>
      </c>
      <c r="H7109" t="s">
        <v>55</v>
      </c>
      <c r="I7109">
        <v>30441</v>
      </c>
      <c r="J7109">
        <v>25155</v>
      </c>
    </row>
    <row r="7110" spans="1:10" x14ac:dyDescent="0.3">
      <c r="A7110" t="s">
        <v>7237</v>
      </c>
      <c r="B7110" s="1">
        <v>45899</v>
      </c>
      <c r="C7110" t="s">
        <v>113</v>
      </c>
      <c r="D7110">
        <v>35</v>
      </c>
      <c r="E7110" t="s">
        <v>33</v>
      </c>
      <c r="F7110" t="s">
        <v>34</v>
      </c>
      <c r="G7110" t="s">
        <v>266</v>
      </c>
      <c r="H7110" t="s">
        <v>68</v>
      </c>
      <c r="I7110">
        <v>31688</v>
      </c>
      <c r="J7110">
        <v>41165</v>
      </c>
    </row>
    <row r="7111" spans="1:10" x14ac:dyDescent="0.3">
      <c r="A7111" t="s">
        <v>7238</v>
      </c>
      <c r="B7111" s="1">
        <v>45843</v>
      </c>
      <c r="C7111" t="s">
        <v>11</v>
      </c>
      <c r="D7111">
        <v>27</v>
      </c>
      <c r="E7111" t="s">
        <v>33</v>
      </c>
      <c r="F7111" t="s">
        <v>34</v>
      </c>
      <c r="G7111" t="s">
        <v>224</v>
      </c>
      <c r="H7111" t="s">
        <v>27</v>
      </c>
      <c r="I7111">
        <v>29896</v>
      </c>
      <c r="J7111">
        <v>22627</v>
      </c>
    </row>
    <row r="7112" spans="1:10" x14ac:dyDescent="0.3">
      <c r="A7112" t="s">
        <v>7239</v>
      </c>
      <c r="B7112" s="1">
        <v>45823</v>
      </c>
      <c r="C7112" t="s">
        <v>74</v>
      </c>
      <c r="D7112">
        <v>24</v>
      </c>
      <c r="E7112" t="s">
        <v>24</v>
      </c>
      <c r="F7112" t="s">
        <v>29</v>
      </c>
      <c r="G7112" t="s">
        <v>182</v>
      </c>
      <c r="H7112" t="s">
        <v>123</v>
      </c>
      <c r="I7112">
        <v>17783</v>
      </c>
      <c r="J7112">
        <v>13027</v>
      </c>
    </row>
    <row r="7113" spans="1:10" x14ac:dyDescent="0.3">
      <c r="A7113" t="s">
        <v>7240</v>
      </c>
      <c r="B7113" s="1">
        <v>45880</v>
      </c>
      <c r="C7113" t="s">
        <v>113</v>
      </c>
      <c r="D7113">
        <v>33</v>
      </c>
      <c r="E7113" t="s">
        <v>70</v>
      </c>
      <c r="F7113" t="s">
        <v>75</v>
      </c>
      <c r="G7113" t="s">
        <v>201</v>
      </c>
      <c r="H7113" t="s">
        <v>80</v>
      </c>
      <c r="I7113">
        <v>37270</v>
      </c>
      <c r="J7113">
        <v>43261</v>
      </c>
    </row>
    <row r="7114" spans="1:10" x14ac:dyDescent="0.3">
      <c r="A7114" t="s">
        <v>7241</v>
      </c>
      <c r="B7114" s="1">
        <v>45772</v>
      </c>
      <c r="C7114" t="s">
        <v>86</v>
      </c>
      <c r="D7114">
        <v>17</v>
      </c>
      <c r="E7114" t="s">
        <v>18</v>
      </c>
      <c r="F7114" t="s">
        <v>62</v>
      </c>
      <c r="G7114" t="s">
        <v>30</v>
      </c>
      <c r="H7114" t="s">
        <v>27</v>
      </c>
      <c r="I7114">
        <v>24205</v>
      </c>
      <c r="J7114">
        <v>28945</v>
      </c>
    </row>
    <row r="7115" spans="1:10" x14ac:dyDescent="0.3">
      <c r="A7115" t="s">
        <v>7242</v>
      </c>
      <c r="B7115" s="1">
        <v>45748</v>
      </c>
      <c r="C7115" t="s">
        <v>86</v>
      </c>
      <c r="D7115">
        <v>14</v>
      </c>
      <c r="E7115" t="s">
        <v>39</v>
      </c>
      <c r="F7115" t="s">
        <v>78</v>
      </c>
      <c r="G7115" t="s">
        <v>182</v>
      </c>
      <c r="H7115" t="s">
        <v>155</v>
      </c>
      <c r="I7115">
        <v>29488</v>
      </c>
      <c r="J7115">
        <v>34101</v>
      </c>
    </row>
    <row r="7116" spans="1:10" x14ac:dyDescent="0.3">
      <c r="A7116" t="s">
        <v>7243</v>
      </c>
      <c r="B7116" s="1">
        <v>45782</v>
      </c>
      <c r="C7116" t="s">
        <v>90</v>
      </c>
      <c r="D7116">
        <v>19</v>
      </c>
      <c r="E7116" t="s">
        <v>18</v>
      </c>
      <c r="F7116" t="s">
        <v>13</v>
      </c>
      <c r="G7116" t="s">
        <v>63</v>
      </c>
      <c r="H7116" t="s">
        <v>80</v>
      </c>
      <c r="I7116">
        <v>25231</v>
      </c>
      <c r="J7116">
        <v>22231</v>
      </c>
    </row>
    <row r="7117" spans="1:10" x14ac:dyDescent="0.3">
      <c r="A7117" t="s">
        <v>7244</v>
      </c>
      <c r="B7117" s="1">
        <v>45807</v>
      </c>
      <c r="C7117" t="s">
        <v>90</v>
      </c>
      <c r="D7117">
        <v>22</v>
      </c>
      <c r="E7117" t="s">
        <v>24</v>
      </c>
      <c r="F7117" t="s">
        <v>57</v>
      </c>
      <c r="G7117" t="s">
        <v>110</v>
      </c>
      <c r="H7117" t="s">
        <v>151</v>
      </c>
      <c r="I7117">
        <v>26958</v>
      </c>
      <c r="J7117">
        <v>19789</v>
      </c>
    </row>
    <row r="7118" spans="1:10" x14ac:dyDescent="0.3">
      <c r="A7118" t="s">
        <v>7245</v>
      </c>
      <c r="B7118" s="1">
        <v>45911</v>
      </c>
      <c r="C7118" t="s">
        <v>38</v>
      </c>
      <c r="D7118">
        <v>37</v>
      </c>
      <c r="E7118" t="s">
        <v>12</v>
      </c>
      <c r="F7118" t="s">
        <v>193</v>
      </c>
      <c r="G7118" t="s">
        <v>182</v>
      </c>
      <c r="H7118" t="s">
        <v>31</v>
      </c>
      <c r="I7118">
        <v>28533</v>
      </c>
      <c r="J7118">
        <v>24396</v>
      </c>
    </row>
    <row r="7119" spans="1:10" x14ac:dyDescent="0.3">
      <c r="A7119" t="s">
        <v>7246</v>
      </c>
      <c r="B7119" s="1">
        <v>45952</v>
      </c>
      <c r="C7119" t="s">
        <v>66</v>
      </c>
      <c r="D7119">
        <v>43</v>
      </c>
      <c r="E7119" t="s">
        <v>12</v>
      </c>
      <c r="F7119" t="s">
        <v>114</v>
      </c>
      <c r="G7119" t="s">
        <v>291</v>
      </c>
      <c r="H7119" t="s">
        <v>243</v>
      </c>
      <c r="I7119">
        <v>15938</v>
      </c>
      <c r="J7119">
        <v>19031</v>
      </c>
    </row>
    <row r="7120" spans="1:10" x14ac:dyDescent="0.3">
      <c r="A7120" t="s">
        <v>7247</v>
      </c>
      <c r="B7120" s="1">
        <v>45883</v>
      </c>
      <c r="C7120" t="s">
        <v>113</v>
      </c>
      <c r="D7120">
        <v>33</v>
      </c>
      <c r="E7120" t="s">
        <v>33</v>
      </c>
      <c r="F7120" t="s">
        <v>92</v>
      </c>
      <c r="G7120" t="s">
        <v>63</v>
      </c>
      <c r="H7120" t="s">
        <v>151</v>
      </c>
      <c r="I7120">
        <v>30313</v>
      </c>
      <c r="J7120">
        <v>26879</v>
      </c>
    </row>
    <row r="7121" spans="1:10" x14ac:dyDescent="0.3">
      <c r="A7121" t="s">
        <v>7248</v>
      </c>
      <c r="B7121" s="1">
        <v>45833</v>
      </c>
      <c r="C7121" t="s">
        <v>74</v>
      </c>
      <c r="D7121">
        <v>26</v>
      </c>
      <c r="E7121" t="s">
        <v>39</v>
      </c>
      <c r="F7121" t="s">
        <v>25</v>
      </c>
      <c r="G7121" t="s">
        <v>83</v>
      </c>
      <c r="H7121" t="s">
        <v>151</v>
      </c>
      <c r="I7121">
        <v>32777</v>
      </c>
      <c r="J7121">
        <v>31049</v>
      </c>
    </row>
    <row r="7122" spans="1:10" x14ac:dyDescent="0.3">
      <c r="A7122" t="s">
        <v>7249</v>
      </c>
      <c r="B7122" s="1">
        <v>45948</v>
      </c>
      <c r="C7122" t="s">
        <v>66</v>
      </c>
      <c r="D7122">
        <v>42</v>
      </c>
      <c r="E7122" t="s">
        <v>18</v>
      </c>
      <c r="F7122" t="s">
        <v>140</v>
      </c>
      <c r="G7122" t="s">
        <v>224</v>
      </c>
      <c r="H7122" t="s">
        <v>116</v>
      </c>
      <c r="I7122">
        <v>19008</v>
      </c>
      <c r="J7122">
        <v>24529</v>
      </c>
    </row>
    <row r="7123" spans="1:10" x14ac:dyDescent="0.3">
      <c r="A7123" t="s">
        <v>7250</v>
      </c>
      <c r="B7123" s="1">
        <v>45854</v>
      </c>
      <c r="C7123" t="s">
        <v>11</v>
      </c>
      <c r="D7123">
        <v>29</v>
      </c>
      <c r="E7123" t="s">
        <v>24</v>
      </c>
      <c r="F7123" t="s">
        <v>13</v>
      </c>
      <c r="G7123" t="s">
        <v>26</v>
      </c>
      <c r="H7123" t="s">
        <v>157</v>
      </c>
      <c r="I7123">
        <v>32257</v>
      </c>
      <c r="J7123">
        <v>28728</v>
      </c>
    </row>
    <row r="7124" spans="1:10" x14ac:dyDescent="0.3">
      <c r="A7124" t="s">
        <v>7251</v>
      </c>
      <c r="B7124" s="1">
        <v>45922</v>
      </c>
      <c r="C7124" t="s">
        <v>38</v>
      </c>
      <c r="D7124">
        <v>39</v>
      </c>
      <c r="E7124" t="s">
        <v>70</v>
      </c>
      <c r="F7124" t="s">
        <v>75</v>
      </c>
      <c r="G7124" t="s">
        <v>20</v>
      </c>
      <c r="H7124" t="s">
        <v>123</v>
      </c>
      <c r="I7124">
        <v>21450</v>
      </c>
      <c r="J7124">
        <v>23500</v>
      </c>
    </row>
    <row r="7125" spans="1:10" x14ac:dyDescent="0.3">
      <c r="A7125" t="s">
        <v>7252</v>
      </c>
      <c r="B7125" s="1">
        <v>45787</v>
      </c>
      <c r="C7125" t="s">
        <v>90</v>
      </c>
      <c r="D7125">
        <v>19</v>
      </c>
      <c r="E7125" t="s">
        <v>61</v>
      </c>
      <c r="F7125" t="s">
        <v>122</v>
      </c>
      <c r="G7125" t="s">
        <v>266</v>
      </c>
      <c r="H7125" t="s">
        <v>155</v>
      </c>
      <c r="I7125">
        <v>30692</v>
      </c>
      <c r="J7125">
        <v>31314</v>
      </c>
    </row>
    <row r="7126" spans="1:10" x14ac:dyDescent="0.3">
      <c r="A7126" t="s">
        <v>7253</v>
      </c>
      <c r="B7126" s="1">
        <v>45938</v>
      </c>
      <c r="C7126" t="s">
        <v>66</v>
      </c>
      <c r="D7126">
        <v>41</v>
      </c>
      <c r="E7126" t="s">
        <v>12</v>
      </c>
      <c r="F7126" t="s">
        <v>57</v>
      </c>
      <c r="G7126" t="s">
        <v>44</v>
      </c>
      <c r="H7126" t="s">
        <v>188</v>
      </c>
      <c r="I7126">
        <v>33510</v>
      </c>
      <c r="J7126">
        <v>27854</v>
      </c>
    </row>
    <row r="7127" spans="1:10" x14ac:dyDescent="0.3">
      <c r="A7127" t="s">
        <v>7254</v>
      </c>
      <c r="B7127" s="1">
        <v>45762</v>
      </c>
      <c r="C7127" t="s">
        <v>86</v>
      </c>
      <c r="D7127">
        <v>16</v>
      </c>
      <c r="E7127" t="s">
        <v>70</v>
      </c>
      <c r="F7127" t="s">
        <v>57</v>
      </c>
      <c r="G7127" t="s">
        <v>20</v>
      </c>
      <c r="H7127" t="s">
        <v>21</v>
      </c>
      <c r="I7127">
        <v>25362</v>
      </c>
      <c r="J7127">
        <v>23195</v>
      </c>
    </row>
    <row r="7128" spans="1:10" x14ac:dyDescent="0.3">
      <c r="A7128" t="s">
        <v>7255</v>
      </c>
      <c r="B7128" s="1">
        <v>46010</v>
      </c>
      <c r="C7128" t="s">
        <v>100</v>
      </c>
      <c r="D7128">
        <v>51</v>
      </c>
      <c r="E7128" t="s">
        <v>24</v>
      </c>
      <c r="F7128" t="s">
        <v>75</v>
      </c>
      <c r="G7128" t="s">
        <v>128</v>
      </c>
      <c r="H7128" t="s">
        <v>27</v>
      </c>
      <c r="I7128">
        <v>34463</v>
      </c>
      <c r="J7128">
        <v>38395</v>
      </c>
    </row>
    <row r="7129" spans="1:10" x14ac:dyDescent="0.3">
      <c r="A7129" t="s">
        <v>7256</v>
      </c>
      <c r="B7129" s="1">
        <v>45666</v>
      </c>
      <c r="C7129" t="s">
        <v>17</v>
      </c>
      <c r="D7129">
        <v>2</v>
      </c>
      <c r="E7129" t="s">
        <v>24</v>
      </c>
      <c r="F7129" t="s">
        <v>25</v>
      </c>
      <c r="G7129" t="s">
        <v>40</v>
      </c>
      <c r="H7129" t="s">
        <v>163</v>
      </c>
      <c r="I7129">
        <v>18227</v>
      </c>
      <c r="J7129">
        <v>12897</v>
      </c>
    </row>
    <row r="7130" spans="1:10" x14ac:dyDescent="0.3">
      <c r="A7130" t="s">
        <v>7257</v>
      </c>
      <c r="B7130" s="1">
        <v>45941</v>
      </c>
      <c r="C7130" t="s">
        <v>66</v>
      </c>
      <c r="D7130">
        <v>41</v>
      </c>
      <c r="E7130" t="s">
        <v>39</v>
      </c>
      <c r="F7130" t="s">
        <v>19</v>
      </c>
      <c r="G7130" t="s">
        <v>35</v>
      </c>
      <c r="H7130" t="s">
        <v>211</v>
      </c>
      <c r="I7130">
        <v>32425</v>
      </c>
      <c r="J7130">
        <v>25377</v>
      </c>
    </row>
    <row r="7131" spans="1:10" x14ac:dyDescent="0.3">
      <c r="A7131" t="s">
        <v>7258</v>
      </c>
      <c r="B7131" s="1">
        <v>45927</v>
      </c>
      <c r="C7131" t="s">
        <v>38</v>
      </c>
      <c r="D7131">
        <v>39</v>
      </c>
      <c r="E7131" t="s">
        <v>61</v>
      </c>
      <c r="F7131" t="s">
        <v>19</v>
      </c>
      <c r="G7131" t="s">
        <v>63</v>
      </c>
      <c r="H7131" t="s">
        <v>157</v>
      </c>
      <c r="I7131">
        <v>24616</v>
      </c>
      <c r="J7131">
        <v>25553</v>
      </c>
    </row>
    <row r="7132" spans="1:10" x14ac:dyDescent="0.3">
      <c r="A7132" t="s">
        <v>7259</v>
      </c>
      <c r="B7132" s="1">
        <v>45780</v>
      </c>
      <c r="C7132" t="s">
        <v>90</v>
      </c>
      <c r="D7132">
        <v>18</v>
      </c>
      <c r="E7132" t="s">
        <v>61</v>
      </c>
      <c r="F7132" t="s">
        <v>87</v>
      </c>
      <c r="G7132" t="s">
        <v>199</v>
      </c>
      <c r="H7132" t="s">
        <v>163</v>
      </c>
      <c r="I7132">
        <v>29298</v>
      </c>
      <c r="J7132">
        <v>30192</v>
      </c>
    </row>
    <row r="7133" spans="1:10" x14ac:dyDescent="0.3">
      <c r="A7133" t="s">
        <v>7260</v>
      </c>
      <c r="B7133" s="1">
        <v>45844</v>
      </c>
      <c r="C7133" t="s">
        <v>11</v>
      </c>
      <c r="D7133">
        <v>27</v>
      </c>
      <c r="E7133" t="s">
        <v>24</v>
      </c>
      <c r="F7133" t="s">
        <v>34</v>
      </c>
      <c r="G7133" t="s">
        <v>145</v>
      </c>
      <c r="H7133" t="s">
        <v>98</v>
      </c>
      <c r="I7133">
        <v>29797</v>
      </c>
      <c r="J7133">
        <v>38436</v>
      </c>
    </row>
    <row r="7134" spans="1:10" x14ac:dyDescent="0.3">
      <c r="A7134" t="s">
        <v>7261</v>
      </c>
      <c r="B7134" s="1">
        <v>45749</v>
      </c>
      <c r="C7134" t="s">
        <v>86</v>
      </c>
      <c r="D7134">
        <v>14</v>
      </c>
      <c r="E7134" t="s">
        <v>61</v>
      </c>
      <c r="F7134" t="s">
        <v>13</v>
      </c>
      <c r="G7134" t="s">
        <v>326</v>
      </c>
      <c r="H7134" t="s">
        <v>123</v>
      </c>
      <c r="I7134">
        <v>29104</v>
      </c>
      <c r="J7134">
        <v>23419</v>
      </c>
    </row>
    <row r="7135" spans="1:10" x14ac:dyDescent="0.3">
      <c r="A7135" t="s">
        <v>7262</v>
      </c>
      <c r="B7135" s="1">
        <v>45676</v>
      </c>
      <c r="C7135" t="s">
        <v>17</v>
      </c>
      <c r="D7135">
        <v>3</v>
      </c>
      <c r="E7135" t="s">
        <v>33</v>
      </c>
      <c r="F7135" t="s">
        <v>19</v>
      </c>
      <c r="G7135" t="s">
        <v>206</v>
      </c>
      <c r="H7135" t="s">
        <v>84</v>
      </c>
      <c r="I7135">
        <v>29863</v>
      </c>
      <c r="J7135">
        <v>23731</v>
      </c>
    </row>
    <row r="7136" spans="1:10" x14ac:dyDescent="0.3">
      <c r="A7136" t="s">
        <v>7263</v>
      </c>
      <c r="B7136" s="1">
        <v>45869</v>
      </c>
      <c r="C7136" t="s">
        <v>11</v>
      </c>
      <c r="D7136">
        <v>31</v>
      </c>
      <c r="E7136" t="s">
        <v>12</v>
      </c>
      <c r="F7136" t="s">
        <v>87</v>
      </c>
      <c r="G7136" t="s">
        <v>149</v>
      </c>
      <c r="H7136" t="s">
        <v>165</v>
      </c>
      <c r="I7136">
        <v>31783</v>
      </c>
      <c r="J7136">
        <v>36173</v>
      </c>
    </row>
    <row r="7137" spans="1:10" x14ac:dyDescent="0.3">
      <c r="A7137" t="s">
        <v>7264</v>
      </c>
      <c r="B7137" s="1">
        <v>45891</v>
      </c>
      <c r="C7137" t="s">
        <v>113</v>
      </c>
      <c r="D7137">
        <v>34</v>
      </c>
      <c r="E7137" t="s">
        <v>70</v>
      </c>
      <c r="F7137" t="s">
        <v>92</v>
      </c>
      <c r="G7137" t="s">
        <v>266</v>
      </c>
      <c r="H7137" t="s">
        <v>21</v>
      </c>
      <c r="I7137">
        <v>31417</v>
      </c>
      <c r="J7137">
        <v>23918</v>
      </c>
    </row>
    <row r="7138" spans="1:10" x14ac:dyDescent="0.3">
      <c r="A7138" t="s">
        <v>7265</v>
      </c>
      <c r="B7138" s="1">
        <v>45736</v>
      </c>
      <c r="C7138" t="s">
        <v>95</v>
      </c>
      <c r="D7138">
        <v>12</v>
      </c>
      <c r="E7138" t="s">
        <v>18</v>
      </c>
      <c r="F7138" t="s">
        <v>57</v>
      </c>
      <c r="G7138" t="s">
        <v>132</v>
      </c>
      <c r="H7138" t="s">
        <v>52</v>
      </c>
      <c r="I7138">
        <v>32905</v>
      </c>
      <c r="J7138">
        <v>33542</v>
      </c>
    </row>
    <row r="7139" spans="1:10" x14ac:dyDescent="0.3">
      <c r="A7139" t="s">
        <v>7266</v>
      </c>
      <c r="B7139" s="1">
        <v>45820</v>
      </c>
      <c r="C7139" t="s">
        <v>74</v>
      </c>
      <c r="D7139">
        <v>24</v>
      </c>
      <c r="E7139" t="s">
        <v>18</v>
      </c>
      <c r="F7139" t="s">
        <v>29</v>
      </c>
      <c r="G7139" t="s">
        <v>171</v>
      </c>
      <c r="H7139" t="s">
        <v>52</v>
      </c>
      <c r="I7139">
        <v>18184</v>
      </c>
      <c r="J7139">
        <v>21151</v>
      </c>
    </row>
    <row r="7140" spans="1:10" x14ac:dyDescent="0.3">
      <c r="A7140" t="s">
        <v>7267</v>
      </c>
      <c r="B7140" s="1">
        <v>45900</v>
      </c>
      <c r="C7140" t="s">
        <v>113</v>
      </c>
      <c r="D7140">
        <v>35</v>
      </c>
      <c r="E7140" t="s">
        <v>33</v>
      </c>
      <c r="F7140" t="s">
        <v>43</v>
      </c>
      <c r="G7140" t="s">
        <v>40</v>
      </c>
      <c r="H7140" t="s">
        <v>68</v>
      </c>
      <c r="I7140">
        <v>20018</v>
      </c>
      <c r="J7140">
        <v>20673</v>
      </c>
    </row>
    <row r="7141" spans="1:10" x14ac:dyDescent="0.3">
      <c r="A7141" t="s">
        <v>7268</v>
      </c>
      <c r="B7141" s="1">
        <v>45860</v>
      </c>
      <c r="C7141" t="s">
        <v>11</v>
      </c>
      <c r="D7141">
        <v>30</v>
      </c>
      <c r="E7141" t="s">
        <v>39</v>
      </c>
      <c r="F7141" t="s">
        <v>19</v>
      </c>
      <c r="G7141" t="s">
        <v>182</v>
      </c>
      <c r="H7141" t="s">
        <v>155</v>
      </c>
      <c r="I7141">
        <v>33964</v>
      </c>
      <c r="J7141">
        <v>41602</v>
      </c>
    </row>
    <row r="7142" spans="1:10" x14ac:dyDescent="0.3">
      <c r="A7142" t="s">
        <v>7269</v>
      </c>
      <c r="B7142" s="1">
        <v>45984</v>
      </c>
      <c r="C7142" t="s">
        <v>23</v>
      </c>
      <c r="D7142">
        <v>47</v>
      </c>
      <c r="E7142" t="s">
        <v>70</v>
      </c>
      <c r="F7142" t="s">
        <v>140</v>
      </c>
      <c r="G7142" t="s">
        <v>107</v>
      </c>
      <c r="H7142" t="s">
        <v>36</v>
      </c>
      <c r="I7142">
        <v>24725</v>
      </c>
      <c r="J7142">
        <v>19575</v>
      </c>
    </row>
    <row r="7143" spans="1:10" x14ac:dyDescent="0.3">
      <c r="A7143" t="s">
        <v>7270</v>
      </c>
      <c r="B7143" s="1">
        <v>45757</v>
      </c>
      <c r="C7143" t="s">
        <v>86</v>
      </c>
      <c r="D7143">
        <v>15</v>
      </c>
      <c r="E7143" t="s">
        <v>39</v>
      </c>
      <c r="F7143" t="s">
        <v>46</v>
      </c>
      <c r="G7143" t="s">
        <v>230</v>
      </c>
      <c r="H7143" t="s">
        <v>211</v>
      </c>
      <c r="I7143">
        <v>39322</v>
      </c>
      <c r="J7143">
        <v>28486</v>
      </c>
    </row>
    <row r="7144" spans="1:10" x14ac:dyDescent="0.3">
      <c r="A7144" t="s">
        <v>7271</v>
      </c>
      <c r="B7144" s="1">
        <v>45779</v>
      </c>
      <c r="C7144" t="s">
        <v>90</v>
      </c>
      <c r="D7144">
        <v>18</v>
      </c>
      <c r="E7144" t="s">
        <v>18</v>
      </c>
      <c r="F7144" t="s">
        <v>92</v>
      </c>
      <c r="G7144" t="s">
        <v>135</v>
      </c>
      <c r="H7144" t="s">
        <v>21</v>
      </c>
      <c r="I7144">
        <v>20484</v>
      </c>
      <c r="J7144">
        <v>19085</v>
      </c>
    </row>
    <row r="7145" spans="1:10" x14ac:dyDescent="0.3">
      <c r="A7145" t="s">
        <v>7272</v>
      </c>
      <c r="B7145" s="1">
        <v>45781</v>
      </c>
      <c r="C7145" t="s">
        <v>90</v>
      </c>
      <c r="D7145">
        <v>18</v>
      </c>
      <c r="E7145" t="s">
        <v>12</v>
      </c>
      <c r="F7145" t="s">
        <v>92</v>
      </c>
      <c r="G7145" t="s">
        <v>149</v>
      </c>
      <c r="H7145" t="s">
        <v>98</v>
      </c>
      <c r="I7145">
        <v>22563</v>
      </c>
      <c r="J7145">
        <v>24364</v>
      </c>
    </row>
    <row r="7146" spans="1:10" x14ac:dyDescent="0.3">
      <c r="A7146" t="s">
        <v>7273</v>
      </c>
      <c r="B7146" s="1">
        <v>45974</v>
      </c>
      <c r="C7146" t="s">
        <v>23</v>
      </c>
      <c r="D7146">
        <v>46</v>
      </c>
      <c r="E7146" t="s">
        <v>70</v>
      </c>
      <c r="F7146" t="s">
        <v>34</v>
      </c>
      <c r="G7146" t="s">
        <v>20</v>
      </c>
      <c r="H7146" t="s">
        <v>84</v>
      </c>
      <c r="I7146">
        <v>34905</v>
      </c>
      <c r="J7146">
        <v>32947</v>
      </c>
    </row>
    <row r="7147" spans="1:10" x14ac:dyDescent="0.3">
      <c r="A7147" t="s">
        <v>7274</v>
      </c>
      <c r="B7147" s="1">
        <v>45670</v>
      </c>
      <c r="C7147" t="s">
        <v>17</v>
      </c>
      <c r="D7147">
        <v>3</v>
      </c>
      <c r="E7147" t="s">
        <v>18</v>
      </c>
      <c r="F7147" t="s">
        <v>19</v>
      </c>
      <c r="G7147" t="s">
        <v>83</v>
      </c>
      <c r="H7147" t="s">
        <v>98</v>
      </c>
      <c r="I7147">
        <v>32514</v>
      </c>
      <c r="J7147">
        <v>40313</v>
      </c>
    </row>
    <row r="7148" spans="1:10" x14ac:dyDescent="0.3">
      <c r="A7148" t="s">
        <v>7275</v>
      </c>
      <c r="B7148" s="1">
        <v>45962</v>
      </c>
      <c r="C7148" t="s">
        <v>23</v>
      </c>
      <c r="D7148">
        <v>44</v>
      </c>
      <c r="E7148" t="s">
        <v>12</v>
      </c>
      <c r="F7148" t="s">
        <v>122</v>
      </c>
      <c r="G7148" t="s">
        <v>137</v>
      </c>
      <c r="H7148" t="s">
        <v>155</v>
      </c>
      <c r="I7148">
        <v>27930</v>
      </c>
      <c r="J7148">
        <v>19723</v>
      </c>
    </row>
    <row r="7149" spans="1:10" x14ac:dyDescent="0.3">
      <c r="A7149" t="s">
        <v>7276</v>
      </c>
      <c r="B7149" s="1">
        <v>45967</v>
      </c>
      <c r="C7149" t="s">
        <v>23</v>
      </c>
      <c r="D7149">
        <v>45</v>
      </c>
      <c r="E7149" t="s">
        <v>18</v>
      </c>
      <c r="F7149" t="s">
        <v>43</v>
      </c>
      <c r="G7149" t="s">
        <v>240</v>
      </c>
      <c r="H7149" t="s">
        <v>157</v>
      </c>
      <c r="I7149">
        <v>33555</v>
      </c>
      <c r="J7149">
        <v>29758</v>
      </c>
    </row>
    <row r="7150" spans="1:10" x14ac:dyDescent="0.3">
      <c r="A7150" t="s">
        <v>7277</v>
      </c>
      <c r="B7150" s="1">
        <v>45747</v>
      </c>
      <c r="C7150" t="s">
        <v>95</v>
      </c>
      <c r="D7150">
        <v>14</v>
      </c>
      <c r="E7150" t="s">
        <v>12</v>
      </c>
      <c r="F7150" t="s">
        <v>50</v>
      </c>
      <c r="G7150" t="s">
        <v>160</v>
      </c>
      <c r="H7150" t="s">
        <v>55</v>
      </c>
      <c r="I7150">
        <v>23670</v>
      </c>
      <c r="J7150">
        <v>29942</v>
      </c>
    </row>
    <row r="7151" spans="1:10" x14ac:dyDescent="0.3">
      <c r="A7151" t="s">
        <v>7278</v>
      </c>
      <c r="B7151" s="1">
        <v>45664</v>
      </c>
      <c r="C7151" t="s">
        <v>17</v>
      </c>
      <c r="D7151">
        <v>2</v>
      </c>
      <c r="E7151" t="s">
        <v>18</v>
      </c>
      <c r="F7151" t="s">
        <v>78</v>
      </c>
      <c r="G7151" t="s">
        <v>47</v>
      </c>
      <c r="H7151" t="s">
        <v>243</v>
      </c>
      <c r="I7151">
        <v>20782</v>
      </c>
      <c r="J7151">
        <v>23071</v>
      </c>
    </row>
    <row r="7152" spans="1:10" x14ac:dyDescent="0.3">
      <c r="A7152" t="s">
        <v>7279</v>
      </c>
      <c r="B7152" s="1">
        <v>45964</v>
      </c>
      <c r="C7152" t="s">
        <v>23</v>
      </c>
      <c r="D7152">
        <v>45</v>
      </c>
      <c r="E7152" t="s">
        <v>24</v>
      </c>
      <c r="F7152" t="s">
        <v>46</v>
      </c>
      <c r="G7152" t="s">
        <v>126</v>
      </c>
      <c r="H7152" t="s">
        <v>188</v>
      </c>
      <c r="I7152">
        <v>27283</v>
      </c>
      <c r="J7152">
        <v>32516</v>
      </c>
    </row>
    <row r="7153" spans="1:10" x14ac:dyDescent="0.3">
      <c r="A7153" t="s">
        <v>7280</v>
      </c>
      <c r="B7153" s="1">
        <v>45983</v>
      </c>
      <c r="C7153" t="s">
        <v>23</v>
      </c>
      <c r="D7153">
        <v>47</v>
      </c>
      <c r="E7153" t="s">
        <v>33</v>
      </c>
      <c r="F7153" t="s">
        <v>92</v>
      </c>
      <c r="G7153" t="s">
        <v>291</v>
      </c>
      <c r="H7153" t="s">
        <v>157</v>
      </c>
      <c r="I7153">
        <v>23489</v>
      </c>
      <c r="J7153">
        <v>24370</v>
      </c>
    </row>
    <row r="7154" spans="1:10" x14ac:dyDescent="0.3">
      <c r="A7154" t="s">
        <v>7281</v>
      </c>
      <c r="B7154" s="1">
        <v>45846</v>
      </c>
      <c r="C7154" t="s">
        <v>11</v>
      </c>
      <c r="D7154">
        <v>28</v>
      </c>
      <c r="E7154" t="s">
        <v>39</v>
      </c>
      <c r="F7154" t="s">
        <v>140</v>
      </c>
      <c r="G7154" t="s">
        <v>132</v>
      </c>
      <c r="H7154" t="s">
        <v>243</v>
      </c>
      <c r="I7154">
        <v>29165</v>
      </c>
      <c r="J7154">
        <v>34120</v>
      </c>
    </row>
    <row r="7155" spans="1:10" x14ac:dyDescent="0.3">
      <c r="A7155" t="s">
        <v>7282</v>
      </c>
      <c r="B7155" s="1">
        <v>45922</v>
      </c>
      <c r="C7155" t="s">
        <v>38</v>
      </c>
      <c r="D7155">
        <v>39</v>
      </c>
      <c r="E7155" t="s">
        <v>70</v>
      </c>
      <c r="F7155" t="s">
        <v>43</v>
      </c>
      <c r="G7155" t="s">
        <v>135</v>
      </c>
      <c r="H7155" t="s">
        <v>55</v>
      </c>
      <c r="I7155">
        <v>28698</v>
      </c>
      <c r="J7155">
        <v>36763</v>
      </c>
    </row>
    <row r="7156" spans="1:10" x14ac:dyDescent="0.3">
      <c r="A7156" t="s">
        <v>7283</v>
      </c>
      <c r="B7156" s="1">
        <v>45747</v>
      </c>
      <c r="C7156" t="s">
        <v>95</v>
      </c>
      <c r="D7156">
        <v>14</v>
      </c>
      <c r="E7156" t="s">
        <v>61</v>
      </c>
      <c r="F7156" t="s">
        <v>62</v>
      </c>
      <c r="G7156" t="s">
        <v>63</v>
      </c>
      <c r="H7156" t="s">
        <v>55</v>
      </c>
      <c r="I7156">
        <v>21401</v>
      </c>
      <c r="J7156">
        <v>22414</v>
      </c>
    </row>
    <row r="7157" spans="1:10" x14ac:dyDescent="0.3">
      <c r="A7157" t="s">
        <v>7284</v>
      </c>
      <c r="B7157" s="1">
        <v>46015</v>
      </c>
      <c r="C7157" t="s">
        <v>100</v>
      </c>
      <c r="D7157">
        <v>52</v>
      </c>
      <c r="E7157" t="s">
        <v>24</v>
      </c>
      <c r="F7157" t="s">
        <v>92</v>
      </c>
      <c r="G7157" t="s">
        <v>234</v>
      </c>
      <c r="H7157" t="s">
        <v>64</v>
      </c>
      <c r="I7157">
        <v>28378</v>
      </c>
      <c r="J7157">
        <v>24351</v>
      </c>
    </row>
    <row r="7158" spans="1:10" x14ac:dyDescent="0.3">
      <c r="A7158" t="s">
        <v>7285</v>
      </c>
      <c r="B7158" s="1">
        <v>45946</v>
      </c>
      <c r="C7158" t="s">
        <v>66</v>
      </c>
      <c r="D7158">
        <v>42</v>
      </c>
      <c r="E7158" t="s">
        <v>24</v>
      </c>
      <c r="F7158" t="s">
        <v>57</v>
      </c>
      <c r="G7158" t="s">
        <v>171</v>
      </c>
      <c r="H7158" t="s">
        <v>48</v>
      </c>
      <c r="I7158">
        <v>29330</v>
      </c>
      <c r="J7158">
        <v>29963</v>
      </c>
    </row>
    <row r="7159" spans="1:10" x14ac:dyDescent="0.3">
      <c r="A7159" t="s">
        <v>7286</v>
      </c>
      <c r="B7159" s="1">
        <v>45749</v>
      </c>
      <c r="C7159" t="s">
        <v>86</v>
      </c>
      <c r="D7159">
        <v>14</v>
      </c>
      <c r="E7159" t="s">
        <v>61</v>
      </c>
      <c r="F7159" t="s">
        <v>114</v>
      </c>
      <c r="G7159" t="s">
        <v>83</v>
      </c>
      <c r="H7159" t="s">
        <v>188</v>
      </c>
      <c r="I7159">
        <v>18938</v>
      </c>
      <c r="J7159">
        <v>13959</v>
      </c>
    </row>
    <row r="7160" spans="1:10" x14ac:dyDescent="0.3">
      <c r="A7160" t="s">
        <v>7287</v>
      </c>
      <c r="B7160" s="1">
        <v>45828</v>
      </c>
      <c r="C7160" t="s">
        <v>74</v>
      </c>
      <c r="D7160">
        <v>25</v>
      </c>
      <c r="E7160" t="s">
        <v>39</v>
      </c>
      <c r="F7160" t="s">
        <v>19</v>
      </c>
      <c r="G7160" t="s">
        <v>47</v>
      </c>
      <c r="H7160" t="s">
        <v>48</v>
      </c>
      <c r="I7160">
        <v>15498</v>
      </c>
      <c r="J7160">
        <v>19312</v>
      </c>
    </row>
    <row r="7161" spans="1:10" x14ac:dyDescent="0.3">
      <c r="A7161" t="s">
        <v>7288</v>
      </c>
      <c r="B7161" s="1">
        <v>46003</v>
      </c>
      <c r="C7161" t="s">
        <v>100</v>
      </c>
      <c r="D7161">
        <v>50</v>
      </c>
      <c r="E7161" t="s">
        <v>24</v>
      </c>
      <c r="F7161" t="s">
        <v>114</v>
      </c>
      <c r="G7161" t="s">
        <v>88</v>
      </c>
      <c r="H7161" t="s">
        <v>59</v>
      </c>
      <c r="I7161">
        <v>34514</v>
      </c>
      <c r="J7161">
        <v>41926</v>
      </c>
    </row>
    <row r="7162" spans="1:10" x14ac:dyDescent="0.3">
      <c r="A7162" t="s">
        <v>7289</v>
      </c>
      <c r="B7162" s="1">
        <v>45836</v>
      </c>
      <c r="C7162" t="s">
        <v>74</v>
      </c>
      <c r="D7162">
        <v>26</v>
      </c>
      <c r="E7162" t="s">
        <v>18</v>
      </c>
      <c r="F7162" t="s">
        <v>75</v>
      </c>
      <c r="G7162" t="s">
        <v>83</v>
      </c>
      <c r="H7162" t="s">
        <v>211</v>
      </c>
      <c r="I7162">
        <v>24219</v>
      </c>
      <c r="J7162">
        <v>31109</v>
      </c>
    </row>
    <row r="7163" spans="1:10" x14ac:dyDescent="0.3">
      <c r="A7163" t="s">
        <v>7290</v>
      </c>
      <c r="B7163" s="1">
        <v>45758</v>
      </c>
      <c r="C7163" t="s">
        <v>86</v>
      </c>
      <c r="D7163">
        <v>15</v>
      </c>
      <c r="E7163" t="s">
        <v>33</v>
      </c>
      <c r="F7163" t="s">
        <v>46</v>
      </c>
      <c r="G7163" t="s">
        <v>44</v>
      </c>
      <c r="H7163" t="s">
        <v>27</v>
      </c>
      <c r="I7163">
        <v>18181</v>
      </c>
      <c r="J7163">
        <v>17873</v>
      </c>
    </row>
    <row r="7164" spans="1:10" x14ac:dyDescent="0.3">
      <c r="A7164" t="s">
        <v>7291</v>
      </c>
      <c r="B7164" s="1">
        <v>45701</v>
      </c>
      <c r="C7164" t="s">
        <v>82</v>
      </c>
      <c r="D7164">
        <v>7</v>
      </c>
      <c r="E7164" t="s">
        <v>39</v>
      </c>
      <c r="F7164" t="s">
        <v>34</v>
      </c>
      <c r="G7164" t="s">
        <v>234</v>
      </c>
      <c r="H7164" t="s">
        <v>31</v>
      </c>
      <c r="I7164">
        <v>36830</v>
      </c>
      <c r="J7164">
        <v>27261</v>
      </c>
    </row>
    <row r="7165" spans="1:10" x14ac:dyDescent="0.3">
      <c r="A7165" t="s">
        <v>7292</v>
      </c>
      <c r="B7165" s="1">
        <v>45761</v>
      </c>
      <c r="C7165" t="s">
        <v>86</v>
      </c>
      <c r="D7165">
        <v>16</v>
      </c>
      <c r="E7165" t="s">
        <v>39</v>
      </c>
      <c r="F7165" t="s">
        <v>19</v>
      </c>
      <c r="G7165" t="s">
        <v>291</v>
      </c>
      <c r="H7165" t="s">
        <v>155</v>
      </c>
      <c r="I7165">
        <v>22071</v>
      </c>
      <c r="J7165">
        <v>20022</v>
      </c>
    </row>
    <row r="7166" spans="1:10" x14ac:dyDescent="0.3">
      <c r="A7166" t="s">
        <v>7293</v>
      </c>
      <c r="B7166" s="1">
        <v>45660</v>
      </c>
      <c r="C7166" t="s">
        <v>17</v>
      </c>
      <c r="D7166">
        <v>1</v>
      </c>
      <c r="E7166" t="s">
        <v>39</v>
      </c>
      <c r="F7166" t="s">
        <v>50</v>
      </c>
      <c r="G7166" t="s">
        <v>44</v>
      </c>
      <c r="H7166" t="s">
        <v>84</v>
      </c>
      <c r="I7166">
        <v>20108</v>
      </c>
      <c r="J7166">
        <v>17821</v>
      </c>
    </row>
    <row r="7167" spans="1:10" x14ac:dyDescent="0.3">
      <c r="A7167" t="s">
        <v>7294</v>
      </c>
      <c r="B7167" s="1">
        <v>45782</v>
      </c>
      <c r="C7167" t="s">
        <v>90</v>
      </c>
      <c r="D7167">
        <v>19</v>
      </c>
      <c r="E7167" t="s">
        <v>61</v>
      </c>
      <c r="F7167" t="s">
        <v>29</v>
      </c>
      <c r="G7167" t="s">
        <v>130</v>
      </c>
      <c r="H7167" t="s">
        <v>84</v>
      </c>
      <c r="I7167">
        <v>24185</v>
      </c>
      <c r="J7167">
        <v>29886</v>
      </c>
    </row>
    <row r="7168" spans="1:10" x14ac:dyDescent="0.3">
      <c r="A7168" t="s">
        <v>7295</v>
      </c>
      <c r="B7168" s="1">
        <v>45804</v>
      </c>
      <c r="C7168" t="s">
        <v>90</v>
      </c>
      <c r="D7168">
        <v>22</v>
      </c>
      <c r="E7168" t="s">
        <v>18</v>
      </c>
      <c r="F7168" t="s">
        <v>109</v>
      </c>
      <c r="G7168" t="s">
        <v>182</v>
      </c>
      <c r="H7168" t="s">
        <v>119</v>
      </c>
      <c r="I7168">
        <v>32679</v>
      </c>
      <c r="J7168">
        <v>33800</v>
      </c>
    </row>
    <row r="7169" spans="1:10" x14ac:dyDescent="0.3">
      <c r="A7169" t="s">
        <v>7296</v>
      </c>
      <c r="B7169" s="1">
        <v>45805</v>
      </c>
      <c r="C7169" t="s">
        <v>90</v>
      </c>
      <c r="D7169">
        <v>22</v>
      </c>
      <c r="E7169" t="s">
        <v>70</v>
      </c>
      <c r="F7169" t="s">
        <v>193</v>
      </c>
      <c r="G7169" t="s">
        <v>63</v>
      </c>
      <c r="H7169" t="s">
        <v>68</v>
      </c>
      <c r="I7169">
        <v>32868</v>
      </c>
      <c r="J7169">
        <v>41516</v>
      </c>
    </row>
    <row r="7170" spans="1:10" x14ac:dyDescent="0.3">
      <c r="A7170" t="s">
        <v>7297</v>
      </c>
      <c r="B7170" s="1">
        <v>45878</v>
      </c>
      <c r="C7170" t="s">
        <v>113</v>
      </c>
      <c r="D7170">
        <v>32</v>
      </c>
      <c r="E7170" t="s">
        <v>33</v>
      </c>
      <c r="F7170" t="s">
        <v>193</v>
      </c>
      <c r="G7170" t="s">
        <v>58</v>
      </c>
      <c r="H7170" t="s">
        <v>21</v>
      </c>
      <c r="I7170">
        <v>28176</v>
      </c>
      <c r="J7170">
        <v>26473</v>
      </c>
    </row>
    <row r="7171" spans="1:10" x14ac:dyDescent="0.3">
      <c r="A7171" t="s">
        <v>7298</v>
      </c>
      <c r="B7171" s="1">
        <v>45865</v>
      </c>
      <c r="C7171" t="s">
        <v>11</v>
      </c>
      <c r="D7171">
        <v>30</v>
      </c>
      <c r="E7171" t="s">
        <v>33</v>
      </c>
      <c r="F7171" t="s">
        <v>92</v>
      </c>
      <c r="G7171" t="s">
        <v>326</v>
      </c>
      <c r="H7171" t="s">
        <v>188</v>
      </c>
      <c r="I7171">
        <v>38704</v>
      </c>
      <c r="J7171">
        <v>31661</v>
      </c>
    </row>
    <row r="7172" spans="1:10" x14ac:dyDescent="0.3">
      <c r="A7172" t="s">
        <v>7299</v>
      </c>
      <c r="B7172" s="1">
        <v>45860</v>
      </c>
      <c r="C7172" t="s">
        <v>11</v>
      </c>
      <c r="D7172">
        <v>30</v>
      </c>
      <c r="E7172" t="s">
        <v>18</v>
      </c>
      <c r="F7172" t="s">
        <v>87</v>
      </c>
      <c r="G7172" t="s">
        <v>102</v>
      </c>
      <c r="H7172" t="s">
        <v>165</v>
      </c>
      <c r="I7172">
        <v>21407</v>
      </c>
      <c r="J7172">
        <v>21823</v>
      </c>
    </row>
    <row r="7173" spans="1:10" x14ac:dyDescent="0.3">
      <c r="A7173" t="s">
        <v>7300</v>
      </c>
      <c r="B7173" s="1">
        <v>45758</v>
      </c>
      <c r="C7173" t="s">
        <v>86</v>
      </c>
      <c r="D7173">
        <v>15</v>
      </c>
      <c r="E7173" t="s">
        <v>39</v>
      </c>
      <c r="F7173" t="s">
        <v>92</v>
      </c>
      <c r="G7173" t="s">
        <v>160</v>
      </c>
      <c r="H7173" t="s">
        <v>103</v>
      </c>
      <c r="I7173">
        <v>18407</v>
      </c>
      <c r="J7173">
        <v>16436</v>
      </c>
    </row>
    <row r="7174" spans="1:10" x14ac:dyDescent="0.3">
      <c r="A7174" t="s">
        <v>7301</v>
      </c>
      <c r="B7174" s="1">
        <v>45724</v>
      </c>
      <c r="C7174" t="s">
        <v>95</v>
      </c>
      <c r="D7174">
        <v>10</v>
      </c>
      <c r="E7174" t="s">
        <v>39</v>
      </c>
      <c r="F7174" t="s">
        <v>122</v>
      </c>
      <c r="G7174" t="s">
        <v>47</v>
      </c>
      <c r="H7174" t="s">
        <v>68</v>
      </c>
      <c r="I7174">
        <v>34286</v>
      </c>
      <c r="J7174">
        <v>33408</v>
      </c>
    </row>
    <row r="7175" spans="1:10" x14ac:dyDescent="0.3">
      <c r="A7175" t="s">
        <v>7302</v>
      </c>
      <c r="B7175" s="1">
        <v>45670</v>
      </c>
      <c r="C7175" t="s">
        <v>17</v>
      </c>
      <c r="D7175">
        <v>3</v>
      </c>
      <c r="E7175" t="s">
        <v>70</v>
      </c>
      <c r="F7175" t="s">
        <v>78</v>
      </c>
      <c r="G7175" t="s">
        <v>54</v>
      </c>
      <c r="H7175" t="s">
        <v>21</v>
      </c>
      <c r="I7175">
        <v>36141</v>
      </c>
      <c r="J7175">
        <v>25972</v>
      </c>
    </row>
    <row r="7176" spans="1:10" x14ac:dyDescent="0.3">
      <c r="A7176" t="s">
        <v>7303</v>
      </c>
      <c r="B7176" s="1">
        <v>45995</v>
      </c>
      <c r="C7176" t="s">
        <v>100</v>
      </c>
      <c r="D7176">
        <v>49</v>
      </c>
      <c r="E7176" t="s">
        <v>39</v>
      </c>
      <c r="F7176" t="s">
        <v>87</v>
      </c>
      <c r="G7176" t="s">
        <v>141</v>
      </c>
      <c r="H7176" t="s">
        <v>80</v>
      </c>
      <c r="I7176">
        <v>23033</v>
      </c>
      <c r="J7176">
        <v>28011</v>
      </c>
    </row>
    <row r="7177" spans="1:10" x14ac:dyDescent="0.3">
      <c r="A7177" t="s">
        <v>7304</v>
      </c>
      <c r="B7177" s="1">
        <v>45837</v>
      </c>
      <c r="C7177" t="s">
        <v>74</v>
      </c>
      <c r="D7177">
        <v>26</v>
      </c>
      <c r="E7177" t="s">
        <v>12</v>
      </c>
      <c r="F7177" t="s">
        <v>109</v>
      </c>
      <c r="G7177" t="s">
        <v>20</v>
      </c>
      <c r="H7177" t="s">
        <v>31</v>
      </c>
      <c r="I7177">
        <v>16267</v>
      </c>
      <c r="J7177">
        <v>16574</v>
      </c>
    </row>
    <row r="7178" spans="1:10" x14ac:dyDescent="0.3">
      <c r="A7178" t="s">
        <v>7305</v>
      </c>
      <c r="B7178" s="1">
        <v>46020</v>
      </c>
      <c r="C7178" t="s">
        <v>100</v>
      </c>
      <c r="D7178">
        <v>1</v>
      </c>
      <c r="E7178" t="s">
        <v>39</v>
      </c>
      <c r="F7178" t="s">
        <v>78</v>
      </c>
      <c r="G7178" t="s">
        <v>79</v>
      </c>
      <c r="H7178" t="s">
        <v>119</v>
      </c>
      <c r="I7178">
        <v>27000</v>
      </c>
      <c r="J7178">
        <v>24672</v>
      </c>
    </row>
    <row r="7179" spans="1:10" x14ac:dyDescent="0.3">
      <c r="A7179" t="s">
        <v>7306</v>
      </c>
      <c r="B7179" s="1">
        <v>45841</v>
      </c>
      <c r="C7179" t="s">
        <v>11</v>
      </c>
      <c r="D7179">
        <v>27</v>
      </c>
      <c r="E7179" t="s">
        <v>33</v>
      </c>
      <c r="F7179" t="s">
        <v>78</v>
      </c>
      <c r="G7179" t="s">
        <v>30</v>
      </c>
      <c r="H7179" t="s">
        <v>165</v>
      </c>
      <c r="I7179">
        <v>17296</v>
      </c>
      <c r="J7179">
        <v>16498</v>
      </c>
    </row>
    <row r="7180" spans="1:10" x14ac:dyDescent="0.3">
      <c r="A7180" t="s">
        <v>7307</v>
      </c>
      <c r="B7180" s="1">
        <v>45840</v>
      </c>
      <c r="C7180" t="s">
        <v>11</v>
      </c>
      <c r="D7180">
        <v>27</v>
      </c>
      <c r="E7180" t="s">
        <v>39</v>
      </c>
      <c r="F7180" t="s">
        <v>19</v>
      </c>
      <c r="G7180" t="s">
        <v>26</v>
      </c>
      <c r="H7180" t="s">
        <v>116</v>
      </c>
      <c r="I7180">
        <v>25174</v>
      </c>
      <c r="J7180">
        <v>18657</v>
      </c>
    </row>
    <row r="7181" spans="1:10" x14ac:dyDescent="0.3">
      <c r="A7181" t="s">
        <v>7308</v>
      </c>
      <c r="B7181" s="1">
        <v>45746</v>
      </c>
      <c r="C7181" t="s">
        <v>95</v>
      </c>
      <c r="D7181">
        <v>13</v>
      </c>
      <c r="E7181" t="s">
        <v>70</v>
      </c>
      <c r="F7181" t="s">
        <v>101</v>
      </c>
      <c r="G7181" t="s">
        <v>266</v>
      </c>
      <c r="H7181" t="s">
        <v>41</v>
      </c>
      <c r="I7181">
        <v>37625</v>
      </c>
      <c r="J7181">
        <v>33667</v>
      </c>
    </row>
    <row r="7182" spans="1:10" x14ac:dyDescent="0.3">
      <c r="A7182" t="s">
        <v>7309</v>
      </c>
      <c r="B7182" s="1">
        <v>45961</v>
      </c>
      <c r="C7182" t="s">
        <v>66</v>
      </c>
      <c r="D7182">
        <v>44</v>
      </c>
      <c r="E7182" t="s">
        <v>18</v>
      </c>
      <c r="F7182" t="s">
        <v>25</v>
      </c>
      <c r="G7182" t="s">
        <v>234</v>
      </c>
      <c r="H7182" t="s">
        <v>27</v>
      </c>
      <c r="I7182">
        <v>21014</v>
      </c>
      <c r="J7182">
        <v>23136</v>
      </c>
    </row>
    <row r="7183" spans="1:10" x14ac:dyDescent="0.3">
      <c r="A7183" t="s">
        <v>7310</v>
      </c>
      <c r="B7183" s="1">
        <v>45922</v>
      </c>
      <c r="C7183" t="s">
        <v>38</v>
      </c>
      <c r="D7183">
        <v>39</v>
      </c>
      <c r="E7183" t="s">
        <v>70</v>
      </c>
      <c r="F7183" t="s">
        <v>29</v>
      </c>
      <c r="G7183" t="s">
        <v>63</v>
      </c>
      <c r="H7183" t="s">
        <v>84</v>
      </c>
      <c r="I7183">
        <v>32813</v>
      </c>
      <c r="J7183">
        <v>40479</v>
      </c>
    </row>
    <row r="7184" spans="1:10" x14ac:dyDescent="0.3">
      <c r="A7184" t="s">
        <v>7311</v>
      </c>
      <c r="B7184" s="1">
        <v>45974</v>
      </c>
      <c r="C7184" t="s">
        <v>23</v>
      </c>
      <c r="D7184">
        <v>46</v>
      </c>
      <c r="E7184" t="s">
        <v>39</v>
      </c>
      <c r="F7184" t="s">
        <v>78</v>
      </c>
      <c r="G7184" t="s">
        <v>47</v>
      </c>
      <c r="H7184" t="s">
        <v>151</v>
      </c>
      <c r="I7184">
        <v>17914</v>
      </c>
      <c r="J7184">
        <v>19206</v>
      </c>
    </row>
    <row r="7185" spans="1:10" x14ac:dyDescent="0.3">
      <c r="A7185" t="s">
        <v>7312</v>
      </c>
      <c r="B7185" s="1">
        <v>45998</v>
      </c>
      <c r="C7185" t="s">
        <v>100</v>
      </c>
      <c r="D7185">
        <v>49</v>
      </c>
      <c r="E7185" t="s">
        <v>24</v>
      </c>
      <c r="F7185" t="s">
        <v>92</v>
      </c>
      <c r="G7185" t="s">
        <v>115</v>
      </c>
      <c r="H7185" t="s">
        <v>243</v>
      </c>
      <c r="I7185">
        <v>26284</v>
      </c>
      <c r="J7185">
        <v>19892</v>
      </c>
    </row>
    <row r="7186" spans="1:10" x14ac:dyDescent="0.3">
      <c r="A7186" t="s">
        <v>7313</v>
      </c>
      <c r="B7186" s="1">
        <v>45953</v>
      </c>
      <c r="C7186" t="s">
        <v>66</v>
      </c>
      <c r="D7186">
        <v>43</v>
      </c>
      <c r="E7186" t="s">
        <v>18</v>
      </c>
      <c r="F7186" t="s">
        <v>101</v>
      </c>
      <c r="G7186" t="s">
        <v>83</v>
      </c>
      <c r="H7186" t="s">
        <v>103</v>
      </c>
      <c r="I7186">
        <v>35438</v>
      </c>
      <c r="J7186">
        <v>34737</v>
      </c>
    </row>
    <row r="7187" spans="1:10" x14ac:dyDescent="0.3">
      <c r="A7187" t="s">
        <v>7314</v>
      </c>
      <c r="B7187" s="1">
        <v>45695</v>
      </c>
      <c r="C7187" t="s">
        <v>82</v>
      </c>
      <c r="D7187">
        <v>6</v>
      </c>
      <c r="E7187" t="s">
        <v>39</v>
      </c>
      <c r="F7187" t="s">
        <v>13</v>
      </c>
      <c r="G7187" t="s">
        <v>67</v>
      </c>
      <c r="H7187" t="s">
        <v>64</v>
      </c>
      <c r="I7187">
        <v>39201</v>
      </c>
      <c r="J7187">
        <v>41171</v>
      </c>
    </row>
    <row r="7188" spans="1:10" x14ac:dyDescent="0.3">
      <c r="A7188" t="s">
        <v>7315</v>
      </c>
      <c r="B7188" s="1">
        <v>45866</v>
      </c>
      <c r="C7188" t="s">
        <v>11</v>
      </c>
      <c r="D7188">
        <v>31</v>
      </c>
      <c r="E7188" t="s">
        <v>12</v>
      </c>
      <c r="F7188" t="s">
        <v>29</v>
      </c>
      <c r="G7188" t="s">
        <v>76</v>
      </c>
      <c r="H7188" t="s">
        <v>163</v>
      </c>
      <c r="I7188">
        <v>33855</v>
      </c>
      <c r="J7188">
        <v>27979</v>
      </c>
    </row>
    <row r="7189" spans="1:10" x14ac:dyDescent="0.3">
      <c r="A7189" t="s">
        <v>7316</v>
      </c>
      <c r="B7189" s="1">
        <v>45704</v>
      </c>
      <c r="C7189" t="s">
        <v>82</v>
      </c>
      <c r="D7189">
        <v>7</v>
      </c>
      <c r="E7189" t="s">
        <v>24</v>
      </c>
      <c r="F7189" t="s">
        <v>122</v>
      </c>
      <c r="G7189" t="s">
        <v>63</v>
      </c>
      <c r="H7189" t="s">
        <v>96</v>
      </c>
      <c r="I7189">
        <v>38721</v>
      </c>
      <c r="J7189">
        <v>28769</v>
      </c>
    </row>
    <row r="7190" spans="1:10" x14ac:dyDescent="0.3">
      <c r="A7190" t="s">
        <v>7317</v>
      </c>
      <c r="B7190" s="1">
        <v>45726</v>
      </c>
      <c r="C7190" t="s">
        <v>95</v>
      </c>
      <c r="D7190">
        <v>11</v>
      </c>
      <c r="E7190" t="s">
        <v>70</v>
      </c>
      <c r="F7190" t="s">
        <v>50</v>
      </c>
      <c r="G7190" t="s">
        <v>118</v>
      </c>
      <c r="H7190" t="s">
        <v>68</v>
      </c>
      <c r="I7190">
        <v>30070</v>
      </c>
      <c r="J7190">
        <v>26711</v>
      </c>
    </row>
    <row r="7191" spans="1:10" x14ac:dyDescent="0.3">
      <c r="A7191" t="s">
        <v>7318</v>
      </c>
      <c r="B7191" s="1">
        <v>45820</v>
      </c>
      <c r="C7191" t="s">
        <v>74</v>
      </c>
      <c r="D7191">
        <v>24</v>
      </c>
      <c r="E7191" t="s">
        <v>61</v>
      </c>
      <c r="F7191" t="s">
        <v>13</v>
      </c>
      <c r="G7191" t="s">
        <v>35</v>
      </c>
      <c r="H7191" t="s">
        <v>21</v>
      </c>
      <c r="I7191">
        <v>19582</v>
      </c>
      <c r="J7191">
        <v>24137</v>
      </c>
    </row>
    <row r="7192" spans="1:10" x14ac:dyDescent="0.3">
      <c r="A7192" t="s">
        <v>7319</v>
      </c>
      <c r="B7192" s="1">
        <v>46014</v>
      </c>
      <c r="C7192" t="s">
        <v>100</v>
      </c>
      <c r="D7192">
        <v>52</v>
      </c>
      <c r="E7192" t="s">
        <v>70</v>
      </c>
      <c r="F7192" t="s">
        <v>62</v>
      </c>
      <c r="G7192" t="s">
        <v>230</v>
      </c>
      <c r="H7192" t="s">
        <v>36</v>
      </c>
      <c r="I7192">
        <v>36613</v>
      </c>
      <c r="J7192">
        <v>30011</v>
      </c>
    </row>
    <row r="7193" spans="1:10" x14ac:dyDescent="0.3">
      <c r="A7193" t="s">
        <v>7320</v>
      </c>
      <c r="B7193" s="1">
        <v>45692</v>
      </c>
      <c r="C7193" t="s">
        <v>82</v>
      </c>
      <c r="D7193">
        <v>6</v>
      </c>
      <c r="E7193" t="s">
        <v>33</v>
      </c>
      <c r="F7193" t="s">
        <v>43</v>
      </c>
      <c r="G7193" t="s">
        <v>128</v>
      </c>
      <c r="H7193" t="s">
        <v>41</v>
      </c>
      <c r="I7193">
        <v>17737</v>
      </c>
      <c r="J7193">
        <v>15805</v>
      </c>
    </row>
    <row r="7194" spans="1:10" x14ac:dyDescent="0.3">
      <c r="A7194" t="s">
        <v>7321</v>
      </c>
      <c r="B7194" s="1">
        <v>45905</v>
      </c>
      <c r="C7194" t="s">
        <v>38</v>
      </c>
      <c r="D7194">
        <v>36</v>
      </c>
      <c r="E7194" t="s">
        <v>18</v>
      </c>
      <c r="F7194" t="s">
        <v>101</v>
      </c>
      <c r="G7194" t="s">
        <v>72</v>
      </c>
      <c r="H7194" t="s">
        <v>31</v>
      </c>
      <c r="I7194">
        <v>26878</v>
      </c>
      <c r="J7194">
        <v>32302</v>
      </c>
    </row>
    <row r="7195" spans="1:10" x14ac:dyDescent="0.3">
      <c r="A7195" t="s">
        <v>7322</v>
      </c>
      <c r="B7195" s="1">
        <v>45760</v>
      </c>
      <c r="C7195" t="s">
        <v>86</v>
      </c>
      <c r="D7195">
        <v>15</v>
      </c>
      <c r="E7195" t="s">
        <v>39</v>
      </c>
      <c r="F7195" t="s">
        <v>57</v>
      </c>
      <c r="G7195" t="s">
        <v>79</v>
      </c>
      <c r="H7195" t="s">
        <v>31</v>
      </c>
      <c r="I7195">
        <v>24064</v>
      </c>
      <c r="J7195">
        <v>27247</v>
      </c>
    </row>
    <row r="7196" spans="1:10" x14ac:dyDescent="0.3">
      <c r="A7196" t="s">
        <v>7323</v>
      </c>
      <c r="B7196" s="1">
        <v>45961</v>
      </c>
      <c r="C7196" t="s">
        <v>66</v>
      </c>
      <c r="D7196">
        <v>44</v>
      </c>
      <c r="E7196" t="s">
        <v>39</v>
      </c>
      <c r="F7196" t="s">
        <v>29</v>
      </c>
      <c r="G7196" t="s">
        <v>63</v>
      </c>
      <c r="H7196" t="s">
        <v>52</v>
      </c>
      <c r="I7196">
        <v>17332</v>
      </c>
      <c r="J7196">
        <v>12637</v>
      </c>
    </row>
    <row r="7197" spans="1:10" x14ac:dyDescent="0.3">
      <c r="A7197" t="s">
        <v>7324</v>
      </c>
      <c r="B7197" s="1">
        <v>45932</v>
      </c>
      <c r="C7197" t="s">
        <v>66</v>
      </c>
      <c r="D7197">
        <v>40</v>
      </c>
      <c r="E7197" t="s">
        <v>61</v>
      </c>
      <c r="F7197" t="s">
        <v>92</v>
      </c>
      <c r="G7197" t="s">
        <v>79</v>
      </c>
      <c r="H7197" t="s">
        <v>15</v>
      </c>
      <c r="I7197">
        <v>36167</v>
      </c>
      <c r="J7197">
        <v>30806</v>
      </c>
    </row>
    <row r="7198" spans="1:10" x14ac:dyDescent="0.3">
      <c r="A7198" t="s">
        <v>7325</v>
      </c>
      <c r="B7198" s="1">
        <v>45934</v>
      </c>
      <c r="C7198" t="s">
        <v>66</v>
      </c>
      <c r="D7198">
        <v>40</v>
      </c>
      <c r="E7198" t="s">
        <v>24</v>
      </c>
      <c r="F7198" t="s">
        <v>114</v>
      </c>
      <c r="G7198" t="s">
        <v>147</v>
      </c>
      <c r="H7198" t="s">
        <v>31</v>
      </c>
      <c r="I7198">
        <v>15700</v>
      </c>
      <c r="J7198">
        <v>13131</v>
      </c>
    </row>
    <row r="7199" spans="1:10" x14ac:dyDescent="0.3">
      <c r="A7199" t="s">
        <v>7326</v>
      </c>
      <c r="B7199" s="1">
        <v>45799</v>
      </c>
      <c r="C7199" t="s">
        <v>90</v>
      </c>
      <c r="D7199">
        <v>21</v>
      </c>
      <c r="E7199" t="s">
        <v>12</v>
      </c>
      <c r="F7199" t="s">
        <v>13</v>
      </c>
      <c r="G7199" t="s">
        <v>118</v>
      </c>
      <c r="H7199" t="s">
        <v>123</v>
      </c>
      <c r="I7199">
        <v>28578</v>
      </c>
      <c r="J7199">
        <v>31617</v>
      </c>
    </row>
    <row r="7200" spans="1:10" x14ac:dyDescent="0.3">
      <c r="A7200" t="s">
        <v>7327</v>
      </c>
      <c r="B7200" s="1">
        <v>45670</v>
      </c>
      <c r="C7200" t="s">
        <v>17</v>
      </c>
      <c r="D7200">
        <v>3</v>
      </c>
      <c r="E7200" t="s">
        <v>70</v>
      </c>
      <c r="F7200" t="s">
        <v>101</v>
      </c>
      <c r="G7200" t="s">
        <v>72</v>
      </c>
      <c r="H7200" t="s">
        <v>15</v>
      </c>
      <c r="I7200">
        <v>23448</v>
      </c>
      <c r="J7200">
        <v>20444</v>
      </c>
    </row>
    <row r="7201" spans="1:10" x14ac:dyDescent="0.3">
      <c r="A7201" t="s">
        <v>7328</v>
      </c>
      <c r="B7201" s="1">
        <v>45745</v>
      </c>
      <c r="C7201" t="s">
        <v>95</v>
      </c>
      <c r="D7201">
        <v>13</v>
      </c>
      <c r="E7201" t="s">
        <v>39</v>
      </c>
      <c r="F7201" t="s">
        <v>101</v>
      </c>
      <c r="G7201" t="s">
        <v>326</v>
      </c>
      <c r="H7201" t="s">
        <v>21</v>
      </c>
      <c r="I7201">
        <v>23676</v>
      </c>
      <c r="J7201">
        <v>20260</v>
      </c>
    </row>
    <row r="7202" spans="1:10" x14ac:dyDescent="0.3">
      <c r="A7202" t="s">
        <v>7329</v>
      </c>
      <c r="B7202" s="1">
        <v>45830</v>
      </c>
      <c r="C7202" t="s">
        <v>74</v>
      </c>
      <c r="D7202">
        <v>25</v>
      </c>
      <c r="E7202" t="s">
        <v>18</v>
      </c>
      <c r="F7202" t="s">
        <v>140</v>
      </c>
      <c r="G7202" t="s">
        <v>51</v>
      </c>
      <c r="H7202" t="s">
        <v>188</v>
      </c>
      <c r="I7202">
        <v>29992</v>
      </c>
      <c r="J7202">
        <v>24571</v>
      </c>
    </row>
    <row r="7203" spans="1:10" x14ac:dyDescent="0.3">
      <c r="A7203" t="s">
        <v>7330</v>
      </c>
      <c r="B7203" s="1">
        <v>45696</v>
      </c>
      <c r="C7203" t="s">
        <v>82</v>
      </c>
      <c r="D7203">
        <v>6</v>
      </c>
      <c r="E7203" t="s">
        <v>61</v>
      </c>
      <c r="F7203" t="s">
        <v>62</v>
      </c>
      <c r="G7203" t="s">
        <v>147</v>
      </c>
      <c r="H7203" t="s">
        <v>41</v>
      </c>
      <c r="I7203">
        <v>24778</v>
      </c>
      <c r="J7203">
        <v>29422</v>
      </c>
    </row>
    <row r="7204" spans="1:10" x14ac:dyDescent="0.3">
      <c r="A7204" t="s">
        <v>7331</v>
      </c>
      <c r="B7204" s="1">
        <v>45964</v>
      </c>
      <c r="C7204" t="s">
        <v>23</v>
      </c>
      <c r="D7204">
        <v>45</v>
      </c>
      <c r="E7204" t="s">
        <v>70</v>
      </c>
      <c r="F7204" t="s">
        <v>122</v>
      </c>
      <c r="G7204" t="s">
        <v>54</v>
      </c>
      <c r="H7204" t="s">
        <v>80</v>
      </c>
      <c r="I7204">
        <v>15545</v>
      </c>
      <c r="J7204">
        <v>13685</v>
      </c>
    </row>
    <row r="7205" spans="1:10" x14ac:dyDescent="0.3">
      <c r="A7205" t="s">
        <v>7332</v>
      </c>
      <c r="B7205" s="1">
        <v>45857</v>
      </c>
      <c r="C7205" t="s">
        <v>11</v>
      </c>
      <c r="D7205">
        <v>29</v>
      </c>
      <c r="E7205" t="s">
        <v>24</v>
      </c>
      <c r="F7205" t="s">
        <v>46</v>
      </c>
      <c r="G7205" t="s">
        <v>58</v>
      </c>
      <c r="H7205" t="s">
        <v>116</v>
      </c>
      <c r="I7205">
        <v>31629</v>
      </c>
      <c r="J7205">
        <v>27046</v>
      </c>
    </row>
    <row r="7206" spans="1:10" x14ac:dyDescent="0.3">
      <c r="A7206" t="s">
        <v>7333</v>
      </c>
      <c r="B7206" s="1">
        <v>45711</v>
      </c>
      <c r="C7206" t="s">
        <v>82</v>
      </c>
      <c r="D7206">
        <v>8</v>
      </c>
      <c r="E7206" t="s">
        <v>24</v>
      </c>
      <c r="F7206" t="s">
        <v>92</v>
      </c>
      <c r="G7206" t="s">
        <v>44</v>
      </c>
      <c r="H7206" t="s">
        <v>59</v>
      </c>
      <c r="I7206">
        <v>38858</v>
      </c>
      <c r="J7206">
        <v>31900</v>
      </c>
    </row>
    <row r="7207" spans="1:10" x14ac:dyDescent="0.3">
      <c r="A7207" t="s">
        <v>7334</v>
      </c>
      <c r="B7207" s="1">
        <v>45750</v>
      </c>
      <c r="C7207" t="s">
        <v>86</v>
      </c>
      <c r="D7207">
        <v>14</v>
      </c>
      <c r="E7207" t="s">
        <v>12</v>
      </c>
      <c r="F7207" t="s">
        <v>19</v>
      </c>
      <c r="G7207" t="s">
        <v>76</v>
      </c>
      <c r="H7207" t="s">
        <v>96</v>
      </c>
      <c r="I7207">
        <v>21012</v>
      </c>
      <c r="J7207">
        <v>17487</v>
      </c>
    </row>
    <row r="7208" spans="1:10" x14ac:dyDescent="0.3">
      <c r="A7208" t="s">
        <v>7335</v>
      </c>
      <c r="B7208" s="1">
        <v>45696</v>
      </c>
      <c r="C7208" t="s">
        <v>82</v>
      </c>
      <c r="D7208">
        <v>6</v>
      </c>
      <c r="E7208" t="s">
        <v>70</v>
      </c>
      <c r="F7208" t="s">
        <v>114</v>
      </c>
      <c r="G7208" t="s">
        <v>132</v>
      </c>
      <c r="H7208" t="s">
        <v>155</v>
      </c>
      <c r="I7208">
        <v>20218</v>
      </c>
      <c r="J7208">
        <v>25533</v>
      </c>
    </row>
    <row r="7209" spans="1:10" x14ac:dyDescent="0.3">
      <c r="A7209" t="s">
        <v>7336</v>
      </c>
      <c r="B7209" s="1">
        <v>45763</v>
      </c>
      <c r="C7209" t="s">
        <v>86</v>
      </c>
      <c r="D7209">
        <v>16</v>
      </c>
      <c r="E7209" t="s">
        <v>18</v>
      </c>
      <c r="F7209" t="s">
        <v>87</v>
      </c>
      <c r="G7209" t="s">
        <v>199</v>
      </c>
      <c r="H7209" t="s">
        <v>21</v>
      </c>
      <c r="I7209">
        <v>25315</v>
      </c>
      <c r="J7209">
        <v>18437</v>
      </c>
    </row>
    <row r="7210" spans="1:10" x14ac:dyDescent="0.3">
      <c r="A7210" t="s">
        <v>7337</v>
      </c>
      <c r="B7210" s="1">
        <v>45852</v>
      </c>
      <c r="C7210" t="s">
        <v>11</v>
      </c>
      <c r="D7210">
        <v>29</v>
      </c>
      <c r="E7210" t="s">
        <v>12</v>
      </c>
      <c r="F7210" t="s">
        <v>43</v>
      </c>
      <c r="G7210" t="s">
        <v>63</v>
      </c>
      <c r="H7210" t="s">
        <v>157</v>
      </c>
      <c r="I7210">
        <v>29743</v>
      </c>
      <c r="J7210">
        <v>23220</v>
      </c>
    </row>
    <row r="7211" spans="1:10" x14ac:dyDescent="0.3">
      <c r="A7211" t="s">
        <v>7338</v>
      </c>
      <c r="B7211" s="1">
        <v>46016</v>
      </c>
      <c r="C7211" t="s">
        <v>100</v>
      </c>
      <c r="D7211">
        <v>52</v>
      </c>
      <c r="E7211" t="s">
        <v>61</v>
      </c>
      <c r="F7211" t="s">
        <v>25</v>
      </c>
      <c r="G7211" t="s">
        <v>30</v>
      </c>
      <c r="H7211" t="s">
        <v>31</v>
      </c>
      <c r="I7211">
        <v>18761</v>
      </c>
      <c r="J7211">
        <v>14719</v>
      </c>
    </row>
    <row r="7212" spans="1:10" x14ac:dyDescent="0.3">
      <c r="A7212" t="s">
        <v>7339</v>
      </c>
      <c r="B7212" s="1">
        <v>45984</v>
      </c>
      <c r="C7212" t="s">
        <v>23</v>
      </c>
      <c r="D7212">
        <v>47</v>
      </c>
      <c r="E7212" t="s">
        <v>33</v>
      </c>
      <c r="F7212" t="s">
        <v>75</v>
      </c>
      <c r="G7212" t="s">
        <v>326</v>
      </c>
      <c r="H7212" t="s">
        <v>111</v>
      </c>
      <c r="I7212">
        <v>20558</v>
      </c>
      <c r="J7212">
        <v>18412</v>
      </c>
    </row>
    <row r="7213" spans="1:10" x14ac:dyDescent="0.3">
      <c r="A7213" t="s">
        <v>7340</v>
      </c>
      <c r="B7213" s="1">
        <v>45928</v>
      </c>
      <c r="C7213" t="s">
        <v>38</v>
      </c>
      <c r="D7213">
        <v>39</v>
      </c>
      <c r="E7213" t="s">
        <v>18</v>
      </c>
      <c r="F7213" t="s">
        <v>25</v>
      </c>
      <c r="G7213" t="s">
        <v>149</v>
      </c>
      <c r="H7213" t="s">
        <v>151</v>
      </c>
      <c r="I7213">
        <v>35124</v>
      </c>
      <c r="J7213">
        <v>29155</v>
      </c>
    </row>
    <row r="7214" spans="1:10" x14ac:dyDescent="0.3">
      <c r="A7214" t="s">
        <v>7341</v>
      </c>
      <c r="B7214" s="1">
        <v>45715</v>
      </c>
      <c r="C7214" t="s">
        <v>82</v>
      </c>
      <c r="D7214">
        <v>9</v>
      </c>
      <c r="E7214" t="s">
        <v>24</v>
      </c>
      <c r="F7214" t="s">
        <v>50</v>
      </c>
      <c r="G7214" t="s">
        <v>149</v>
      </c>
      <c r="H7214" t="s">
        <v>98</v>
      </c>
      <c r="I7214">
        <v>39121</v>
      </c>
      <c r="J7214">
        <v>35878</v>
      </c>
    </row>
    <row r="7215" spans="1:10" x14ac:dyDescent="0.3">
      <c r="A7215" t="s">
        <v>7342</v>
      </c>
      <c r="B7215" s="1">
        <v>45910</v>
      </c>
      <c r="C7215" t="s">
        <v>38</v>
      </c>
      <c r="D7215">
        <v>37</v>
      </c>
      <c r="E7215" t="s">
        <v>61</v>
      </c>
      <c r="F7215" t="s">
        <v>122</v>
      </c>
      <c r="G7215" t="s">
        <v>130</v>
      </c>
      <c r="H7215" t="s">
        <v>157</v>
      </c>
      <c r="I7215">
        <v>27755</v>
      </c>
      <c r="J7215">
        <v>27460</v>
      </c>
    </row>
    <row r="7216" spans="1:10" x14ac:dyDescent="0.3">
      <c r="A7216" t="s">
        <v>7343</v>
      </c>
      <c r="B7216" s="1">
        <v>46019</v>
      </c>
      <c r="C7216" t="s">
        <v>100</v>
      </c>
      <c r="D7216">
        <v>52</v>
      </c>
      <c r="E7216" t="s">
        <v>33</v>
      </c>
      <c r="F7216" t="s">
        <v>29</v>
      </c>
      <c r="G7216" t="s">
        <v>326</v>
      </c>
      <c r="H7216" t="s">
        <v>188</v>
      </c>
      <c r="I7216">
        <v>34718</v>
      </c>
      <c r="J7216">
        <v>35741</v>
      </c>
    </row>
    <row r="7217" spans="1:10" x14ac:dyDescent="0.3">
      <c r="A7217" t="s">
        <v>7344</v>
      </c>
      <c r="B7217" s="1">
        <v>45726</v>
      </c>
      <c r="C7217" t="s">
        <v>95</v>
      </c>
      <c r="D7217">
        <v>11</v>
      </c>
      <c r="E7217" t="s">
        <v>33</v>
      </c>
      <c r="F7217" t="s">
        <v>114</v>
      </c>
      <c r="G7217" t="s">
        <v>324</v>
      </c>
      <c r="H7217" t="s">
        <v>27</v>
      </c>
      <c r="I7217">
        <v>30728</v>
      </c>
      <c r="J7217">
        <v>37304</v>
      </c>
    </row>
    <row r="7218" spans="1:10" x14ac:dyDescent="0.3">
      <c r="A7218" t="s">
        <v>7345</v>
      </c>
      <c r="B7218" s="1">
        <v>45678</v>
      </c>
      <c r="C7218" t="s">
        <v>17</v>
      </c>
      <c r="D7218">
        <v>4</v>
      </c>
      <c r="E7218" t="s">
        <v>18</v>
      </c>
      <c r="F7218" t="s">
        <v>57</v>
      </c>
      <c r="G7218" t="s">
        <v>63</v>
      </c>
      <c r="H7218" t="s">
        <v>36</v>
      </c>
      <c r="I7218">
        <v>31771</v>
      </c>
      <c r="J7218">
        <v>27285</v>
      </c>
    </row>
    <row r="7219" spans="1:10" x14ac:dyDescent="0.3">
      <c r="A7219" t="s">
        <v>7346</v>
      </c>
      <c r="B7219" s="1">
        <v>45729</v>
      </c>
      <c r="C7219" t="s">
        <v>95</v>
      </c>
      <c r="D7219">
        <v>11</v>
      </c>
      <c r="E7219" t="s">
        <v>39</v>
      </c>
      <c r="F7219" t="s">
        <v>29</v>
      </c>
      <c r="G7219" t="s">
        <v>83</v>
      </c>
      <c r="H7219" t="s">
        <v>27</v>
      </c>
      <c r="I7219">
        <v>27109</v>
      </c>
      <c r="J7219">
        <v>31896</v>
      </c>
    </row>
    <row r="7220" spans="1:10" x14ac:dyDescent="0.3">
      <c r="A7220" t="s">
        <v>7347</v>
      </c>
      <c r="B7220" s="1">
        <v>45709</v>
      </c>
      <c r="C7220" t="s">
        <v>82</v>
      </c>
      <c r="D7220">
        <v>8</v>
      </c>
      <c r="E7220" t="s">
        <v>18</v>
      </c>
      <c r="F7220" t="s">
        <v>62</v>
      </c>
      <c r="G7220" t="s">
        <v>324</v>
      </c>
      <c r="H7220" t="s">
        <v>31</v>
      </c>
      <c r="I7220">
        <v>23188</v>
      </c>
      <c r="J7220">
        <v>24396</v>
      </c>
    </row>
    <row r="7221" spans="1:10" x14ac:dyDescent="0.3">
      <c r="A7221" t="s">
        <v>7348</v>
      </c>
      <c r="B7221" s="1">
        <v>45909</v>
      </c>
      <c r="C7221" t="s">
        <v>38</v>
      </c>
      <c r="D7221">
        <v>37</v>
      </c>
      <c r="E7221" t="s">
        <v>61</v>
      </c>
      <c r="F7221" t="s">
        <v>75</v>
      </c>
      <c r="G7221" t="s">
        <v>118</v>
      </c>
      <c r="H7221" t="s">
        <v>96</v>
      </c>
      <c r="I7221">
        <v>21559</v>
      </c>
      <c r="J7221">
        <v>17590</v>
      </c>
    </row>
    <row r="7222" spans="1:10" x14ac:dyDescent="0.3">
      <c r="A7222" t="s">
        <v>7349</v>
      </c>
      <c r="B7222" s="1">
        <v>46020</v>
      </c>
      <c r="C7222" t="s">
        <v>100</v>
      </c>
      <c r="D7222">
        <v>1</v>
      </c>
      <c r="E7222" t="s">
        <v>39</v>
      </c>
      <c r="F7222" t="s">
        <v>19</v>
      </c>
      <c r="G7222" t="s">
        <v>240</v>
      </c>
      <c r="H7222" t="s">
        <v>98</v>
      </c>
      <c r="I7222">
        <v>31843</v>
      </c>
      <c r="J7222">
        <v>28279</v>
      </c>
    </row>
    <row r="7223" spans="1:10" x14ac:dyDescent="0.3">
      <c r="A7223" t="s">
        <v>7350</v>
      </c>
      <c r="B7223" s="1">
        <v>46022</v>
      </c>
      <c r="C7223" t="s">
        <v>100</v>
      </c>
      <c r="D7223">
        <v>1</v>
      </c>
      <c r="E7223" t="s">
        <v>39</v>
      </c>
      <c r="F7223" t="s">
        <v>43</v>
      </c>
      <c r="G7223" t="s">
        <v>51</v>
      </c>
      <c r="H7223" t="s">
        <v>80</v>
      </c>
      <c r="I7223">
        <v>17078</v>
      </c>
      <c r="J7223">
        <v>12351</v>
      </c>
    </row>
    <row r="7224" spans="1:10" x14ac:dyDescent="0.3">
      <c r="A7224" t="s">
        <v>7351</v>
      </c>
      <c r="B7224" s="1">
        <v>45781</v>
      </c>
      <c r="C7224" t="s">
        <v>90</v>
      </c>
      <c r="D7224">
        <v>18</v>
      </c>
      <c r="E7224" t="s">
        <v>24</v>
      </c>
      <c r="F7224" t="s">
        <v>43</v>
      </c>
      <c r="G7224" t="s">
        <v>141</v>
      </c>
      <c r="H7224" t="s">
        <v>155</v>
      </c>
      <c r="I7224">
        <v>33085</v>
      </c>
      <c r="J7224">
        <v>40046</v>
      </c>
    </row>
    <row r="7225" spans="1:10" x14ac:dyDescent="0.3">
      <c r="A7225" t="s">
        <v>7352</v>
      </c>
      <c r="B7225" s="1">
        <v>45825</v>
      </c>
      <c r="C7225" t="s">
        <v>74</v>
      </c>
      <c r="D7225">
        <v>25</v>
      </c>
      <c r="E7225" t="s">
        <v>12</v>
      </c>
      <c r="F7225" t="s">
        <v>29</v>
      </c>
      <c r="G7225" t="s">
        <v>240</v>
      </c>
      <c r="H7225" t="s">
        <v>48</v>
      </c>
      <c r="I7225">
        <v>17540</v>
      </c>
      <c r="J7225">
        <v>22442</v>
      </c>
    </row>
    <row r="7226" spans="1:10" x14ac:dyDescent="0.3">
      <c r="A7226" t="s">
        <v>7353</v>
      </c>
      <c r="B7226" s="1">
        <v>46006</v>
      </c>
      <c r="C7226" t="s">
        <v>100</v>
      </c>
      <c r="D7226">
        <v>51</v>
      </c>
      <c r="E7226" t="s">
        <v>39</v>
      </c>
      <c r="F7226" t="s">
        <v>122</v>
      </c>
      <c r="G7226" t="s">
        <v>102</v>
      </c>
      <c r="H7226" t="s">
        <v>111</v>
      </c>
      <c r="I7226">
        <v>15115</v>
      </c>
      <c r="J7226">
        <v>18350</v>
      </c>
    </row>
    <row r="7227" spans="1:10" x14ac:dyDescent="0.3">
      <c r="A7227" t="s">
        <v>7354</v>
      </c>
      <c r="B7227" s="1">
        <v>45998</v>
      </c>
      <c r="C7227" t="s">
        <v>100</v>
      </c>
      <c r="D7227">
        <v>49</v>
      </c>
      <c r="E7227" t="s">
        <v>18</v>
      </c>
      <c r="F7227" t="s">
        <v>46</v>
      </c>
      <c r="G7227" t="s">
        <v>26</v>
      </c>
      <c r="H7227" t="s">
        <v>111</v>
      </c>
      <c r="I7227">
        <v>39052</v>
      </c>
      <c r="J7227">
        <v>35071</v>
      </c>
    </row>
    <row r="7228" spans="1:10" x14ac:dyDescent="0.3">
      <c r="A7228" t="s">
        <v>7355</v>
      </c>
      <c r="B7228" s="1">
        <v>45834</v>
      </c>
      <c r="C7228" t="s">
        <v>74</v>
      </c>
      <c r="D7228">
        <v>26</v>
      </c>
      <c r="E7228" t="s">
        <v>61</v>
      </c>
      <c r="F7228" t="s">
        <v>25</v>
      </c>
      <c r="G7228" t="s">
        <v>26</v>
      </c>
      <c r="H7228" t="s">
        <v>98</v>
      </c>
      <c r="I7228">
        <v>37973</v>
      </c>
      <c r="J7228">
        <v>40887</v>
      </c>
    </row>
    <row r="7229" spans="1:10" x14ac:dyDescent="0.3">
      <c r="A7229" t="s">
        <v>7356</v>
      </c>
      <c r="B7229" s="1">
        <v>45825</v>
      </c>
      <c r="C7229" t="s">
        <v>74</v>
      </c>
      <c r="D7229">
        <v>25</v>
      </c>
      <c r="E7229" t="s">
        <v>39</v>
      </c>
      <c r="F7229" t="s">
        <v>78</v>
      </c>
      <c r="G7229" t="s">
        <v>324</v>
      </c>
      <c r="H7229" t="s">
        <v>165</v>
      </c>
      <c r="I7229">
        <v>18641</v>
      </c>
      <c r="J7229">
        <v>16604</v>
      </c>
    </row>
    <row r="7230" spans="1:10" x14ac:dyDescent="0.3">
      <c r="A7230" t="s">
        <v>7357</v>
      </c>
      <c r="B7230" s="1">
        <v>45757</v>
      </c>
      <c r="C7230" t="s">
        <v>86</v>
      </c>
      <c r="D7230">
        <v>15</v>
      </c>
      <c r="E7230" t="s">
        <v>70</v>
      </c>
      <c r="F7230" t="s">
        <v>75</v>
      </c>
      <c r="G7230" t="s">
        <v>63</v>
      </c>
      <c r="H7230" t="s">
        <v>155</v>
      </c>
      <c r="I7230">
        <v>33644</v>
      </c>
      <c r="J7230">
        <v>33299</v>
      </c>
    </row>
    <row r="7231" spans="1:10" x14ac:dyDescent="0.3">
      <c r="A7231" t="s">
        <v>7358</v>
      </c>
      <c r="B7231" s="1">
        <v>45798</v>
      </c>
      <c r="C7231" t="s">
        <v>90</v>
      </c>
      <c r="D7231">
        <v>21</v>
      </c>
      <c r="E7231" t="s">
        <v>70</v>
      </c>
      <c r="F7231" t="s">
        <v>87</v>
      </c>
      <c r="G7231" t="s">
        <v>182</v>
      </c>
      <c r="H7231" t="s">
        <v>119</v>
      </c>
      <c r="I7231">
        <v>33037</v>
      </c>
      <c r="J7231">
        <v>42783</v>
      </c>
    </row>
    <row r="7232" spans="1:10" x14ac:dyDescent="0.3">
      <c r="A7232" t="s">
        <v>7359</v>
      </c>
      <c r="B7232" s="1">
        <v>45885</v>
      </c>
      <c r="C7232" t="s">
        <v>113</v>
      </c>
      <c r="D7232">
        <v>33</v>
      </c>
      <c r="E7232" t="s">
        <v>18</v>
      </c>
      <c r="F7232" t="s">
        <v>75</v>
      </c>
      <c r="G7232" t="s">
        <v>107</v>
      </c>
      <c r="H7232" t="s">
        <v>27</v>
      </c>
      <c r="I7232">
        <v>15617</v>
      </c>
      <c r="J7232">
        <v>15106</v>
      </c>
    </row>
    <row r="7233" spans="1:10" x14ac:dyDescent="0.3">
      <c r="A7233" t="s">
        <v>7360</v>
      </c>
      <c r="B7233" s="1">
        <v>45749</v>
      </c>
      <c r="C7233" t="s">
        <v>86</v>
      </c>
      <c r="D7233">
        <v>14</v>
      </c>
      <c r="E7233" t="s">
        <v>39</v>
      </c>
      <c r="F7233" t="s">
        <v>57</v>
      </c>
      <c r="G7233" t="s">
        <v>76</v>
      </c>
      <c r="H7233" t="s">
        <v>55</v>
      </c>
      <c r="I7233">
        <v>31853</v>
      </c>
      <c r="J7233">
        <v>39365</v>
      </c>
    </row>
    <row r="7234" spans="1:10" x14ac:dyDescent="0.3">
      <c r="A7234" t="s">
        <v>7361</v>
      </c>
      <c r="B7234" s="1">
        <v>45659</v>
      </c>
      <c r="C7234" t="s">
        <v>17</v>
      </c>
      <c r="D7234">
        <v>1</v>
      </c>
      <c r="E7234" t="s">
        <v>33</v>
      </c>
      <c r="F7234" t="s">
        <v>114</v>
      </c>
      <c r="G7234" t="s">
        <v>230</v>
      </c>
      <c r="H7234" t="s">
        <v>98</v>
      </c>
      <c r="I7234">
        <v>21456</v>
      </c>
      <c r="J7234">
        <v>19912</v>
      </c>
    </row>
    <row r="7235" spans="1:10" x14ac:dyDescent="0.3">
      <c r="A7235" t="s">
        <v>7362</v>
      </c>
      <c r="B7235" s="1">
        <v>45951</v>
      </c>
      <c r="C7235" t="s">
        <v>66</v>
      </c>
      <c r="D7235">
        <v>43</v>
      </c>
      <c r="E7235" t="s">
        <v>33</v>
      </c>
      <c r="F7235" t="s">
        <v>140</v>
      </c>
      <c r="G7235" t="s">
        <v>253</v>
      </c>
      <c r="H7235" t="s">
        <v>188</v>
      </c>
      <c r="I7235">
        <v>23565</v>
      </c>
      <c r="J7235">
        <v>18288</v>
      </c>
    </row>
    <row r="7236" spans="1:10" x14ac:dyDescent="0.3">
      <c r="A7236" t="s">
        <v>7363</v>
      </c>
      <c r="B7236" s="1">
        <v>45812</v>
      </c>
      <c r="C7236" t="s">
        <v>74</v>
      </c>
      <c r="D7236">
        <v>23</v>
      </c>
      <c r="E7236" t="s">
        <v>12</v>
      </c>
      <c r="F7236" t="s">
        <v>78</v>
      </c>
      <c r="G7236" t="s">
        <v>224</v>
      </c>
      <c r="H7236" t="s">
        <v>96</v>
      </c>
      <c r="I7236">
        <v>25028</v>
      </c>
      <c r="J7236">
        <v>24413</v>
      </c>
    </row>
    <row r="7237" spans="1:10" x14ac:dyDescent="0.3">
      <c r="A7237" t="s">
        <v>7364</v>
      </c>
      <c r="B7237" s="1">
        <v>45877</v>
      </c>
      <c r="C7237" t="s">
        <v>113</v>
      </c>
      <c r="D7237">
        <v>32</v>
      </c>
      <c r="E7237" t="s">
        <v>24</v>
      </c>
      <c r="F7237" t="s">
        <v>140</v>
      </c>
      <c r="G7237" t="s">
        <v>224</v>
      </c>
      <c r="H7237" t="s">
        <v>52</v>
      </c>
      <c r="I7237">
        <v>25047</v>
      </c>
      <c r="J7237">
        <v>31411</v>
      </c>
    </row>
    <row r="7238" spans="1:10" x14ac:dyDescent="0.3">
      <c r="A7238" t="s">
        <v>7365</v>
      </c>
      <c r="B7238" s="1">
        <v>46009</v>
      </c>
      <c r="C7238" t="s">
        <v>100</v>
      </c>
      <c r="D7238">
        <v>51</v>
      </c>
      <c r="E7238" t="s">
        <v>18</v>
      </c>
      <c r="F7238" t="s">
        <v>57</v>
      </c>
      <c r="G7238" t="s">
        <v>130</v>
      </c>
      <c r="H7238" t="s">
        <v>41</v>
      </c>
      <c r="I7238">
        <v>22544</v>
      </c>
      <c r="J7238">
        <v>17572</v>
      </c>
    </row>
    <row r="7239" spans="1:10" x14ac:dyDescent="0.3">
      <c r="A7239" t="s">
        <v>7366</v>
      </c>
      <c r="B7239" s="1">
        <v>45970</v>
      </c>
      <c r="C7239" t="s">
        <v>23</v>
      </c>
      <c r="D7239">
        <v>45</v>
      </c>
      <c r="E7239" t="s">
        <v>12</v>
      </c>
      <c r="F7239" t="s">
        <v>62</v>
      </c>
      <c r="G7239" t="s">
        <v>118</v>
      </c>
      <c r="H7239" t="s">
        <v>15</v>
      </c>
      <c r="I7239">
        <v>24000</v>
      </c>
      <c r="J7239">
        <v>21343</v>
      </c>
    </row>
    <row r="7240" spans="1:10" x14ac:dyDescent="0.3">
      <c r="A7240" t="s">
        <v>7367</v>
      </c>
      <c r="B7240" s="1">
        <v>45889</v>
      </c>
      <c r="C7240" t="s">
        <v>113</v>
      </c>
      <c r="D7240">
        <v>34</v>
      </c>
      <c r="E7240" t="s">
        <v>61</v>
      </c>
      <c r="F7240" t="s">
        <v>62</v>
      </c>
      <c r="G7240" t="s">
        <v>230</v>
      </c>
      <c r="H7240" t="s">
        <v>59</v>
      </c>
      <c r="I7240">
        <v>30718</v>
      </c>
      <c r="J7240">
        <v>23996</v>
      </c>
    </row>
    <row r="7241" spans="1:10" x14ac:dyDescent="0.3">
      <c r="A7241" t="s">
        <v>7368</v>
      </c>
      <c r="B7241" s="1">
        <v>46009</v>
      </c>
      <c r="C7241" t="s">
        <v>100</v>
      </c>
      <c r="D7241">
        <v>51</v>
      </c>
      <c r="E7241" t="s">
        <v>61</v>
      </c>
      <c r="F7241" t="s">
        <v>57</v>
      </c>
      <c r="G7241" t="s">
        <v>58</v>
      </c>
      <c r="H7241" t="s">
        <v>157</v>
      </c>
      <c r="I7241">
        <v>16172</v>
      </c>
      <c r="J7241">
        <v>12163</v>
      </c>
    </row>
    <row r="7242" spans="1:10" x14ac:dyDescent="0.3">
      <c r="A7242" t="s">
        <v>7369</v>
      </c>
      <c r="B7242" s="1">
        <v>45846</v>
      </c>
      <c r="C7242" t="s">
        <v>11</v>
      </c>
      <c r="D7242">
        <v>28</v>
      </c>
      <c r="E7242" t="s">
        <v>39</v>
      </c>
      <c r="F7242" t="s">
        <v>87</v>
      </c>
      <c r="G7242" t="s">
        <v>291</v>
      </c>
      <c r="H7242" t="s">
        <v>188</v>
      </c>
      <c r="I7242">
        <v>39028</v>
      </c>
      <c r="J7242">
        <v>36055</v>
      </c>
    </row>
    <row r="7243" spans="1:10" x14ac:dyDescent="0.3">
      <c r="A7243" t="s">
        <v>7370</v>
      </c>
      <c r="B7243" s="1">
        <v>45804</v>
      </c>
      <c r="C7243" t="s">
        <v>90</v>
      </c>
      <c r="D7243">
        <v>22</v>
      </c>
      <c r="E7243" t="s">
        <v>39</v>
      </c>
      <c r="F7243" t="s">
        <v>114</v>
      </c>
      <c r="G7243" t="s">
        <v>201</v>
      </c>
      <c r="H7243" t="s">
        <v>48</v>
      </c>
      <c r="I7243">
        <v>39321</v>
      </c>
      <c r="J7243">
        <v>48073</v>
      </c>
    </row>
    <row r="7244" spans="1:10" x14ac:dyDescent="0.3">
      <c r="A7244" t="s">
        <v>7371</v>
      </c>
      <c r="B7244" s="1">
        <v>45745</v>
      </c>
      <c r="C7244" t="s">
        <v>95</v>
      </c>
      <c r="D7244">
        <v>13</v>
      </c>
      <c r="E7244" t="s">
        <v>39</v>
      </c>
      <c r="F7244" t="s">
        <v>87</v>
      </c>
      <c r="G7244" t="s">
        <v>266</v>
      </c>
      <c r="H7244" t="s">
        <v>15</v>
      </c>
      <c r="I7244">
        <v>25337</v>
      </c>
      <c r="J7244">
        <v>18148</v>
      </c>
    </row>
    <row r="7245" spans="1:10" x14ac:dyDescent="0.3">
      <c r="A7245" t="s">
        <v>7372</v>
      </c>
      <c r="B7245" s="1">
        <v>45866</v>
      </c>
      <c r="C7245" t="s">
        <v>11</v>
      </c>
      <c r="D7245">
        <v>31</v>
      </c>
      <c r="E7245" t="s">
        <v>61</v>
      </c>
      <c r="F7245" t="s">
        <v>29</v>
      </c>
      <c r="G7245" t="s">
        <v>291</v>
      </c>
      <c r="H7245" t="s">
        <v>103</v>
      </c>
      <c r="I7245">
        <v>23794</v>
      </c>
      <c r="J7245">
        <v>18387</v>
      </c>
    </row>
    <row r="7246" spans="1:10" x14ac:dyDescent="0.3">
      <c r="A7246" t="s">
        <v>7373</v>
      </c>
      <c r="B7246" s="1">
        <v>45672</v>
      </c>
      <c r="C7246" t="s">
        <v>17</v>
      </c>
      <c r="D7246">
        <v>3</v>
      </c>
      <c r="E7246" t="s">
        <v>70</v>
      </c>
      <c r="F7246" t="s">
        <v>92</v>
      </c>
      <c r="G7246" t="s">
        <v>79</v>
      </c>
      <c r="H7246" t="s">
        <v>68</v>
      </c>
      <c r="I7246">
        <v>36744</v>
      </c>
      <c r="J7246">
        <v>45313</v>
      </c>
    </row>
    <row r="7247" spans="1:10" x14ac:dyDescent="0.3">
      <c r="A7247" t="s">
        <v>7374</v>
      </c>
      <c r="B7247" s="1">
        <v>45787</v>
      </c>
      <c r="C7247" t="s">
        <v>90</v>
      </c>
      <c r="D7247">
        <v>19</v>
      </c>
      <c r="E7247" t="s">
        <v>24</v>
      </c>
      <c r="F7247" t="s">
        <v>19</v>
      </c>
      <c r="G7247" t="s">
        <v>63</v>
      </c>
      <c r="H7247" t="s">
        <v>188</v>
      </c>
      <c r="I7247">
        <v>37785</v>
      </c>
      <c r="J7247">
        <v>34512</v>
      </c>
    </row>
    <row r="7248" spans="1:10" x14ac:dyDescent="0.3">
      <c r="A7248" t="s">
        <v>7375</v>
      </c>
      <c r="B7248" s="1">
        <v>45990</v>
      </c>
      <c r="C7248" t="s">
        <v>23</v>
      </c>
      <c r="D7248">
        <v>48</v>
      </c>
      <c r="E7248" t="s">
        <v>33</v>
      </c>
      <c r="F7248" t="s">
        <v>19</v>
      </c>
      <c r="G7248" t="s">
        <v>83</v>
      </c>
      <c r="H7248" t="s">
        <v>165</v>
      </c>
      <c r="I7248">
        <v>18522</v>
      </c>
      <c r="J7248">
        <v>20059</v>
      </c>
    </row>
    <row r="7249" spans="1:10" x14ac:dyDescent="0.3">
      <c r="A7249" t="s">
        <v>7376</v>
      </c>
      <c r="B7249" s="1">
        <v>45940</v>
      </c>
      <c r="C7249" t="s">
        <v>66</v>
      </c>
      <c r="D7249">
        <v>41</v>
      </c>
      <c r="E7249" t="s">
        <v>70</v>
      </c>
      <c r="F7249" t="s">
        <v>78</v>
      </c>
      <c r="G7249" t="s">
        <v>63</v>
      </c>
      <c r="H7249" t="s">
        <v>21</v>
      </c>
      <c r="I7249">
        <v>27255</v>
      </c>
      <c r="J7249">
        <v>27203</v>
      </c>
    </row>
    <row r="7250" spans="1:10" x14ac:dyDescent="0.3">
      <c r="A7250" t="s">
        <v>7377</v>
      </c>
      <c r="B7250" s="1">
        <v>45823</v>
      </c>
      <c r="C7250" t="s">
        <v>74</v>
      </c>
      <c r="D7250">
        <v>24</v>
      </c>
      <c r="E7250" t="s">
        <v>39</v>
      </c>
      <c r="F7250" t="s">
        <v>92</v>
      </c>
      <c r="G7250" t="s">
        <v>14</v>
      </c>
      <c r="H7250" t="s">
        <v>163</v>
      </c>
      <c r="I7250">
        <v>22251</v>
      </c>
      <c r="J7250">
        <v>26810</v>
      </c>
    </row>
    <row r="7251" spans="1:10" x14ac:dyDescent="0.3">
      <c r="A7251" t="s">
        <v>7378</v>
      </c>
      <c r="B7251" s="1">
        <v>45712</v>
      </c>
      <c r="C7251" t="s">
        <v>82</v>
      </c>
      <c r="D7251">
        <v>9</v>
      </c>
      <c r="E7251" t="s">
        <v>70</v>
      </c>
      <c r="F7251" t="s">
        <v>13</v>
      </c>
      <c r="G7251" t="s">
        <v>72</v>
      </c>
      <c r="H7251" t="s">
        <v>243</v>
      </c>
      <c r="I7251">
        <v>28702</v>
      </c>
      <c r="J7251">
        <v>35497</v>
      </c>
    </row>
    <row r="7252" spans="1:10" x14ac:dyDescent="0.3">
      <c r="A7252" t="s">
        <v>7379</v>
      </c>
      <c r="B7252" s="1">
        <v>45928</v>
      </c>
      <c r="C7252" t="s">
        <v>38</v>
      </c>
      <c r="D7252">
        <v>39</v>
      </c>
      <c r="E7252" t="s">
        <v>18</v>
      </c>
      <c r="F7252" t="s">
        <v>34</v>
      </c>
      <c r="G7252" t="s">
        <v>149</v>
      </c>
      <c r="H7252" t="s">
        <v>116</v>
      </c>
      <c r="I7252">
        <v>28934</v>
      </c>
      <c r="J7252">
        <v>25109</v>
      </c>
    </row>
    <row r="7253" spans="1:10" x14ac:dyDescent="0.3">
      <c r="A7253" t="s">
        <v>7380</v>
      </c>
      <c r="B7253" s="1">
        <v>45875</v>
      </c>
      <c r="C7253" t="s">
        <v>113</v>
      </c>
      <c r="D7253">
        <v>32</v>
      </c>
      <c r="E7253" t="s">
        <v>24</v>
      </c>
      <c r="F7253" t="s">
        <v>46</v>
      </c>
      <c r="G7253" t="s">
        <v>130</v>
      </c>
      <c r="H7253" t="s">
        <v>15</v>
      </c>
      <c r="I7253">
        <v>17725</v>
      </c>
      <c r="J7253">
        <v>16072</v>
      </c>
    </row>
    <row r="7254" spans="1:10" x14ac:dyDescent="0.3">
      <c r="A7254" t="s">
        <v>7381</v>
      </c>
      <c r="B7254" s="1">
        <v>45702</v>
      </c>
      <c r="C7254" t="s">
        <v>82</v>
      </c>
      <c r="D7254">
        <v>7</v>
      </c>
      <c r="E7254" t="s">
        <v>61</v>
      </c>
      <c r="F7254" t="s">
        <v>34</v>
      </c>
      <c r="G7254" t="s">
        <v>88</v>
      </c>
      <c r="H7254" t="s">
        <v>243</v>
      </c>
      <c r="I7254">
        <v>38812</v>
      </c>
      <c r="J7254">
        <v>33257</v>
      </c>
    </row>
    <row r="7255" spans="1:10" x14ac:dyDescent="0.3">
      <c r="A7255" t="s">
        <v>7382</v>
      </c>
      <c r="B7255" s="1">
        <v>45835</v>
      </c>
      <c r="C7255" t="s">
        <v>74</v>
      </c>
      <c r="D7255">
        <v>26</v>
      </c>
      <c r="E7255" t="s">
        <v>61</v>
      </c>
      <c r="F7255" t="s">
        <v>109</v>
      </c>
      <c r="G7255" t="s">
        <v>88</v>
      </c>
      <c r="H7255" t="s">
        <v>80</v>
      </c>
      <c r="I7255">
        <v>26578</v>
      </c>
      <c r="J7255">
        <v>29060</v>
      </c>
    </row>
    <row r="7256" spans="1:10" x14ac:dyDescent="0.3">
      <c r="A7256" t="s">
        <v>7383</v>
      </c>
      <c r="B7256" s="1">
        <v>45981</v>
      </c>
      <c r="C7256" t="s">
        <v>23</v>
      </c>
      <c r="D7256">
        <v>47</v>
      </c>
      <c r="E7256" t="s">
        <v>33</v>
      </c>
      <c r="F7256" t="s">
        <v>75</v>
      </c>
      <c r="G7256" t="s">
        <v>83</v>
      </c>
      <c r="H7256" t="s">
        <v>48</v>
      </c>
      <c r="I7256">
        <v>25354</v>
      </c>
      <c r="J7256">
        <v>22283</v>
      </c>
    </row>
    <row r="7257" spans="1:10" x14ac:dyDescent="0.3">
      <c r="A7257" t="s">
        <v>7384</v>
      </c>
      <c r="B7257" s="1">
        <v>45667</v>
      </c>
      <c r="C7257" t="s">
        <v>17</v>
      </c>
      <c r="D7257">
        <v>2</v>
      </c>
      <c r="E7257" t="s">
        <v>24</v>
      </c>
      <c r="F7257" t="s">
        <v>25</v>
      </c>
      <c r="G7257" t="s">
        <v>132</v>
      </c>
      <c r="H7257" t="s">
        <v>41</v>
      </c>
      <c r="I7257">
        <v>39972</v>
      </c>
      <c r="J7257">
        <v>34672</v>
      </c>
    </row>
    <row r="7258" spans="1:10" x14ac:dyDescent="0.3">
      <c r="A7258" t="s">
        <v>7385</v>
      </c>
      <c r="B7258" s="1">
        <v>45866</v>
      </c>
      <c r="C7258" t="s">
        <v>11</v>
      </c>
      <c r="D7258">
        <v>31</v>
      </c>
      <c r="E7258" t="s">
        <v>18</v>
      </c>
      <c r="F7258" t="s">
        <v>109</v>
      </c>
      <c r="G7258" t="s">
        <v>240</v>
      </c>
      <c r="H7258" t="s">
        <v>31</v>
      </c>
      <c r="I7258">
        <v>34049</v>
      </c>
      <c r="J7258">
        <v>39332</v>
      </c>
    </row>
    <row r="7259" spans="1:10" x14ac:dyDescent="0.3">
      <c r="A7259" t="s">
        <v>7386</v>
      </c>
      <c r="B7259" s="1">
        <v>45766</v>
      </c>
      <c r="C7259" t="s">
        <v>86</v>
      </c>
      <c r="D7259">
        <v>16</v>
      </c>
      <c r="E7259" t="s">
        <v>18</v>
      </c>
      <c r="F7259" t="s">
        <v>87</v>
      </c>
      <c r="G7259" t="s">
        <v>160</v>
      </c>
      <c r="H7259" t="s">
        <v>64</v>
      </c>
      <c r="I7259">
        <v>38375</v>
      </c>
      <c r="J7259">
        <v>30218</v>
      </c>
    </row>
    <row r="7260" spans="1:10" x14ac:dyDescent="0.3">
      <c r="A7260" t="s">
        <v>7387</v>
      </c>
      <c r="B7260" s="1">
        <v>45889</v>
      </c>
      <c r="C7260" t="s">
        <v>113</v>
      </c>
      <c r="D7260">
        <v>34</v>
      </c>
      <c r="E7260" t="s">
        <v>39</v>
      </c>
      <c r="F7260" t="s">
        <v>75</v>
      </c>
      <c r="G7260" t="s">
        <v>30</v>
      </c>
      <c r="H7260" t="s">
        <v>80</v>
      </c>
      <c r="I7260">
        <v>30531</v>
      </c>
      <c r="J7260">
        <v>30353</v>
      </c>
    </row>
    <row r="7261" spans="1:10" x14ac:dyDescent="0.3">
      <c r="A7261" t="s">
        <v>7388</v>
      </c>
      <c r="B7261" s="1">
        <v>45752</v>
      </c>
      <c r="C7261" t="s">
        <v>86</v>
      </c>
      <c r="D7261">
        <v>14</v>
      </c>
      <c r="E7261" t="s">
        <v>39</v>
      </c>
      <c r="F7261" t="s">
        <v>114</v>
      </c>
      <c r="G7261" t="s">
        <v>326</v>
      </c>
      <c r="H7261" t="s">
        <v>64</v>
      </c>
      <c r="I7261">
        <v>27584</v>
      </c>
      <c r="J7261">
        <v>24455</v>
      </c>
    </row>
    <row r="7262" spans="1:10" x14ac:dyDescent="0.3">
      <c r="A7262" t="s">
        <v>7389</v>
      </c>
      <c r="B7262" s="1">
        <v>45983</v>
      </c>
      <c r="C7262" t="s">
        <v>23</v>
      </c>
      <c r="D7262">
        <v>47</v>
      </c>
      <c r="E7262" t="s">
        <v>70</v>
      </c>
      <c r="F7262" t="s">
        <v>13</v>
      </c>
      <c r="G7262" t="s">
        <v>110</v>
      </c>
      <c r="H7262" t="s">
        <v>243</v>
      </c>
      <c r="I7262">
        <v>31683</v>
      </c>
      <c r="J7262">
        <v>30604</v>
      </c>
    </row>
    <row r="7263" spans="1:10" x14ac:dyDescent="0.3">
      <c r="A7263" t="s">
        <v>7390</v>
      </c>
      <c r="B7263" s="1">
        <v>45845</v>
      </c>
      <c r="C7263" t="s">
        <v>11</v>
      </c>
      <c r="D7263">
        <v>28</v>
      </c>
      <c r="E7263" t="s">
        <v>33</v>
      </c>
      <c r="F7263" t="s">
        <v>75</v>
      </c>
      <c r="G7263" t="s">
        <v>224</v>
      </c>
      <c r="H7263" t="s">
        <v>52</v>
      </c>
      <c r="I7263">
        <v>23611</v>
      </c>
      <c r="J7263">
        <v>27111</v>
      </c>
    </row>
    <row r="7264" spans="1:10" x14ac:dyDescent="0.3">
      <c r="A7264" t="s">
        <v>7391</v>
      </c>
      <c r="B7264" s="1">
        <v>46011</v>
      </c>
      <c r="C7264" t="s">
        <v>100</v>
      </c>
      <c r="D7264">
        <v>51</v>
      </c>
      <c r="E7264" t="s">
        <v>12</v>
      </c>
      <c r="F7264" t="s">
        <v>114</v>
      </c>
      <c r="G7264" t="s">
        <v>206</v>
      </c>
      <c r="H7264" t="s">
        <v>188</v>
      </c>
      <c r="I7264">
        <v>39391</v>
      </c>
      <c r="J7264">
        <v>35186</v>
      </c>
    </row>
    <row r="7265" spans="1:10" x14ac:dyDescent="0.3">
      <c r="A7265" t="s">
        <v>7392</v>
      </c>
      <c r="B7265" s="1">
        <v>45865</v>
      </c>
      <c r="C7265" t="s">
        <v>11</v>
      </c>
      <c r="D7265">
        <v>30</v>
      </c>
      <c r="E7265" t="s">
        <v>12</v>
      </c>
      <c r="F7265" t="s">
        <v>34</v>
      </c>
      <c r="G7265" t="s">
        <v>58</v>
      </c>
      <c r="H7265" t="s">
        <v>96</v>
      </c>
      <c r="I7265">
        <v>34537</v>
      </c>
      <c r="J7265">
        <v>42638</v>
      </c>
    </row>
    <row r="7266" spans="1:10" x14ac:dyDescent="0.3">
      <c r="A7266" t="s">
        <v>7393</v>
      </c>
      <c r="B7266" s="1">
        <v>45719</v>
      </c>
      <c r="C7266" t="s">
        <v>95</v>
      </c>
      <c r="D7266">
        <v>10</v>
      </c>
      <c r="E7266" t="s">
        <v>39</v>
      </c>
      <c r="F7266" t="s">
        <v>13</v>
      </c>
      <c r="G7266" t="s">
        <v>199</v>
      </c>
      <c r="H7266" t="s">
        <v>27</v>
      </c>
      <c r="I7266">
        <v>22289</v>
      </c>
      <c r="J7266">
        <v>20944</v>
      </c>
    </row>
    <row r="7267" spans="1:10" x14ac:dyDescent="0.3">
      <c r="A7267" t="s">
        <v>7394</v>
      </c>
      <c r="B7267" s="1">
        <v>45795</v>
      </c>
      <c r="C7267" t="s">
        <v>90</v>
      </c>
      <c r="D7267">
        <v>20</v>
      </c>
      <c r="E7267" t="s">
        <v>39</v>
      </c>
      <c r="F7267" t="s">
        <v>78</v>
      </c>
      <c r="G7267" t="s">
        <v>35</v>
      </c>
      <c r="H7267" t="s">
        <v>64</v>
      </c>
      <c r="I7267">
        <v>22615</v>
      </c>
      <c r="J7267">
        <v>23900</v>
      </c>
    </row>
    <row r="7268" spans="1:10" x14ac:dyDescent="0.3">
      <c r="A7268" t="s">
        <v>7395</v>
      </c>
      <c r="B7268" s="1">
        <v>45743</v>
      </c>
      <c r="C7268" t="s">
        <v>95</v>
      </c>
      <c r="D7268">
        <v>13</v>
      </c>
      <c r="E7268" t="s">
        <v>33</v>
      </c>
      <c r="F7268" t="s">
        <v>19</v>
      </c>
      <c r="G7268" t="s">
        <v>147</v>
      </c>
      <c r="H7268" t="s">
        <v>155</v>
      </c>
      <c r="I7268">
        <v>16441</v>
      </c>
      <c r="J7268">
        <v>16640</v>
      </c>
    </row>
    <row r="7269" spans="1:10" x14ac:dyDescent="0.3">
      <c r="A7269" t="s">
        <v>7396</v>
      </c>
      <c r="B7269" s="1">
        <v>45734</v>
      </c>
      <c r="C7269" t="s">
        <v>95</v>
      </c>
      <c r="D7269">
        <v>12</v>
      </c>
      <c r="E7269" t="s">
        <v>70</v>
      </c>
      <c r="F7269" t="s">
        <v>109</v>
      </c>
      <c r="G7269" t="s">
        <v>35</v>
      </c>
      <c r="H7269" t="s">
        <v>27</v>
      </c>
      <c r="I7269">
        <v>22097</v>
      </c>
      <c r="J7269">
        <v>22124</v>
      </c>
    </row>
    <row r="7270" spans="1:10" x14ac:dyDescent="0.3">
      <c r="A7270" t="s">
        <v>7397</v>
      </c>
      <c r="B7270" s="1">
        <v>45910</v>
      </c>
      <c r="C7270" t="s">
        <v>38</v>
      </c>
      <c r="D7270">
        <v>37</v>
      </c>
      <c r="E7270" t="s">
        <v>24</v>
      </c>
      <c r="F7270" t="s">
        <v>75</v>
      </c>
      <c r="G7270" t="s">
        <v>30</v>
      </c>
      <c r="H7270" t="s">
        <v>155</v>
      </c>
      <c r="I7270">
        <v>27352</v>
      </c>
      <c r="J7270">
        <v>34710</v>
      </c>
    </row>
    <row r="7271" spans="1:10" x14ac:dyDescent="0.3">
      <c r="A7271" t="s">
        <v>7398</v>
      </c>
      <c r="B7271" s="1">
        <v>45833</v>
      </c>
      <c r="C7271" t="s">
        <v>74</v>
      </c>
      <c r="D7271">
        <v>26</v>
      </c>
      <c r="E7271" t="s">
        <v>24</v>
      </c>
      <c r="F7271" t="s">
        <v>140</v>
      </c>
      <c r="G7271" t="s">
        <v>206</v>
      </c>
      <c r="H7271" t="s">
        <v>41</v>
      </c>
      <c r="I7271">
        <v>16361</v>
      </c>
      <c r="J7271">
        <v>12079</v>
      </c>
    </row>
    <row r="7272" spans="1:10" x14ac:dyDescent="0.3">
      <c r="A7272" t="s">
        <v>7399</v>
      </c>
      <c r="B7272" s="1">
        <v>45895</v>
      </c>
      <c r="C7272" t="s">
        <v>113</v>
      </c>
      <c r="D7272">
        <v>35</v>
      </c>
      <c r="E7272" t="s">
        <v>70</v>
      </c>
      <c r="F7272" t="s">
        <v>19</v>
      </c>
      <c r="G7272" t="s">
        <v>126</v>
      </c>
      <c r="H7272" t="s">
        <v>27</v>
      </c>
      <c r="I7272">
        <v>20050</v>
      </c>
      <c r="J7272">
        <v>16831</v>
      </c>
    </row>
    <row r="7273" spans="1:10" x14ac:dyDescent="0.3">
      <c r="A7273" t="s">
        <v>7400</v>
      </c>
      <c r="B7273" s="1">
        <v>46022</v>
      </c>
      <c r="C7273" t="s">
        <v>100</v>
      </c>
      <c r="D7273">
        <v>1</v>
      </c>
      <c r="E7273" t="s">
        <v>24</v>
      </c>
      <c r="F7273" t="s">
        <v>34</v>
      </c>
      <c r="G7273" t="s">
        <v>35</v>
      </c>
      <c r="H7273" t="s">
        <v>55</v>
      </c>
      <c r="I7273">
        <v>23298</v>
      </c>
      <c r="J7273">
        <v>17481</v>
      </c>
    </row>
    <row r="7274" spans="1:10" x14ac:dyDescent="0.3">
      <c r="A7274" t="s">
        <v>7401</v>
      </c>
      <c r="B7274" s="1">
        <v>45883</v>
      </c>
      <c r="C7274" t="s">
        <v>113</v>
      </c>
      <c r="D7274">
        <v>33</v>
      </c>
      <c r="E7274" t="s">
        <v>33</v>
      </c>
      <c r="F7274" t="s">
        <v>122</v>
      </c>
      <c r="G7274" t="s">
        <v>141</v>
      </c>
      <c r="H7274" t="s">
        <v>119</v>
      </c>
      <c r="I7274">
        <v>22080</v>
      </c>
      <c r="J7274">
        <v>18574</v>
      </c>
    </row>
    <row r="7275" spans="1:10" x14ac:dyDescent="0.3">
      <c r="A7275" t="s">
        <v>7402</v>
      </c>
      <c r="B7275" s="1">
        <v>45927</v>
      </c>
      <c r="C7275" t="s">
        <v>38</v>
      </c>
      <c r="D7275">
        <v>39</v>
      </c>
      <c r="E7275" t="s">
        <v>70</v>
      </c>
      <c r="F7275" t="s">
        <v>114</v>
      </c>
      <c r="G7275" t="s">
        <v>206</v>
      </c>
      <c r="H7275" t="s">
        <v>111</v>
      </c>
      <c r="I7275">
        <v>15099</v>
      </c>
      <c r="J7275">
        <v>10847</v>
      </c>
    </row>
    <row r="7276" spans="1:10" x14ac:dyDescent="0.3">
      <c r="A7276" t="s">
        <v>7403</v>
      </c>
      <c r="B7276" s="1">
        <v>45741</v>
      </c>
      <c r="C7276" t="s">
        <v>95</v>
      </c>
      <c r="D7276">
        <v>13</v>
      </c>
      <c r="E7276" t="s">
        <v>39</v>
      </c>
      <c r="F7276" t="s">
        <v>25</v>
      </c>
      <c r="G7276" t="s">
        <v>115</v>
      </c>
      <c r="H7276" t="s">
        <v>27</v>
      </c>
      <c r="I7276">
        <v>34305</v>
      </c>
      <c r="J7276">
        <v>41067</v>
      </c>
    </row>
    <row r="7277" spans="1:10" x14ac:dyDescent="0.3">
      <c r="A7277" t="s">
        <v>7404</v>
      </c>
      <c r="B7277" s="1">
        <v>45990</v>
      </c>
      <c r="C7277" t="s">
        <v>23</v>
      </c>
      <c r="D7277">
        <v>48</v>
      </c>
      <c r="E7277" t="s">
        <v>24</v>
      </c>
      <c r="F7277" t="s">
        <v>50</v>
      </c>
      <c r="G7277" t="s">
        <v>63</v>
      </c>
      <c r="H7277" t="s">
        <v>68</v>
      </c>
      <c r="I7277">
        <v>35912</v>
      </c>
      <c r="J7277">
        <v>37530</v>
      </c>
    </row>
    <row r="7278" spans="1:10" x14ac:dyDescent="0.3">
      <c r="A7278" t="s">
        <v>7405</v>
      </c>
      <c r="B7278" s="1">
        <v>45968</v>
      </c>
      <c r="C7278" t="s">
        <v>23</v>
      </c>
      <c r="D7278">
        <v>45</v>
      </c>
      <c r="E7278" t="s">
        <v>24</v>
      </c>
      <c r="F7278" t="s">
        <v>87</v>
      </c>
      <c r="G7278" t="s">
        <v>26</v>
      </c>
      <c r="H7278" t="s">
        <v>59</v>
      </c>
      <c r="I7278">
        <v>34683</v>
      </c>
      <c r="J7278">
        <v>37078</v>
      </c>
    </row>
    <row r="7279" spans="1:10" x14ac:dyDescent="0.3">
      <c r="A7279" t="s">
        <v>7406</v>
      </c>
      <c r="B7279" s="1">
        <v>45997</v>
      </c>
      <c r="C7279" t="s">
        <v>100</v>
      </c>
      <c r="D7279">
        <v>49</v>
      </c>
      <c r="E7279" t="s">
        <v>61</v>
      </c>
      <c r="F7279" t="s">
        <v>140</v>
      </c>
      <c r="G7279" t="s">
        <v>234</v>
      </c>
      <c r="H7279" t="s">
        <v>103</v>
      </c>
      <c r="I7279">
        <v>20216</v>
      </c>
      <c r="J7279">
        <v>18708</v>
      </c>
    </row>
    <row r="7280" spans="1:10" x14ac:dyDescent="0.3">
      <c r="A7280" t="s">
        <v>7407</v>
      </c>
      <c r="B7280" s="1">
        <v>45715</v>
      </c>
      <c r="C7280" t="s">
        <v>82</v>
      </c>
      <c r="D7280">
        <v>9</v>
      </c>
      <c r="E7280" t="s">
        <v>39</v>
      </c>
      <c r="F7280" t="s">
        <v>101</v>
      </c>
      <c r="G7280" t="s">
        <v>191</v>
      </c>
      <c r="H7280" t="s">
        <v>80</v>
      </c>
      <c r="I7280">
        <v>15558</v>
      </c>
      <c r="J7280">
        <v>11119</v>
      </c>
    </row>
    <row r="7281" spans="1:10" x14ac:dyDescent="0.3">
      <c r="A7281" t="s">
        <v>7408</v>
      </c>
      <c r="B7281" s="1">
        <v>45899</v>
      </c>
      <c r="C7281" t="s">
        <v>113</v>
      </c>
      <c r="D7281">
        <v>35</v>
      </c>
      <c r="E7281" t="s">
        <v>33</v>
      </c>
      <c r="F7281" t="s">
        <v>92</v>
      </c>
      <c r="G7281" t="s">
        <v>102</v>
      </c>
      <c r="H7281" t="s">
        <v>27</v>
      </c>
      <c r="I7281">
        <v>33845</v>
      </c>
      <c r="J7281">
        <v>25464</v>
      </c>
    </row>
    <row r="7282" spans="1:10" x14ac:dyDescent="0.3">
      <c r="A7282" t="s">
        <v>7409</v>
      </c>
      <c r="B7282" s="1">
        <v>45839</v>
      </c>
      <c r="C7282" t="s">
        <v>11</v>
      </c>
      <c r="D7282">
        <v>27</v>
      </c>
      <c r="E7282" t="s">
        <v>12</v>
      </c>
      <c r="F7282" t="s">
        <v>43</v>
      </c>
      <c r="G7282" t="s">
        <v>126</v>
      </c>
      <c r="H7282" t="s">
        <v>41</v>
      </c>
      <c r="I7282">
        <v>29809</v>
      </c>
      <c r="J7282">
        <v>35496</v>
      </c>
    </row>
    <row r="7283" spans="1:10" x14ac:dyDescent="0.3">
      <c r="A7283" t="s">
        <v>7410</v>
      </c>
      <c r="B7283" s="1">
        <v>45677</v>
      </c>
      <c r="C7283" t="s">
        <v>17</v>
      </c>
      <c r="D7283">
        <v>4</v>
      </c>
      <c r="E7283" t="s">
        <v>61</v>
      </c>
      <c r="F7283" t="s">
        <v>50</v>
      </c>
      <c r="G7283" t="s">
        <v>63</v>
      </c>
      <c r="H7283" t="s">
        <v>188</v>
      </c>
      <c r="I7283">
        <v>21993</v>
      </c>
      <c r="J7283">
        <v>15946</v>
      </c>
    </row>
    <row r="7284" spans="1:10" x14ac:dyDescent="0.3">
      <c r="A7284" t="s">
        <v>7411</v>
      </c>
      <c r="B7284" s="1">
        <v>45713</v>
      </c>
      <c r="C7284" t="s">
        <v>82</v>
      </c>
      <c r="D7284">
        <v>9</v>
      </c>
      <c r="E7284" t="s">
        <v>33</v>
      </c>
      <c r="F7284" t="s">
        <v>50</v>
      </c>
      <c r="G7284" t="s">
        <v>58</v>
      </c>
      <c r="H7284" t="s">
        <v>133</v>
      </c>
      <c r="I7284">
        <v>21100</v>
      </c>
      <c r="J7284">
        <v>20902</v>
      </c>
    </row>
    <row r="7285" spans="1:10" x14ac:dyDescent="0.3">
      <c r="A7285" t="s">
        <v>7412</v>
      </c>
      <c r="B7285" s="1">
        <v>45914</v>
      </c>
      <c r="C7285" t="s">
        <v>38</v>
      </c>
      <c r="D7285">
        <v>37</v>
      </c>
      <c r="E7285" t="s">
        <v>18</v>
      </c>
      <c r="F7285" t="s">
        <v>87</v>
      </c>
      <c r="G7285" t="s">
        <v>72</v>
      </c>
      <c r="H7285" t="s">
        <v>116</v>
      </c>
      <c r="I7285">
        <v>31077</v>
      </c>
      <c r="J7285">
        <v>30292</v>
      </c>
    </row>
    <row r="7286" spans="1:10" x14ac:dyDescent="0.3">
      <c r="A7286" t="s">
        <v>7413</v>
      </c>
      <c r="B7286" s="1">
        <v>45836</v>
      </c>
      <c r="C7286" t="s">
        <v>74</v>
      </c>
      <c r="D7286">
        <v>26</v>
      </c>
      <c r="E7286" t="s">
        <v>12</v>
      </c>
      <c r="F7286" t="s">
        <v>57</v>
      </c>
      <c r="G7286" t="s">
        <v>137</v>
      </c>
      <c r="H7286" t="s">
        <v>165</v>
      </c>
      <c r="I7286">
        <v>34287</v>
      </c>
      <c r="J7286">
        <v>35286</v>
      </c>
    </row>
    <row r="7287" spans="1:10" x14ac:dyDescent="0.3">
      <c r="A7287" t="s">
        <v>7414</v>
      </c>
      <c r="B7287" s="1">
        <v>45721</v>
      </c>
      <c r="C7287" t="s">
        <v>95</v>
      </c>
      <c r="D7287">
        <v>10</v>
      </c>
      <c r="E7287" t="s">
        <v>12</v>
      </c>
      <c r="F7287" t="s">
        <v>13</v>
      </c>
      <c r="G7287" t="s">
        <v>47</v>
      </c>
      <c r="H7287" t="s">
        <v>133</v>
      </c>
      <c r="I7287">
        <v>37399</v>
      </c>
      <c r="J7287">
        <v>47006</v>
      </c>
    </row>
    <row r="7288" spans="1:10" x14ac:dyDescent="0.3">
      <c r="A7288" t="s">
        <v>7415</v>
      </c>
      <c r="B7288" s="1">
        <v>46000</v>
      </c>
      <c r="C7288" t="s">
        <v>100</v>
      </c>
      <c r="D7288">
        <v>50</v>
      </c>
      <c r="E7288" t="s">
        <v>33</v>
      </c>
      <c r="F7288" t="s">
        <v>78</v>
      </c>
      <c r="G7288" t="s">
        <v>58</v>
      </c>
      <c r="H7288" t="s">
        <v>27</v>
      </c>
      <c r="I7288">
        <v>17271</v>
      </c>
      <c r="J7288">
        <v>18618</v>
      </c>
    </row>
    <row r="7289" spans="1:10" x14ac:dyDescent="0.3">
      <c r="A7289" t="s">
        <v>7416</v>
      </c>
      <c r="B7289" s="1">
        <v>45710</v>
      </c>
      <c r="C7289" t="s">
        <v>82</v>
      </c>
      <c r="D7289">
        <v>8</v>
      </c>
      <c r="E7289" t="s">
        <v>70</v>
      </c>
      <c r="F7289" t="s">
        <v>62</v>
      </c>
      <c r="G7289" t="s">
        <v>324</v>
      </c>
      <c r="H7289" t="s">
        <v>15</v>
      </c>
      <c r="I7289">
        <v>15500</v>
      </c>
      <c r="J7289">
        <v>18665</v>
      </c>
    </row>
    <row r="7290" spans="1:10" x14ac:dyDescent="0.3">
      <c r="A7290" t="s">
        <v>7417</v>
      </c>
      <c r="B7290" s="1">
        <v>45944</v>
      </c>
      <c r="C7290" t="s">
        <v>66</v>
      </c>
      <c r="D7290">
        <v>42</v>
      </c>
      <c r="E7290" t="s">
        <v>24</v>
      </c>
      <c r="F7290" t="s">
        <v>122</v>
      </c>
      <c r="G7290" t="s">
        <v>115</v>
      </c>
      <c r="H7290" t="s">
        <v>96</v>
      </c>
      <c r="I7290">
        <v>33767</v>
      </c>
      <c r="J7290">
        <v>43659</v>
      </c>
    </row>
    <row r="7291" spans="1:10" x14ac:dyDescent="0.3">
      <c r="A7291" t="s">
        <v>7418</v>
      </c>
      <c r="B7291" s="1">
        <v>45801</v>
      </c>
      <c r="C7291" t="s">
        <v>90</v>
      </c>
      <c r="D7291">
        <v>21</v>
      </c>
      <c r="E7291" t="s">
        <v>33</v>
      </c>
      <c r="F7291" t="s">
        <v>46</v>
      </c>
      <c r="G7291" t="s">
        <v>141</v>
      </c>
      <c r="H7291" t="s">
        <v>211</v>
      </c>
      <c r="I7291">
        <v>17693</v>
      </c>
      <c r="J7291">
        <v>20042</v>
      </c>
    </row>
    <row r="7292" spans="1:10" x14ac:dyDescent="0.3">
      <c r="A7292" t="s">
        <v>7419</v>
      </c>
      <c r="B7292" s="1">
        <v>45797</v>
      </c>
      <c r="C7292" t="s">
        <v>90</v>
      </c>
      <c r="D7292">
        <v>21</v>
      </c>
      <c r="E7292" t="s">
        <v>39</v>
      </c>
      <c r="F7292" t="s">
        <v>43</v>
      </c>
      <c r="G7292" t="s">
        <v>230</v>
      </c>
      <c r="H7292" t="s">
        <v>41</v>
      </c>
      <c r="I7292">
        <v>35053</v>
      </c>
      <c r="J7292">
        <v>32972</v>
      </c>
    </row>
    <row r="7293" spans="1:10" x14ac:dyDescent="0.3">
      <c r="A7293" t="s">
        <v>7420</v>
      </c>
      <c r="B7293" s="1">
        <v>45729</v>
      </c>
      <c r="C7293" t="s">
        <v>95</v>
      </c>
      <c r="D7293">
        <v>11</v>
      </c>
      <c r="E7293" t="s">
        <v>70</v>
      </c>
      <c r="F7293" t="s">
        <v>43</v>
      </c>
      <c r="G7293" t="s">
        <v>118</v>
      </c>
      <c r="H7293" t="s">
        <v>111</v>
      </c>
      <c r="I7293">
        <v>25678</v>
      </c>
      <c r="J7293">
        <v>32360</v>
      </c>
    </row>
    <row r="7294" spans="1:10" x14ac:dyDescent="0.3">
      <c r="A7294" t="s">
        <v>7421</v>
      </c>
      <c r="B7294" s="1">
        <v>45998</v>
      </c>
      <c r="C7294" t="s">
        <v>100</v>
      </c>
      <c r="D7294">
        <v>49</v>
      </c>
      <c r="E7294" t="s">
        <v>70</v>
      </c>
      <c r="F7294" t="s">
        <v>122</v>
      </c>
      <c r="G7294" t="s">
        <v>107</v>
      </c>
      <c r="H7294" t="s">
        <v>243</v>
      </c>
      <c r="I7294">
        <v>36055</v>
      </c>
      <c r="J7294">
        <v>29457</v>
      </c>
    </row>
    <row r="7295" spans="1:10" x14ac:dyDescent="0.3">
      <c r="A7295" t="s">
        <v>7422</v>
      </c>
      <c r="B7295" s="1">
        <v>45696</v>
      </c>
      <c r="C7295" t="s">
        <v>82</v>
      </c>
      <c r="D7295">
        <v>6</v>
      </c>
      <c r="E7295" t="s">
        <v>12</v>
      </c>
      <c r="F7295" t="s">
        <v>43</v>
      </c>
      <c r="G7295" t="s">
        <v>126</v>
      </c>
      <c r="H7295" t="s">
        <v>151</v>
      </c>
      <c r="I7295">
        <v>21726</v>
      </c>
      <c r="J7295">
        <v>17332</v>
      </c>
    </row>
    <row r="7296" spans="1:10" x14ac:dyDescent="0.3">
      <c r="A7296" t="s">
        <v>7423</v>
      </c>
      <c r="B7296" s="1">
        <v>45660</v>
      </c>
      <c r="C7296" t="s">
        <v>17</v>
      </c>
      <c r="D7296">
        <v>1</v>
      </c>
      <c r="E7296" t="s">
        <v>33</v>
      </c>
      <c r="F7296" t="s">
        <v>122</v>
      </c>
      <c r="G7296" t="s">
        <v>240</v>
      </c>
      <c r="H7296" t="s">
        <v>21</v>
      </c>
      <c r="I7296">
        <v>31794</v>
      </c>
      <c r="J7296">
        <v>38841</v>
      </c>
    </row>
    <row r="7297" spans="1:10" x14ac:dyDescent="0.3">
      <c r="A7297" t="s">
        <v>7424</v>
      </c>
      <c r="B7297" s="1">
        <v>45930</v>
      </c>
      <c r="C7297" t="s">
        <v>38</v>
      </c>
      <c r="D7297">
        <v>40</v>
      </c>
      <c r="E7297" t="s">
        <v>24</v>
      </c>
      <c r="F7297" t="s">
        <v>75</v>
      </c>
      <c r="G7297" t="s">
        <v>47</v>
      </c>
      <c r="H7297" t="s">
        <v>96</v>
      </c>
      <c r="I7297">
        <v>32053</v>
      </c>
      <c r="J7297">
        <v>32492</v>
      </c>
    </row>
    <row r="7298" spans="1:10" x14ac:dyDescent="0.3">
      <c r="A7298" t="s">
        <v>7425</v>
      </c>
      <c r="B7298" s="1">
        <v>45857</v>
      </c>
      <c r="C7298" t="s">
        <v>11</v>
      </c>
      <c r="D7298">
        <v>29</v>
      </c>
      <c r="E7298" t="s">
        <v>12</v>
      </c>
      <c r="F7298" t="s">
        <v>43</v>
      </c>
      <c r="G7298" t="s">
        <v>253</v>
      </c>
      <c r="H7298" t="s">
        <v>165</v>
      </c>
      <c r="I7298">
        <v>16879</v>
      </c>
      <c r="J7298">
        <v>21719</v>
      </c>
    </row>
    <row r="7299" spans="1:10" x14ac:dyDescent="0.3">
      <c r="A7299" t="s">
        <v>7426</v>
      </c>
      <c r="B7299" s="1">
        <v>45878</v>
      </c>
      <c r="C7299" t="s">
        <v>113</v>
      </c>
      <c r="D7299">
        <v>32</v>
      </c>
      <c r="E7299" t="s">
        <v>18</v>
      </c>
      <c r="F7299" t="s">
        <v>43</v>
      </c>
      <c r="G7299" t="s">
        <v>72</v>
      </c>
      <c r="H7299" t="s">
        <v>84</v>
      </c>
      <c r="I7299">
        <v>17371</v>
      </c>
      <c r="J7299">
        <v>12541</v>
      </c>
    </row>
    <row r="7300" spans="1:10" x14ac:dyDescent="0.3">
      <c r="A7300" t="s">
        <v>7427</v>
      </c>
      <c r="B7300" s="1">
        <v>45923</v>
      </c>
      <c r="C7300" t="s">
        <v>38</v>
      </c>
      <c r="D7300">
        <v>39</v>
      </c>
      <c r="E7300" t="s">
        <v>39</v>
      </c>
      <c r="F7300" t="s">
        <v>114</v>
      </c>
      <c r="G7300" t="s">
        <v>253</v>
      </c>
      <c r="H7300" t="s">
        <v>243</v>
      </c>
      <c r="I7300">
        <v>17923</v>
      </c>
      <c r="J7300">
        <v>15725</v>
      </c>
    </row>
    <row r="7301" spans="1:10" x14ac:dyDescent="0.3">
      <c r="A7301" t="s">
        <v>7428</v>
      </c>
      <c r="B7301" s="1">
        <v>45721</v>
      </c>
      <c r="C7301" t="s">
        <v>95</v>
      </c>
      <c r="D7301">
        <v>10</v>
      </c>
      <c r="E7301" t="s">
        <v>61</v>
      </c>
      <c r="F7301" t="s">
        <v>75</v>
      </c>
      <c r="G7301" t="s">
        <v>206</v>
      </c>
      <c r="H7301" t="s">
        <v>133</v>
      </c>
      <c r="I7301">
        <v>16358</v>
      </c>
      <c r="J7301">
        <v>19119</v>
      </c>
    </row>
    <row r="7302" spans="1:10" x14ac:dyDescent="0.3">
      <c r="A7302" t="s">
        <v>7429</v>
      </c>
      <c r="B7302" s="1">
        <v>45901</v>
      </c>
      <c r="C7302" t="s">
        <v>38</v>
      </c>
      <c r="D7302">
        <v>36</v>
      </c>
      <c r="E7302" t="s">
        <v>33</v>
      </c>
      <c r="F7302" t="s">
        <v>19</v>
      </c>
      <c r="G7302" t="s">
        <v>118</v>
      </c>
      <c r="H7302" t="s">
        <v>55</v>
      </c>
      <c r="I7302">
        <v>36501</v>
      </c>
      <c r="J7302">
        <v>30743</v>
      </c>
    </row>
    <row r="7303" spans="1:10" x14ac:dyDescent="0.3">
      <c r="A7303" t="s">
        <v>7430</v>
      </c>
      <c r="B7303" s="1">
        <v>45695</v>
      </c>
      <c r="C7303" t="s">
        <v>82</v>
      </c>
      <c r="D7303">
        <v>6</v>
      </c>
      <c r="E7303" t="s">
        <v>24</v>
      </c>
      <c r="F7303" t="s">
        <v>75</v>
      </c>
      <c r="G7303" t="s">
        <v>102</v>
      </c>
      <c r="H7303" t="s">
        <v>116</v>
      </c>
      <c r="I7303">
        <v>33368</v>
      </c>
      <c r="J7303">
        <v>40750</v>
      </c>
    </row>
    <row r="7304" spans="1:10" x14ac:dyDescent="0.3">
      <c r="A7304" t="s">
        <v>7431</v>
      </c>
      <c r="B7304" s="1">
        <v>45851</v>
      </c>
      <c r="C7304" t="s">
        <v>11</v>
      </c>
      <c r="D7304">
        <v>28</v>
      </c>
      <c r="E7304" t="s">
        <v>61</v>
      </c>
      <c r="F7304" t="s">
        <v>122</v>
      </c>
      <c r="G7304" t="s">
        <v>51</v>
      </c>
      <c r="H7304" t="s">
        <v>59</v>
      </c>
      <c r="I7304">
        <v>26657</v>
      </c>
      <c r="J7304">
        <v>24194</v>
      </c>
    </row>
    <row r="7305" spans="1:10" x14ac:dyDescent="0.3">
      <c r="A7305" t="s">
        <v>7432</v>
      </c>
      <c r="B7305" s="1">
        <v>45774</v>
      </c>
      <c r="C7305" t="s">
        <v>86</v>
      </c>
      <c r="D7305">
        <v>17</v>
      </c>
      <c r="E7305" t="s">
        <v>24</v>
      </c>
      <c r="F7305" t="s">
        <v>122</v>
      </c>
      <c r="G7305" t="s">
        <v>58</v>
      </c>
      <c r="H7305" t="s">
        <v>36</v>
      </c>
      <c r="I7305">
        <v>18082</v>
      </c>
      <c r="J7305">
        <v>14599</v>
      </c>
    </row>
    <row r="7306" spans="1:10" x14ac:dyDescent="0.3">
      <c r="A7306" t="s">
        <v>7433</v>
      </c>
      <c r="B7306" s="1">
        <v>45669</v>
      </c>
      <c r="C7306" t="s">
        <v>17</v>
      </c>
      <c r="D7306">
        <v>2</v>
      </c>
      <c r="E7306" t="s">
        <v>12</v>
      </c>
      <c r="F7306" t="s">
        <v>34</v>
      </c>
      <c r="G7306" t="s">
        <v>266</v>
      </c>
      <c r="H7306" t="s">
        <v>163</v>
      </c>
      <c r="I7306">
        <v>21834</v>
      </c>
      <c r="J7306">
        <v>23701</v>
      </c>
    </row>
    <row r="7307" spans="1:10" x14ac:dyDescent="0.3">
      <c r="A7307" t="s">
        <v>7434</v>
      </c>
      <c r="B7307" s="1">
        <v>45684</v>
      </c>
      <c r="C7307" t="s">
        <v>17</v>
      </c>
      <c r="D7307">
        <v>5</v>
      </c>
      <c r="E7307" t="s">
        <v>12</v>
      </c>
      <c r="F7307" t="s">
        <v>46</v>
      </c>
      <c r="G7307" t="s">
        <v>147</v>
      </c>
      <c r="H7307" t="s">
        <v>133</v>
      </c>
      <c r="I7307">
        <v>25954</v>
      </c>
      <c r="J7307">
        <v>18221</v>
      </c>
    </row>
    <row r="7308" spans="1:10" x14ac:dyDescent="0.3">
      <c r="A7308" t="s">
        <v>7435</v>
      </c>
      <c r="B7308" s="1">
        <v>46005</v>
      </c>
      <c r="C7308" t="s">
        <v>100</v>
      </c>
      <c r="D7308">
        <v>50</v>
      </c>
      <c r="E7308" t="s">
        <v>24</v>
      </c>
      <c r="F7308" t="s">
        <v>75</v>
      </c>
      <c r="G7308" t="s">
        <v>240</v>
      </c>
      <c r="H7308" t="s">
        <v>15</v>
      </c>
      <c r="I7308">
        <v>34615</v>
      </c>
      <c r="J7308">
        <v>39054</v>
      </c>
    </row>
    <row r="7309" spans="1:10" x14ac:dyDescent="0.3">
      <c r="A7309" t="s">
        <v>7436</v>
      </c>
      <c r="B7309" s="1">
        <v>45819</v>
      </c>
      <c r="C7309" t="s">
        <v>74</v>
      </c>
      <c r="D7309">
        <v>24</v>
      </c>
      <c r="E7309" t="s">
        <v>70</v>
      </c>
      <c r="F7309" t="s">
        <v>25</v>
      </c>
      <c r="G7309" t="s">
        <v>76</v>
      </c>
      <c r="H7309" t="s">
        <v>64</v>
      </c>
      <c r="I7309">
        <v>25490</v>
      </c>
      <c r="J7309">
        <v>18116</v>
      </c>
    </row>
    <row r="7310" spans="1:10" x14ac:dyDescent="0.3">
      <c r="A7310" t="s">
        <v>7437</v>
      </c>
      <c r="B7310" s="1">
        <v>45938</v>
      </c>
      <c r="C7310" t="s">
        <v>66</v>
      </c>
      <c r="D7310">
        <v>41</v>
      </c>
      <c r="E7310" t="s">
        <v>61</v>
      </c>
      <c r="F7310" t="s">
        <v>57</v>
      </c>
      <c r="G7310" t="s">
        <v>88</v>
      </c>
      <c r="H7310" t="s">
        <v>211</v>
      </c>
      <c r="I7310">
        <v>31743</v>
      </c>
      <c r="J7310">
        <v>35435</v>
      </c>
    </row>
    <row r="7311" spans="1:10" x14ac:dyDescent="0.3">
      <c r="A7311" t="s">
        <v>7438</v>
      </c>
      <c r="B7311" s="1">
        <v>45786</v>
      </c>
      <c r="C7311" t="s">
        <v>90</v>
      </c>
      <c r="D7311">
        <v>19</v>
      </c>
      <c r="E7311" t="s">
        <v>39</v>
      </c>
      <c r="F7311" t="s">
        <v>25</v>
      </c>
      <c r="G7311" t="s">
        <v>88</v>
      </c>
      <c r="H7311" t="s">
        <v>111</v>
      </c>
      <c r="I7311">
        <v>17154</v>
      </c>
      <c r="J7311">
        <v>16932</v>
      </c>
    </row>
    <row r="7312" spans="1:10" x14ac:dyDescent="0.3">
      <c r="A7312" t="s">
        <v>7439</v>
      </c>
      <c r="B7312" s="1">
        <v>45801</v>
      </c>
      <c r="C7312" t="s">
        <v>90</v>
      </c>
      <c r="D7312">
        <v>21</v>
      </c>
      <c r="E7312" t="s">
        <v>61</v>
      </c>
      <c r="F7312" t="s">
        <v>13</v>
      </c>
      <c r="G7312" t="s">
        <v>135</v>
      </c>
      <c r="H7312" t="s">
        <v>98</v>
      </c>
      <c r="I7312">
        <v>37007</v>
      </c>
      <c r="J7312">
        <v>38176</v>
      </c>
    </row>
    <row r="7313" spans="1:10" x14ac:dyDescent="0.3">
      <c r="A7313" t="s">
        <v>7440</v>
      </c>
      <c r="B7313" s="1">
        <v>46011</v>
      </c>
      <c r="C7313" t="s">
        <v>100</v>
      </c>
      <c r="D7313">
        <v>51</v>
      </c>
      <c r="E7313" t="s">
        <v>18</v>
      </c>
      <c r="F7313" t="s">
        <v>101</v>
      </c>
      <c r="G7313" t="s">
        <v>191</v>
      </c>
      <c r="H7313" t="s">
        <v>59</v>
      </c>
      <c r="I7313">
        <v>37149</v>
      </c>
      <c r="J7313">
        <v>30145</v>
      </c>
    </row>
    <row r="7314" spans="1:10" x14ac:dyDescent="0.3">
      <c r="A7314" t="s">
        <v>7441</v>
      </c>
      <c r="B7314" s="1">
        <v>45944</v>
      </c>
      <c r="C7314" t="s">
        <v>66</v>
      </c>
      <c r="D7314">
        <v>42</v>
      </c>
      <c r="E7314" t="s">
        <v>12</v>
      </c>
      <c r="F7314" t="s">
        <v>13</v>
      </c>
      <c r="G7314" t="s">
        <v>115</v>
      </c>
      <c r="H7314" t="s">
        <v>52</v>
      </c>
      <c r="I7314">
        <v>23936</v>
      </c>
      <c r="J7314">
        <v>24952</v>
      </c>
    </row>
    <row r="7315" spans="1:10" x14ac:dyDescent="0.3">
      <c r="A7315" t="s">
        <v>7442</v>
      </c>
      <c r="B7315" s="1">
        <v>45679</v>
      </c>
      <c r="C7315" t="s">
        <v>17</v>
      </c>
      <c r="D7315">
        <v>4</v>
      </c>
      <c r="E7315" t="s">
        <v>18</v>
      </c>
      <c r="F7315" t="s">
        <v>62</v>
      </c>
      <c r="G7315" t="s">
        <v>160</v>
      </c>
      <c r="H7315" t="s">
        <v>111</v>
      </c>
      <c r="I7315">
        <v>15937</v>
      </c>
      <c r="J7315">
        <v>18133</v>
      </c>
    </row>
    <row r="7316" spans="1:10" x14ac:dyDescent="0.3">
      <c r="A7316" t="s">
        <v>7443</v>
      </c>
      <c r="B7316" s="1">
        <v>45892</v>
      </c>
      <c r="C7316" t="s">
        <v>113</v>
      </c>
      <c r="D7316">
        <v>34</v>
      </c>
      <c r="E7316" t="s">
        <v>39</v>
      </c>
      <c r="F7316" t="s">
        <v>43</v>
      </c>
      <c r="G7316" t="s">
        <v>326</v>
      </c>
      <c r="H7316" t="s">
        <v>68</v>
      </c>
      <c r="I7316">
        <v>16516</v>
      </c>
      <c r="J7316">
        <v>18672</v>
      </c>
    </row>
    <row r="7317" spans="1:10" x14ac:dyDescent="0.3">
      <c r="A7317" t="s">
        <v>7444</v>
      </c>
      <c r="B7317" s="1">
        <v>45726</v>
      </c>
      <c r="C7317" t="s">
        <v>95</v>
      </c>
      <c r="D7317">
        <v>11</v>
      </c>
      <c r="E7317" t="s">
        <v>18</v>
      </c>
      <c r="F7317" t="s">
        <v>87</v>
      </c>
      <c r="G7317" t="s">
        <v>224</v>
      </c>
      <c r="H7317" t="s">
        <v>98</v>
      </c>
      <c r="I7317">
        <v>31961</v>
      </c>
      <c r="J7317">
        <v>23750</v>
      </c>
    </row>
    <row r="7318" spans="1:10" x14ac:dyDescent="0.3">
      <c r="A7318" t="s">
        <v>7445</v>
      </c>
      <c r="B7318" s="1">
        <v>45879</v>
      </c>
      <c r="C7318" t="s">
        <v>113</v>
      </c>
      <c r="D7318">
        <v>32</v>
      </c>
      <c r="E7318" t="s">
        <v>24</v>
      </c>
      <c r="F7318" t="s">
        <v>29</v>
      </c>
      <c r="G7318" t="s">
        <v>76</v>
      </c>
      <c r="H7318" t="s">
        <v>119</v>
      </c>
      <c r="I7318">
        <v>26395</v>
      </c>
      <c r="J7318">
        <v>25680</v>
      </c>
    </row>
    <row r="7319" spans="1:10" x14ac:dyDescent="0.3">
      <c r="A7319" t="s">
        <v>7446</v>
      </c>
      <c r="B7319" s="1">
        <v>45895</v>
      </c>
      <c r="C7319" t="s">
        <v>113</v>
      </c>
      <c r="D7319">
        <v>35</v>
      </c>
      <c r="E7319" t="s">
        <v>61</v>
      </c>
      <c r="F7319" t="s">
        <v>87</v>
      </c>
      <c r="G7319" t="s">
        <v>20</v>
      </c>
      <c r="H7319" t="s">
        <v>111</v>
      </c>
      <c r="I7319">
        <v>30297</v>
      </c>
      <c r="J7319">
        <v>33008</v>
      </c>
    </row>
    <row r="7320" spans="1:10" x14ac:dyDescent="0.3">
      <c r="A7320" t="s">
        <v>7447</v>
      </c>
      <c r="B7320" s="1">
        <v>45908</v>
      </c>
      <c r="C7320" t="s">
        <v>38</v>
      </c>
      <c r="D7320">
        <v>37</v>
      </c>
      <c r="E7320" t="s">
        <v>39</v>
      </c>
      <c r="F7320" t="s">
        <v>78</v>
      </c>
      <c r="G7320" t="s">
        <v>88</v>
      </c>
      <c r="H7320" t="s">
        <v>116</v>
      </c>
      <c r="I7320">
        <v>37187</v>
      </c>
      <c r="J7320">
        <v>46815</v>
      </c>
    </row>
    <row r="7321" spans="1:10" x14ac:dyDescent="0.3">
      <c r="A7321" t="s">
        <v>7448</v>
      </c>
      <c r="B7321" s="1">
        <v>45700</v>
      </c>
      <c r="C7321" t="s">
        <v>82</v>
      </c>
      <c r="D7321">
        <v>7</v>
      </c>
      <c r="E7321" t="s">
        <v>39</v>
      </c>
      <c r="F7321" t="s">
        <v>25</v>
      </c>
      <c r="G7321" t="s">
        <v>58</v>
      </c>
      <c r="H7321" t="s">
        <v>96</v>
      </c>
      <c r="I7321">
        <v>28985</v>
      </c>
      <c r="J7321">
        <v>32137</v>
      </c>
    </row>
    <row r="7322" spans="1:10" x14ac:dyDescent="0.3">
      <c r="A7322" t="s">
        <v>7449</v>
      </c>
      <c r="B7322" s="1">
        <v>45665</v>
      </c>
      <c r="C7322" t="s">
        <v>17</v>
      </c>
      <c r="D7322">
        <v>2</v>
      </c>
      <c r="E7322" t="s">
        <v>61</v>
      </c>
      <c r="F7322" t="s">
        <v>25</v>
      </c>
      <c r="G7322" t="s">
        <v>253</v>
      </c>
      <c r="H7322" t="s">
        <v>157</v>
      </c>
      <c r="I7322">
        <v>38798</v>
      </c>
      <c r="J7322">
        <v>37179</v>
      </c>
    </row>
    <row r="7323" spans="1:10" x14ac:dyDescent="0.3">
      <c r="A7323" t="s">
        <v>7450</v>
      </c>
      <c r="B7323" s="1">
        <v>45752</v>
      </c>
      <c r="C7323" t="s">
        <v>86</v>
      </c>
      <c r="D7323">
        <v>14</v>
      </c>
      <c r="E7323" t="s">
        <v>12</v>
      </c>
      <c r="F7323" t="s">
        <v>140</v>
      </c>
      <c r="G7323" t="s">
        <v>35</v>
      </c>
      <c r="H7323" t="s">
        <v>157</v>
      </c>
      <c r="I7323">
        <v>27652</v>
      </c>
      <c r="J7323">
        <v>32134</v>
      </c>
    </row>
    <row r="7324" spans="1:10" x14ac:dyDescent="0.3">
      <c r="A7324" t="s">
        <v>7451</v>
      </c>
      <c r="B7324" s="1">
        <v>45671</v>
      </c>
      <c r="C7324" t="s">
        <v>17</v>
      </c>
      <c r="D7324">
        <v>3</v>
      </c>
      <c r="E7324" t="s">
        <v>12</v>
      </c>
      <c r="F7324" t="s">
        <v>109</v>
      </c>
      <c r="G7324" t="s">
        <v>44</v>
      </c>
      <c r="H7324" t="s">
        <v>27</v>
      </c>
      <c r="I7324">
        <v>34716</v>
      </c>
      <c r="J7324">
        <v>32287</v>
      </c>
    </row>
    <row r="7325" spans="1:10" x14ac:dyDescent="0.3">
      <c r="A7325" t="s">
        <v>7452</v>
      </c>
      <c r="B7325" s="1">
        <v>45727</v>
      </c>
      <c r="C7325" t="s">
        <v>95</v>
      </c>
      <c r="D7325">
        <v>11</v>
      </c>
      <c r="E7325" t="s">
        <v>12</v>
      </c>
      <c r="F7325" t="s">
        <v>62</v>
      </c>
      <c r="G7325" t="s">
        <v>149</v>
      </c>
      <c r="H7325" t="s">
        <v>116</v>
      </c>
      <c r="I7325">
        <v>28855</v>
      </c>
      <c r="J7325">
        <v>30784</v>
      </c>
    </row>
    <row r="7326" spans="1:10" x14ac:dyDescent="0.3">
      <c r="A7326" t="s">
        <v>7453</v>
      </c>
      <c r="B7326" s="1">
        <v>45848</v>
      </c>
      <c r="C7326" t="s">
        <v>11</v>
      </c>
      <c r="D7326">
        <v>28</v>
      </c>
      <c r="E7326" t="s">
        <v>12</v>
      </c>
      <c r="F7326" t="s">
        <v>57</v>
      </c>
      <c r="G7326" t="s">
        <v>234</v>
      </c>
      <c r="H7326" t="s">
        <v>48</v>
      </c>
      <c r="I7326">
        <v>33201</v>
      </c>
      <c r="J7326">
        <v>34961</v>
      </c>
    </row>
    <row r="7327" spans="1:10" x14ac:dyDescent="0.3">
      <c r="A7327" t="s">
        <v>7454</v>
      </c>
      <c r="B7327" s="1">
        <v>45873</v>
      </c>
      <c r="C7327" t="s">
        <v>113</v>
      </c>
      <c r="D7327">
        <v>32</v>
      </c>
      <c r="E7327" t="s">
        <v>39</v>
      </c>
      <c r="F7327" t="s">
        <v>25</v>
      </c>
      <c r="G7327" t="s">
        <v>79</v>
      </c>
      <c r="H7327" t="s">
        <v>96</v>
      </c>
      <c r="I7327">
        <v>22112</v>
      </c>
      <c r="J7327">
        <v>24683</v>
      </c>
    </row>
    <row r="7328" spans="1:10" x14ac:dyDescent="0.3">
      <c r="A7328" t="s">
        <v>7455</v>
      </c>
      <c r="B7328" s="1">
        <v>45848</v>
      </c>
      <c r="C7328" t="s">
        <v>11</v>
      </c>
      <c r="D7328">
        <v>28</v>
      </c>
      <c r="E7328" t="s">
        <v>24</v>
      </c>
      <c r="F7328" t="s">
        <v>25</v>
      </c>
      <c r="G7328" t="s">
        <v>132</v>
      </c>
      <c r="H7328" t="s">
        <v>119</v>
      </c>
      <c r="I7328">
        <v>34763</v>
      </c>
      <c r="J7328">
        <v>28700</v>
      </c>
    </row>
    <row r="7329" spans="1:10" x14ac:dyDescent="0.3">
      <c r="A7329" t="s">
        <v>7456</v>
      </c>
      <c r="B7329" s="1">
        <v>45723</v>
      </c>
      <c r="C7329" t="s">
        <v>95</v>
      </c>
      <c r="D7329">
        <v>10</v>
      </c>
      <c r="E7329" t="s">
        <v>70</v>
      </c>
      <c r="F7329" t="s">
        <v>50</v>
      </c>
      <c r="G7329" t="s">
        <v>224</v>
      </c>
      <c r="H7329" t="s">
        <v>165</v>
      </c>
      <c r="I7329">
        <v>20151</v>
      </c>
      <c r="J7329">
        <v>21912</v>
      </c>
    </row>
    <row r="7330" spans="1:10" x14ac:dyDescent="0.3">
      <c r="A7330" t="s">
        <v>7457</v>
      </c>
      <c r="B7330" s="1">
        <v>45884</v>
      </c>
      <c r="C7330" t="s">
        <v>113</v>
      </c>
      <c r="D7330">
        <v>33</v>
      </c>
      <c r="E7330" t="s">
        <v>12</v>
      </c>
      <c r="F7330" t="s">
        <v>62</v>
      </c>
      <c r="G7330" t="s">
        <v>171</v>
      </c>
      <c r="H7330" t="s">
        <v>59</v>
      </c>
      <c r="I7330">
        <v>16245</v>
      </c>
      <c r="J7330">
        <v>12007</v>
      </c>
    </row>
    <row r="7331" spans="1:10" x14ac:dyDescent="0.3">
      <c r="A7331" t="s">
        <v>7458</v>
      </c>
      <c r="B7331" s="1">
        <v>45671</v>
      </c>
      <c r="C7331" t="s">
        <v>17</v>
      </c>
      <c r="D7331">
        <v>3</v>
      </c>
      <c r="E7331" t="s">
        <v>39</v>
      </c>
      <c r="F7331" t="s">
        <v>78</v>
      </c>
      <c r="G7331" t="s">
        <v>137</v>
      </c>
      <c r="H7331" t="s">
        <v>84</v>
      </c>
      <c r="I7331">
        <v>38957</v>
      </c>
      <c r="J7331">
        <v>41011</v>
      </c>
    </row>
    <row r="7332" spans="1:10" x14ac:dyDescent="0.3">
      <c r="A7332" t="s">
        <v>7459</v>
      </c>
      <c r="B7332" s="1">
        <v>45919</v>
      </c>
      <c r="C7332" t="s">
        <v>38</v>
      </c>
      <c r="D7332">
        <v>38</v>
      </c>
      <c r="E7332" t="s">
        <v>12</v>
      </c>
      <c r="F7332" t="s">
        <v>57</v>
      </c>
      <c r="G7332" t="s">
        <v>67</v>
      </c>
      <c r="H7332" t="s">
        <v>119</v>
      </c>
      <c r="I7332">
        <v>37185</v>
      </c>
      <c r="J7332">
        <v>32342</v>
      </c>
    </row>
    <row r="7333" spans="1:10" x14ac:dyDescent="0.3">
      <c r="A7333" t="s">
        <v>7460</v>
      </c>
      <c r="B7333" s="1">
        <v>45759</v>
      </c>
      <c r="C7333" t="s">
        <v>86</v>
      </c>
      <c r="D7333">
        <v>15</v>
      </c>
      <c r="E7333" t="s">
        <v>24</v>
      </c>
      <c r="F7333" t="s">
        <v>109</v>
      </c>
      <c r="G7333" t="s">
        <v>58</v>
      </c>
      <c r="H7333" t="s">
        <v>123</v>
      </c>
      <c r="I7333">
        <v>31178</v>
      </c>
      <c r="J7333">
        <v>31673</v>
      </c>
    </row>
    <row r="7334" spans="1:10" x14ac:dyDescent="0.3">
      <c r="A7334" t="s">
        <v>7461</v>
      </c>
      <c r="B7334" s="1">
        <v>45853</v>
      </c>
      <c r="C7334" t="s">
        <v>11</v>
      </c>
      <c r="D7334">
        <v>29</v>
      </c>
      <c r="E7334" t="s">
        <v>12</v>
      </c>
      <c r="F7334" t="s">
        <v>122</v>
      </c>
      <c r="G7334" t="s">
        <v>83</v>
      </c>
      <c r="H7334" t="s">
        <v>21</v>
      </c>
      <c r="I7334">
        <v>25053</v>
      </c>
      <c r="J7334">
        <v>19046</v>
      </c>
    </row>
    <row r="7335" spans="1:10" x14ac:dyDescent="0.3">
      <c r="A7335" t="s">
        <v>7462</v>
      </c>
      <c r="B7335" s="1">
        <v>45709</v>
      </c>
      <c r="C7335" t="s">
        <v>82</v>
      </c>
      <c r="D7335">
        <v>8</v>
      </c>
      <c r="E7335" t="s">
        <v>70</v>
      </c>
      <c r="F7335" t="s">
        <v>43</v>
      </c>
      <c r="G7335" t="s">
        <v>102</v>
      </c>
      <c r="H7335" t="s">
        <v>151</v>
      </c>
      <c r="I7335">
        <v>36184</v>
      </c>
      <c r="J7335">
        <v>41278</v>
      </c>
    </row>
    <row r="7336" spans="1:10" x14ac:dyDescent="0.3">
      <c r="A7336" t="s">
        <v>7463</v>
      </c>
      <c r="B7336" s="1">
        <v>45961</v>
      </c>
      <c r="C7336" t="s">
        <v>66</v>
      </c>
      <c r="D7336">
        <v>44</v>
      </c>
      <c r="E7336" t="s">
        <v>33</v>
      </c>
      <c r="F7336" t="s">
        <v>92</v>
      </c>
      <c r="G7336" t="s">
        <v>132</v>
      </c>
      <c r="H7336" t="s">
        <v>36</v>
      </c>
      <c r="I7336">
        <v>21386</v>
      </c>
      <c r="J7336">
        <v>25714</v>
      </c>
    </row>
    <row r="7337" spans="1:10" x14ac:dyDescent="0.3">
      <c r="A7337" t="s">
        <v>7464</v>
      </c>
      <c r="B7337" s="1">
        <v>45738</v>
      </c>
      <c r="C7337" t="s">
        <v>95</v>
      </c>
      <c r="D7337">
        <v>12</v>
      </c>
      <c r="E7337" t="s">
        <v>12</v>
      </c>
      <c r="F7337" t="s">
        <v>78</v>
      </c>
      <c r="G7337" t="s">
        <v>291</v>
      </c>
      <c r="H7337" t="s">
        <v>111</v>
      </c>
      <c r="I7337">
        <v>37492</v>
      </c>
      <c r="J7337">
        <v>34517</v>
      </c>
    </row>
    <row r="7338" spans="1:10" x14ac:dyDescent="0.3">
      <c r="A7338" t="s">
        <v>7465</v>
      </c>
      <c r="B7338" s="1">
        <v>45881</v>
      </c>
      <c r="C7338" t="s">
        <v>113</v>
      </c>
      <c r="D7338">
        <v>33</v>
      </c>
      <c r="E7338" t="s">
        <v>24</v>
      </c>
      <c r="F7338" t="s">
        <v>19</v>
      </c>
      <c r="G7338" t="s">
        <v>199</v>
      </c>
      <c r="H7338" t="s">
        <v>163</v>
      </c>
      <c r="I7338">
        <v>34888</v>
      </c>
      <c r="J7338">
        <v>32920</v>
      </c>
    </row>
    <row r="7339" spans="1:10" x14ac:dyDescent="0.3">
      <c r="A7339" t="s">
        <v>7466</v>
      </c>
      <c r="B7339" s="1">
        <v>45720</v>
      </c>
      <c r="C7339" t="s">
        <v>95</v>
      </c>
      <c r="D7339">
        <v>10</v>
      </c>
      <c r="E7339" t="s">
        <v>61</v>
      </c>
      <c r="F7339" t="s">
        <v>87</v>
      </c>
      <c r="G7339" t="s">
        <v>83</v>
      </c>
      <c r="H7339" t="s">
        <v>36</v>
      </c>
      <c r="I7339">
        <v>29764</v>
      </c>
      <c r="J7339">
        <v>37461</v>
      </c>
    </row>
    <row r="7340" spans="1:10" x14ac:dyDescent="0.3">
      <c r="A7340" t="s">
        <v>7467</v>
      </c>
      <c r="B7340" s="1">
        <v>45994</v>
      </c>
      <c r="C7340" t="s">
        <v>100</v>
      </c>
      <c r="D7340">
        <v>49</v>
      </c>
      <c r="E7340" t="s">
        <v>70</v>
      </c>
      <c r="F7340" t="s">
        <v>62</v>
      </c>
      <c r="G7340" t="s">
        <v>118</v>
      </c>
      <c r="H7340" t="s">
        <v>119</v>
      </c>
      <c r="I7340">
        <v>36902</v>
      </c>
      <c r="J7340">
        <v>38885</v>
      </c>
    </row>
    <row r="7341" spans="1:10" x14ac:dyDescent="0.3">
      <c r="A7341" t="s">
        <v>7468</v>
      </c>
      <c r="B7341" s="1">
        <v>45687</v>
      </c>
      <c r="C7341" t="s">
        <v>17</v>
      </c>
      <c r="D7341">
        <v>5</v>
      </c>
      <c r="E7341" t="s">
        <v>39</v>
      </c>
      <c r="F7341" t="s">
        <v>109</v>
      </c>
      <c r="G7341" t="s">
        <v>141</v>
      </c>
      <c r="H7341" t="s">
        <v>243</v>
      </c>
      <c r="I7341">
        <v>34224</v>
      </c>
      <c r="J7341">
        <v>35577</v>
      </c>
    </row>
    <row r="7342" spans="1:10" x14ac:dyDescent="0.3">
      <c r="A7342" t="s">
        <v>7469</v>
      </c>
      <c r="B7342" s="1">
        <v>45842</v>
      </c>
      <c r="C7342" t="s">
        <v>11</v>
      </c>
      <c r="D7342">
        <v>27</v>
      </c>
      <c r="E7342" t="s">
        <v>33</v>
      </c>
      <c r="F7342" t="s">
        <v>193</v>
      </c>
      <c r="G7342" t="s">
        <v>118</v>
      </c>
      <c r="H7342" t="s">
        <v>84</v>
      </c>
      <c r="I7342">
        <v>39942</v>
      </c>
      <c r="J7342">
        <v>31789</v>
      </c>
    </row>
    <row r="7343" spans="1:10" x14ac:dyDescent="0.3">
      <c r="A7343" t="s">
        <v>7470</v>
      </c>
      <c r="B7343" s="1">
        <v>45715</v>
      </c>
      <c r="C7343" t="s">
        <v>82</v>
      </c>
      <c r="D7343">
        <v>9</v>
      </c>
      <c r="E7343" t="s">
        <v>18</v>
      </c>
      <c r="F7343" t="s">
        <v>87</v>
      </c>
      <c r="G7343" t="s">
        <v>253</v>
      </c>
      <c r="H7343" t="s">
        <v>155</v>
      </c>
      <c r="I7343">
        <v>15952</v>
      </c>
      <c r="J7343">
        <v>11704</v>
      </c>
    </row>
    <row r="7344" spans="1:10" x14ac:dyDescent="0.3">
      <c r="A7344" t="s">
        <v>7471</v>
      </c>
      <c r="B7344" s="1">
        <v>45839</v>
      </c>
      <c r="C7344" t="s">
        <v>11</v>
      </c>
      <c r="D7344">
        <v>27</v>
      </c>
      <c r="E7344" t="s">
        <v>39</v>
      </c>
      <c r="F7344" t="s">
        <v>78</v>
      </c>
      <c r="G7344" t="s">
        <v>230</v>
      </c>
      <c r="H7344" t="s">
        <v>123</v>
      </c>
      <c r="I7344">
        <v>39034</v>
      </c>
      <c r="J7344">
        <v>27625</v>
      </c>
    </row>
    <row r="7345" spans="1:10" x14ac:dyDescent="0.3">
      <c r="A7345" t="s">
        <v>7472</v>
      </c>
      <c r="B7345" s="1">
        <v>45870</v>
      </c>
      <c r="C7345" t="s">
        <v>113</v>
      </c>
      <c r="D7345">
        <v>31</v>
      </c>
      <c r="E7345" t="s">
        <v>61</v>
      </c>
      <c r="F7345" t="s">
        <v>109</v>
      </c>
      <c r="G7345" t="s">
        <v>191</v>
      </c>
      <c r="H7345" t="s">
        <v>243</v>
      </c>
      <c r="I7345">
        <v>30271</v>
      </c>
      <c r="J7345">
        <v>30128</v>
      </c>
    </row>
    <row r="7346" spans="1:10" x14ac:dyDescent="0.3">
      <c r="A7346" t="s">
        <v>7473</v>
      </c>
      <c r="B7346" s="1">
        <v>45678</v>
      </c>
      <c r="C7346" t="s">
        <v>17</v>
      </c>
      <c r="D7346">
        <v>4</v>
      </c>
      <c r="E7346" t="s">
        <v>39</v>
      </c>
      <c r="F7346" t="s">
        <v>62</v>
      </c>
      <c r="G7346" t="s">
        <v>132</v>
      </c>
      <c r="H7346" t="s">
        <v>119</v>
      </c>
      <c r="I7346">
        <v>37883</v>
      </c>
      <c r="J7346">
        <v>33537</v>
      </c>
    </row>
    <row r="7347" spans="1:10" x14ac:dyDescent="0.3">
      <c r="A7347" t="s">
        <v>7474</v>
      </c>
      <c r="B7347" s="1">
        <v>45899</v>
      </c>
      <c r="C7347" t="s">
        <v>113</v>
      </c>
      <c r="D7347">
        <v>35</v>
      </c>
      <c r="E7347" t="s">
        <v>70</v>
      </c>
      <c r="F7347" t="s">
        <v>13</v>
      </c>
      <c r="G7347" t="s">
        <v>326</v>
      </c>
      <c r="H7347" t="s">
        <v>64</v>
      </c>
      <c r="I7347">
        <v>18773</v>
      </c>
      <c r="J7347">
        <v>14747</v>
      </c>
    </row>
    <row r="7348" spans="1:10" x14ac:dyDescent="0.3">
      <c r="A7348" t="s">
        <v>7475</v>
      </c>
      <c r="B7348" s="1">
        <v>45974</v>
      </c>
      <c r="C7348" t="s">
        <v>23</v>
      </c>
      <c r="D7348">
        <v>46</v>
      </c>
      <c r="E7348" t="s">
        <v>70</v>
      </c>
      <c r="F7348" t="s">
        <v>19</v>
      </c>
      <c r="G7348" t="s">
        <v>20</v>
      </c>
      <c r="H7348" t="s">
        <v>155</v>
      </c>
      <c r="I7348">
        <v>34598</v>
      </c>
      <c r="J7348">
        <v>26500</v>
      </c>
    </row>
    <row r="7349" spans="1:10" x14ac:dyDescent="0.3">
      <c r="A7349" t="s">
        <v>7476</v>
      </c>
      <c r="B7349" s="1">
        <v>45970</v>
      </c>
      <c r="C7349" t="s">
        <v>23</v>
      </c>
      <c r="D7349">
        <v>45</v>
      </c>
      <c r="E7349" t="s">
        <v>61</v>
      </c>
      <c r="F7349" t="s">
        <v>78</v>
      </c>
      <c r="G7349" t="s">
        <v>199</v>
      </c>
      <c r="H7349" t="s">
        <v>55</v>
      </c>
      <c r="I7349">
        <v>25646</v>
      </c>
      <c r="J7349">
        <v>18710</v>
      </c>
    </row>
    <row r="7350" spans="1:10" x14ac:dyDescent="0.3">
      <c r="A7350" t="s">
        <v>7477</v>
      </c>
      <c r="B7350" s="1">
        <v>45794</v>
      </c>
      <c r="C7350" t="s">
        <v>90</v>
      </c>
      <c r="D7350">
        <v>20</v>
      </c>
      <c r="E7350" t="s">
        <v>12</v>
      </c>
      <c r="F7350" t="s">
        <v>87</v>
      </c>
      <c r="G7350" t="s">
        <v>135</v>
      </c>
      <c r="H7350" t="s">
        <v>188</v>
      </c>
      <c r="I7350">
        <v>33678</v>
      </c>
      <c r="J7350">
        <v>23865</v>
      </c>
    </row>
    <row r="7351" spans="1:10" x14ac:dyDescent="0.3">
      <c r="A7351" t="s">
        <v>7478</v>
      </c>
      <c r="B7351" s="1">
        <v>45995</v>
      </c>
      <c r="C7351" t="s">
        <v>100</v>
      </c>
      <c r="D7351">
        <v>49</v>
      </c>
      <c r="E7351" t="s">
        <v>12</v>
      </c>
      <c r="F7351" t="s">
        <v>62</v>
      </c>
      <c r="G7351" t="s">
        <v>130</v>
      </c>
      <c r="H7351" t="s">
        <v>157</v>
      </c>
      <c r="I7351">
        <v>15044</v>
      </c>
      <c r="J7351">
        <v>12917</v>
      </c>
    </row>
    <row r="7352" spans="1:10" x14ac:dyDescent="0.3">
      <c r="A7352" t="s">
        <v>7479</v>
      </c>
      <c r="B7352" s="1">
        <v>45671</v>
      </c>
      <c r="C7352" t="s">
        <v>17</v>
      </c>
      <c r="D7352">
        <v>3</v>
      </c>
      <c r="E7352" t="s">
        <v>33</v>
      </c>
      <c r="F7352" t="s">
        <v>122</v>
      </c>
      <c r="G7352" t="s">
        <v>26</v>
      </c>
      <c r="H7352" t="s">
        <v>21</v>
      </c>
      <c r="I7352">
        <v>19273</v>
      </c>
      <c r="J7352">
        <v>23150</v>
      </c>
    </row>
    <row r="7353" spans="1:10" x14ac:dyDescent="0.3">
      <c r="A7353" t="s">
        <v>7480</v>
      </c>
      <c r="B7353" s="1">
        <v>45748</v>
      </c>
      <c r="C7353" t="s">
        <v>86</v>
      </c>
      <c r="D7353">
        <v>14</v>
      </c>
      <c r="E7353" t="s">
        <v>61</v>
      </c>
      <c r="F7353" t="s">
        <v>87</v>
      </c>
      <c r="G7353" t="s">
        <v>145</v>
      </c>
      <c r="H7353" t="s">
        <v>163</v>
      </c>
      <c r="I7353">
        <v>31925</v>
      </c>
      <c r="J7353">
        <v>37590</v>
      </c>
    </row>
    <row r="7354" spans="1:10" x14ac:dyDescent="0.3">
      <c r="A7354" t="s">
        <v>7481</v>
      </c>
      <c r="B7354" s="1">
        <v>45875</v>
      </c>
      <c r="C7354" t="s">
        <v>113</v>
      </c>
      <c r="D7354">
        <v>32</v>
      </c>
      <c r="E7354" t="s">
        <v>61</v>
      </c>
      <c r="F7354" t="s">
        <v>92</v>
      </c>
      <c r="G7354" t="s">
        <v>201</v>
      </c>
      <c r="H7354" t="s">
        <v>188</v>
      </c>
      <c r="I7354">
        <v>35822</v>
      </c>
      <c r="J7354">
        <v>29958</v>
      </c>
    </row>
    <row r="7355" spans="1:10" x14ac:dyDescent="0.3">
      <c r="A7355" t="s">
        <v>7482</v>
      </c>
      <c r="B7355" s="1">
        <v>46008</v>
      </c>
      <c r="C7355" t="s">
        <v>100</v>
      </c>
      <c r="D7355">
        <v>51</v>
      </c>
      <c r="E7355" t="s">
        <v>70</v>
      </c>
      <c r="F7355" t="s">
        <v>114</v>
      </c>
      <c r="G7355" t="s">
        <v>110</v>
      </c>
      <c r="H7355" t="s">
        <v>165</v>
      </c>
      <c r="I7355">
        <v>34482</v>
      </c>
      <c r="J7355">
        <v>33682</v>
      </c>
    </row>
    <row r="7356" spans="1:10" x14ac:dyDescent="0.3">
      <c r="A7356" t="s">
        <v>7483</v>
      </c>
      <c r="B7356" s="1">
        <v>46013</v>
      </c>
      <c r="C7356" t="s">
        <v>100</v>
      </c>
      <c r="D7356">
        <v>52</v>
      </c>
      <c r="E7356" t="s">
        <v>39</v>
      </c>
      <c r="F7356" t="s">
        <v>114</v>
      </c>
      <c r="G7356" t="s">
        <v>199</v>
      </c>
      <c r="H7356" t="s">
        <v>31</v>
      </c>
      <c r="I7356">
        <v>32554</v>
      </c>
      <c r="J7356">
        <v>25150</v>
      </c>
    </row>
    <row r="7357" spans="1:10" x14ac:dyDescent="0.3">
      <c r="A7357" t="s">
        <v>7484</v>
      </c>
      <c r="B7357" s="1">
        <v>45903</v>
      </c>
      <c r="C7357" t="s">
        <v>38</v>
      </c>
      <c r="D7357">
        <v>36</v>
      </c>
      <c r="E7357" t="s">
        <v>70</v>
      </c>
      <c r="F7357" t="s">
        <v>57</v>
      </c>
      <c r="G7357" t="s">
        <v>102</v>
      </c>
      <c r="H7357" t="s">
        <v>15</v>
      </c>
      <c r="I7357">
        <v>35169</v>
      </c>
      <c r="J7357">
        <v>39182</v>
      </c>
    </row>
    <row r="7358" spans="1:10" x14ac:dyDescent="0.3">
      <c r="A7358" t="s">
        <v>7485</v>
      </c>
      <c r="B7358" s="1">
        <v>45787</v>
      </c>
      <c r="C7358" t="s">
        <v>90</v>
      </c>
      <c r="D7358">
        <v>19</v>
      </c>
      <c r="E7358" t="s">
        <v>33</v>
      </c>
      <c r="F7358" t="s">
        <v>92</v>
      </c>
      <c r="G7358" t="s">
        <v>266</v>
      </c>
      <c r="H7358" t="s">
        <v>133</v>
      </c>
      <c r="I7358">
        <v>18588</v>
      </c>
      <c r="J7358">
        <v>20840</v>
      </c>
    </row>
    <row r="7359" spans="1:10" x14ac:dyDescent="0.3">
      <c r="A7359" t="s">
        <v>7486</v>
      </c>
      <c r="B7359" s="1">
        <v>45889</v>
      </c>
      <c r="C7359" t="s">
        <v>113</v>
      </c>
      <c r="D7359">
        <v>34</v>
      </c>
      <c r="E7359" t="s">
        <v>33</v>
      </c>
      <c r="F7359" t="s">
        <v>43</v>
      </c>
      <c r="G7359" t="s">
        <v>126</v>
      </c>
      <c r="H7359" t="s">
        <v>155</v>
      </c>
      <c r="I7359">
        <v>29625</v>
      </c>
      <c r="J7359">
        <v>24988</v>
      </c>
    </row>
    <row r="7360" spans="1:10" x14ac:dyDescent="0.3">
      <c r="A7360" t="s">
        <v>7487</v>
      </c>
      <c r="B7360" s="1">
        <v>45830</v>
      </c>
      <c r="C7360" t="s">
        <v>74</v>
      </c>
      <c r="D7360">
        <v>25</v>
      </c>
      <c r="E7360" t="s">
        <v>70</v>
      </c>
      <c r="F7360" t="s">
        <v>46</v>
      </c>
      <c r="G7360" t="s">
        <v>40</v>
      </c>
      <c r="H7360" t="s">
        <v>48</v>
      </c>
      <c r="I7360">
        <v>38336</v>
      </c>
      <c r="J7360">
        <v>42285</v>
      </c>
    </row>
    <row r="7361" spans="1:10" x14ac:dyDescent="0.3">
      <c r="A7361" t="s">
        <v>7488</v>
      </c>
      <c r="B7361" s="1">
        <v>45792</v>
      </c>
      <c r="C7361" t="s">
        <v>90</v>
      </c>
      <c r="D7361">
        <v>20</v>
      </c>
      <c r="E7361" t="s">
        <v>24</v>
      </c>
      <c r="F7361" t="s">
        <v>46</v>
      </c>
      <c r="G7361" t="s">
        <v>102</v>
      </c>
      <c r="H7361" t="s">
        <v>68</v>
      </c>
      <c r="I7361">
        <v>18840</v>
      </c>
      <c r="J7361">
        <v>13557</v>
      </c>
    </row>
    <row r="7362" spans="1:10" x14ac:dyDescent="0.3">
      <c r="A7362" t="s">
        <v>7489</v>
      </c>
      <c r="B7362" s="1">
        <v>45889</v>
      </c>
      <c r="C7362" t="s">
        <v>113</v>
      </c>
      <c r="D7362">
        <v>34</v>
      </c>
      <c r="E7362" t="s">
        <v>61</v>
      </c>
      <c r="F7362" t="s">
        <v>13</v>
      </c>
      <c r="G7362" t="s">
        <v>147</v>
      </c>
      <c r="H7362" t="s">
        <v>52</v>
      </c>
      <c r="I7362">
        <v>28203</v>
      </c>
      <c r="J7362">
        <v>20683</v>
      </c>
    </row>
    <row r="7363" spans="1:10" x14ac:dyDescent="0.3">
      <c r="A7363" t="s">
        <v>7490</v>
      </c>
      <c r="B7363" s="1">
        <v>45693</v>
      </c>
      <c r="C7363" t="s">
        <v>82</v>
      </c>
      <c r="D7363">
        <v>6</v>
      </c>
      <c r="E7363" t="s">
        <v>39</v>
      </c>
      <c r="F7363" t="s">
        <v>122</v>
      </c>
      <c r="G7363" t="s">
        <v>88</v>
      </c>
      <c r="H7363" t="s">
        <v>80</v>
      </c>
      <c r="I7363">
        <v>27908</v>
      </c>
      <c r="J7363">
        <v>30963</v>
      </c>
    </row>
    <row r="7364" spans="1:10" x14ac:dyDescent="0.3">
      <c r="A7364" t="s">
        <v>7491</v>
      </c>
      <c r="B7364" s="1">
        <v>45774</v>
      </c>
      <c r="C7364" t="s">
        <v>86</v>
      </c>
      <c r="D7364">
        <v>17</v>
      </c>
      <c r="E7364" t="s">
        <v>12</v>
      </c>
      <c r="F7364" t="s">
        <v>34</v>
      </c>
      <c r="G7364" t="s">
        <v>40</v>
      </c>
      <c r="H7364" t="s">
        <v>243</v>
      </c>
      <c r="I7364">
        <v>27314</v>
      </c>
      <c r="J7364">
        <v>29263</v>
      </c>
    </row>
    <row r="7365" spans="1:10" x14ac:dyDescent="0.3">
      <c r="A7365" t="s">
        <v>7492</v>
      </c>
      <c r="B7365" s="1">
        <v>45721</v>
      </c>
      <c r="C7365" t="s">
        <v>95</v>
      </c>
      <c r="D7365">
        <v>10</v>
      </c>
      <c r="E7365" t="s">
        <v>12</v>
      </c>
      <c r="F7365" t="s">
        <v>25</v>
      </c>
      <c r="G7365" t="s">
        <v>58</v>
      </c>
      <c r="H7365" t="s">
        <v>31</v>
      </c>
      <c r="I7365">
        <v>18755</v>
      </c>
      <c r="J7365">
        <v>13845</v>
      </c>
    </row>
    <row r="7366" spans="1:10" x14ac:dyDescent="0.3">
      <c r="A7366" t="s">
        <v>7493</v>
      </c>
      <c r="B7366" s="1">
        <v>45997</v>
      </c>
      <c r="C7366" t="s">
        <v>100</v>
      </c>
      <c r="D7366">
        <v>49</v>
      </c>
      <c r="E7366" t="s">
        <v>61</v>
      </c>
      <c r="F7366" t="s">
        <v>25</v>
      </c>
      <c r="G7366" t="s">
        <v>224</v>
      </c>
      <c r="H7366" t="s">
        <v>15</v>
      </c>
      <c r="I7366">
        <v>30714</v>
      </c>
      <c r="J7366">
        <v>31019</v>
      </c>
    </row>
    <row r="7367" spans="1:10" x14ac:dyDescent="0.3">
      <c r="A7367" t="s">
        <v>7494</v>
      </c>
      <c r="B7367" s="1">
        <v>45856</v>
      </c>
      <c r="C7367" t="s">
        <v>11</v>
      </c>
      <c r="D7367">
        <v>29</v>
      </c>
      <c r="E7367" t="s">
        <v>70</v>
      </c>
      <c r="F7367" t="s">
        <v>13</v>
      </c>
      <c r="G7367" t="s">
        <v>132</v>
      </c>
      <c r="H7367" t="s">
        <v>123</v>
      </c>
      <c r="I7367">
        <v>27981</v>
      </c>
      <c r="J7367">
        <v>23818</v>
      </c>
    </row>
    <row r="7368" spans="1:10" x14ac:dyDescent="0.3">
      <c r="A7368" t="s">
        <v>7495</v>
      </c>
      <c r="B7368" s="1">
        <v>45731</v>
      </c>
      <c r="C7368" t="s">
        <v>95</v>
      </c>
      <c r="D7368">
        <v>11</v>
      </c>
      <c r="E7368" t="s">
        <v>24</v>
      </c>
      <c r="F7368" t="s">
        <v>140</v>
      </c>
      <c r="G7368" t="s">
        <v>79</v>
      </c>
      <c r="H7368" t="s">
        <v>163</v>
      </c>
      <c r="I7368">
        <v>17187</v>
      </c>
      <c r="J7368">
        <v>18657</v>
      </c>
    </row>
    <row r="7369" spans="1:10" x14ac:dyDescent="0.3">
      <c r="A7369" t="s">
        <v>7496</v>
      </c>
      <c r="B7369" s="1">
        <v>45940</v>
      </c>
      <c r="C7369" t="s">
        <v>66</v>
      </c>
      <c r="D7369">
        <v>41</v>
      </c>
      <c r="E7369" t="s">
        <v>70</v>
      </c>
      <c r="F7369" t="s">
        <v>57</v>
      </c>
      <c r="G7369" t="s">
        <v>240</v>
      </c>
      <c r="H7369" t="s">
        <v>84</v>
      </c>
      <c r="I7369">
        <v>18647</v>
      </c>
      <c r="J7369">
        <v>22576</v>
      </c>
    </row>
    <row r="7370" spans="1:10" x14ac:dyDescent="0.3">
      <c r="A7370" t="s">
        <v>7497</v>
      </c>
      <c r="B7370" s="1">
        <v>45908</v>
      </c>
      <c r="C7370" t="s">
        <v>38</v>
      </c>
      <c r="D7370">
        <v>37</v>
      </c>
      <c r="E7370" t="s">
        <v>12</v>
      </c>
      <c r="F7370" t="s">
        <v>34</v>
      </c>
      <c r="G7370" t="s">
        <v>135</v>
      </c>
      <c r="H7370" t="s">
        <v>41</v>
      </c>
      <c r="I7370">
        <v>15518</v>
      </c>
      <c r="J7370">
        <v>17290</v>
      </c>
    </row>
    <row r="7371" spans="1:10" x14ac:dyDescent="0.3">
      <c r="A7371" t="s">
        <v>7498</v>
      </c>
      <c r="B7371" s="1">
        <v>45867</v>
      </c>
      <c r="C7371" t="s">
        <v>11</v>
      </c>
      <c r="D7371">
        <v>31</v>
      </c>
      <c r="E7371" t="s">
        <v>33</v>
      </c>
      <c r="F7371" t="s">
        <v>46</v>
      </c>
      <c r="G7371" t="s">
        <v>102</v>
      </c>
      <c r="H7371" t="s">
        <v>84</v>
      </c>
      <c r="I7371">
        <v>18759</v>
      </c>
      <c r="J7371">
        <v>19744</v>
      </c>
    </row>
    <row r="7372" spans="1:10" x14ac:dyDescent="0.3">
      <c r="A7372" t="s">
        <v>7499</v>
      </c>
      <c r="B7372" s="1">
        <v>45802</v>
      </c>
      <c r="C7372" t="s">
        <v>90</v>
      </c>
      <c r="D7372">
        <v>21</v>
      </c>
      <c r="E7372" t="s">
        <v>33</v>
      </c>
      <c r="F7372" t="s">
        <v>50</v>
      </c>
      <c r="G7372" t="s">
        <v>137</v>
      </c>
      <c r="H7372" t="s">
        <v>157</v>
      </c>
      <c r="I7372">
        <v>29594</v>
      </c>
      <c r="J7372">
        <v>37861</v>
      </c>
    </row>
    <row r="7373" spans="1:10" x14ac:dyDescent="0.3">
      <c r="A7373" t="s">
        <v>7500</v>
      </c>
      <c r="B7373" s="1">
        <v>45878</v>
      </c>
      <c r="C7373" t="s">
        <v>113</v>
      </c>
      <c r="D7373">
        <v>32</v>
      </c>
      <c r="E7373" t="s">
        <v>70</v>
      </c>
      <c r="F7373" t="s">
        <v>75</v>
      </c>
      <c r="G7373" t="s">
        <v>40</v>
      </c>
      <c r="H7373" t="s">
        <v>27</v>
      </c>
      <c r="I7373">
        <v>33513</v>
      </c>
      <c r="J7373">
        <v>38195</v>
      </c>
    </row>
    <row r="7374" spans="1:10" x14ac:dyDescent="0.3">
      <c r="A7374" t="s">
        <v>7501</v>
      </c>
      <c r="B7374" s="1">
        <v>45751</v>
      </c>
      <c r="C7374" t="s">
        <v>86</v>
      </c>
      <c r="D7374">
        <v>14</v>
      </c>
      <c r="E7374" t="s">
        <v>24</v>
      </c>
      <c r="F7374" t="s">
        <v>78</v>
      </c>
      <c r="G7374" t="s">
        <v>58</v>
      </c>
      <c r="H7374" t="s">
        <v>59</v>
      </c>
      <c r="I7374">
        <v>39957</v>
      </c>
      <c r="J7374">
        <v>38935</v>
      </c>
    </row>
    <row r="7375" spans="1:10" x14ac:dyDescent="0.3">
      <c r="A7375" t="s">
        <v>7502</v>
      </c>
      <c r="B7375" s="1">
        <v>45792</v>
      </c>
      <c r="C7375" t="s">
        <v>90</v>
      </c>
      <c r="D7375">
        <v>20</v>
      </c>
      <c r="E7375" t="s">
        <v>70</v>
      </c>
      <c r="F7375" t="s">
        <v>46</v>
      </c>
      <c r="G7375" t="s">
        <v>160</v>
      </c>
      <c r="H7375" t="s">
        <v>31</v>
      </c>
      <c r="I7375">
        <v>28786</v>
      </c>
      <c r="J7375">
        <v>29590</v>
      </c>
    </row>
    <row r="7376" spans="1:10" x14ac:dyDescent="0.3">
      <c r="A7376" t="s">
        <v>7503</v>
      </c>
      <c r="B7376" s="1">
        <v>45808</v>
      </c>
      <c r="C7376" t="s">
        <v>90</v>
      </c>
      <c r="D7376">
        <v>22</v>
      </c>
      <c r="E7376" t="s">
        <v>33</v>
      </c>
      <c r="F7376" t="s">
        <v>19</v>
      </c>
      <c r="G7376" t="s">
        <v>47</v>
      </c>
      <c r="H7376" t="s">
        <v>211</v>
      </c>
      <c r="I7376">
        <v>16674</v>
      </c>
      <c r="J7376">
        <v>12435</v>
      </c>
    </row>
    <row r="7377" spans="1:10" x14ac:dyDescent="0.3">
      <c r="A7377" t="s">
        <v>7504</v>
      </c>
      <c r="B7377" s="1">
        <v>45826</v>
      </c>
      <c r="C7377" t="s">
        <v>74</v>
      </c>
      <c r="D7377">
        <v>25</v>
      </c>
      <c r="E7377" t="s">
        <v>61</v>
      </c>
      <c r="F7377" t="s">
        <v>87</v>
      </c>
      <c r="G7377" t="s">
        <v>110</v>
      </c>
      <c r="H7377" t="s">
        <v>52</v>
      </c>
      <c r="I7377">
        <v>38659</v>
      </c>
      <c r="J7377">
        <v>34006</v>
      </c>
    </row>
    <row r="7378" spans="1:10" x14ac:dyDescent="0.3">
      <c r="A7378" t="s">
        <v>7505</v>
      </c>
      <c r="B7378" s="1">
        <v>45711</v>
      </c>
      <c r="C7378" t="s">
        <v>82</v>
      </c>
      <c r="D7378">
        <v>8</v>
      </c>
      <c r="E7378" t="s">
        <v>18</v>
      </c>
      <c r="F7378" t="s">
        <v>193</v>
      </c>
      <c r="G7378" t="s">
        <v>72</v>
      </c>
      <c r="H7378" t="s">
        <v>165</v>
      </c>
      <c r="I7378">
        <v>39160</v>
      </c>
      <c r="J7378">
        <v>46829</v>
      </c>
    </row>
    <row r="7379" spans="1:10" x14ac:dyDescent="0.3">
      <c r="A7379" t="s">
        <v>7506</v>
      </c>
      <c r="B7379" s="1">
        <v>45980</v>
      </c>
      <c r="C7379" t="s">
        <v>23</v>
      </c>
      <c r="D7379">
        <v>47</v>
      </c>
      <c r="E7379" t="s">
        <v>61</v>
      </c>
      <c r="F7379" t="s">
        <v>78</v>
      </c>
      <c r="G7379" t="s">
        <v>224</v>
      </c>
      <c r="H7379" t="s">
        <v>80</v>
      </c>
      <c r="I7379">
        <v>19999</v>
      </c>
      <c r="J7379">
        <v>23133</v>
      </c>
    </row>
    <row r="7380" spans="1:10" x14ac:dyDescent="0.3">
      <c r="A7380" t="s">
        <v>7507</v>
      </c>
      <c r="B7380" s="1">
        <v>45900</v>
      </c>
      <c r="C7380" t="s">
        <v>113</v>
      </c>
      <c r="D7380">
        <v>35</v>
      </c>
      <c r="E7380" t="s">
        <v>70</v>
      </c>
      <c r="F7380" t="s">
        <v>75</v>
      </c>
      <c r="G7380" t="s">
        <v>115</v>
      </c>
      <c r="H7380" t="s">
        <v>119</v>
      </c>
      <c r="I7380">
        <v>37570</v>
      </c>
      <c r="J7380">
        <v>38398</v>
      </c>
    </row>
    <row r="7381" spans="1:10" x14ac:dyDescent="0.3">
      <c r="A7381" t="s">
        <v>7508</v>
      </c>
      <c r="B7381" s="1">
        <v>45912</v>
      </c>
      <c r="C7381" t="s">
        <v>38</v>
      </c>
      <c r="D7381">
        <v>37</v>
      </c>
      <c r="E7381" t="s">
        <v>70</v>
      </c>
      <c r="F7381" t="s">
        <v>43</v>
      </c>
      <c r="G7381" t="s">
        <v>72</v>
      </c>
      <c r="H7381" t="s">
        <v>36</v>
      </c>
      <c r="I7381">
        <v>28605</v>
      </c>
      <c r="J7381">
        <v>28918</v>
      </c>
    </row>
    <row r="7382" spans="1:10" x14ac:dyDescent="0.3">
      <c r="A7382" t="s">
        <v>7509</v>
      </c>
      <c r="B7382" s="1">
        <v>45662</v>
      </c>
      <c r="C7382" t="s">
        <v>17</v>
      </c>
      <c r="D7382">
        <v>1</v>
      </c>
      <c r="E7382" t="s">
        <v>24</v>
      </c>
      <c r="F7382" t="s">
        <v>29</v>
      </c>
      <c r="G7382" t="s">
        <v>115</v>
      </c>
      <c r="H7382" t="s">
        <v>31</v>
      </c>
      <c r="I7382">
        <v>34076</v>
      </c>
      <c r="J7382">
        <v>27349</v>
      </c>
    </row>
    <row r="7383" spans="1:10" x14ac:dyDescent="0.3">
      <c r="A7383" t="s">
        <v>7510</v>
      </c>
      <c r="B7383" s="1">
        <v>45925</v>
      </c>
      <c r="C7383" t="s">
        <v>38</v>
      </c>
      <c r="D7383">
        <v>39</v>
      </c>
      <c r="E7383" t="s">
        <v>61</v>
      </c>
      <c r="F7383" t="s">
        <v>193</v>
      </c>
      <c r="G7383" t="s">
        <v>224</v>
      </c>
      <c r="H7383" t="s">
        <v>31</v>
      </c>
      <c r="I7383">
        <v>37955</v>
      </c>
      <c r="J7383">
        <v>44058</v>
      </c>
    </row>
    <row r="7384" spans="1:10" x14ac:dyDescent="0.3">
      <c r="A7384" t="s">
        <v>7511</v>
      </c>
      <c r="B7384" s="1">
        <v>45758</v>
      </c>
      <c r="C7384" t="s">
        <v>86</v>
      </c>
      <c r="D7384">
        <v>15</v>
      </c>
      <c r="E7384" t="s">
        <v>39</v>
      </c>
      <c r="F7384" t="s">
        <v>25</v>
      </c>
      <c r="G7384" t="s">
        <v>182</v>
      </c>
      <c r="H7384" t="s">
        <v>151</v>
      </c>
      <c r="I7384">
        <v>36236</v>
      </c>
      <c r="J7384">
        <v>40820</v>
      </c>
    </row>
    <row r="7385" spans="1:10" x14ac:dyDescent="0.3">
      <c r="A7385" t="s">
        <v>7512</v>
      </c>
      <c r="B7385" s="1">
        <v>45861</v>
      </c>
      <c r="C7385" t="s">
        <v>11</v>
      </c>
      <c r="D7385">
        <v>30</v>
      </c>
      <c r="E7385" t="s">
        <v>39</v>
      </c>
      <c r="F7385" t="s">
        <v>29</v>
      </c>
      <c r="G7385" t="s">
        <v>135</v>
      </c>
      <c r="H7385" t="s">
        <v>123</v>
      </c>
      <c r="I7385">
        <v>19393</v>
      </c>
      <c r="J7385">
        <v>16599</v>
      </c>
    </row>
    <row r="7386" spans="1:10" x14ac:dyDescent="0.3">
      <c r="A7386" t="s">
        <v>7513</v>
      </c>
      <c r="B7386" s="1">
        <v>45707</v>
      </c>
      <c r="C7386" t="s">
        <v>82</v>
      </c>
      <c r="D7386">
        <v>8</v>
      </c>
      <c r="E7386" t="s">
        <v>61</v>
      </c>
      <c r="F7386" t="s">
        <v>109</v>
      </c>
      <c r="G7386" t="s">
        <v>35</v>
      </c>
      <c r="H7386" t="s">
        <v>21</v>
      </c>
      <c r="I7386">
        <v>19178</v>
      </c>
      <c r="J7386">
        <v>18294</v>
      </c>
    </row>
    <row r="7387" spans="1:10" x14ac:dyDescent="0.3">
      <c r="A7387" t="s">
        <v>7514</v>
      </c>
      <c r="B7387" s="1">
        <v>45873</v>
      </c>
      <c r="C7387" t="s">
        <v>113</v>
      </c>
      <c r="D7387">
        <v>32</v>
      </c>
      <c r="E7387" t="s">
        <v>70</v>
      </c>
      <c r="F7387" t="s">
        <v>19</v>
      </c>
      <c r="G7387" t="s">
        <v>230</v>
      </c>
      <c r="H7387" t="s">
        <v>211</v>
      </c>
      <c r="I7387">
        <v>16365</v>
      </c>
      <c r="J7387">
        <v>15588</v>
      </c>
    </row>
    <row r="7388" spans="1:10" x14ac:dyDescent="0.3">
      <c r="A7388" t="s">
        <v>7515</v>
      </c>
      <c r="B7388" s="1">
        <v>45924</v>
      </c>
      <c r="C7388" t="s">
        <v>38</v>
      </c>
      <c r="D7388">
        <v>39</v>
      </c>
      <c r="E7388" t="s">
        <v>39</v>
      </c>
      <c r="F7388" t="s">
        <v>57</v>
      </c>
      <c r="G7388" t="s">
        <v>79</v>
      </c>
      <c r="H7388" t="s">
        <v>103</v>
      </c>
      <c r="I7388">
        <v>26809</v>
      </c>
      <c r="J7388">
        <v>34630</v>
      </c>
    </row>
    <row r="7389" spans="1:10" x14ac:dyDescent="0.3">
      <c r="A7389" t="s">
        <v>7516</v>
      </c>
      <c r="B7389" s="1">
        <v>45907</v>
      </c>
      <c r="C7389" t="s">
        <v>38</v>
      </c>
      <c r="D7389">
        <v>36</v>
      </c>
      <c r="E7389" t="s">
        <v>18</v>
      </c>
      <c r="F7389" t="s">
        <v>13</v>
      </c>
      <c r="G7389" t="s">
        <v>171</v>
      </c>
      <c r="H7389" t="s">
        <v>64</v>
      </c>
      <c r="I7389">
        <v>25756</v>
      </c>
      <c r="J7389">
        <v>26055</v>
      </c>
    </row>
    <row r="7390" spans="1:10" x14ac:dyDescent="0.3">
      <c r="A7390" t="s">
        <v>7517</v>
      </c>
      <c r="B7390" s="1">
        <v>45835</v>
      </c>
      <c r="C7390" t="s">
        <v>74</v>
      </c>
      <c r="D7390">
        <v>26</v>
      </c>
      <c r="E7390" t="s">
        <v>24</v>
      </c>
      <c r="F7390" t="s">
        <v>114</v>
      </c>
      <c r="G7390" t="s">
        <v>26</v>
      </c>
      <c r="H7390" t="s">
        <v>64</v>
      </c>
      <c r="I7390">
        <v>34002</v>
      </c>
      <c r="J7390">
        <v>30141</v>
      </c>
    </row>
    <row r="7391" spans="1:10" x14ac:dyDescent="0.3">
      <c r="A7391" t="s">
        <v>7518</v>
      </c>
      <c r="B7391" s="1">
        <v>45672</v>
      </c>
      <c r="C7391" t="s">
        <v>17</v>
      </c>
      <c r="D7391">
        <v>3</v>
      </c>
      <c r="E7391" t="s">
        <v>18</v>
      </c>
      <c r="F7391" t="s">
        <v>57</v>
      </c>
      <c r="G7391" t="s">
        <v>137</v>
      </c>
      <c r="H7391" t="s">
        <v>36</v>
      </c>
      <c r="I7391">
        <v>19206</v>
      </c>
      <c r="J7391">
        <v>21064</v>
      </c>
    </row>
    <row r="7392" spans="1:10" x14ac:dyDescent="0.3">
      <c r="A7392" t="s">
        <v>7519</v>
      </c>
      <c r="B7392" s="1">
        <v>45997</v>
      </c>
      <c r="C7392" t="s">
        <v>100</v>
      </c>
      <c r="D7392">
        <v>49</v>
      </c>
      <c r="E7392" t="s">
        <v>18</v>
      </c>
      <c r="F7392" t="s">
        <v>57</v>
      </c>
      <c r="G7392" t="s">
        <v>126</v>
      </c>
      <c r="H7392" t="s">
        <v>64</v>
      </c>
      <c r="I7392">
        <v>35166</v>
      </c>
      <c r="J7392">
        <v>45245</v>
      </c>
    </row>
    <row r="7393" spans="1:10" x14ac:dyDescent="0.3">
      <c r="A7393" t="s">
        <v>7520</v>
      </c>
      <c r="B7393" s="1">
        <v>46009</v>
      </c>
      <c r="C7393" t="s">
        <v>100</v>
      </c>
      <c r="D7393">
        <v>51</v>
      </c>
      <c r="E7393" t="s">
        <v>12</v>
      </c>
      <c r="F7393" t="s">
        <v>122</v>
      </c>
      <c r="G7393" t="s">
        <v>35</v>
      </c>
      <c r="H7393" t="s">
        <v>48</v>
      </c>
      <c r="I7393">
        <v>34463</v>
      </c>
      <c r="J7393">
        <v>27338</v>
      </c>
    </row>
    <row r="7394" spans="1:10" x14ac:dyDescent="0.3">
      <c r="A7394" t="s">
        <v>7521</v>
      </c>
      <c r="B7394" s="1">
        <v>45970</v>
      </c>
      <c r="C7394" t="s">
        <v>23</v>
      </c>
      <c r="D7394">
        <v>45</v>
      </c>
      <c r="E7394" t="s">
        <v>61</v>
      </c>
      <c r="F7394" t="s">
        <v>109</v>
      </c>
      <c r="G7394" t="s">
        <v>253</v>
      </c>
      <c r="H7394" t="s">
        <v>55</v>
      </c>
      <c r="I7394">
        <v>32471</v>
      </c>
      <c r="J7394">
        <v>39431</v>
      </c>
    </row>
    <row r="7395" spans="1:10" x14ac:dyDescent="0.3">
      <c r="A7395" t="s">
        <v>7522</v>
      </c>
      <c r="B7395" s="1">
        <v>45915</v>
      </c>
      <c r="C7395" t="s">
        <v>38</v>
      </c>
      <c r="D7395">
        <v>38</v>
      </c>
      <c r="E7395" t="s">
        <v>18</v>
      </c>
      <c r="F7395" t="s">
        <v>46</v>
      </c>
      <c r="G7395" t="s">
        <v>26</v>
      </c>
      <c r="H7395" t="s">
        <v>188</v>
      </c>
      <c r="I7395">
        <v>21449</v>
      </c>
      <c r="J7395">
        <v>19361</v>
      </c>
    </row>
    <row r="7396" spans="1:10" x14ac:dyDescent="0.3">
      <c r="A7396" t="s">
        <v>7523</v>
      </c>
      <c r="B7396" s="1">
        <v>45727</v>
      </c>
      <c r="C7396" t="s">
        <v>95</v>
      </c>
      <c r="D7396">
        <v>11</v>
      </c>
      <c r="E7396" t="s">
        <v>24</v>
      </c>
      <c r="F7396" t="s">
        <v>122</v>
      </c>
      <c r="G7396" t="s">
        <v>141</v>
      </c>
      <c r="H7396" t="s">
        <v>55</v>
      </c>
      <c r="I7396">
        <v>19309</v>
      </c>
      <c r="J7396">
        <v>24065</v>
      </c>
    </row>
    <row r="7397" spans="1:10" x14ac:dyDescent="0.3">
      <c r="A7397" t="s">
        <v>7524</v>
      </c>
      <c r="B7397" s="1">
        <v>45998</v>
      </c>
      <c r="C7397" t="s">
        <v>100</v>
      </c>
      <c r="D7397">
        <v>49</v>
      </c>
      <c r="E7397" t="s">
        <v>24</v>
      </c>
      <c r="F7397" t="s">
        <v>101</v>
      </c>
      <c r="G7397" t="s">
        <v>147</v>
      </c>
      <c r="H7397" t="s">
        <v>111</v>
      </c>
      <c r="I7397">
        <v>20158</v>
      </c>
      <c r="J7397">
        <v>25388</v>
      </c>
    </row>
    <row r="7398" spans="1:10" x14ac:dyDescent="0.3">
      <c r="A7398" t="s">
        <v>7525</v>
      </c>
      <c r="B7398" s="1">
        <v>46002</v>
      </c>
      <c r="C7398" t="s">
        <v>100</v>
      </c>
      <c r="D7398">
        <v>50</v>
      </c>
      <c r="E7398" t="s">
        <v>70</v>
      </c>
      <c r="F7398" t="s">
        <v>75</v>
      </c>
      <c r="G7398" t="s">
        <v>26</v>
      </c>
      <c r="H7398" t="s">
        <v>123</v>
      </c>
      <c r="I7398">
        <v>33006</v>
      </c>
      <c r="J7398">
        <v>39504</v>
      </c>
    </row>
    <row r="7399" spans="1:10" x14ac:dyDescent="0.3">
      <c r="A7399" t="s">
        <v>7526</v>
      </c>
      <c r="B7399" s="1">
        <v>45810</v>
      </c>
      <c r="C7399" t="s">
        <v>74</v>
      </c>
      <c r="D7399">
        <v>23</v>
      </c>
      <c r="E7399" t="s">
        <v>24</v>
      </c>
      <c r="F7399" t="s">
        <v>87</v>
      </c>
      <c r="G7399" t="s">
        <v>266</v>
      </c>
      <c r="H7399" t="s">
        <v>151</v>
      </c>
      <c r="I7399">
        <v>20973</v>
      </c>
      <c r="J7399">
        <v>15992</v>
      </c>
    </row>
    <row r="7400" spans="1:10" x14ac:dyDescent="0.3">
      <c r="A7400" t="s">
        <v>7527</v>
      </c>
      <c r="B7400" s="1">
        <v>45674</v>
      </c>
      <c r="C7400" t="s">
        <v>17</v>
      </c>
      <c r="D7400">
        <v>3</v>
      </c>
      <c r="E7400" t="s">
        <v>33</v>
      </c>
      <c r="F7400" t="s">
        <v>62</v>
      </c>
      <c r="G7400" t="s">
        <v>115</v>
      </c>
      <c r="H7400" t="s">
        <v>165</v>
      </c>
      <c r="I7400">
        <v>36800</v>
      </c>
      <c r="J7400">
        <v>35440</v>
      </c>
    </row>
    <row r="7401" spans="1:10" x14ac:dyDescent="0.3">
      <c r="A7401" t="s">
        <v>7528</v>
      </c>
      <c r="B7401" s="1">
        <v>45996</v>
      </c>
      <c r="C7401" t="s">
        <v>100</v>
      </c>
      <c r="D7401">
        <v>49</v>
      </c>
      <c r="E7401" t="s">
        <v>12</v>
      </c>
      <c r="F7401" t="s">
        <v>46</v>
      </c>
      <c r="G7401" t="s">
        <v>72</v>
      </c>
      <c r="H7401" t="s">
        <v>68</v>
      </c>
      <c r="I7401">
        <v>34366</v>
      </c>
      <c r="J7401">
        <v>43504</v>
      </c>
    </row>
    <row r="7402" spans="1:10" x14ac:dyDescent="0.3">
      <c r="A7402" t="s">
        <v>7529</v>
      </c>
      <c r="B7402" s="1">
        <v>45880</v>
      </c>
      <c r="C7402" t="s">
        <v>113</v>
      </c>
      <c r="D7402">
        <v>33</v>
      </c>
      <c r="E7402" t="s">
        <v>18</v>
      </c>
      <c r="F7402" t="s">
        <v>140</v>
      </c>
      <c r="G7402" t="s">
        <v>30</v>
      </c>
      <c r="H7402" t="s">
        <v>211</v>
      </c>
      <c r="I7402">
        <v>21135</v>
      </c>
      <c r="J7402">
        <v>24364</v>
      </c>
    </row>
    <row r="7403" spans="1:10" x14ac:dyDescent="0.3">
      <c r="A7403" t="s">
        <v>7530</v>
      </c>
      <c r="B7403" s="1">
        <v>45712</v>
      </c>
      <c r="C7403" t="s">
        <v>82</v>
      </c>
      <c r="D7403">
        <v>9</v>
      </c>
      <c r="E7403" t="s">
        <v>18</v>
      </c>
      <c r="F7403" t="s">
        <v>50</v>
      </c>
      <c r="G7403" t="s">
        <v>72</v>
      </c>
      <c r="H7403" t="s">
        <v>243</v>
      </c>
      <c r="I7403">
        <v>20172</v>
      </c>
      <c r="J7403">
        <v>18468</v>
      </c>
    </row>
    <row r="7404" spans="1:10" x14ac:dyDescent="0.3">
      <c r="A7404" t="s">
        <v>7531</v>
      </c>
      <c r="B7404" s="1">
        <v>45876</v>
      </c>
      <c r="C7404" t="s">
        <v>113</v>
      </c>
      <c r="D7404">
        <v>32</v>
      </c>
      <c r="E7404" t="s">
        <v>18</v>
      </c>
      <c r="F7404" t="s">
        <v>46</v>
      </c>
      <c r="G7404" t="s">
        <v>253</v>
      </c>
      <c r="H7404" t="s">
        <v>123</v>
      </c>
      <c r="I7404">
        <v>34500</v>
      </c>
      <c r="J7404">
        <v>42145</v>
      </c>
    </row>
    <row r="7405" spans="1:10" x14ac:dyDescent="0.3">
      <c r="A7405" t="s">
        <v>7532</v>
      </c>
      <c r="B7405" s="1">
        <v>45726</v>
      </c>
      <c r="C7405" t="s">
        <v>95</v>
      </c>
      <c r="D7405">
        <v>11</v>
      </c>
      <c r="E7405" t="s">
        <v>24</v>
      </c>
      <c r="F7405" t="s">
        <v>101</v>
      </c>
      <c r="G7405" t="s">
        <v>240</v>
      </c>
      <c r="H7405" t="s">
        <v>116</v>
      </c>
      <c r="I7405">
        <v>17011</v>
      </c>
      <c r="J7405">
        <v>15388</v>
      </c>
    </row>
    <row r="7406" spans="1:10" x14ac:dyDescent="0.3">
      <c r="A7406" t="s">
        <v>7533</v>
      </c>
      <c r="B7406" s="1">
        <v>45985</v>
      </c>
      <c r="C7406" t="s">
        <v>23</v>
      </c>
      <c r="D7406">
        <v>48</v>
      </c>
      <c r="E7406" t="s">
        <v>18</v>
      </c>
      <c r="F7406" t="s">
        <v>78</v>
      </c>
      <c r="G7406" t="s">
        <v>58</v>
      </c>
      <c r="H7406" t="s">
        <v>21</v>
      </c>
      <c r="I7406">
        <v>29897</v>
      </c>
      <c r="J7406">
        <v>25614</v>
      </c>
    </row>
    <row r="7407" spans="1:10" x14ac:dyDescent="0.3">
      <c r="A7407" t="s">
        <v>7534</v>
      </c>
      <c r="B7407" s="1">
        <v>45708</v>
      </c>
      <c r="C7407" t="s">
        <v>82</v>
      </c>
      <c r="D7407">
        <v>8</v>
      </c>
      <c r="E7407" t="s">
        <v>24</v>
      </c>
      <c r="F7407" t="s">
        <v>62</v>
      </c>
      <c r="G7407" t="s">
        <v>44</v>
      </c>
      <c r="H7407" t="s">
        <v>68</v>
      </c>
      <c r="I7407">
        <v>27497</v>
      </c>
      <c r="J7407">
        <v>24278</v>
      </c>
    </row>
    <row r="7408" spans="1:10" x14ac:dyDescent="0.3">
      <c r="A7408" t="s">
        <v>7535</v>
      </c>
      <c r="B7408" s="1">
        <v>45997</v>
      </c>
      <c r="C7408" t="s">
        <v>100</v>
      </c>
      <c r="D7408">
        <v>49</v>
      </c>
      <c r="E7408" t="s">
        <v>33</v>
      </c>
      <c r="F7408" t="s">
        <v>75</v>
      </c>
      <c r="G7408" t="s">
        <v>206</v>
      </c>
      <c r="H7408" t="s">
        <v>123</v>
      </c>
      <c r="I7408">
        <v>39210</v>
      </c>
      <c r="J7408">
        <v>50343</v>
      </c>
    </row>
    <row r="7409" spans="1:10" x14ac:dyDescent="0.3">
      <c r="A7409" t="s">
        <v>7536</v>
      </c>
      <c r="B7409" s="1">
        <v>45971</v>
      </c>
      <c r="C7409" t="s">
        <v>23</v>
      </c>
      <c r="D7409">
        <v>46</v>
      </c>
      <c r="E7409" t="s">
        <v>33</v>
      </c>
      <c r="F7409" t="s">
        <v>57</v>
      </c>
      <c r="G7409" t="s">
        <v>51</v>
      </c>
      <c r="H7409" t="s">
        <v>21</v>
      </c>
      <c r="I7409">
        <v>36662</v>
      </c>
      <c r="J7409">
        <v>26250</v>
      </c>
    </row>
    <row r="7410" spans="1:10" x14ac:dyDescent="0.3">
      <c r="A7410" t="s">
        <v>7537</v>
      </c>
      <c r="B7410" s="1">
        <v>45961</v>
      </c>
      <c r="C7410" t="s">
        <v>66</v>
      </c>
      <c r="D7410">
        <v>44</v>
      </c>
      <c r="E7410" t="s">
        <v>70</v>
      </c>
      <c r="F7410" t="s">
        <v>29</v>
      </c>
      <c r="G7410" t="s">
        <v>253</v>
      </c>
      <c r="H7410" t="s">
        <v>21</v>
      </c>
      <c r="I7410">
        <v>24029</v>
      </c>
      <c r="J7410">
        <v>25416</v>
      </c>
    </row>
    <row r="7411" spans="1:10" x14ac:dyDescent="0.3">
      <c r="A7411" t="s">
        <v>7538</v>
      </c>
      <c r="B7411" s="1">
        <v>45900</v>
      </c>
      <c r="C7411" t="s">
        <v>113</v>
      </c>
      <c r="D7411">
        <v>35</v>
      </c>
      <c r="E7411" t="s">
        <v>61</v>
      </c>
      <c r="F7411" t="s">
        <v>92</v>
      </c>
      <c r="G7411" t="s">
        <v>47</v>
      </c>
      <c r="H7411" t="s">
        <v>36</v>
      </c>
      <c r="I7411">
        <v>31426</v>
      </c>
      <c r="J7411">
        <v>40268</v>
      </c>
    </row>
    <row r="7412" spans="1:10" x14ac:dyDescent="0.3">
      <c r="A7412" t="s">
        <v>7539</v>
      </c>
      <c r="B7412" s="1">
        <v>45912</v>
      </c>
      <c r="C7412" t="s">
        <v>38</v>
      </c>
      <c r="D7412">
        <v>37</v>
      </c>
      <c r="E7412" t="s">
        <v>39</v>
      </c>
      <c r="F7412" t="s">
        <v>34</v>
      </c>
      <c r="G7412" t="s">
        <v>201</v>
      </c>
      <c r="H7412" t="s">
        <v>68</v>
      </c>
      <c r="I7412">
        <v>15432</v>
      </c>
      <c r="J7412">
        <v>13996</v>
      </c>
    </row>
    <row r="7413" spans="1:10" x14ac:dyDescent="0.3">
      <c r="A7413" t="s">
        <v>7540</v>
      </c>
      <c r="B7413" s="1">
        <v>45662</v>
      </c>
      <c r="C7413" t="s">
        <v>17</v>
      </c>
      <c r="D7413">
        <v>1</v>
      </c>
      <c r="E7413" t="s">
        <v>70</v>
      </c>
      <c r="F7413" t="s">
        <v>92</v>
      </c>
      <c r="G7413" t="s">
        <v>206</v>
      </c>
      <c r="H7413" t="s">
        <v>103</v>
      </c>
      <c r="I7413">
        <v>19042</v>
      </c>
      <c r="J7413">
        <v>15393</v>
      </c>
    </row>
    <row r="7414" spans="1:10" x14ac:dyDescent="0.3">
      <c r="A7414" t="s">
        <v>7541</v>
      </c>
      <c r="B7414" s="1">
        <v>45864</v>
      </c>
      <c r="C7414" t="s">
        <v>11</v>
      </c>
      <c r="D7414">
        <v>30</v>
      </c>
      <c r="E7414" t="s">
        <v>61</v>
      </c>
      <c r="F7414" t="s">
        <v>92</v>
      </c>
      <c r="G7414" t="s">
        <v>51</v>
      </c>
      <c r="H7414" t="s">
        <v>21</v>
      </c>
      <c r="I7414">
        <v>32845</v>
      </c>
      <c r="J7414">
        <v>33636</v>
      </c>
    </row>
    <row r="7415" spans="1:10" x14ac:dyDescent="0.3">
      <c r="A7415" t="s">
        <v>7542</v>
      </c>
      <c r="B7415" s="1">
        <v>45776</v>
      </c>
      <c r="C7415" t="s">
        <v>86</v>
      </c>
      <c r="D7415">
        <v>18</v>
      </c>
      <c r="E7415" t="s">
        <v>70</v>
      </c>
      <c r="F7415" t="s">
        <v>78</v>
      </c>
      <c r="G7415" t="s">
        <v>141</v>
      </c>
      <c r="H7415" t="s">
        <v>111</v>
      </c>
      <c r="I7415">
        <v>36180</v>
      </c>
      <c r="J7415">
        <v>31757</v>
      </c>
    </row>
    <row r="7416" spans="1:10" x14ac:dyDescent="0.3">
      <c r="A7416" t="s">
        <v>7543</v>
      </c>
      <c r="B7416" s="1">
        <v>45740</v>
      </c>
      <c r="C7416" t="s">
        <v>95</v>
      </c>
      <c r="D7416">
        <v>13</v>
      </c>
      <c r="E7416" t="s">
        <v>12</v>
      </c>
      <c r="F7416" t="s">
        <v>19</v>
      </c>
      <c r="G7416" t="s">
        <v>76</v>
      </c>
      <c r="H7416" t="s">
        <v>151</v>
      </c>
      <c r="I7416">
        <v>22708</v>
      </c>
      <c r="J7416">
        <v>28448</v>
      </c>
    </row>
    <row r="7417" spans="1:10" x14ac:dyDescent="0.3">
      <c r="A7417" t="s">
        <v>7544</v>
      </c>
      <c r="B7417" s="1">
        <v>45696</v>
      </c>
      <c r="C7417" t="s">
        <v>82</v>
      </c>
      <c r="D7417">
        <v>6</v>
      </c>
      <c r="E7417" t="s">
        <v>39</v>
      </c>
      <c r="F7417" t="s">
        <v>46</v>
      </c>
      <c r="G7417" t="s">
        <v>35</v>
      </c>
      <c r="H7417" t="s">
        <v>116</v>
      </c>
      <c r="I7417">
        <v>37442</v>
      </c>
      <c r="J7417">
        <v>32404</v>
      </c>
    </row>
    <row r="7418" spans="1:10" x14ac:dyDescent="0.3">
      <c r="A7418" t="s">
        <v>7545</v>
      </c>
      <c r="B7418" s="1">
        <v>45936</v>
      </c>
      <c r="C7418" t="s">
        <v>66</v>
      </c>
      <c r="D7418">
        <v>41</v>
      </c>
      <c r="E7418" t="s">
        <v>24</v>
      </c>
      <c r="F7418" t="s">
        <v>43</v>
      </c>
      <c r="G7418" t="s">
        <v>230</v>
      </c>
      <c r="H7418" t="s">
        <v>119</v>
      </c>
      <c r="I7418">
        <v>17587</v>
      </c>
      <c r="J7418">
        <v>20419</v>
      </c>
    </row>
    <row r="7419" spans="1:10" x14ac:dyDescent="0.3">
      <c r="A7419" t="s">
        <v>7546</v>
      </c>
      <c r="B7419" s="1">
        <v>45890</v>
      </c>
      <c r="C7419" t="s">
        <v>113</v>
      </c>
      <c r="D7419">
        <v>34</v>
      </c>
      <c r="E7419" t="s">
        <v>61</v>
      </c>
      <c r="F7419" t="s">
        <v>13</v>
      </c>
      <c r="G7419" t="s">
        <v>224</v>
      </c>
      <c r="H7419" t="s">
        <v>48</v>
      </c>
      <c r="I7419">
        <v>27116</v>
      </c>
      <c r="J7419">
        <v>25663</v>
      </c>
    </row>
    <row r="7420" spans="1:10" x14ac:dyDescent="0.3">
      <c r="A7420" t="s">
        <v>7547</v>
      </c>
      <c r="B7420" s="1">
        <v>46010</v>
      </c>
      <c r="C7420" t="s">
        <v>100</v>
      </c>
      <c r="D7420">
        <v>51</v>
      </c>
      <c r="E7420" t="s">
        <v>24</v>
      </c>
      <c r="F7420" t="s">
        <v>140</v>
      </c>
      <c r="G7420" t="s">
        <v>291</v>
      </c>
      <c r="H7420" t="s">
        <v>36</v>
      </c>
      <c r="I7420">
        <v>29099</v>
      </c>
      <c r="J7420">
        <v>33432</v>
      </c>
    </row>
    <row r="7421" spans="1:10" x14ac:dyDescent="0.3">
      <c r="A7421" t="s">
        <v>7548</v>
      </c>
      <c r="B7421" s="1">
        <v>45801</v>
      </c>
      <c r="C7421" t="s">
        <v>90</v>
      </c>
      <c r="D7421">
        <v>21</v>
      </c>
      <c r="E7421" t="s">
        <v>12</v>
      </c>
      <c r="F7421" t="s">
        <v>109</v>
      </c>
      <c r="G7421" t="s">
        <v>118</v>
      </c>
      <c r="H7421" t="s">
        <v>98</v>
      </c>
      <c r="I7421">
        <v>32937</v>
      </c>
      <c r="J7421">
        <v>32430</v>
      </c>
    </row>
    <row r="7422" spans="1:10" x14ac:dyDescent="0.3">
      <c r="A7422" t="s">
        <v>7549</v>
      </c>
      <c r="B7422" s="1">
        <v>45750</v>
      </c>
      <c r="C7422" t="s">
        <v>86</v>
      </c>
      <c r="D7422">
        <v>14</v>
      </c>
      <c r="E7422" t="s">
        <v>33</v>
      </c>
      <c r="F7422" t="s">
        <v>19</v>
      </c>
      <c r="G7422" t="s">
        <v>51</v>
      </c>
      <c r="H7422" t="s">
        <v>27</v>
      </c>
      <c r="I7422">
        <v>30654</v>
      </c>
      <c r="J7422">
        <v>22557</v>
      </c>
    </row>
    <row r="7423" spans="1:10" x14ac:dyDescent="0.3">
      <c r="A7423" t="s">
        <v>7550</v>
      </c>
      <c r="B7423" s="1">
        <v>45961</v>
      </c>
      <c r="C7423" t="s">
        <v>66</v>
      </c>
      <c r="D7423">
        <v>44</v>
      </c>
      <c r="E7423" t="s">
        <v>24</v>
      </c>
      <c r="F7423" t="s">
        <v>140</v>
      </c>
      <c r="G7423" t="s">
        <v>58</v>
      </c>
      <c r="H7423" t="s">
        <v>59</v>
      </c>
      <c r="I7423">
        <v>37349</v>
      </c>
      <c r="J7423">
        <v>44899</v>
      </c>
    </row>
    <row r="7424" spans="1:10" x14ac:dyDescent="0.3">
      <c r="A7424" t="s">
        <v>7551</v>
      </c>
      <c r="B7424" s="1">
        <v>45963</v>
      </c>
      <c r="C7424" t="s">
        <v>23</v>
      </c>
      <c r="D7424">
        <v>44</v>
      </c>
      <c r="E7424" t="s">
        <v>61</v>
      </c>
      <c r="F7424" t="s">
        <v>122</v>
      </c>
      <c r="G7424" t="s">
        <v>147</v>
      </c>
      <c r="H7424" t="s">
        <v>41</v>
      </c>
      <c r="I7424">
        <v>33371</v>
      </c>
      <c r="J7424">
        <v>36835</v>
      </c>
    </row>
    <row r="7425" spans="1:10" x14ac:dyDescent="0.3">
      <c r="A7425" t="s">
        <v>7552</v>
      </c>
      <c r="B7425" s="1">
        <v>45945</v>
      </c>
      <c r="C7425" t="s">
        <v>66</v>
      </c>
      <c r="D7425">
        <v>42</v>
      </c>
      <c r="E7425" t="s">
        <v>39</v>
      </c>
      <c r="F7425" t="s">
        <v>57</v>
      </c>
      <c r="G7425" t="s">
        <v>137</v>
      </c>
      <c r="H7425" t="s">
        <v>151</v>
      </c>
      <c r="I7425">
        <v>23355</v>
      </c>
      <c r="J7425">
        <v>29258</v>
      </c>
    </row>
    <row r="7426" spans="1:10" x14ac:dyDescent="0.3">
      <c r="A7426" t="s">
        <v>7553</v>
      </c>
      <c r="B7426" s="1">
        <v>45850</v>
      </c>
      <c r="C7426" t="s">
        <v>11</v>
      </c>
      <c r="D7426">
        <v>28</v>
      </c>
      <c r="E7426" t="s">
        <v>39</v>
      </c>
      <c r="F7426" t="s">
        <v>87</v>
      </c>
      <c r="G7426" t="s">
        <v>83</v>
      </c>
      <c r="H7426" t="s">
        <v>165</v>
      </c>
      <c r="I7426">
        <v>26287</v>
      </c>
      <c r="J7426">
        <v>29860</v>
      </c>
    </row>
    <row r="7427" spans="1:10" x14ac:dyDescent="0.3">
      <c r="A7427" t="s">
        <v>7554</v>
      </c>
      <c r="B7427" s="1">
        <v>45996</v>
      </c>
      <c r="C7427" t="s">
        <v>100</v>
      </c>
      <c r="D7427">
        <v>49</v>
      </c>
      <c r="E7427" t="s">
        <v>39</v>
      </c>
      <c r="F7427" t="s">
        <v>92</v>
      </c>
      <c r="G7427" t="s">
        <v>63</v>
      </c>
      <c r="H7427" t="s">
        <v>84</v>
      </c>
      <c r="I7427">
        <v>32135</v>
      </c>
      <c r="J7427">
        <v>37674</v>
      </c>
    </row>
    <row r="7428" spans="1:10" x14ac:dyDescent="0.3">
      <c r="A7428" t="s">
        <v>7555</v>
      </c>
      <c r="B7428" s="1">
        <v>45752</v>
      </c>
      <c r="C7428" t="s">
        <v>86</v>
      </c>
      <c r="D7428">
        <v>14</v>
      </c>
      <c r="E7428" t="s">
        <v>61</v>
      </c>
      <c r="F7428" t="s">
        <v>140</v>
      </c>
      <c r="G7428" t="s">
        <v>20</v>
      </c>
      <c r="H7428" t="s">
        <v>155</v>
      </c>
      <c r="I7428">
        <v>31237</v>
      </c>
      <c r="J7428">
        <v>38284</v>
      </c>
    </row>
    <row r="7429" spans="1:10" x14ac:dyDescent="0.3">
      <c r="A7429" t="s">
        <v>7556</v>
      </c>
      <c r="B7429" s="1">
        <v>45732</v>
      </c>
      <c r="C7429" t="s">
        <v>95</v>
      </c>
      <c r="D7429">
        <v>11</v>
      </c>
      <c r="E7429" t="s">
        <v>61</v>
      </c>
      <c r="F7429" t="s">
        <v>114</v>
      </c>
      <c r="G7429" t="s">
        <v>234</v>
      </c>
      <c r="H7429" t="s">
        <v>157</v>
      </c>
      <c r="I7429">
        <v>34142</v>
      </c>
      <c r="J7429">
        <v>27056</v>
      </c>
    </row>
    <row r="7430" spans="1:10" x14ac:dyDescent="0.3">
      <c r="A7430" t="s">
        <v>7557</v>
      </c>
      <c r="B7430" s="1">
        <v>45663</v>
      </c>
      <c r="C7430" t="s">
        <v>17</v>
      </c>
      <c r="D7430">
        <v>2</v>
      </c>
      <c r="E7430" t="s">
        <v>12</v>
      </c>
      <c r="F7430" t="s">
        <v>101</v>
      </c>
      <c r="G7430" t="s">
        <v>149</v>
      </c>
      <c r="H7430" t="s">
        <v>211</v>
      </c>
      <c r="I7430">
        <v>38513</v>
      </c>
      <c r="J7430">
        <v>49607</v>
      </c>
    </row>
    <row r="7431" spans="1:10" x14ac:dyDescent="0.3">
      <c r="A7431" t="s">
        <v>7558</v>
      </c>
      <c r="B7431" s="1">
        <v>45978</v>
      </c>
      <c r="C7431" t="s">
        <v>23</v>
      </c>
      <c r="D7431">
        <v>47</v>
      </c>
      <c r="E7431" t="s">
        <v>18</v>
      </c>
      <c r="F7431" t="s">
        <v>109</v>
      </c>
      <c r="G7431" t="s">
        <v>51</v>
      </c>
      <c r="H7431" t="s">
        <v>103</v>
      </c>
      <c r="I7431">
        <v>39915</v>
      </c>
      <c r="J7431">
        <v>33707</v>
      </c>
    </row>
    <row r="7432" spans="1:10" x14ac:dyDescent="0.3">
      <c r="A7432" t="s">
        <v>7559</v>
      </c>
      <c r="B7432" s="1">
        <v>45843</v>
      </c>
      <c r="C7432" t="s">
        <v>11</v>
      </c>
      <c r="D7432">
        <v>27</v>
      </c>
      <c r="E7432" t="s">
        <v>61</v>
      </c>
      <c r="F7432" t="s">
        <v>25</v>
      </c>
      <c r="G7432" t="s">
        <v>145</v>
      </c>
      <c r="H7432" t="s">
        <v>96</v>
      </c>
      <c r="I7432">
        <v>21283</v>
      </c>
      <c r="J7432">
        <v>26562</v>
      </c>
    </row>
    <row r="7433" spans="1:10" x14ac:dyDescent="0.3">
      <c r="A7433" t="s">
        <v>7560</v>
      </c>
      <c r="B7433" s="1">
        <v>45824</v>
      </c>
      <c r="C7433" t="s">
        <v>74</v>
      </c>
      <c r="D7433">
        <v>25</v>
      </c>
      <c r="E7433" t="s">
        <v>24</v>
      </c>
      <c r="F7433" t="s">
        <v>78</v>
      </c>
      <c r="G7433" t="s">
        <v>182</v>
      </c>
      <c r="H7433" t="s">
        <v>52</v>
      </c>
      <c r="I7433">
        <v>20658</v>
      </c>
      <c r="J7433">
        <v>19169</v>
      </c>
    </row>
    <row r="7434" spans="1:10" x14ac:dyDescent="0.3">
      <c r="A7434" t="s">
        <v>7561</v>
      </c>
      <c r="B7434" s="1">
        <v>45734</v>
      </c>
      <c r="C7434" t="s">
        <v>95</v>
      </c>
      <c r="D7434">
        <v>12</v>
      </c>
      <c r="E7434" t="s">
        <v>12</v>
      </c>
      <c r="F7434" t="s">
        <v>109</v>
      </c>
      <c r="G7434" t="s">
        <v>79</v>
      </c>
      <c r="H7434" t="s">
        <v>31</v>
      </c>
      <c r="I7434">
        <v>31925</v>
      </c>
      <c r="J7434">
        <v>32447</v>
      </c>
    </row>
    <row r="7435" spans="1:10" x14ac:dyDescent="0.3">
      <c r="A7435" t="s">
        <v>7562</v>
      </c>
      <c r="B7435" s="1">
        <v>45687</v>
      </c>
      <c r="C7435" t="s">
        <v>17</v>
      </c>
      <c r="D7435">
        <v>5</v>
      </c>
      <c r="E7435" t="s">
        <v>39</v>
      </c>
      <c r="F7435" t="s">
        <v>25</v>
      </c>
      <c r="G7435" t="s">
        <v>35</v>
      </c>
      <c r="H7435" t="s">
        <v>68</v>
      </c>
      <c r="I7435">
        <v>24695</v>
      </c>
      <c r="J7435">
        <v>22890</v>
      </c>
    </row>
    <row r="7436" spans="1:10" x14ac:dyDescent="0.3">
      <c r="A7436" t="s">
        <v>7563</v>
      </c>
      <c r="B7436" s="1">
        <v>45902</v>
      </c>
      <c r="C7436" t="s">
        <v>38</v>
      </c>
      <c r="D7436">
        <v>36</v>
      </c>
      <c r="E7436" t="s">
        <v>61</v>
      </c>
      <c r="F7436" t="s">
        <v>114</v>
      </c>
      <c r="G7436" t="s">
        <v>224</v>
      </c>
      <c r="H7436" t="s">
        <v>116</v>
      </c>
      <c r="I7436">
        <v>38688</v>
      </c>
      <c r="J7436">
        <v>40838</v>
      </c>
    </row>
    <row r="7437" spans="1:10" x14ac:dyDescent="0.3">
      <c r="A7437" t="s">
        <v>7564</v>
      </c>
      <c r="B7437" s="1">
        <v>45739</v>
      </c>
      <c r="C7437" t="s">
        <v>95</v>
      </c>
      <c r="D7437">
        <v>12</v>
      </c>
      <c r="E7437" t="s">
        <v>39</v>
      </c>
      <c r="F7437" t="s">
        <v>13</v>
      </c>
      <c r="G7437" t="s">
        <v>118</v>
      </c>
      <c r="H7437" t="s">
        <v>55</v>
      </c>
      <c r="I7437">
        <v>34808</v>
      </c>
      <c r="J7437">
        <v>31562</v>
      </c>
    </row>
    <row r="7438" spans="1:10" x14ac:dyDescent="0.3">
      <c r="A7438" t="s">
        <v>7565</v>
      </c>
      <c r="B7438" s="1">
        <v>45771</v>
      </c>
      <c r="C7438" t="s">
        <v>86</v>
      </c>
      <c r="D7438">
        <v>17</v>
      </c>
      <c r="E7438" t="s">
        <v>61</v>
      </c>
      <c r="F7438" t="s">
        <v>78</v>
      </c>
      <c r="G7438" t="s">
        <v>51</v>
      </c>
      <c r="H7438" t="s">
        <v>103</v>
      </c>
      <c r="I7438">
        <v>38655</v>
      </c>
      <c r="J7438">
        <v>28147</v>
      </c>
    </row>
    <row r="7439" spans="1:10" x14ac:dyDescent="0.3">
      <c r="A7439" t="s">
        <v>7566</v>
      </c>
      <c r="B7439" s="1">
        <v>45782</v>
      </c>
      <c r="C7439" t="s">
        <v>90</v>
      </c>
      <c r="D7439">
        <v>19</v>
      </c>
      <c r="E7439" t="s">
        <v>33</v>
      </c>
      <c r="F7439" t="s">
        <v>101</v>
      </c>
      <c r="G7439" t="s">
        <v>30</v>
      </c>
      <c r="H7439" t="s">
        <v>211</v>
      </c>
      <c r="I7439">
        <v>21954</v>
      </c>
      <c r="J7439">
        <v>23971</v>
      </c>
    </row>
    <row r="7440" spans="1:10" x14ac:dyDescent="0.3">
      <c r="A7440" t="s">
        <v>7567</v>
      </c>
      <c r="B7440" s="1">
        <v>45927</v>
      </c>
      <c r="C7440" t="s">
        <v>38</v>
      </c>
      <c r="D7440">
        <v>39</v>
      </c>
      <c r="E7440" t="s">
        <v>61</v>
      </c>
      <c r="F7440" t="s">
        <v>25</v>
      </c>
      <c r="G7440" t="s">
        <v>63</v>
      </c>
      <c r="H7440" t="s">
        <v>151</v>
      </c>
      <c r="I7440">
        <v>22254</v>
      </c>
      <c r="J7440">
        <v>21225</v>
      </c>
    </row>
    <row r="7441" spans="1:10" x14ac:dyDescent="0.3">
      <c r="A7441" t="s">
        <v>7568</v>
      </c>
      <c r="B7441" s="1">
        <v>45951</v>
      </c>
      <c r="C7441" t="s">
        <v>66</v>
      </c>
      <c r="D7441">
        <v>43</v>
      </c>
      <c r="E7441" t="s">
        <v>18</v>
      </c>
      <c r="F7441" t="s">
        <v>19</v>
      </c>
      <c r="G7441" t="s">
        <v>93</v>
      </c>
      <c r="H7441" t="s">
        <v>15</v>
      </c>
      <c r="I7441">
        <v>28514</v>
      </c>
      <c r="J7441">
        <v>28524</v>
      </c>
    </row>
    <row r="7442" spans="1:10" x14ac:dyDescent="0.3">
      <c r="A7442" t="s">
        <v>7569</v>
      </c>
      <c r="B7442" s="1">
        <v>45972</v>
      </c>
      <c r="C7442" t="s">
        <v>23</v>
      </c>
      <c r="D7442">
        <v>46</v>
      </c>
      <c r="E7442" t="s">
        <v>70</v>
      </c>
      <c r="F7442" t="s">
        <v>50</v>
      </c>
      <c r="G7442" t="s">
        <v>234</v>
      </c>
      <c r="H7442" t="s">
        <v>103</v>
      </c>
      <c r="I7442">
        <v>25817</v>
      </c>
      <c r="J7442">
        <v>23058</v>
      </c>
    </row>
    <row r="7443" spans="1:10" x14ac:dyDescent="0.3">
      <c r="A7443" t="s">
        <v>7570</v>
      </c>
      <c r="B7443" s="1">
        <v>45870</v>
      </c>
      <c r="C7443" t="s">
        <v>113</v>
      </c>
      <c r="D7443">
        <v>31</v>
      </c>
      <c r="E7443" t="s">
        <v>61</v>
      </c>
      <c r="F7443" t="s">
        <v>13</v>
      </c>
      <c r="G7443" t="s">
        <v>230</v>
      </c>
      <c r="H7443" t="s">
        <v>15</v>
      </c>
      <c r="I7443">
        <v>27828</v>
      </c>
      <c r="J7443">
        <v>32288</v>
      </c>
    </row>
    <row r="7444" spans="1:10" x14ac:dyDescent="0.3">
      <c r="A7444" t="s">
        <v>7571</v>
      </c>
      <c r="B7444" s="1">
        <v>45793</v>
      </c>
      <c r="C7444" t="s">
        <v>90</v>
      </c>
      <c r="D7444">
        <v>20</v>
      </c>
      <c r="E7444" t="s">
        <v>33</v>
      </c>
      <c r="F7444" t="s">
        <v>101</v>
      </c>
      <c r="G7444" t="s">
        <v>132</v>
      </c>
      <c r="H7444" t="s">
        <v>103</v>
      </c>
      <c r="I7444">
        <v>17391</v>
      </c>
      <c r="J7444">
        <v>19031</v>
      </c>
    </row>
    <row r="7445" spans="1:10" x14ac:dyDescent="0.3">
      <c r="A7445" t="s">
        <v>7572</v>
      </c>
      <c r="B7445" s="1">
        <v>45895</v>
      </c>
      <c r="C7445" t="s">
        <v>113</v>
      </c>
      <c r="D7445">
        <v>35</v>
      </c>
      <c r="E7445" t="s">
        <v>70</v>
      </c>
      <c r="F7445" t="s">
        <v>29</v>
      </c>
      <c r="G7445" t="s">
        <v>93</v>
      </c>
      <c r="H7445" t="s">
        <v>48</v>
      </c>
      <c r="I7445">
        <v>36271</v>
      </c>
      <c r="J7445">
        <v>34886</v>
      </c>
    </row>
    <row r="7446" spans="1:10" x14ac:dyDescent="0.3">
      <c r="A7446" t="s">
        <v>7573</v>
      </c>
      <c r="B7446" s="1">
        <v>46021</v>
      </c>
      <c r="C7446" t="s">
        <v>100</v>
      </c>
      <c r="D7446">
        <v>1</v>
      </c>
      <c r="E7446" t="s">
        <v>24</v>
      </c>
      <c r="F7446" t="s">
        <v>19</v>
      </c>
      <c r="G7446" t="s">
        <v>160</v>
      </c>
      <c r="H7446" t="s">
        <v>36</v>
      </c>
      <c r="I7446">
        <v>23383</v>
      </c>
      <c r="J7446">
        <v>22597</v>
      </c>
    </row>
    <row r="7447" spans="1:10" x14ac:dyDescent="0.3">
      <c r="A7447" t="s">
        <v>7574</v>
      </c>
      <c r="B7447" s="1">
        <v>45990</v>
      </c>
      <c r="C7447" t="s">
        <v>23</v>
      </c>
      <c r="D7447">
        <v>48</v>
      </c>
      <c r="E7447" t="s">
        <v>61</v>
      </c>
      <c r="F7447" t="s">
        <v>13</v>
      </c>
      <c r="G7447" t="s">
        <v>30</v>
      </c>
      <c r="H7447" t="s">
        <v>55</v>
      </c>
      <c r="I7447">
        <v>22678</v>
      </c>
      <c r="J7447">
        <v>21399</v>
      </c>
    </row>
    <row r="7448" spans="1:10" x14ac:dyDescent="0.3">
      <c r="A7448" t="s">
        <v>7575</v>
      </c>
      <c r="B7448" s="1">
        <v>45803</v>
      </c>
      <c r="C7448" t="s">
        <v>90</v>
      </c>
      <c r="D7448">
        <v>22</v>
      </c>
      <c r="E7448" t="s">
        <v>61</v>
      </c>
      <c r="F7448" t="s">
        <v>109</v>
      </c>
      <c r="G7448" t="s">
        <v>130</v>
      </c>
      <c r="H7448" t="s">
        <v>68</v>
      </c>
      <c r="I7448">
        <v>37826</v>
      </c>
      <c r="J7448">
        <v>26560</v>
      </c>
    </row>
    <row r="7449" spans="1:10" x14ac:dyDescent="0.3">
      <c r="A7449" t="s">
        <v>7576</v>
      </c>
      <c r="B7449" s="1">
        <v>46007</v>
      </c>
      <c r="C7449" t="s">
        <v>100</v>
      </c>
      <c r="D7449">
        <v>51</v>
      </c>
      <c r="E7449" t="s">
        <v>39</v>
      </c>
      <c r="F7449" t="s">
        <v>19</v>
      </c>
      <c r="G7449" t="s">
        <v>132</v>
      </c>
      <c r="H7449" t="s">
        <v>123</v>
      </c>
      <c r="I7449">
        <v>25750</v>
      </c>
      <c r="J7449">
        <v>23747</v>
      </c>
    </row>
    <row r="7450" spans="1:10" x14ac:dyDescent="0.3">
      <c r="A7450" t="s">
        <v>7577</v>
      </c>
      <c r="B7450" s="1">
        <v>46017</v>
      </c>
      <c r="C7450" t="s">
        <v>100</v>
      </c>
      <c r="D7450">
        <v>52</v>
      </c>
      <c r="E7450" t="s">
        <v>33</v>
      </c>
      <c r="F7450" t="s">
        <v>109</v>
      </c>
      <c r="G7450" t="s">
        <v>126</v>
      </c>
      <c r="H7450" t="s">
        <v>55</v>
      </c>
      <c r="I7450">
        <v>27025</v>
      </c>
      <c r="J7450">
        <v>29665</v>
      </c>
    </row>
    <row r="7451" spans="1:10" x14ac:dyDescent="0.3">
      <c r="A7451" t="s">
        <v>7578</v>
      </c>
      <c r="B7451" s="1">
        <v>45741</v>
      </c>
      <c r="C7451" t="s">
        <v>95</v>
      </c>
      <c r="D7451">
        <v>13</v>
      </c>
      <c r="E7451" t="s">
        <v>18</v>
      </c>
      <c r="F7451" t="s">
        <v>43</v>
      </c>
      <c r="G7451" t="s">
        <v>115</v>
      </c>
      <c r="H7451" t="s">
        <v>48</v>
      </c>
      <c r="I7451">
        <v>17005</v>
      </c>
      <c r="J7451">
        <v>13422</v>
      </c>
    </row>
    <row r="7452" spans="1:10" x14ac:dyDescent="0.3">
      <c r="A7452" t="s">
        <v>7579</v>
      </c>
      <c r="B7452" s="1">
        <v>45875</v>
      </c>
      <c r="C7452" t="s">
        <v>113</v>
      </c>
      <c r="D7452">
        <v>32</v>
      </c>
      <c r="E7452" t="s">
        <v>39</v>
      </c>
      <c r="F7452" t="s">
        <v>62</v>
      </c>
      <c r="G7452" t="s">
        <v>224</v>
      </c>
      <c r="H7452" t="s">
        <v>48</v>
      </c>
      <c r="I7452">
        <v>27232</v>
      </c>
      <c r="J7452">
        <v>24536</v>
      </c>
    </row>
    <row r="7453" spans="1:10" x14ac:dyDescent="0.3">
      <c r="A7453" t="s">
        <v>7580</v>
      </c>
      <c r="B7453" s="1">
        <v>45696</v>
      </c>
      <c r="C7453" t="s">
        <v>82</v>
      </c>
      <c r="D7453">
        <v>6</v>
      </c>
      <c r="E7453" t="s">
        <v>33</v>
      </c>
      <c r="F7453" t="s">
        <v>92</v>
      </c>
      <c r="G7453" t="s">
        <v>135</v>
      </c>
      <c r="H7453" t="s">
        <v>31</v>
      </c>
      <c r="I7453">
        <v>35086</v>
      </c>
      <c r="J7453">
        <v>25599</v>
      </c>
    </row>
    <row r="7454" spans="1:10" x14ac:dyDescent="0.3">
      <c r="A7454" t="s">
        <v>7581</v>
      </c>
      <c r="B7454" s="1">
        <v>45692</v>
      </c>
      <c r="C7454" t="s">
        <v>82</v>
      </c>
      <c r="D7454">
        <v>6</v>
      </c>
      <c r="E7454" t="s">
        <v>18</v>
      </c>
      <c r="F7454" t="s">
        <v>25</v>
      </c>
      <c r="G7454" t="s">
        <v>324</v>
      </c>
      <c r="H7454" t="s">
        <v>96</v>
      </c>
      <c r="I7454">
        <v>34152</v>
      </c>
      <c r="J7454">
        <v>43048</v>
      </c>
    </row>
    <row r="7455" spans="1:10" x14ac:dyDescent="0.3">
      <c r="A7455" t="s">
        <v>7582</v>
      </c>
      <c r="B7455" s="1">
        <v>45997</v>
      </c>
      <c r="C7455" t="s">
        <v>100</v>
      </c>
      <c r="D7455">
        <v>49</v>
      </c>
      <c r="E7455" t="s">
        <v>39</v>
      </c>
      <c r="F7455" t="s">
        <v>75</v>
      </c>
      <c r="G7455" t="s">
        <v>206</v>
      </c>
      <c r="H7455" t="s">
        <v>243</v>
      </c>
      <c r="I7455">
        <v>21540</v>
      </c>
      <c r="J7455">
        <v>25215</v>
      </c>
    </row>
    <row r="7456" spans="1:10" x14ac:dyDescent="0.3">
      <c r="A7456" t="s">
        <v>7583</v>
      </c>
      <c r="B7456" s="1">
        <v>45918</v>
      </c>
      <c r="C7456" t="s">
        <v>38</v>
      </c>
      <c r="D7456">
        <v>38</v>
      </c>
      <c r="E7456" t="s">
        <v>70</v>
      </c>
      <c r="F7456" t="s">
        <v>34</v>
      </c>
      <c r="G7456" t="s">
        <v>118</v>
      </c>
      <c r="H7456" t="s">
        <v>68</v>
      </c>
      <c r="I7456">
        <v>31408</v>
      </c>
      <c r="J7456">
        <v>36090</v>
      </c>
    </row>
    <row r="7457" spans="1:10" x14ac:dyDescent="0.3">
      <c r="A7457" t="s">
        <v>7584</v>
      </c>
      <c r="B7457" s="1">
        <v>45848</v>
      </c>
      <c r="C7457" t="s">
        <v>11</v>
      </c>
      <c r="D7457">
        <v>28</v>
      </c>
      <c r="E7457" t="s">
        <v>70</v>
      </c>
      <c r="F7457" t="s">
        <v>78</v>
      </c>
      <c r="G7457" t="s">
        <v>199</v>
      </c>
      <c r="H7457" t="s">
        <v>165</v>
      </c>
      <c r="I7457">
        <v>21415</v>
      </c>
      <c r="J7457">
        <v>24017</v>
      </c>
    </row>
    <row r="7458" spans="1:10" x14ac:dyDescent="0.3">
      <c r="A7458" t="s">
        <v>7585</v>
      </c>
      <c r="B7458" s="1">
        <v>45895</v>
      </c>
      <c r="C7458" t="s">
        <v>113</v>
      </c>
      <c r="D7458">
        <v>35</v>
      </c>
      <c r="E7458" t="s">
        <v>24</v>
      </c>
      <c r="F7458" t="s">
        <v>13</v>
      </c>
      <c r="G7458" t="s">
        <v>128</v>
      </c>
      <c r="H7458" t="s">
        <v>15</v>
      </c>
      <c r="I7458">
        <v>15070</v>
      </c>
      <c r="J7458">
        <v>15666</v>
      </c>
    </row>
    <row r="7459" spans="1:10" x14ac:dyDescent="0.3">
      <c r="A7459" t="s">
        <v>7586</v>
      </c>
      <c r="B7459" s="1">
        <v>45957</v>
      </c>
      <c r="C7459" t="s">
        <v>66</v>
      </c>
      <c r="D7459">
        <v>44</v>
      </c>
      <c r="E7459" t="s">
        <v>12</v>
      </c>
      <c r="F7459" t="s">
        <v>34</v>
      </c>
      <c r="G7459" t="s">
        <v>206</v>
      </c>
      <c r="H7459" t="s">
        <v>84</v>
      </c>
      <c r="I7459">
        <v>34149</v>
      </c>
      <c r="J7459">
        <v>37691</v>
      </c>
    </row>
    <row r="7460" spans="1:10" x14ac:dyDescent="0.3">
      <c r="A7460" t="s">
        <v>7587</v>
      </c>
      <c r="B7460" s="1">
        <v>45819</v>
      </c>
      <c r="C7460" t="s">
        <v>74</v>
      </c>
      <c r="D7460">
        <v>24</v>
      </c>
      <c r="E7460" t="s">
        <v>39</v>
      </c>
      <c r="F7460" t="s">
        <v>25</v>
      </c>
      <c r="G7460" t="s">
        <v>118</v>
      </c>
      <c r="H7460" t="s">
        <v>84</v>
      </c>
      <c r="I7460">
        <v>26685</v>
      </c>
      <c r="J7460">
        <v>20814</v>
      </c>
    </row>
    <row r="7461" spans="1:10" x14ac:dyDescent="0.3">
      <c r="A7461" t="s">
        <v>7588</v>
      </c>
      <c r="B7461" s="1">
        <v>45673</v>
      </c>
      <c r="C7461" t="s">
        <v>17</v>
      </c>
      <c r="D7461">
        <v>3</v>
      </c>
      <c r="E7461" t="s">
        <v>39</v>
      </c>
      <c r="F7461" t="s">
        <v>50</v>
      </c>
      <c r="G7461" t="s">
        <v>191</v>
      </c>
      <c r="H7461" t="s">
        <v>119</v>
      </c>
      <c r="I7461">
        <v>27490</v>
      </c>
      <c r="J7461">
        <v>32805</v>
      </c>
    </row>
    <row r="7462" spans="1:10" x14ac:dyDescent="0.3">
      <c r="A7462" t="s">
        <v>7589</v>
      </c>
      <c r="B7462" s="1">
        <v>45957</v>
      </c>
      <c r="C7462" t="s">
        <v>66</v>
      </c>
      <c r="D7462">
        <v>44</v>
      </c>
      <c r="E7462" t="s">
        <v>39</v>
      </c>
      <c r="F7462" t="s">
        <v>109</v>
      </c>
      <c r="G7462" t="s">
        <v>135</v>
      </c>
      <c r="H7462" t="s">
        <v>151</v>
      </c>
      <c r="I7462">
        <v>26632</v>
      </c>
      <c r="J7462">
        <v>26320</v>
      </c>
    </row>
    <row r="7463" spans="1:10" x14ac:dyDescent="0.3">
      <c r="A7463" t="s">
        <v>7590</v>
      </c>
      <c r="B7463" s="1">
        <v>45774</v>
      </c>
      <c r="C7463" t="s">
        <v>86</v>
      </c>
      <c r="D7463">
        <v>17</v>
      </c>
      <c r="E7463" t="s">
        <v>12</v>
      </c>
      <c r="F7463" t="s">
        <v>43</v>
      </c>
      <c r="G7463" t="s">
        <v>137</v>
      </c>
      <c r="H7463" t="s">
        <v>96</v>
      </c>
      <c r="I7463">
        <v>29396</v>
      </c>
      <c r="J7463">
        <v>35881</v>
      </c>
    </row>
    <row r="7464" spans="1:10" x14ac:dyDescent="0.3">
      <c r="A7464" t="s">
        <v>7591</v>
      </c>
      <c r="B7464" s="1">
        <v>45996</v>
      </c>
      <c r="C7464" t="s">
        <v>100</v>
      </c>
      <c r="D7464">
        <v>49</v>
      </c>
      <c r="E7464" t="s">
        <v>33</v>
      </c>
      <c r="F7464" t="s">
        <v>43</v>
      </c>
      <c r="G7464" t="s">
        <v>118</v>
      </c>
      <c r="H7464" t="s">
        <v>21</v>
      </c>
      <c r="I7464">
        <v>18872</v>
      </c>
      <c r="J7464">
        <v>16255</v>
      </c>
    </row>
    <row r="7465" spans="1:10" x14ac:dyDescent="0.3">
      <c r="A7465" t="s">
        <v>7592</v>
      </c>
      <c r="B7465" s="1">
        <v>45987</v>
      </c>
      <c r="C7465" t="s">
        <v>23</v>
      </c>
      <c r="D7465">
        <v>48</v>
      </c>
      <c r="E7465" t="s">
        <v>39</v>
      </c>
      <c r="F7465" t="s">
        <v>87</v>
      </c>
      <c r="G7465" t="s">
        <v>171</v>
      </c>
      <c r="H7465" t="s">
        <v>52</v>
      </c>
      <c r="I7465">
        <v>26942</v>
      </c>
      <c r="J7465">
        <v>28281</v>
      </c>
    </row>
    <row r="7466" spans="1:10" x14ac:dyDescent="0.3">
      <c r="A7466" t="s">
        <v>7593</v>
      </c>
      <c r="B7466" s="1">
        <v>45826</v>
      </c>
      <c r="C7466" t="s">
        <v>74</v>
      </c>
      <c r="D7466">
        <v>25</v>
      </c>
      <c r="E7466" t="s">
        <v>18</v>
      </c>
      <c r="F7466" t="s">
        <v>109</v>
      </c>
      <c r="G7466" t="s">
        <v>40</v>
      </c>
      <c r="H7466" t="s">
        <v>211</v>
      </c>
      <c r="I7466">
        <v>16499</v>
      </c>
      <c r="J7466">
        <v>20358</v>
      </c>
    </row>
    <row r="7467" spans="1:10" x14ac:dyDescent="0.3">
      <c r="A7467" t="s">
        <v>7594</v>
      </c>
      <c r="B7467" s="1">
        <v>45975</v>
      </c>
      <c r="C7467" t="s">
        <v>23</v>
      </c>
      <c r="D7467">
        <v>46</v>
      </c>
      <c r="E7467" t="s">
        <v>70</v>
      </c>
      <c r="F7467" t="s">
        <v>92</v>
      </c>
      <c r="G7467" t="s">
        <v>253</v>
      </c>
      <c r="H7467" t="s">
        <v>165</v>
      </c>
      <c r="I7467">
        <v>24950</v>
      </c>
      <c r="J7467">
        <v>31552</v>
      </c>
    </row>
    <row r="7468" spans="1:10" x14ac:dyDescent="0.3">
      <c r="A7468" t="s">
        <v>7595</v>
      </c>
      <c r="B7468" s="1">
        <v>45672</v>
      </c>
      <c r="C7468" t="s">
        <v>17</v>
      </c>
      <c r="D7468">
        <v>3</v>
      </c>
      <c r="E7468" t="s">
        <v>61</v>
      </c>
      <c r="F7468" t="s">
        <v>140</v>
      </c>
      <c r="G7468" t="s">
        <v>147</v>
      </c>
      <c r="H7468" t="s">
        <v>52</v>
      </c>
      <c r="I7468">
        <v>17368</v>
      </c>
      <c r="J7468">
        <v>18429</v>
      </c>
    </row>
    <row r="7469" spans="1:10" x14ac:dyDescent="0.3">
      <c r="A7469" t="s">
        <v>7596</v>
      </c>
      <c r="B7469" s="1">
        <v>45663</v>
      </c>
      <c r="C7469" t="s">
        <v>17</v>
      </c>
      <c r="D7469">
        <v>2</v>
      </c>
      <c r="E7469" t="s">
        <v>24</v>
      </c>
      <c r="F7469" t="s">
        <v>92</v>
      </c>
      <c r="G7469" t="s">
        <v>63</v>
      </c>
      <c r="H7469" t="s">
        <v>80</v>
      </c>
      <c r="I7469">
        <v>33545</v>
      </c>
      <c r="J7469">
        <v>35341</v>
      </c>
    </row>
    <row r="7470" spans="1:10" x14ac:dyDescent="0.3">
      <c r="A7470" t="s">
        <v>7597</v>
      </c>
      <c r="B7470" s="1">
        <v>45869</v>
      </c>
      <c r="C7470" t="s">
        <v>11</v>
      </c>
      <c r="D7470">
        <v>31</v>
      </c>
      <c r="E7470" t="s">
        <v>70</v>
      </c>
      <c r="F7470" t="s">
        <v>75</v>
      </c>
      <c r="G7470" t="s">
        <v>291</v>
      </c>
      <c r="H7470" t="s">
        <v>80</v>
      </c>
      <c r="I7470">
        <v>19801</v>
      </c>
      <c r="J7470">
        <v>14201</v>
      </c>
    </row>
    <row r="7471" spans="1:10" x14ac:dyDescent="0.3">
      <c r="A7471" t="s">
        <v>7598</v>
      </c>
      <c r="B7471" s="1">
        <v>45970</v>
      </c>
      <c r="C7471" t="s">
        <v>23</v>
      </c>
      <c r="D7471">
        <v>45</v>
      </c>
      <c r="E7471" t="s">
        <v>33</v>
      </c>
      <c r="F7471" t="s">
        <v>25</v>
      </c>
      <c r="G7471" t="s">
        <v>83</v>
      </c>
      <c r="H7471" t="s">
        <v>98</v>
      </c>
      <c r="I7471">
        <v>28546</v>
      </c>
      <c r="J7471">
        <v>23068</v>
      </c>
    </row>
    <row r="7472" spans="1:10" x14ac:dyDescent="0.3">
      <c r="A7472" t="s">
        <v>7599</v>
      </c>
      <c r="B7472" s="1">
        <v>45918</v>
      </c>
      <c r="C7472" t="s">
        <v>38</v>
      </c>
      <c r="D7472">
        <v>38</v>
      </c>
      <c r="E7472" t="s">
        <v>24</v>
      </c>
      <c r="F7472" t="s">
        <v>19</v>
      </c>
      <c r="G7472" t="s">
        <v>206</v>
      </c>
      <c r="H7472" t="s">
        <v>188</v>
      </c>
      <c r="I7472">
        <v>27961</v>
      </c>
      <c r="J7472">
        <v>22407</v>
      </c>
    </row>
    <row r="7473" spans="1:10" x14ac:dyDescent="0.3">
      <c r="A7473" t="s">
        <v>7600</v>
      </c>
      <c r="B7473" s="1">
        <v>45883</v>
      </c>
      <c r="C7473" t="s">
        <v>113</v>
      </c>
      <c r="D7473">
        <v>33</v>
      </c>
      <c r="E7473" t="s">
        <v>18</v>
      </c>
      <c r="F7473" t="s">
        <v>122</v>
      </c>
      <c r="G7473" t="s">
        <v>135</v>
      </c>
      <c r="H7473" t="s">
        <v>68</v>
      </c>
      <c r="I7473">
        <v>28413</v>
      </c>
      <c r="J7473">
        <v>29232</v>
      </c>
    </row>
    <row r="7474" spans="1:10" x14ac:dyDescent="0.3">
      <c r="A7474" t="s">
        <v>7601</v>
      </c>
      <c r="B7474" s="1">
        <v>45935</v>
      </c>
      <c r="C7474" t="s">
        <v>66</v>
      </c>
      <c r="D7474">
        <v>40</v>
      </c>
      <c r="E7474" t="s">
        <v>39</v>
      </c>
      <c r="F7474" t="s">
        <v>78</v>
      </c>
      <c r="G7474" t="s">
        <v>35</v>
      </c>
      <c r="H7474" t="s">
        <v>119</v>
      </c>
      <c r="I7474">
        <v>38893</v>
      </c>
      <c r="J7474">
        <v>36446</v>
      </c>
    </row>
    <row r="7475" spans="1:10" x14ac:dyDescent="0.3">
      <c r="A7475" t="s">
        <v>7602</v>
      </c>
      <c r="B7475" s="1">
        <v>45754</v>
      </c>
      <c r="C7475" t="s">
        <v>86</v>
      </c>
      <c r="D7475">
        <v>15</v>
      </c>
      <c r="E7475" t="s">
        <v>33</v>
      </c>
      <c r="F7475" t="s">
        <v>109</v>
      </c>
      <c r="G7475" t="s">
        <v>63</v>
      </c>
      <c r="H7475" t="s">
        <v>80</v>
      </c>
      <c r="I7475">
        <v>16165</v>
      </c>
      <c r="J7475">
        <v>13379</v>
      </c>
    </row>
    <row r="7476" spans="1:10" x14ac:dyDescent="0.3">
      <c r="A7476" t="s">
        <v>7603</v>
      </c>
      <c r="B7476" s="1">
        <v>45897</v>
      </c>
      <c r="C7476" t="s">
        <v>113</v>
      </c>
      <c r="D7476">
        <v>35</v>
      </c>
      <c r="E7476" t="s">
        <v>70</v>
      </c>
      <c r="F7476" t="s">
        <v>122</v>
      </c>
      <c r="G7476" t="s">
        <v>126</v>
      </c>
      <c r="H7476" t="s">
        <v>157</v>
      </c>
      <c r="I7476">
        <v>38248</v>
      </c>
      <c r="J7476">
        <v>32884</v>
      </c>
    </row>
    <row r="7477" spans="1:10" x14ac:dyDescent="0.3">
      <c r="A7477" t="s">
        <v>7604</v>
      </c>
      <c r="B7477" s="1">
        <v>45778</v>
      </c>
      <c r="C7477" t="s">
        <v>90</v>
      </c>
      <c r="D7477">
        <v>18</v>
      </c>
      <c r="E7477" t="s">
        <v>70</v>
      </c>
      <c r="F7477" t="s">
        <v>75</v>
      </c>
      <c r="G7477" t="s">
        <v>145</v>
      </c>
      <c r="H7477" t="s">
        <v>151</v>
      </c>
      <c r="I7477">
        <v>26393</v>
      </c>
      <c r="J7477">
        <v>33002</v>
      </c>
    </row>
    <row r="7478" spans="1:10" x14ac:dyDescent="0.3">
      <c r="A7478" t="s">
        <v>7605</v>
      </c>
      <c r="B7478" s="1">
        <v>45834</v>
      </c>
      <c r="C7478" t="s">
        <v>74</v>
      </c>
      <c r="D7478">
        <v>26</v>
      </c>
      <c r="E7478" t="s">
        <v>12</v>
      </c>
      <c r="F7478" t="s">
        <v>34</v>
      </c>
      <c r="G7478" t="s">
        <v>324</v>
      </c>
      <c r="H7478" t="s">
        <v>111</v>
      </c>
      <c r="I7478">
        <v>20831</v>
      </c>
      <c r="J7478">
        <v>27057</v>
      </c>
    </row>
    <row r="7479" spans="1:10" x14ac:dyDescent="0.3">
      <c r="A7479" t="s">
        <v>7606</v>
      </c>
      <c r="B7479" s="1">
        <v>45900</v>
      </c>
      <c r="C7479" t="s">
        <v>113</v>
      </c>
      <c r="D7479">
        <v>35</v>
      </c>
      <c r="E7479" t="s">
        <v>70</v>
      </c>
      <c r="F7479" t="s">
        <v>62</v>
      </c>
      <c r="G7479" t="s">
        <v>206</v>
      </c>
      <c r="H7479" t="s">
        <v>165</v>
      </c>
      <c r="I7479">
        <v>32748</v>
      </c>
      <c r="J7479">
        <v>25590</v>
      </c>
    </row>
    <row r="7480" spans="1:10" x14ac:dyDescent="0.3">
      <c r="A7480" t="s">
        <v>7607</v>
      </c>
      <c r="B7480" s="1">
        <v>46019</v>
      </c>
      <c r="C7480" t="s">
        <v>100</v>
      </c>
      <c r="D7480">
        <v>52</v>
      </c>
      <c r="E7480" t="s">
        <v>12</v>
      </c>
      <c r="F7480" t="s">
        <v>78</v>
      </c>
      <c r="G7480" t="s">
        <v>149</v>
      </c>
      <c r="H7480" t="s">
        <v>211</v>
      </c>
      <c r="I7480">
        <v>24519</v>
      </c>
      <c r="J7480">
        <v>23424</v>
      </c>
    </row>
    <row r="7481" spans="1:10" x14ac:dyDescent="0.3">
      <c r="A7481" t="s">
        <v>7608</v>
      </c>
      <c r="B7481" s="1">
        <v>45971</v>
      </c>
      <c r="C7481" t="s">
        <v>23</v>
      </c>
      <c r="D7481">
        <v>46</v>
      </c>
      <c r="E7481" t="s">
        <v>18</v>
      </c>
      <c r="F7481" t="s">
        <v>114</v>
      </c>
      <c r="G7481" t="s">
        <v>51</v>
      </c>
      <c r="H7481" t="s">
        <v>157</v>
      </c>
      <c r="I7481">
        <v>32070</v>
      </c>
      <c r="J7481">
        <v>27371</v>
      </c>
    </row>
    <row r="7482" spans="1:10" x14ac:dyDescent="0.3">
      <c r="A7482" t="s">
        <v>7609</v>
      </c>
      <c r="B7482" s="1">
        <v>45739</v>
      </c>
      <c r="C7482" t="s">
        <v>95</v>
      </c>
      <c r="D7482">
        <v>12</v>
      </c>
      <c r="E7482" t="s">
        <v>18</v>
      </c>
      <c r="F7482" t="s">
        <v>78</v>
      </c>
      <c r="G7482" t="s">
        <v>20</v>
      </c>
      <c r="H7482" t="s">
        <v>98</v>
      </c>
      <c r="I7482">
        <v>26233</v>
      </c>
      <c r="J7482">
        <v>27254</v>
      </c>
    </row>
    <row r="7483" spans="1:10" x14ac:dyDescent="0.3">
      <c r="A7483" t="s">
        <v>7610</v>
      </c>
      <c r="B7483" s="1">
        <v>45935</v>
      </c>
      <c r="C7483" t="s">
        <v>66</v>
      </c>
      <c r="D7483">
        <v>40</v>
      </c>
      <c r="E7483" t="s">
        <v>33</v>
      </c>
      <c r="F7483" t="s">
        <v>87</v>
      </c>
      <c r="G7483" t="s">
        <v>44</v>
      </c>
      <c r="H7483" t="s">
        <v>188</v>
      </c>
      <c r="I7483">
        <v>26189</v>
      </c>
      <c r="J7483">
        <v>31359</v>
      </c>
    </row>
    <row r="7484" spans="1:10" x14ac:dyDescent="0.3">
      <c r="A7484" t="s">
        <v>7611</v>
      </c>
      <c r="B7484" s="1">
        <v>45756</v>
      </c>
      <c r="C7484" t="s">
        <v>86</v>
      </c>
      <c r="D7484">
        <v>15</v>
      </c>
      <c r="E7484" t="s">
        <v>70</v>
      </c>
      <c r="F7484" t="s">
        <v>57</v>
      </c>
      <c r="G7484" t="s">
        <v>72</v>
      </c>
      <c r="H7484" t="s">
        <v>48</v>
      </c>
      <c r="I7484">
        <v>33545</v>
      </c>
      <c r="J7484">
        <v>31116</v>
      </c>
    </row>
    <row r="7485" spans="1:10" x14ac:dyDescent="0.3">
      <c r="A7485" t="s">
        <v>7612</v>
      </c>
      <c r="B7485" s="1">
        <v>45821</v>
      </c>
      <c r="C7485" t="s">
        <v>74</v>
      </c>
      <c r="D7485">
        <v>24</v>
      </c>
      <c r="E7485" t="s">
        <v>12</v>
      </c>
      <c r="F7485" t="s">
        <v>75</v>
      </c>
      <c r="G7485" t="s">
        <v>182</v>
      </c>
      <c r="H7485" t="s">
        <v>96</v>
      </c>
      <c r="I7485">
        <v>20695</v>
      </c>
      <c r="J7485">
        <v>21317</v>
      </c>
    </row>
    <row r="7486" spans="1:10" x14ac:dyDescent="0.3">
      <c r="A7486" t="s">
        <v>7613</v>
      </c>
      <c r="B7486" s="1">
        <v>45684</v>
      </c>
      <c r="C7486" t="s">
        <v>17</v>
      </c>
      <c r="D7486">
        <v>5</v>
      </c>
      <c r="E7486" t="s">
        <v>33</v>
      </c>
      <c r="F7486" t="s">
        <v>114</v>
      </c>
      <c r="G7486" t="s">
        <v>58</v>
      </c>
      <c r="H7486" t="s">
        <v>243</v>
      </c>
      <c r="I7486">
        <v>32779</v>
      </c>
      <c r="J7486">
        <v>25563</v>
      </c>
    </row>
    <row r="7487" spans="1:10" x14ac:dyDescent="0.3">
      <c r="A7487" t="s">
        <v>7614</v>
      </c>
      <c r="B7487" s="1">
        <v>45933</v>
      </c>
      <c r="C7487" t="s">
        <v>66</v>
      </c>
      <c r="D7487">
        <v>40</v>
      </c>
      <c r="E7487" t="s">
        <v>70</v>
      </c>
      <c r="F7487" t="s">
        <v>122</v>
      </c>
      <c r="G7487" t="s">
        <v>230</v>
      </c>
      <c r="H7487" t="s">
        <v>84</v>
      </c>
      <c r="I7487">
        <v>18284</v>
      </c>
      <c r="J7487">
        <v>14247</v>
      </c>
    </row>
    <row r="7488" spans="1:10" x14ac:dyDescent="0.3">
      <c r="A7488" t="s">
        <v>7615</v>
      </c>
      <c r="B7488" s="1">
        <v>45721</v>
      </c>
      <c r="C7488" t="s">
        <v>95</v>
      </c>
      <c r="D7488">
        <v>10</v>
      </c>
      <c r="E7488" t="s">
        <v>18</v>
      </c>
      <c r="F7488" t="s">
        <v>13</v>
      </c>
      <c r="G7488" t="s">
        <v>58</v>
      </c>
      <c r="H7488" t="s">
        <v>31</v>
      </c>
      <c r="I7488">
        <v>18419</v>
      </c>
      <c r="J7488">
        <v>17460</v>
      </c>
    </row>
    <row r="7489" spans="1:10" x14ac:dyDescent="0.3">
      <c r="A7489" t="s">
        <v>7616</v>
      </c>
      <c r="B7489" s="1">
        <v>45912</v>
      </c>
      <c r="C7489" t="s">
        <v>38</v>
      </c>
      <c r="D7489">
        <v>37</v>
      </c>
      <c r="E7489" t="s">
        <v>39</v>
      </c>
      <c r="F7489" t="s">
        <v>46</v>
      </c>
      <c r="G7489" t="s">
        <v>14</v>
      </c>
      <c r="H7489" t="s">
        <v>27</v>
      </c>
      <c r="I7489">
        <v>28355</v>
      </c>
      <c r="J7489">
        <v>24053</v>
      </c>
    </row>
    <row r="7490" spans="1:10" x14ac:dyDescent="0.3">
      <c r="A7490" t="s">
        <v>7617</v>
      </c>
      <c r="B7490" s="1">
        <v>45899</v>
      </c>
      <c r="C7490" t="s">
        <v>113</v>
      </c>
      <c r="D7490">
        <v>35</v>
      </c>
      <c r="E7490" t="s">
        <v>12</v>
      </c>
      <c r="F7490" t="s">
        <v>87</v>
      </c>
      <c r="G7490" t="s">
        <v>107</v>
      </c>
      <c r="H7490" t="s">
        <v>21</v>
      </c>
      <c r="I7490">
        <v>22282</v>
      </c>
      <c r="J7490">
        <v>27753</v>
      </c>
    </row>
    <row r="7491" spans="1:10" x14ac:dyDescent="0.3">
      <c r="A7491" t="s">
        <v>7618</v>
      </c>
      <c r="B7491" s="1">
        <v>45840</v>
      </c>
      <c r="C7491" t="s">
        <v>11</v>
      </c>
      <c r="D7491">
        <v>27</v>
      </c>
      <c r="E7491" t="s">
        <v>33</v>
      </c>
      <c r="F7491" t="s">
        <v>114</v>
      </c>
      <c r="G7491" t="s">
        <v>30</v>
      </c>
      <c r="H7491" t="s">
        <v>96</v>
      </c>
      <c r="I7491">
        <v>22082</v>
      </c>
      <c r="J7491">
        <v>23993</v>
      </c>
    </row>
    <row r="7492" spans="1:10" x14ac:dyDescent="0.3">
      <c r="A7492" t="s">
        <v>7619</v>
      </c>
      <c r="B7492" s="1">
        <v>45962</v>
      </c>
      <c r="C7492" t="s">
        <v>23</v>
      </c>
      <c r="D7492">
        <v>44</v>
      </c>
      <c r="E7492" t="s">
        <v>18</v>
      </c>
      <c r="F7492" t="s">
        <v>29</v>
      </c>
      <c r="G7492" t="s">
        <v>135</v>
      </c>
      <c r="H7492" t="s">
        <v>151</v>
      </c>
      <c r="I7492">
        <v>15411</v>
      </c>
      <c r="J7492">
        <v>19716</v>
      </c>
    </row>
    <row r="7493" spans="1:10" x14ac:dyDescent="0.3">
      <c r="A7493" t="s">
        <v>7620</v>
      </c>
      <c r="B7493" s="1">
        <v>45922</v>
      </c>
      <c r="C7493" t="s">
        <v>38</v>
      </c>
      <c r="D7493">
        <v>39</v>
      </c>
      <c r="E7493" t="s">
        <v>33</v>
      </c>
      <c r="F7493" t="s">
        <v>92</v>
      </c>
      <c r="G7493" t="s">
        <v>135</v>
      </c>
      <c r="H7493" t="s">
        <v>243</v>
      </c>
      <c r="I7493">
        <v>27403</v>
      </c>
      <c r="J7493">
        <v>30109</v>
      </c>
    </row>
    <row r="7494" spans="1:10" x14ac:dyDescent="0.3">
      <c r="A7494" t="s">
        <v>7621</v>
      </c>
      <c r="B7494" s="1">
        <v>45842</v>
      </c>
      <c r="C7494" t="s">
        <v>11</v>
      </c>
      <c r="D7494">
        <v>27</v>
      </c>
      <c r="E7494" t="s">
        <v>24</v>
      </c>
      <c r="F7494" t="s">
        <v>25</v>
      </c>
      <c r="G7494" t="s">
        <v>230</v>
      </c>
      <c r="H7494" t="s">
        <v>151</v>
      </c>
      <c r="I7494">
        <v>27007</v>
      </c>
      <c r="J7494">
        <v>24799</v>
      </c>
    </row>
    <row r="7495" spans="1:10" x14ac:dyDescent="0.3">
      <c r="A7495" t="s">
        <v>7622</v>
      </c>
      <c r="B7495" s="1">
        <v>45701</v>
      </c>
      <c r="C7495" t="s">
        <v>82</v>
      </c>
      <c r="D7495">
        <v>7</v>
      </c>
      <c r="E7495" t="s">
        <v>18</v>
      </c>
      <c r="F7495" t="s">
        <v>43</v>
      </c>
      <c r="G7495" t="s">
        <v>199</v>
      </c>
      <c r="H7495" t="s">
        <v>116</v>
      </c>
      <c r="I7495">
        <v>31508</v>
      </c>
      <c r="J7495">
        <v>33348</v>
      </c>
    </row>
    <row r="7496" spans="1:10" x14ac:dyDescent="0.3">
      <c r="A7496" t="s">
        <v>7623</v>
      </c>
      <c r="B7496" s="1">
        <v>45859</v>
      </c>
      <c r="C7496" t="s">
        <v>11</v>
      </c>
      <c r="D7496">
        <v>30</v>
      </c>
      <c r="E7496" t="s">
        <v>70</v>
      </c>
      <c r="F7496" t="s">
        <v>193</v>
      </c>
      <c r="G7496" t="s">
        <v>147</v>
      </c>
      <c r="H7496" t="s">
        <v>243</v>
      </c>
      <c r="I7496">
        <v>32260</v>
      </c>
      <c r="J7496">
        <v>23785</v>
      </c>
    </row>
    <row r="7497" spans="1:10" x14ac:dyDescent="0.3">
      <c r="A7497" t="s">
        <v>7624</v>
      </c>
      <c r="B7497" s="1">
        <v>45668</v>
      </c>
      <c r="C7497" t="s">
        <v>17</v>
      </c>
      <c r="D7497">
        <v>2</v>
      </c>
      <c r="E7497" t="s">
        <v>33</v>
      </c>
      <c r="F7497" t="s">
        <v>75</v>
      </c>
      <c r="G7497" t="s">
        <v>107</v>
      </c>
      <c r="H7497" t="s">
        <v>111</v>
      </c>
      <c r="I7497">
        <v>27698</v>
      </c>
      <c r="J7497">
        <v>35593</v>
      </c>
    </row>
    <row r="7498" spans="1:10" x14ac:dyDescent="0.3">
      <c r="A7498" t="s">
        <v>7625</v>
      </c>
      <c r="B7498" s="1">
        <v>45868</v>
      </c>
      <c r="C7498" t="s">
        <v>11</v>
      </c>
      <c r="D7498">
        <v>31</v>
      </c>
      <c r="E7498" t="s">
        <v>39</v>
      </c>
      <c r="F7498" t="s">
        <v>78</v>
      </c>
      <c r="G7498" t="s">
        <v>83</v>
      </c>
      <c r="H7498" t="s">
        <v>165</v>
      </c>
      <c r="I7498">
        <v>38449</v>
      </c>
      <c r="J7498">
        <v>45767</v>
      </c>
    </row>
    <row r="7499" spans="1:10" x14ac:dyDescent="0.3">
      <c r="A7499" t="s">
        <v>7626</v>
      </c>
      <c r="B7499" s="1">
        <v>45762</v>
      </c>
      <c r="C7499" t="s">
        <v>86</v>
      </c>
      <c r="D7499">
        <v>16</v>
      </c>
      <c r="E7499" t="s">
        <v>18</v>
      </c>
      <c r="F7499" t="s">
        <v>92</v>
      </c>
      <c r="G7499" t="s">
        <v>266</v>
      </c>
      <c r="H7499" t="s">
        <v>96</v>
      </c>
      <c r="I7499">
        <v>19978</v>
      </c>
      <c r="J7499">
        <v>19152</v>
      </c>
    </row>
    <row r="7500" spans="1:10" x14ac:dyDescent="0.3">
      <c r="A7500" t="s">
        <v>7627</v>
      </c>
      <c r="B7500" s="1">
        <v>45954</v>
      </c>
      <c r="C7500" t="s">
        <v>66</v>
      </c>
      <c r="D7500">
        <v>43</v>
      </c>
      <c r="E7500" t="s">
        <v>39</v>
      </c>
      <c r="F7500" t="s">
        <v>114</v>
      </c>
      <c r="G7500" t="s">
        <v>14</v>
      </c>
      <c r="H7500" t="s">
        <v>68</v>
      </c>
      <c r="I7500">
        <v>24584</v>
      </c>
      <c r="J7500">
        <v>19132</v>
      </c>
    </row>
    <row r="7501" spans="1:10" x14ac:dyDescent="0.3">
      <c r="A7501" t="s">
        <v>7628</v>
      </c>
      <c r="B7501" s="1">
        <v>45905</v>
      </c>
      <c r="C7501" t="s">
        <v>38</v>
      </c>
      <c r="D7501">
        <v>36</v>
      </c>
      <c r="E7501" t="s">
        <v>24</v>
      </c>
      <c r="F7501" t="s">
        <v>87</v>
      </c>
      <c r="G7501" t="s">
        <v>26</v>
      </c>
      <c r="H7501" t="s">
        <v>98</v>
      </c>
      <c r="I7501">
        <v>26677</v>
      </c>
      <c r="J7501">
        <v>24766</v>
      </c>
    </row>
    <row r="7502" spans="1:10" x14ac:dyDescent="0.3">
      <c r="A7502" t="s">
        <v>7629</v>
      </c>
      <c r="B7502" s="1">
        <v>45830</v>
      </c>
      <c r="C7502" t="s">
        <v>74</v>
      </c>
      <c r="D7502">
        <v>25</v>
      </c>
      <c r="E7502" t="s">
        <v>70</v>
      </c>
      <c r="F7502" t="s">
        <v>122</v>
      </c>
      <c r="G7502" t="s">
        <v>115</v>
      </c>
      <c r="H7502" t="s">
        <v>211</v>
      </c>
      <c r="I7502">
        <v>34047</v>
      </c>
      <c r="J7502">
        <v>34269</v>
      </c>
    </row>
    <row r="7503" spans="1:10" x14ac:dyDescent="0.3">
      <c r="A7503" t="s">
        <v>7630</v>
      </c>
      <c r="B7503" s="1">
        <v>45779</v>
      </c>
      <c r="C7503" t="s">
        <v>90</v>
      </c>
      <c r="D7503">
        <v>18</v>
      </c>
      <c r="E7503" t="s">
        <v>70</v>
      </c>
      <c r="F7503" t="s">
        <v>122</v>
      </c>
      <c r="G7503" t="s">
        <v>326</v>
      </c>
      <c r="H7503" t="s">
        <v>31</v>
      </c>
      <c r="I7503">
        <v>32613</v>
      </c>
      <c r="J7503">
        <v>37980</v>
      </c>
    </row>
    <row r="7504" spans="1:10" x14ac:dyDescent="0.3">
      <c r="A7504" t="s">
        <v>7631</v>
      </c>
      <c r="B7504" s="1">
        <v>45697</v>
      </c>
      <c r="C7504" t="s">
        <v>82</v>
      </c>
      <c r="D7504">
        <v>6</v>
      </c>
      <c r="E7504" t="s">
        <v>24</v>
      </c>
      <c r="F7504" t="s">
        <v>140</v>
      </c>
      <c r="G7504" t="s">
        <v>135</v>
      </c>
      <c r="H7504" t="s">
        <v>111</v>
      </c>
      <c r="I7504">
        <v>19228</v>
      </c>
      <c r="J7504">
        <v>20478</v>
      </c>
    </row>
    <row r="7505" spans="1:10" x14ac:dyDescent="0.3">
      <c r="A7505" t="s">
        <v>7632</v>
      </c>
      <c r="B7505" s="1">
        <v>45744</v>
      </c>
      <c r="C7505" t="s">
        <v>95</v>
      </c>
      <c r="D7505">
        <v>13</v>
      </c>
      <c r="E7505" t="s">
        <v>61</v>
      </c>
      <c r="F7505" t="s">
        <v>78</v>
      </c>
      <c r="G7505" t="s">
        <v>135</v>
      </c>
      <c r="H7505" t="s">
        <v>36</v>
      </c>
      <c r="I7505">
        <v>22063</v>
      </c>
      <c r="J7505">
        <v>20300</v>
      </c>
    </row>
    <row r="7506" spans="1:10" x14ac:dyDescent="0.3">
      <c r="A7506" t="s">
        <v>7633</v>
      </c>
      <c r="B7506" s="1">
        <v>45797</v>
      </c>
      <c r="C7506" t="s">
        <v>90</v>
      </c>
      <c r="D7506">
        <v>21</v>
      </c>
      <c r="E7506" t="s">
        <v>12</v>
      </c>
      <c r="F7506" t="s">
        <v>92</v>
      </c>
      <c r="G7506" t="s">
        <v>93</v>
      </c>
      <c r="H7506" t="s">
        <v>163</v>
      </c>
      <c r="I7506">
        <v>37944</v>
      </c>
      <c r="J7506">
        <v>33462</v>
      </c>
    </row>
    <row r="7507" spans="1:10" x14ac:dyDescent="0.3">
      <c r="A7507" t="s">
        <v>7634</v>
      </c>
      <c r="B7507" s="1">
        <v>45756</v>
      </c>
      <c r="C7507" t="s">
        <v>86</v>
      </c>
      <c r="D7507">
        <v>15</v>
      </c>
      <c r="E7507" t="s">
        <v>12</v>
      </c>
      <c r="F7507" t="s">
        <v>92</v>
      </c>
      <c r="G7507" t="s">
        <v>132</v>
      </c>
      <c r="H7507" t="s">
        <v>41</v>
      </c>
      <c r="I7507">
        <v>26421</v>
      </c>
      <c r="J7507">
        <v>24268</v>
      </c>
    </row>
    <row r="7508" spans="1:10" x14ac:dyDescent="0.3">
      <c r="A7508" t="s">
        <v>7635</v>
      </c>
      <c r="B7508" s="1">
        <v>45740</v>
      </c>
      <c r="C7508" t="s">
        <v>95</v>
      </c>
      <c r="D7508">
        <v>13</v>
      </c>
      <c r="E7508" t="s">
        <v>70</v>
      </c>
      <c r="F7508" t="s">
        <v>92</v>
      </c>
      <c r="G7508" t="s">
        <v>145</v>
      </c>
      <c r="H7508" t="s">
        <v>243</v>
      </c>
      <c r="I7508">
        <v>26934</v>
      </c>
      <c r="J7508">
        <v>22136</v>
      </c>
    </row>
    <row r="7509" spans="1:10" x14ac:dyDescent="0.3">
      <c r="A7509" t="s">
        <v>7636</v>
      </c>
      <c r="B7509" s="1">
        <v>45749</v>
      </c>
      <c r="C7509" t="s">
        <v>86</v>
      </c>
      <c r="D7509">
        <v>14</v>
      </c>
      <c r="E7509" t="s">
        <v>61</v>
      </c>
      <c r="F7509" t="s">
        <v>140</v>
      </c>
      <c r="G7509" t="s">
        <v>14</v>
      </c>
      <c r="H7509" t="s">
        <v>64</v>
      </c>
      <c r="I7509">
        <v>35223</v>
      </c>
      <c r="J7509">
        <v>26684</v>
      </c>
    </row>
    <row r="7510" spans="1:10" x14ac:dyDescent="0.3">
      <c r="A7510" t="s">
        <v>7637</v>
      </c>
      <c r="B7510" s="1">
        <v>45978</v>
      </c>
      <c r="C7510" t="s">
        <v>23</v>
      </c>
      <c r="D7510">
        <v>47</v>
      </c>
      <c r="E7510" t="s">
        <v>39</v>
      </c>
      <c r="F7510" t="s">
        <v>140</v>
      </c>
      <c r="G7510" t="s">
        <v>40</v>
      </c>
      <c r="H7510" t="s">
        <v>155</v>
      </c>
      <c r="I7510">
        <v>37681</v>
      </c>
      <c r="J7510">
        <v>40065</v>
      </c>
    </row>
    <row r="7511" spans="1:10" x14ac:dyDescent="0.3">
      <c r="A7511" t="s">
        <v>7638</v>
      </c>
      <c r="B7511" s="1">
        <v>45766</v>
      </c>
      <c r="C7511" t="s">
        <v>86</v>
      </c>
      <c r="D7511">
        <v>16</v>
      </c>
      <c r="E7511" t="s">
        <v>18</v>
      </c>
      <c r="F7511" t="s">
        <v>50</v>
      </c>
      <c r="G7511" t="s">
        <v>182</v>
      </c>
      <c r="H7511" t="s">
        <v>36</v>
      </c>
      <c r="I7511">
        <v>17984</v>
      </c>
      <c r="J7511">
        <v>14187</v>
      </c>
    </row>
    <row r="7512" spans="1:10" x14ac:dyDescent="0.3">
      <c r="A7512" t="s">
        <v>7639</v>
      </c>
      <c r="B7512" s="1">
        <v>45810</v>
      </c>
      <c r="C7512" t="s">
        <v>74</v>
      </c>
      <c r="D7512">
        <v>23</v>
      </c>
      <c r="E7512" t="s">
        <v>70</v>
      </c>
      <c r="F7512" t="s">
        <v>140</v>
      </c>
      <c r="G7512" t="s">
        <v>160</v>
      </c>
      <c r="H7512" t="s">
        <v>84</v>
      </c>
      <c r="I7512">
        <v>36625</v>
      </c>
      <c r="J7512">
        <v>40197</v>
      </c>
    </row>
    <row r="7513" spans="1:10" x14ac:dyDescent="0.3">
      <c r="A7513" t="s">
        <v>7640</v>
      </c>
      <c r="B7513" s="1">
        <v>45959</v>
      </c>
      <c r="C7513" t="s">
        <v>66</v>
      </c>
      <c r="D7513">
        <v>44</v>
      </c>
      <c r="E7513" t="s">
        <v>39</v>
      </c>
      <c r="F7513" t="s">
        <v>62</v>
      </c>
      <c r="G7513" t="s">
        <v>128</v>
      </c>
      <c r="H7513" t="s">
        <v>98</v>
      </c>
      <c r="I7513">
        <v>28772</v>
      </c>
      <c r="J7513">
        <v>30624</v>
      </c>
    </row>
    <row r="7514" spans="1:10" x14ac:dyDescent="0.3">
      <c r="A7514" t="s">
        <v>7641</v>
      </c>
      <c r="B7514" s="1">
        <v>45782</v>
      </c>
      <c r="C7514" t="s">
        <v>90</v>
      </c>
      <c r="D7514">
        <v>19</v>
      </c>
      <c r="E7514" t="s">
        <v>39</v>
      </c>
      <c r="F7514" t="s">
        <v>13</v>
      </c>
      <c r="G7514" t="s">
        <v>149</v>
      </c>
      <c r="H7514" t="s">
        <v>111</v>
      </c>
      <c r="I7514">
        <v>23725</v>
      </c>
      <c r="J7514">
        <v>30494</v>
      </c>
    </row>
    <row r="7515" spans="1:10" x14ac:dyDescent="0.3">
      <c r="A7515" t="s">
        <v>7642</v>
      </c>
      <c r="B7515" s="1">
        <v>45795</v>
      </c>
      <c r="C7515" t="s">
        <v>90</v>
      </c>
      <c r="D7515">
        <v>20</v>
      </c>
      <c r="E7515" t="s">
        <v>39</v>
      </c>
      <c r="F7515" t="s">
        <v>193</v>
      </c>
      <c r="G7515" t="s">
        <v>58</v>
      </c>
      <c r="H7515" t="s">
        <v>155</v>
      </c>
      <c r="I7515">
        <v>27580</v>
      </c>
      <c r="J7515">
        <v>32890</v>
      </c>
    </row>
    <row r="7516" spans="1:10" x14ac:dyDescent="0.3">
      <c r="A7516" t="s">
        <v>7643</v>
      </c>
      <c r="B7516" s="1">
        <v>45876</v>
      </c>
      <c r="C7516" t="s">
        <v>113</v>
      </c>
      <c r="D7516">
        <v>32</v>
      </c>
      <c r="E7516" t="s">
        <v>24</v>
      </c>
      <c r="F7516" t="s">
        <v>57</v>
      </c>
      <c r="G7516" t="s">
        <v>141</v>
      </c>
      <c r="H7516" t="s">
        <v>103</v>
      </c>
      <c r="I7516">
        <v>31709</v>
      </c>
      <c r="J7516">
        <v>29817</v>
      </c>
    </row>
    <row r="7517" spans="1:10" x14ac:dyDescent="0.3">
      <c r="A7517" t="s">
        <v>7644</v>
      </c>
      <c r="B7517" s="1">
        <v>45985</v>
      </c>
      <c r="C7517" t="s">
        <v>23</v>
      </c>
      <c r="D7517">
        <v>48</v>
      </c>
      <c r="E7517" t="s">
        <v>24</v>
      </c>
      <c r="F7517" t="s">
        <v>50</v>
      </c>
      <c r="G7517" t="s">
        <v>326</v>
      </c>
      <c r="H7517" t="s">
        <v>188</v>
      </c>
      <c r="I7517">
        <v>26548</v>
      </c>
      <c r="J7517">
        <v>30281</v>
      </c>
    </row>
    <row r="7518" spans="1:10" x14ac:dyDescent="0.3">
      <c r="A7518" t="s">
        <v>7645</v>
      </c>
      <c r="B7518" s="1">
        <v>45816</v>
      </c>
      <c r="C7518" t="s">
        <v>74</v>
      </c>
      <c r="D7518">
        <v>23</v>
      </c>
      <c r="E7518" t="s">
        <v>70</v>
      </c>
      <c r="F7518" t="s">
        <v>140</v>
      </c>
      <c r="G7518" t="s">
        <v>191</v>
      </c>
      <c r="H7518" t="s">
        <v>151</v>
      </c>
      <c r="I7518">
        <v>20279</v>
      </c>
      <c r="J7518">
        <v>24913</v>
      </c>
    </row>
    <row r="7519" spans="1:10" x14ac:dyDescent="0.3">
      <c r="A7519" t="s">
        <v>7646</v>
      </c>
      <c r="B7519" s="1">
        <v>46002</v>
      </c>
      <c r="C7519" t="s">
        <v>100</v>
      </c>
      <c r="D7519">
        <v>50</v>
      </c>
      <c r="E7519" t="s">
        <v>18</v>
      </c>
      <c r="F7519" t="s">
        <v>25</v>
      </c>
      <c r="G7519" t="s">
        <v>88</v>
      </c>
      <c r="H7519" t="s">
        <v>31</v>
      </c>
      <c r="I7519">
        <v>29783</v>
      </c>
      <c r="J7519">
        <v>27228</v>
      </c>
    </row>
    <row r="7520" spans="1:10" x14ac:dyDescent="0.3">
      <c r="A7520" t="s">
        <v>7647</v>
      </c>
      <c r="B7520" s="1">
        <v>45661</v>
      </c>
      <c r="C7520" t="s">
        <v>17</v>
      </c>
      <c r="D7520">
        <v>1</v>
      </c>
      <c r="E7520" t="s">
        <v>39</v>
      </c>
      <c r="F7520" t="s">
        <v>13</v>
      </c>
      <c r="G7520" t="s">
        <v>67</v>
      </c>
      <c r="H7520" t="s">
        <v>68</v>
      </c>
      <c r="I7520">
        <v>33192</v>
      </c>
      <c r="J7520">
        <v>39670</v>
      </c>
    </row>
    <row r="7521" spans="1:10" x14ac:dyDescent="0.3">
      <c r="A7521" t="s">
        <v>7648</v>
      </c>
      <c r="B7521" s="1">
        <v>45929</v>
      </c>
      <c r="C7521" t="s">
        <v>38</v>
      </c>
      <c r="D7521">
        <v>40</v>
      </c>
      <c r="E7521" t="s">
        <v>18</v>
      </c>
      <c r="F7521" t="s">
        <v>13</v>
      </c>
      <c r="G7521" t="s">
        <v>224</v>
      </c>
      <c r="H7521" t="s">
        <v>188</v>
      </c>
      <c r="I7521">
        <v>38323</v>
      </c>
      <c r="J7521">
        <v>39163</v>
      </c>
    </row>
    <row r="7522" spans="1:10" x14ac:dyDescent="0.3">
      <c r="A7522" t="s">
        <v>7649</v>
      </c>
      <c r="B7522" s="1">
        <v>46017</v>
      </c>
      <c r="C7522" t="s">
        <v>100</v>
      </c>
      <c r="D7522">
        <v>52</v>
      </c>
      <c r="E7522" t="s">
        <v>33</v>
      </c>
      <c r="F7522" t="s">
        <v>19</v>
      </c>
      <c r="G7522" t="s">
        <v>266</v>
      </c>
      <c r="H7522" t="s">
        <v>116</v>
      </c>
      <c r="I7522">
        <v>30069</v>
      </c>
      <c r="J7522">
        <v>33790</v>
      </c>
    </row>
    <row r="7523" spans="1:10" x14ac:dyDescent="0.3">
      <c r="A7523" t="s">
        <v>7650</v>
      </c>
      <c r="B7523" s="1">
        <v>45931</v>
      </c>
      <c r="C7523" t="s">
        <v>66</v>
      </c>
      <c r="D7523">
        <v>40</v>
      </c>
      <c r="E7523" t="s">
        <v>18</v>
      </c>
      <c r="F7523" t="s">
        <v>87</v>
      </c>
      <c r="G7523" t="s">
        <v>171</v>
      </c>
      <c r="H7523" t="s">
        <v>15</v>
      </c>
      <c r="I7523">
        <v>30697</v>
      </c>
      <c r="J7523">
        <v>24544</v>
      </c>
    </row>
    <row r="7524" spans="1:10" x14ac:dyDescent="0.3">
      <c r="A7524" t="s">
        <v>7651</v>
      </c>
      <c r="B7524" s="1">
        <v>45782</v>
      </c>
      <c r="C7524" t="s">
        <v>90</v>
      </c>
      <c r="D7524">
        <v>19</v>
      </c>
      <c r="E7524" t="s">
        <v>18</v>
      </c>
      <c r="F7524" t="s">
        <v>62</v>
      </c>
      <c r="G7524" t="s">
        <v>224</v>
      </c>
      <c r="H7524" t="s">
        <v>165</v>
      </c>
      <c r="I7524">
        <v>25003</v>
      </c>
      <c r="J7524">
        <v>24633</v>
      </c>
    </row>
    <row r="7525" spans="1:10" x14ac:dyDescent="0.3">
      <c r="A7525" t="s">
        <v>7652</v>
      </c>
      <c r="B7525" s="1">
        <v>45810</v>
      </c>
      <c r="C7525" t="s">
        <v>74</v>
      </c>
      <c r="D7525">
        <v>23</v>
      </c>
      <c r="E7525" t="s">
        <v>24</v>
      </c>
      <c r="F7525" t="s">
        <v>34</v>
      </c>
      <c r="G7525" t="s">
        <v>132</v>
      </c>
      <c r="H7525" t="s">
        <v>243</v>
      </c>
      <c r="I7525">
        <v>32878</v>
      </c>
      <c r="J7525">
        <v>29773</v>
      </c>
    </row>
    <row r="7526" spans="1:10" x14ac:dyDescent="0.3">
      <c r="A7526" t="s">
        <v>7653</v>
      </c>
      <c r="B7526" s="1">
        <v>45874</v>
      </c>
      <c r="C7526" t="s">
        <v>113</v>
      </c>
      <c r="D7526">
        <v>32</v>
      </c>
      <c r="E7526" t="s">
        <v>61</v>
      </c>
      <c r="F7526" t="s">
        <v>25</v>
      </c>
      <c r="G7526" t="s">
        <v>35</v>
      </c>
      <c r="H7526" t="s">
        <v>155</v>
      </c>
      <c r="I7526">
        <v>29220</v>
      </c>
      <c r="J7526">
        <v>31753</v>
      </c>
    </row>
    <row r="7527" spans="1:10" x14ac:dyDescent="0.3">
      <c r="A7527" t="s">
        <v>7654</v>
      </c>
      <c r="B7527" s="1">
        <v>45988</v>
      </c>
      <c r="C7527" t="s">
        <v>23</v>
      </c>
      <c r="D7527">
        <v>48</v>
      </c>
      <c r="E7527" t="s">
        <v>24</v>
      </c>
      <c r="F7527" t="s">
        <v>13</v>
      </c>
      <c r="G7527" t="s">
        <v>79</v>
      </c>
      <c r="H7527" t="s">
        <v>133</v>
      </c>
      <c r="I7527">
        <v>24347</v>
      </c>
      <c r="J7527">
        <v>26395</v>
      </c>
    </row>
    <row r="7528" spans="1:10" x14ac:dyDescent="0.3">
      <c r="A7528" t="s">
        <v>7655</v>
      </c>
      <c r="B7528" s="1">
        <v>45771</v>
      </c>
      <c r="C7528" t="s">
        <v>86</v>
      </c>
      <c r="D7528">
        <v>17</v>
      </c>
      <c r="E7528" t="s">
        <v>70</v>
      </c>
      <c r="F7528" t="s">
        <v>46</v>
      </c>
      <c r="G7528" t="s">
        <v>14</v>
      </c>
      <c r="H7528" t="s">
        <v>165</v>
      </c>
      <c r="I7528">
        <v>32117</v>
      </c>
      <c r="J7528">
        <v>39767</v>
      </c>
    </row>
    <row r="7529" spans="1:10" x14ac:dyDescent="0.3">
      <c r="A7529" t="s">
        <v>7656</v>
      </c>
      <c r="B7529" s="1">
        <v>45979</v>
      </c>
      <c r="C7529" t="s">
        <v>23</v>
      </c>
      <c r="D7529">
        <v>47</v>
      </c>
      <c r="E7529" t="s">
        <v>61</v>
      </c>
      <c r="F7529" t="s">
        <v>62</v>
      </c>
      <c r="G7529" t="s">
        <v>206</v>
      </c>
      <c r="H7529" t="s">
        <v>80</v>
      </c>
      <c r="I7529">
        <v>20030</v>
      </c>
      <c r="J7529">
        <v>19347</v>
      </c>
    </row>
    <row r="7530" spans="1:10" x14ac:dyDescent="0.3">
      <c r="A7530" t="s">
        <v>7657</v>
      </c>
      <c r="B7530" s="1">
        <v>46004</v>
      </c>
      <c r="C7530" t="s">
        <v>100</v>
      </c>
      <c r="D7530">
        <v>50</v>
      </c>
      <c r="E7530" t="s">
        <v>70</v>
      </c>
      <c r="F7530" t="s">
        <v>122</v>
      </c>
      <c r="G7530" t="s">
        <v>171</v>
      </c>
      <c r="H7530" t="s">
        <v>68</v>
      </c>
      <c r="I7530">
        <v>23660</v>
      </c>
      <c r="J7530">
        <v>27475</v>
      </c>
    </row>
    <row r="7531" spans="1:10" x14ac:dyDescent="0.3">
      <c r="A7531" t="s">
        <v>7658</v>
      </c>
      <c r="B7531" s="1">
        <v>45683</v>
      </c>
      <c r="C7531" t="s">
        <v>17</v>
      </c>
      <c r="D7531">
        <v>4</v>
      </c>
      <c r="E7531" t="s">
        <v>18</v>
      </c>
      <c r="F7531" t="s">
        <v>101</v>
      </c>
      <c r="G7531" t="s">
        <v>128</v>
      </c>
      <c r="H7531" t="s">
        <v>64</v>
      </c>
      <c r="I7531">
        <v>27113</v>
      </c>
      <c r="J7531">
        <v>23696</v>
      </c>
    </row>
    <row r="7532" spans="1:10" x14ac:dyDescent="0.3">
      <c r="A7532" t="s">
        <v>7659</v>
      </c>
      <c r="B7532" s="1">
        <v>45790</v>
      </c>
      <c r="C7532" t="s">
        <v>90</v>
      </c>
      <c r="D7532">
        <v>20</v>
      </c>
      <c r="E7532" t="s">
        <v>24</v>
      </c>
      <c r="F7532" t="s">
        <v>19</v>
      </c>
      <c r="G7532" t="s">
        <v>40</v>
      </c>
      <c r="H7532" t="s">
        <v>165</v>
      </c>
      <c r="I7532">
        <v>15352</v>
      </c>
      <c r="J7532">
        <v>18391</v>
      </c>
    </row>
    <row r="7533" spans="1:10" x14ac:dyDescent="0.3">
      <c r="A7533" t="s">
        <v>7660</v>
      </c>
      <c r="B7533" s="1">
        <v>45924</v>
      </c>
      <c r="C7533" t="s">
        <v>38</v>
      </c>
      <c r="D7533">
        <v>39</v>
      </c>
      <c r="E7533" t="s">
        <v>61</v>
      </c>
      <c r="F7533" t="s">
        <v>122</v>
      </c>
      <c r="G7533" t="s">
        <v>199</v>
      </c>
      <c r="H7533" t="s">
        <v>111</v>
      </c>
      <c r="I7533">
        <v>38435</v>
      </c>
      <c r="J7533">
        <v>30393</v>
      </c>
    </row>
    <row r="7534" spans="1:10" x14ac:dyDescent="0.3">
      <c r="A7534" t="s">
        <v>7661</v>
      </c>
      <c r="B7534" s="1">
        <v>45928</v>
      </c>
      <c r="C7534" t="s">
        <v>38</v>
      </c>
      <c r="D7534">
        <v>39</v>
      </c>
      <c r="E7534" t="s">
        <v>24</v>
      </c>
      <c r="F7534" t="s">
        <v>62</v>
      </c>
      <c r="G7534" t="s">
        <v>76</v>
      </c>
      <c r="H7534" t="s">
        <v>31</v>
      </c>
      <c r="I7534">
        <v>24602</v>
      </c>
      <c r="J7534">
        <v>24150</v>
      </c>
    </row>
    <row r="7535" spans="1:10" x14ac:dyDescent="0.3">
      <c r="A7535" t="s">
        <v>7662</v>
      </c>
      <c r="B7535" s="1">
        <v>45677</v>
      </c>
      <c r="C7535" t="s">
        <v>17</v>
      </c>
      <c r="D7535">
        <v>4</v>
      </c>
      <c r="E7535" t="s">
        <v>18</v>
      </c>
      <c r="F7535" t="s">
        <v>109</v>
      </c>
      <c r="G7535" t="s">
        <v>132</v>
      </c>
      <c r="H7535" t="s">
        <v>48</v>
      </c>
      <c r="I7535">
        <v>29204</v>
      </c>
      <c r="J7535">
        <v>26179</v>
      </c>
    </row>
    <row r="7536" spans="1:10" x14ac:dyDescent="0.3">
      <c r="A7536" t="s">
        <v>7663</v>
      </c>
      <c r="B7536" s="1">
        <v>46011</v>
      </c>
      <c r="C7536" t="s">
        <v>100</v>
      </c>
      <c r="D7536">
        <v>51</v>
      </c>
      <c r="E7536" t="s">
        <v>12</v>
      </c>
      <c r="F7536" t="s">
        <v>92</v>
      </c>
      <c r="G7536" t="s">
        <v>234</v>
      </c>
      <c r="H7536" t="s">
        <v>41</v>
      </c>
      <c r="I7536">
        <v>35737</v>
      </c>
      <c r="J7536">
        <v>33032</v>
      </c>
    </row>
    <row r="7537" spans="1:10" x14ac:dyDescent="0.3">
      <c r="A7537" t="s">
        <v>7664</v>
      </c>
      <c r="B7537" s="1">
        <v>45716</v>
      </c>
      <c r="C7537" t="s">
        <v>82</v>
      </c>
      <c r="D7537">
        <v>9</v>
      </c>
      <c r="E7537" t="s">
        <v>61</v>
      </c>
      <c r="F7537" t="s">
        <v>78</v>
      </c>
      <c r="G7537" t="s">
        <v>44</v>
      </c>
      <c r="H7537" t="s">
        <v>27</v>
      </c>
      <c r="I7537">
        <v>37877</v>
      </c>
      <c r="J7537">
        <v>43195</v>
      </c>
    </row>
    <row r="7538" spans="1:10" x14ac:dyDescent="0.3">
      <c r="A7538" t="s">
        <v>7665</v>
      </c>
      <c r="B7538" s="1">
        <v>45845</v>
      </c>
      <c r="C7538" t="s">
        <v>11</v>
      </c>
      <c r="D7538">
        <v>28</v>
      </c>
      <c r="E7538" t="s">
        <v>12</v>
      </c>
      <c r="F7538" t="s">
        <v>78</v>
      </c>
      <c r="G7538" t="s">
        <v>72</v>
      </c>
      <c r="H7538" t="s">
        <v>84</v>
      </c>
      <c r="I7538">
        <v>15928</v>
      </c>
      <c r="J7538">
        <v>12210</v>
      </c>
    </row>
    <row r="7539" spans="1:10" x14ac:dyDescent="0.3">
      <c r="A7539" t="s">
        <v>7666</v>
      </c>
      <c r="B7539" s="1">
        <v>45708</v>
      </c>
      <c r="C7539" t="s">
        <v>82</v>
      </c>
      <c r="D7539">
        <v>8</v>
      </c>
      <c r="E7539" t="s">
        <v>33</v>
      </c>
      <c r="F7539" t="s">
        <v>101</v>
      </c>
      <c r="G7539" t="s">
        <v>88</v>
      </c>
      <c r="H7539" t="s">
        <v>111</v>
      </c>
      <c r="I7539">
        <v>21417</v>
      </c>
      <c r="J7539">
        <v>24692</v>
      </c>
    </row>
    <row r="7540" spans="1:10" x14ac:dyDescent="0.3">
      <c r="A7540" t="s">
        <v>7667</v>
      </c>
      <c r="B7540" s="1">
        <v>45708</v>
      </c>
      <c r="C7540" t="s">
        <v>82</v>
      </c>
      <c r="D7540">
        <v>8</v>
      </c>
      <c r="E7540" t="s">
        <v>18</v>
      </c>
      <c r="F7540" t="s">
        <v>34</v>
      </c>
      <c r="G7540" t="s">
        <v>199</v>
      </c>
      <c r="H7540" t="s">
        <v>55</v>
      </c>
      <c r="I7540">
        <v>39924</v>
      </c>
      <c r="J7540">
        <v>37464</v>
      </c>
    </row>
    <row r="7541" spans="1:10" x14ac:dyDescent="0.3">
      <c r="A7541" t="s">
        <v>7668</v>
      </c>
      <c r="B7541" s="1">
        <v>45961</v>
      </c>
      <c r="C7541" t="s">
        <v>66</v>
      </c>
      <c r="D7541">
        <v>44</v>
      </c>
      <c r="E7541" t="s">
        <v>12</v>
      </c>
      <c r="F7541" t="s">
        <v>46</v>
      </c>
      <c r="G7541" t="s">
        <v>291</v>
      </c>
      <c r="H7541" t="s">
        <v>157</v>
      </c>
      <c r="I7541">
        <v>25679</v>
      </c>
      <c r="J7541">
        <v>30470</v>
      </c>
    </row>
    <row r="7542" spans="1:10" x14ac:dyDescent="0.3">
      <c r="A7542" t="s">
        <v>7669</v>
      </c>
      <c r="B7542" s="1">
        <v>46022</v>
      </c>
      <c r="C7542" t="s">
        <v>100</v>
      </c>
      <c r="D7542">
        <v>1</v>
      </c>
      <c r="E7542" t="s">
        <v>12</v>
      </c>
      <c r="F7542" t="s">
        <v>87</v>
      </c>
      <c r="G7542" t="s">
        <v>83</v>
      </c>
      <c r="H7542" t="s">
        <v>151</v>
      </c>
      <c r="I7542">
        <v>19882</v>
      </c>
      <c r="J7542">
        <v>22731</v>
      </c>
    </row>
    <row r="7543" spans="1:10" x14ac:dyDescent="0.3">
      <c r="A7543" t="s">
        <v>7670</v>
      </c>
      <c r="B7543" s="1">
        <v>45958</v>
      </c>
      <c r="C7543" t="s">
        <v>66</v>
      </c>
      <c r="D7543">
        <v>44</v>
      </c>
      <c r="E7543" t="s">
        <v>61</v>
      </c>
      <c r="F7543" t="s">
        <v>92</v>
      </c>
      <c r="G7543" t="s">
        <v>128</v>
      </c>
      <c r="H7543" t="s">
        <v>21</v>
      </c>
      <c r="I7543">
        <v>39851</v>
      </c>
      <c r="J7543">
        <v>42231</v>
      </c>
    </row>
    <row r="7544" spans="1:10" x14ac:dyDescent="0.3">
      <c r="A7544" t="s">
        <v>7671</v>
      </c>
      <c r="B7544" s="1">
        <v>45950</v>
      </c>
      <c r="C7544" t="s">
        <v>66</v>
      </c>
      <c r="D7544">
        <v>43</v>
      </c>
      <c r="E7544" t="s">
        <v>33</v>
      </c>
      <c r="F7544" t="s">
        <v>109</v>
      </c>
      <c r="G7544" t="s">
        <v>206</v>
      </c>
      <c r="H7544" t="s">
        <v>211</v>
      </c>
      <c r="I7544">
        <v>35059</v>
      </c>
      <c r="J7544">
        <v>24749</v>
      </c>
    </row>
    <row r="7545" spans="1:10" x14ac:dyDescent="0.3">
      <c r="A7545" t="s">
        <v>7672</v>
      </c>
      <c r="B7545" s="1">
        <v>45924</v>
      </c>
      <c r="C7545" t="s">
        <v>38</v>
      </c>
      <c r="D7545">
        <v>39</v>
      </c>
      <c r="E7545" t="s">
        <v>18</v>
      </c>
      <c r="F7545" t="s">
        <v>29</v>
      </c>
      <c r="G7545" t="s">
        <v>149</v>
      </c>
      <c r="H7545" t="s">
        <v>41</v>
      </c>
      <c r="I7545">
        <v>15158</v>
      </c>
      <c r="J7545">
        <v>11409</v>
      </c>
    </row>
    <row r="7546" spans="1:10" x14ac:dyDescent="0.3">
      <c r="A7546" t="s">
        <v>7673</v>
      </c>
      <c r="B7546" s="1">
        <v>45834</v>
      </c>
      <c r="C7546" t="s">
        <v>74</v>
      </c>
      <c r="D7546">
        <v>26</v>
      </c>
      <c r="E7546" t="s">
        <v>70</v>
      </c>
      <c r="F7546" t="s">
        <v>19</v>
      </c>
      <c r="G7546" t="s">
        <v>83</v>
      </c>
      <c r="H7546" t="s">
        <v>41</v>
      </c>
      <c r="I7546">
        <v>35092</v>
      </c>
      <c r="J7546">
        <v>25751</v>
      </c>
    </row>
    <row r="7547" spans="1:10" x14ac:dyDescent="0.3">
      <c r="A7547" t="s">
        <v>7674</v>
      </c>
      <c r="B7547" s="1">
        <v>45767</v>
      </c>
      <c r="C7547" t="s">
        <v>86</v>
      </c>
      <c r="D7547">
        <v>16</v>
      </c>
      <c r="E7547" t="s">
        <v>12</v>
      </c>
      <c r="F7547" t="s">
        <v>122</v>
      </c>
      <c r="G7547" t="s">
        <v>47</v>
      </c>
      <c r="H7547" t="s">
        <v>96</v>
      </c>
      <c r="I7547">
        <v>20112</v>
      </c>
      <c r="J7547">
        <v>20428</v>
      </c>
    </row>
    <row r="7548" spans="1:10" x14ac:dyDescent="0.3">
      <c r="A7548" t="s">
        <v>7675</v>
      </c>
      <c r="B7548" s="1">
        <v>45975</v>
      </c>
      <c r="C7548" t="s">
        <v>23</v>
      </c>
      <c r="D7548">
        <v>46</v>
      </c>
      <c r="E7548" t="s">
        <v>70</v>
      </c>
      <c r="F7548" t="s">
        <v>34</v>
      </c>
      <c r="G7548" t="s">
        <v>83</v>
      </c>
      <c r="H7548" t="s">
        <v>133</v>
      </c>
      <c r="I7548">
        <v>28537</v>
      </c>
      <c r="J7548">
        <v>25806</v>
      </c>
    </row>
    <row r="7549" spans="1:10" x14ac:dyDescent="0.3">
      <c r="A7549" t="s">
        <v>7676</v>
      </c>
      <c r="B7549" s="1">
        <v>45712</v>
      </c>
      <c r="C7549" t="s">
        <v>82</v>
      </c>
      <c r="D7549">
        <v>9</v>
      </c>
      <c r="E7549" t="s">
        <v>18</v>
      </c>
      <c r="F7549" t="s">
        <v>29</v>
      </c>
      <c r="G7549" t="s">
        <v>147</v>
      </c>
      <c r="H7549" t="s">
        <v>68</v>
      </c>
      <c r="I7549">
        <v>21622</v>
      </c>
      <c r="J7549">
        <v>28005</v>
      </c>
    </row>
    <row r="7550" spans="1:10" x14ac:dyDescent="0.3">
      <c r="A7550" t="s">
        <v>7677</v>
      </c>
      <c r="B7550" s="1">
        <v>45956</v>
      </c>
      <c r="C7550" t="s">
        <v>66</v>
      </c>
      <c r="D7550">
        <v>43</v>
      </c>
      <c r="E7550" t="s">
        <v>70</v>
      </c>
      <c r="F7550" t="s">
        <v>109</v>
      </c>
      <c r="G7550" t="s">
        <v>135</v>
      </c>
      <c r="H7550" t="s">
        <v>59</v>
      </c>
      <c r="I7550">
        <v>38662</v>
      </c>
      <c r="J7550">
        <v>39173</v>
      </c>
    </row>
    <row r="7551" spans="1:10" x14ac:dyDescent="0.3">
      <c r="A7551" t="s">
        <v>7678</v>
      </c>
      <c r="B7551" s="1">
        <v>45798</v>
      </c>
      <c r="C7551" t="s">
        <v>90</v>
      </c>
      <c r="D7551">
        <v>21</v>
      </c>
      <c r="E7551" t="s">
        <v>33</v>
      </c>
      <c r="F7551" t="s">
        <v>122</v>
      </c>
      <c r="G7551" t="s">
        <v>88</v>
      </c>
      <c r="H7551" t="s">
        <v>68</v>
      </c>
      <c r="I7551">
        <v>36430</v>
      </c>
      <c r="J7551">
        <v>30561</v>
      </c>
    </row>
    <row r="7552" spans="1:10" x14ac:dyDescent="0.3">
      <c r="A7552" t="s">
        <v>7679</v>
      </c>
      <c r="B7552" s="1">
        <v>45958</v>
      </c>
      <c r="C7552" t="s">
        <v>66</v>
      </c>
      <c r="D7552">
        <v>44</v>
      </c>
      <c r="E7552" t="s">
        <v>39</v>
      </c>
      <c r="F7552" t="s">
        <v>193</v>
      </c>
      <c r="G7552" t="s">
        <v>132</v>
      </c>
      <c r="H7552" t="s">
        <v>243</v>
      </c>
      <c r="I7552">
        <v>36760</v>
      </c>
      <c r="J7552">
        <v>30609</v>
      </c>
    </row>
    <row r="7553" spans="1:10" x14ac:dyDescent="0.3">
      <c r="A7553" t="s">
        <v>7680</v>
      </c>
      <c r="B7553" s="1">
        <v>45923</v>
      </c>
      <c r="C7553" t="s">
        <v>38</v>
      </c>
      <c r="D7553">
        <v>39</v>
      </c>
      <c r="E7553" t="s">
        <v>61</v>
      </c>
      <c r="F7553" t="s">
        <v>50</v>
      </c>
      <c r="G7553" t="s">
        <v>110</v>
      </c>
      <c r="H7553" t="s">
        <v>133</v>
      </c>
      <c r="I7553">
        <v>26524</v>
      </c>
      <c r="J7553">
        <v>28372</v>
      </c>
    </row>
    <row r="7554" spans="1:10" x14ac:dyDescent="0.3">
      <c r="A7554" t="s">
        <v>7681</v>
      </c>
      <c r="B7554" s="1">
        <v>45885</v>
      </c>
      <c r="C7554" t="s">
        <v>113</v>
      </c>
      <c r="D7554">
        <v>33</v>
      </c>
      <c r="E7554" t="s">
        <v>12</v>
      </c>
      <c r="F7554" t="s">
        <v>78</v>
      </c>
      <c r="G7554" t="s">
        <v>76</v>
      </c>
      <c r="H7554" t="s">
        <v>27</v>
      </c>
      <c r="I7554">
        <v>34337</v>
      </c>
      <c r="J7554">
        <v>41442</v>
      </c>
    </row>
    <row r="7555" spans="1:10" x14ac:dyDescent="0.3">
      <c r="A7555" t="s">
        <v>7682</v>
      </c>
      <c r="B7555" s="1">
        <v>45730</v>
      </c>
      <c r="C7555" t="s">
        <v>95</v>
      </c>
      <c r="D7555">
        <v>11</v>
      </c>
      <c r="E7555" t="s">
        <v>70</v>
      </c>
      <c r="F7555" t="s">
        <v>114</v>
      </c>
      <c r="G7555" t="s">
        <v>107</v>
      </c>
      <c r="H7555" t="s">
        <v>111</v>
      </c>
      <c r="I7555">
        <v>39078</v>
      </c>
      <c r="J7555">
        <v>41913</v>
      </c>
    </row>
    <row r="7556" spans="1:10" x14ac:dyDescent="0.3">
      <c r="A7556" t="s">
        <v>7683</v>
      </c>
      <c r="B7556" s="1">
        <v>45756</v>
      </c>
      <c r="C7556" t="s">
        <v>86</v>
      </c>
      <c r="D7556">
        <v>15</v>
      </c>
      <c r="E7556" t="s">
        <v>12</v>
      </c>
      <c r="F7556" t="s">
        <v>87</v>
      </c>
      <c r="G7556" t="s">
        <v>149</v>
      </c>
      <c r="H7556" t="s">
        <v>48</v>
      </c>
      <c r="I7556">
        <v>38904</v>
      </c>
      <c r="J7556">
        <v>48670</v>
      </c>
    </row>
    <row r="7557" spans="1:10" x14ac:dyDescent="0.3">
      <c r="A7557" t="s">
        <v>7684</v>
      </c>
      <c r="B7557" s="1">
        <v>45759</v>
      </c>
      <c r="C7557" t="s">
        <v>86</v>
      </c>
      <c r="D7557">
        <v>15</v>
      </c>
      <c r="E7557" t="s">
        <v>18</v>
      </c>
      <c r="F7557" t="s">
        <v>57</v>
      </c>
      <c r="G7557" t="s">
        <v>14</v>
      </c>
      <c r="H7557" t="s">
        <v>52</v>
      </c>
      <c r="I7557">
        <v>23042</v>
      </c>
      <c r="J7557">
        <v>21323</v>
      </c>
    </row>
    <row r="7558" spans="1:10" x14ac:dyDescent="0.3">
      <c r="A7558" t="s">
        <v>7685</v>
      </c>
      <c r="B7558" s="1">
        <v>45900</v>
      </c>
      <c r="C7558" t="s">
        <v>113</v>
      </c>
      <c r="D7558">
        <v>35</v>
      </c>
      <c r="E7558" t="s">
        <v>24</v>
      </c>
      <c r="F7558" t="s">
        <v>46</v>
      </c>
      <c r="G7558" t="s">
        <v>291</v>
      </c>
      <c r="H7558" t="s">
        <v>111</v>
      </c>
      <c r="I7558">
        <v>18940</v>
      </c>
      <c r="J7558">
        <v>16421</v>
      </c>
    </row>
    <row r="7559" spans="1:10" x14ac:dyDescent="0.3">
      <c r="A7559" t="s">
        <v>7686</v>
      </c>
      <c r="B7559" s="1">
        <v>45767</v>
      </c>
      <c r="C7559" t="s">
        <v>86</v>
      </c>
      <c r="D7559">
        <v>16</v>
      </c>
      <c r="E7559" t="s">
        <v>33</v>
      </c>
      <c r="F7559" t="s">
        <v>114</v>
      </c>
      <c r="G7559" t="s">
        <v>182</v>
      </c>
      <c r="H7559" t="s">
        <v>31</v>
      </c>
      <c r="I7559">
        <v>24072</v>
      </c>
      <c r="J7559">
        <v>17180</v>
      </c>
    </row>
    <row r="7560" spans="1:10" x14ac:dyDescent="0.3">
      <c r="A7560" t="s">
        <v>7687</v>
      </c>
      <c r="B7560" s="1">
        <v>45675</v>
      </c>
      <c r="C7560" t="s">
        <v>17</v>
      </c>
      <c r="D7560">
        <v>3</v>
      </c>
      <c r="E7560" t="s">
        <v>24</v>
      </c>
      <c r="F7560" t="s">
        <v>101</v>
      </c>
      <c r="G7560" t="s">
        <v>128</v>
      </c>
      <c r="H7560" t="s">
        <v>55</v>
      </c>
      <c r="I7560">
        <v>18042</v>
      </c>
      <c r="J7560">
        <v>16039</v>
      </c>
    </row>
    <row r="7561" spans="1:10" x14ac:dyDescent="0.3">
      <c r="A7561" t="s">
        <v>7688</v>
      </c>
      <c r="B7561" s="1">
        <v>45806</v>
      </c>
      <c r="C7561" t="s">
        <v>90</v>
      </c>
      <c r="D7561">
        <v>22</v>
      </c>
      <c r="E7561" t="s">
        <v>70</v>
      </c>
      <c r="F7561" t="s">
        <v>140</v>
      </c>
      <c r="G7561" t="s">
        <v>130</v>
      </c>
      <c r="H7561" t="s">
        <v>41</v>
      </c>
      <c r="I7561">
        <v>34454</v>
      </c>
      <c r="J7561">
        <v>44054</v>
      </c>
    </row>
    <row r="7562" spans="1:10" x14ac:dyDescent="0.3">
      <c r="A7562" t="s">
        <v>7689</v>
      </c>
      <c r="B7562" s="1">
        <v>45881</v>
      </c>
      <c r="C7562" t="s">
        <v>113</v>
      </c>
      <c r="D7562">
        <v>33</v>
      </c>
      <c r="E7562" t="s">
        <v>24</v>
      </c>
      <c r="F7562" t="s">
        <v>92</v>
      </c>
      <c r="G7562" t="s">
        <v>201</v>
      </c>
      <c r="H7562" t="s">
        <v>165</v>
      </c>
      <c r="I7562">
        <v>36070</v>
      </c>
      <c r="J7562">
        <v>37960</v>
      </c>
    </row>
    <row r="7563" spans="1:10" x14ac:dyDescent="0.3">
      <c r="A7563" t="s">
        <v>7690</v>
      </c>
      <c r="B7563" s="1">
        <v>45875</v>
      </c>
      <c r="C7563" t="s">
        <v>113</v>
      </c>
      <c r="D7563">
        <v>32</v>
      </c>
      <c r="E7563" t="s">
        <v>39</v>
      </c>
      <c r="F7563" t="s">
        <v>193</v>
      </c>
      <c r="G7563" t="s">
        <v>93</v>
      </c>
      <c r="H7563" t="s">
        <v>21</v>
      </c>
      <c r="I7563">
        <v>33671</v>
      </c>
      <c r="J7563">
        <v>34349</v>
      </c>
    </row>
    <row r="7564" spans="1:10" x14ac:dyDescent="0.3">
      <c r="A7564" t="s">
        <v>7691</v>
      </c>
      <c r="B7564" s="1">
        <v>45893</v>
      </c>
      <c r="C7564" t="s">
        <v>113</v>
      </c>
      <c r="D7564">
        <v>34</v>
      </c>
      <c r="E7564" t="s">
        <v>18</v>
      </c>
      <c r="F7564" t="s">
        <v>13</v>
      </c>
      <c r="G7564" t="s">
        <v>79</v>
      </c>
      <c r="H7564" t="s">
        <v>155</v>
      </c>
      <c r="I7564">
        <v>26740</v>
      </c>
      <c r="J7564">
        <v>28169</v>
      </c>
    </row>
    <row r="7565" spans="1:10" x14ac:dyDescent="0.3">
      <c r="A7565" t="s">
        <v>7692</v>
      </c>
      <c r="B7565" s="1">
        <v>45841</v>
      </c>
      <c r="C7565" t="s">
        <v>11</v>
      </c>
      <c r="D7565">
        <v>27</v>
      </c>
      <c r="E7565" t="s">
        <v>70</v>
      </c>
      <c r="F7565" t="s">
        <v>57</v>
      </c>
      <c r="G7565" t="s">
        <v>67</v>
      </c>
      <c r="H7565" t="s">
        <v>155</v>
      </c>
      <c r="I7565">
        <v>29146</v>
      </c>
      <c r="J7565">
        <v>21980</v>
      </c>
    </row>
    <row r="7566" spans="1:10" x14ac:dyDescent="0.3">
      <c r="A7566" t="s">
        <v>7693</v>
      </c>
      <c r="B7566" s="1">
        <v>45719</v>
      </c>
      <c r="C7566" t="s">
        <v>95</v>
      </c>
      <c r="D7566">
        <v>10</v>
      </c>
      <c r="E7566" t="s">
        <v>61</v>
      </c>
      <c r="F7566" t="s">
        <v>140</v>
      </c>
      <c r="G7566" t="s">
        <v>145</v>
      </c>
      <c r="H7566" t="s">
        <v>243</v>
      </c>
      <c r="I7566">
        <v>34226</v>
      </c>
      <c r="J7566">
        <v>36139</v>
      </c>
    </row>
    <row r="7567" spans="1:10" x14ac:dyDescent="0.3">
      <c r="A7567" t="s">
        <v>7694</v>
      </c>
      <c r="B7567" s="1">
        <v>45904</v>
      </c>
      <c r="C7567" t="s">
        <v>38</v>
      </c>
      <c r="D7567">
        <v>36</v>
      </c>
      <c r="E7567" t="s">
        <v>61</v>
      </c>
      <c r="F7567" t="s">
        <v>29</v>
      </c>
      <c r="G7567" t="s">
        <v>132</v>
      </c>
      <c r="H7567" t="s">
        <v>59</v>
      </c>
      <c r="I7567">
        <v>38441</v>
      </c>
      <c r="J7567">
        <v>48941</v>
      </c>
    </row>
    <row r="7568" spans="1:10" x14ac:dyDescent="0.3">
      <c r="A7568" t="s">
        <v>7695</v>
      </c>
      <c r="B7568" s="1">
        <v>45767</v>
      </c>
      <c r="C7568" t="s">
        <v>86</v>
      </c>
      <c r="D7568">
        <v>16</v>
      </c>
      <c r="E7568" t="s">
        <v>18</v>
      </c>
      <c r="F7568" t="s">
        <v>101</v>
      </c>
      <c r="G7568" t="s">
        <v>160</v>
      </c>
      <c r="H7568" t="s">
        <v>98</v>
      </c>
      <c r="I7568">
        <v>18092</v>
      </c>
      <c r="J7568">
        <v>15342</v>
      </c>
    </row>
    <row r="7569" spans="1:10" x14ac:dyDescent="0.3">
      <c r="A7569" t="s">
        <v>7696</v>
      </c>
      <c r="B7569" s="1">
        <v>45778</v>
      </c>
      <c r="C7569" t="s">
        <v>90</v>
      </c>
      <c r="D7569">
        <v>18</v>
      </c>
      <c r="E7569" t="s">
        <v>12</v>
      </c>
      <c r="F7569" t="s">
        <v>29</v>
      </c>
      <c r="G7569" t="s">
        <v>83</v>
      </c>
      <c r="H7569" t="s">
        <v>151</v>
      </c>
      <c r="I7569">
        <v>34349</v>
      </c>
      <c r="J7569">
        <v>41293</v>
      </c>
    </row>
    <row r="7570" spans="1:10" x14ac:dyDescent="0.3">
      <c r="A7570" t="s">
        <v>7697</v>
      </c>
      <c r="B7570" s="1">
        <v>45830</v>
      </c>
      <c r="C7570" t="s">
        <v>74</v>
      </c>
      <c r="D7570">
        <v>25</v>
      </c>
      <c r="E7570" t="s">
        <v>39</v>
      </c>
      <c r="F7570" t="s">
        <v>78</v>
      </c>
      <c r="G7570" t="s">
        <v>67</v>
      </c>
      <c r="H7570" t="s">
        <v>165</v>
      </c>
      <c r="I7570">
        <v>39532</v>
      </c>
      <c r="J7570">
        <v>37003</v>
      </c>
    </row>
    <row r="7571" spans="1:10" x14ac:dyDescent="0.3">
      <c r="A7571" t="s">
        <v>7698</v>
      </c>
      <c r="B7571" s="1">
        <v>45799</v>
      </c>
      <c r="C7571" t="s">
        <v>90</v>
      </c>
      <c r="D7571">
        <v>21</v>
      </c>
      <c r="E7571" t="s">
        <v>61</v>
      </c>
      <c r="F7571" t="s">
        <v>46</v>
      </c>
      <c r="G7571" t="s">
        <v>191</v>
      </c>
      <c r="H7571" t="s">
        <v>64</v>
      </c>
      <c r="I7571">
        <v>24304</v>
      </c>
      <c r="J7571">
        <v>31258</v>
      </c>
    </row>
    <row r="7572" spans="1:10" x14ac:dyDescent="0.3">
      <c r="A7572" t="s">
        <v>7699</v>
      </c>
      <c r="B7572" s="1">
        <v>45919</v>
      </c>
      <c r="C7572" t="s">
        <v>38</v>
      </c>
      <c r="D7572">
        <v>38</v>
      </c>
      <c r="E7572" t="s">
        <v>61</v>
      </c>
      <c r="F7572" t="s">
        <v>75</v>
      </c>
      <c r="G7572" t="s">
        <v>47</v>
      </c>
      <c r="H7572" t="s">
        <v>157</v>
      </c>
      <c r="I7572">
        <v>38678</v>
      </c>
      <c r="J7572">
        <v>48280</v>
      </c>
    </row>
    <row r="7573" spans="1:10" x14ac:dyDescent="0.3">
      <c r="A7573" t="s">
        <v>7700</v>
      </c>
      <c r="B7573" s="1">
        <v>45886</v>
      </c>
      <c r="C7573" t="s">
        <v>113</v>
      </c>
      <c r="D7573">
        <v>33</v>
      </c>
      <c r="E7573" t="s">
        <v>33</v>
      </c>
      <c r="F7573" t="s">
        <v>140</v>
      </c>
      <c r="G7573" t="s">
        <v>160</v>
      </c>
      <c r="H7573" t="s">
        <v>96</v>
      </c>
      <c r="I7573">
        <v>15932</v>
      </c>
      <c r="J7573">
        <v>17532</v>
      </c>
    </row>
    <row r="7574" spans="1:10" x14ac:dyDescent="0.3">
      <c r="A7574" t="s">
        <v>7701</v>
      </c>
      <c r="B7574" s="1">
        <v>45805</v>
      </c>
      <c r="C7574" t="s">
        <v>90</v>
      </c>
      <c r="D7574">
        <v>22</v>
      </c>
      <c r="E7574" t="s">
        <v>33</v>
      </c>
      <c r="F7574" t="s">
        <v>193</v>
      </c>
      <c r="G7574" t="s">
        <v>206</v>
      </c>
      <c r="H7574" t="s">
        <v>133</v>
      </c>
      <c r="I7574">
        <v>19169</v>
      </c>
      <c r="J7574">
        <v>17542</v>
      </c>
    </row>
    <row r="7575" spans="1:10" x14ac:dyDescent="0.3">
      <c r="A7575" t="s">
        <v>7702</v>
      </c>
      <c r="B7575" s="1">
        <v>45860</v>
      </c>
      <c r="C7575" t="s">
        <v>11</v>
      </c>
      <c r="D7575">
        <v>30</v>
      </c>
      <c r="E7575" t="s">
        <v>18</v>
      </c>
      <c r="F7575" t="s">
        <v>122</v>
      </c>
      <c r="G7575" t="s">
        <v>40</v>
      </c>
      <c r="H7575" t="s">
        <v>96</v>
      </c>
      <c r="I7575">
        <v>31366</v>
      </c>
      <c r="J7575">
        <v>35488</v>
      </c>
    </row>
    <row r="7576" spans="1:10" x14ac:dyDescent="0.3">
      <c r="A7576" t="s">
        <v>7703</v>
      </c>
      <c r="B7576" s="1">
        <v>45743</v>
      </c>
      <c r="C7576" t="s">
        <v>95</v>
      </c>
      <c r="D7576">
        <v>13</v>
      </c>
      <c r="E7576" t="s">
        <v>61</v>
      </c>
      <c r="F7576" t="s">
        <v>50</v>
      </c>
      <c r="G7576" t="s">
        <v>234</v>
      </c>
      <c r="H7576" t="s">
        <v>111</v>
      </c>
      <c r="I7576">
        <v>27287</v>
      </c>
      <c r="J7576">
        <v>32977</v>
      </c>
    </row>
    <row r="7577" spans="1:10" x14ac:dyDescent="0.3">
      <c r="A7577" t="s">
        <v>7704</v>
      </c>
      <c r="B7577" s="1">
        <v>45846</v>
      </c>
      <c r="C7577" t="s">
        <v>11</v>
      </c>
      <c r="D7577">
        <v>28</v>
      </c>
      <c r="E7577" t="s">
        <v>61</v>
      </c>
      <c r="F7577" t="s">
        <v>75</v>
      </c>
      <c r="G7577" t="s">
        <v>63</v>
      </c>
      <c r="H7577" t="s">
        <v>15</v>
      </c>
      <c r="I7577">
        <v>19064</v>
      </c>
      <c r="J7577">
        <v>15889</v>
      </c>
    </row>
    <row r="7578" spans="1:10" x14ac:dyDescent="0.3">
      <c r="A7578" t="s">
        <v>7705</v>
      </c>
      <c r="B7578" s="1">
        <v>45843</v>
      </c>
      <c r="C7578" t="s">
        <v>11</v>
      </c>
      <c r="D7578">
        <v>27</v>
      </c>
      <c r="E7578" t="s">
        <v>70</v>
      </c>
      <c r="F7578" t="s">
        <v>29</v>
      </c>
      <c r="G7578" t="s">
        <v>67</v>
      </c>
      <c r="H7578" t="s">
        <v>84</v>
      </c>
      <c r="I7578">
        <v>38425</v>
      </c>
      <c r="J7578">
        <v>37402</v>
      </c>
    </row>
    <row r="7579" spans="1:10" x14ac:dyDescent="0.3">
      <c r="A7579" t="s">
        <v>7706</v>
      </c>
      <c r="B7579" s="1">
        <v>45849</v>
      </c>
      <c r="C7579" t="s">
        <v>11</v>
      </c>
      <c r="D7579">
        <v>28</v>
      </c>
      <c r="E7579" t="s">
        <v>70</v>
      </c>
      <c r="F7579" t="s">
        <v>114</v>
      </c>
      <c r="G7579" t="s">
        <v>44</v>
      </c>
      <c r="H7579" t="s">
        <v>96</v>
      </c>
      <c r="I7579">
        <v>34284</v>
      </c>
      <c r="J7579">
        <v>26137</v>
      </c>
    </row>
    <row r="7580" spans="1:10" x14ac:dyDescent="0.3">
      <c r="A7580" t="s">
        <v>7707</v>
      </c>
      <c r="B7580" s="1">
        <v>45997</v>
      </c>
      <c r="C7580" t="s">
        <v>100</v>
      </c>
      <c r="D7580">
        <v>49</v>
      </c>
      <c r="E7580" t="s">
        <v>18</v>
      </c>
      <c r="F7580" t="s">
        <v>87</v>
      </c>
      <c r="G7580" t="s">
        <v>234</v>
      </c>
      <c r="H7580" t="s">
        <v>36</v>
      </c>
      <c r="I7580">
        <v>32004</v>
      </c>
      <c r="J7580">
        <v>28024</v>
      </c>
    </row>
    <row r="7581" spans="1:10" x14ac:dyDescent="0.3">
      <c r="A7581" t="s">
        <v>7708</v>
      </c>
      <c r="B7581" s="1">
        <v>45858</v>
      </c>
      <c r="C7581" t="s">
        <v>11</v>
      </c>
      <c r="D7581">
        <v>29</v>
      </c>
      <c r="E7581" t="s">
        <v>12</v>
      </c>
      <c r="F7581" t="s">
        <v>50</v>
      </c>
      <c r="G7581" t="s">
        <v>51</v>
      </c>
      <c r="H7581" t="s">
        <v>163</v>
      </c>
      <c r="I7581">
        <v>31479</v>
      </c>
      <c r="J7581">
        <v>38158</v>
      </c>
    </row>
    <row r="7582" spans="1:10" x14ac:dyDescent="0.3">
      <c r="A7582" t="s">
        <v>7709</v>
      </c>
      <c r="B7582" s="1">
        <v>45936</v>
      </c>
      <c r="C7582" t="s">
        <v>66</v>
      </c>
      <c r="D7582">
        <v>41</v>
      </c>
      <c r="E7582" t="s">
        <v>61</v>
      </c>
      <c r="F7582" t="s">
        <v>75</v>
      </c>
      <c r="G7582" t="s">
        <v>51</v>
      </c>
      <c r="H7582" t="s">
        <v>151</v>
      </c>
      <c r="I7582">
        <v>23527</v>
      </c>
      <c r="J7582">
        <v>19571</v>
      </c>
    </row>
    <row r="7583" spans="1:10" x14ac:dyDescent="0.3">
      <c r="A7583" t="s">
        <v>7710</v>
      </c>
      <c r="B7583" s="1">
        <v>45955</v>
      </c>
      <c r="C7583" t="s">
        <v>66</v>
      </c>
      <c r="D7583">
        <v>43</v>
      </c>
      <c r="E7583" t="s">
        <v>39</v>
      </c>
      <c r="F7583" t="s">
        <v>50</v>
      </c>
      <c r="G7583" t="s">
        <v>160</v>
      </c>
      <c r="H7583" t="s">
        <v>155</v>
      </c>
      <c r="I7583">
        <v>30943</v>
      </c>
      <c r="J7583">
        <v>30376</v>
      </c>
    </row>
    <row r="7584" spans="1:10" x14ac:dyDescent="0.3">
      <c r="A7584" t="s">
        <v>7711</v>
      </c>
      <c r="B7584" s="1">
        <v>45907</v>
      </c>
      <c r="C7584" t="s">
        <v>38</v>
      </c>
      <c r="D7584">
        <v>36</v>
      </c>
      <c r="E7584" t="s">
        <v>33</v>
      </c>
      <c r="F7584" t="s">
        <v>87</v>
      </c>
      <c r="G7584" t="s">
        <v>88</v>
      </c>
      <c r="H7584" t="s">
        <v>80</v>
      </c>
      <c r="I7584">
        <v>29453</v>
      </c>
      <c r="J7584">
        <v>34544</v>
      </c>
    </row>
    <row r="7585" spans="1:10" x14ac:dyDescent="0.3">
      <c r="A7585" t="s">
        <v>7712</v>
      </c>
      <c r="B7585" s="1">
        <v>45747</v>
      </c>
      <c r="C7585" t="s">
        <v>95</v>
      </c>
      <c r="D7585">
        <v>14</v>
      </c>
      <c r="E7585" t="s">
        <v>70</v>
      </c>
      <c r="F7585" t="s">
        <v>140</v>
      </c>
      <c r="G7585" t="s">
        <v>291</v>
      </c>
      <c r="H7585" t="s">
        <v>96</v>
      </c>
      <c r="I7585">
        <v>25899</v>
      </c>
      <c r="J7585">
        <v>18711</v>
      </c>
    </row>
    <row r="7586" spans="1:10" x14ac:dyDescent="0.3">
      <c r="A7586" t="s">
        <v>7713</v>
      </c>
      <c r="B7586" s="1">
        <v>45832</v>
      </c>
      <c r="C7586" t="s">
        <v>74</v>
      </c>
      <c r="D7586">
        <v>26</v>
      </c>
      <c r="E7586" t="s">
        <v>12</v>
      </c>
      <c r="F7586" t="s">
        <v>13</v>
      </c>
      <c r="G7586" t="s">
        <v>72</v>
      </c>
      <c r="H7586" t="s">
        <v>157</v>
      </c>
      <c r="I7586">
        <v>39213</v>
      </c>
      <c r="J7586">
        <v>32659</v>
      </c>
    </row>
    <row r="7587" spans="1:10" x14ac:dyDescent="0.3">
      <c r="A7587" t="s">
        <v>7714</v>
      </c>
      <c r="B7587" s="1">
        <v>45674</v>
      </c>
      <c r="C7587" t="s">
        <v>17</v>
      </c>
      <c r="D7587">
        <v>3</v>
      </c>
      <c r="E7587" t="s">
        <v>61</v>
      </c>
      <c r="F7587" t="s">
        <v>78</v>
      </c>
      <c r="G7587" t="s">
        <v>26</v>
      </c>
      <c r="H7587" t="s">
        <v>157</v>
      </c>
      <c r="I7587">
        <v>15943</v>
      </c>
      <c r="J7587">
        <v>18790</v>
      </c>
    </row>
    <row r="7588" spans="1:10" x14ac:dyDescent="0.3">
      <c r="A7588" t="s">
        <v>7715</v>
      </c>
      <c r="B7588" s="1">
        <v>45953</v>
      </c>
      <c r="C7588" t="s">
        <v>66</v>
      </c>
      <c r="D7588">
        <v>43</v>
      </c>
      <c r="E7588" t="s">
        <v>24</v>
      </c>
      <c r="F7588" t="s">
        <v>62</v>
      </c>
      <c r="G7588" t="s">
        <v>102</v>
      </c>
      <c r="H7588" t="s">
        <v>211</v>
      </c>
      <c r="I7588">
        <v>21260</v>
      </c>
      <c r="J7588">
        <v>23238</v>
      </c>
    </row>
    <row r="7589" spans="1:10" x14ac:dyDescent="0.3">
      <c r="A7589" t="s">
        <v>7716</v>
      </c>
      <c r="B7589" s="1">
        <v>45814</v>
      </c>
      <c r="C7589" t="s">
        <v>74</v>
      </c>
      <c r="D7589">
        <v>23</v>
      </c>
      <c r="E7589" t="s">
        <v>61</v>
      </c>
      <c r="F7589" t="s">
        <v>13</v>
      </c>
      <c r="G7589" t="s">
        <v>63</v>
      </c>
      <c r="H7589" t="s">
        <v>116</v>
      </c>
      <c r="I7589">
        <v>19681</v>
      </c>
      <c r="J7589">
        <v>17335</v>
      </c>
    </row>
    <row r="7590" spans="1:10" x14ac:dyDescent="0.3">
      <c r="A7590" t="s">
        <v>7717</v>
      </c>
      <c r="B7590" s="1">
        <v>45770</v>
      </c>
      <c r="C7590" t="s">
        <v>86</v>
      </c>
      <c r="D7590">
        <v>17</v>
      </c>
      <c r="E7590" t="s">
        <v>18</v>
      </c>
      <c r="F7590" t="s">
        <v>92</v>
      </c>
      <c r="G7590" t="s">
        <v>291</v>
      </c>
      <c r="H7590" t="s">
        <v>157</v>
      </c>
      <c r="I7590">
        <v>28003</v>
      </c>
      <c r="J7590">
        <v>24208</v>
      </c>
    </row>
    <row r="7591" spans="1:10" x14ac:dyDescent="0.3">
      <c r="A7591" t="s">
        <v>7718</v>
      </c>
      <c r="B7591" s="1">
        <v>45699</v>
      </c>
      <c r="C7591" t="s">
        <v>82</v>
      </c>
      <c r="D7591">
        <v>7</v>
      </c>
      <c r="E7591" t="s">
        <v>70</v>
      </c>
      <c r="F7591" t="s">
        <v>92</v>
      </c>
      <c r="G7591" t="s">
        <v>137</v>
      </c>
      <c r="H7591" t="s">
        <v>21</v>
      </c>
      <c r="I7591">
        <v>23105</v>
      </c>
      <c r="J7591">
        <v>23383</v>
      </c>
    </row>
    <row r="7592" spans="1:10" x14ac:dyDescent="0.3">
      <c r="A7592" t="s">
        <v>7719</v>
      </c>
      <c r="B7592" s="1">
        <v>45988</v>
      </c>
      <c r="C7592" t="s">
        <v>23</v>
      </c>
      <c r="D7592">
        <v>48</v>
      </c>
      <c r="E7592" t="s">
        <v>61</v>
      </c>
      <c r="F7592" t="s">
        <v>109</v>
      </c>
      <c r="G7592" t="s">
        <v>118</v>
      </c>
      <c r="H7592" t="s">
        <v>133</v>
      </c>
      <c r="I7592">
        <v>26502</v>
      </c>
      <c r="J7592">
        <v>28057</v>
      </c>
    </row>
    <row r="7593" spans="1:10" x14ac:dyDescent="0.3">
      <c r="A7593" t="s">
        <v>7720</v>
      </c>
      <c r="B7593" s="1">
        <v>45879</v>
      </c>
      <c r="C7593" t="s">
        <v>113</v>
      </c>
      <c r="D7593">
        <v>32</v>
      </c>
      <c r="E7593" t="s">
        <v>18</v>
      </c>
      <c r="F7593" t="s">
        <v>114</v>
      </c>
      <c r="G7593" t="s">
        <v>35</v>
      </c>
      <c r="H7593" t="s">
        <v>27</v>
      </c>
      <c r="I7593">
        <v>29972</v>
      </c>
      <c r="J7593">
        <v>30597</v>
      </c>
    </row>
    <row r="7594" spans="1:10" x14ac:dyDescent="0.3">
      <c r="A7594" t="s">
        <v>7721</v>
      </c>
      <c r="B7594" s="1">
        <v>45720</v>
      </c>
      <c r="C7594" t="s">
        <v>95</v>
      </c>
      <c r="D7594">
        <v>10</v>
      </c>
      <c r="E7594" t="s">
        <v>33</v>
      </c>
      <c r="F7594" t="s">
        <v>87</v>
      </c>
      <c r="G7594" t="s">
        <v>137</v>
      </c>
      <c r="H7594" t="s">
        <v>119</v>
      </c>
      <c r="I7594">
        <v>34906</v>
      </c>
      <c r="J7594">
        <v>33379</v>
      </c>
    </row>
    <row r="7595" spans="1:10" x14ac:dyDescent="0.3">
      <c r="A7595" t="s">
        <v>7722</v>
      </c>
      <c r="B7595" s="1">
        <v>45685</v>
      </c>
      <c r="C7595" t="s">
        <v>17</v>
      </c>
      <c r="D7595">
        <v>5</v>
      </c>
      <c r="E7595" t="s">
        <v>24</v>
      </c>
      <c r="F7595" t="s">
        <v>34</v>
      </c>
      <c r="G7595" t="s">
        <v>145</v>
      </c>
      <c r="H7595" t="s">
        <v>52</v>
      </c>
      <c r="I7595">
        <v>24648</v>
      </c>
      <c r="J7595">
        <v>29150</v>
      </c>
    </row>
    <row r="7596" spans="1:10" x14ac:dyDescent="0.3">
      <c r="A7596" t="s">
        <v>7723</v>
      </c>
      <c r="B7596" s="1">
        <v>45787</v>
      </c>
      <c r="C7596" t="s">
        <v>90</v>
      </c>
      <c r="D7596">
        <v>19</v>
      </c>
      <c r="E7596" t="s">
        <v>39</v>
      </c>
      <c r="F7596" t="s">
        <v>25</v>
      </c>
      <c r="G7596" t="s">
        <v>182</v>
      </c>
      <c r="H7596" t="s">
        <v>41</v>
      </c>
      <c r="I7596">
        <v>32977</v>
      </c>
      <c r="J7596">
        <v>39894</v>
      </c>
    </row>
    <row r="7597" spans="1:10" x14ac:dyDescent="0.3">
      <c r="A7597" t="s">
        <v>7724</v>
      </c>
      <c r="B7597" s="1">
        <v>45820</v>
      </c>
      <c r="C7597" t="s">
        <v>74</v>
      </c>
      <c r="D7597">
        <v>24</v>
      </c>
      <c r="E7597" t="s">
        <v>12</v>
      </c>
      <c r="F7597" t="s">
        <v>34</v>
      </c>
      <c r="G7597" t="s">
        <v>102</v>
      </c>
      <c r="H7597" t="s">
        <v>96</v>
      </c>
      <c r="I7597">
        <v>15475</v>
      </c>
      <c r="J7597">
        <v>19813</v>
      </c>
    </row>
    <row r="7598" spans="1:10" x14ac:dyDescent="0.3">
      <c r="A7598" t="s">
        <v>7725</v>
      </c>
      <c r="B7598" s="1">
        <v>45982</v>
      </c>
      <c r="C7598" t="s">
        <v>23</v>
      </c>
      <c r="D7598">
        <v>47</v>
      </c>
      <c r="E7598" t="s">
        <v>39</v>
      </c>
      <c r="F7598" t="s">
        <v>87</v>
      </c>
      <c r="G7598" t="s">
        <v>291</v>
      </c>
      <c r="H7598" t="s">
        <v>36</v>
      </c>
      <c r="I7598">
        <v>30537</v>
      </c>
      <c r="J7598">
        <v>37383</v>
      </c>
    </row>
    <row r="7599" spans="1:10" x14ac:dyDescent="0.3">
      <c r="A7599" t="s">
        <v>7726</v>
      </c>
      <c r="B7599" s="1">
        <v>45741</v>
      </c>
      <c r="C7599" t="s">
        <v>95</v>
      </c>
      <c r="D7599">
        <v>13</v>
      </c>
      <c r="E7599" t="s">
        <v>12</v>
      </c>
      <c r="F7599" t="s">
        <v>62</v>
      </c>
      <c r="G7599" t="s">
        <v>191</v>
      </c>
      <c r="H7599" t="s">
        <v>68</v>
      </c>
      <c r="I7599">
        <v>19126</v>
      </c>
      <c r="J7599">
        <v>24571</v>
      </c>
    </row>
    <row r="7600" spans="1:10" x14ac:dyDescent="0.3">
      <c r="A7600" t="s">
        <v>7727</v>
      </c>
      <c r="B7600" s="1">
        <v>45971</v>
      </c>
      <c r="C7600" t="s">
        <v>23</v>
      </c>
      <c r="D7600">
        <v>46</v>
      </c>
      <c r="E7600" t="s">
        <v>33</v>
      </c>
      <c r="F7600" t="s">
        <v>193</v>
      </c>
      <c r="G7600" t="s">
        <v>147</v>
      </c>
      <c r="H7600" t="s">
        <v>96</v>
      </c>
      <c r="I7600">
        <v>38829</v>
      </c>
      <c r="J7600">
        <v>30981</v>
      </c>
    </row>
    <row r="7601" spans="1:10" x14ac:dyDescent="0.3">
      <c r="A7601" t="s">
        <v>7728</v>
      </c>
      <c r="B7601" s="1">
        <v>45753</v>
      </c>
      <c r="C7601" t="s">
        <v>86</v>
      </c>
      <c r="D7601">
        <v>14</v>
      </c>
      <c r="E7601" t="s">
        <v>39</v>
      </c>
      <c r="F7601" t="s">
        <v>62</v>
      </c>
      <c r="G7601" t="s">
        <v>191</v>
      </c>
      <c r="H7601" t="s">
        <v>48</v>
      </c>
      <c r="I7601">
        <v>38178</v>
      </c>
      <c r="J7601">
        <v>28281</v>
      </c>
    </row>
    <row r="7602" spans="1:10" x14ac:dyDescent="0.3">
      <c r="A7602" t="s">
        <v>7729</v>
      </c>
      <c r="B7602" s="1">
        <v>46002</v>
      </c>
      <c r="C7602" t="s">
        <v>100</v>
      </c>
      <c r="D7602">
        <v>50</v>
      </c>
      <c r="E7602" t="s">
        <v>33</v>
      </c>
      <c r="F7602" t="s">
        <v>62</v>
      </c>
      <c r="G7602" t="s">
        <v>137</v>
      </c>
      <c r="H7602" t="s">
        <v>52</v>
      </c>
      <c r="I7602">
        <v>24604</v>
      </c>
      <c r="J7602">
        <v>19315</v>
      </c>
    </row>
    <row r="7603" spans="1:10" x14ac:dyDescent="0.3">
      <c r="A7603" t="s">
        <v>7730</v>
      </c>
      <c r="B7603" s="1">
        <v>45770</v>
      </c>
      <c r="C7603" t="s">
        <v>86</v>
      </c>
      <c r="D7603">
        <v>17</v>
      </c>
      <c r="E7603" t="s">
        <v>24</v>
      </c>
      <c r="F7603" t="s">
        <v>34</v>
      </c>
      <c r="G7603" t="s">
        <v>76</v>
      </c>
      <c r="H7603" t="s">
        <v>123</v>
      </c>
      <c r="I7603">
        <v>24325</v>
      </c>
      <c r="J7603">
        <v>18906</v>
      </c>
    </row>
    <row r="7604" spans="1:10" x14ac:dyDescent="0.3">
      <c r="A7604" t="s">
        <v>7731</v>
      </c>
      <c r="B7604" s="1">
        <v>45898</v>
      </c>
      <c r="C7604" t="s">
        <v>113</v>
      </c>
      <c r="D7604">
        <v>35</v>
      </c>
      <c r="E7604" t="s">
        <v>12</v>
      </c>
      <c r="F7604" t="s">
        <v>92</v>
      </c>
      <c r="G7604" t="s">
        <v>88</v>
      </c>
      <c r="H7604" t="s">
        <v>123</v>
      </c>
      <c r="I7604">
        <v>18478</v>
      </c>
      <c r="J7604">
        <v>15356</v>
      </c>
    </row>
    <row r="7605" spans="1:10" x14ac:dyDescent="0.3">
      <c r="A7605" t="s">
        <v>7732</v>
      </c>
      <c r="B7605" s="1">
        <v>45785</v>
      </c>
      <c r="C7605" t="s">
        <v>90</v>
      </c>
      <c r="D7605">
        <v>19</v>
      </c>
      <c r="E7605" t="s">
        <v>70</v>
      </c>
      <c r="F7605" t="s">
        <v>29</v>
      </c>
      <c r="G7605" t="s">
        <v>102</v>
      </c>
      <c r="H7605" t="s">
        <v>36</v>
      </c>
      <c r="I7605">
        <v>21914</v>
      </c>
      <c r="J7605">
        <v>17035</v>
      </c>
    </row>
    <row r="7606" spans="1:10" x14ac:dyDescent="0.3">
      <c r="A7606" t="s">
        <v>7733</v>
      </c>
      <c r="B7606" s="1">
        <v>45671</v>
      </c>
      <c r="C7606" t="s">
        <v>17</v>
      </c>
      <c r="D7606">
        <v>3</v>
      </c>
      <c r="E7606" t="s">
        <v>39</v>
      </c>
      <c r="F7606" t="s">
        <v>19</v>
      </c>
      <c r="G7606" t="s">
        <v>191</v>
      </c>
      <c r="H7606" t="s">
        <v>98</v>
      </c>
      <c r="I7606">
        <v>27396</v>
      </c>
      <c r="J7606">
        <v>19948</v>
      </c>
    </row>
    <row r="7607" spans="1:10" x14ac:dyDescent="0.3">
      <c r="A7607" t="s">
        <v>7734</v>
      </c>
      <c r="B7607" s="1">
        <v>45930</v>
      </c>
      <c r="C7607" t="s">
        <v>38</v>
      </c>
      <c r="D7607">
        <v>40</v>
      </c>
      <c r="E7607" t="s">
        <v>24</v>
      </c>
      <c r="F7607" t="s">
        <v>78</v>
      </c>
      <c r="G7607" t="s">
        <v>102</v>
      </c>
      <c r="H7607" t="s">
        <v>165</v>
      </c>
      <c r="I7607">
        <v>33685</v>
      </c>
      <c r="J7607">
        <v>26919</v>
      </c>
    </row>
    <row r="7608" spans="1:10" x14ac:dyDescent="0.3">
      <c r="A7608" t="s">
        <v>7735</v>
      </c>
      <c r="B7608" s="1">
        <v>45827</v>
      </c>
      <c r="C7608" t="s">
        <v>74</v>
      </c>
      <c r="D7608">
        <v>25</v>
      </c>
      <c r="E7608" t="s">
        <v>18</v>
      </c>
      <c r="F7608" t="s">
        <v>114</v>
      </c>
      <c r="G7608" t="s">
        <v>147</v>
      </c>
      <c r="H7608" t="s">
        <v>41</v>
      </c>
      <c r="I7608">
        <v>18643</v>
      </c>
      <c r="J7608">
        <v>13600</v>
      </c>
    </row>
    <row r="7609" spans="1:10" x14ac:dyDescent="0.3">
      <c r="A7609" t="s">
        <v>7736</v>
      </c>
      <c r="B7609" s="1">
        <v>45890</v>
      </c>
      <c r="C7609" t="s">
        <v>113</v>
      </c>
      <c r="D7609">
        <v>34</v>
      </c>
      <c r="E7609" t="s">
        <v>61</v>
      </c>
      <c r="F7609" t="s">
        <v>50</v>
      </c>
      <c r="G7609" t="s">
        <v>201</v>
      </c>
      <c r="H7609" t="s">
        <v>116</v>
      </c>
      <c r="I7609">
        <v>24744</v>
      </c>
      <c r="J7609">
        <v>28081</v>
      </c>
    </row>
    <row r="7610" spans="1:10" x14ac:dyDescent="0.3">
      <c r="A7610" t="s">
        <v>7737</v>
      </c>
      <c r="B7610" s="1">
        <v>45738</v>
      </c>
      <c r="C7610" t="s">
        <v>95</v>
      </c>
      <c r="D7610">
        <v>12</v>
      </c>
      <c r="E7610" t="s">
        <v>24</v>
      </c>
      <c r="F7610" t="s">
        <v>109</v>
      </c>
      <c r="G7610" t="s">
        <v>230</v>
      </c>
      <c r="H7610" t="s">
        <v>123</v>
      </c>
      <c r="I7610">
        <v>18774</v>
      </c>
      <c r="J7610">
        <v>13143</v>
      </c>
    </row>
    <row r="7611" spans="1:10" x14ac:dyDescent="0.3">
      <c r="A7611" t="s">
        <v>7738</v>
      </c>
      <c r="B7611" s="1">
        <v>45797</v>
      </c>
      <c r="C7611" t="s">
        <v>90</v>
      </c>
      <c r="D7611">
        <v>21</v>
      </c>
      <c r="E7611" t="s">
        <v>70</v>
      </c>
      <c r="F7611" t="s">
        <v>62</v>
      </c>
      <c r="G7611" t="s">
        <v>76</v>
      </c>
      <c r="H7611" t="s">
        <v>52</v>
      </c>
      <c r="I7611">
        <v>35375</v>
      </c>
      <c r="J7611">
        <v>37799</v>
      </c>
    </row>
    <row r="7612" spans="1:10" x14ac:dyDescent="0.3">
      <c r="A7612" t="s">
        <v>7739</v>
      </c>
      <c r="B7612" s="1">
        <v>45928</v>
      </c>
      <c r="C7612" t="s">
        <v>38</v>
      </c>
      <c r="D7612">
        <v>39</v>
      </c>
      <c r="E7612" t="s">
        <v>70</v>
      </c>
      <c r="F7612" t="s">
        <v>50</v>
      </c>
      <c r="G7612" t="s">
        <v>79</v>
      </c>
      <c r="H7612" t="s">
        <v>151</v>
      </c>
      <c r="I7612">
        <v>28281</v>
      </c>
      <c r="J7612">
        <v>25793</v>
      </c>
    </row>
    <row r="7613" spans="1:10" x14ac:dyDescent="0.3">
      <c r="A7613" t="s">
        <v>7740</v>
      </c>
      <c r="B7613" s="1">
        <v>45772</v>
      </c>
      <c r="C7613" t="s">
        <v>86</v>
      </c>
      <c r="D7613">
        <v>17</v>
      </c>
      <c r="E7613" t="s">
        <v>61</v>
      </c>
      <c r="F7613" t="s">
        <v>101</v>
      </c>
      <c r="G7613" t="s">
        <v>230</v>
      </c>
      <c r="H7613" t="s">
        <v>111</v>
      </c>
      <c r="I7613">
        <v>30428</v>
      </c>
      <c r="J7613">
        <v>26979</v>
      </c>
    </row>
    <row r="7614" spans="1:10" x14ac:dyDescent="0.3">
      <c r="A7614" t="s">
        <v>7741</v>
      </c>
      <c r="B7614" s="1">
        <v>45703</v>
      </c>
      <c r="C7614" t="s">
        <v>82</v>
      </c>
      <c r="D7614">
        <v>7</v>
      </c>
      <c r="E7614" t="s">
        <v>70</v>
      </c>
      <c r="F7614" t="s">
        <v>92</v>
      </c>
      <c r="G7614" t="s">
        <v>20</v>
      </c>
      <c r="H7614" t="s">
        <v>163</v>
      </c>
      <c r="I7614">
        <v>22939</v>
      </c>
      <c r="J7614">
        <v>16757</v>
      </c>
    </row>
    <row r="7615" spans="1:10" x14ac:dyDescent="0.3">
      <c r="A7615" t="s">
        <v>7742</v>
      </c>
      <c r="B7615" s="1">
        <v>46019</v>
      </c>
      <c r="C7615" t="s">
        <v>100</v>
      </c>
      <c r="D7615">
        <v>52</v>
      </c>
      <c r="E7615" t="s">
        <v>39</v>
      </c>
      <c r="F7615" t="s">
        <v>57</v>
      </c>
      <c r="G7615" t="s">
        <v>191</v>
      </c>
      <c r="H7615" t="s">
        <v>103</v>
      </c>
      <c r="I7615">
        <v>16827</v>
      </c>
      <c r="J7615">
        <v>19037</v>
      </c>
    </row>
    <row r="7616" spans="1:10" x14ac:dyDescent="0.3">
      <c r="A7616" t="s">
        <v>7743</v>
      </c>
      <c r="B7616" s="1">
        <v>45959</v>
      </c>
      <c r="C7616" t="s">
        <v>66</v>
      </c>
      <c r="D7616">
        <v>44</v>
      </c>
      <c r="E7616" t="s">
        <v>12</v>
      </c>
      <c r="F7616" t="s">
        <v>29</v>
      </c>
      <c r="G7616" t="s">
        <v>230</v>
      </c>
      <c r="H7616" t="s">
        <v>133</v>
      </c>
      <c r="I7616">
        <v>30045</v>
      </c>
      <c r="J7616">
        <v>33780</v>
      </c>
    </row>
    <row r="7617" spans="1:10" x14ac:dyDescent="0.3">
      <c r="A7617" t="s">
        <v>7744</v>
      </c>
      <c r="B7617" s="1">
        <v>45980</v>
      </c>
      <c r="C7617" t="s">
        <v>23</v>
      </c>
      <c r="D7617">
        <v>47</v>
      </c>
      <c r="E7617" t="s">
        <v>61</v>
      </c>
      <c r="F7617" t="s">
        <v>57</v>
      </c>
      <c r="G7617" t="s">
        <v>191</v>
      </c>
      <c r="H7617" t="s">
        <v>111</v>
      </c>
      <c r="I7617">
        <v>33318</v>
      </c>
      <c r="J7617">
        <v>29196</v>
      </c>
    </row>
    <row r="7618" spans="1:10" x14ac:dyDescent="0.3">
      <c r="A7618" t="s">
        <v>7745</v>
      </c>
      <c r="B7618" s="1">
        <v>45671</v>
      </c>
      <c r="C7618" t="s">
        <v>17</v>
      </c>
      <c r="D7618">
        <v>3</v>
      </c>
      <c r="E7618" t="s">
        <v>12</v>
      </c>
      <c r="F7618" t="s">
        <v>25</v>
      </c>
      <c r="G7618" t="s">
        <v>182</v>
      </c>
      <c r="H7618" t="s">
        <v>80</v>
      </c>
      <c r="I7618">
        <v>34539</v>
      </c>
      <c r="J7618">
        <v>27249</v>
      </c>
    </row>
    <row r="7619" spans="1:10" x14ac:dyDescent="0.3">
      <c r="A7619" t="s">
        <v>7746</v>
      </c>
      <c r="B7619" s="1">
        <v>45681</v>
      </c>
      <c r="C7619" t="s">
        <v>17</v>
      </c>
      <c r="D7619">
        <v>4</v>
      </c>
      <c r="E7619" t="s">
        <v>12</v>
      </c>
      <c r="F7619" t="s">
        <v>46</v>
      </c>
      <c r="G7619" t="s">
        <v>67</v>
      </c>
      <c r="H7619" t="s">
        <v>21</v>
      </c>
      <c r="I7619">
        <v>30010</v>
      </c>
      <c r="J7619">
        <v>31951</v>
      </c>
    </row>
    <row r="7620" spans="1:10" x14ac:dyDescent="0.3">
      <c r="A7620" t="s">
        <v>7747</v>
      </c>
      <c r="B7620" s="1">
        <v>45853</v>
      </c>
      <c r="C7620" t="s">
        <v>11</v>
      </c>
      <c r="D7620">
        <v>29</v>
      </c>
      <c r="E7620" t="s">
        <v>18</v>
      </c>
      <c r="F7620" t="s">
        <v>57</v>
      </c>
      <c r="G7620" t="s">
        <v>26</v>
      </c>
      <c r="H7620" t="s">
        <v>68</v>
      </c>
      <c r="I7620">
        <v>24340</v>
      </c>
      <c r="J7620">
        <v>21444</v>
      </c>
    </row>
    <row r="7621" spans="1:10" x14ac:dyDescent="0.3">
      <c r="A7621" t="s">
        <v>7748</v>
      </c>
      <c r="B7621" s="1">
        <v>45895</v>
      </c>
      <c r="C7621" t="s">
        <v>113</v>
      </c>
      <c r="D7621">
        <v>35</v>
      </c>
      <c r="E7621" t="s">
        <v>61</v>
      </c>
      <c r="F7621" t="s">
        <v>122</v>
      </c>
      <c r="G7621" t="s">
        <v>206</v>
      </c>
      <c r="H7621" t="s">
        <v>59</v>
      </c>
      <c r="I7621">
        <v>20594</v>
      </c>
      <c r="J7621">
        <v>21145</v>
      </c>
    </row>
    <row r="7622" spans="1:10" x14ac:dyDescent="0.3">
      <c r="A7622" t="s">
        <v>7749</v>
      </c>
      <c r="B7622" s="1">
        <v>45993</v>
      </c>
      <c r="C7622" t="s">
        <v>100</v>
      </c>
      <c r="D7622">
        <v>49</v>
      </c>
      <c r="E7622" t="s">
        <v>70</v>
      </c>
      <c r="F7622" t="s">
        <v>122</v>
      </c>
      <c r="G7622" t="s">
        <v>51</v>
      </c>
      <c r="H7622" t="s">
        <v>59</v>
      </c>
      <c r="I7622">
        <v>20612</v>
      </c>
      <c r="J7622">
        <v>14802</v>
      </c>
    </row>
    <row r="7623" spans="1:10" x14ac:dyDescent="0.3">
      <c r="A7623" t="s">
        <v>7750</v>
      </c>
      <c r="B7623" s="1">
        <v>45837</v>
      </c>
      <c r="C7623" t="s">
        <v>74</v>
      </c>
      <c r="D7623">
        <v>26</v>
      </c>
      <c r="E7623" t="s">
        <v>12</v>
      </c>
      <c r="F7623" t="s">
        <v>43</v>
      </c>
      <c r="G7623" t="s">
        <v>126</v>
      </c>
      <c r="H7623" t="s">
        <v>151</v>
      </c>
      <c r="I7623">
        <v>31350</v>
      </c>
      <c r="J7623">
        <v>40308</v>
      </c>
    </row>
    <row r="7624" spans="1:10" x14ac:dyDescent="0.3">
      <c r="A7624" t="s">
        <v>7751</v>
      </c>
      <c r="B7624" s="1">
        <v>45691</v>
      </c>
      <c r="C7624" t="s">
        <v>82</v>
      </c>
      <c r="D7624">
        <v>6</v>
      </c>
      <c r="E7624" t="s">
        <v>18</v>
      </c>
      <c r="F7624" t="s">
        <v>122</v>
      </c>
      <c r="G7624" t="s">
        <v>135</v>
      </c>
      <c r="H7624" t="s">
        <v>27</v>
      </c>
      <c r="I7624">
        <v>22913</v>
      </c>
      <c r="J7624">
        <v>24737</v>
      </c>
    </row>
    <row r="7625" spans="1:10" x14ac:dyDescent="0.3">
      <c r="A7625" t="s">
        <v>7752</v>
      </c>
      <c r="B7625" s="1">
        <v>45873</v>
      </c>
      <c r="C7625" t="s">
        <v>113</v>
      </c>
      <c r="D7625">
        <v>32</v>
      </c>
      <c r="E7625" t="s">
        <v>18</v>
      </c>
      <c r="F7625" t="s">
        <v>25</v>
      </c>
      <c r="G7625" t="s">
        <v>206</v>
      </c>
      <c r="H7625" t="s">
        <v>155</v>
      </c>
      <c r="I7625">
        <v>37740</v>
      </c>
      <c r="J7625">
        <v>30015</v>
      </c>
    </row>
    <row r="7626" spans="1:10" x14ac:dyDescent="0.3">
      <c r="A7626" t="s">
        <v>7753</v>
      </c>
      <c r="B7626" s="1">
        <v>45770</v>
      </c>
      <c r="C7626" t="s">
        <v>86</v>
      </c>
      <c r="D7626">
        <v>17</v>
      </c>
      <c r="E7626" t="s">
        <v>39</v>
      </c>
      <c r="F7626" t="s">
        <v>43</v>
      </c>
      <c r="G7626" t="s">
        <v>67</v>
      </c>
      <c r="H7626" t="s">
        <v>31</v>
      </c>
      <c r="I7626">
        <v>17354</v>
      </c>
      <c r="J7626">
        <v>20419</v>
      </c>
    </row>
    <row r="7627" spans="1:10" x14ac:dyDescent="0.3">
      <c r="A7627" t="s">
        <v>7754</v>
      </c>
      <c r="B7627" s="1">
        <v>45933</v>
      </c>
      <c r="C7627" t="s">
        <v>66</v>
      </c>
      <c r="D7627">
        <v>40</v>
      </c>
      <c r="E7627" t="s">
        <v>12</v>
      </c>
      <c r="F7627" t="s">
        <v>57</v>
      </c>
      <c r="G7627" t="s">
        <v>79</v>
      </c>
      <c r="H7627" t="s">
        <v>48</v>
      </c>
      <c r="I7627">
        <v>32049</v>
      </c>
      <c r="J7627">
        <v>32306</v>
      </c>
    </row>
    <row r="7628" spans="1:10" x14ac:dyDescent="0.3">
      <c r="A7628" t="s">
        <v>7755</v>
      </c>
      <c r="B7628" s="1">
        <v>45727</v>
      </c>
      <c r="C7628" t="s">
        <v>95</v>
      </c>
      <c r="D7628">
        <v>11</v>
      </c>
      <c r="E7628" t="s">
        <v>33</v>
      </c>
      <c r="F7628" t="s">
        <v>43</v>
      </c>
      <c r="G7628" t="s">
        <v>253</v>
      </c>
      <c r="H7628" t="s">
        <v>165</v>
      </c>
      <c r="I7628">
        <v>26096</v>
      </c>
      <c r="J7628">
        <v>30600</v>
      </c>
    </row>
    <row r="7629" spans="1:10" x14ac:dyDescent="0.3">
      <c r="A7629" t="s">
        <v>7756</v>
      </c>
      <c r="B7629" s="1">
        <v>45658</v>
      </c>
      <c r="C7629" t="s">
        <v>17</v>
      </c>
      <c r="D7629">
        <v>1</v>
      </c>
      <c r="E7629" t="s">
        <v>61</v>
      </c>
      <c r="F7629" t="s">
        <v>193</v>
      </c>
      <c r="G7629" t="s">
        <v>118</v>
      </c>
      <c r="H7629" t="s">
        <v>48</v>
      </c>
      <c r="I7629">
        <v>28693</v>
      </c>
      <c r="J7629">
        <v>27400</v>
      </c>
    </row>
    <row r="7630" spans="1:10" x14ac:dyDescent="0.3">
      <c r="A7630" t="s">
        <v>7757</v>
      </c>
      <c r="B7630" s="1">
        <v>45788</v>
      </c>
      <c r="C7630" t="s">
        <v>90</v>
      </c>
      <c r="D7630">
        <v>19</v>
      </c>
      <c r="E7630" t="s">
        <v>18</v>
      </c>
      <c r="F7630" t="s">
        <v>92</v>
      </c>
      <c r="G7630" t="s">
        <v>266</v>
      </c>
      <c r="H7630" t="s">
        <v>41</v>
      </c>
      <c r="I7630">
        <v>34237</v>
      </c>
      <c r="J7630">
        <v>40097</v>
      </c>
    </row>
    <row r="7631" spans="1:10" x14ac:dyDescent="0.3">
      <c r="A7631" t="s">
        <v>7758</v>
      </c>
      <c r="B7631" s="1">
        <v>45853</v>
      </c>
      <c r="C7631" t="s">
        <v>11</v>
      </c>
      <c r="D7631">
        <v>29</v>
      </c>
      <c r="E7631" t="s">
        <v>33</v>
      </c>
      <c r="F7631" t="s">
        <v>50</v>
      </c>
      <c r="G7631" t="s">
        <v>160</v>
      </c>
      <c r="H7631" t="s">
        <v>211</v>
      </c>
      <c r="I7631">
        <v>23052</v>
      </c>
      <c r="J7631">
        <v>21438</v>
      </c>
    </row>
    <row r="7632" spans="1:10" x14ac:dyDescent="0.3">
      <c r="A7632" t="s">
        <v>7759</v>
      </c>
      <c r="B7632" s="1">
        <v>45999</v>
      </c>
      <c r="C7632" t="s">
        <v>100</v>
      </c>
      <c r="D7632">
        <v>50</v>
      </c>
      <c r="E7632" t="s">
        <v>18</v>
      </c>
      <c r="F7632" t="s">
        <v>29</v>
      </c>
      <c r="G7632" t="s">
        <v>253</v>
      </c>
      <c r="H7632" t="s">
        <v>52</v>
      </c>
      <c r="I7632">
        <v>26679</v>
      </c>
      <c r="J7632">
        <v>31934</v>
      </c>
    </row>
    <row r="7633" spans="1:10" x14ac:dyDescent="0.3">
      <c r="A7633" t="s">
        <v>7760</v>
      </c>
      <c r="B7633" s="1">
        <v>45900</v>
      </c>
      <c r="C7633" t="s">
        <v>113</v>
      </c>
      <c r="D7633">
        <v>35</v>
      </c>
      <c r="E7633" t="s">
        <v>70</v>
      </c>
      <c r="F7633" t="s">
        <v>34</v>
      </c>
      <c r="G7633" t="s">
        <v>149</v>
      </c>
      <c r="H7633" t="s">
        <v>98</v>
      </c>
      <c r="I7633">
        <v>20753</v>
      </c>
      <c r="J7633">
        <v>18337</v>
      </c>
    </row>
    <row r="7634" spans="1:10" x14ac:dyDescent="0.3">
      <c r="A7634" t="s">
        <v>7761</v>
      </c>
      <c r="B7634" s="1">
        <v>45949</v>
      </c>
      <c r="C7634" t="s">
        <v>66</v>
      </c>
      <c r="D7634">
        <v>42</v>
      </c>
      <c r="E7634" t="s">
        <v>39</v>
      </c>
      <c r="F7634" t="s">
        <v>57</v>
      </c>
      <c r="G7634" t="s">
        <v>130</v>
      </c>
      <c r="H7634" t="s">
        <v>55</v>
      </c>
      <c r="I7634">
        <v>16531</v>
      </c>
      <c r="J7634">
        <v>20278</v>
      </c>
    </row>
    <row r="7635" spans="1:10" x14ac:dyDescent="0.3">
      <c r="A7635" t="s">
        <v>7762</v>
      </c>
      <c r="B7635" s="1">
        <v>46021</v>
      </c>
      <c r="C7635" t="s">
        <v>100</v>
      </c>
      <c r="D7635">
        <v>1</v>
      </c>
      <c r="E7635" t="s">
        <v>18</v>
      </c>
      <c r="F7635" t="s">
        <v>78</v>
      </c>
      <c r="G7635" t="s">
        <v>149</v>
      </c>
      <c r="H7635" t="s">
        <v>59</v>
      </c>
      <c r="I7635">
        <v>19244</v>
      </c>
      <c r="J7635">
        <v>20994</v>
      </c>
    </row>
    <row r="7636" spans="1:10" x14ac:dyDescent="0.3">
      <c r="A7636" t="s">
        <v>7763</v>
      </c>
      <c r="B7636" s="1">
        <v>45951</v>
      </c>
      <c r="C7636" t="s">
        <v>66</v>
      </c>
      <c r="D7636">
        <v>43</v>
      </c>
      <c r="E7636" t="s">
        <v>39</v>
      </c>
      <c r="F7636" t="s">
        <v>122</v>
      </c>
      <c r="G7636" t="s">
        <v>130</v>
      </c>
      <c r="H7636" t="s">
        <v>119</v>
      </c>
      <c r="I7636">
        <v>36445</v>
      </c>
      <c r="J7636">
        <v>44360</v>
      </c>
    </row>
    <row r="7637" spans="1:10" x14ac:dyDescent="0.3">
      <c r="A7637" t="s">
        <v>7764</v>
      </c>
      <c r="B7637" s="1">
        <v>45857</v>
      </c>
      <c r="C7637" t="s">
        <v>11</v>
      </c>
      <c r="D7637">
        <v>29</v>
      </c>
      <c r="E7637" t="s">
        <v>24</v>
      </c>
      <c r="F7637" t="s">
        <v>29</v>
      </c>
      <c r="G7637" t="s">
        <v>253</v>
      </c>
      <c r="H7637" t="s">
        <v>55</v>
      </c>
      <c r="I7637">
        <v>29895</v>
      </c>
      <c r="J7637">
        <v>25891</v>
      </c>
    </row>
    <row r="7638" spans="1:10" x14ac:dyDescent="0.3">
      <c r="A7638" t="s">
        <v>7765</v>
      </c>
      <c r="B7638" s="1">
        <v>45699</v>
      </c>
      <c r="C7638" t="s">
        <v>82</v>
      </c>
      <c r="D7638">
        <v>7</v>
      </c>
      <c r="E7638" t="s">
        <v>70</v>
      </c>
      <c r="F7638" t="s">
        <v>140</v>
      </c>
      <c r="G7638" t="s">
        <v>14</v>
      </c>
      <c r="H7638" t="s">
        <v>119</v>
      </c>
      <c r="I7638">
        <v>23058</v>
      </c>
      <c r="J7638">
        <v>29318</v>
      </c>
    </row>
    <row r="7639" spans="1:10" x14ac:dyDescent="0.3">
      <c r="A7639" t="s">
        <v>7766</v>
      </c>
      <c r="B7639" s="1">
        <v>45759</v>
      </c>
      <c r="C7639" t="s">
        <v>86</v>
      </c>
      <c r="D7639">
        <v>15</v>
      </c>
      <c r="E7639" t="s">
        <v>61</v>
      </c>
      <c r="F7639" t="s">
        <v>50</v>
      </c>
      <c r="G7639" t="s">
        <v>30</v>
      </c>
      <c r="H7639" t="s">
        <v>27</v>
      </c>
      <c r="I7639">
        <v>22744</v>
      </c>
      <c r="J7639">
        <v>19068</v>
      </c>
    </row>
    <row r="7640" spans="1:10" x14ac:dyDescent="0.3">
      <c r="A7640" t="s">
        <v>7767</v>
      </c>
      <c r="B7640" s="1">
        <v>45718</v>
      </c>
      <c r="C7640" t="s">
        <v>95</v>
      </c>
      <c r="D7640">
        <v>9</v>
      </c>
      <c r="E7640" t="s">
        <v>12</v>
      </c>
      <c r="F7640" t="s">
        <v>29</v>
      </c>
      <c r="G7640" t="s">
        <v>230</v>
      </c>
      <c r="H7640" t="s">
        <v>48</v>
      </c>
      <c r="I7640">
        <v>36915</v>
      </c>
      <c r="J7640">
        <v>41696</v>
      </c>
    </row>
    <row r="7641" spans="1:10" x14ac:dyDescent="0.3">
      <c r="A7641" t="s">
        <v>7768</v>
      </c>
      <c r="B7641" s="1">
        <v>45990</v>
      </c>
      <c r="C7641" t="s">
        <v>23</v>
      </c>
      <c r="D7641">
        <v>48</v>
      </c>
      <c r="E7641" t="s">
        <v>61</v>
      </c>
      <c r="F7641" t="s">
        <v>34</v>
      </c>
      <c r="G7641" t="s">
        <v>130</v>
      </c>
      <c r="H7641" t="s">
        <v>163</v>
      </c>
      <c r="I7641">
        <v>38940</v>
      </c>
      <c r="J7641">
        <v>46905</v>
      </c>
    </row>
    <row r="7642" spans="1:10" x14ac:dyDescent="0.3">
      <c r="A7642" t="s">
        <v>7769</v>
      </c>
      <c r="B7642" s="1">
        <v>45707</v>
      </c>
      <c r="C7642" t="s">
        <v>82</v>
      </c>
      <c r="D7642">
        <v>8</v>
      </c>
      <c r="E7642" t="s">
        <v>61</v>
      </c>
      <c r="F7642" t="s">
        <v>43</v>
      </c>
      <c r="G7642" t="s">
        <v>291</v>
      </c>
      <c r="H7642" t="s">
        <v>15</v>
      </c>
      <c r="I7642">
        <v>15118</v>
      </c>
      <c r="J7642">
        <v>11716</v>
      </c>
    </row>
    <row r="7643" spans="1:10" x14ac:dyDescent="0.3">
      <c r="A7643" t="s">
        <v>7770</v>
      </c>
      <c r="B7643" s="1">
        <v>45934</v>
      </c>
      <c r="C7643" t="s">
        <v>66</v>
      </c>
      <c r="D7643">
        <v>40</v>
      </c>
      <c r="E7643" t="s">
        <v>24</v>
      </c>
      <c r="F7643" t="s">
        <v>92</v>
      </c>
      <c r="G7643" t="s">
        <v>47</v>
      </c>
      <c r="H7643" t="s">
        <v>151</v>
      </c>
      <c r="I7643">
        <v>20911</v>
      </c>
      <c r="J7643">
        <v>25360</v>
      </c>
    </row>
    <row r="7644" spans="1:10" x14ac:dyDescent="0.3">
      <c r="A7644" t="s">
        <v>7771</v>
      </c>
      <c r="B7644" s="1">
        <v>45675</v>
      </c>
      <c r="C7644" t="s">
        <v>17</v>
      </c>
      <c r="D7644">
        <v>3</v>
      </c>
      <c r="E7644" t="s">
        <v>12</v>
      </c>
      <c r="F7644" t="s">
        <v>34</v>
      </c>
      <c r="G7644" t="s">
        <v>88</v>
      </c>
      <c r="H7644" t="s">
        <v>103</v>
      </c>
      <c r="I7644">
        <v>27967</v>
      </c>
      <c r="J7644">
        <v>27916</v>
      </c>
    </row>
    <row r="7645" spans="1:10" x14ac:dyDescent="0.3">
      <c r="A7645" t="s">
        <v>7772</v>
      </c>
      <c r="B7645" s="1">
        <v>45730</v>
      </c>
      <c r="C7645" t="s">
        <v>95</v>
      </c>
      <c r="D7645">
        <v>11</v>
      </c>
      <c r="E7645" t="s">
        <v>61</v>
      </c>
      <c r="F7645" t="s">
        <v>193</v>
      </c>
      <c r="G7645" t="s">
        <v>67</v>
      </c>
      <c r="H7645" t="s">
        <v>155</v>
      </c>
      <c r="I7645">
        <v>30084</v>
      </c>
      <c r="J7645">
        <v>24618</v>
      </c>
    </row>
    <row r="7646" spans="1:10" x14ac:dyDescent="0.3">
      <c r="A7646" t="s">
        <v>7773</v>
      </c>
      <c r="B7646" s="1">
        <v>45769</v>
      </c>
      <c r="C7646" t="s">
        <v>86</v>
      </c>
      <c r="D7646">
        <v>17</v>
      </c>
      <c r="E7646" t="s">
        <v>33</v>
      </c>
      <c r="F7646" t="s">
        <v>78</v>
      </c>
      <c r="G7646" t="s">
        <v>40</v>
      </c>
      <c r="H7646" t="s">
        <v>133</v>
      </c>
      <c r="I7646">
        <v>38829</v>
      </c>
      <c r="J7646">
        <v>38473</v>
      </c>
    </row>
    <row r="7647" spans="1:10" x14ac:dyDescent="0.3">
      <c r="A7647" t="s">
        <v>7774</v>
      </c>
      <c r="B7647" s="1">
        <v>45980</v>
      </c>
      <c r="C7647" t="s">
        <v>23</v>
      </c>
      <c r="D7647">
        <v>47</v>
      </c>
      <c r="E7647" t="s">
        <v>70</v>
      </c>
      <c r="F7647" t="s">
        <v>57</v>
      </c>
      <c r="G7647" t="s">
        <v>171</v>
      </c>
      <c r="H7647" t="s">
        <v>15</v>
      </c>
      <c r="I7647">
        <v>27502</v>
      </c>
      <c r="J7647">
        <v>21196</v>
      </c>
    </row>
    <row r="7648" spans="1:10" x14ac:dyDescent="0.3">
      <c r="A7648" t="s">
        <v>7775</v>
      </c>
      <c r="B7648" s="1">
        <v>45689</v>
      </c>
      <c r="C7648" t="s">
        <v>82</v>
      </c>
      <c r="D7648">
        <v>5</v>
      </c>
      <c r="E7648" t="s">
        <v>18</v>
      </c>
      <c r="F7648" t="s">
        <v>193</v>
      </c>
      <c r="G7648" t="s">
        <v>145</v>
      </c>
      <c r="H7648" t="s">
        <v>80</v>
      </c>
      <c r="I7648">
        <v>33002</v>
      </c>
      <c r="J7648">
        <v>35574</v>
      </c>
    </row>
    <row r="7649" spans="1:10" x14ac:dyDescent="0.3">
      <c r="A7649" t="s">
        <v>7776</v>
      </c>
      <c r="B7649" s="1">
        <v>45928</v>
      </c>
      <c r="C7649" t="s">
        <v>38</v>
      </c>
      <c r="D7649">
        <v>39</v>
      </c>
      <c r="E7649" t="s">
        <v>24</v>
      </c>
      <c r="F7649" t="s">
        <v>87</v>
      </c>
      <c r="G7649" t="s">
        <v>88</v>
      </c>
      <c r="H7649" t="s">
        <v>96</v>
      </c>
      <c r="I7649">
        <v>21624</v>
      </c>
      <c r="J7649">
        <v>21164</v>
      </c>
    </row>
    <row r="7650" spans="1:10" x14ac:dyDescent="0.3">
      <c r="A7650" t="s">
        <v>7777</v>
      </c>
      <c r="B7650" s="1">
        <v>45863</v>
      </c>
      <c r="C7650" t="s">
        <v>11</v>
      </c>
      <c r="D7650">
        <v>30</v>
      </c>
      <c r="E7650" t="s">
        <v>70</v>
      </c>
      <c r="F7650" t="s">
        <v>62</v>
      </c>
      <c r="G7650" t="s">
        <v>118</v>
      </c>
      <c r="H7650" t="s">
        <v>157</v>
      </c>
      <c r="I7650">
        <v>34955</v>
      </c>
      <c r="J7650">
        <v>31034</v>
      </c>
    </row>
    <row r="7651" spans="1:10" x14ac:dyDescent="0.3">
      <c r="A7651" t="s">
        <v>7778</v>
      </c>
      <c r="B7651" s="1">
        <v>45674</v>
      </c>
      <c r="C7651" t="s">
        <v>17</v>
      </c>
      <c r="D7651">
        <v>3</v>
      </c>
      <c r="E7651" t="s">
        <v>12</v>
      </c>
      <c r="F7651" t="s">
        <v>13</v>
      </c>
      <c r="G7651" t="s">
        <v>47</v>
      </c>
      <c r="H7651" t="s">
        <v>41</v>
      </c>
      <c r="I7651">
        <v>30503</v>
      </c>
      <c r="J7651">
        <v>34135</v>
      </c>
    </row>
    <row r="7652" spans="1:10" x14ac:dyDescent="0.3">
      <c r="A7652" t="s">
        <v>7779</v>
      </c>
      <c r="B7652" s="1">
        <v>45881</v>
      </c>
      <c r="C7652" t="s">
        <v>113</v>
      </c>
      <c r="D7652">
        <v>33</v>
      </c>
      <c r="E7652" t="s">
        <v>39</v>
      </c>
      <c r="F7652" t="s">
        <v>78</v>
      </c>
      <c r="G7652" t="s">
        <v>326</v>
      </c>
      <c r="H7652" t="s">
        <v>27</v>
      </c>
      <c r="I7652">
        <v>17531</v>
      </c>
      <c r="J7652">
        <v>20510</v>
      </c>
    </row>
    <row r="7653" spans="1:10" x14ac:dyDescent="0.3">
      <c r="A7653" t="s">
        <v>7780</v>
      </c>
      <c r="B7653" s="1">
        <v>45743</v>
      </c>
      <c r="C7653" t="s">
        <v>95</v>
      </c>
      <c r="D7653">
        <v>13</v>
      </c>
      <c r="E7653" t="s">
        <v>61</v>
      </c>
      <c r="F7653" t="s">
        <v>46</v>
      </c>
      <c r="G7653" t="s">
        <v>149</v>
      </c>
      <c r="H7653" t="s">
        <v>59</v>
      </c>
      <c r="I7653">
        <v>38411</v>
      </c>
      <c r="J7653">
        <v>43732</v>
      </c>
    </row>
    <row r="7654" spans="1:10" x14ac:dyDescent="0.3">
      <c r="A7654" t="s">
        <v>7781</v>
      </c>
      <c r="B7654" s="1">
        <v>46006</v>
      </c>
      <c r="C7654" t="s">
        <v>100</v>
      </c>
      <c r="D7654">
        <v>51</v>
      </c>
      <c r="E7654" t="s">
        <v>61</v>
      </c>
      <c r="F7654" t="s">
        <v>109</v>
      </c>
      <c r="G7654" t="s">
        <v>72</v>
      </c>
      <c r="H7654" t="s">
        <v>133</v>
      </c>
      <c r="I7654">
        <v>29169</v>
      </c>
      <c r="J7654">
        <v>31327</v>
      </c>
    </row>
    <row r="7655" spans="1:10" x14ac:dyDescent="0.3">
      <c r="A7655" t="s">
        <v>7782</v>
      </c>
      <c r="B7655" s="1">
        <v>45839</v>
      </c>
      <c r="C7655" t="s">
        <v>11</v>
      </c>
      <c r="D7655">
        <v>27</v>
      </c>
      <c r="E7655" t="s">
        <v>18</v>
      </c>
      <c r="F7655" t="s">
        <v>193</v>
      </c>
      <c r="G7655" t="s">
        <v>93</v>
      </c>
      <c r="H7655" t="s">
        <v>55</v>
      </c>
      <c r="I7655">
        <v>39010</v>
      </c>
      <c r="J7655">
        <v>30882</v>
      </c>
    </row>
    <row r="7656" spans="1:10" x14ac:dyDescent="0.3">
      <c r="A7656" t="s">
        <v>7783</v>
      </c>
      <c r="B7656" s="1">
        <v>45929</v>
      </c>
      <c r="C7656" t="s">
        <v>38</v>
      </c>
      <c r="D7656">
        <v>40</v>
      </c>
      <c r="E7656" t="s">
        <v>33</v>
      </c>
      <c r="F7656" t="s">
        <v>75</v>
      </c>
      <c r="G7656" t="s">
        <v>141</v>
      </c>
      <c r="H7656" t="s">
        <v>163</v>
      </c>
      <c r="I7656">
        <v>24115</v>
      </c>
      <c r="J7656">
        <v>22823</v>
      </c>
    </row>
    <row r="7657" spans="1:10" x14ac:dyDescent="0.3">
      <c r="A7657" t="s">
        <v>7784</v>
      </c>
      <c r="B7657" s="1">
        <v>45710</v>
      </c>
      <c r="C7657" t="s">
        <v>82</v>
      </c>
      <c r="D7657">
        <v>8</v>
      </c>
      <c r="E7657" t="s">
        <v>24</v>
      </c>
      <c r="F7657" t="s">
        <v>92</v>
      </c>
      <c r="G7657" t="s">
        <v>72</v>
      </c>
      <c r="H7657" t="s">
        <v>80</v>
      </c>
      <c r="I7657">
        <v>31902</v>
      </c>
      <c r="J7657">
        <v>23665</v>
      </c>
    </row>
    <row r="7658" spans="1:10" x14ac:dyDescent="0.3">
      <c r="A7658" t="s">
        <v>7785</v>
      </c>
      <c r="B7658" s="1">
        <v>45847</v>
      </c>
      <c r="C7658" t="s">
        <v>11</v>
      </c>
      <c r="D7658">
        <v>28</v>
      </c>
      <c r="E7658" t="s">
        <v>12</v>
      </c>
      <c r="F7658" t="s">
        <v>114</v>
      </c>
      <c r="G7658" t="s">
        <v>88</v>
      </c>
      <c r="H7658" t="s">
        <v>188</v>
      </c>
      <c r="I7658">
        <v>33453</v>
      </c>
      <c r="J7658">
        <v>41066</v>
      </c>
    </row>
    <row r="7659" spans="1:10" x14ac:dyDescent="0.3">
      <c r="A7659" t="s">
        <v>7786</v>
      </c>
      <c r="B7659" s="1">
        <v>45721</v>
      </c>
      <c r="C7659" t="s">
        <v>95</v>
      </c>
      <c r="D7659">
        <v>10</v>
      </c>
      <c r="E7659" t="s">
        <v>18</v>
      </c>
      <c r="F7659" t="s">
        <v>109</v>
      </c>
      <c r="G7659" t="s">
        <v>240</v>
      </c>
      <c r="H7659" t="s">
        <v>116</v>
      </c>
      <c r="I7659">
        <v>29096</v>
      </c>
      <c r="J7659">
        <v>29425</v>
      </c>
    </row>
    <row r="7660" spans="1:10" x14ac:dyDescent="0.3">
      <c r="A7660" t="s">
        <v>7787</v>
      </c>
      <c r="B7660" s="1">
        <v>45903</v>
      </c>
      <c r="C7660" t="s">
        <v>38</v>
      </c>
      <c r="D7660">
        <v>36</v>
      </c>
      <c r="E7660" t="s">
        <v>12</v>
      </c>
      <c r="F7660" t="s">
        <v>78</v>
      </c>
      <c r="G7660" t="s">
        <v>149</v>
      </c>
      <c r="H7660" t="s">
        <v>41</v>
      </c>
      <c r="I7660">
        <v>33841</v>
      </c>
      <c r="J7660">
        <v>24380</v>
      </c>
    </row>
    <row r="7661" spans="1:10" x14ac:dyDescent="0.3">
      <c r="A7661" t="s">
        <v>7788</v>
      </c>
      <c r="B7661" s="1">
        <v>45861</v>
      </c>
      <c r="C7661" t="s">
        <v>11</v>
      </c>
      <c r="D7661">
        <v>30</v>
      </c>
      <c r="E7661" t="s">
        <v>24</v>
      </c>
      <c r="F7661" t="s">
        <v>62</v>
      </c>
      <c r="G7661" t="s">
        <v>30</v>
      </c>
      <c r="H7661" t="s">
        <v>36</v>
      </c>
      <c r="I7661">
        <v>17493</v>
      </c>
      <c r="J7661">
        <v>14768</v>
      </c>
    </row>
    <row r="7662" spans="1:10" x14ac:dyDescent="0.3">
      <c r="A7662" t="s">
        <v>7789</v>
      </c>
      <c r="B7662" s="1">
        <v>45663</v>
      </c>
      <c r="C7662" t="s">
        <v>17</v>
      </c>
      <c r="D7662">
        <v>2</v>
      </c>
      <c r="E7662" t="s">
        <v>70</v>
      </c>
      <c r="F7662" t="s">
        <v>62</v>
      </c>
      <c r="G7662" t="s">
        <v>118</v>
      </c>
      <c r="H7662" t="s">
        <v>116</v>
      </c>
      <c r="I7662">
        <v>28192</v>
      </c>
      <c r="J7662">
        <v>27816</v>
      </c>
    </row>
    <row r="7663" spans="1:10" x14ac:dyDescent="0.3">
      <c r="A7663" t="s">
        <v>7790</v>
      </c>
      <c r="B7663" s="1">
        <v>45672</v>
      </c>
      <c r="C7663" t="s">
        <v>17</v>
      </c>
      <c r="D7663">
        <v>3</v>
      </c>
      <c r="E7663" t="s">
        <v>18</v>
      </c>
      <c r="F7663" t="s">
        <v>75</v>
      </c>
      <c r="G7663" t="s">
        <v>79</v>
      </c>
      <c r="H7663" t="s">
        <v>111</v>
      </c>
      <c r="I7663">
        <v>26138</v>
      </c>
      <c r="J7663">
        <v>27467</v>
      </c>
    </row>
    <row r="7664" spans="1:10" x14ac:dyDescent="0.3">
      <c r="A7664" t="s">
        <v>7791</v>
      </c>
      <c r="B7664" s="1">
        <v>45790</v>
      </c>
      <c r="C7664" t="s">
        <v>90</v>
      </c>
      <c r="D7664">
        <v>20</v>
      </c>
      <c r="E7664" t="s">
        <v>39</v>
      </c>
      <c r="F7664" t="s">
        <v>34</v>
      </c>
      <c r="G7664" t="s">
        <v>79</v>
      </c>
      <c r="H7664" t="s">
        <v>27</v>
      </c>
      <c r="I7664">
        <v>25877</v>
      </c>
      <c r="J7664">
        <v>25815</v>
      </c>
    </row>
    <row r="7665" spans="1:10" x14ac:dyDescent="0.3">
      <c r="A7665" t="s">
        <v>7792</v>
      </c>
      <c r="B7665" s="1">
        <v>45840</v>
      </c>
      <c r="C7665" t="s">
        <v>11</v>
      </c>
      <c r="D7665">
        <v>27</v>
      </c>
      <c r="E7665" t="s">
        <v>18</v>
      </c>
      <c r="F7665" t="s">
        <v>46</v>
      </c>
      <c r="G7665" t="s">
        <v>76</v>
      </c>
      <c r="H7665" t="s">
        <v>103</v>
      </c>
      <c r="I7665">
        <v>35441</v>
      </c>
      <c r="J7665">
        <v>44633</v>
      </c>
    </row>
    <row r="7666" spans="1:10" x14ac:dyDescent="0.3">
      <c r="A7666" t="s">
        <v>7793</v>
      </c>
      <c r="B7666" s="1">
        <v>45941</v>
      </c>
      <c r="C7666" t="s">
        <v>66</v>
      </c>
      <c r="D7666">
        <v>41</v>
      </c>
      <c r="E7666" t="s">
        <v>39</v>
      </c>
      <c r="F7666" t="s">
        <v>109</v>
      </c>
      <c r="G7666" t="s">
        <v>30</v>
      </c>
      <c r="H7666" t="s">
        <v>21</v>
      </c>
      <c r="I7666">
        <v>22703</v>
      </c>
      <c r="J7666">
        <v>19492</v>
      </c>
    </row>
    <row r="7667" spans="1:10" x14ac:dyDescent="0.3">
      <c r="A7667" t="s">
        <v>7794</v>
      </c>
      <c r="B7667" s="1">
        <v>45700</v>
      </c>
      <c r="C7667" t="s">
        <v>82</v>
      </c>
      <c r="D7667">
        <v>7</v>
      </c>
      <c r="E7667" t="s">
        <v>70</v>
      </c>
      <c r="F7667" t="s">
        <v>25</v>
      </c>
      <c r="G7667" t="s">
        <v>160</v>
      </c>
      <c r="H7667" t="s">
        <v>15</v>
      </c>
      <c r="I7667">
        <v>27124</v>
      </c>
      <c r="J7667">
        <v>29841</v>
      </c>
    </row>
    <row r="7668" spans="1:10" x14ac:dyDescent="0.3">
      <c r="A7668" t="s">
        <v>7795</v>
      </c>
      <c r="B7668" s="1">
        <v>45949</v>
      </c>
      <c r="C7668" t="s">
        <v>66</v>
      </c>
      <c r="D7668">
        <v>42</v>
      </c>
      <c r="E7668" t="s">
        <v>18</v>
      </c>
      <c r="F7668" t="s">
        <v>57</v>
      </c>
      <c r="G7668" t="s">
        <v>26</v>
      </c>
      <c r="H7668" t="s">
        <v>55</v>
      </c>
      <c r="I7668">
        <v>36774</v>
      </c>
      <c r="J7668">
        <v>43866</v>
      </c>
    </row>
    <row r="7669" spans="1:10" x14ac:dyDescent="0.3">
      <c r="A7669" t="s">
        <v>7796</v>
      </c>
      <c r="B7669" s="1">
        <v>45950</v>
      </c>
      <c r="C7669" t="s">
        <v>66</v>
      </c>
      <c r="D7669">
        <v>43</v>
      </c>
      <c r="E7669" t="s">
        <v>12</v>
      </c>
      <c r="F7669" t="s">
        <v>34</v>
      </c>
      <c r="G7669" t="s">
        <v>35</v>
      </c>
      <c r="H7669" t="s">
        <v>96</v>
      </c>
      <c r="I7669">
        <v>32456</v>
      </c>
      <c r="J7669">
        <v>37417</v>
      </c>
    </row>
    <row r="7670" spans="1:10" x14ac:dyDescent="0.3">
      <c r="A7670" t="s">
        <v>7797</v>
      </c>
      <c r="B7670" s="1">
        <v>45888</v>
      </c>
      <c r="C7670" t="s">
        <v>113</v>
      </c>
      <c r="D7670">
        <v>34</v>
      </c>
      <c r="E7670" t="s">
        <v>18</v>
      </c>
      <c r="F7670" t="s">
        <v>13</v>
      </c>
      <c r="G7670" t="s">
        <v>145</v>
      </c>
      <c r="H7670" t="s">
        <v>151</v>
      </c>
      <c r="I7670">
        <v>33965</v>
      </c>
      <c r="J7670">
        <v>29198</v>
      </c>
    </row>
    <row r="7671" spans="1:10" x14ac:dyDescent="0.3">
      <c r="A7671" t="s">
        <v>7798</v>
      </c>
      <c r="B7671" s="1">
        <v>45882</v>
      </c>
      <c r="C7671" t="s">
        <v>113</v>
      </c>
      <c r="D7671">
        <v>33</v>
      </c>
      <c r="E7671" t="s">
        <v>24</v>
      </c>
      <c r="F7671" t="s">
        <v>109</v>
      </c>
      <c r="G7671" t="s">
        <v>145</v>
      </c>
      <c r="H7671" t="s">
        <v>80</v>
      </c>
      <c r="I7671">
        <v>20233</v>
      </c>
      <c r="J7671">
        <v>23967</v>
      </c>
    </row>
    <row r="7672" spans="1:10" x14ac:dyDescent="0.3">
      <c r="A7672" t="s">
        <v>7799</v>
      </c>
      <c r="B7672" s="1">
        <v>45706</v>
      </c>
      <c r="C7672" t="s">
        <v>82</v>
      </c>
      <c r="D7672">
        <v>8</v>
      </c>
      <c r="E7672" t="s">
        <v>39</v>
      </c>
      <c r="F7672" t="s">
        <v>122</v>
      </c>
      <c r="G7672" t="s">
        <v>240</v>
      </c>
      <c r="H7672" t="s">
        <v>151</v>
      </c>
      <c r="I7672">
        <v>21387</v>
      </c>
      <c r="J7672">
        <v>22723</v>
      </c>
    </row>
    <row r="7673" spans="1:10" x14ac:dyDescent="0.3">
      <c r="A7673" t="s">
        <v>7800</v>
      </c>
      <c r="B7673" s="1">
        <v>45898</v>
      </c>
      <c r="C7673" t="s">
        <v>113</v>
      </c>
      <c r="D7673">
        <v>35</v>
      </c>
      <c r="E7673" t="s">
        <v>61</v>
      </c>
      <c r="F7673" t="s">
        <v>50</v>
      </c>
      <c r="G7673" t="s">
        <v>324</v>
      </c>
      <c r="H7673" t="s">
        <v>211</v>
      </c>
      <c r="I7673">
        <v>20190</v>
      </c>
      <c r="J7673">
        <v>19534</v>
      </c>
    </row>
    <row r="7674" spans="1:10" x14ac:dyDescent="0.3">
      <c r="A7674" t="s">
        <v>7801</v>
      </c>
      <c r="B7674" s="1">
        <v>45969</v>
      </c>
      <c r="C7674" t="s">
        <v>23</v>
      </c>
      <c r="D7674">
        <v>45</v>
      </c>
      <c r="E7674" t="s">
        <v>61</v>
      </c>
      <c r="F7674" t="s">
        <v>78</v>
      </c>
      <c r="G7674" t="s">
        <v>160</v>
      </c>
      <c r="H7674" t="s">
        <v>96</v>
      </c>
      <c r="I7674">
        <v>35720</v>
      </c>
      <c r="J7674">
        <v>36689</v>
      </c>
    </row>
    <row r="7675" spans="1:10" x14ac:dyDescent="0.3">
      <c r="A7675" t="s">
        <v>7802</v>
      </c>
      <c r="B7675" s="1">
        <v>45666</v>
      </c>
      <c r="C7675" t="s">
        <v>17</v>
      </c>
      <c r="D7675">
        <v>2</v>
      </c>
      <c r="E7675" t="s">
        <v>70</v>
      </c>
      <c r="F7675" t="s">
        <v>122</v>
      </c>
      <c r="G7675" t="s">
        <v>44</v>
      </c>
      <c r="H7675" t="s">
        <v>123</v>
      </c>
      <c r="I7675">
        <v>30211</v>
      </c>
      <c r="J7675">
        <v>34630</v>
      </c>
    </row>
    <row r="7676" spans="1:10" x14ac:dyDescent="0.3">
      <c r="A7676" t="s">
        <v>7803</v>
      </c>
      <c r="B7676" s="1">
        <v>45729</v>
      </c>
      <c r="C7676" t="s">
        <v>95</v>
      </c>
      <c r="D7676">
        <v>11</v>
      </c>
      <c r="E7676" t="s">
        <v>61</v>
      </c>
      <c r="F7676" t="s">
        <v>114</v>
      </c>
      <c r="G7676" t="s">
        <v>137</v>
      </c>
      <c r="H7676" t="s">
        <v>36</v>
      </c>
      <c r="I7676">
        <v>25626</v>
      </c>
      <c r="J7676">
        <v>25034</v>
      </c>
    </row>
    <row r="7677" spans="1:10" x14ac:dyDescent="0.3">
      <c r="A7677" t="s">
        <v>7804</v>
      </c>
      <c r="B7677" s="1">
        <v>45902</v>
      </c>
      <c r="C7677" t="s">
        <v>38</v>
      </c>
      <c r="D7677">
        <v>36</v>
      </c>
      <c r="E7677" t="s">
        <v>18</v>
      </c>
      <c r="F7677" t="s">
        <v>57</v>
      </c>
      <c r="G7677" t="s">
        <v>135</v>
      </c>
      <c r="H7677" t="s">
        <v>151</v>
      </c>
      <c r="I7677">
        <v>15463</v>
      </c>
      <c r="J7677">
        <v>18341</v>
      </c>
    </row>
    <row r="7678" spans="1:10" x14ac:dyDescent="0.3">
      <c r="A7678" t="s">
        <v>7805</v>
      </c>
      <c r="B7678" s="1">
        <v>45720</v>
      </c>
      <c r="C7678" t="s">
        <v>95</v>
      </c>
      <c r="D7678">
        <v>10</v>
      </c>
      <c r="E7678" t="s">
        <v>24</v>
      </c>
      <c r="F7678" t="s">
        <v>57</v>
      </c>
      <c r="G7678" t="s">
        <v>30</v>
      </c>
      <c r="H7678" t="s">
        <v>84</v>
      </c>
      <c r="I7678">
        <v>22275</v>
      </c>
      <c r="J7678">
        <v>26756</v>
      </c>
    </row>
    <row r="7679" spans="1:10" x14ac:dyDescent="0.3">
      <c r="A7679" t="s">
        <v>7806</v>
      </c>
      <c r="B7679" s="1">
        <v>45901</v>
      </c>
      <c r="C7679" t="s">
        <v>38</v>
      </c>
      <c r="D7679">
        <v>36</v>
      </c>
      <c r="E7679" t="s">
        <v>12</v>
      </c>
      <c r="F7679" t="s">
        <v>46</v>
      </c>
      <c r="G7679" t="s">
        <v>240</v>
      </c>
      <c r="H7679" t="s">
        <v>165</v>
      </c>
      <c r="I7679">
        <v>38440</v>
      </c>
      <c r="J7679">
        <v>43966</v>
      </c>
    </row>
    <row r="7680" spans="1:10" x14ac:dyDescent="0.3">
      <c r="A7680" t="s">
        <v>7807</v>
      </c>
      <c r="B7680" s="1">
        <v>45803</v>
      </c>
      <c r="C7680" t="s">
        <v>90</v>
      </c>
      <c r="D7680">
        <v>22</v>
      </c>
      <c r="E7680" t="s">
        <v>18</v>
      </c>
      <c r="F7680" t="s">
        <v>92</v>
      </c>
      <c r="G7680" t="s">
        <v>291</v>
      </c>
      <c r="H7680" t="s">
        <v>36</v>
      </c>
      <c r="I7680">
        <v>26849</v>
      </c>
      <c r="J7680">
        <v>21532</v>
      </c>
    </row>
    <row r="7681" spans="1:10" x14ac:dyDescent="0.3">
      <c r="A7681" t="s">
        <v>7808</v>
      </c>
      <c r="B7681" s="1">
        <v>45782</v>
      </c>
      <c r="C7681" t="s">
        <v>90</v>
      </c>
      <c r="D7681">
        <v>19</v>
      </c>
      <c r="E7681" t="s">
        <v>61</v>
      </c>
      <c r="F7681" t="s">
        <v>43</v>
      </c>
      <c r="G7681" t="s">
        <v>182</v>
      </c>
      <c r="H7681" t="s">
        <v>64</v>
      </c>
      <c r="I7681">
        <v>37885</v>
      </c>
      <c r="J7681">
        <v>40839</v>
      </c>
    </row>
    <row r="7682" spans="1:10" x14ac:dyDescent="0.3">
      <c r="A7682" t="s">
        <v>7809</v>
      </c>
      <c r="B7682" s="1">
        <v>45907</v>
      </c>
      <c r="C7682" t="s">
        <v>38</v>
      </c>
      <c r="D7682">
        <v>36</v>
      </c>
      <c r="E7682" t="s">
        <v>39</v>
      </c>
      <c r="F7682" t="s">
        <v>109</v>
      </c>
      <c r="G7682" t="s">
        <v>182</v>
      </c>
      <c r="H7682" t="s">
        <v>84</v>
      </c>
      <c r="I7682">
        <v>34850</v>
      </c>
      <c r="J7682">
        <v>31700</v>
      </c>
    </row>
    <row r="7683" spans="1:10" x14ac:dyDescent="0.3">
      <c r="A7683" t="s">
        <v>7810</v>
      </c>
      <c r="B7683" s="1">
        <v>45792</v>
      </c>
      <c r="C7683" t="s">
        <v>90</v>
      </c>
      <c r="D7683">
        <v>20</v>
      </c>
      <c r="E7683" t="s">
        <v>18</v>
      </c>
      <c r="F7683" t="s">
        <v>13</v>
      </c>
      <c r="G7683" t="s">
        <v>44</v>
      </c>
      <c r="H7683" t="s">
        <v>52</v>
      </c>
      <c r="I7683">
        <v>35834</v>
      </c>
      <c r="J7683">
        <v>26084</v>
      </c>
    </row>
    <row r="7684" spans="1:10" x14ac:dyDescent="0.3">
      <c r="A7684" t="s">
        <v>7811</v>
      </c>
      <c r="B7684" s="1">
        <v>45981</v>
      </c>
      <c r="C7684" t="s">
        <v>23</v>
      </c>
      <c r="D7684">
        <v>47</v>
      </c>
      <c r="E7684" t="s">
        <v>24</v>
      </c>
      <c r="F7684" t="s">
        <v>43</v>
      </c>
      <c r="G7684" t="s">
        <v>137</v>
      </c>
      <c r="H7684" t="s">
        <v>119</v>
      </c>
      <c r="I7684">
        <v>16668</v>
      </c>
      <c r="J7684">
        <v>16384</v>
      </c>
    </row>
    <row r="7685" spans="1:10" x14ac:dyDescent="0.3">
      <c r="A7685" t="s">
        <v>7812</v>
      </c>
      <c r="B7685" s="1">
        <v>45891</v>
      </c>
      <c r="C7685" t="s">
        <v>113</v>
      </c>
      <c r="D7685">
        <v>34</v>
      </c>
      <c r="E7685" t="s">
        <v>33</v>
      </c>
      <c r="F7685" t="s">
        <v>92</v>
      </c>
      <c r="G7685" t="s">
        <v>51</v>
      </c>
      <c r="H7685" t="s">
        <v>123</v>
      </c>
      <c r="I7685">
        <v>19952</v>
      </c>
      <c r="J7685">
        <v>22545</v>
      </c>
    </row>
    <row r="7686" spans="1:10" x14ac:dyDescent="0.3">
      <c r="A7686" t="s">
        <v>7813</v>
      </c>
      <c r="B7686" s="1">
        <v>45875</v>
      </c>
      <c r="C7686" t="s">
        <v>113</v>
      </c>
      <c r="D7686">
        <v>32</v>
      </c>
      <c r="E7686" t="s">
        <v>33</v>
      </c>
      <c r="F7686" t="s">
        <v>114</v>
      </c>
      <c r="G7686" t="s">
        <v>102</v>
      </c>
      <c r="H7686" t="s">
        <v>151</v>
      </c>
      <c r="I7686">
        <v>17263</v>
      </c>
      <c r="J7686">
        <v>17373</v>
      </c>
    </row>
    <row r="7687" spans="1:10" x14ac:dyDescent="0.3">
      <c r="A7687" t="s">
        <v>7814</v>
      </c>
      <c r="B7687" s="1">
        <v>45894</v>
      </c>
      <c r="C7687" t="s">
        <v>113</v>
      </c>
      <c r="D7687">
        <v>35</v>
      </c>
      <c r="E7687" t="s">
        <v>70</v>
      </c>
      <c r="F7687" t="s">
        <v>34</v>
      </c>
      <c r="G7687" t="s">
        <v>107</v>
      </c>
      <c r="H7687" t="s">
        <v>84</v>
      </c>
      <c r="I7687">
        <v>26083</v>
      </c>
      <c r="J7687">
        <v>18407</v>
      </c>
    </row>
    <row r="7688" spans="1:10" x14ac:dyDescent="0.3">
      <c r="A7688" t="s">
        <v>7815</v>
      </c>
      <c r="B7688" s="1">
        <v>45689</v>
      </c>
      <c r="C7688" t="s">
        <v>82</v>
      </c>
      <c r="D7688">
        <v>5</v>
      </c>
      <c r="E7688" t="s">
        <v>12</v>
      </c>
      <c r="F7688" t="s">
        <v>109</v>
      </c>
      <c r="G7688" t="s">
        <v>199</v>
      </c>
      <c r="H7688" t="s">
        <v>155</v>
      </c>
      <c r="I7688">
        <v>15662</v>
      </c>
      <c r="J7688">
        <v>12002</v>
      </c>
    </row>
    <row r="7689" spans="1:10" x14ac:dyDescent="0.3">
      <c r="A7689" t="s">
        <v>7816</v>
      </c>
      <c r="B7689" s="1">
        <v>45893</v>
      </c>
      <c r="C7689" t="s">
        <v>113</v>
      </c>
      <c r="D7689">
        <v>34</v>
      </c>
      <c r="E7689" t="s">
        <v>24</v>
      </c>
      <c r="F7689" t="s">
        <v>140</v>
      </c>
      <c r="G7689" t="s">
        <v>132</v>
      </c>
      <c r="H7689" t="s">
        <v>59</v>
      </c>
      <c r="I7689">
        <v>31283</v>
      </c>
      <c r="J7689">
        <v>38495</v>
      </c>
    </row>
    <row r="7690" spans="1:10" x14ac:dyDescent="0.3">
      <c r="A7690" t="s">
        <v>7817</v>
      </c>
      <c r="B7690" s="1">
        <v>45786</v>
      </c>
      <c r="C7690" t="s">
        <v>90</v>
      </c>
      <c r="D7690">
        <v>19</v>
      </c>
      <c r="E7690" t="s">
        <v>61</v>
      </c>
      <c r="F7690" t="s">
        <v>57</v>
      </c>
      <c r="G7690" t="s">
        <v>72</v>
      </c>
      <c r="H7690" t="s">
        <v>103</v>
      </c>
      <c r="I7690">
        <v>37261</v>
      </c>
      <c r="J7690">
        <v>34070</v>
      </c>
    </row>
    <row r="7691" spans="1:10" x14ac:dyDescent="0.3">
      <c r="A7691" t="s">
        <v>7818</v>
      </c>
      <c r="B7691" s="1">
        <v>45718</v>
      </c>
      <c r="C7691" t="s">
        <v>95</v>
      </c>
      <c r="D7691">
        <v>9</v>
      </c>
      <c r="E7691" t="s">
        <v>39</v>
      </c>
      <c r="F7691" t="s">
        <v>57</v>
      </c>
      <c r="G7691" t="s">
        <v>182</v>
      </c>
      <c r="H7691" t="s">
        <v>36</v>
      </c>
      <c r="I7691">
        <v>33391</v>
      </c>
      <c r="J7691">
        <v>37166</v>
      </c>
    </row>
    <row r="7692" spans="1:10" x14ac:dyDescent="0.3">
      <c r="A7692" t="s">
        <v>7819</v>
      </c>
      <c r="B7692" s="1">
        <v>46012</v>
      </c>
      <c r="C7692" t="s">
        <v>100</v>
      </c>
      <c r="D7692">
        <v>51</v>
      </c>
      <c r="E7692" t="s">
        <v>33</v>
      </c>
      <c r="F7692" t="s">
        <v>75</v>
      </c>
      <c r="G7692" t="s">
        <v>266</v>
      </c>
      <c r="H7692" t="s">
        <v>55</v>
      </c>
      <c r="I7692">
        <v>38671</v>
      </c>
      <c r="J7692">
        <v>30761</v>
      </c>
    </row>
    <row r="7693" spans="1:10" x14ac:dyDescent="0.3">
      <c r="A7693" t="s">
        <v>7820</v>
      </c>
      <c r="B7693" s="1">
        <v>45667</v>
      </c>
      <c r="C7693" t="s">
        <v>17</v>
      </c>
      <c r="D7693">
        <v>2</v>
      </c>
      <c r="E7693" t="s">
        <v>24</v>
      </c>
      <c r="F7693" t="s">
        <v>25</v>
      </c>
      <c r="G7693" t="s">
        <v>240</v>
      </c>
      <c r="H7693" t="s">
        <v>103</v>
      </c>
      <c r="I7693">
        <v>33521</v>
      </c>
      <c r="J7693">
        <v>37626</v>
      </c>
    </row>
    <row r="7694" spans="1:10" x14ac:dyDescent="0.3">
      <c r="A7694" t="s">
        <v>7821</v>
      </c>
      <c r="B7694" s="1">
        <v>45761</v>
      </c>
      <c r="C7694" t="s">
        <v>86</v>
      </c>
      <c r="D7694">
        <v>16</v>
      </c>
      <c r="E7694" t="s">
        <v>61</v>
      </c>
      <c r="F7694" t="s">
        <v>57</v>
      </c>
      <c r="G7694" t="s">
        <v>291</v>
      </c>
      <c r="H7694" t="s">
        <v>211</v>
      </c>
      <c r="I7694">
        <v>21956</v>
      </c>
      <c r="J7694">
        <v>17241</v>
      </c>
    </row>
    <row r="7695" spans="1:10" x14ac:dyDescent="0.3">
      <c r="A7695" t="s">
        <v>7822</v>
      </c>
      <c r="B7695" s="1">
        <v>45771</v>
      </c>
      <c r="C7695" t="s">
        <v>86</v>
      </c>
      <c r="D7695">
        <v>17</v>
      </c>
      <c r="E7695" t="s">
        <v>12</v>
      </c>
      <c r="F7695" t="s">
        <v>57</v>
      </c>
      <c r="G7695" t="s">
        <v>47</v>
      </c>
      <c r="H7695" t="s">
        <v>188</v>
      </c>
      <c r="I7695">
        <v>35064</v>
      </c>
      <c r="J7695">
        <v>26995</v>
      </c>
    </row>
    <row r="7696" spans="1:10" x14ac:dyDescent="0.3">
      <c r="A7696" t="s">
        <v>7823</v>
      </c>
      <c r="B7696" s="1">
        <v>45723</v>
      </c>
      <c r="C7696" t="s">
        <v>95</v>
      </c>
      <c r="D7696">
        <v>10</v>
      </c>
      <c r="E7696" t="s">
        <v>70</v>
      </c>
      <c r="F7696" t="s">
        <v>122</v>
      </c>
      <c r="G7696" t="s">
        <v>230</v>
      </c>
      <c r="H7696" t="s">
        <v>111</v>
      </c>
      <c r="I7696">
        <v>36758</v>
      </c>
      <c r="J7696">
        <v>32568</v>
      </c>
    </row>
    <row r="7697" spans="1:10" x14ac:dyDescent="0.3">
      <c r="A7697" t="s">
        <v>7824</v>
      </c>
      <c r="B7697" s="1">
        <v>45725</v>
      </c>
      <c r="C7697" t="s">
        <v>95</v>
      </c>
      <c r="D7697">
        <v>10</v>
      </c>
      <c r="E7697" t="s">
        <v>24</v>
      </c>
      <c r="F7697" t="s">
        <v>114</v>
      </c>
      <c r="G7697" t="s">
        <v>126</v>
      </c>
      <c r="H7697" t="s">
        <v>243</v>
      </c>
      <c r="I7697">
        <v>22956</v>
      </c>
      <c r="J7697">
        <v>22318</v>
      </c>
    </row>
    <row r="7698" spans="1:10" x14ac:dyDescent="0.3">
      <c r="A7698" t="s">
        <v>7825</v>
      </c>
      <c r="B7698" s="1">
        <v>45811</v>
      </c>
      <c r="C7698" t="s">
        <v>74</v>
      </c>
      <c r="D7698">
        <v>23</v>
      </c>
      <c r="E7698" t="s">
        <v>39</v>
      </c>
      <c r="F7698" t="s">
        <v>25</v>
      </c>
      <c r="G7698" t="s">
        <v>147</v>
      </c>
      <c r="H7698" t="s">
        <v>116</v>
      </c>
      <c r="I7698">
        <v>27860</v>
      </c>
      <c r="J7698">
        <v>28487</v>
      </c>
    </row>
    <row r="7699" spans="1:10" x14ac:dyDescent="0.3">
      <c r="A7699" t="s">
        <v>7826</v>
      </c>
      <c r="B7699" s="1">
        <v>45921</v>
      </c>
      <c r="C7699" t="s">
        <v>38</v>
      </c>
      <c r="D7699">
        <v>38</v>
      </c>
      <c r="E7699" t="s">
        <v>18</v>
      </c>
      <c r="F7699" t="s">
        <v>34</v>
      </c>
      <c r="G7699" t="s">
        <v>67</v>
      </c>
      <c r="H7699" t="s">
        <v>116</v>
      </c>
      <c r="I7699">
        <v>30033</v>
      </c>
      <c r="J7699">
        <v>25754</v>
      </c>
    </row>
    <row r="7700" spans="1:10" x14ac:dyDescent="0.3">
      <c r="A7700" t="s">
        <v>7827</v>
      </c>
      <c r="B7700" s="1">
        <v>45801</v>
      </c>
      <c r="C7700" t="s">
        <v>90</v>
      </c>
      <c r="D7700">
        <v>21</v>
      </c>
      <c r="E7700" t="s">
        <v>18</v>
      </c>
      <c r="F7700" t="s">
        <v>122</v>
      </c>
      <c r="G7700" t="s">
        <v>72</v>
      </c>
      <c r="H7700" t="s">
        <v>59</v>
      </c>
      <c r="I7700">
        <v>24132</v>
      </c>
      <c r="J7700">
        <v>23439</v>
      </c>
    </row>
    <row r="7701" spans="1:10" x14ac:dyDescent="0.3">
      <c r="A7701" t="s">
        <v>7828</v>
      </c>
      <c r="B7701" s="1">
        <v>45817</v>
      </c>
      <c r="C7701" t="s">
        <v>74</v>
      </c>
      <c r="D7701">
        <v>24</v>
      </c>
      <c r="E7701" t="s">
        <v>24</v>
      </c>
      <c r="F7701" t="s">
        <v>92</v>
      </c>
      <c r="G7701" t="s">
        <v>141</v>
      </c>
      <c r="H7701" t="s">
        <v>123</v>
      </c>
      <c r="I7701">
        <v>35983</v>
      </c>
      <c r="J7701">
        <v>38534</v>
      </c>
    </row>
    <row r="7702" spans="1:10" x14ac:dyDescent="0.3">
      <c r="A7702" t="s">
        <v>7829</v>
      </c>
      <c r="B7702" s="1">
        <v>45995</v>
      </c>
      <c r="C7702" t="s">
        <v>100</v>
      </c>
      <c r="D7702">
        <v>49</v>
      </c>
      <c r="E7702" t="s">
        <v>12</v>
      </c>
      <c r="F7702" t="s">
        <v>78</v>
      </c>
      <c r="G7702" t="s">
        <v>171</v>
      </c>
      <c r="H7702" t="s">
        <v>31</v>
      </c>
      <c r="I7702">
        <v>36643</v>
      </c>
      <c r="J7702">
        <v>43919</v>
      </c>
    </row>
    <row r="7703" spans="1:10" x14ac:dyDescent="0.3">
      <c r="A7703" t="s">
        <v>7830</v>
      </c>
      <c r="B7703" s="1">
        <v>45885</v>
      </c>
      <c r="C7703" t="s">
        <v>113</v>
      </c>
      <c r="D7703">
        <v>33</v>
      </c>
      <c r="E7703" t="s">
        <v>70</v>
      </c>
      <c r="F7703" t="s">
        <v>13</v>
      </c>
      <c r="G7703" t="s">
        <v>128</v>
      </c>
      <c r="H7703" t="s">
        <v>188</v>
      </c>
      <c r="I7703">
        <v>25790</v>
      </c>
      <c r="J7703">
        <v>19341</v>
      </c>
    </row>
    <row r="7704" spans="1:10" x14ac:dyDescent="0.3">
      <c r="A7704" t="s">
        <v>7831</v>
      </c>
      <c r="B7704" s="1">
        <v>45745</v>
      </c>
      <c r="C7704" t="s">
        <v>95</v>
      </c>
      <c r="D7704">
        <v>13</v>
      </c>
      <c r="E7704" t="s">
        <v>33</v>
      </c>
      <c r="F7704" t="s">
        <v>19</v>
      </c>
      <c r="G7704" t="s">
        <v>26</v>
      </c>
      <c r="H7704" t="s">
        <v>80</v>
      </c>
      <c r="I7704">
        <v>22155</v>
      </c>
      <c r="J7704">
        <v>26221</v>
      </c>
    </row>
    <row r="7705" spans="1:10" x14ac:dyDescent="0.3">
      <c r="A7705" t="s">
        <v>7832</v>
      </c>
      <c r="B7705" s="1">
        <v>45975</v>
      </c>
      <c r="C7705" t="s">
        <v>23</v>
      </c>
      <c r="D7705">
        <v>46</v>
      </c>
      <c r="E7705" t="s">
        <v>24</v>
      </c>
      <c r="F7705" t="s">
        <v>122</v>
      </c>
      <c r="G7705" t="s">
        <v>201</v>
      </c>
      <c r="H7705" t="s">
        <v>157</v>
      </c>
      <c r="I7705">
        <v>22166</v>
      </c>
      <c r="J7705">
        <v>27591</v>
      </c>
    </row>
    <row r="7706" spans="1:10" x14ac:dyDescent="0.3">
      <c r="A7706" t="s">
        <v>7833</v>
      </c>
      <c r="B7706" s="1">
        <v>46018</v>
      </c>
      <c r="C7706" t="s">
        <v>100</v>
      </c>
      <c r="D7706">
        <v>52</v>
      </c>
      <c r="E7706" t="s">
        <v>12</v>
      </c>
      <c r="F7706" t="s">
        <v>46</v>
      </c>
      <c r="G7706" t="s">
        <v>44</v>
      </c>
      <c r="H7706" t="s">
        <v>15</v>
      </c>
      <c r="I7706">
        <v>29888</v>
      </c>
      <c r="J7706">
        <v>21797</v>
      </c>
    </row>
    <row r="7707" spans="1:10" x14ac:dyDescent="0.3">
      <c r="A7707" t="s">
        <v>7834</v>
      </c>
      <c r="B7707" s="1">
        <v>45702</v>
      </c>
      <c r="C7707" t="s">
        <v>82</v>
      </c>
      <c r="D7707">
        <v>7</v>
      </c>
      <c r="E7707" t="s">
        <v>70</v>
      </c>
      <c r="F7707" t="s">
        <v>92</v>
      </c>
      <c r="G7707" t="s">
        <v>30</v>
      </c>
      <c r="H7707" t="s">
        <v>52</v>
      </c>
      <c r="I7707">
        <v>20076</v>
      </c>
      <c r="J7707">
        <v>22877</v>
      </c>
    </row>
    <row r="7708" spans="1:10" x14ac:dyDescent="0.3">
      <c r="A7708" t="s">
        <v>7835</v>
      </c>
      <c r="B7708" s="1">
        <v>45899</v>
      </c>
      <c r="C7708" t="s">
        <v>113</v>
      </c>
      <c r="D7708">
        <v>35</v>
      </c>
      <c r="E7708" t="s">
        <v>39</v>
      </c>
      <c r="F7708" t="s">
        <v>193</v>
      </c>
      <c r="G7708" t="s">
        <v>135</v>
      </c>
      <c r="H7708" t="s">
        <v>27</v>
      </c>
      <c r="I7708">
        <v>38157</v>
      </c>
      <c r="J7708">
        <v>40481</v>
      </c>
    </row>
    <row r="7709" spans="1:10" x14ac:dyDescent="0.3">
      <c r="A7709" t="s">
        <v>7836</v>
      </c>
      <c r="B7709" s="1">
        <v>45996</v>
      </c>
      <c r="C7709" t="s">
        <v>100</v>
      </c>
      <c r="D7709">
        <v>49</v>
      </c>
      <c r="E7709" t="s">
        <v>18</v>
      </c>
      <c r="F7709" t="s">
        <v>109</v>
      </c>
      <c r="G7709" t="s">
        <v>102</v>
      </c>
      <c r="H7709" t="s">
        <v>165</v>
      </c>
      <c r="I7709">
        <v>23494</v>
      </c>
      <c r="J7709">
        <v>22242</v>
      </c>
    </row>
    <row r="7710" spans="1:10" x14ac:dyDescent="0.3">
      <c r="A7710" t="s">
        <v>7837</v>
      </c>
      <c r="B7710" s="1">
        <v>45709</v>
      </c>
      <c r="C7710" t="s">
        <v>82</v>
      </c>
      <c r="D7710">
        <v>8</v>
      </c>
      <c r="E7710" t="s">
        <v>18</v>
      </c>
      <c r="F7710" t="s">
        <v>50</v>
      </c>
      <c r="G7710" t="s">
        <v>291</v>
      </c>
      <c r="H7710" t="s">
        <v>98</v>
      </c>
      <c r="I7710">
        <v>15919</v>
      </c>
      <c r="J7710">
        <v>11362</v>
      </c>
    </row>
    <row r="7711" spans="1:10" x14ac:dyDescent="0.3">
      <c r="A7711" t="s">
        <v>7838</v>
      </c>
      <c r="B7711" s="1">
        <v>45701</v>
      </c>
      <c r="C7711" t="s">
        <v>82</v>
      </c>
      <c r="D7711">
        <v>7</v>
      </c>
      <c r="E7711" t="s">
        <v>24</v>
      </c>
      <c r="F7711" t="s">
        <v>25</v>
      </c>
      <c r="G7711" t="s">
        <v>115</v>
      </c>
      <c r="H7711" t="s">
        <v>163</v>
      </c>
      <c r="I7711">
        <v>35433</v>
      </c>
      <c r="J7711">
        <v>34431</v>
      </c>
    </row>
    <row r="7712" spans="1:10" x14ac:dyDescent="0.3">
      <c r="A7712" t="s">
        <v>7839</v>
      </c>
      <c r="B7712" s="1">
        <v>45778</v>
      </c>
      <c r="C7712" t="s">
        <v>90</v>
      </c>
      <c r="D7712">
        <v>18</v>
      </c>
      <c r="E7712" t="s">
        <v>12</v>
      </c>
      <c r="F7712" t="s">
        <v>109</v>
      </c>
      <c r="G7712" t="s">
        <v>145</v>
      </c>
      <c r="H7712" t="s">
        <v>68</v>
      </c>
      <c r="I7712">
        <v>28241</v>
      </c>
      <c r="J7712">
        <v>19799</v>
      </c>
    </row>
    <row r="7713" spans="1:10" x14ac:dyDescent="0.3">
      <c r="A7713" t="s">
        <v>7840</v>
      </c>
      <c r="B7713" s="1">
        <v>45759</v>
      </c>
      <c r="C7713" t="s">
        <v>86</v>
      </c>
      <c r="D7713">
        <v>15</v>
      </c>
      <c r="E7713" t="s">
        <v>18</v>
      </c>
      <c r="F7713" t="s">
        <v>13</v>
      </c>
      <c r="G7713" t="s">
        <v>324</v>
      </c>
      <c r="H7713" t="s">
        <v>64</v>
      </c>
      <c r="I7713">
        <v>26998</v>
      </c>
      <c r="J7713">
        <v>30116</v>
      </c>
    </row>
    <row r="7714" spans="1:10" x14ac:dyDescent="0.3">
      <c r="A7714" t="s">
        <v>7841</v>
      </c>
      <c r="B7714" s="1">
        <v>45973</v>
      </c>
      <c r="C7714" t="s">
        <v>23</v>
      </c>
      <c r="D7714">
        <v>46</v>
      </c>
      <c r="E7714" t="s">
        <v>39</v>
      </c>
      <c r="F7714" t="s">
        <v>193</v>
      </c>
      <c r="G7714" t="s">
        <v>141</v>
      </c>
      <c r="H7714" t="s">
        <v>155</v>
      </c>
      <c r="I7714">
        <v>32627</v>
      </c>
      <c r="J7714">
        <v>39832</v>
      </c>
    </row>
    <row r="7715" spans="1:10" x14ac:dyDescent="0.3">
      <c r="A7715" t="s">
        <v>7842</v>
      </c>
      <c r="B7715" s="1">
        <v>45682</v>
      </c>
      <c r="C7715" t="s">
        <v>17</v>
      </c>
      <c r="D7715">
        <v>4</v>
      </c>
      <c r="E7715" t="s">
        <v>39</v>
      </c>
      <c r="F7715" t="s">
        <v>19</v>
      </c>
      <c r="G7715" t="s">
        <v>266</v>
      </c>
      <c r="H7715" t="s">
        <v>31</v>
      </c>
      <c r="I7715">
        <v>19003</v>
      </c>
      <c r="J7715">
        <v>21847</v>
      </c>
    </row>
    <row r="7716" spans="1:10" x14ac:dyDescent="0.3">
      <c r="A7716" t="s">
        <v>7843</v>
      </c>
      <c r="B7716" s="1">
        <v>45785</v>
      </c>
      <c r="C7716" t="s">
        <v>90</v>
      </c>
      <c r="D7716">
        <v>19</v>
      </c>
      <c r="E7716" t="s">
        <v>12</v>
      </c>
      <c r="F7716" t="s">
        <v>87</v>
      </c>
      <c r="G7716" t="s">
        <v>130</v>
      </c>
      <c r="H7716" t="s">
        <v>103</v>
      </c>
      <c r="I7716">
        <v>36524</v>
      </c>
      <c r="J7716">
        <v>45062</v>
      </c>
    </row>
    <row r="7717" spans="1:10" x14ac:dyDescent="0.3">
      <c r="A7717" t="s">
        <v>7844</v>
      </c>
      <c r="B7717" s="1">
        <v>45693</v>
      </c>
      <c r="C7717" t="s">
        <v>82</v>
      </c>
      <c r="D7717">
        <v>6</v>
      </c>
      <c r="E7717" t="s">
        <v>33</v>
      </c>
      <c r="F7717" t="s">
        <v>78</v>
      </c>
      <c r="G7717" t="s">
        <v>51</v>
      </c>
      <c r="H7717" t="s">
        <v>116</v>
      </c>
      <c r="I7717">
        <v>15030</v>
      </c>
      <c r="J7717">
        <v>13759</v>
      </c>
    </row>
    <row r="7718" spans="1:10" x14ac:dyDescent="0.3">
      <c r="A7718" t="s">
        <v>7845</v>
      </c>
      <c r="B7718" s="1">
        <v>45665</v>
      </c>
      <c r="C7718" t="s">
        <v>17</v>
      </c>
      <c r="D7718">
        <v>2</v>
      </c>
      <c r="E7718" t="s">
        <v>61</v>
      </c>
      <c r="F7718" t="s">
        <v>114</v>
      </c>
      <c r="G7718" t="s">
        <v>44</v>
      </c>
      <c r="H7718" t="s">
        <v>155</v>
      </c>
      <c r="I7718">
        <v>30939</v>
      </c>
      <c r="J7718">
        <v>26435</v>
      </c>
    </row>
    <row r="7719" spans="1:10" x14ac:dyDescent="0.3">
      <c r="A7719" t="s">
        <v>7846</v>
      </c>
      <c r="B7719" s="1">
        <v>45826</v>
      </c>
      <c r="C7719" t="s">
        <v>74</v>
      </c>
      <c r="D7719">
        <v>25</v>
      </c>
      <c r="E7719" t="s">
        <v>33</v>
      </c>
      <c r="F7719" t="s">
        <v>43</v>
      </c>
      <c r="G7719" t="s">
        <v>171</v>
      </c>
      <c r="H7719" t="s">
        <v>84</v>
      </c>
      <c r="I7719">
        <v>18036</v>
      </c>
      <c r="J7719">
        <v>17207</v>
      </c>
    </row>
    <row r="7720" spans="1:10" x14ac:dyDescent="0.3">
      <c r="A7720" t="s">
        <v>7847</v>
      </c>
      <c r="B7720" s="1">
        <v>45931</v>
      </c>
      <c r="C7720" t="s">
        <v>66</v>
      </c>
      <c r="D7720">
        <v>40</v>
      </c>
      <c r="E7720" t="s">
        <v>24</v>
      </c>
      <c r="F7720" t="s">
        <v>109</v>
      </c>
      <c r="G7720" t="s">
        <v>79</v>
      </c>
      <c r="H7720" t="s">
        <v>133</v>
      </c>
      <c r="I7720">
        <v>32463</v>
      </c>
      <c r="J7720">
        <v>28522</v>
      </c>
    </row>
    <row r="7721" spans="1:10" x14ac:dyDescent="0.3">
      <c r="A7721" t="s">
        <v>7848</v>
      </c>
      <c r="B7721" s="1">
        <v>45810</v>
      </c>
      <c r="C7721" t="s">
        <v>74</v>
      </c>
      <c r="D7721">
        <v>23</v>
      </c>
      <c r="E7721" t="s">
        <v>18</v>
      </c>
      <c r="F7721" t="s">
        <v>50</v>
      </c>
      <c r="G7721" t="s">
        <v>191</v>
      </c>
      <c r="H7721" t="s">
        <v>188</v>
      </c>
      <c r="I7721">
        <v>25858</v>
      </c>
      <c r="J7721">
        <v>26152</v>
      </c>
    </row>
    <row r="7722" spans="1:10" x14ac:dyDescent="0.3">
      <c r="A7722" t="s">
        <v>7849</v>
      </c>
      <c r="B7722" s="1">
        <v>45726</v>
      </c>
      <c r="C7722" t="s">
        <v>95</v>
      </c>
      <c r="D7722">
        <v>11</v>
      </c>
      <c r="E7722" t="s">
        <v>61</v>
      </c>
      <c r="F7722" t="s">
        <v>78</v>
      </c>
      <c r="G7722" t="s">
        <v>54</v>
      </c>
      <c r="H7722" t="s">
        <v>27</v>
      </c>
      <c r="I7722">
        <v>31984</v>
      </c>
      <c r="J7722">
        <v>36264</v>
      </c>
    </row>
    <row r="7723" spans="1:10" x14ac:dyDescent="0.3">
      <c r="A7723" t="s">
        <v>7850</v>
      </c>
      <c r="B7723" s="1">
        <v>45952</v>
      </c>
      <c r="C7723" t="s">
        <v>66</v>
      </c>
      <c r="D7723">
        <v>43</v>
      </c>
      <c r="E7723" t="s">
        <v>39</v>
      </c>
      <c r="F7723" t="s">
        <v>25</v>
      </c>
      <c r="G7723" t="s">
        <v>54</v>
      </c>
      <c r="H7723" t="s">
        <v>133</v>
      </c>
      <c r="I7723">
        <v>16709</v>
      </c>
      <c r="J7723">
        <v>16289</v>
      </c>
    </row>
    <row r="7724" spans="1:10" x14ac:dyDescent="0.3">
      <c r="A7724" t="s">
        <v>7851</v>
      </c>
      <c r="B7724" s="1">
        <v>45921</v>
      </c>
      <c r="C7724" t="s">
        <v>38</v>
      </c>
      <c r="D7724">
        <v>38</v>
      </c>
      <c r="E7724" t="s">
        <v>24</v>
      </c>
      <c r="F7724" t="s">
        <v>50</v>
      </c>
      <c r="G7724" t="s">
        <v>201</v>
      </c>
      <c r="H7724" t="s">
        <v>31</v>
      </c>
      <c r="I7724">
        <v>24496</v>
      </c>
      <c r="J7724">
        <v>21153</v>
      </c>
    </row>
    <row r="7725" spans="1:10" x14ac:dyDescent="0.3">
      <c r="A7725" t="s">
        <v>7852</v>
      </c>
      <c r="B7725" s="1">
        <v>45951</v>
      </c>
      <c r="C7725" t="s">
        <v>66</v>
      </c>
      <c r="D7725">
        <v>43</v>
      </c>
      <c r="E7725" t="s">
        <v>39</v>
      </c>
      <c r="F7725" t="s">
        <v>87</v>
      </c>
      <c r="G7725" t="s">
        <v>72</v>
      </c>
      <c r="H7725" t="s">
        <v>98</v>
      </c>
      <c r="I7725">
        <v>17457</v>
      </c>
      <c r="J7725">
        <v>12386</v>
      </c>
    </row>
    <row r="7726" spans="1:10" x14ac:dyDescent="0.3">
      <c r="A7726" t="s">
        <v>7853</v>
      </c>
      <c r="B7726" s="1">
        <v>45991</v>
      </c>
      <c r="C7726" t="s">
        <v>23</v>
      </c>
      <c r="D7726">
        <v>48</v>
      </c>
      <c r="E7726" t="s">
        <v>33</v>
      </c>
      <c r="F7726" t="s">
        <v>101</v>
      </c>
      <c r="G7726" t="s">
        <v>291</v>
      </c>
      <c r="H7726" t="s">
        <v>111</v>
      </c>
      <c r="I7726">
        <v>19746</v>
      </c>
      <c r="J7726">
        <v>20127</v>
      </c>
    </row>
    <row r="7727" spans="1:10" x14ac:dyDescent="0.3">
      <c r="A7727" t="s">
        <v>7854</v>
      </c>
      <c r="B7727" s="1">
        <v>45844</v>
      </c>
      <c r="C7727" t="s">
        <v>11</v>
      </c>
      <c r="D7727">
        <v>27</v>
      </c>
      <c r="E7727" t="s">
        <v>12</v>
      </c>
      <c r="F7727" t="s">
        <v>92</v>
      </c>
      <c r="G7727" t="s">
        <v>14</v>
      </c>
      <c r="H7727" t="s">
        <v>31</v>
      </c>
      <c r="I7727">
        <v>37021</v>
      </c>
      <c r="J7727">
        <v>38103</v>
      </c>
    </row>
    <row r="7728" spans="1:10" x14ac:dyDescent="0.3">
      <c r="A7728" t="s">
        <v>7855</v>
      </c>
      <c r="B7728" s="1">
        <v>45996</v>
      </c>
      <c r="C7728" t="s">
        <v>100</v>
      </c>
      <c r="D7728">
        <v>49</v>
      </c>
      <c r="E7728" t="s">
        <v>12</v>
      </c>
      <c r="F7728" t="s">
        <v>122</v>
      </c>
      <c r="G7728" t="s">
        <v>126</v>
      </c>
      <c r="H7728" t="s">
        <v>80</v>
      </c>
      <c r="I7728">
        <v>19863</v>
      </c>
      <c r="J7728">
        <v>24689</v>
      </c>
    </row>
    <row r="7729" spans="1:10" x14ac:dyDescent="0.3">
      <c r="A7729" t="s">
        <v>7856</v>
      </c>
      <c r="B7729" s="1">
        <v>45744</v>
      </c>
      <c r="C7729" t="s">
        <v>95</v>
      </c>
      <c r="D7729">
        <v>13</v>
      </c>
      <c r="E7729" t="s">
        <v>70</v>
      </c>
      <c r="F7729" t="s">
        <v>140</v>
      </c>
      <c r="G7729" t="s">
        <v>291</v>
      </c>
      <c r="H7729" t="s">
        <v>15</v>
      </c>
      <c r="I7729">
        <v>39940</v>
      </c>
      <c r="J7729">
        <v>30131</v>
      </c>
    </row>
    <row r="7730" spans="1:10" x14ac:dyDescent="0.3">
      <c r="A7730" t="s">
        <v>7857</v>
      </c>
      <c r="B7730" s="1">
        <v>45736</v>
      </c>
      <c r="C7730" t="s">
        <v>95</v>
      </c>
      <c r="D7730">
        <v>12</v>
      </c>
      <c r="E7730" t="s">
        <v>12</v>
      </c>
      <c r="F7730" t="s">
        <v>19</v>
      </c>
      <c r="G7730" t="s">
        <v>76</v>
      </c>
      <c r="H7730" t="s">
        <v>64</v>
      </c>
      <c r="I7730">
        <v>38344</v>
      </c>
      <c r="J7730">
        <v>29249</v>
      </c>
    </row>
    <row r="7731" spans="1:10" x14ac:dyDescent="0.3">
      <c r="A7731" t="s">
        <v>7858</v>
      </c>
      <c r="B7731" s="1">
        <v>45834</v>
      </c>
      <c r="C7731" t="s">
        <v>74</v>
      </c>
      <c r="D7731">
        <v>26</v>
      </c>
      <c r="E7731" t="s">
        <v>39</v>
      </c>
      <c r="F7731" t="s">
        <v>25</v>
      </c>
      <c r="G7731" t="s">
        <v>234</v>
      </c>
      <c r="H7731" t="s">
        <v>80</v>
      </c>
      <c r="I7731">
        <v>36397</v>
      </c>
      <c r="J7731">
        <v>32139</v>
      </c>
    </row>
    <row r="7732" spans="1:10" x14ac:dyDescent="0.3">
      <c r="A7732" t="s">
        <v>7859</v>
      </c>
      <c r="B7732" s="1">
        <v>45984</v>
      </c>
      <c r="C7732" t="s">
        <v>23</v>
      </c>
      <c r="D7732">
        <v>47</v>
      </c>
      <c r="E7732" t="s">
        <v>70</v>
      </c>
      <c r="F7732" t="s">
        <v>50</v>
      </c>
      <c r="G7732" t="s">
        <v>291</v>
      </c>
      <c r="H7732" t="s">
        <v>123</v>
      </c>
      <c r="I7732">
        <v>25963</v>
      </c>
      <c r="J7732">
        <v>19954</v>
      </c>
    </row>
    <row r="7733" spans="1:10" x14ac:dyDescent="0.3">
      <c r="A7733" t="s">
        <v>7860</v>
      </c>
      <c r="B7733" s="1">
        <v>45837</v>
      </c>
      <c r="C7733" t="s">
        <v>74</v>
      </c>
      <c r="D7733">
        <v>26</v>
      </c>
      <c r="E7733" t="s">
        <v>33</v>
      </c>
      <c r="F7733" t="s">
        <v>50</v>
      </c>
      <c r="G7733" t="s">
        <v>149</v>
      </c>
      <c r="H7733" t="s">
        <v>31</v>
      </c>
      <c r="I7733">
        <v>29808</v>
      </c>
      <c r="J7733">
        <v>25343</v>
      </c>
    </row>
    <row r="7734" spans="1:10" x14ac:dyDescent="0.3">
      <c r="A7734" t="s">
        <v>7861</v>
      </c>
      <c r="B7734" s="1">
        <v>45680</v>
      </c>
      <c r="C7734" t="s">
        <v>17</v>
      </c>
      <c r="D7734">
        <v>4</v>
      </c>
      <c r="E7734" t="s">
        <v>70</v>
      </c>
      <c r="F7734" t="s">
        <v>101</v>
      </c>
      <c r="G7734" t="s">
        <v>58</v>
      </c>
      <c r="H7734" t="s">
        <v>21</v>
      </c>
      <c r="I7734">
        <v>17916</v>
      </c>
      <c r="J7734">
        <v>16394</v>
      </c>
    </row>
    <row r="7735" spans="1:10" x14ac:dyDescent="0.3">
      <c r="A7735" t="s">
        <v>7862</v>
      </c>
      <c r="B7735" s="1">
        <v>45868</v>
      </c>
      <c r="C7735" t="s">
        <v>11</v>
      </c>
      <c r="D7735">
        <v>31</v>
      </c>
      <c r="E7735" t="s">
        <v>70</v>
      </c>
      <c r="F7735" t="s">
        <v>46</v>
      </c>
      <c r="G7735" t="s">
        <v>51</v>
      </c>
      <c r="H7735" t="s">
        <v>111</v>
      </c>
      <c r="I7735">
        <v>17118</v>
      </c>
      <c r="J7735">
        <v>15577</v>
      </c>
    </row>
    <row r="7736" spans="1:10" x14ac:dyDescent="0.3">
      <c r="A7736" t="s">
        <v>7863</v>
      </c>
      <c r="B7736" s="1">
        <v>46017</v>
      </c>
      <c r="C7736" t="s">
        <v>100</v>
      </c>
      <c r="D7736">
        <v>52</v>
      </c>
      <c r="E7736" t="s">
        <v>12</v>
      </c>
      <c r="F7736" t="s">
        <v>78</v>
      </c>
      <c r="G7736" t="s">
        <v>230</v>
      </c>
      <c r="H7736" t="s">
        <v>31</v>
      </c>
      <c r="I7736">
        <v>28446</v>
      </c>
      <c r="J7736">
        <v>25549</v>
      </c>
    </row>
    <row r="7737" spans="1:10" x14ac:dyDescent="0.3">
      <c r="A7737" t="s">
        <v>7864</v>
      </c>
      <c r="B7737" s="1">
        <v>45850</v>
      </c>
      <c r="C7737" t="s">
        <v>11</v>
      </c>
      <c r="D7737">
        <v>28</v>
      </c>
      <c r="E7737" t="s">
        <v>24</v>
      </c>
      <c r="F7737" t="s">
        <v>92</v>
      </c>
      <c r="G7737" t="s">
        <v>51</v>
      </c>
      <c r="H7737" t="s">
        <v>103</v>
      </c>
      <c r="I7737">
        <v>26532</v>
      </c>
      <c r="J7737">
        <v>31743</v>
      </c>
    </row>
    <row r="7738" spans="1:10" x14ac:dyDescent="0.3">
      <c r="A7738" t="s">
        <v>7865</v>
      </c>
      <c r="B7738" s="1">
        <v>45978</v>
      </c>
      <c r="C7738" t="s">
        <v>23</v>
      </c>
      <c r="D7738">
        <v>47</v>
      </c>
      <c r="E7738" t="s">
        <v>33</v>
      </c>
      <c r="F7738" t="s">
        <v>114</v>
      </c>
      <c r="G7738" t="s">
        <v>107</v>
      </c>
      <c r="H7738" t="s">
        <v>111</v>
      </c>
      <c r="I7738">
        <v>34769</v>
      </c>
      <c r="J7738">
        <v>39409</v>
      </c>
    </row>
    <row r="7739" spans="1:10" x14ac:dyDescent="0.3">
      <c r="A7739" t="s">
        <v>7866</v>
      </c>
      <c r="B7739" s="1">
        <v>45787</v>
      </c>
      <c r="C7739" t="s">
        <v>90</v>
      </c>
      <c r="D7739">
        <v>19</v>
      </c>
      <c r="E7739" t="s">
        <v>39</v>
      </c>
      <c r="F7739" t="s">
        <v>57</v>
      </c>
      <c r="G7739" t="s">
        <v>47</v>
      </c>
      <c r="H7739" t="s">
        <v>27</v>
      </c>
      <c r="I7739">
        <v>33410</v>
      </c>
      <c r="J7739">
        <v>40982</v>
      </c>
    </row>
    <row r="7740" spans="1:10" x14ac:dyDescent="0.3">
      <c r="A7740" t="s">
        <v>7867</v>
      </c>
      <c r="B7740" s="1">
        <v>45910</v>
      </c>
      <c r="C7740" t="s">
        <v>38</v>
      </c>
      <c r="D7740">
        <v>37</v>
      </c>
      <c r="E7740" t="s">
        <v>61</v>
      </c>
      <c r="F7740" t="s">
        <v>57</v>
      </c>
      <c r="G7740" t="s">
        <v>83</v>
      </c>
      <c r="H7740" t="s">
        <v>36</v>
      </c>
      <c r="I7740">
        <v>31382</v>
      </c>
      <c r="J7740">
        <v>35880</v>
      </c>
    </row>
    <row r="7741" spans="1:10" x14ac:dyDescent="0.3">
      <c r="A7741" t="s">
        <v>7868</v>
      </c>
      <c r="B7741" s="1">
        <v>45742</v>
      </c>
      <c r="C7741" t="s">
        <v>95</v>
      </c>
      <c r="D7741">
        <v>13</v>
      </c>
      <c r="E7741" t="s">
        <v>39</v>
      </c>
      <c r="F7741" t="s">
        <v>140</v>
      </c>
      <c r="G7741" t="s">
        <v>132</v>
      </c>
      <c r="H7741" t="s">
        <v>96</v>
      </c>
      <c r="I7741">
        <v>20813</v>
      </c>
      <c r="J7741">
        <v>26594</v>
      </c>
    </row>
    <row r="7742" spans="1:10" x14ac:dyDescent="0.3">
      <c r="A7742" t="s">
        <v>7869</v>
      </c>
      <c r="B7742" s="1">
        <v>45892</v>
      </c>
      <c r="C7742" t="s">
        <v>113</v>
      </c>
      <c r="D7742">
        <v>34</v>
      </c>
      <c r="E7742" t="s">
        <v>39</v>
      </c>
      <c r="F7742" t="s">
        <v>193</v>
      </c>
      <c r="G7742" t="s">
        <v>30</v>
      </c>
      <c r="H7742" t="s">
        <v>84</v>
      </c>
      <c r="I7742">
        <v>22787</v>
      </c>
      <c r="J7742">
        <v>17054</v>
      </c>
    </row>
    <row r="7743" spans="1:10" x14ac:dyDescent="0.3">
      <c r="A7743" t="s">
        <v>7870</v>
      </c>
      <c r="B7743" s="1">
        <v>45767</v>
      </c>
      <c r="C7743" t="s">
        <v>86</v>
      </c>
      <c r="D7743">
        <v>16</v>
      </c>
      <c r="E7743" t="s">
        <v>70</v>
      </c>
      <c r="F7743" t="s">
        <v>114</v>
      </c>
      <c r="G7743" t="s">
        <v>324</v>
      </c>
      <c r="H7743" t="s">
        <v>41</v>
      </c>
      <c r="I7743">
        <v>34503</v>
      </c>
      <c r="J7743">
        <v>27774</v>
      </c>
    </row>
    <row r="7744" spans="1:10" x14ac:dyDescent="0.3">
      <c r="A7744" t="s">
        <v>7871</v>
      </c>
      <c r="B7744" s="1">
        <v>45699</v>
      </c>
      <c r="C7744" t="s">
        <v>82</v>
      </c>
      <c r="D7744">
        <v>7</v>
      </c>
      <c r="E7744" t="s">
        <v>39</v>
      </c>
      <c r="F7744" t="s">
        <v>13</v>
      </c>
      <c r="G7744" t="s">
        <v>51</v>
      </c>
      <c r="H7744" t="s">
        <v>21</v>
      </c>
      <c r="I7744">
        <v>16855</v>
      </c>
      <c r="J7744">
        <v>19193</v>
      </c>
    </row>
    <row r="7745" spans="1:10" x14ac:dyDescent="0.3">
      <c r="A7745" t="s">
        <v>7872</v>
      </c>
      <c r="B7745" s="1">
        <v>45713</v>
      </c>
      <c r="C7745" t="s">
        <v>82</v>
      </c>
      <c r="D7745">
        <v>9</v>
      </c>
      <c r="E7745" t="s">
        <v>24</v>
      </c>
      <c r="F7745" t="s">
        <v>29</v>
      </c>
      <c r="G7745" t="s">
        <v>199</v>
      </c>
      <c r="H7745" t="s">
        <v>123</v>
      </c>
      <c r="I7745">
        <v>32239</v>
      </c>
      <c r="J7745">
        <v>26038</v>
      </c>
    </row>
    <row r="7746" spans="1:10" x14ac:dyDescent="0.3">
      <c r="A7746" t="s">
        <v>7873</v>
      </c>
      <c r="B7746" s="1">
        <v>45711</v>
      </c>
      <c r="C7746" t="s">
        <v>82</v>
      </c>
      <c r="D7746">
        <v>8</v>
      </c>
      <c r="E7746" t="s">
        <v>33</v>
      </c>
      <c r="F7746" t="s">
        <v>19</v>
      </c>
      <c r="G7746" t="s">
        <v>72</v>
      </c>
      <c r="H7746" t="s">
        <v>59</v>
      </c>
      <c r="I7746">
        <v>28251</v>
      </c>
      <c r="J7746">
        <v>28479</v>
      </c>
    </row>
    <row r="7747" spans="1:10" x14ac:dyDescent="0.3">
      <c r="A7747" t="s">
        <v>7874</v>
      </c>
      <c r="B7747" s="1">
        <v>45933</v>
      </c>
      <c r="C7747" t="s">
        <v>66</v>
      </c>
      <c r="D7747">
        <v>40</v>
      </c>
      <c r="E7747" t="s">
        <v>24</v>
      </c>
      <c r="F7747" t="s">
        <v>193</v>
      </c>
      <c r="G7747" t="s">
        <v>44</v>
      </c>
      <c r="H7747" t="s">
        <v>36</v>
      </c>
      <c r="I7747">
        <v>36970</v>
      </c>
      <c r="J7747">
        <v>44041</v>
      </c>
    </row>
    <row r="7748" spans="1:10" x14ac:dyDescent="0.3">
      <c r="A7748" t="s">
        <v>7875</v>
      </c>
      <c r="B7748" s="1">
        <v>45826</v>
      </c>
      <c r="C7748" t="s">
        <v>74</v>
      </c>
      <c r="D7748">
        <v>25</v>
      </c>
      <c r="E7748" t="s">
        <v>12</v>
      </c>
      <c r="F7748" t="s">
        <v>13</v>
      </c>
      <c r="G7748" t="s">
        <v>291</v>
      </c>
      <c r="H7748" t="s">
        <v>151</v>
      </c>
      <c r="I7748">
        <v>25837</v>
      </c>
      <c r="J7748">
        <v>28463</v>
      </c>
    </row>
    <row r="7749" spans="1:10" x14ac:dyDescent="0.3">
      <c r="A7749" t="s">
        <v>7876</v>
      </c>
      <c r="B7749" s="1">
        <v>45957</v>
      </c>
      <c r="C7749" t="s">
        <v>66</v>
      </c>
      <c r="D7749">
        <v>44</v>
      </c>
      <c r="E7749" t="s">
        <v>61</v>
      </c>
      <c r="F7749" t="s">
        <v>101</v>
      </c>
      <c r="G7749" t="s">
        <v>14</v>
      </c>
      <c r="H7749" t="s">
        <v>123</v>
      </c>
      <c r="I7749">
        <v>25998</v>
      </c>
      <c r="J7749">
        <v>22587</v>
      </c>
    </row>
    <row r="7750" spans="1:10" x14ac:dyDescent="0.3">
      <c r="A7750" t="s">
        <v>7877</v>
      </c>
      <c r="B7750" s="1">
        <v>46020</v>
      </c>
      <c r="C7750" t="s">
        <v>100</v>
      </c>
      <c r="D7750">
        <v>1</v>
      </c>
      <c r="E7750" t="s">
        <v>24</v>
      </c>
      <c r="F7750" t="s">
        <v>13</v>
      </c>
      <c r="G7750" t="s">
        <v>79</v>
      </c>
      <c r="H7750" t="s">
        <v>31</v>
      </c>
      <c r="I7750">
        <v>20167</v>
      </c>
      <c r="J7750">
        <v>24450</v>
      </c>
    </row>
    <row r="7751" spans="1:10" x14ac:dyDescent="0.3">
      <c r="A7751" t="s">
        <v>7878</v>
      </c>
      <c r="B7751" s="1">
        <v>45971</v>
      </c>
      <c r="C7751" t="s">
        <v>23</v>
      </c>
      <c r="D7751">
        <v>46</v>
      </c>
      <c r="E7751" t="s">
        <v>18</v>
      </c>
      <c r="F7751" t="s">
        <v>92</v>
      </c>
      <c r="G7751" t="s">
        <v>160</v>
      </c>
      <c r="H7751" t="s">
        <v>55</v>
      </c>
      <c r="I7751">
        <v>24858</v>
      </c>
      <c r="J7751">
        <v>31638</v>
      </c>
    </row>
    <row r="7752" spans="1:10" x14ac:dyDescent="0.3">
      <c r="A7752" t="s">
        <v>7879</v>
      </c>
      <c r="B7752" s="1">
        <v>45801</v>
      </c>
      <c r="C7752" t="s">
        <v>90</v>
      </c>
      <c r="D7752">
        <v>21</v>
      </c>
      <c r="E7752" t="s">
        <v>18</v>
      </c>
      <c r="F7752" t="s">
        <v>25</v>
      </c>
      <c r="G7752" t="s">
        <v>145</v>
      </c>
      <c r="H7752" t="s">
        <v>96</v>
      </c>
      <c r="I7752">
        <v>30774</v>
      </c>
      <c r="J7752">
        <v>35844</v>
      </c>
    </row>
    <row r="7753" spans="1:10" x14ac:dyDescent="0.3">
      <c r="A7753" t="s">
        <v>7880</v>
      </c>
      <c r="B7753" s="1">
        <v>45799</v>
      </c>
      <c r="C7753" t="s">
        <v>90</v>
      </c>
      <c r="D7753">
        <v>21</v>
      </c>
      <c r="E7753" t="s">
        <v>18</v>
      </c>
      <c r="F7753" t="s">
        <v>75</v>
      </c>
      <c r="G7753" t="s">
        <v>224</v>
      </c>
      <c r="H7753" t="s">
        <v>41</v>
      </c>
      <c r="I7753">
        <v>32296</v>
      </c>
      <c r="J7753">
        <v>30101</v>
      </c>
    </row>
    <row r="7754" spans="1:10" x14ac:dyDescent="0.3">
      <c r="A7754" t="s">
        <v>7881</v>
      </c>
      <c r="B7754" s="1">
        <v>45895</v>
      </c>
      <c r="C7754" t="s">
        <v>113</v>
      </c>
      <c r="D7754">
        <v>35</v>
      </c>
      <c r="E7754" t="s">
        <v>18</v>
      </c>
      <c r="F7754" t="s">
        <v>122</v>
      </c>
      <c r="G7754" t="s">
        <v>30</v>
      </c>
      <c r="H7754" t="s">
        <v>116</v>
      </c>
      <c r="I7754">
        <v>36298</v>
      </c>
      <c r="J7754">
        <v>44493</v>
      </c>
    </row>
    <row r="7755" spans="1:10" x14ac:dyDescent="0.3">
      <c r="A7755" t="s">
        <v>7882</v>
      </c>
      <c r="B7755" s="1">
        <v>46000</v>
      </c>
      <c r="C7755" t="s">
        <v>100</v>
      </c>
      <c r="D7755">
        <v>50</v>
      </c>
      <c r="E7755" t="s">
        <v>12</v>
      </c>
      <c r="F7755" t="s">
        <v>140</v>
      </c>
      <c r="G7755" t="s">
        <v>234</v>
      </c>
      <c r="H7755" t="s">
        <v>68</v>
      </c>
      <c r="I7755">
        <v>36256</v>
      </c>
      <c r="J7755">
        <v>36676</v>
      </c>
    </row>
    <row r="7756" spans="1:10" x14ac:dyDescent="0.3">
      <c r="A7756" t="s">
        <v>7883</v>
      </c>
      <c r="B7756" s="1">
        <v>45760</v>
      </c>
      <c r="C7756" t="s">
        <v>86</v>
      </c>
      <c r="D7756">
        <v>15</v>
      </c>
      <c r="E7756" t="s">
        <v>61</v>
      </c>
      <c r="F7756" t="s">
        <v>29</v>
      </c>
      <c r="G7756" t="s">
        <v>115</v>
      </c>
      <c r="H7756" t="s">
        <v>80</v>
      </c>
      <c r="I7756">
        <v>37636</v>
      </c>
      <c r="J7756">
        <v>41823</v>
      </c>
    </row>
    <row r="7757" spans="1:10" x14ac:dyDescent="0.3">
      <c r="A7757" t="s">
        <v>7884</v>
      </c>
      <c r="B7757" s="1">
        <v>45811</v>
      </c>
      <c r="C7757" t="s">
        <v>74</v>
      </c>
      <c r="D7757">
        <v>23</v>
      </c>
      <c r="E7757" t="s">
        <v>24</v>
      </c>
      <c r="F7757" t="s">
        <v>62</v>
      </c>
      <c r="G7757" t="s">
        <v>79</v>
      </c>
      <c r="H7757" t="s">
        <v>84</v>
      </c>
      <c r="I7757">
        <v>18813</v>
      </c>
      <c r="J7757">
        <v>18721</v>
      </c>
    </row>
    <row r="7758" spans="1:10" x14ac:dyDescent="0.3">
      <c r="A7758" t="s">
        <v>7885</v>
      </c>
      <c r="B7758" s="1">
        <v>45747</v>
      </c>
      <c r="C7758" t="s">
        <v>95</v>
      </c>
      <c r="D7758">
        <v>14</v>
      </c>
      <c r="E7758" t="s">
        <v>24</v>
      </c>
      <c r="F7758" t="s">
        <v>29</v>
      </c>
      <c r="G7758" t="s">
        <v>26</v>
      </c>
      <c r="H7758" t="s">
        <v>59</v>
      </c>
      <c r="I7758">
        <v>25818</v>
      </c>
      <c r="J7758">
        <v>32722</v>
      </c>
    </row>
    <row r="7759" spans="1:10" x14ac:dyDescent="0.3">
      <c r="A7759" t="s">
        <v>7886</v>
      </c>
      <c r="B7759" s="1">
        <v>45741</v>
      </c>
      <c r="C7759" t="s">
        <v>95</v>
      </c>
      <c r="D7759">
        <v>13</v>
      </c>
      <c r="E7759" t="s">
        <v>61</v>
      </c>
      <c r="F7759" t="s">
        <v>34</v>
      </c>
      <c r="G7759" t="s">
        <v>26</v>
      </c>
      <c r="H7759" t="s">
        <v>211</v>
      </c>
      <c r="I7759">
        <v>29295</v>
      </c>
      <c r="J7759">
        <v>31514</v>
      </c>
    </row>
    <row r="7760" spans="1:10" x14ac:dyDescent="0.3">
      <c r="A7760" t="s">
        <v>7887</v>
      </c>
      <c r="B7760" s="1">
        <v>45762</v>
      </c>
      <c r="C7760" t="s">
        <v>86</v>
      </c>
      <c r="D7760">
        <v>16</v>
      </c>
      <c r="E7760" t="s">
        <v>12</v>
      </c>
      <c r="F7760" t="s">
        <v>92</v>
      </c>
      <c r="G7760" t="s">
        <v>14</v>
      </c>
      <c r="H7760" t="s">
        <v>151</v>
      </c>
      <c r="I7760">
        <v>37937</v>
      </c>
      <c r="J7760">
        <v>37264</v>
      </c>
    </row>
    <row r="7761" spans="1:10" x14ac:dyDescent="0.3">
      <c r="A7761" t="s">
        <v>7888</v>
      </c>
      <c r="B7761" s="1">
        <v>45868</v>
      </c>
      <c r="C7761" t="s">
        <v>11</v>
      </c>
      <c r="D7761">
        <v>31</v>
      </c>
      <c r="E7761" t="s">
        <v>33</v>
      </c>
      <c r="F7761" t="s">
        <v>43</v>
      </c>
      <c r="G7761" t="s">
        <v>115</v>
      </c>
      <c r="H7761" t="s">
        <v>116</v>
      </c>
      <c r="I7761">
        <v>38023</v>
      </c>
      <c r="J7761">
        <v>45605</v>
      </c>
    </row>
    <row r="7762" spans="1:10" x14ac:dyDescent="0.3">
      <c r="A7762" t="s">
        <v>7889</v>
      </c>
      <c r="B7762" s="1">
        <v>45805</v>
      </c>
      <c r="C7762" t="s">
        <v>90</v>
      </c>
      <c r="D7762">
        <v>22</v>
      </c>
      <c r="E7762" t="s">
        <v>70</v>
      </c>
      <c r="F7762" t="s">
        <v>140</v>
      </c>
      <c r="G7762" t="s">
        <v>160</v>
      </c>
      <c r="H7762" t="s">
        <v>15</v>
      </c>
      <c r="I7762">
        <v>15781</v>
      </c>
      <c r="J7762">
        <v>17849</v>
      </c>
    </row>
    <row r="7763" spans="1:10" x14ac:dyDescent="0.3">
      <c r="A7763" t="s">
        <v>7890</v>
      </c>
      <c r="B7763" s="1">
        <v>45855</v>
      </c>
      <c r="C7763" t="s">
        <v>11</v>
      </c>
      <c r="D7763">
        <v>29</v>
      </c>
      <c r="E7763" t="s">
        <v>33</v>
      </c>
      <c r="F7763" t="s">
        <v>46</v>
      </c>
      <c r="G7763" t="s">
        <v>79</v>
      </c>
      <c r="H7763" t="s">
        <v>155</v>
      </c>
      <c r="I7763">
        <v>26546</v>
      </c>
      <c r="J7763">
        <v>33811</v>
      </c>
    </row>
    <row r="7764" spans="1:10" x14ac:dyDescent="0.3">
      <c r="A7764" t="s">
        <v>7891</v>
      </c>
      <c r="B7764" s="1">
        <v>45819</v>
      </c>
      <c r="C7764" t="s">
        <v>74</v>
      </c>
      <c r="D7764">
        <v>24</v>
      </c>
      <c r="E7764" t="s">
        <v>33</v>
      </c>
      <c r="F7764" t="s">
        <v>13</v>
      </c>
      <c r="G7764" t="s">
        <v>291</v>
      </c>
      <c r="H7764" t="s">
        <v>21</v>
      </c>
      <c r="I7764">
        <v>32940</v>
      </c>
      <c r="J7764">
        <v>24879</v>
      </c>
    </row>
    <row r="7765" spans="1:10" x14ac:dyDescent="0.3">
      <c r="A7765" t="s">
        <v>7892</v>
      </c>
      <c r="B7765" s="1">
        <v>45894</v>
      </c>
      <c r="C7765" t="s">
        <v>113</v>
      </c>
      <c r="D7765">
        <v>35</v>
      </c>
      <c r="E7765" t="s">
        <v>18</v>
      </c>
      <c r="F7765" t="s">
        <v>193</v>
      </c>
      <c r="G7765" t="s">
        <v>224</v>
      </c>
      <c r="H7765" t="s">
        <v>31</v>
      </c>
      <c r="I7765">
        <v>32293</v>
      </c>
      <c r="J7765">
        <v>25984</v>
      </c>
    </row>
    <row r="7766" spans="1:10" x14ac:dyDescent="0.3">
      <c r="A7766" t="s">
        <v>7893</v>
      </c>
      <c r="B7766" s="1">
        <v>45919</v>
      </c>
      <c r="C7766" t="s">
        <v>38</v>
      </c>
      <c r="D7766">
        <v>38</v>
      </c>
      <c r="E7766" t="s">
        <v>39</v>
      </c>
      <c r="F7766" t="s">
        <v>34</v>
      </c>
      <c r="G7766" t="s">
        <v>266</v>
      </c>
      <c r="H7766" t="s">
        <v>15</v>
      </c>
      <c r="I7766">
        <v>21433</v>
      </c>
      <c r="J7766">
        <v>24107</v>
      </c>
    </row>
    <row r="7767" spans="1:10" x14ac:dyDescent="0.3">
      <c r="A7767" t="s">
        <v>7894</v>
      </c>
      <c r="B7767" s="1">
        <v>45852</v>
      </c>
      <c r="C7767" t="s">
        <v>11</v>
      </c>
      <c r="D7767">
        <v>29</v>
      </c>
      <c r="E7767" t="s">
        <v>39</v>
      </c>
      <c r="F7767" t="s">
        <v>193</v>
      </c>
      <c r="G7767" t="s">
        <v>234</v>
      </c>
      <c r="H7767" t="s">
        <v>68</v>
      </c>
      <c r="I7767">
        <v>23793</v>
      </c>
      <c r="J7767">
        <v>22867</v>
      </c>
    </row>
    <row r="7768" spans="1:10" x14ac:dyDescent="0.3">
      <c r="A7768" t="s">
        <v>7895</v>
      </c>
      <c r="B7768" s="1">
        <v>45774</v>
      </c>
      <c r="C7768" t="s">
        <v>86</v>
      </c>
      <c r="D7768">
        <v>17</v>
      </c>
      <c r="E7768" t="s">
        <v>61</v>
      </c>
      <c r="F7768" t="s">
        <v>87</v>
      </c>
      <c r="G7768" t="s">
        <v>47</v>
      </c>
      <c r="H7768" t="s">
        <v>188</v>
      </c>
      <c r="I7768">
        <v>16006</v>
      </c>
      <c r="J7768">
        <v>11398</v>
      </c>
    </row>
    <row r="7769" spans="1:10" x14ac:dyDescent="0.3">
      <c r="A7769" t="s">
        <v>7896</v>
      </c>
      <c r="B7769" s="1">
        <v>45913</v>
      </c>
      <c r="C7769" t="s">
        <v>38</v>
      </c>
      <c r="D7769">
        <v>37</v>
      </c>
      <c r="E7769" t="s">
        <v>24</v>
      </c>
      <c r="F7769" t="s">
        <v>46</v>
      </c>
      <c r="G7769" t="s">
        <v>54</v>
      </c>
      <c r="H7769" t="s">
        <v>31</v>
      </c>
      <c r="I7769">
        <v>21233</v>
      </c>
      <c r="J7769">
        <v>22912</v>
      </c>
    </row>
    <row r="7770" spans="1:10" x14ac:dyDescent="0.3">
      <c r="A7770" t="s">
        <v>7897</v>
      </c>
      <c r="B7770" s="1">
        <v>45757</v>
      </c>
      <c r="C7770" t="s">
        <v>86</v>
      </c>
      <c r="D7770">
        <v>15</v>
      </c>
      <c r="E7770" t="s">
        <v>12</v>
      </c>
      <c r="F7770" t="s">
        <v>75</v>
      </c>
      <c r="G7770" t="s">
        <v>30</v>
      </c>
      <c r="H7770" t="s">
        <v>64</v>
      </c>
      <c r="I7770">
        <v>21355</v>
      </c>
      <c r="J7770">
        <v>15439</v>
      </c>
    </row>
    <row r="7771" spans="1:10" x14ac:dyDescent="0.3">
      <c r="A7771" t="s">
        <v>7898</v>
      </c>
      <c r="B7771" s="1">
        <v>45662</v>
      </c>
      <c r="C7771" t="s">
        <v>17</v>
      </c>
      <c r="D7771">
        <v>1</v>
      </c>
      <c r="E7771" t="s">
        <v>18</v>
      </c>
      <c r="F7771" t="s">
        <v>62</v>
      </c>
      <c r="G7771" t="s">
        <v>149</v>
      </c>
      <c r="H7771" t="s">
        <v>15</v>
      </c>
      <c r="I7771">
        <v>28275</v>
      </c>
      <c r="J7771">
        <v>25589</v>
      </c>
    </row>
    <row r="7772" spans="1:10" x14ac:dyDescent="0.3">
      <c r="A7772" t="s">
        <v>7899</v>
      </c>
      <c r="B7772" s="1">
        <v>45993</v>
      </c>
      <c r="C7772" t="s">
        <v>100</v>
      </c>
      <c r="D7772">
        <v>49</v>
      </c>
      <c r="E7772" t="s">
        <v>61</v>
      </c>
      <c r="F7772" t="s">
        <v>46</v>
      </c>
      <c r="G7772" t="s">
        <v>76</v>
      </c>
      <c r="H7772" t="s">
        <v>80</v>
      </c>
      <c r="I7772">
        <v>39688</v>
      </c>
      <c r="J7772">
        <v>34069</v>
      </c>
    </row>
    <row r="7773" spans="1:10" x14ac:dyDescent="0.3">
      <c r="A7773" t="s">
        <v>7900</v>
      </c>
      <c r="B7773" s="1">
        <v>45899</v>
      </c>
      <c r="C7773" t="s">
        <v>113</v>
      </c>
      <c r="D7773">
        <v>35</v>
      </c>
      <c r="E7773" t="s">
        <v>70</v>
      </c>
      <c r="F7773" t="s">
        <v>114</v>
      </c>
      <c r="G7773" t="s">
        <v>147</v>
      </c>
      <c r="H7773" t="s">
        <v>163</v>
      </c>
      <c r="I7773">
        <v>22609</v>
      </c>
      <c r="J7773">
        <v>22764</v>
      </c>
    </row>
    <row r="7774" spans="1:10" x14ac:dyDescent="0.3">
      <c r="A7774" t="s">
        <v>7901</v>
      </c>
      <c r="B7774" s="1">
        <v>45676</v>
      </c>
      <c r="C7774" t="s">
        <v>17</v>
      </c>
      <c r="D7774">
        <v>3</v>
      </c>
      <c r="E7774" t="s">
        <v>70</v>
      </c>
      <c r="F7774" t="s">
        <v>87</v>
      </c>
      <c r="G7774" t="s">
        <v>240</v>
      </c>
      <c r="H7774" t="s">
        <v>21</v>
      </c>
      <c r="I7774">
        <v>32565</v>
      </c>
      <c r="J7774">
        <v>37587</v>
      </c>
    </row>
    <row r="7775" spans="1:10" x14ac:dyDescent="0.3">
      <c r="A7775" t="s">
        <v>7902</v>
      </c>
      <c r="B7775" s="1">
        <v>45721</v>
      </c>
      <c r="C7775" t="s">
        <v>95</v>
      </c>
      <c r="D7775">
        <v>10</v>
      </c>
      <c r="E7775" t="s">
        <v>18</v>
      </c>
      <c r="F7775" t="s">
        <v>114</v>
      </c>
      <c r="G7775" t="s">
        <v>130</v>
      </c>
      <c r="H7775" t="s">
        <v>80</v>
      </c>
      <c r="I7775">
        <v>30535</v>
      </c>
      <c r="J7775">
        <v>30724</v>
      </c>
    </row>
    <row r="7776" spans="1:10" x14ac:dyDescent="0.3">
      <c r="A7776" t="s">
        <v>7903</v>
      </c>
      <c r="B7776" s="1">
        <v>45933</v>
      </c>
      <c r="C7776" t="s">
        <v>66</v>
      </c>
      <c r="D7776">
        <v>40</v>
      </c>
      <c r="E7776" t="s">
        <v>61</v>
      </c>
      <c r="F7776" t="s">
        <v>13</v>
      </c>
      <c r="G7776" t="s">
        <v>147</v>
      </c>
      <c r="H7776" t="s">
        <v>36</v>
      </c>
      <c r="I7776">
        <v>30729</v>
      </c>
      <c r="J7776">
        <v>39324</v>
      </c>
    </row>
    <row r="7777" spans="1:10" x14ac:dyDescent="0.3">
      <c r="A7777" t="s">
        <v>7904</v>
      </c>
      <c r="B7777" s="1">
        <v>45917</v>
      </c>
      <c r="C7777" t="s">
        <v>38</v>
      </c>
      <c r="D7777">
        <v>38</v>
      </c>
      <c r="E7777" t="s">
        <v>33</v>
      </c>
      <c r="F7777" t="s">
        <v>92</v>
      </c>
      <c r="G7777" t="s">
        <v>137</v>
      </c>
      <c r="H7777" t="s">
        <v>116</v>
      </c>
      <c r="I7777">
        <v>23587</v>
      </c>
      <c r="J7777">
        <v>19207</v>
      </c>
    </row>
    <row r="7778" spans="1:10" x14ac:dyDescent="0.3">
      <c r="A7778" t="s">
        <v>7905</v>
      </c>
      <c r="B7778" s="1">
        <v>45771</v>
      </c>
      <c r="C7778" t="s">
        <v>86</v>
      </c>
      <c r="D7778">
        <v>17</v>
      </c>
      <c r="E7778" t="s">
        <v>61</v>
      </c>
      <c r="F7778" t="s">
        <v>29</v>
      </c>
      <c r="G7778" t="s">
        <v>63</v>
      </c>
      <c r="H7778" t="s">
        <v>133</v>
      </c>
      <c r="I7778">
        <v>35721</v>
      </c>
      <c r="J7778">
        <v>38999</v>
      </c>
    </row>
    <row r="7779" spans="1:10" x14ac:dyDescent="0.3">
      <c r="A7779" t="s">
        <v>7906</v>
      </c>
      <c r="B7779" s="1">
        <v>45887</v>
      </c>
      <c r="C7779" t="s">
        <v>113</v>
      </c>
      <c r="D7779">
        <v>34</v>
      </c>
      <c r="E7779" t="s">
        <v>39</v>
      </c>
      <c r="F7779" t="s">
        <v>57</v>
      </c>
      <c r="G7779" t="s">
        <v>324</v>
      </c>
      <c r="H7779" t="s">
        <v>36</v>
      </c>
      <c r="I7779">
        <v>34609</v>
      </c>
      <c r="J7779">
        <v>27204</v>
      </c>
    </row>
    <row r="7780" spans="1:10" x14ac:dyDescent="0.3">
      <c r="A7780" t="s">
        <v>7907</v>
      </c>
      <c r="B7780" s="1">
        <v>45662</v>
      </c>
      <c r="C7780" t="s">
        <v>17</v>
      </c>
      <c r="D7780">
        <v>1</v>
      </c>
      <c r="E7780" t="s">
        <v>33</v>
      </c>
      <c r="F7780" t="s">
        <v>25</v>
      </c>
      <c r="G7780" t="s">
        <v>20</v>
      </c>
      <c r="H7780" t="s">
        <v>48</v>
      </c>
      <c r="I7780">
        <v>38052</v>
      </c>
      <c r="J7780">
        <v>43847</v>
      </c>
    </row>
    <row r="7781" spans="1:10" x14ac:dyDescent="0.3">
      <c r="A7781" t="s">
        <v>7908</v>
      </c>
      <c r="B7781" s="1">
        <v>45972</v>
      </c>
      <c r="C7781" t="s">
        <v>23</v>
      </c>
      <c r="D7781">
        <v>46</v>
      </c>
      <c r="E7781" t="s">
        <v>24</v>
      </c>
      <c r="F7781" t="s">
        <v>29</v>
      </c>
      <c r="G7781" t="s">
        <v>191</v>
      </c>
      <c r="H7781" t="s">
        <v>155</v>
      </c>
      <c r="I7781">
        <v>34178</v>
      </c>
      <c r="J7781">
        <v>39593</v>
      </c>
    </row>
    <row r="7782" spans="1:10" x14ac:dyDescent="0.3">
      <c r="A7782" t="s">
        <v>7909</v>
      </c>
      <c r="B7782" s="1">
        <v>45908</v>
      </c>
      <c r="C7782" t="s">
        <v>38</v>
      </c>
      <c r="D7782">
        <v>37</v>
      </c>
      <c r="E7782" t="s">
        <v>61</v>
      </c>
      <c r="F7782" t="s">
        <v>193</v>
      </c>
      <c r="G7782" t="s">
        <v>126</v>
      </c>
      <c r="H7782" t="s">
        <v>59</v>
      </c>
      <c r="I7782">
        <v>20353</v>
      </c>
      <c r="J7782">
        <v>25632</v>
      </c>
    </row>
    <row r="7783" spans="1:10" x14ac:dyDescent="0.3">
      <c r="A7783" t="s">
        <v>7910</v>
      </c>
      <c r="B7783" s="1">
        <v>45779</v>
      </c>
      <c r="C7783" t="s">
        <v>90</v>
      </c>
      <c r="D7783">
        <v>18</v>
      </c>
      <c r="E7783" t="s">
        <v>70</v>
      </c>
      <c r="F7783" t="s">
        <v>92</v>
      </c>
      <c r="G7783" t="s">
        <v>72</v>
      </c>
      <c r="H7783" t="s">
        <v>31</v>
      </c>
      <c r="I7783">
        <v>27012</v>
      </c>
      <c r="J7783">
        <v>32523</v>
      </c>
    </row>
    <row r="7784" spans="1:10" x14ac:dyDescent="0.3">
      <c r="A7784" t="s">
        <v>7911</v>
      </c>
      <c r="B7784" s="1">
        <v>45883</v>
      </c>
      <c r="C7784" t="s">
        <v>113</v>
      </c>
      <c r="D7784">
        <v>33</v>
      </c>
      <c r="E7784" t="s">
        <v>39</v>
      </c>
      <c r="F7784" t="s">
        <v>25</v>
      </c>
      <c r="G7784" t="s">
        <v>54</v>
      </c>
      <c r="H7784" t="s">
        <v>103</v>
      </c>
      <c r="I7784">
        <v>18896</v>
      </c>
      <c r="J7784">
        <v>23844</v>
      </c>
    </row>
    <row r="7785" spans="1:10" x14ac:dyDescent="0.3">
      <c r="A7785" t="s">
        <v>7912</v>
      </c>
      <c r="B7785" s="1">
        <v>45799</v>
      </c>
      <c r="C7785" t="s">
        <v>90</v>
      </c>
      <c r="D7785">
        <v>21</v>
      </c>
      <c r="E7785" t="s">
        <v>39</v>
      </c>
      <c r="F7785" t="s">
        <v>109</v>
      </c>
      <c r="G7785" t="s">
        <v>291</v>
      </c>
      <c r="H7785" t="s">
        <v>116</v>
      </c>
      <c r="I7785">
        <v>36575</v>
      </c>
      <c r="J7785">
        <v>32809</v>
      </c>
    </row>
    <row r="7786" spans="1:10" x14ac:dyDescent="0.3">
      <c r="A7786" t="s">
        <v>7913</v>
      </c>
      <c r="B7786" s="1">
        <v>45832</v>
      </c>
      <c r="C7786" t="s">
        <v>74</v>
      </c>
      <c r="D7786">
        <v>26</v>
      </c>
      <c r="E7786" t="s">
        <v>24</v>
      </c>
      <c r="F7786" t="s">
        <v>122</v>
      </c>
      <c r="G7786" t="s">
        <v>147</v>
      </c>
      <c r="H7786" t="s">
        <v>157</v>
      </c>
      <c r="I7786">
        <v>28083</v>
      </c>
      <c r="J7786">
        <v>31946</v>
      </c>
    </row>
    <row r="7787" spans="1:10" x14ac:dyDescent="0.3">
      <c r="A7787" t="s">
        <v>7914</v>
      </c>
      <c r="B7787" s="1">
        <v>45970</v>
      </c>
      <c r="C7787" t="s">
        <v>23</v>
      </c>
      <c r="D7787">
        <v>45</v>
      </c>
      <c r="E7787" t="s">
        <v>39</v>
      </c>
      <c r="F7787" t="s">
        <v>109</v>
      </c>
      <c r="G7787" t="s">
        <v>324</v>
      </c>
      <c r="H7787" t="s">
        <v>163</v>
      </c>
      <c r="I7787">
        <v>33277</v>
      </c>
      <c r="J7787">
        <v>24839</v>
      </c>
    </row>
    <row r="7788" spans="1:10" x14ac:dyDescent="0.3">
      <c r="A7788" t="s">
        <v>7915</v>
      </c>
      <c r="B7788" s="1">
        <v>45875</v>
      </c>
      <c r="C7788" t="s">
        <v>113</v>
      </c>
      <c r="D7788">
        <v>32</v>
      </c>
      <c r="E7788" t="s">
        <v>61</v>
      </c>
      <c r="F7788" t="s">
        <v>92</v>
      </c>
      <c r="G7788" t="s">
        <v>67</v>
      </c>
      <c r="H7788" t="s">
        <v>64</v>
      </c>
      <c r="I7788">
        <v>27299</v>
      </c>
      <c r="J7788">
        <v>32142</v>
      </c>
    </row>
    <row r="7789" spans="1:10" x14ac:dyDescent="0.3">
      <c r="A7789" t="s">
        <v>7916</v>
      </c>
      <c r="B7789" s="1">
        <v>45807</v>
      </c>
      <c r="C7789" t="s">
        <v>90</v>
      </c>
      <c r="D7789">
        <v>22</v>
      </c>
      <c r="E7789" t="s">
        <v>39</v>
      </c>
      <c r="F7789" t="s">
        <v>92</v>
      </c>
      <c r="G7789" t="s">
        <v>93</v>
      </c>
      <c r="H7789" t="s">
        <v>123</v>
      </c>
      <c r="I7789">
        <v>35573</v>
      </c>
      <c r="J7789">
        <v>38145</v>
      </c>
    </row>
    <row r="7790" spans="1:10" x14ac:dyDescent="0.3">
      <c r="A7790" t="s">
        <v>7917</v>
      </c>
      <c r="B7790" s="1">
        <v>45852</v>
      </c>
      <c r="C7790" t="s">
        <v>11</v>
      </c>
      <c r="D7790">
        <v>29</v>
      </c>
      <c r="E7790" t="s">
        <v>70</v>
      </c>
      <c r="F7790" t="s">
        <v>101</v>
      </c>
      <c r="G7790" t="s">
        <v>130</v>
      </c>
      <c r="H7790" t="s">
        <v>21</v>
      </c>
      <c r="I7790">
        <v>30147</v>
      </c>
      <c r="J7790">
        <v>24786</v>
      </c>
    </row>
    <row r="7791" spans="1:10" x14ac:dyDescent="0.3">
      <c r="A7791" t="s">
        <v>7918</v>
      </c>
      <c r="B7791" s="1">
        <v>45884</v>
      </c>
      <c r="C7791" t="s">
        <v>113</v>
      </c>
      <c r="D7791">
        <v>33</v>
      </c>
      <c r="E7791" t="s">
        <v>18</v>
      </c>
      <c r="F7791" t="s">
        <v>101</v>
      </c>
      <c r="G7791" t="s">
        <v>76</v>
      </c>
      <c r="H7791" t="s">
        <v>80</v>
      </c>
      <c r="I7791">
        <v>23372</v>
      </c>
      <c r="J7791">
        <v>25199</v>
      </c>
    </row>
    <row r="7792" spans="1:10" x14ac:dyDescent="0.3">
      <c r="A7792" t="s">
        <v>7919</v>
      </c>
      <c r="B7792" s="1">
        <v>45736</v>
      </c>
      <c r="C7792" t="s">
        <v>95</v>
      </c>
      <c r="D7792">
        <v>12</v>
      </c>
      <c r="E7792" t="s">
        <v>33</v>
      </c>
      <c r="F7792" t="s">
        <v>25</v>
      </c>
      <c r="G7792" t="s">
        <v>107</v>
      </c>
      <c r="H7792" t="s">
        <v>64</v>
      </c>
      <c r="I7792">
        <v>26279</v>
      </c>
      <c r="J7792">
        <v>24877</v>
      </c>
    </row>
    <row r="7793" spans="1:10" x14ac:dyDescent="0.3">
      <c r="A7793" t="s">
        <v>7920</v>
      </c>
      <c r="B7793" s="1">
        <v>45934</v>
      </c>
      <c r="C7793" t="s">
        <v>66</v>
      </c>
      <c r="D7793">
        <v>40</v>
      </c>
      <c r="E7793" t="s">
        <v>24</v>
      </c>
      <c r="F7793" t="s">
        <v>75</v>
      </c>
      <c r="G7793" t="s">
        <v>118</v>
      </c>
      <c r="H7793" t="s">
        <v>55</v>
      </c>
      <c r="I7793">
        <v>34117</v>
      </c>
      <c r="J7793">
        <v>28167</v>
      </c>
    </row>
    <row r="7794" spans="1:10" x14ac:dyDescent="0.3">
      <c r="A7794" t="s">
        <v>7921</v>
      </c>
      <c r="B7794" s="1">
        <v>45905</v>
      </c>
      <c r="C7794" t="s">
        <v>38</v>
      </c>
      <c r="D7794">
        <v>36</v>
      </c>
      <c r="E7794" t="s">
        <v>39</v>
      </c>
      <c r="F7794" t="s">
        <v>140</v>
      </c>
      <c r="G7794" t="s">
        <v>102</v>
      </c>
      <c r="H7794" t="s">
        <v>27</v>
      </c>
      <c r="I7794">
        <v>34420</v>
      </c>
      <c r="J7794">
        <v>40491</v>
      </c>
    </row>
    <row r="7795" spans="1:10" x14ac:dyDescent="0.3">
      <c r="A7795" t="s">
        <v>7922</v>
      </c>
      <c r="B7795" s="1">
        <v>45748</v>
      </c>
      <c r="C7795" t="s">
        <v>86</v>
      </c>
      <c r="D7795">
        <v>14</v>
      </c>
      <c r="E7795" t="s">
        <v>70</v>
      </c>
      <c r="F7795" t="s">
        <v>78</v>
      </c>
      <c r="G7795" t="s">
        <v>67</v>
      </c>
      <c r="H7795" t="s">
        <v>96</v>
      </c>
      <c r="I7795">
        <v>20282</v>
      </c>
      <c r="J7795">
        <v>24616</v>
      </c>
    </row>
    <row r="7796" spans="1:10" x14ac:dyDescent="0.3">
      <c r="A7796" t="s">
        <v>7923</v>
      </c>
      <c r="B7796" s="1">
        <v>45777</v>
      </c>
      <c r="C7796" t="s">
        <v>86</v>
      </c>
      <c r="D7796">
        <v>18</v>
      </c>
      <c r="E7796" t="s">
        <v>70</v>
      </c>
      <c r="F7796" t="s">
        <v>122</v>
      </c>
      <c r="G7796" t="s">
        <v>88</v>
      </c>
      <c r="H7796" t="s">
        <v>119</v>
      </c>
      <c r="I7796">
        <v>16351</v>
      </c>
      <c r="J7796">
        <v>19446</v>
      </c>
    </row>
    <row r="7797" spans="1:10" x14ac:dyDescent="0.3">
      <c r="A7797" t="s">
        <v>7924</v>
      </c>
      <c r="B7797" s="1">
        <v>45943</v>
      </c>
      <c r="C7797" t="s">
        <v>66</v>
      </c>
      <c r="D7797">
        <v>42</v>
      </c>
      <c r="E7797" t="s">
        <v>24</v>
      </c>
      <c r="F7797" t="s">
        <v>114</v>
      </c>
      <c r="G7797" t="s">
        <v>102</v>
      </c>
      <c r="H7797" t="s">
        <v>27</v>
      </c>
      <c r="I7797">
        <v>26713</v>
      </c>
      <c r="J7797">
        <v>32001</v>
      </c>
    </row>
    <row r="7798" spans="1:10" x14ac:dyDescent="0.3">
      <c r="A7798" t="s">
        <v>7925</v>
      </c>
      <c r="B7798" s="1">
        <v>45735</v>
      </c>
      <c r="C7798" t="s">
        <v>95</v>
      </c>
      <c r="D7798">
        <v>12</v>
      </c>
      <c r="E7798" t="s">
        <v>70</v>
      </c>
      <c r="F7798" t="s">
        <v>25</v>
      </c>
      <c r="G7798" t="s">
        <v>54</v>
      </c>
      <c r="H7798" t="s">
        <v>52</v>
      </c>
      <c r="I7798">
        <v>28528</v>
      </c>
      <c r="J7798">
        <v>23417</v>
      </c>
    </row>
    <row r="7799" spans="1:10" x14ac:dyDescent="0.3">
      <c r="A7799" t="s">
        <v>7926</v>
      </c>
      <c r="B7799" s="1">
        <v>45673</v>
      </c>
      <c r="C7799" t="s">
        <v>17</v>
      </c>
      <c r="D7799">
        <v>3</v>
      </c>
      <c r="E7799" t="s">
        <v>61</v>
      </c>
      <c r="F7799" t="s">
        <v>101</v>
      </c>
      <c r="G7799" t="s">
        <v>118</v>
      </c>
      <c r="H7799" t="s">
        <v>155</v>
      </c>
      <c r="I7799">
        <v>19463</v>
      </c>
      <c r="J7799">
        <v>14942</v>
      </c>
    </row>
    <row r="7800" spans="1:10" x14ac:dyDescent="0.3">
      <c r="A7800" t="s">
        <v>7927</v>
      </c>
      <c r="B7800" s="1">
        <v>45841</v>
      </c>
      <c r="C7800" t="s">
        <v>11</v>
      </c>
      <c r="D7800">
        <v>27</v>
      </c>
      <c r="E7800" t="s">
        <v>39</v>
      </c>
      <c r="F7800" t="s">
        <v>46</v>
      </c>
      <c r="G7800" t="s">
        <v>107</v>
      </c>
      <c r="H7800" t="s">
        <v>163</v>
      </c>
      <c r="I7800">
        <v>19704</v>
      </c>
      <c r="J7800">
        <v>19465</v>
      </c>
    </row>
    <row r="7801" spans="1:10" x14ac:dyDescent="0.3">
      <c r="A7801" t="s">
        <v>7928</v>
      </c>
      <c r="B7801" s="1">
        <v>45694</v>
      </c>
      <c r="C7801" t="s">
        <v>82</v>
      </c>
      <c r="D7801">
        <v>6</v>
      </c>
      <c r="E7801" t="s">
        <v>24</v>
      </c>
      <c r="F7801" t="s">
        <v>13</v>
      </c>
      <c r="G7801" t="s">
        <v>128</v>
      </c>
      <c r="H7801" t="s">
        <v>41</v>
      </c>
      <c r="I7801">
        <v>29109</v>
      </c>
      <c r="J7801">
        <v>21122</v>
      </c>
    </row>
    <row r="7802" spans="1:10" x14ac:dyDescent="0.3">
      <c r="A7802" t="s">
        <v>7929</v>
      </c>
      <c r="B7802" s="1">
        <v>45948</v>
      </c>
      <c r="C7802" t="s">
        <v>66</v>
      </c>
      <c r="D7802">
        <v>42</v>
      </c>
      <c r="E7802" t="s">
        <v>61</v>
      </c>
      <c r="F7802" t="s">
        <v>50</v>
      </c>
      <c r="G7802" t="s">
        <v>128</v>
      </c>
      <c r="H7802" t="s">
        <v>15</v>
      </c>
      <c r="I7802">
        <v>35073</v>
      </c>
      <c r="J7802">
        <v>35735</v>
      </c>
    </row>
    <row r="7803" spans="1:10" x14ac:dyDescent="0.3">
      <c r="A7803" t="s">
        <v>7930</v>
      </c>
      <c r="B7803" s="1">
        <v>45854</v>
      </c>
      <c r="C7803" t="s">
        <v>11</v>
      </c>
      <c r="D7803">
        <v>29</v>
      </c>
      <c r="E7803" t="s">
        <v>24</v>
      </c>
      <c r="F7803" t="s">
        <v>57</v>
      </c>
      <c r="G7803" t="s">
        <v>326</v>
      </c>
      <c r="H7803" t="s">
        <v>103</v>
      </c>
      <c r="I7803">
        <v>17423</v>
      </c>
      <c r="J7803">
        <v>14500</v>
      </c>
    </row>
    <row r="7804" spans="1:10" x14ac:dyDescent="0.3">
      <c r="A7804" t="s">
        <v>7931</v>
      </c>
      <c r="B7804" s="1">
        <v>45843</v>
      </c>
      <c r="C7804" t="s">
        <v>11</v>
      </c>
      <c r="D7804">
        <v>27</v>
      </c>
      <c r="E7804" t="s">
        <v>70</v>
      </c>
      <c r="F7804" t="s">
        <v>101</v>
      </c>
      <c r="G7804" t="s">
        <v>118</v>
      </c>
      <c r="H7804" t="s">
        <v>84</v>
      </c>
      <c r="I7804">
        <v>25801</v>
      </c>
      <c r="J7804">
        <v>25854</v>
      </c>
    </row>
    <row r="7805" spans="1:10" x14ac:dyDescent="0.3">
      <c r="A7805" t="s">
        <v>7932</v>
      </c>
      <c r="B7805" s="1">
        <v>45747</v>
      </c>
      <c r="C7805" t="s">
        <v>95</v>
      </c>
      <c r="D7805">
        <v>14</v>
      </c>
      <c r="E7805" t="s">
        <v>39</v>
      </c>
      <c r="F7805" t="s">
        <v>75</v>
      </c>
      <c r="G7805" t="s">
        <v>326</v>
      </c>
      <c r="H7805" t="s">
        <v>31</v>
      </c>
      <c r="I7805">
        <v>21177</v>
      </c>
      <c r="J7805">
        <v>21066</v>
      </c>
    </row>
    <row r="7806" spans="1:10" x14ac:dyDescent="0.3">
      <c r="A7806" t="s">
        <v>7933</v>
      </c>
      <c r="B7806" s="1">
        <v>45801</v>
      </c>
      <c r="C7806" t="s">
        <v>90</v>
      </c>
      <c r="D7806">
        <v>21</v>
      </c>
      <c r="E7806" t="s">
        <v>61</v>
      </c>
      <c r="F7806" t="s">
        <v>92</v>
      </c>
      <c r="G7806" t="s">
        <v>102</v>
      </c>
      <c r="H7806" t="s">
        <v>165</v>
      </c>
      <c r="I7806">
        <v>31002</v>
      </c>
      <c r="J7806">
        <v>21706</v>
      </c>
    </row>
    <row r="7807" spans="1:10" x14ac:dyDescent="0.3">
      <c r="A7807" t="s">
        <v>7934</v>
      </c>
      <c r="B7807" s="1">
        <v>45718</v>
      </c>
      <c r="C7807" t="s">
        <v>95</v>
      </c>
      <c r="D7807">
        <v>9</v>
      </c>
      <c r="E7807" t="s">
        <v>18</v>
      </c>
      <c r="F7807" t="s">
        <v>34</v>
      </c>
      <c r="G7807" t="s">
        <v>291</v>
      </c>
      <c r="H7807" t="s">
        <v>31</v>
      </c>
      <c r="I7807">
        <v>29452</v>
      </c>
      <c r="J7807">
        <v>26633</v>
      </c>
    </row>
    <row r="7808" spans="1:10" x14ac:dyDescent="0.3">
      <c r="A7808" t="s">
        <v>7935</v>
      </c>
      <c r="B7808" s="1">
        <v>45844</v>
      </c>
      <c r="C7808" t="s">
        <v>11</v>
      </c>
      <c r="D7808">
        <v>27</v>
      </c>
      <c r="E7808" t="s">
        <v>33</v>
      </c>
      <c r="F7808" t="s">
        <v>29</v>
      </c>
      <c r="G7808" t="s">
        <v>145</v>
      </c>
      <c r="H7808" t="s">
        <v>15</v>
      </c>
      <c r="I7808">
        <v>38244</v>
      </c>
      <c r="J7808">
        <v>38698</v>
      </c>
    </row>
    <row r="7809" spans="1:10" x14ac:dyDescent="0.3">
      <c r="A7809" t="s">
        <v>7936</v>
      </c>
      <c r="B7809" s="1">
        <v>45746</v>
      </c>
      <c r="C7809" t="s">
        <v>95</v>
      </c>
      <c r="D7809">
        <v>13</v>
      </c>
      <c r="E7809" t="s">
        <v>70</v>
      </c>
      <c r="F7809" t="s">
        <v>122</v>
      </c>
      <c r="G7809" t="s">
        <v>110</v>
      </c>
      <c r="H7809" t="s">
        <v>111</v>
      </c>
      <c r="I7809">
        <v>28568</v>
      </c>
      <c r="J7809">
        <v>33517</v>
      </c>
    </row>
    <row r="7810" spans="1:10" x14ac:dyDescent="0.3">
      <c r="A7810" t="s">
        <v>7937</v>
      </c>
      <c r="B7810" s="1">
        <v>45883</v>
      </c>
      <c r="C7810" t="s">
        <v>113</v>
      </c>
      <c r="D7810">
        <v>33</v>
      </c>
      <c r="E7810" t="s">
        <v>24</v>
      </c>
      <c r="F7810" t="s">
        <v>57</v>
      </c>
      <c r="G7810" t="s">
        <v>14</v>
      </c>
      <c r="H7810" t="s">
        <v>243</v>
      </c>
      <c r="I7810">
        <v>16456</v>
      </c>
      <c r="J7810">
        <v>15442</v>
      </c>
    </row>
    <row r="7811" spans="1:10" x14ac:dyDescent="0.3">
      <c r="A7811" t="s">
        <v>7938</v>
      </c>
      <c r="B7811" s="1">
        <v>45825</v>
      </c>
      <c r="C7811" t="s">
        <v>74</v>
      </c>
      <c r="D7811">
        <v>25</v>
      </c>
      <c r="E7811" t="s">
        <v>12</v>
      </c>
      <c r="F7811" t="s">
        <v>78</v>
      </c>
      <c r="G7811" t="s">
        <v>58</v>
      </c>
      <c r="H7811" t="s">
        <v>84</v>
      </c>
      <c r="I7811">
        <v>26186</v>
      </c>
      <c r="J7811">
        <v>18998</v>
      </c>
    </row>
    <row r="7812" spans="1:10" x14ac:dyDescent="0.3">
      <c r="A7812" t="s">
        <v>7939</v>
      </c>
      <c r="B7812" s="1">
        <v>45767</v>
      </c>
      <c r="C7812" t="s">
        <v>86</v>
      </c>
      <c r="D7812">
        <v>16</v>
      </c>
      <c r="E7812" t="s">
        <v>61</v>
      </c>
      <c r="F7812" t="s">
        <v>193</v>
      </c>
      <c r="G7812" t="s">
        <v>266</v>
      </c>
      <c r="H7812" t="s">
        <v>133</v>
      </c>
      <c r="I7812">
        <v>32903</v>
      </c>
      <c r="J7812">
        <v>26224</v>
      </c>
    </row>
    <row r="7813" spans="1:10" x14ac:dyDescent="0.3">
      <c r="A7813" t="s">
        <v>7940</v>
      </c>
      <c r="B7813" s="1">
        <v>45704</v>
      </c>
      <c r="C7813" t="s">
        <v>82</v>
      </c>
      <c r="D7813">
        <v>7</v>
      </c>
      <c r="E7813" t="s">
        <v>61</v>
      </c>
      <c r="F7813" t="s">
        <v>34</v>
      </c>
      <c r="G7813" t="s">
        <v>326</v>
      </c>
      <c r="H7813" t="s">
        <v>96</v>
      </c>
      <c r="I7813">
        <v>23194</v>
      </c>
      <c r="J7813">
        <v>21882</v>
      </c>
    </row>
    <row r="7814" spans="1:10" x14ac:dyDescent="0.3">
      <c r="A7814" t="s">
        <v>7941</v>
      </c>
      <c r="B7814" s="1">
        <v>45724</v>
      </c>
      <c r="C7814" t="s">
        <v>95</v>
      </c>
      <c r="D7814">
        <v>10</v>
      </c>
      <c r="E7814" t="s">
        <v>24</v>
      </c>
      <c r="F7814" t="s">
        <v>193</v>
      </c>
      <c r="G7814" t="s">
        <v>326</v>
      </c>
      <c r="H7814" t="s">
        <v>31</v>
      </c>
      <c r="I7814">
        <v>39002</v>
      </c>
      <c r="J7814">
        <v>46229</v>
      </c>
    </row>
    <row r="7815" spans="1:10" x14ac:dyDescent="0.3">
      <c r="A7815" t="s">
        <v>7942</v>
      </c>
      <c r="B7815" s="1">
        <v>45958</v>
      </c>
      <c r="C7815" t="s">
        <v>66</v>
      </c>
      <c r="D7815">
        <v>44</v>
      </c>
      <c r="E7815" t="s">
        <v>70</v>
      </c>
      <c r="F7815" t="s">
        <v>87</v>
      </c>
      <c r="G7815" t="s">
        <v>137</v>
      </c>
      <c r="H7815" t="s">
        <v>119</v>
      </c>
      <c r="I7815">
        <v>28897</v>
      </c>
      <c r="J7815">
        <v>27932</v>
      </c>
    </row>
    <row r="7816" spans="1:10" x14ac:dyDescent="0.3">
      <c r="A7816" t="s">
        <v>7943</v>
      </c>
      <c r="B7816" s="1">
        <v>45898</v>
      </c>
      <c r="C7816" t="s">
        <v>113</v>
      </c>
      <c r="D7816">
        <v>35</v>
      </c>
      <c r="E7816" t="s">
        <v>39</v>
      </c>
      <c r="F7816" t="s">
        <v>122</v>
      </c>
      <c r="G7816" t="s">
        <v>83</v>
      </c>
      <c r="H7816" t="s">
        <v>48</v>
      </c>
      <c r="I7816">
        <v>17052</v>
      </c>
      <c r="J7816">
        <v>14151</v>
      </c>
    </row>
    <row r="7817" spans="1:10" x14ac:dyDescent="0.3">
      <c r="A7817" t="s">
        <v>7944</v>
      </c>
      <c r="B7817" s="1">
        <v>45962</v>
      </c>
      <c r="C7817" t="s">
        <v>23</v>
      </c>
      <c r="D7817">
        <v>44</v>
      </c>
      <c r="E7817" t="s">
        <v>61</v>
      </c>
      <c r="F7817" t="s">
        <v>87</v>
      </c>
      <c r="G7817" t="s">
        <v>58</v>
      </c>
      <c r="H7817" t="s">
        <v>52</v>
      </c>
      <c r="I7817">
        <v>28656</v>
      </c>
      <c r="J7817">
        <v>32813</v>
      </c>
    </row>
    <row r="7818" spans="1:10" x14ac:dyDescent="0.3">
      <c r="A7818" t="s">
        <v>7945</v>
      </c>
      <c r="B7818" s="1">
        <v>46004</v>
      </c>
      <c r="C7818" t="s">
        <v>100</v>
      </c>
      <c r="D7818">
        <v>50</v>
      </c>
      <c r="E7818" t="s">
        <v>24</v>
      </c>
      <c r="F7818" t="s">
        <v>87</v>
      </c>
      <c r="G7818" t="s">
        <v>230</v>
      </c>
      <c r="H7818" t="s">
        <v>133</v>
      </c>
      <c r="I7818">
        <v>24304</v>
      </c>
      <c r="J7818">
        <v>19015</v>
      </c>
    </row>
    <row r="7819" spans="1:10" x14ac:dyDescent="0.3">
      <c r="A7819" t="s">
        <v>7946</v>
      </c>
      <c r="B7819" s="1">
        <v>45784</v>
      </c>
      <c r="C7819" t="s">
        <v>90</v>
      </c>
      <c r="D7819">
        <v>19</v>
      </c>
      <c r="E7819" t="s">
        <v>24</v>
      </c>
      <c r="F7819" t="s">
        <v>92</v>
      </c>
      <c r="G7819" t="s">
        <v>58</v>
      </c>
      <c r="H7819" t="s">
        <v>243</v>
      </c>
      <c r="I7819">
        <v>28666</v>
      </c>
      <c r="J7819">
        <v>28901</v>
      </c>
    </row>
    <row r="7820" spans="1:10" x14ac:dyDescent="0.3">
      <c r="A7820" t="s">
        <v>7947</v>
      </c>
      <c r="B7820" s="1">
        <v>46014</v>
      </c>
      <c r="C7820" t="s">
        <v>100</v>
      </c>
      <c r="D7820">
        <v>52</v>
      </c>
      <c r="E7820" t="s">
        <v>18</v>
      </c>
      <c r="F7820" t="s">
        <v>43</v>
      </c>
      <c r="G7820" t="s">
        <v>206</v>
      </c>
      <c r="H7820" t="s">
        <v>151</v>
      </c>
      <c r="I7820">
        <v>32373</v>
      </c>
      <c r="J7820">
        <v>31281</v>
      </c>
    </row>
    <row r="7821" spans="1:10" x14ac:dyDescent="0.3">
      <c r="A7821" t="s">
        <v>7948</v>
      </c>
      <c r="B7821" s="1">
        <v>45779</v>
      </c>
      <c r="C7821" t="s">
        <v>90</v>
      </c>
      <c r="D7821">
        <v>18</v>
      </c>
      <c r="E7821" t="s">
        <v>70</v>
      </c>
      <c r="F7821" t="s">
        <v>57</v>
      </c>
      <c r="G7821" t="s">
        <v>182</v>
      </c>
      <c r="H7821" t="s">
        <v>243</v>
      </c>
      <c r="I7821">
        <v>23398</v>
      </c>
      <c r="J7821">
        <v>16527</v>
      </c>
    </row>
    <row r="7822" spans="1:10" x14ac:dyDescent="0.3">
      <c r="A7822" t="s">
        <v>7949</v>
      </c>
      <c r="B7822" s="1">
        <v>45724</v>
      </c>
      <c r="C7822" t="s">
        <v>95</v>
      </c>
      <c r="D7822">
        <v>10</v>
      </c>
      <c r="E7822" t="s">
        <v>33</v>
      </c>
      <c r="F7822" t="s">
        <v>75</v>
      </c>
      <c r="G7822" t="s">
        <v>118</v>
      </c>
      <c r="H7822" t="s">
        <v>133</v>
      </c>
      <c r="I7822">
        <v>16960</v>
      </c>
      <c r="J7822">
        <v>14668</v>
      </c>
    </row>
    <row r="7823" spans="1:10" x14ac:dyDescent="0.3">
      <c r="A7823" t="s">
        <v>7950</v>
      </c>
      <c r="B7823" s="1">
        <v>45753</v>
      </c>
      <c r="C7823" t="s">
        <v>86</v>
      </c>
      <c r="D7823">
        <v>14</v>
      </c>
      <c r="E7823" t="s">
        <v>12</v>
      </c>
      <c r="F7823" t="s">
        <v>140</v>
      </c>
      <c r="G7823" t="s">
        <v>191</v>
      </c>
      <c r="H7823" t="s">
        <v>48</v>
      </c>
      <c r="I7823">
        <v>18986</v>
      </c>
      <c r="J7823">
        <v>22145</v>
      </c>
    </row>
    <row r="7824" spans="1:10" x14ac:dyDescent="0.3">
      <c r="A7824" t="s">
        <v>7951</v>
      </c>
      <c r="B7824" s="1">
        <v>45782</v>
      </c>
      <c r="C7824" t="s">
        <v>90</v>
      </c>
      <c r="D7824">
        <v>19</v>
      </c>
      <c r="E7824" t="s">
        <v>70</v>
      </c>
      <c r="F7824" t="s">
        <v>19</v>
      </c>
      <c r="G7824" t="s">
        <v>30</v>
      </c>
      <c r="H7824" t="s">
        <v>84</v>
      </c>
      <c r="I7824">
        <v>28004</v>
      </c>
      <c r="J7824">
        <v>23898</v>
      </c>
    </row>
    <row r="7825" spans="1:10" x14ac:dyDescent="0.3">
      <c r="A7825" t="s">
        <v>7952</v>
      </c>
      <c r="B7825" s="1">
        <v>45934</v>
      </c>
      <c r="C7825" t="s">
        <v>66</v>
      </c>
      <c r="D7825">
        <v>40</v>
      </c>
      <c r="E7825" t="s">
        <v>18</v>
      </c>
      <c r="F7825" t="s">
        <v>29</v>
      </c>
      <c r="G7825" t="s">
        <v>240</v>
      </c>
      <c r="H7825" t="s">
        <v>151</v>
      </c>
      <c r="I7825">
        <v>36872</v>
      </c>
      <c r="J7825">
        <v>30597</v>
      </c>
    </row>
    <row r="7826" spans="1:10" x14ac:dyDescent="0.3">
      <c r="A7826" t="s">
        <v>7953</v>
      </c>
      <c r="B7826" s="1">
        <v>45672</v>
      </c>
      <c r="C7826" t="s">
        <v>17</v>
      </c>
      <c r="D7826">
        <v>3</v>
      </c>
      <c r="E7826" t="s">
        <v>12</v>
      </c>
      <c r="F7826" t="s">
        <v>92</v>
      </c>
      <c r="G7826" t="s">
        <v>14</v>
      </c>
      <c r="H7826" t="s">
        <v>111</v>
      </c>
      <c r="I7826">
        <v>19927</v>
      </c>
      <c r="J7826">
        <v>22430</v>
      </c>
    </row>
    <row r="7827" spans="1:10" x14ac:dyDescent="0.3">
      <c r="A7827" t="s">
        <v>7954</v>
      </c>
      <c r="B7827" s="1">
        <v>45663</v>
      </c>
      <c r="C7827" t="s">
        <v>17</v>
      </c>
      <c r="D7827">
        <v>2</v>
      </c>
      <c r="E7827" t="s">
        <v>12</v>
      </c>
      <c r="F7827" t="s">
        <v>62</v>
      </c>
      <c r="G7827" t="s">
        <v>128</v>
      </c>
      <c r="H7827" t="s">
        <v>96</v>
      </c>
      <c r="I7827">
        <v>23133</v>
      </c>
      <c r="J7827">
        <v>22974</v>
      </c>
    </row>
    <row r="7828" spans="1:10" x14ac:dyDescent="0.3">
      <c r="A7828" t="s">
        <v>7955</v>
      </c>
      <c r="B7828" s="1">
        <v>45869</v>
      </c>
      <c r="C7828" t="s">
        <v>11</v>
      </c>
      <c r="D7828">
        <v>31</v>
      </c>
      <c r="E7828" t="s">
        <v>12</v>
      </c>
      <c r="F7828" t="s">
        <v>87</v>
      </c>
      <c r="G7828" t="s">
        <v>147</v>
      </c>
      <c r="H7828" t="s">
        <v>59</v>
      </c>
      <c r="I7828">
        <v>30964</v>
      </c>
      <c r="J7828">
        <v>31445</v>
      </c>
    </row>
    <row r="7829" spans="1:10" x14ac:dyDescent="0.3">
      <c r="A7829" t="s">
        <v>7956</v>
      </c>
      <c r="B7829" s="1">
        <v>45903</v>
      </c>
      <c r="C7829" t="s">
        <v>38</v>
      </c>
      <c r="D7829">
        <v>36</v>
      </c>
      <c r="E7829" t="s">
        <v>24</v>
      </c>
      <c r="F7829" t="s">
        <v>19</v>
      </c>
      <c r="G7829" t="s">
        <v>54</v>
      </c>
      <c r="H7829" t="s">
        <v>15</v>
      </c>
      <c r="I7829">
        <v>23886</v>
      </c>
      <c r="J7829">
        <v>17094</v>
      </c>
    </row>
    <row r="7830" spans="1:10" x14ac:dyDescent="0.3">
      <c r="A7830" t="s">
        <v>7957</v>
      </c>
      <c r="B7830" s="1">
        <v>45891</v>
      </c>
      <c r="C7830" t="s">
        <v>113</v>
      </c>
      <c r="D7830">
        <v>34</v>
      </c>
      <c r="E7830" t="s">
        <v>70</v>
      </c>
      <c r="F7830" t="s">
        <v>78</v>
      </c>
      <c r="G7830" t="s">
        <v>266</v>
      </c>
      <c r="H7830" t="s">
        <v>15</v>
      </c>
      <c r="I7830">
        <v>15942</v>
      </c>
      <c r="J7830">
        <v>15732</v>
      </c>
    </row>
    <row r="7831" spans="1:10" x14ac:dyDescent="0.3">
      <c r="A7831" t="s">
        <v>7958</v>
      </c>
      <c r="B7831" s="1">
        <v>45957</v>
      </c>
      <c r="C7831" t="s">
        <v>66</v>
      </c>
      <c r="D7831">
        <v>44</v>
      </c>
      <c r="E7831" t="s">
        <v>61</v>
      </c>
      <c r="F7831" t="s">
        <v>50</v>
      </c>
      <c r="G7831" t="s">
        <v>67</v>
      </c>
      <c r="H7831" t="s">
        <v>155</v>
      </c>
      <c r="I7831">
        <v>38789</v>
      </c>
      <c r="J7831">
        <v>36512</v>
      </c>
    </row>
    <row r="7832" spans="1:10" x14ac:dyDescent="0.3">
      <c r="A7832" t="s">
        <v>7959</v>
      </c>
      <c r="B7832" s="1">
        <v>45872</v>
      </c>
      <c r="C7832" t="s">
        <v>113</v>
      </c>
      <c r="D7832">
        <v>31</v>
      </c>
      <c r="E7832" t="s">
        <v>12</v>
      </c>
      <c r="F7832" t="s">
        <v>57</v>
      </c>
      <c r="G7832" t="s">
        <v>130</v>
      </c>
      <c r="H7832" t="s">
        <v>163</v>
      </c>
      <c r="I7832">
        <v>31214</v>
      </c>
      <c r="J7832">
        <v>25820</v>
      </c>
    </row>
    <row r="7833" spans="1:10" x14ac:dyDescent="0.3">
      <c r="A7833" t="s">
        <v>7960</v>
      </c>
      <c r="B7833" s="1">
        <v>45689</v>
      </c>
      <c r="C7833" t="s">
        <v>82</v>
      </c>
      <c r="D7833">
        <v>5</v>
      </c>
      <c r="E7833" t="s">
        <v>18</v>
      </c>
      <c r="F7833" t="s">
        <v>101</v>
      </c>
      <c r="G7833" t="s">
        <v>135</v>
      </c>
      <c r="H7833" t="s">
        <v>80</v>
      </c>
      <c r="I7833">
        <v>28819</v>
      </c>
      <c r="J7833">
        <v>22043</v>
      </c>
    </row>
    <row r="7834" spans="1:10" x14ac:dyDescent="0.3">
      <c r="A7834" t="s">
        <v>7961</v>
      </c>
      <c r="B7834" s="1">
        <v>45989</v>
      </c>
      <c r="C7834" t="s">
        <v>23</v>
      </c>
      <c r="D7834">
        <v>48</v>
      </c>
      <c r="E7834" t="s">
        <v>18</v>
      </c>
      <c r="F7834" t="s">
        <v>140</v>
      </c>
      <c r="G7834" t="s">
        <v>234</v>
      </c>
      <c r="H7834" t="s">
        <v>68</v>
      </c>
      <c r="I7834">
        <v>21548</v>
      </c>
      <c r="J7834">
        <v>19112</v>
      </c>
    </row>
    <row r="7835" spans="1:10" x14ac:dyDescent="0.3">
      <c r="A7835" t="s">
        <v>7962</v>
      </c>
      <c r="B7835" s="1">
        <v>45982</v>
      </c>
      <c r="C7835" t="s">
        <v>23</v>
      </c>
      <c r="D7835">
        <v>47</v>
      </c>
      <c r="E7835" t="s">
        <v>39</v>
      </c>
      <c r="F7835" t="s">
        <v>122</v>
      </c>
      <c r="G7835" t="s">
        <v>182</v>
      </c>
      <c r="H7835" t="s">
        <v>111</v>
      </c>
      <c r="I7835">
        <v>39563</v>
      </c>
      <c r="J7835">
        <v>31540</v>
      </c>
    </row>
    <row r="7836" spans="1:10" x14ac:dyDescent="0.3">
      <c r="A7836" t="s">
        <v>7963</v>
      </c>
      <c r="B7836" s="1">
        <v>45972</v>
      </c>
      <c r="C7836" t="s">
        <v>23</v>
      </c>
      <c r="D7836">
        <v>46</v>
      </c>
      <c r="E7836" t="s">
        <v>61</v>
      </c>
      <c r="F7836" t="s">
        <v>122</v>
      </c>
      <c r="G7836" t="s">
        <v>132</v>
      </c>
      <c r="H7836" t="s">
        <v>68</v>
      </c>
      <c r="I7836">
        <v>21807</v>
      </c>
      <c r="J7836">
        <v>25337</v>
      </c>
    </row>
    <row r="7837" spans="1:10" x14ac:dyDescent="0.3">
      <c r="A7837" t="s">
        <v>7964</v>
      </c>
      <c r="B7837" s="1">
        <v>45812</v>
      </c>
      <c r="C7837" t="s">
        <v>74</v>
      </c>
      <c r="D7837">
        <v>23</v>
      </c>
      <c r="E7837" t="s">
        <v>61</v>
      </c>
      <c r="F7837" t="s">
        <v>29</v>
      </c>
      <c r="G7837" t="s">
        <v>253</v>
      </c>
      <c r="H7837" t="s">
        <v>52</v>
      </c>
      <c r="I7837">
        <v>36357</v>
      </c>
      <c r="J7837">
        <v>33596</v>
      </c>
    </row>
    <row r="7838" spans="1:10" x14ac:dyDescent="0.3">
      <c r="A7838" t="s">
        <v>7965</v>
      </c>
      <c r="B7838" s="1">
        <v>45892</v>
      </c>
      <c r="C7838" t="s">
        <v>113</v>
      </c>
      <c r="D7838">
        <v>34</v>
      </c>
      <c r="E7838" t="s">
        <v>39</v>
      </c>
      <c r="F7838" t="s">
        <v>62</v>
      </c>
      <c r="G7838" t="s">
        <v>58</v>
      </c>
      <c r="H7838" t="s">
        <v>80</v>
      </c>
      <c r="I7838">
        <v>37003</v>
      </c>
      <c r="J7838">
        <v>39979</v>
      </c>
    </row>
    <row r="7839" spans="1:10" x14ac:dyDescent="0.3">
      <c r="A7839" t="s">
        <v>7966</v>
      </c>
      <c r="B7839" s="1">
        <v>45886</v>
      </c>
      <c r="C7839" t="s">
        <v>113</v>
      </c>
      <c r="D7839">
        <v>33</v>
      </c>
      <c r="E7839" t="s">
        <v>70</v>
      </c>
      <c r="F7839" t="s">
        <v>122</v>
      </c>
      <c r="G7839" t="s">
        <v>324</v>
      </c>
      <c r="H7839" t="s">
        <v>116</v>
      </c>
      <c r="I7839">
        <v>29578</v>
      </c>
      <c r="J7839">
        <v>31581</v>
      </c>
    </row>
    <row r="7840" spans="1:10" x14ac:dyDescent="0.3">
      <c r="A7840" t="s">
        <v>7967</v>
      </c>
      <c r="B7840" s="1">
        <v>45761</v>
      </c>
      <c r="C7840" t="s">
        <v>86</v>
      </c>
      <c r="D7840">
        <v>16</v>
      </c>
      <c r="E7840" t="s">
        <v>24</v>
      </c>
      <c r="F7840" t="s">
        <v>34</v>
      </c>
      <c r="G7840" t="s">
        <v>83</v>
      </c>
      <c r="H7840" t="s">
        <v>68</v>
      </c>
      <c r="I7840">
        <v>39809</v>
      </c>
      <c r="J7840">
        <v>44134</v>
      </c>
    </row>
    <row r="7841" spans="1:10" x14ac:dyDescent="0.3">
      <c r="A7841" t="s">
        <v>7968</v>
      </c>
      <c r="B7841" s="1">
        <v>45940</v>
      </c>
      <c r="C7841" t="s">
        <v>66</v>
      </c>
      <c r="D7841">
        <v>41</v>
      </c>
      <c r="E7841" t="s">
        <v>24</v>
      </c>
      <c r="F7841" t="s">
        <v>122</v>
      </c>
      <c r="G7841" t="s">
        <v>102</v>
      </c>
      <c r="H7841" t="s">
        <v>157</v>
      </c>
      <c r="I7841">
        <v>21193</v>
      </c>
      <c r="J7841">
        <v>21445</v>
      </c>
    </row>
    <row r="7842" spans="1:10" x14ac:dyDescent="0.3">
      <c r="A7842" t="s">
        <v>7969</v>
      </c>
      <c r="B7842" s="1">
        <v>45890</v>
      </c>
      <c r="C7842" t="s">
        <v>113</v>
      </c>
      <c r="D7842">
        <v>34</v>
      </c>
      <c r="E7842" t="s">
        <v>12</v>
      </c>
      <c r="F7842" t="s">
        <v>122</v>
      </c>
      <c r="G7842" t="s">
        <v>83</v>
      </c>
      <c r="H7842" t="s">
        <v>55</v>
      </c>
      <c r="I7842">
        <v>18163</v>
      </c>
      <c r="J7842">
        <v>22710</v>
      </c>
    </row>
    <row r="7843" spans="1:10" x14ac:dyDescent="0.3">
      <c r="A7843" t="s">
        <v>7970</v>
      </c>
      <c r="B7843" s="1">
        <v>45899</v>
      </c>
      <c r="C7843" t="s">
        <v>113</v>
      </c>
      <c r="D7843">
        <v>35</v>
      </c>
      <c r="E7843" t="s">
        <v>24</v>
      </c>
      <c r="F7843" t="s">
        <v>78</v>
      </c>
      <c r="G7843" t="s">
        <v>291</v>
      </c>
      <c r="H7843" t="s">
        <v>119</v>
      </c>
      <c r="I7843">
        <v>17543</v>
      </c>
      <c r="J7843">
        <v>15329</v>
      </c>
    </row>
    <row r="7844" spans="1:10" x14ac:dyDescent="0.3">
      <c r="A7844" t="s">
        <v>7971</v>
      </c>
      <c r="B7844" s="1">
        <v>45921</v>
      </c>
      <c r="C7844" t="s">
        <v>38</v>
      </c>
      <c r="D7844">
        <v>38</v>
      </c>
      <c r="E7844" t="s">
        <v>61</v>
      </c>
      <c r="F7844" t="s">
        <v>193</v>
      </c>
      <c r="G7844" t="s">
        <v>115</v>
      </c>
      <c r="H7844" t="s">
        <v>84</v>
      </c>
      <c r="I7844">
        <v>17152</v>
      </c>
      <c r="J7844">
        <v>12625</v>
      </c>
    </row>
    <row r="7845" spans="1:10" x14ac:dyDescent="0.3">
      <c r="A7845" t="s">
        <v>7972</v>
      </c>
      <c r="B7845" s="1">
        <v>45791</v>
      </c>
      <c r="C7845" t="s">
        <v>90</v>
      </c>
      <c r="D7845">
        <v>20</v>
      </c>
      <c r="E7845" t="s">
        <v>12</v>
      </c>
      <c r="F7845" t="s">
        <v>46</v>
      </c>
      <c r="G7845" t="s">
        <v>63</v>
      </c>
      <c r="H7845" t="s">
        <v>211</v>
      </c>
      <c r="I7845">
        <v>20147</v>
      </c>
      <c r="J7845">
        <v>15305</v>
      </c>
    </row>
    <row r="7846" spans="1:10" x14ac:dyDescent="0.3">
      <c r="A7846" t="s">
        <v>7973</v>
      </c>
      <c r="B7846" s="1">
        <v>45855</v>
      </c>
      <c r="C7846" t="s">
        <v>11</v>
      </c>
      <c r="D7846">
        <v>29</v>
      </c>
      <c r="E7846" t="s">
        <v>33</v>
      </c>
      <c r="F7846" t="s">
        <v>109</v>
      </c>
      <c r="G7846" t="s">
        <v>72</v>
      </c>
      <c r="H7846" t="s">
        <v>165</v>
      </c>
      <c r="I7846">
        <v>31138</v>
      </c>
      <c r="J7846">
        <v>22706</v>
      </c>
    </row>
    <row r="7847" spans="1:10" x14ac:dyDescent="0.3">
      <c r="A7847" t="s">
        <v>7974</v>
      </c>
      <c r="B7847" s="1">
        <v>45795</v>
      </c>
      <c r="C7847" t="s">
        <v>90</v>
      </c>
      <c r="D7847">
        <v>20</v>
      </c>
      <c r="E7847" t="s">
        <v>18</v>
      </c>
      <c r="F7847" t="s">
        <v>62</v>
      </c>
      <c r="G7847" t="s">
        <v>79</v>
      </c>
      <c r="H7847" t="s">
        <v>80</v>
      </c>
      <c r="I7847">
        <v>23538</v>
      </c>
      <c r="J7847">
        <v>27587</v>
      </c>
    </row>
    <row r="7848" spans="1:10" x14ac:dyDescent="0.3">
      <c r="A7848" t="s">
        <v>7975</v>
      </c>
      <c r="B7848" s="1">
        <v>45784</v>
      </c>
      <c r="C7848" t="s">
        <v>90</v>
      </c>
      <c r="D7848">
        <v>19</v>
      </c>
      <c r="E7848" t="s">
        <v>24</v>
      </c>
      <c r="F7848" t="s">
        <v>75</v>
      </c>
      <c r="G7848" t="s">
        <v>76</v>
      </c>
      <c r="H7848" t="s">
        <v>211</v>
      </c>
      <c r="I7848">
        <v>24381</v>
      </c>
      <c r="J7848">
        <v>29674</v>
      </c>
    </row>
    <row r="7849" spans="1:10" x14ac:dyDescent="0.3">
      <c r="A7849" t="s">
        <v>7976</v>
      </c>
      <c r="B7849" s="1">
        <v>45804</v>
      </c>
      <c r="C7849" t="s">
        <v>90</v>
      </c>
      <c r="D7849">
        <v>22</v>
      </c>
      <c r="E7849" t="s">
        <v>61</v>
      </c>
      <c r="F7849" t="s">
        <v>109</v>
      </c>
      <c r="G7849" t="s">
        <v>326</v>
      </c>
      <c r="H7849" t="s">
        <v>123</v>
      </c>
      <c r="I7849">
        <v>25278</v>
      </c>
      <c r="J7849">
        <v>24415</v>
      </c>
    </row>
    <row r="7850" spans="1:10" x14ac:dyDescent="0.3">
      <c r="A7850" t="s">
        <v>7977</v>
      </c>
      <c r="B7850" s="1">
        <v>45941</v>
      </c>
      <c r="C7850" t="s">
        <v>66</v>
      </c>
      <c r="D7850">
        <v>41</v>
      </c>
      <c r="E7850" t="s">
        <v>24</v>
      </c>
      <c r="F7850" t="s">
        <v>78</v>
      </c>
      <c r="G7850" t="s">
        <v>63</v>
      </c>
      <c r="H7850" t="s">
        <v>133</v>
      </c>
      <c r="I7850">
        <v>21507</v>
      </c>
      <c r="J7850">
        <v>26172</v>
      </c>
    </row>
    <row r="7851" spans="1:10" x14ac:dyDescent="0.3">
      <c r="A7851" t="s">
        <v>7978</v>
      </c>
      <c r="B7851" s="1">
        <v>45776</v>
      </c>
      <c r="C7851" t="s">
        <v>86</v>
      </c>
      <c r="D7851">
        <v>18</v>
      </c>
      <c r="E7851" t="s">
        <v>70</v>
      </c>
      <c r="F7851" t="s">
        <v>34</v>
      </c>
      <c r="G7851" t="s">
        <v>266</v>
      </c>
      <c r="H7851" t="s">
        <v>151</v>
      </c>
      <c r="I7851">
        <v>19021</v>
      </c>
      <c r="J7851">
        <v>13707</v>
      </c>
    </row>
    <row r="7852" spans="1:10" x14ac:dyDescent="0.3">
      <c r="A7852" t="s">
        <v>7979</v>
      </c>
      <c r="B7852" s="1">
        <v>45884</v>
      </c>
      <c r="C7852" t="s">
        <v>113</v>
      </c>
      <c r="D7852">
        <v>33</v>
      </c>
      <c r="E7852" t="s">
        <v>18</v>
      </c>
      <c r="F7852" t="s">
        <v>46</v>
      </c>
      <c r="G7852" t="s">
        <v>83</v>
      </c>
      <c r="H7852" t="s">
        <v>211</v>
      </c>
      <c r="I7852">
        <v>17807</v>
      </c>
      <c r="J7852">
        <v>12639</v>
      </c>
    </row>
    <row r="7853" spans="1:10" x14ac:dyDescent="0.3">
      <c r="A7853" t="s">
        <v>7980</v>
      </c>
      <c r="B7853" s="1">
        <v>45724</v>
      </c>
      <c r="C7853" t="s">
        <v>95</v>
      </c>
      <c r="D7853">
        <v>10</v>
      </c>
      <c r="E7853" t="s">
        <v>33</v>
      </c>
      <c r="F7853" t="s">
        <v>101</v>
      </c>
      <c r="G7853" t="s">
        <v>224</v>
      </c>
      <c r="H7853" t="s">
        <v>111</v>
      </c>
      <c r="I7853">
        <v>35074</v>
      </c>
      <c r="J7853">
        <v>32640</v>
      </c>
    </row>
    <row r="7854" spans="1:10" x14ac:dyDescent="0.3">
      <c r="A7854" t="s">
        <v>7981</v>
      </c>
      <c r="B7854" s="1">
        <v>45948</v>
      </c>
      <c r="C7854" t="s">
        <v>66</v>
      </c>
      <c r="D7854">
        <v>42</v>
      </c>
      <c r="E7854" t="s">
        <v>24</v>
      </c>
      <c r="F7854" t="s">
        <v>140</v>
      </c>
      <c r="G7854" t="s">
        <v>145</v>
      </c>
      <c r="H7854" t="s">
        <v>84</v>
      </c>
      <c r="I7854">
        <v>23558</v>
      </c>
      <c r="J7854">
        <v>21352</v>
      </c>
    </row>
    <row r="7855" spans="1:10" x14ac:dyDescent="0.3">
      <c r="A7855" t="s">
        <v>7982</v>
      </c>
      <c r="B7855" s="1">
        <v>45950</v>
      </c>
      <c r="C7855" t="s">
        <v>66</v>
      </c>
      <c r="D7855">
        <v>43</v>
      </c>
      <c r="E7855" t="s">
        <v>12</v>
      </c>
      <c r="F7855" t="s">
        <v>29</v>
      </c>
      <c r="G7855" t="s">
        <v>88</v>
      </c>
      <c r="H7855" t="s">
        <v>84</v>
      </c>
      <c r="I7855">
        <v>38365</v>
      </c>
      <c r="J7855">
        <v>32115</v>
      </c>
    </row>
    <row r="7856" spans="1:10" x14ac:dyDescent="0.3">
      <c r="A7856" t="s">
        <v>7983</v>
      </c>
      <c r="B7856" s="1">
        <v>45967</v>
      </c>
      <c r="C7856" t="s">
        <v>23</v>
      </c>
      <c r="D7856">
        <v>45</v>
      </c>
      <c r="E7856" t="s">
        <v>61</v>
      </c>
      <c r="F7856" t="s">
        <v>29</v>
      </c>
      <c r="G7856" t="s">
        <v>72</v>
      </c>
      <c r="H7856" t="s">
        <v>151</v>
      </c>
      <c r="I7856">
        <v>30806</v>
      </c>
      <c r="J7856">
        <v>33939</v>
      </c>
    </row>
    <row r="7857" spans="1:10" x14ac:dyDescent="0.3">
      <c r="A7857" t="s">
        <v>7984</v>
      </c>
      <c r="B7857" s="1">
        <v>45912</v>
      </c>
      <c r="C7857" t="s">
        <v>38</v>
      </c>
      <c r="D7857">
        <v>37</v>
      </c>
      <c r="E7857" t="s">
        <v>39</v>
      </c>
      <c r="F7857" t="s">
        <v>101</v>
      </c>
      <c r="G7857" t="s">
        <v>26</v>
      </c>
      <c r="H7857" t="s">
        <v>98</v>
      </c>
      <c r="I7857">
        <v>18087</v>
      </c>
      <c r="J7857">
        <v>20140</v>
      </c>
    </row>
    <row r="7858" spans="1:10" x14ac:dyDescent="0.3">
      <c r="A7858" t="s">
        <v>7985</v>
      </c>
      <c r="B7858" s="1">
        <v>45794</v>
      </c>
      <c r="C7858" t="s">
        <v>90</v>
      </c>
      <c r="D7858">
        <v>20</v>
      </c>
      <c r="E7858" t="s">
        <v>18</v>
      </c>
      <c r="F7858" t="s">
        <v>62</v>
      </c>
      <c r="G7858" t="s">
        <v>253</v>
      </c>
      <c r="H7858" t="s">
        <v>27</v>
      </c>
      <c r="I7858">
        <v>35298</v>
      </c>
      <c r="J7858">
        <v>27444</v>
      </c>
    </row>
    <row r="7859" spans="1:10" x14ac:dyDescent="0.3">
      <c r="A7859" t="s">
        <v>7986</v>
      </c>
      <c r="B7859" s="1">
        <v>45954</v>
      </c>
      <c r="C7859" t="s">
        <v>66</v>
      </c>
      <c r="D7859">
        <v>43</v>
      </c>
      <c r="E7859" t="s">
        <v>70</v>
      </c>
      <c r="F7859" t="s">
        <v>109</v>
      </c>
      <c r="G7859" t="s">
        <v>35</v>
      </c>
      <c r="H7859" t="s">
        <v>41</v>
      </c>
      <c r="I7859">
        <v>27999</v>
      </c>
      <c r="J7859">
        <v>28206</v>
      </c>
    </row>
    <row r="7860" spans="1:10" x14ac:dyDescent="0.3">
      <c r="A7860" t="s">
        <v>7987</v>
      </c>
      <c r="B7860" s="1">
        <v>45870</v>
      </c>
      <c r="C7860" t="s">
        <v>113</v>
      </c>
      <c r="D7860">
        <v>31</v>
      </c>
      <c r="E7860" t="s">
        <v>61</v>
      </c>
      <c r="F7860" t="s">
        <v>57</v>
      </c>
      <c r="G7860" t="s">
        <v>51</v>
      </c>
      <c r="H7860" t="s">
        <v>103</v>
      </c>
      <c r="I7860">
        <v>31918</v>
      </c>
      <c r="J7860">
        <v>26267</v>
      </c>
    </row>
    <row r="7861" spans="1:10" x14ac:dyDescent="0.3">
      <c r="A7861" t="s">
        <v>7988</v>
      </c>
      <c r="B7861" s="1">
        <v>45884</v>
      </c>
      <c r="C7861" t="s">
        <v>113</v>
      </c>
      <c r="D7861">
        <v>33</v>
      </c>
      <c r="E7861" t="s">
        <v>61</v>
      </c>
      <c r="F7861" t="s">
        <v>50</v>
      </c>
      <c r="G7861" t="s">
        <v>58</v>
      </c>
      <c r="H7861" t="s">
        <v>188</v>
      </c>
      <c r="I7861">
        <v>23635</v>
      </c>
      <c r="J7861">
        <v>29174</v>
      </c>
    </row>
    <row r="7862" spans="1:10" x14ac:dyDescent="0.3">
      <c r="A7862" t="s">
        <v>7989</v>
      </c>
      <c r="B7862" s="1">
        <v>45988</v>
      </c>
      <c r="C7862" t="s">
        <v>23</v>
      </c>
      <c r="D7862">
        <v>48</v>
      </c>
      <c r="E7862" t="s">
        <v>33</v>
      </c>
      <c r="F7862" t="s">
        <v>101</v>
      </c>
      <c r="G7862" t="s">
        <v>230</v>
      </c>
      <c r="H7862" t="s">
        <v>55</v>
      </c>
      <c r="I7862">
        <v>23009</v>
      </c>
      <c r="J7862">
        <v>24332</v>
      </c>
    </row>
    <row r="7863" spans="1:10" x14ac:dyDescent="0.3">
      <c r="A7863" t="s">
        <v>7990</v>
      </c>
      <c r="B7863" s="1">
        <v>45934</v>
      </c>
      <c r="C7863" t="s">
        <v>66</v>
      </c>
      <c r="D7863">
        <v>40</v>
      </c>
      <c r="E7863" t="s">
        <v>12</v>
      </c>
      <c r="F7863" t="s">
        <v>101</v>
      </c>
      <c r="G7863" t="s">
        <v>26</v>
      </c>
      <c r="H7863" t="s">
        <v>155</v>
      </c>
      <c r="I7863">
        <v>17483</v>
      </c>
      <c r="J7863">
        <v>12858</v>
      </c>
    </row>
    <row r="7864" spans="1:10" x14ac:dyDescent="0.3">
      <c r="A7864" t="s">
        <v>7991</v>
      </c>
      <c r="B7864" s="1">
        <v>45663</v>
      </c>
      <c r="C7864" t="s">
        <v>17</v>
      </c>
      <c r="D7864">
        <v>2</v>
      </c>
      <c r="E7864" t="s">
        <v>12</v>
      </c>
      <c r="F7864" t="s">
        <v>193</v>
      </c>
      <c r="G7864" t="s">
        <v>88</v>
      </c>
      <c r="H7864" t="s">
        <v>243</v>
      </c>
      <c r="I7864">
        <v>25631</v>
      </c>
      <c r="J7864">
        <v>30155</v>
      </c>
    </row>
    <row r="7865" spans="1:10" x14ac:dyDescent="0.3">
      <c r="A7865" t="s">
        <v>7992</v>
      </c>
      <c r="B7865" s="1">
        <v>45724</v>
      </c>
      <c r="C7865" t="s">
        <v>95</v>
      </c>
      <c r="D7865">
        <v>10</v>
      </c>
      <c r="E7865" t="s">
        <v>39</v>
      </c>
      <c r="F7865" t="s">
        <v>46</v>
      </c>
      <c r="G7865" t="s">
        <v>253</v>
      </c>
      <c r="H7865" t="s">
        <v>133</v>
      </c>
      <c r="I7865">
        <v>33032</v>
      </c>
      <c r="J7865">
        <v>23175</v>
      </c>
    </row>
    <row r="7866" spans="1:10" x14ac:dyDescent="0.3">
      <c r="A7866" t="s">
        <v>7993</v>
      </c>
      <c r="B7866" s="1">
        <v>45777</v>
      </c>
      <c r="C7866" t="s">
        <v>86</v>
      </c>
      <c r="D7866">
        <v>18</v>
      </c>
      <c r="E7866" t="s">
        <v>70</v>
      </c>
      <c r="F7866" t="s">
        <v>25</v>
      </c>
      <c r="G7866" t="s">
        <v>201</v>
      </c>
      <c r="H7866" t="s">
        <v>103</v>
      </c>
      <c r="I7866">
        <v>33119</v>
      </c>
      <c r="J7866">
        <v>29302</v>
      </c>
    </row>
    <row r="7867" spans="1:10" x14ac:dyDescent="0.3">
      <c r="A7867" t="s">
        <v>7994</v>
      </c>
      <c r="B7867" s="1">
        <v>45999</v>
      </c>
      <c r="C7867" t="s">
        <v>100</v>
      </c>
      <c r="D7867">
        <v>50</v>
      </c>
      <c r="E7867" t="s">
        <v>61</v>
      </c>
      <c r="F7867" t="s">
        <v>34</v>
      </c>
      <c r="G7867" t="s">
        <v>47</v>
      </c>
      <c r="H7867" t="s">
        <v>48</v>
      </c>
      <c r="I7867">
        <v>23303</v>
      </c>
      <c r="J7867">
        <v>19637</v>
      </c>
    </row>
    <row r="7868" spans="1:10" x14ac:dyDescent="0.3">
      <c r="A7868" t="s">
        <v>7995</v>
      </c>
      <c r="B7868" s="1">
        <v>45830</v>
      </c>
      <c r="C7868" t="s">
        <v>74</v>
      </c>
      <c r="D7868">
        <v>25</v>
      </c>
      <c r="E7868" t="s">
        <v>61</v>
      </c>
      <c r="F7868" t="s">
        <v>75</v>
      </c>
      <c r="G7868" t="s">
        <v>130</v>
      </c>
      <c r="H7868" t="s">
        <v>31</v>
      </c>
      <c r="I7868">
        <v>31337</v>
      </c>
      <c r="J7868">
        <v>29769</v>
      </c>
    </row>
    <row r="7869" spans="1:10" x14ac:dyDescent="0.3">
      <c r="A7869" t="s">
        <v>7996</v>
      </c>
      <c r="B7869" s="1">
        <v>45688</v>
      </c>
      <c r="C7869" t="s">
        <v>17</v>
      </c>
      <c r="D7869">
        <v>5</v>
      </c>
      <c r="E7869" t="s">
        <v>61</v>
      </c>
      <c r="F7869" t="s">
        <v>109</v>
      </c>
      <c r="G7869" t="s">
        <v>30</v>
      </c>
      <c r="H7869" t="s">
        <v>48</v>
      </c>
      <c r="I7869">
        <v>15473</v>
      </c>
      <c r="J7869">
        <v>12472</v>
      </c>
    </row>
    <row r="7870" spans="1:10" x14ac:dyDescent="0.3">
      <c r="A7870" t="s">
        <v>7997</v>
      </c>
      <c r="B7870" s="1">
        <v>45968</v>
      </c>
      <c r="C7870" t="s">
        <v>23</v>
      </c>
      <c r="D7870">
        <v>45</v>
      </c>
      <c r="E7870" t="s">
        <v>39</v>
      </c>
      <c r="F7870" t="s">
        <v>87</v>
      </c>
      <c r="G7870" t="s">
        <v>102</v>
      </c>
      <c r="H7870" t="s">
        <v>103</v>
      </c>
      <c r="I7870">
        <v>23696</v>
      </c>
      <c r="J7870">
        <v>26830</v>
      </c>
    </row>
    <row r="7871" spans="1:10" x14ac:dyDescent="0.3">
      <c r="A7871" t="s">
        <v>7998</v>
      </c>
      <c r="B7871" s="1">
        <v>45818</v>
      </c>
      <c r="C7871" t="s">
        <v>74</v>
      </c>
      <c r="D7871">
        <v>24</v>
      </c>
      <c r="E7871" t="s">
        <v>12</v>
      </c>
      <c r="F7871" t="s">
        <v>87</v>
      </c>
      <c r="G7871" t="s">
        <v>130</v>
      </c>
      <c r="H7871" t="s">
        <v>157</v>
      </c>
      <c r="I7871">
        <v>26324</v>
      </c>
      <c r="J7871">
        <v>18468</v>
      </c>
    </row>
    <row r="7872" spans="1:10" x14ac:dyDescent="0.3">
      <c r="A7872" t="s">
        <v>7999</v>
      </c>
      <c r="B7872" s="1">
        <v>45955</v>
      </c>
      <c r="C7872" t="s">
        <v>66</v>
      </c>
      <c r="D7872">
        <v>43</v>
      </c>
      <c r="E7872" t="s">
        <v>61</v>
      </c>
      <c r="F7872" t="s">
        <v>193</v>
      </c>
      <c r="G7872" t="s">
        <v>54</v>
      </c>
      <c r="H7872" t="s">
        <v>123</v>
      </c>
      <c r="I7872">
        <v>17253</v>
      </c>
      <c r="J7872">
        <v>21117</v>
      </c>
    </row>
    <row r="7873" spans="1:10" x14ac:dyDescent="0.3">
      <c r="A7873" t="s">
        <v>8000</v>
      </c>
      <c r="B7873" s="1">
        <v>46002</v>
      </c>
      <c r="C7873" t="s">
        <v>100</v>
      </c>
      <c r="D7873">
        <v>50</v>
      </c>
      <c r="E7873" t="s">
        <v>61</v>
      </c>
      <c r="F7873" t="s">
        <v>13</v>
      </c>
      <c r="G7873" t="s">
        <v>171</v>
      </c>
      <c r="H7873" t="s">
        <v>211</v>
      </c>
      <c r="I7873">
        <v>36262</v>
      </c>
      <c r="J7873">
        <v>27592</v>
      </c>
    </row>
    <row r="7874" spans="1:10" x14ac:dyDescent="0.3">
      <c r="A7874" t="s">
        <v>8001</v>
      </c>
      <c r="B7874" s="1">
        <v>45874</v>
      </c>
      <c r="C7874" t="s">
        <v>113</v>
      </c>
      <c r="D7874">
        <v>32</v>
      </c>
      <c r="E7874" t="s">
        <v>70</v>
      </c>
      <c r="F7874" t="s">
        <v>25</v>
      </c>
      <c r="G7874" t="s">
        <v>326</v>
      </c>
      <c r="H7874" t="s">
        <v>155</v>
      </c>
      <c r="I7874">
        <v>25195</v>
      </c>
      <c r="J7874">
        <v>24416</v>
      </c>
    </row>
    <row r="7875" spans="1:10" x14ac:dyDescent="0.3">
      <c r="A7875" t="s">
        <v>8002</v>
      </c>
      <c r="B7875" s="1">
        <v>45837</v>
      </c>
      <c r="C7875" t="s">
        <v>74</v>
      </c>
      <c r="D7875">
        <v>26</v>
      </c>
      <c r="E7875" t="s">
        <v>39</v>
      </c>
      <c r="F7875" t="s">
        <v>193</v>
      </c>
      <c r="G7875" t="s">
        <v>130</v>
      </c>
      <c r="H7875" t="s">
        <v>55</v>
      </c>
      <c r="I7875">
        <v>36145</v>
      </c>
      <c r="J7875">
        <v>45014</v>
      </c>
    </row>
    <row r="7876" spans="1:10" x14ac:dyDescent="0.3">
      <c r="A7876" t="s">
        <v>8003</v>
      </c>
      <c r="B7876" s="1">
        <v>45914</v>
      </c>
      <c r="C7876" t="s">
        <v>38</v>
      </c>
      <c r="D7876">
        <v>37</v>
      </c>
      <c r="E7876" t="s">
        <v>39</v>
      </c>
      <c r="F7876" t="s">
        <v>87</v>
      </c>
      <c r="G7876" t="s">
        <v>126</v>
      </c>
      <c r="H7876" t="s">
        <v>31</v>
      </c>
      <c r="I7876">
        <v>23658</v>
      </c>
      <c r="J7876">
        <v>17819</v>
      </c>
    </row>
    <row r="7877" spans="1:10" x14ac:dyDescent="0.3">
      <c r="A7877" t="s">
        <v>8004</v>
      </c>
      <c r="B7877" s="1">
        <v>45948</v>
      </c>
      <c r="C7877" t="s">
        <v>66</v>
      </c>
      <c r="D7877">
        <v>42</v>
      </c>
      <c r="E7877" t="s">
        <v>18</v>
      </c>
      <c r="F7877" t="s">
        <v>193</v>
      </c>
      <c r="G7877" t="s">
        <v>137</v>
      </c>
      <c r="H7877" t="s">
        <v>119</v>
      </c>
      <c r="I7877">
        <v>24381</v>
      </c>
      <c r="J7877">
        <v>23207</v>
      </c>
    </row>
    <row r="7878" spans="1:10" x14ac:dyDescent="0.3">
      <c r="A7878" t="s">
        <v>8005</v>
      </c>
      <c r="B7878" s="1">
        <v>46004</v>
      </c>
      <c r="C7878" t="s">
        <v>100</v>
      </c>
      <c r="D7878">
        <v>50</v>
      </c>
      <c r="E7878" t="s">
        <v>24</v>
      </c>
      <c r="F7878" t="s">
        <v>50</v>
      </c>
      <c r="G7878" t="s">
        <v>47</v>
      </c>
      <c r="H7878" t="s">
        <v>243</v>
      </c>
      <c r="I7878">
        <v>22962</v>
      </c>
      <c r="J7878">
        <v>29702</v>
      </c>
    </row>
    <row r="7879" spans="1:10" x14ac:dyDescent="0.3">
      <c r="A7879" t="s">
        <v>8006</v>
      </c>
      <c r="B7879" s="1">
        <v>45709</v>
      </c>
      <c r="C7879" t="s">
        <v>82</v>
      </c>
      <c r="D7879">
        <v>8</v>
      </c>
      <c r="E7879" t="s">
        <v>24</v>
      </c>
      <c r="F7879" t="s">
        <v>122</v>
      </c>
      <c r="G7879" t="s">
        <v>266</v>
      </c>
      <c r="H7879" t="s">
        <v>165</v>
      </c>
      <c r="I7879">
        <v>28520</v>
      </c>
      <c r="J7879">
        <v>29793</v>
      </c>
    </row>
    <row r="7880" spans="1:10" x14ac:dyDescent="0.3">
      <c r="A7880" t="s">
        <v>8007</v>
      </c>
      <c r="B7880" s="1">
        <v>45747</v>
      </c>
      <c r="C7880" t="s">
        <v>95</v>
      </c>
      <c r="D7880">
        <v>14</v>
      </c>
      <c r="E7880" t="s">
        <v>12</v>
      </c>
      <c r="F7880" t="s">
        <v>57</v>
      </c>
      <c r="G7880" t="s">
        <v>118</v>
      </c>
      <c r="H7880" t="s">
        <v>123</v>
      </c>
      <c r="I7880">
        <v>16899</v>
      </c>
      <c r="J7880">
        <v>17920</v>
      </c>
    </row>
    <row r="7881" spans="1:10" x14ac:dyDescent="0.3">
      <c r="A7881" t="s">
        <v>8008</v>
      </c>
      <c r="B7881" s="1">
        <v>45713</v>
      </c>
      <c r="C7881" t="s">
        <v>82</v>
      </c>
      <c r="D7881">
        <v>9</v>
      </c>
      <c r="E7881" t="s">
        <v>18</v>
      </c>
      <c r="F7881" t="s">
        <v>78</v>
      </c>
      <c r="G7881" t="s">
        <v>145</v>
      </c>
      <c r="H7881" t="s">
        <v>163</v>
      </c>
      <c r="I7881">
        <v>24852</v>
      </c>
      <c r="J7881">
        <v>19755</v>
      </c>
    </row>
    <row r="7882" spans="1:10" x14ac:dyDescent="0.3">
      <c r="A7882" t="s">
        <v>8009</v>
      </c>
      <c r="B7882" s="1">
        <v>45832</v>
      </c>
      <c r="C7882" t="s">
        <v>74</v>
      </c>
      <c r="D7882">
        <v>26</v>
      </c>
      <c r="E7882" t="s">
        <v>18</v>
      </c>
      <c r="F7882" t="s">
        <v>29</v>
      </c>
      <c r="G7882" t="s">
        <v>206</v>
      </c>
      <c r="H7882" t="s">
        <v>157</v>
      </c>
      <c r="I7882">
        <v>26955</v>
      </c>
      <c r="J7882">
        <v>29346</v>
      </c>
    </row>
    <row r="7883" spans="1:10" x14ac:dyDescent="0.3">
      <c r="A7883" t="s">
        <v>8010</v>
      </c>
      <c r="B7883" s="1">
        <v>45740</v>
      </c>
      <c r="C7883" t="s">
        <v>95</v>
      </c>
      <c r="D7883">
        <v>13</v>
      </c>
      <c r="E7883" t="s">
        <v>33</v>
      </c>
      <c r="F7883" t="s">
        <v>19</v>
      </c>
      <c r="G7883" t="s">
        <v>206</v>
      </c>
      <c r="H7883" t="s">
        <v>116</v>
      </c>
      <c r="I7883">
        <v>16183</v>
      </c>
      <c r="J7883">
        <v>20363</v>
      </c>
    </row>
    <row r="7884" spans="1:10" x14ac:dyDescent="0.3">
      <c r="A7884" t="s">
        <v>8011</v>
      </c>
      <c r="B7884" s="1">
        <v>45659</v>
      </c>
      <c r="C7884" t="s">
        <v>17</v>
      </c>
      <c r="D7884">
        <v>1</v>
      </c>
      <c r="E7884" t="s">
        <v>39</v>
      </c>
      <c r="F7884" t="s">
        <v>34</v>
      </c>
      <c r="G7884" t="s">
        <v>171</v>
      </c>
      <c r="H7884" t="s">
        <v>31</v>
      </c>
      <c r="I7884">
        <v>17368</v>
      </c>
      <c r="J7884">
        <v>18435</v>
      </c>
    </row>
    <row r="7885" spans="1:10" x14ac:dyDescent="0.3">
      <c r="A7885" t="s">
        <v>8012</v>
      </c>
      <c r="B7885" s="1">
        <v>45663</v>
      </c>
      <c r="C7885" t="s">
        <v>17</v>
      </c>
      <c r="D7885">
        <v>2</v>
      </c>
      <c r="E7885" t="s">
        <v>24</v>
      </c>
      <c r="F7885" t="s">
        <v>193</v>
      </c>
      <c r="G7885" t="s">
        <v>171</v>
      </c>
      <c r="H7885" t="s">
        <v>64</v>
      </c>
      <c r="I7885">
        <v>15000</v>
      </c>
      <c r="J7885">
        <v>11431</v>
      </c>
    </row>
    <row r="7886" spans="1:10" x14ac:dyDescent="0.3">
      <c r="A7886" t="s">
        <v>8013</v>
      </c>
      <c r="B7886" s="1">
        <v>45844</v>
      </c>
      <c r="C7886" t="s">
        <v>11</v>
      </c>
      <c r="D7886">
        <v>27</v>
      </c>
      <c r="E7886" t="s">
        <v>24</v>
      </c>
      <c r="F7886" t="s">
        <v>193</v>
      </c>
      <c r="G7886" t="s">
        <v>115</v>
      </c>
      <c r="H7886" t="s">
        <v>52</v>
      </c>
      <c r="I7886">
        <v>38704</v>
      </c>
      <c r="J7886">
        <v>39038</v>
      </c>
    </row>
    <row r="7887" spans="1:10" x14ac:dyDescent="0.3">
      <c r="A7887" t="s">
        <v>8014</v>
      </c>
      <c r="B7887" s="1">
        <v>45855</v>
      </c>
      <c r="C7887" t="s">
        <v>11</v>
      </c>
      <c r="D7887">
        <v>29</v>
      </c>
      <c r="E7887" t="s">
        <v>33</v>
      </c>
      <c r="F7887" t="s">
        <v>140</v>
      </c>
      <c r="G7887" t="s">
        <v>230</v>
      </c>
      <c r="H7887" t="s">
        <v>151</v>
      </c>
      <c r="I7887">
        <v>17479</v>
      </c>
      <c r="J7887">
        <v>14339</v>
      </c>
    </row>
    <row r="7888" spans="1:10" x14ac:dyDescent="0.3">
      <c r="A7888" t="s">
        <v>8015</v>
      </c>
      <c r="B7888" s="1">
        <v>45894</v>
      </c>
      <c r="C7888" t="s">
        <v>113</v>
      </c>
      <c r="D7888">
        <v>35</v>
      </c>
      <c r="E7888" t="s">
        <v>18</v>
      </c>
      <c r="F7888" t="s">
        <v>109</v>
      </c>
      <c r="G7888" t="s">
        <v>51</v>
      </c>
      <c r="H7888" t="s">
        <v>15</v>
      </c>
      <c r="I7888">
        <v>39299</v>
      </c>
      <c r="J7888">
        <v>49754</v>
      </c>
    </row>
    <row r="7889" spans="1:10" x14ac:dyDescent="0.3">
      <c r="A7889" t="s">
        <v>8016</v>
      </c>
      <c r="B7889" s="1">
        <v>45747</v>
      </c>
      <c r="C7889" t="s">
        <v>95</v>
      </c>
      <c r="D7889">
        <v>14</v>
      </c>
      <c r="E7889" t="s">
        <v>18</v>
      </c>
      <c r="F7889" t="s">
        <v>50</v>
      </c>
      <c r="G7889" t="s">
        <v>128</v>
      </c>
      <c r="H7889" t="s">
        <v>64</v>
      </c>
      <c r="I7889">
        <v>20601</v>
      </c>
      <c r="J7889">
        <v>23945</v>
      </c>
    </row>
    <row r="7890" spans="1:10" x14ac:dyDescent="0.3">
      <c r="A7890" t="s">
        <v>8017</v>
      </c>
      <c r="B7890" s="1">
        <v>45854</v>
      </c>
      <c r="C7890" t="s">
        <v>11</v>
      </c>
      <c r="D7890">
        <v>29</v>
      </c>
      <c r="E7890" t="s">
        <v>33</v>
      </c>
      <c r="F7890" t="s">
        <v>101</v>
      </c>
      <c r="G7890" t="s">
        <v>230</v>
      </c>
      <c r="H7890" t="s">
        <v>21</v>
      </c>
      <c r="I7890">
        <v>16366</v>
      </c>
      <c r="J7890">
        <v>14406</v>
      </c>
    </row>
    <row r="7891" spans="1:10" x14ac:dyDescent="0.3">
      <c r="A7891" t="s">
        <v>8018</v>
      </c>
      <c r="B7891" s="1">
        <v>45871</v>
      </c>
      <c r="C7891" t="s">
        <v>113</v>
      </c>
      <c r="D7891">
        <v>31</v>
      </c>
      <c r="E7891" t="s">
        <v>12</v>
      </c>
      <c r="F7891" t="s">
        <v>50</v>
      </c>
      <c r="G7891" t="s">
        <v>171</v>
      </c>
      <c r="H7891" t="s">
        <v>52</v>
      </c>
      <c r="I7891">
        <v>28446</v>
      </c>
      <c r="J7891">
        <v>35809</v>
      </c>
    </row>
    <row r="7892" spans="1:10" x14ac:dyDescent="0.3">
      <c r="A7892" t="s">
        <v>8019</v>
      </c>
      <c r="B7892" s="1">
        <v>45842</v>
      </c>
      <c r="C7892" t="s">
        <v>11</v>
      </c>
      <c r="D7892">
        <v>27</v>
      </c>
      <c r="E7892" t="s">
        <v>18</v>
      </c>
      <c r="F7892" t="s">
        <v>19</v>
      </c>
      <c r="G7892" t="s">
        <v>135</v>
      </c>
      <c r="H7892" t="s">
        <v>165</v>
      </c>
      <c r="I7892">
        <v>16465</v>
      </c>
      <c r="J7892">
        <v>13715</v>
      </c>
    </row>
    <row r="7893" spans="1:10" x14ac:dyDescent="0.3">
      <c r="A7893" t="s">
        <v>8020</v>
      </c>
      <c r="B7893" s="1">
        <v>45798</v>
      </c>
      <c r="C7893" t="s">
        <v>90</v>
      </c>
      <c r="D7893">
        <v>21</v>
      </c>
      <c r="E7893" t="s">
        <v>12</v>
      </c>
      <c r="F7893" t="s">
        <v>140</v>
      </c>
      <c r="G7893" t="s">
        <v>83</v>
      </c>
      <c r="H7893" t="s">
        <v>188</v>
      </c>
      <c r="I7893">
        <v>16264</v>
      </c>
      <c r="J7893">
        <v>12369</v>
      </c>
    </row>
    <row r="7894" spans="1:10" x14ac:dyDescent="0.3">
      <c r="A7894" t="s">
        <v>8021</v>
      </c>
      <c r="B7894" s="1">
        <v>45762</v>
      </c>
      <c r="C7894" t="s">
        <v>86</v>
      </c>
      <c r="D7894">
        <v>16</v>
      </c>
      <c r="E7894" t="s">
        <v>24</v>
      </c>
      <c r="F7894" t="s">
        <v>109</v>
      </c>
      <c r="G7894" t="s">
        <v>26</v>
      </c>
      <c r="H7894" t="s">
        <v>96</v>
      </c>
      <c r="I7894">
        <v>15729</v>
      </c>
      <c r="J7894">
        <v>18755</v>
      </c>
    </row>
    <row r="7895" spans="1:10" x14ac:dyDescent="0.3">
      <c r="A7895" t="s">
        <v>8022</v>
      </c>
      <c r="B7895" s="1">
        <v>45898</v>
      </c>
      <c r="C7895" t="s">
        <v>113</v>
      </c>
      <c r="D7895">
        <v>35</v>
      </c>
      <c r="E7895" t="s">
        <v>24</v>
      </c>
      <c r="F7895" t="s">
        <v>122</v>
      </c>
      <c r="G7895" t="s">
        <v>201</v>
      </c>
      <c r="H7895" t="s">
        <v>52</v>
      </c>
      <c r="I7895">
        <v>39138</v>
      </c>
      <c r="J7895">
        <v>33928</v>
      </c>
    </row>
    <row r="7896" spans="1:10" x14ac:dyDescent="0.3">
      <c r="A7896" t="s">
        <v>8023</v>
      </c>
      <c r="B7896" s="1">
        <v>45869</v>
      </c>
      <c r="C7896" t="s">
        <v>11</v>
      </c>
      <c r="D7896">
        <v>31</v>
      </c>
      <c r="E7896" t="s">
        <v>61</v>
      </c>
      <c r="F7896" t="s">
        <v>114</v>
      </c>
      <c r="G7896" t="s">
        <v>230</v>
      </c>
      <c r="H7896" t="s">
        <v>80</v>
      </c>
      <c r="I7896">
        <v>32039</v>
      </c>
      <c r="J7896">
        <v>33004</v>
      </c>
    </row>
    <row r="7897" spans="1:10" x14ac:dyDescent="0.3">
      <c r="A7897" t="s">
        <v>8024</v>
      </c>
      <c r="B7897" s="1">
        <v>45777</v>
      </c>
      <c r="C7897" t="s">
        <v>86</v>
      </c>
      <c r="D7897">
        <v>18</v>
      </c>
      <c r="E7897" t="s">
        <v>18</v>
      </c>
      <c r="F7897" t="s">
        <v>109</v>
      </c>
      <c r="G7897" t="s">
        <v>102</v>
      </c>
      <c r="H7897" t="s">
        <v>52</v>
      </c>
      <c r="I7897">
        <v>35659</v>
      </c>
      <c r="J7897">
        <v>42605</v>
      </c>
    </row>
    <row r="7898" spans="1:10" x14ac:dyDescent="0.3">
      <c r="A7898" t="s">
        <v>8025</v>
      </c>
      <c r="B7898" s="1">
        <v>45934</v>
      </c>
      <c r="C7898" t="s">
        <v>66</v>
      </c>
      <c r="D7898">
        <v>40</v>
      </c>
      <c r="E7898" t="s">
        <v>39</v>
      </c>
      <c r="F7898" t="s">
        <v>25</v>
      </c>
      <c r="G7898" t="s">
        <v>182</v>
      </c>
      <c r="H7898" t="s">
        <v>52</v>
      </c>
      <c r="I7898">
        <v>18038</v>
      </c>
      <c r="J7898">
        <v>14440</v>
      </c>
    </row>
    <row r="7899" spans="1:10" x14ac:dyDescent="0.3">
      <c r="A7899" t="s">
        <v>8026</v>
      </c>
      <c r="B7899" s="1">
        <v>45928</v>
      </c>
      <c r="C7899" t="s">
        <v>38</v>
      </c>
      <c r="D7899">
        <v>39</v>
      </c>
      <c r="E7899" t="s">
        <v>61</v>
      </c>
      <c r="F7899" t="s">
        <v>122</v>
      </c>
      <c r="G7899" t="s">
        <v>137</v>
      </c>
      <c r="H7899" t="s">
        <v>163</v>
      </c>
      <c r="I7899">
        <v>27666</v>
      </c>
      <c r="J7899">
        <v>29180</v>
      </c>
    </row>
    <row r="7900" spans="1:10" x14ac:dyDescent="0.3">
      <c r="A7900" t="s">
        <v>8027</v>
      </c>
      <c r="B7900" s="1">
        <v>45756</v>
      </c>
      <c r="C7900" t="s">
        <v>86</v>
      </c>
      <c r="D7900">
        <v>15</v>
      </c>
      <c r="E7900" t="s">
        <v>33</v>
      </c>
      <c r="F7900" t="s">
        <v>50</v>
      </c>
      <c r="G7900" t="s">
        <v>126</v>
      </c>
      <c r="H7900" t="s">
        <v>111</v>
      </c>
      <c r="I7900">
        <v>18257</v>
      </c>
      <c r="J7900">
        <v>15531</v>
      </c>
    </row>
    <row r="7901" spans="1:10" x14ac:dyDescent="0.3">
      <c r="A7901" t="s">
        <v>8028</v>
      </c>
      <c r="B7901" s="1">
        <v>45974</v>
      </c>
      <c r="C7901" t="s">
        <v>23</v>
      </c>
      <c r="D7901">
        <v>46</v>
      </c>
      <c r="E7901" t="s">
        <v>70</v>
      </c>
      <c r="F7901" t="s">
        <v>13</v>
      </c>
      <c r="G7901" t="s">
        <v>20</v>
      </c>
      <c r="H7901" t="s">
        <v>157</v>
      </c>
      <c r="I7901">
        <v>23603</v>
      </c>
      <c r="J7901">
        <v>17993</v>
      </c>
    </row>
    <row r="7902" spans="1:10" x14ac:dyDescent="0.3">
      <c r="A7902" t="s">
        <v>8029</v>
      </c>
      <c r="B7902" s="1">
        <v>45912</v>
      </c>
      <c r="C7902" t="s">
        <v>38</v>
      </c>
      <c r="D7902">
        <v>37</v>
      </c>
      <c r="E7902" t="s">
        <v>61</v>
      </c>
      <c r="F7902" t="s">
        <v>75</v>
      </c>
      <c r="G7902" t="s">
        <v>137</v>
      </c>
      <c r="H7902" t="s">
        <v>96</v>
      </c>
      <c r="I7902">
        <v>26960</v>
      </c>
      <c r="J7902">
        <v>24808</v>
      </c>
    </row>
    <row r="7903" spans="1:10" x14ac:dyDescent="0.3">
      <c r="A7903" t="s">
        <v>8030</v>
      </c>
      <c r="B7903" s="1">
        <v>45909</v>
      </c>
      <c r="C7903" t="s">
        <v>38</v>
      </c>
      <c r="D7903">
        <v>37</v>
      </c>
      <c r="E7903" t="s">
        <v>18</v>
      </c>
      <c r="F7903" t="s">
        <v>62</v>
      </c>
      <c r="G7903" t="s">
        <v>199</v>
      </c>
      <c r="H7903" t="s">
        <v>243</v>
      </c>
      <c r="I7903">
        <v>16153</v>
      </c>
      <c r="J7903">
        <v>15240</v>
      </c>
    </row>
    <row r="7904" spans="1:10" x14ac:dyDescent="0.3">
      <c r="A7904" t="s">
        <v>8031</v>
      </c>
      <c r="B7904" s="1">
        <v>45823</v>
      </c>
      <c r="C7904" t="s">
        <v>74</v>
      </c>
      <c r="D7904">
        <v>24</v>
      </c>
      <c r="E7904" t="s">
        <v>33</v>
      </c>
      <c r="F7904" t="s">
        <v>114</v>
      </c>
      <c r="G7904" t="s">
        <v>110</v>
      </c>
      <c r="H7904" t="s">
        <v>98</v>
      </c>
      <c r="I7904">
        <v>31977</v>
      </c>
      <c r="J7904">
        <v>38892</v>
      </c>
    </row>
    <row r="7905" spans="1:10" x14ac:dyDescent="0.3">
      <c r="A7905" t="s">
        <v>8032</v>
      </c>
      <c r="B7905" s="1">
        <v>45749</v>
      </c>
      <c r="C7905" t="s">
        <v>86</v>
      </c>
      <c r="D7905">
        <v>14</v>
      </c>
      <c r="E7905" t="s">
        <v>61</v>
      </c>
      <c r="F7905" t="s">
        <v>109</v>
      </c>
      <c r="G7905" t="s">
        <v>118</v>
      </c>
      <c r="H7905" t="s">
        <v>52</v>
      </c>
      <c r="I7905">
        <v>20160</v>
      </c>
      <c r="J7905">
        <v>16329</v>
      </c>
    </row>
    <row r="7906" spans="1:10" x14ac:dyDescent="0.3">
      <c r="A7906" t="s">
        <v>8033</v>
      </c>
      <c r="B7906" s="1">
        <v>45834</v>
      </c>
      <c r="C7906" t="s">
        <v>74</v>
      </c>
      <c r="D7906">
        <v>26</v>
      </c>
      <c r="E7906" t="s">
        <v>33</v>
      </c>
      <c r="F7906" t="s">
        <v>122</v>
      </c>
      <c r="G7906" t="s">
        <v>118</v>
      </c>
      <c r="H7906" t="s">
        <v>133</v>
      </c>
      <c r="I7906">
        <v>21900</v>
      </c>
      <c r="J7906">
        <v>23177</v>
      </c>
    </row>
    <row r="7907" spans="1:10" x14ac:dyDescent="0.3">
      <c r="A7907" t="s">
        <v>8034</v>
      </c>
      <c r="B7907" s="1">
        <v>45845</v>
      </c>
      <c r="C7907" t="s">
        <v>11</v>
      </c>
      <c r="D7907">
        <v>28</v>
      </c>
      <c r="E7907" t="s">
        <v>70</v>
      </c>
      <c r="F7907" t="s">
        <v>57</v>
      </c>
      <c r="G7907" t="s">
        <v>324</v>
      </c>
      <c r="H7907" t="s">
        <v>15</v>
      </c>
      <c r="I7907">
        <v>20968</v>
      </c>
      <c r="J7907">
        <v>18636</v>
      </c>
    </row>
    <row r="7908" spans="1:10" x14ac:dyDescent="0.3">
      <c r="A7908" t="s">
        <v>8035</v>
      </c>
      <c r="B7908" s="1">
        <v>45890</v>
      </c>
      <c r="C7908" t="s">
        <v>113</v>
      </c>
      <c r="D7908">
        <v>34</v>
      </c>
      <c r="E7908" t="s">
        <v>39</v>
      </c>
      <c r="F7908" t="s">
        <v>114</v>
      </c>
      <c r="G7908" t="s">
        <v>126</v>
      </c>
      <c r="H7908" t="s">
        <v>123</v>
      </c>
      <c r="I7908">
        <v>24361</v>
      </c>
      <c r="J7908">
        <v>30990</v>
      </c>
    </row>
    <row r="7909" spans="1:10" x14ac:dyDescent="0.3">
      <c r="A7909" t="s">
        <v>8036</v>
      </c>
      <c r="B7909" s="1">
        <v>45940</v>
      </c>
      <c r="C7909" t="s">
        <v>66</v>
      </c>
      <c r="D7909">
        <v>41</v>
      </c>
      <c r="E7909" t="s">
        <v>24</v>
      </c>
      <c r="F7909" t="s">
        <v>29</v>
      </c>
      <c r="G7909" t="s">
        <v>240</v>
      </c>
      <c r="H7909" t="s">
        <v>52</v>
      </c>
      <c r="I7909">
        <v>33519</v>
      </c>
      <c r="J7909">
        <v>34458</v>
      </c>
    </row>
    <row r="7910" spans="1:10" x14ac:dyDescent="0.3">
      <c r="A7910" t="s">
        <v>8037</v>
      </c>
      <c r="B7910" s="1">
        <v>45923</v>
      </c>
      <c r="C7910" t="s">
        <v>38</v>
      </c>
      <c r="D7910">
        <v>39</v>
      </c>
      <c r="E7910" t="s">
        <v>18</v>
      </c>
      <c r="F7910" t="s">
        <v>50</v>
      </c>
      <c r="G7910" t="s">
        <v>182</v>
      </c>
      <c r="H7910" t="s">
        <v>188</v>
      </c>
      <c r="I7910">
        <v>23140</v>
      </c>
      <c r="J7910">
        <v>18689</v>
      </c>
    </row>
    <row r="7911" spans="1:10" x14ac:dyDescent="0.3">
      <c r="A7911" t="s">
        <v>8038</v>
      </c>
      <c r="B7911" s="1">
        <v>45873</v>
      </c>
      <c r="C7911" t="s">
        <v>113</v>
      </c>
      <c r="D7911">
        <v>32</v>
      </c>
      <c r="E7911" t="s">
        <v>61</v>
      </c>
      <c r="F7911" t="s">
        <v>57</v>
      </c>
      <c r="G7911" t="s">
        <v>160</v>
      </c>
      <c r="H7911" t="s">
        <v>116</v>
      </c>
      <c r="I7911">
        <v>36499</v>
      </c>
      <c r="J7911">
        <v>33523</v>
      </c>
    </row>
    <row r="7912" spans="1:10" x14ac:dyDescent="0.3">
      <c r="A7912" t="s">
        <v>8039</v>
      </c>
      <c r="B7912" s="1">
        <v>45828</v>
      </c>
      <c r="C7912" t="s">
        <v>74</v>
      </c>
      <c r="D7912">
        <v>25</v>
      </c>
      <c r="E7912" t="s">
        <v>61</v>
      </c>
      <c r="F7912" t="s">
        <v>87</v>
      </c>
      <c r="G7912" t="s">
        <v>253</v>
      </c>
      <c r="H7912" t="s">
        <v>31</v>
      </c>
      <c r="I7912">
        <v>19097</v>
      </c>
      <c r="J7912">
        <v>14227</v>
      </c>
    </row>
    <row r="7913" spans="1:10" x14ac:dyDescent="0.3">
      <c r="A7913" t="s">
        <v>8040</v>
      </c>
      <c r="B7913" s="1">
        <v>45782</v>
      </c>
      <c r="C7913" t="s">
        <v>90</v>
      </c>
      <c r="D7913">
        <v>19</v>
      </c>
      <c r="E7913" t="s">
        <v>24</v>
      </c>
      <c r="F7913" t="s">
        <v>109</v>
      </c>
      <c r="G7913" t="s">
        <v>107</v>
      </c>
      <c r="H7913" t="s">
        <v>21</v>
      </c>
      <c r="I7913">
        <v>15877</v>
      </c>
      <c r="J7913">
        <v>12672</v>
      </c>
    </row>
    <row r="7914" spans="1:10" x14ac:dyDescent="0.3">
      <c r="A7914" t="s">
        <v>8041</v>
      </c>
      <c r="B7914" s="1">
        <v>45666</v>
      </c>
      <c r="C7914" t="s">
        <v>17</v>
      </c>
      <c r="D7914">
        <v>2</v>
      </c>
      <c r="E7914" t="s">
        <v>18</v>
      </c>
      <c r="F7914" t="s">
        <v>46</v>
      </c>
      <c r="G7914" t="s">
        <v>54</v>
      </c>
      <c r="H7914" t="s">
        <v>31</v>
      </c>
      <c r="I7914">
        <v>16737</v>
      </c>
      <c r="J7914">
        <v>21160</v>
      </c>
    </row>
    <row r="7915" spans="1:10" x14ac:dyDescent="0.3">
      <c r="A7915" t="s">
        <v>8042</v>
      </c>
      <c r="B7915" s="1">
        <v>45971</v>
      </c>
      <c r="C7915" t="s">
        <v>23</v>
      </c>
      <c r="D7915">
        <v>46</v>
      </c>
      <c r="E7915" t="s">
        <v>18</v>
      </c>
      <c r="F7915" t="s">
        <v>75</v>
      </c>
      <c r="G7915" t="s">
        <v>324</v>
      </c>
      <c r="H7915" t="s">
        <v>151</v>
      </c>
      <c r="I7915">
        <v>25361</v>
      </c>
      <c r="J7915">
        <v>25350</v>
      </c>
    </row>
    <row r="7916" spans="1:10" x14ac:dyDescent="0.3">
      <c r="A7916" t="s">
        <v>8043</v>
      </c>
      <c r="B7916" s="1">
        <v>45794</v>
      </c>
      <c r="C7916" t="s">
        <v>90</v>
      </c>
      <c r="D7916">
        <v>20</v>
      </c>
      <c r="E7916" t="s">
        <v>61</v>
      </c>
      <c r="F7916" t="s">
        <v>34</v>
      </c>
      <c r="G7916" t="s">
        <v>126</v>
      </c>
      <c r="H7916" t="s">
        <v>68</v>
      </c>
      <c r="I7916">
        <v>19068</v>
      </c>
      <c r="J7916">
        <v>19770</v>
      </c>
    </row>
    <row r="7917" spans="1:10" x14ac:dyDescent="0.3">
      <c r="A7917" t="s">
        <v>8044</v>
      </c>
      <c r="B7917" s="1">
        <v>46021</v>
      </c>
      <c r="C7917" t="s">
        <v>100</v>
      </c>
      <c r="D7917">
        <v>1</v>
      </c>
      <c r="E7917" t="s">
        <v>61</v>
      </c>
      <c r="F7917" t="s">
        <v>140</v>
      </c>
      <c r="G7917" t="s">
        <v>63</v>
      </c>
      <c r="H7917" t="s">
        <v>52</v>
      </c>
      <c r="I7917">
        <v>19313</v>
      </c>
      <c r="J7917">
        <v>21373</v>
      </c>
    </row>
    <row r="7918" spans="1:10" x14ac:dyDescent="0.3">
      <c r="A7918" t="s">
        <v>8045</v>
      </c>
      <c r="B7918" s="1">
        <v>45871</v>
      </c>
      <c r="C7918" t="s">
        <v>113</v>
      </c>
      <c r="D7918">
        <v>31</v>
      </c>
      <c r="E7918" t="s">
        <v>39</v>
      </c>
      <c r="F7918" t="s">
        <v>140</v>
      </c>
      <c r="G7918" t="s">
        <v>54</v>
      </c>
      <c r="H7918" t="s">
        <v>41</v>
      </c>
      <c r="I7918">
        <v>34613</v>
      </c>
      <c r="J7918">
        <v>29231</v>
      </c>
    </row>
    <row r="7919" spans="1:10" x14ac:dyDescent="0.3">
      <c r="A7919" t="s">
        <v>8046</v>
      </c>
      <c r="B7919" s="1">
        <v>45818</v>
      </c>
      <c r="C7919" t="s">
        <v>74</v>
      </c>
      <c r="D7919">
        <v>24</v>
      </c>
      <c r="E7919" t="s">
        <v>24</v>
      </c>
      <c r="F7919" t="s">
        <v>46</v>
      </c>
      <c r="G7919" t="s">
        <v>20</v>
      </c>
      <c r="H7919" t="s">
        <v>84</v>
      </c>
      <c r="I7919">
        <v>22729</v>
      </c>
      <c r="J7919">
        <v>24990</v>
      </c>
    </row>
    <row r="7920" spans="1:10" x14ac:dyDescent="0.3">
      <c r="A7920" t="s">
        <v>8047</v>
      </c>
      <c r="B7920" s="1">
        <v>45942</v>
      </c>
      <c r="C7920" t="s">
        <v>66</v>
      </c>
      <c r="D7920">
        <v>41</v>
      </c>
      <c r="E7920" t="s">
        <v>12</v>
      </c>
      <c r="F7920" t="s">
        <v>19</v>
      </c>
      <c r="G7920" t="s">
        <v>35</v>
      </c>
      <c r="H7920" t="s">
        <v>157</v>
      </c>
      <c r="I7920">
        <v>15684</v>
      </c>
      <c r="J7920">
        <v>17070</v>
      </c>
    </row>
    <row r="7921" spans="1:10" x14ac:dyDescent="0.3">
      <c r="A7921" t="s">
        <v>8048</v>
      </c>
      <c r="B7921" s="1">
        <v>45962</v>
      </c>
      <c r="C7921" t="s">
        <v>23</v>
      </c>
      <c r="D7921">
        <v>44</v>
      </c>
      <c r="E7921" t="s">
        <v>18</v>
      </c>
      <c r="F7921" t="s">
        <v>75</v>
      </c>
      <c r="G7921" t="s">
        <v>324</v>
      </c>
      <c r="H7921" t="s">
        <v>155</v>
      </c>
      <c r="I7921">
        <v>31437</v>
      </c>
      <c r="J7921">
        <v>29213</v>
      </c>
    </row>
    <row r="7922" spans="1:10" x14ac:dyDescent="0.3">
      <c r="A7922" t="s">
        <v>8049</v>
      </c>
      <c r="B7922" s="1">
        <v>45731</v>
      </c>
      <c r="C7922" t="s">
        <v>95</v>
      </c>
      <c r="D7922">
        <v>11</v>
      </c>
      <c r="E7922" t="s">
        <v>70</v>
      </c>
      <c r="F7922" t="s">
        <v>114</v>
      </c>
      <c r="G7922" t="s">
        <v>199</v>
      </c>
      <c r="H7922" t="s">
        <v>165</v>
      </c>
      <c r="I7922">
        <v>17746</v>
      </c>
      <c r="J7922">
        <v>19771</v>
      </c>
    </row>
    <row r="7923" spans="1:10" x14ac:dyDescent="0.3">
      <c r="A7923" t="s">
        <v>8050</v>
      </c>
      <c r="B7923" s="1">
        <v>45840</v>
      </c>
      <c r="C7923" t="s">
        <v>11</v>
      </c>
      <c r="D7923">
        <v>27</v>
      </c>
      <c r="E7923" t="s">
        <v>18</v>
      </c>
      <c r="F7923" t="s">
        <v>109</v>
      </c>
      <c r="G7923" t="s">
        <v>135</v>
      </c>
      <c r="H7923" t="s">
        <v>64</v>
      </c>
      <c r="I7923">
        <v>31446</v>
      </c>
      <c r="J7923">
        <v>26202</v>
      </c>
    </row>
    <row r="7924" spans="1:10" x14ac:dyDescent="0.3">
      <c r="A7924" t="s">
        <v>8051</v>
      </c>
      <c r="B7924" s="1">
        <v>45916</v>
      </c>
      <c r="C7924" t="s">
        <v>38</v>
      </c>
      <c r="D7924">
        <v>38</v>
      </c>
      <c r="E7924" t="s">
        <v>39</v>
      </c>
      <c r="F7924" t="s">
        <v>57</v>
      </c>
      <c r="G7924" t="s">
        <v>230</v>
      </c>
      <c r="H7924" t="s">
        <v>64</v>
      </c>
      <c r="I7924">
        <v>26478</v>
      </c>
      <c r="J7924">
        <v>32526</v>
      </c>
    </row>
    <row r="7925" spans="1:10" x14ac:dyDescent="0.3">
      <c r="A7925" t="s">
        <v>8052</v>
      </c>
      <c r="B7925" s="1">
        <v>45910</v>
      </c>
      <c r="C7925" t="s">
        <v>38</v>
      </c>
      <c r="D7925">
        <v>37</v>
      </c>
      <c r="E7925" t="s">
        <v>18</v>
      </c>
      <c r="F7925" t="s">
        <v>34</v>
      </c>
      <c r="G7925" t="s">
        <v>266</v>
      </c>
      <c r="H7925" t="s">
        <v>59</v>
      </c>
      <c r="I7925">
        <v>22190</v>
      </c>
      <c r="J7925">
        <v>16625</v>
      </c>
    </row>
    <row r="7926" spans="1:10" x14ac:dyDescent="0.3">
      <c r="A7926" t="s">
        <v>8053</v>
      </c>
      <c r="B7926" s="1">
        <v>45902</v>
      </c>
      <c r="C7926" t="s">
        <v>38</v>
      </c>
      <c r="D7926">
        <v>36</v>
      </c>
      <c r="E7926" t="s">
        <v>12</v>
      </c>
      <c r="F7926" t="s">
        <v>29</v>
      </c>
      <c r="G7926" t="s">
        <v>191</v>
      </c>
      <c r="H7926" t="s">
        <v>163</v>
      </c>
      <c r="I7926">
        <v>22499</v>
      </c>
      <c r="J7926">
        <v>24867</v>
      </c>
    </row>
    <row r="7927" spans="1:10" x14ac:dyDescent="0.3">
      <c r="A7927" t="s">
        <v>8054</v>
      </c>
      <c r="B7927" s="1">
        <v>45936</v>
      </c>
      <c r="C7927" t="s">
        <v>66</v>
      </c>
      <c r="D7927">
        <v>41</v>
      </c>
      <c r="E7927" t="s">
        <v>12</v>
      </c>
      <c r="F7927" t="s">
        <v>43</v>
      </c>
      <c r="G7927" t="s">
        <v>326</v>
      </c>
      <c r="H7927" t="s">
        <v>36</v>
      </c>
      <c r="I7927">
        <v>39492</v>
      </c>
      <c r="J7927">
        <v>32256</v>
      </c>
    </row>
    <row r="7928" spans="1:10" x14ac:dyDescent="0.3">
      <c r="A7928" t="s">
        <v>8055</v>
      </c>
      <c r="B7928" s="1">
        <v>45780</v>
      </c>
      <c r="C7928" t="s">
        <v>90</v>
      </c>
      <c r="D7928">
        <v>18</v>
      </c>
      <c r="E7928" t="s">
        <v>18</v>
      </c>
      <c r="F7928" t="s">
        <v>78</v>
      </c>
      <c r="G7928" t="s">
        <v>130</v>
      </c>
      <c r="H7928" t="s">
        <v>98</v>
      </c>
      <c r="I7928">
        <v>28559</v>
      </c>
      <c r="J7928">
        <v>26883</v>
      </c>
    </row>
    <row r="7929" spans="1:10" x14ac:dyDescent="0.3">
      <c r="A7929" t="s">
        <v>8056</v>
      </c>
      <c r="B7929" s="1">
        <v>45794</v>
      </c>
      <c r="C7929" t="s">
        <v>90</v>
      </c>
      <c r="D7929">
        <v>20</v>
      </c>
      <c r="E7929" t="s">
        <v>24</v>
      </c>
      <c r="F7929" t="s">
        <v>92</v>
      </c>
      <c r="G7929" t="s">
        <v>137</v>
      </c>
      <c r="H7929" t="s">
        <v>68</v>
      </c>
      <c r="I7929">
        <v>39469</v>
      </c>
      <c r="J7929">
        <v>41914</v>
      </c>
    </row>
    <row r="7930" spans="1:10" x14ac:dyDescent="0.3">
      <c r="A7930" t="s">
        <v>8057</v>
      </c>
      <c r="B7930" s="1">
        <v>45764</v>
      </c>
      <c r="C7930" t="s">
        <v>86</v>
      </c>
      <c r="D7930">
        <v>16</v>
      </c>
      <c r="E7930" t="s">
        <v>24</v>
      </c>
      <c r="F7930" t="s">
        <v>78</v>
      </c>
      <c r="G7930" t="s">
        <v>58</v>
      </c>
      <c r="H7930" t="s">
        <v>116</v>
      </c>
      <c r="I7930">
        <v>27504</v>
      </c>
      <c r="J7930">
        <v>30046</v>
      </c>
    </row>
    <row r="7931" spans="1:10" x14ac:dyDescent="0.3">
      <c r="A7931" t="s">
        <v>8058</v>
      </c>
      <c r="B7931" s="1">
        <v>45896</v>
      </c>
      <c r="C7931" t="s">
        <v>113</v>
      </c>
      <c r="D7931">
        <v>35</v>
      </c>
      <c r="E7931" t="s">
        <v>24</v>
      </c>
      <c r="F7931" t="s">
        <v>57</v>
      </c>
      <c r="G7931" t="s">
        <v>26</v>
      </c>
      <c r="H7931" t="s">
        <v>31</v>
      </c>
      <c r="I7931">
        <v>16012</v>
      </c>
      <c r="J7931">
        <v>17618</v>
      </c>
    </row>
    <row r="7932" spans="1:10" x14ac:dyDescent="0.3">
      <c r="A7932" t="s">
        <v>8059</v>
      </c>
      <c r="B7932" s="1">
        <v>45719</v>
      </c>
      <c r="C7932" t="s">
        <v>95</v>
      </c>
      <c r="D7932">
        <v>10</v>
      </c>
      <c r="E7932" t="s">
        <v>70</v>
      </c>
      <c r="F7932" t="s">
        <v>46</v>
      </c>
      <c r="G7932" t="s">
        <v>326</v>
      </c>
      <c r="H7932" t="s">
        <v>111</v>
      </c>
      <c r="I7932">
        <v>27341</v>
      </c>
      <c r="J7932">
        <v>26120</v>
      </c>
    </row>
    <row r="7933" spans="1:10" x14ac:dyDescent="0.3">
      <c r="A7933" t="s">
        <v>8060</v>
      </c>
      <c r="B7933" s="1">
        <v>45786</v>
      </c>
      <c r="C7933" t="s">
        <v>90</v>
      </c>
      <c r="D7933">
        <v>19</v>
      </c>
      <c r="E7933" t="s">
        <v>61</v>
      </c>
      <c r="F7933" t="s">
        <v>57</v>
      </c>
      <c r="G7933" t="s">
        <v>30</v>
      </c>
      <c r="H7933" t="s">
        <v>21</v>
      </c>
      <c r="I7933">
        <v>23321</v>
      </c>
      <c r="J7933">
        <v>28235</v>
      </c>
    </row>
    <row r="7934" spans="1:10" x14ac:dyDescent="0.3">
      <c r="A7934" t="s">
        <v>8061</v>
      </c>
      <c r="B7934" s="1">
        <v>45822</v>
      </c>
      <c r="C7934" t="s">
        <v>74</v>
      </c>
      <c r="D7934">
        <v>24</v>
      </c>
      <c r="E7934" t="s">
        <v>70</v>
      </c>
      <c r="F7934" t="s">
        <v>13</v>
      </c>
      <c r="G7934" t="s">
        <v>110</v>
      </c>
      <c r="H7934" t="s">
        <v>48</v>
      </c>
      <c r="I7934">
        <v>37636</v>
      </c>
      <c r="J7934">
        <v>33402</v>
      </c>
    </row>
    <row r="7935" spans="1:10" x14ac:dyDescent="0.3">
      <c r="A7935" t="s">
        <v>8062</v>
      </c>
      <c r="B7935" s="1">
        <v>45874</v>
      </c>
      <c r="C7935" t="s">
        <v>113</v>
      </c>
      <c r="D7935">
        <v>32</v>
      </c>
      <c r="E7935" t="s">
        <v>18</v>
      </c>
      <c r="F7935" t="s">
        <v>62</v>
      </c>
      <c r="G7935" t="s">
        <v>130</v>
      </c>
      <c r="H7935" t="s">
        <v>243</v>
      </c>
      <c r="I7935">
        <v>22034</v>
      </c>
      <c r="J7935">
        <v>19743</v>
      </c>
    </row>
    <row r="7936" spans="1:10" x14ac:dyDescent="0.3">
      <c r="A7936" t="s">
        <v>8063</v>
      </c>
      <c r="B7936" s="1">
        <v>45744</v>
      </c>
      <c r="C7936" t="s">
        <v>95</v>
      </c>
      <c r="D7936">
        <v>13</v>
      </c>
      <c r="E7936" t="s">
        <v>39</v>
      </c>
      <c r="F7936" t="s">
        <v>57</v>
      </c>
      <c r="G7936" t="s">
        <v>230</v>
      </c>
      <c r="H7936" t="s">
        <v>27</v>
      </c>
      <c r="I7936">
        <v>28054</v>
      </c>
      <c r="J7936">
        <v>30850</v>
      </c>
    </row>
    <row r="7937" spans="1:10" x14ac:dyDescent="0.3">
      <c r="A7937" t="s">
        <v>8064</v>
      </c>
      <c r="B7937" s="1">
        <v>45978</v>
      </c>
      <c r="C7937" t="s">
        <v>23</v>
      </c>
      <c r="D7937">
        <v>47</v>
      </c>
      <c r="E7937" t="s">
        <v>18</v>
      </c>
      <c r="F7937" t="s">
        <v>101</v>
      </c>
      <c r="G7937" t="s">
        <v>326</v>
      </c>
      <c r="H7937" t="s">
        <v>27</v>
      </c>
      <c r="I7937">
        <v>36802</v>
      </c>
      <c r="J7937">
        <v>31393</v>
      </c>
    </row>
    <row r="7938" spans="1:10" x14ac:dyDescent="0.3">
      <c r="A7938" t="s">
        <v>8065</v>
      </c>
      <c r="B7938" s="1">
        <v>45909</v>
      </c>
      <c r="C7938" t="s">
        <v>38</v>
      </c>
      <c r="D7938">
        <v>37</v>
      </c>
      <c r="E7938" t="s">
        <v>39</v>
      </c>
      <c r="F7938" t="s">
        <v>50</v>
      </c>
      <c r="G7938" t="s">
        <v>83</v>
      </c>
      <c r="H7938" t="s">
        <v>123</v>
      </c>
      <c r="I7938">
        <v>25685</v>
      </c>
      <c r="J7938">
        <v>18337</v>
      </c>
    </row>
    <row r="7939" spans="1:10" x14ac:dyDescent="0.3">
      <c r="A7939" t="s">
        <v>8066</v>
      </c>
      <c r="B7939" s="1">
        <v>45778</v>
      </c>
      <c r="C7939" t="s">
        <v>90</v>
      </c>
      <c r="D7939">
        <v>18</v>
      </c>
      <c r="E7939" t="s">
        <v>61</v>
      </c>
      <c r="F7939" t="s">
        <v>122</v>
      </c>
      <c r="G7939" t="s">
        <v>14</v>
      </c>
      <c r="H7939" t="s">
        <v>188</v>
      </c>
      <c r="I7939">
        <v>25666</v>
      </c>
      <c r="J7939">
        <v>24807</v>
      </c>
    </row>
    <row r="7940" spans="1:10" x14ac:dyDescent="0.3">
      <c r="A7940" t="s">
        <v>8067</v>
      </c>
      <c r="B7940" s="1">
        <v>45662</v>
      </c>
      <c r="C7940" t="s">
        <v>17</v>
      </c>
      <c r="D7940">
        <v>1</v>
      </c>
      <c r="E7940" t="s">
        <v>24</v>
      </c>
      <c r="F7940" t="s">
        <v>101</v>
      </c>
      <c r="G7940" t="s">
        <v>326</v>
      </c>
      <c r="H7940" t="s">
        <v>111</v>
      </c>
      <c r="I7940">
        <v>17204</v>
      </c>
      <c r="J7940">
        <v>17909</v>
      </c>
    </row>
    <row r="7941" spans="1:10" x14ac:dyDescent="0.3">
      <c r="A7941" t="s">
        <v>8068</v>
      </c>
      <c r="B7941" s="1">
        <v>45971</v>
      </c>
      <c r="C7941" t="s">
        <v>23</v>
      </c>
      <c r="D7941">
        <v>46</v>
      </c>
      <c r="E7941" t="s">
        <v>70</v>
      </c>
      <c r="F7941" t="s">
        <v>109</v>
      </c>
      <c r="G7941" t="s">
        <v>253</v>
      </c>
      <c r="H7941" t="s">
        <v>155</v>
      </c>
      <c r="I7941">
        <v>36235</v>
      </c>
      <c r="J7941">
        <v>44017</v>
      </c>
    </row>
    <row r="7942" spans="1:10" x14ac:dyDescent="0.3">
      <c r="A7942" t="s">
        <v>8069</v>
      </c>
      <c r="B7942" s="1">
        <v>45950</v>
      </c>
      <c r="C7942" t="s">
        <v>66</v>
      </c>
      <c r="D7942">
        <v>43</v>
      </c>
      <c r="E7942" t="s">
        <v>18</v>
      </c>
      <c r="F7942" t="s">
        <v>43</v>
      </c>
      <c r="G7942" t="s">
        <v>93</v>
      </c>
      <c r="H7942" t="s">
        <v>157</v>
      </c>
      <c r="I7942">
        <v>37737</v>
      </c>
      <c r="J7942">
        <v>43250</v>
      </c>
    </row>
    <row r="7943" spans="1:10" x14ac:dyDescent="0.3">
      <c r="A7943" t="s">
        <v>8070</v>
      </c>
      <c r="B7943" s="1">
        <v>45886</v>
      </c>
      <c r="C7943" t="s">
        <v>113</v>
      </c>
      <c r="D7943">
        <v>33</v>
      </c>
      <c r="E7943" t="s">
        <v>39</v>
      </c>
      <c r="F7943" t="s">
        <v>43</v>
      </c>
      <c r="G7943" t="s">
        <v>141</v>
      </c>
      <c r="H7943" t="s">
        <v>119</v>
      </c>
      <c r="I7943">
        <v>18897</v>
      </c>
      <c r="J7943">
        <v>13376</v>
      </c>
    </row>
    <row r="7944" spans="1:10" x14ac:dyDescent="0.3">
      <c r="A7944" t="s">
        <v>8071</v>
      </c>
      <c r="B7944" s="1">
        <v>45791</v>
      </c>
      <c r="C7944" t="s">
        <v>90</v>
      </c>
      <c r="D7944">
        <v>20</v>
      </c>
      <c r="E7944" t="s">
        <v>18</v>
      </c>
      <c r="F7944" t="s">
        <v>29</v>
      </c>
      <c r="G7944" t="s">
        <v>234</v>
      </c>
      <c r="H7944" t="s">
        <v>31</v>
      </c>
      <c r="I7944">
        <v>37920</v>
      </c>
      <c r="J7944">
        <v>32583</v>
      </c>
    </row>
    <row r="7945" spans="1:10" x14ac:dyDescent="0.3">
      <c r="A7945" t="s">
        <v>8072</v>
      </c>
      <c r="B7945" s="1">
        <v>45778</v>
      </c>
      <c r="C7945" t="s">
        <v>90</v>
      </c>
      <c r="D7945">
        <v>18</v>
      </c>
      <c r="E7945" t="s">
        <v>61</v>
      </c>
      <c r="F7945" t="s">
        <v>101</v>
      </c>
      <c r="G7945" t="s">
        <v>72</v>
      </c>
      <c r="H7945" t="s">
        <v>80</v>
      </c>
      <c r="I7945">
        <v>28357</v>
      </c>
      <c r="J7945">
        <v>26713</v>
      </c>
    </row>
    <row r="7946" spans="1:10" x14ac:dyDescent="0.3">
      <c r="A7946" t="s">
        <v>8073</v>
      </c>
      <c r="B7946" s="1">
        <v>46003</v>
      </c>
      <c r="C7946" t="s">
        <v>100</v>
      </c>
      <c r="D7946">
        <v>50</v>
      </c>
      <c r="E7946" t="s">
        <v>33</v>
      </c>
      <c r="F7946" t="s">
        <v>109</v>
      </c>
      <c r="G7946" t="s">
        <v>35</v>
      </c>
      <c r="H7946" t="s">
        <v>111</v>
      </c>
      <c r="I7946">
        <v>33664</v>
      </c>
      <c r="J7946">
        <v>39840</v>
      </c>
    </row>
    <row r="7947" spans="1:10" x14ac:dyDescent="0.3">
      <c r="A7947" t="s">
        <v>8074</v>
      </c>
      <c r="B7947" s="1">
        <v>45820</v>
      </c>
      <c r="C7947" t="s">
        <v>74</v>
      </c>
      <c r="D7947">
        <v>24</v>
      </c>
      <c r="E7947" t="s">
        <v>39</v>
      </c>
      <c r="F7947" t="s">
        <v>50</v>
      </c>
      <c r="G7947" t="s">
        <v>20</v>
      </c>
      <c r="H7947" t="s">
        <v>163</v>
      </c>
      <c r="I7947">
        <v>27053</v>
      </c>
      <c r="J7947">
        <v>30944</v>
      </c>
    </row>
    <row r="7948" spans="1:10" x14ac:dyDescent="0.3">
      <c r="A7948" t="s">
        <v>8075</v>
      </c>
      <c r="B7948" s="1">
        <v>45807</v>
      </c>
      <c r="C7948" t="s">
        <v>90</v>
      </c>
      <c r="D7948">
        <v>22</v>
      </c>
      <c r="E7948" t="s">
        <v>18</v>
      </c>
      <c r="F7948" t="s">
        <v>109</v>
      </c>
      <c r="G7948" t="s">
        <v>72</v>
      </c>
      <c r="H7948" t="s">
        <v>157</v>
      </c>
      <c r="I7948">
        <v>27073</v>
      </c>
      <c r="J7948">
        <v>19803</v>
      </c>
    </row>
    <row r="7949" spans="1:10" x14ac:dyDescent="0.3">
      <c r="A7949" t="s">
        <v>8076</v>
      </c>
      <c r="B7949" s="1">
        <v>46010</v>
      </c>
      <c r="C7949" t="s">
        <v>100</v>
      </c>
      <c r="D7949">
        <v>51</v>
      </c>
      <c r="E7949" t="s">
        <v>18</v>
      </c>
      <c r="F7949" t="s">
        <v>114</v>
      </c>
      <c r="G7949" t="s">
        <v>201</v>
      </c>
      <c r="H7949" t="s">
        <v>123</v>
      </c>
      <c r="I7949">
        <v>27386</v>
      </c>
      <c r="J7949">
        <v>31251</v>
      </c>
    </row>
    <row r="7950" spans="1:10" x14ac:dyDescent="0.3">
      <c r="A7950" t="s">
        <v>8077</v>
      </c>
      <c r="B7950" s="1">
        <v>45957</v>
      </c>
      <c r="C7950" t="s">
        <v>66</v>
      </c>
      <c r="D7950">
        <v>44</v>
      </c>
      <c r="E7950" t="s">
        <v>70</v>
      </c>
      <c r="F7950" t="s">
        <v>92</v>
      </c>
      <c r="G7950" t="s">
        <v>191</v>
      </c>
      <c r="H7950" t="s">
        <v>163</v>
      </c>
      <c r="I7950">
        <v>26601</v>
      </c>
      <c r="J7950">
        <v>24286</v>
      </c>
    </row>
    <row r="7951" spans="1:10" x14ac:dyDescent="0.3">
      <c r="A7951" t="s">
        <v>8078</v>
      </c>
      <c r="B7951" s="1">
        <v>45676</v>
      </c>
      <c r="C7951" t="s">
        <v>17</v>
      </c>
      <c r="D7951">
        <v>3</v>
      </c>
      <c r="E7951" t="s">
        <v>61</v>
      </c>
      <c r="F7951" t="s">
        <v>87</v>
      </c>
      <c r="G7951" t="s">
        <v>35</v>
      </c>
      <c r="H7951" t="s">
        <v>59</v>
      </c>
      <c r="I7951">
        <v>24798</v>
      </c>
      <c r="J7951">
        <v>20754</v>
      </c>
    </row>
    <row r="7952" spans="1:10" x14ac:dyDescent="0.3">
      <c r="A7952" t="s">
        <v>8079</v>
      </c>
      <c r="B7952" s="1">
        <v>45901</v>
      </c>
      <c r="C7952" t="s">
        <v>38</v>
      </c>
      <c r="D7952">
        <v>36</v>
      </c>
      <c r="E7952" t="s">
        <v>61</v>
      </c>
      <c r="F7952" t="s">
        <v>25</v>
      </c>
      <c r="G7952" t="s">
        <v>291</v>
      </c>
      <c r="H7952" t="s">
        <v>48</v>
      </c>
      <c r="I7952">
        <v>18146</v>
      </c>
      <c r="J7952">
        <v>20057</v>
      </c>
    </row>
    <row r="7953" spans="1:10" x14ac:dyDescent="0.3">
      <c r="A7953" t="s">
        <v>8080</v>
      </c>
      <c r="B7953" s="1">
        <v>45683</v>
      </c>
      <c r="C7953" t="s">
        <v>17</v>
      </c>
      <c r="D7953">
        <v>4</v>
      </c>
      <c r="E7953" t="s">
        <v>70</v>
      </c>
      <c r="F7953" t="s">
        <v>50</v>
      </c>
      <c r="G7953" t="s">
        <v>206</v>
      </c>
      <c r="H7953" t="s">
        <v>163</v>
      </c>
      <c r="I7953">
        <v>17080</v>
      </c>
      <c r="J7953">
        <v>19456</v>
      </c>
    </row>
    <row r="7954" spans="1:10" x14ac:dyDescent="0.3">
      <c r="A7954" t="s">
        <v>8081</v>
      </c>
      <c r="B7954" s="1">
        <v>45798</v>
      </c>
      <c r="C7954" t="s">
        <v>90</v>
      </c>
      <c r="D7954">
        <v>21</v>
      </c>
      <c r="E7954" t="s">
        <v>33</v>
      </c>
      <c r="F7954" t="s">
        <v>25</v>
      </c>
      <c r="G7954" t="s">
        <v>199</v>
      </c>
      <c r="H7954" t="s">
        <v>133</v>
      </c>
      <c r="I7954">
        <v>20944</v>
      </c>
      <c r="J7954">
        <v>26985</v>
      </c>
    </row>
    <row r="7955" spans="1:10" x14ac:dyDescent="0.3">
      <c r="A7955" t="s">
        <v>8082</v>
      </c>
      <c r="B7955" s="1">
        <v>45898</v>
      </c>
      <c r="C7955" t="s">
        <v>113</v>
      </c>
      <c r="D7955">
        <v>35</v>
      </c>
      <c r="E7955" t="s">
        <v>61</v>
      </c>
      <c r="F7955" t="s">
        <v>62</v>
      </c>
      <c r="G7955" t="s">
        <v>135</v>
      </c>
      <c r="H7955" t="s">
        <v>157</v>
      </c>
      <c r="I7955">
        <v>34627</v>
      </c>
      <c r="J7955">
        <v>41063</v>
      </c>
    </row>
    <row r="7956" spans="1:10" x14ac:dyDescent="0.3">
      <c r="A7956" t="s">
        <v>8083</v>
      </c>
      <c r="B7956" s="1">
        <v>45739</v>
      </c>
      <c r="C7956" t="s">
        <v>95</v>
      </c>
      <c r="D7956">
        <v>12</v>
      </c>
      <c r="E7956" t="s">
        <v>70</v>
      </c>
      <c r="F7956" t="s">
        <v>101</v>
      </c>
      <c r="G7956" t="s">
        <v>54</v>
      </c>
      <c r="H7956" t="s">
        <v>123</v>
      </c>
      <c r="I7956">
        <v>28733</v>
      </c>
      <c r="J7956">
        <v>26717</v>
      </c>
    </row>
    <row r="7957" spans="1:10" x14ac:dyDescent="0.3">
      <c r="A7957" t="s">
        <v>8084</v>
      </c>
      <c r="B7957" s="1">
        <v>46000</v>
      </c>
      <c r="C7957" t="s">
        <v>100</v>
      </c>
      <c r="D7957">
        <v>50</v>
      </c>
      <c r="E7957" t="s">
        <v>24</v>
      </c>
      <c r="F7957" t="s">
        <v>101</v>
      </c>
      <c r="G7957" t="s">
        <v>199</v>
      </c>
      <c r="H7957" t="s">
        <v>123</v>
      </c>
      <c r="I7957">
        <v>32628</v>
      </c>
      <c r="J7957">
        <v>38191</v>
      </c>
    </row>
    <row r="7958" spans="1:10" x14ac:dyDescent="0.3">
      <c r="A7958" t="s">
        <v>8085</v>
      </c>
      <c r="B7958" s="1">
        <v>45876</v>
      </c>
      <c r="C7958" t="s">
        <v>113</v>
      </c>
      <c r="D7958">
        <v>32</v>
      </c>
      <c r="E7958" t="s">
        <v>12</v>
      </c>
      <c r="F7958" t="s">
        <v>46</v>
      </c>
      <c r="G7958" t="s">
        <v>234</v>
      </c>
      <c r="H7958" t="s">
        <v>41</v>
      </c>
      <c r="I7958">
        <v>19819</v>
      </c>
      <c r="J7958">
        <v>19245</v>
      </c>
    </row>
    <row r="7959" spans="1:10" x14ac:dyDescent="0.3">
      <c r="A7959" t="s">
        <v>8086</v>
      </c>
      <c r="B7959" s="1">
        <v>45830</v>
      </c>
      <c r="C7959" t="s">
        <v>74</v>
      </c>
      <c r="D7959">
        <v>25</v>
      </c>
      <c r="E7959" t="s">
        <v>39</v>
      </c>
      <c r="F7959" t="s">
        <v>19</v>
      </c>
      <c r="G7959" t="s">
        <v>230</v>
      </c>
      <c r="H7959" t="s">
        <v>41</v>
      </c>
      <c r="I7959">
        <v>22500</v>
      </c>
      <c r="J7959">
        <v>22437</v>
      </c>
    </row>
    <row r="7960" spans="1:10" x14ac:dyDescent="0.3">
      <c r="A7960" t="s">
        <v>8087</v>
      </c>
      <c r="B7960" s="1">
        <v>45786</v>
      </c>
      <c r="C7960" t="s">
        <v>90</v>
      </c>
      <c r="D7960">
        <v>19</v>
      </c>
      <c r="E7960" t="s">
        <v>70</v>
      </c>
      <c r="F7960" t="s">
        <v>109</v>
      </c>
      <c r="G7960" t="s">
        <v>26</v>
      </c>
      <c r="H7960" t="s">
        <v>31</v>
      </c>
      <c r="I7960">
        <v>27564</v>
      </c>
      <c r="J7960">
        <v>25803</v>
      </c>
    </row>
    <row r="7961" spans="1:10" x14ac:dyDescent="0.3">
      <c r="A7961" t="s">
        <v>8088</v>
      </c>
      <c r="B7961" s="1">
        <v>45721</v>
      </c>
      <c r="C7961" t="s">
        <v>95</v>
      </c>
      <c r="D7961">
        <v>10</v>
      </c>
      <c r="E7961" t="s">
        <v>18</v>
      </c>
      <c r="F7961" t="s">
        <v>19</v>
      </c>
      <c r="G7961" t="s">
        <v>44</v>
      </c>
      <c r="H7961" t="s">
        <v>103</v>
      </c>
      <c r="I7961">
        <v>31385</v>
      </c>
      <c r="J7961">
        <v>39285</v>
      </c>
    </row>
    <row r="7962" spans="1:10" x14ac:dyDescent="0.3">
      <c r="A7962" t="s">
        <v>8089</v>
      </c>
      <c r="B7962" s="1">
        <v>45696</v>
      </c>
      <c r="C7962" t="s">
        <v>82</v>
      </c>
      <c r="D7962">
        <v>6</v>
      </c>
      <c r="E7962" t="s">
        <v>61</v>
      </c>
      <c r="F7962" t="s">
        <v>57</v>
      </c>
      <c r="G7962" t="s">
        <v>115</v>
      </c>
      <c r="H7962" t="s">
        <v>188</v>
      </c>
      <c r="I7962">
        <v>30807</v>
      </c>
      <c r="J7962">
        <v>36218</v>
      </c>
    </row>
    <row r="7963" spans="1:10" x14ac:dyDescent="0.3">
      <c r="A7963" t="s">
        <v>8090</v>
      </c>
      <c r="B7963" s="1">
        <v>46013</v>
      </c>
      <c r="C7963" t="s">
        <v>100</v>
      </c>
      <c r="D7963">
        <v>52</v>
      </c>
      <c r="E7963" t="s">
        <v>12</v>
      </c>
      <c r="F7963" t="s">
        <v>140</v>
      </c>
      <c r="G7963" t="s">
        <v>141</v>
      </c>
      <c r="H7963" t="s">
        <v>116</v>
      </c>
      <c r="I7963">
        <v>33875</v>
      </c>
      <c r="J7963">
        <v>37401</v>
      </c>
    </row>
    <row r="7964" spans="1:10" x14ac:dyDescent="0.3">
      <c r="A7964" t="s">
        <v>8091</v>
      </c>
      <c r="B7964" s="1">
        <v>45997</v>
      </c>
      <c r="C7964" t="s">
        <v>100</v>
      </c>
      <c r="D7964">
        <v>49</v>
      </c>
      <c r="E7964" t="s">
        <v>39</v>
      </c>
      <c r="F7964" t="s">
        <v>29</v>
      </c>
      <c r="G7964" t="s">
        <v>72</v>
      </c>
      <c r="H7964" t="s">
        <v>116</v>
      </c>
      <c r="I7964">
        <v>28234</v>
      </c>
      <c r="J7964">
        <v>27886</v>
      </c>
    </row>
    <row r="7965" spans="1:10" x14ac:dyDescent="0.3">
      <c r="A7965" t="s">
        <v>8092</v>
      </c>
      <c r="B7965" s="1">
        <v>45879</v>
      </c>
      <c r="C7965" t="s">
        <v>113</v>
      </c>
      <c r="D7965">
        <v>32</v>
      </c>
      <c r="E7965" t="s">
        <v>18</v>
      </c>
      <c r="F7965" t="s">
        <v>50</v>
      </c>
      <c r="G7965" t="s">
        <v>291</v>
      </c>
      <c r="H7965" t="s">
        <v>36</v>
      </c>
      <c r="I7965">
        <v>25046</v>
      </c>
      <c r="J7965">
        <v>25870</v>
      </c>
    </row>
    <row r="7966" spans="1:10" x14ac:dyDescent="0.3">
      <c r="A7966" t="s">
        <v>8093</v>
      </c>
      <c r="B7966" s="1">
        <v>45740</v>
      </c>
      <c r="C7966" t="s">
        <v>95</v>
      </c>
      <c r="D7966">
        <v>13</v>
      </c>
      <c r="E7966" t="s">
        <v>33</v>
      </c>
      <c r="F7966" t="s">
        <v>43</v>
      </c>
      <c r="G7966" t="s">
        <v>83</v>
      </c>
      <c r="H7966" t="s">
        <v>48</v>
      </c>
      <c r="I7966">
        <v>37408</v>
      </c>
      <c r="J7966">
        <v>32655</v>
      </c>
    </row>
    <row r="7967" spans="1:10" x14ac:dyDescent="0.3">
      <c r="A7967" t="s">
        <v>8094</v>
      </c>
      <c r="B7967" s="1">
        <v>45719</v>
      </c>
      <c r="C7967" t="s">
        <v>95</v>
      </c>
      <c r="D7967">
        <v>10</v>
      </c>
      <c r="E7967" t="s">
        <v>24</v>
      </c>
      <c r="F7967" t="s">
        <v>43</v>
      </c>
      <c r="G7967" t="s">
        <v>20</v>
      </c>
      <c r="H7967" t="s">
        <v>98</v>
      </c>
      <c r="I7967">
        <v>18186</v>
      </c>
      <c r="J7967">
        <v>22485</v>
      </c>
    </row>
    <row r="7968" spans="1:10" x14ac:dyDescent="0.3">
      <c r="A7968" t="s">
        <v>8095</v>
      </c>
      <c r="B7968" s="1">
        <v>46002</v>
      </c>
      <c r="C7968" t="s">
        <v>100</v>
      </c>
      <c r="D7968">
        <v>50</v>
      </c>
      <c r="E7968" t="s">
        <v>39</v>
      </c>
      <c r="F7968" t="s">
        <v>50</v>
      </c>
      <c r="G7968" t="s">
        <v>67</v>
      </c>
      <c r="H7968" t="s">
        <v>211</v>
      </c>
      <c r="I7968">
        <v>39313</v>
      </c>
      <c r="J7968">
        <v>27832</v>
      </c>
    </row>
    <row r="7969" spans="1:10" x14ac:dyDescent="0.3">
      <c r="A7969" t="s">
        <v>8096</v>
      </c>
      <c r="B7969" s="1">
        <v>45853</v>
      </c>
      <c r="C7969" t="s">
        <v>11</v>
      </c>
      <c r="D7969">
        <v>29</v>
      </c>
      <c r="E7969" t="s">
        <v>24</v>
      </c>
      <c r="F7969" t="s">
        <v>34</v>
      </c>
      <c r="G7969" t="s">
        <v>67</v>
      </c>
      <c r="H7969" t="s">
        <v>27</v>
      </c>
      <c r="I7969">
        <v>36200</v>
      </c>
      <c r="J7969">
        <v>44886</v>
      </c>
    </row>
    <row r="7970" spans="1:10" x14ac:dyDescent="0.3">
      <c r="A7970" t="s">
        <v>8097</v>
      </c>
      <c r="B7970" s="1">
        <v>45706</v>
      </c>
      <c r="C7970" t="s">
        <v>82</v>
      </c>
      <c r="D7970">
        <v>8</v>
      </c>
      <c r="E7970" t="s">
        <v>61</v>
      </c>
      <c r="F7970" t="s">
        <v>46</v>
      </c>
      <c r="G7970" t="s">
        <v>20</v>
      </c>
      <c r="H7970" t="s">
        <v>55</v>
      </c>
      <c r="I7970">
        <v>23993</v>
      </c>
      <c r="J7970">
        <v>27814</v>
      </c>
    </row>
    <row r="7971" spans="1:10" x14ac:dyDescent="0.3">
      <c r="A7971" t="s">
        <v>8098</v>
      </c>
      <c r="B7971" s="1">
        <v>45861</v>
      </c>
      <c r="C7971" t="s">
        <v>11</v>
      </c>
      <c r="D7971">
        <v>30</v>
      </c>
      <c r="E7971" t="s">
        <v>18</v>
      </c>
      <c r="F7971" t="s">
        <v>34</v>
      </c>
      <c r="G7971" t="s">
        <v>115</v>
      </c>
      <c r="H7971" t="s">
        <v>52</v>
      </c>
      <c r="I7971">
        <v>29668</v>
      </c>
      <c r="J7971">
        <v>26767</v>
      </c>
    </row>
    <row r="7972" spans="1:10" x14ac:dyDescent="0.3">
      <c r="A7972" t="s">
        <v>8099</v>
      </c>
      <c r="B7972" s="1">
        <v>45713</v>
      </c>
      <c r="C7972" t="s">
        <v>82</v>
      </c>
      <c r="D7972">
        <v>9</v>
      </c>
      <c r="E7972" t="s">
        <v>33</v>
      </c>
      <c r="F7972" t="s">
        <v>78</v>
      </c>
      <c r="G7972" t="s">
        <v>206</v>
      </c>
      <c r="H7972" t="s">
        <v>98</v>
      </c>
      <c r="I7972">
        <v>18669</v>
      </c>
      <c r="J7972">
        <v>19264</v>
      </c>
    </row>
    <row r="7973" spans="1:10" x14ac:dyDescent="0.3">
      <c r="A7973" t="s">
        <v>8100</v>
      </c>
      <c r="B7973" s="1">
        <v>45938</v>
      </c>
      <c r="C7973" t="s">
        <v>66</v>
      </c>
      <c r="D7973">
        <v>41</v>
      </c>
      <c r="E7973" t="s">
        <v>33</v>
      </c>
      <c r="F7973" t="s">
        <v>57</v>
      </c>
      <c r="G7973" t="s">
        <v>149</v>
      </c>
      <c r="H7973" t="s">
        <v>103</v>
      </c>
      <c r="I7973">
        <v>36081</v>
      </c>
      <c r="J7973">
        <v>33051</v>
      </c>
    </row>
    <row r="7974" spans="1:10" x14ac:dyDescent="0.3">
      <c r="A7974" t="s">
        <v>8101</v>
      </c>
      <c r="B7974" s="1">
        <v>45682</v>
      </c>
      <c r="C7974" t="s">
        <v>17</v>
      </c>
      <c r="D7974">
        <v>4</v>
      </c>
      <c r="E7974" t="s">
        <v>12</v>
      </c>
      <c r="F7974" t="s">
        <v>57</v>
      </c>
      <c r="G7974" t="s">
        <v>137</v>
      </c>
      <c r="H7974" t="s">
        <v>98</v>
      </c>
      <c r="I7974">
        <v>20047</v>
      </c>
      <c r="J7974">
        <v>16655</v>
      </c>
    </row>
    <row r="7975" spans="1:10" x14ac:dyDescent="0.3">
      <c r="A7975" t="s">
        <v>8102</v>
      </c>
      <c r="B7975" s="1">
        <v>45883</v>
      </c>
      <c r="C7975" t="s">
        <v>113</v>
      </c>
      <c r="D7975">
        <v>33</v>
      </c>
      <c r="E7975" t="s">
        <v>18</v>
      </c>
      <c r="F7975" t="s">
        <v>87</v>
      </c>
      <c r="G7975" t="s">
        <v>141</v>
      </c>
      <c r="H7975" t="s">
        <v>21</v>
      </c>
      <c r="I7975">
        <v>31520</v>
      </c>
      <c r="J7975">
        <v>32997</v>
      </c>
    </row>
    <row r="7976" spans="1:10" x14ac:dyDescent="0.3">
      <c r="A7976" t="s">
        <v>8103</v>
      </c>
      <c r="B7976" s="1">
        <v>45876</v>
      </c>
      <c r="C7976" t="s">
        <v>113</v>
      </c>
      <c r="D7976">
        <v>32</v>
      </c>
      <c r="E7976" t="s">
        <v>33</v>
      </c>
      <c r="F7976" t="s">
        <v>92</v>
      </c>
      <c r="G7976" t="s">
        <v>253</v>
      </c>
      <c r="H7976" t="s">
        <v>80</v>
      </c>
      <c r="I7976">
        <v>19212</v>
      </c>
      <c r="J7976">
        <v>15214</v>
      </c>
    </row>
    <row r="7977" spans="1:10" x14ac:dyDescent="0.3">
      <c r="A7977" t="s">
        <v>8104</v>
      </c>
      <c r="B7977" s="1">
        <v>46019</v>
      </c>
      <c r="C7977" t="s">
        <v>100</v>
      </c>
      <c r="D7977">
        <v>52</v>
      </c>
      <c r="E7977" t="s">
        <v>33</v>
      </c>
      <c r="F7977" t="s">
        <v>57</v>
      </c>
      <c r="G7977" t="s">
        <v>40</v>
      </c>
      <c r="H7977" t="s">
        <v>55</v>
      </c>
      <c r="I7977">
        <v>36146</v>
      </c>
      <c r="J7977">
        <v>43163</v>
      </c>
    </row>
    <row r="7978" spans="1:10" x14ac:dyDescent="0.3">
      <c r="A7978" t="s">
        <v>8105</v>
      </c>
      <c r="B7978" s="1">
        <v>45804</v>
      </c>
      <c r="C7978" t="s">
        <v>90</v>
      </c>
      <c r="D7978">
        <v>22</v>
      </c>
      <c r="E7978" t="s">
        <v>39</v>
      </c>
      <c r="F7978" t="s">
        <v>109</v>
      </c>
      <c r="G7978" t="s">
        <v>191</v>
      </c>
      <c r="H7978" t="s">
        <v>157</v>
      </c>
      <c r="I7978">
        <v>20366</v>
      </c>
      <c r="J7978">
        <v>17981</v>
      </c>
    </row>
    <row r="7979" spans="1:10" x14ac:dyDescent="0.3">
      <c r="A7979" t="s">
        <v>8106</v>
      </c>
      <c r="B7979" s="1">
        <v>45721</v>
      </c>
      <c r="C7979" t="s">
        <v>95</v>
      </c>
      <c r="D7979">
        <v>10</v>
      </c>
      <c r="E7979" t="s">
        <v>33</v>
      </c>
      <c r="F7979" t="s">
        <v>29</v>
      </c>
      <c r="G7979" t="s">
        <v>234</v>
      </c>
      <c r="H7979" t="s">
        <v>96</v>
      </c>
      <c r="I7979">
        <v>25319</v>
      </c>
      <c r="J7979">
        <v>31611</v>
      </c>
    </row>
    <row r="7980" spans="1:10" x14ac:dyDescent="0.3">
      <c r="A7980" t="s">
        <v>8107</v>
      </c>
      <c r="B7980" s="1">
        <v>45788</v>
      </c>
      <c r="C7980" t="s">
        <v>90</v>
      </c>
      <c r="D7980">
        <v>19</v>
      </c>
      <c r="E7980" t="s">
        <v>61</v>
      </c>
      <c r="F7980" t="s">
        <v>50</v>
      </c>
      <c r="G7980" t="s">
        <v>126</v>
      </c>
      <c r="H7980" t="s">
        <v>163</v>
      </c>
      <c r="I7980">
        <v>18015</v>
      </c>
      <c r="J7980">
        <v>22113</v>
      </c>
    </row>
    <row r="7981" spans="1:10" x14ac:dyDescent="0.3">
      <c r="A7981" t="s">
        <v>8108</v>
      </c>
      <c r="B7981" s="1">
        <v>45923</v>
      </c>
      <c r="C7981" t="s">
        <v>38</v>
      </c>
      <c r="D7981">
        <v>39</v>
      </c>
      <c r="E7981" t="s">
        <v>24</v>
      </c>
      <c r="F7981" t="s">
        <v>50</v>
      </c>
      <c r="G7981" t="s">
        <v>79</v>
      </c>
      <c r="H7981" t="s">
        <v>59</v>
      </c>
      <c r="I7981">
        <v>19530</v>
      </c>
      <c r="J7981">
        <v>13864</v>
      </c>
    </row>
    <row r="7982" spans="1:10" x14ac:dyDescent="0.3">
      <c r="A7982" t="s">
        <v>8109</v>
      </c>
      <c r="B7982" s="1">
        <v>45801</v>
      </c>
      <c r="C7982" t="s">
        <v>90</v>
      </c>
      <c r="D7982">
        <v>21</v>
      </c>
      <c r="E7982" t="s">
        <v>33</v>
      </c>
      <c r="F7982" t="s">
        <v>25</v>
      </c>
      <c r="G7982" t="s">
        <v>115</v>
      </c>
      <c r="H7982" t="s">
        <v>163</v>
      </c>
      <c r="I7982">
        <v>37055</v>
      </c>
      <c r="J7982">
        <v>46825</v>
      </c>
    </row>
    <row r="7983" spans="1:10" x14ac:dyDescent="0.3">
      <c r="A7983" t="s">
        <v>8110</v>
      </c>
      <c r="B7983" s="1">
        <v>45924</v>
      </c>
      <c r="C7983" t="s">
        <v>38</v>
      </c>
      <c r="D7983">
        <v>39</v>
      </c>
      <c r="E7983" t="s">
        <v>12</v>
      </c>
      <c r="F7983" t="s">
        <v>193</v>
      </c>
      <c r="G7983" t="s">
        <v>171</v>
      </c>
      <c r="H7983" t="s">
        <v>111</v>
      </c>
      <c r="I7983">
        <v>28921</v>
      </c>
      <c r="J7983">
        <v>35434</v>
      </c>
    </row>
    <row r="7984" spans="1:10" x14ac:dyDescent="0.3">
      <c r="A7984" t="s">
        <v>8111</v>
      </c>
      <c r="B7984" s="1">
        <v>45910</v>
      </c>
      <c r="C7984" t="s">
        <v>38</v>
      </c>
      <c r="D7984">
        <v>37</v>
      </c>
      <c r="E7984" t="s">
        <v>24</v>
      </c>
      <c r="F7984" t="s">
        <v>140</v>
      </c>
      <c r="G7984" t="s">
        <v>51</v>
      </c>
      <c r="H7984" t="s">
        <v>151</v>
      </c>
      <c r="I7984">
        <v>18554</v>
      </c>
      <c r="J7984">
        <v>16196</v>
      </c>
    </row>
    <row r="7985" spans="1:10" x14ac:dyDescent="0.3">
      <c r="A7985" t="s">
        <v>8112</v>
      </c>
      <c r="B7985" s="1">
        <v>45830</v>
      </c>
      <c r="C7985" t="s">
        <v>74</v>
      </c>
      <c r="D7985">
        <v>25</v>
      </c>
      <c r="E7985" t="s">
        <v>24</v>
      </c>
      <c r="F7985" t="s">
        <v>29</v>
      </c>
      <c r="G7985" t="s">
        <v>63</v>
      </c>
      <c r="H7985" t="s">
        <v>80</v>
      </c>
      <c r="I7985">
        <v>28144</v>
      </c>
      <c r="J7985">
        <v>28635</v>
      </c>
    </row>
    <row r="7986" spans="1:10" x14ac:dyDescent="0.3">
      <c r="A7986" t="s">
        <v>8113</v>
      </c>
      <c r="B7986" s="1">
        <v>45807</v>
      </c>
      <c r="C7986" t="s">
        <v>90</v>
      </c>
      <c r="D7986">
        <v>22</v>
      </c>
      <c r="E7986" t="s">
        <v>33</v>
      </c>
      <c r="F7986" t="s">
        <v>75</v>
      </c>
      <c r="G7986" t="s">
        <v>40</v>
      </c>
      <c r="H7986" t="s">
        <v>31</v>
      </c>
      <c r="I7986">
        <v>17253</v>
      </c>
      <c r="J7986">
        <v>16735</v>
      </c>
    </row>
    <row r="7987" spans="1:10" x14ac:dyDescent="0.3">
      <c r="A7987" t="s">
        <v>8114</v>
      </c>
      <c r="B7987" s="1">
        <v>45793</v>
      </c>
      <c r="C7987" t="s">
        <v>90</v>
      </c>
      <c r="D7987">
        <v>20</v>
      </c>
      <c r="E7987" t="s">
        <v>33</v>
      </c>
      <c r="F7987" t="s">
        <v>29</v>
      </c>
      <c r="G7987" t="s">
        <v>191</v>
      </c>
      <c r="H7987" t="s">
        <v>21</v>
      </c>
      <c r="I7987">
        <v>39043</v>
      </c>
      <c r="J7987">
        <v>44226</v>
      </c>
    </row>
    <row r="7988" spans="1:10" x14ac:dyDescent="0.3">
      <c r="A7988" t="s">
        <v>8115</v>
      </c>
      <c r="B7988" s="1">
        <v>45995</v>
      </c>
      <c r="C7988" t="s">
        <v>100</v>
      </c>
      <c r="D7988">
        <v>49</v>
      </c>
      <c r="E7988" t="s">
        <v>33</v>
      </c>
      <c r="F7988" t="s">
        <v>25</v>
      </c>
      <c r="G7988" t="s">
        <v>130</v>
      </c>
      <c r="H7988" t="s">
        <v>155</v>
      </c>
      <c r="I7988">
        <v>31643</v>
      </c>
      <c r="J7988">
        <v>25642</v>
      </c>
    </row>
    <row r="7989" spans="1:10" x14ac:dyDescent="0.3">
      <c r="A7989" t="s">
        <v>8116</v>
      </c>
      <c r="B7989" s="1">
        <v>45758</v>
      </c>
      <c r="C7989" t="s">
        <v>86</v>
      </c>
      <c r="D7989">
        <v>15</v>
      </c>
      <c r="E7989" t="s">
        <v>33</v>
      </c>
      <c r="F7989" t="s">
        <v>101</v>
      </c>
      <c r="G7989" t="s">
        <v>130</v>
      </c>
      <c r="H7989" t="s">
        <v>64</v>
      </c>
      <c r="I7989">
        <v>26481</v>
      </c>
      <c r="J7989">
        <v>19580</v>
      </c>
    </row>
    <row r="7990" spans="1:10" x14ac:dyDescent="0.3">
      <c r="A7990" t="s">
        <v>8117</v>
      </c>
      <c r="B7990" s="1">
        <v>45838</v>
      </c>
      <c r="C7990" t="s">
        <v>74</v>
      </c>
      <c r="D7990">
        <v>27</v>
      </c>
      <c r="E7990" t="s">
        <v>61</v>
      </c>
      <c r="F7990" t="s">
        <v>19</v>
      </c>
      <c r="G7990" t="s">
        <v>40</v>
      </c>
      <c r="H7990" t="s">
        <v>31</v>
      </c>
      <c r="I7990">
        <v>15301</v>
      </c>
      <c r="J7990">
        <v>17988</v>
      </c>
    </row>
    <row r="7991" spans="1:10" x14ac:dyDescent="0.3">
      <c r="A7991" t="s">
        <v>8118</v>
      </c>
      <c r="B7991" s="1">
        <v>45956</v>
      </c>
      <c r="C7991" t="s">
        <v>66</v>
      </c>
      <c r="D7991">
        <v>43</v>
      </c>
      <c r="E7991" t="s">
        <v>39</v>
      </c>
      <c r="F7991" t="s">
        <v>109</v>
      </c>
      <c r="G7991" t="s">
        <v>149</v>
      </c>
      <c r="H7991" t="s">
        <v>119</v>
      </c>
      <c r="I7991">
        <v>34206</v>
      </c>
      <c r="J7991">
        <v>43297</v>
      </c>
    </row>
    <row r="7992" spans="1:10" x14ac:dyDescent="0.3">
      <c r="A7992" t="s">
        <v>8119</v>
      </c>
      <c r="B7992" s="1">
        <v>45749</v>
      </c>
      <c r="C7992" t="s">
        <v>86</v>
      </c>
      <c r="D7992">
        <v>14</v>
      </c>
      <c r="E7992" t="s">
        <v>18</v>
      </c>
      <c r="F7992" t="s">
        <v>140</v>
      </c>
      <c r="G7992" t="s">
        <v>191</v>
      </c>
      <c r="H7992" t="s">
        <v>188</v>
      </c>
      <c r="I7992">
        <v>29354</v>
      </c>
      <c r="J7992">
        <v>38133</v>
      </c>
    </row>
    <row r="7993" spans="1:10" x14ac:dyDescent="0.3">
      <c r="A7993" t="s">
        <v>8120</v>
      </c>
      <c r="B7993" s="1">
        <v>45715</v>
      </c>
      <c r="C7993" t="s">
        <v>82</v>
      </c>
      <c r="D7993">
        <v>9</v>
      </c>
      <c r="E7993" t="s">
        <v>70</v>
      </c>
      <c r="F7993" t="s">
        <v>92</v>
      </c>
      <c r="G7993" t="s">
        <v>40</v>
      </c>
      <c r="H7993" t="s">
        <v>64</v>
      </c>
      <c r="I7993">
        <v>37871</v>
      </c>
      <c r="J7993">
        <v>36544</v>
      </c>
    </row>
    <row r="7994" spans="1:10" x14ac:dyDescent="0.3">
      <c r="A7994" t="s">
        <v>8121</v>
      </c>
      <c r="B7994" s="1">
        <v>45750</v>
      </c>
      <c r="C7994" t="s">
        <v>86</v>
      </c>
      <c r="D7994">
        <v>14</v>
      </c>
      <c r="E7994" t="s">
        <v>12</v>
      </c>
      <c r="F7994" t="s">
        <v>19</v>
      </c>
      <c r="G7994" t="s">
        <v>291</v>
      </c>
      <c r="H7994" t="s">
        <v>64</v>
      </c>
      <c r="I7994">
        <v>30886</v>
      </c>
      <c r="J7994">
        <v>38863</v>
      </c>
    </row>
    <row r="7995" spans="1:10" x14ac:dyDescent="0.3">
      <c r="A7995" t="s">
        <v>8122</v>
      </c>
      <c r="B7995" s="1">
        <v>45927</v>
      </c>
      <c r="C7995" t="s">
        <v>38</v>
      </c>
      <c r="D7995">
        <v>39</v>
      </c>
      <c r="E7995" t="s">
        <v>12</v>
      </c>
      <c r="F7995" t="s">
        <v>19</v>
      </c>
      <c r="G7995" t="s">
        <v>83</v>
      </c>
      <c r="H7995" t="s">
        <v>165</v>
      </c>
      <c r="I7995">
        <v>24724</v>
      </c>
      <c r="J7995">
        <v>22182</v>
      </c>
    </row>
    <row r="7996" spans="1:10" x14ac:dyDescent="0.3">
      <c r="A7996" t="s">
        <v>8123</v>
      </c>
      <c r="B7996" s="1">
        <v>45785</v>
      </c>
      <c r="C7996" t="s">
        <v>90</v>
      </c>
      <c r="D7996">
        <v>19</v>
      </c>
      <c r="E7996" t="s">
        <v>39</v>
      </c>
      <c r="F7996" t="s">
        <v>57</v>
      </c>
      <c r="G7996" t="s">
        <v>253</v>
      </c>
      <c r="H7996" t="s">
        <v>116</v>
      </c>
      <c r="I7996">
        <v>36327</v>
      </c>
      <c r="J7996">
        <v>35101</v>
      </c>
    </row>
    <row r="7997" spans="1:10" x14ac:dyDescent="0.3">
      <c r="A7997" t="s">
        <v>8124</v>
      </c>
      <c r="B7997" s="1">
        <v>45715</v>
      </c>
      <c r="C7997" t="s">
        <v>82</v>
      </c>
      <c r="D7997">
        <v>9</v>
      </c>
      <c r="E7997" t="s">
        <v>33</v>
      </c>
      <c r="F7997" t="s">
        <v>78</v>
      </c>
      <c r="G7997" t="s">
        <v>93</v>
      </c>
      <c r="H7997" t="s">
        <v>27</v>
      </c>
      <c r="I7997">
        <v>36161</v>
      </c>
      <c r="J7997">
        <v>31957</v>
      </c>
    </row>
    <row r="7998" spans="1:10" x14ac:dyDescent="0.3">
      <c r="A7998" t="s">
        <v>8125</v>
      </c>
      <c r="B7998" s="1">
        <v>45779</v>
      </c>
      <c r="C7998" t="s">
        <v>90</v>
      </c>
      <c r="D7998">
        <v>18</v>
      </c>
      <c r="E7998" t="s">
        <v>18</v>
      </c>
      <c r="F7998" t="s">
        <v>87</v>
      </c>
      <c r="G7998" t="s">
        <v>135</v>
      </c>
      <c r="H7998" t="s">
        <v>80</v>
      </c>
      <c r="I7998">
        <v>28254</v>
      </c>
      <c r="J7998">
        <v>27165</v>
      </c>
    </row>
    <row r="7999" spans="1:10" x14ac:dyDescent="0.3">
      <c r="A7999" t="s">
        <v>8126</v>
      </c>
      <c r="B7999" s="1">
        <v>45913</v>
      </c>
      <c r="C7999" t="s">
        <v>38</v>
      </c>
      <c r="D7999">
        <v>37</v>
      </c>
      <c r="E7999" t="s">
        <v>18</v>
      </c>
      <c r="F7999" t="s">
        <v>19</v>
      </c>
      <c r="G7999" t="s">
        <v>128</v>
      </c>
      <c r="H7999" t="s">
        <v>55</v>
      </c>
      <c r="I7999">
        <v>33277</v>
      </c>
      <c r="J7999">
        <v>38765</v>
      </c>
    </row>
    <row r="8000" spans="1:10" x14ac:dyDescent="0.3">
      <c r="A8000" t="s">
        <v>8127</v>
      </c>
      <c r="B8000" s="1">
        <v>45724</v>
      </c>
      <c r="C8000" t="s">
        <v>95</v>
      </c>
      <c r="D8000">
        <v>10</v>
      </c>
      <c r="E8000" t="s">
        <v>18</v>
      </c>
      <c r="F8000" t="s">
        <v>75</v>
      </c>
      <c r="G8000" t="s">
        <v>135</v>
      </c>
      <c r="H8000" t="s">
        <v>52</v>
      </c>
      <c r="I8000">
        <v>29377</v>
      </c>
      <c r="J8000">
        <v>31746</v>
      </c>
    </row>
    <row r="8001" spans="1:10" x14ac:dyDescent="0.3">
      <c r="A8001" t="s">
        <v>8128</v>
      </c>
      <c r="B8001" s="1">
        <v>45799</v>
      </c>
      <c r="C8001" t="s">
        <v>90</v>
      </c>
      <c r="D8001">
        <v>21</v>
      </c>
      <c r="E8001" t="s">
        <v>33</v>
      </c>
      <c r="F8001" t="s">
        <v>46</v>
      </c>
      <c r="G8001" t="s">
        <v>141</v>
      </c>
      <c r="H8001" t="s">
        <v>188</v>
      </c>
      <c r="I8001">
        <v>37537</v>
      </c>
      <c r="J8001">
        <v>40537</v>
      </c>
    </row>
    <row r="8002" spans="1:10" x14ac:dyDescent="0.3">
      <c r="A8002" t="s">
        <v>8129</v>
      </c>
      <c r="B8002" s="1">
        <v>45789</v>
      </c>
      <c r="C8002" t="s">
        <v>90</v>
      </c>
      <c r="D8002">
        <v>20</v>
      </c>
      <c r="E8002" t="s">
        <v>70</v>
      </c>
      <c r="F8002" t="s">
        <v>78</v>
      </c>
      <c r="G8002" t="s">
        <v>253</v>
      </c>
      <c r="H8002" t="s">
        <v>68</v>
      </c>
      <c r="I8002">
        <v>19272</v>
      </c>
      <c r="J8002">
        <v>23894</v>
      </c>
    </row>
    <row r="8003" spans="1:10" x14ac:dyDescent="0.3">
      <c r="A8003" t="s">
        <v>8130</v>
      </c>
      <c r="B8003" s="1">
        <v>45842</v>
      </c>
      <c r="C8003" t="s">
        <v>11</v>
      </c>
      <c r="D8003">
        <v>27</v>
      </c>
      <c r="E8003" t="s">
        <v>18</v>
      </c>
      <c r="F8003" t="s">
        <v>43</v>
      </c>
      <c r="G8003" t="s">
        <v>182</v>
      </c>
      <c r="H8003" t="s">
        <v>27</v>
      </c>
      <c r="I8003">
        <v>15005</v>
      </c>
      <c r="J8003">
        <v>17993</v>
      </c>
    </row>
    <row r="8004" spans="1:10" x14ac:dyDescent="0.3">
      <c r="A8004" t="s">
        <v>8131</v>
      </c>
      <c r="B8004" s="1">
        <v>45880</v>
      </c>
      <c r="C8004" t="s">
        <v>113</v>
      </c>
      <c r="D8004">
        <v>33</v>
      </c>
      <c r="E8004" t="s">
        <v>24</v>
      </c>
      <c r="F8004" t="s">
        <v>193</v>
      </c>
      <c r="G8004" t="s">
        <v>224</v>
      </c>
      <c r="H8004" t="s">
        <v>123</v>
      </c>
      <c r="I8004">
        <v>29104</v>
      </c>
      <c r="J8004">
        <v>37306</v>
      </c>
    </row>
    <row r="8005" spans="1:10" x14ac:dyDescent="0.3">
      <c r="A8005" t="s">
        <v>8132</v>
      </c>
      <c r="B8005" s="1">
        <v>45813</v>
      </c>
      <c r="C8005" t="s">
        <v>74</v>
      </c>
      <c r="D8005">
        <v>23</v>
      </c>
      <c r="E8005" t="s">
        <v>61</v>
      </c>
      <c r="F8005" t="s">
        <v>19</v>
      </c>
      <c r="G8005" t="s">
        <v>107</v>
      </c>
      <c r="H8005" t="s">
        <v>103</v>
      </c>
      <c r="I8005">
        <v>27521</v>
      </c>
      <c r="J8005">
        <v>22295</v>
      </c>
    </row>
    <row r="8006" spans="1:10" x14ac:dyDescent="0.3">
      <c r="A8006" t="s">
        <v>8133</v>
      </c>
      <c r="B8006" s="1">
        <v>45732</v>
      </c>
      <c r="C8006" t="s">
        <v>95</v>
      </c>
      <c r="D8006">
        <v>11</v>
      </c>
      <c r="E8006" t="s">
        <v>33</v>
      </c>
      <c r="F8006" t="s">
        <v>101</v>
      </c>
      <c r="G8006" t="s">
        <v>128</v>
      </c>
      <c r="H8006" t="s">
        <v>133</v>
      </c>
      <c r="I8006">
        <v>30298</v>
      </c>
      <c r="J8006">
        <v>33731</v>
      </c>
    </row>
    <row r="8007" spans="1:10" x14ac:dyDescent="0.3">
      <c r="A8007" t="s">
        <v>8134</v>
      </c>
      <c r="B8007" s="1">
        <v>45873</v>
      </c>
      <c r="C8007" t="s">
        <v>113</v>
      </c>
      <c r="D8007">
        <v>32</v>
      </c>
      <c r="E8007" t="s">
        <v>61</v>
      </c>
      <c r="F8007" t="s">
        <v>78</v>
      </c>
      <c r="G8007" t="s">
        <v>47</v>
      </c>
      <c r="H8007" t="s">
        <v>59</v>
      </c>
      <c r="I8007">
        <v>37126</v>
      </c>
      <c r="J8007">
        <v>43671</v>
      </c>
    </row>
    <row r="8008" spans="1:10" x14ac:dyDescent="0.3">
      <c r="A8008" t="s">
        <v>8135</v>
      </c>
      <c r="B8008" s="1">
        <v>45695</v>
      </c>
      <c r="C8008" t="s">
        <v>82</v>
      </c>
      <c r="D8008">
        <v>6</v>
      </c>
      <c r="E8008" t="s">
        <v>33</v>
      </c>
      <c r="F8008" t="s">
        <v>193</v>
      </c>
      <c r="G8008" t="s">
        <v>182</v>
      </c>
      <c r="H8008" t="s">
        <v>123</v>
      </c>
      <c r="I8008">
        <v>35416</v>
      </c>
      <c r="J8008">
        <v>41339</v>
      </c>
    </row>
    <row r="8009" spans="1:10" x14ac:dyDescent="0.3">
      <c r="A8009" t="s">
        <v>8136</v>
      </c>
      <c r="B8009" s="1">
        <v>45921</v>
      </c>
      <c r="C8009" t="s">
        <v>38</v>
      </c>
      <c r="D8009">
        <v>38</v>
      </c>
      <c r="E8009" t="s">
        <v>33</v>
      </c>
      <c r="F8009" t="s">
        <v>87</v>
      </c>
      <c r="G8009" t="s">
        <v>115</v>
      </c>
      <c r="H8009" t="s">
        <v>98</v>
      </c>
      <c r="I8009">
        <v>27578</v>
      </c>
      <c r="J8009">
        <v>20540</v>
      </c>
    </row>
    <row r="8010" spans="1:10" x14ac:dyDescent="0.3">
      <c r="A8010" t="s">
        <v>8137</v>
      </c>
      <c r="B8010" s="1">
        <v>45796</v>
      </c>
      <c r="C8010" t="s">
        <v>90</v>
      </c>
      <c r="D8010">
        <v>21</v>
      </c>
      <c r="E8010" t="s">
        <v>39</v>
      </c>
      <c r="F8010" t="s">
        <v>62</v>
      </c>
      <c r="G8010" t="s">
        <v>201</v>
      </c>
      <c r="H8010" t="s">
        <v>151</v>
      </c>
      <c r="I8010">
        <v>36277</v>
      </c>
      <c r="J8010">
        <v>26926</v>
      </c>
    </row>
    <row r="8011" spans="1:10" x14ac:dyDescent="0.3">
      <c r="A8011" t="s">
        <v>8138</v>
      </c>
      <c r="B8011" s="1">
        <v>45761</v>
      </c>
      <c r="C8011" t="s">
        <v>86</v>
      </c>
      <c r="D8011">
        <v>16</v>
      </c>
      <c r="E8011" t="s">
        <v>24</v>
      </c>
      <c r="F8011" t="s">
        <v>92</v>
      </c>
      <c r="G8011" t="s">
        <v>137</v>
      </c>
      <c r="H8011" t="s">
        <v>84</v>
      </c>
      <c r="I8011">
        <v>20382</v>
      </c>
      <c r="J8011">
        <v>15111</v>
      </c>
    </row>
    <row r="8012" spans="1:10" x14ac:dyDescent="0.3">
      <c r="A8012" t="s">
        <v>8139</v>
      </c>
      <c r="B8012" s="1">
        <v>45673</v>
      </c>
      <c r="C8012" t="s">
        <v>17</v>
      </c>
      <c r="D8012">
        <v>3</v>
      </c>
      <c r="E8012" t="s">
        <v>39</v>
      </c>
      <c r="F8012" t="s">
        <v>75</v>
      </c>
      <c r="G8012" t="s">
        <v>110</v>
      </c>
      <c r="H8012" t="s">
        <v>119</v>
      </c>
      <c r="I8012">
        <v>35949</v>
      </c>
      <c r="J8012">
        <v>27196</v>
      </c>
    </row>
    <row r="8013" spans="1:10" x14ac:dyDescent="0.3">
      <c r="A8013" t="s">
        <v>8140</v>
      </c>
      <c r="B8013" s="1">
        <v>46000</v>
      </c>
      <c r="C8013" t="s">
        <v>100</v>
      </c>
      <c r="D8013">
        <v>50</v>
      </c>
      <c r="E8013" t="s">
        <v>33</v>
      </c>
      <c r="F8013" t="s">
        <v>75</v>
      </c>
      <c r="G8013" t="s">
        <v>191</v>
      </c>
      <c r="H8013" t="s">
        <v>52</v>
      </c>
      <c r="I8013">
        <v>18716</v>
      </c>
      <c r="J8013">
        <v>18361</v>
      </c>
    </row>
    <row r="8014" spans="1:10" x14ac:dyDescent="0.3">
      <c r="A8014" t="s">
        <v>8141</v>
      </c>
      <c r="B8014" s="1">
        <v>45777</v>
      </c>
      <c r="C8014" t="s">
        <v>86</v>
      </c>
      <c r="D8014">
        <v>18</v>
      </c>
      <c r="E8014" t="s">
        <v>18</v>
      </c>
      <c r="F8014" t="s">
        <v>140</v>
      </c>
      <c r="G8014" t="s">
        <v>201</v>
      </c>
      <c r="H8014" t="s">
        <v>41</v>
      </c>
      <c r="I8014">
        <v>28337</v>
      </c>
      <c r="J8014">
        <v>20913</v>
      </c>
    </row>
    <row r="8015" spans="1:10" x14ac:dyDescent="0.3">
      <c r="A8015" t="s">
        <v>8142</v>
      </c>
      <c r="B8015" s="1">
        <v>45879</v>
      </c>
      <c r="C8015" t="s">
        <v>113</v>
      </c>
      <c r="D8015">
        <v>32</v>
      </c>
      <c r="E8015" t="s">
        <v>24</v>
      </c>
      <c r="F8015" t="s">
        <v>29</v>
      </c>
      <c r="G8015" t="s">
        <v>35</v>
      </c>
      <c r="H8015" t="s">
        <v>15</v>
      </c>
      <c r="I8015">
        <v>21704</v>
      </c>
      <c r="J8015">
        <v>20798</v>
      </c>
    </row>
    <row r="8016" spans="1:10" x14ac:dyDescent="0.3">
      <c r="A8016" t="s">
        <v>8143</v>
      </c>
      <c r="B8016" s="1">
        <v>45731</v>
      </c>
      <c r="C8016" t="s">
        <v>95</v>
      </c>
      <c r="D8016">
        <v>11</v>
      </c>
      <c r="E8016" t="s">
        <v>12</v>
      </c>
      <c r="F8016" t="s">
        <v>140</v>
      </c>
      <c r="G8016" t="s">
        <v>149</v>
      </c>
      <c r="H8016" t="s">
        <v>64</v>
      </c>
      <c r="I8016">
        <v>33560</v>
      </c>
      <c r="J8016">
        <v>35448</v>
      </c>
    </row>
    <row r="8017" spans="1:10" x14ac:dyDescent="0.3">
      <c r="A8017" t="s">
        <v>8144</v>
      </c>
      <c r="B8017" s="1">
        <v>46015</v>
      </c>
      <c r="C8017" t="s">
        <v>100</v>
      </c>
      <c r="D8017">
        <v>52</v>
      </c>
      <c r="E8017" t="s">
        <v>70</v>
      </c>
      <c r="F8017" t="s">
        <v>46</v>
      </c>
      <c r="G8017" t="s">
        <v>128</v>
      </c>
      <c r="H8017" t="s">
        <v>68</v>
      </c>
      <c r="I8017">
        <v>34097</v>
      </c>
      <c r="J8017">
        <v>35491</v>
      </c>
    </row>
    <row r="8018" spans="1:10" x14ac:dyDescent="0.3">
      <c r="A8018" t="s">
        <v>8145</v>
      </c>
      <c r="B8018" s="1">
        <v>45659</v>
      </c>
      <c r="C8018" t="s">
        <v>17</v>
      </c>
      <c r="D8018">
        <v>1</v>
      </c>
      <c r="E8018" t="s">
        <v>18</v>
      </c>
      <c r="F8018" t="s">
        <v>122</v>
      </c>
      <c r="G8018" t="s">
        <v>182</v>
      </c>
      <c r="H8018" t="s">
        <v>98</v>
      </c>
      <c r="I8018">
        <v>35654</v>
      </c>
      <c r="J8018">
        <v>33913</v>
      </c>
    </row>
    <row r="8019" spans="1:10" x14ac:dyDescent="0.3">
      <c r="A8019" t="s">
        <v>8146</v>
      </c>
      <c r="B8019" s="1">
        <v>45790</v>
      </c>
      <c r="C8019" t="s">
        <v>90</v>
      </c>
      <c r="D8019">
        <v>20</v>
      </c>
      <c r="E8019" t="s">
        <v>33</v>
      </c>
      <c r="F8019" t="s">
        <v>92</v>
      </c>
      <c r="G8019" t="s">
        <v>44</v>
      </c>
      <c r="H8019" t="s">
        <v>84</v>
      </c>
      <c r="I8019">
        <v>34954</v>
      </c>
      <c r="J8019">
        <v>26623</v>
      </c>
    </row>
    <row r="8020" spans="1:10" x14ac:dyDescent="0.3">
      <c r="A8020" t="s">
        <v>8147</v>
      </c>
      <c r="B8020" s="1">
        <v>46002</v>
      </c>
      <c r="C8020" t="s">
        <v>100</v>
      </c>
      <c r="D8020">
        <v>50</v>
      </c>
      <c r="E8020" t="s">
        <v>12</v>
      </c>
      <c r="F8020" t="s">
        <v>193</v>
      </c>
      <c r="G8020" t="s">
        <v>44</v>
      </c>
      <c r="H8020" t="s">
        <v>41</v>
      </c>
      <c r="I8020">
        <v>15769</v>
      </c>
      <c r="J8020">
        <v>18431</v>
      </c>
    </row>
    <row r="8021" spans="1:10" x14ac:dyDescent="0.3">
      <c r="A8021" t="s">
        <v>8148</v>
      </c>
      <c r="B8021" s="1">
        <v>45863</v>
      </c>
      <c r="C8021" t="s">
        <v>11</v>
      </c>
      <c r="D8021">
        <v>30</v>
      </c>
      <c r="E8021" t="s">
        <v>39</v>
      </c>
      <c r="F8021" t="s">
        <v>29</v>
      </c>
      <c r="G8021" t="s">
        <v>14</v>
      </c>
      <c r="H8021" t="s">
        <v>98</v>
      </c>
      <c r="I8021">
        <v>37737</v>
      </c>
      <c r="J8021">
        <v>48238</v>
      </c>
    </row>
    <row r="8022" spans="1:10" x14ac:dyDescent="0.3">
      <c r="A8022" t="s">
        <v>8149</v>
      </c>
      <c r="B8022" s="1">
        <v>45768</v>
      </c>
      <c r="C8022" t="s">
        <v>86</v>
      </c>
      <c r="D8022">
        <v>17</v>
      </c>
      <c r="E8022" t="s">
        <v>24</v>
      </c>
      <c r="F8022" t="s">
        <v>114</v>
      </c>
      <c r="G8022" t="s">
        <v>206</v>
      </c>
      <c r="H8022" t="s">
        <v>111</v>
      </c>
      <c r="I8022">
        <v>38733</v>
      </c>
      <c r="J8022">
        <v>47915</v>
      </c>
    </row>
    <row r="8023" spans="1:10" x14ac:dyDescent="0.3">
      <c r="A8023" t="s">
        <v>8150</v>
      </c>
      <c r="B8023" s="1">
        <v>45847</v>
      </c>
      <c r="C8023" t="s">
        <v>11</v>
      </c>
      <c r="D8023">
        <v>28</v>
      </c>
      <c r="E8023" t="s">
        <v>12</v>
      </c>
      <c r="F8023" t="s">
        <v>29</v>
      </c>
      <c r="G8023" t="s">
        <v>291</v>
      </c>
      <c r="H8023" t="s">
        <v>157</v>
      </c>
      <c r="I8023">
        <v>31127</v>
      </c>
      <c r="J8023">
        <v>26996</v>
      </c>
    </row>
    <row r="8024" spans="1:10" x14ac:dyDescent="0.3">
      <c r="A8024" t="s">
        <v>8151</v>
      </c>
      <c r="B8024" s="1">
        <v>45740</v>
      </c>
      <c r="C8024" t="s">
        <v>95</v>
      </c>
      <c r="D8024">
        <v>13</v>
      </c>
      <c r="E8024" t="s">
        <v>12</v>
      </c>
      <c r="F8024" t="s">
        <v>43</v>
      </c>
      <c r="G8024" t="s">
        <v>160</v>
      </c>
      <c r="H8024" t="s">
        <v>243</v>
      </c>
      <c r="I8024">
        <v>37976</v>
      </c>
      <c r="J8024">
        <v>30430</v>
      </c>
    </row>
    <row r="8025" spans="1:10" x14ac:dyDescent="0.3">
      <c r="A8025" t="s">
        <v>8152</v>
      </c>
      <c r="B8025" s="1">
        <v>45915</v>
      </c>
      <c r="C8025" t="s">
        <v>38</v>
      </c>
      <c r="D8025">
        <v>38</v>
      </c>
      <c r="E8025" t="s">
        <v>24</v>
      </c>
      <c r="F8025" t="s">
        <v>46</v>
      </c>
      <c r="G8025" t="s">
        <v>201</v>
      </c>
      <c r="H8025" t="s">
        <v>103</v>
      </c>
      <c r="I8025">
        <v>39387</v>
      </c>
      <c r="J8025">
        <v>33012</v>
      </c>
    </row>
    <row r="8026" spans="1:10" x14ac:dyDescent="0.3">
      <c r="A8026" t="s">
        <v>8153</v>
      </c>
      <c r="B8026" s="1">
        <v>45990</v>
      </c>
      <c r="C8026" t="s">
        <v>23</v>
      </c>
      <c r="D8026">
        <v>48</v>
      </c>
      <c r="E8026" t="s">
        <v>24</v>
      </c>
      <c r="F8026" t="s">
        <v>75</v>
      </c>
      <c r="G8026" t="s">
        <v>224</v>
      </c>
      <c r="H8026" t="s">
        <v>48</v>
      </c>
      <c r="I8026">
        <v>35719</v>
      </c>
      <c r="J8026">
        <v>44961</v>
      </c>
    </row>
    <row r="8027" spans="1:10" x14ac:dyDescent="0.3">
      <c r="A8027" t="s">
        <v>8154</v>
      </c>
      <c r="B8027" s="1">
        <v>45943</v>
      </c>
      <c r="C8027" t="s">
        <v>66</v>
      </c>
      <c r="D8027">
        <v>42</v>
      </c>
      <c r="E8027" t="s">
        <v>24</v>
      </c>
      <c r="F8027" t="s">
        <v>57</v>
      </c>
      <c r="G8027" t="s">
        <v>191</v>
      </c>
      <c r="H8027" t="s">
        <v>157</v>
      </c>
      <c r="I8027">
        <v>28055</v>
      </c>
      <c r="J8027">
        <v>25393</v>
      </c>
    </row>
    <row r="8028" spans="1:10" x14ac:dyDescent="0.3">
      <c r="A8028" t="s">
        <v>8155</v>
      </c>
      <c r="B8028" s="1">
        <v>45715</v>
      </c>
      <c r="C8028" t="s">
        <v>82</v>
      </c>
      <c r="D8028">
        <v>9</v>
      </c>
      <c r="E8028" t="s">
        <v>33</v>
      </c>
      <c r="F8028" t="s">
        <v>75</v>
      </c>
      <c r="G8028" t="s">
        <v>83</v>
      </c>
      <c r="H8028" t="s">
        <v>64</v>
      </c>
      <c r="I8028">
        <v>31239</v>
      </c>
      <c r="J8028">
        <v>34439</v>
      </c>
    </row>
    <row r="8029" spans="1:10" x14ac:dyDescent="0.3">
      <c r="A8029" t="s">
        <v>8156</v>
      </c>
      <c r="B8029" s="1">
        <v>45808</v>
      </c>
      <c r="C8029" t="s">
        <v>90</v>
      </c>
      <c r="D8029">
        <v>22</v>
      </c>
      <c r="E8029" t="s">
        <v>61</v>
      </c>
      <c r="F8029" t="s">
        <v>193</v>
      </c>
      <c r="G8029" t="s">
        <v>54</v>
      </c>
      <c r="H8029" t="s">
        <v>243</v>
      </c>
      <c r="I8029">
        <v>25621</v>
      </c>
      <c r="J8029">
        <v>18023</v>
      </c>
    </row>
    <row r="8030" spans="1:10" x14ac:dyDescent="0.3">
      <c r="A8030" t="s">
        <v>8157</v>
      </c>
      <c r="B8030" s="1">
        <v>45662</v>
      </c>
      <c r="C8030" t="s">
        <v>17</v>
      </c>
      <c r="D8030">
        <v>1</v>
      </c>
      <c r="E8030" t="s">
        <v>24</v>
      </c>
      <c r="F8030" t="s">
        <v>140</v>
      </c>
      <c r="G8030" t="s">
        <v>326</v>
      </c>
      <c r="H8030" t="s">
        <v>157</v>
      </c>
      <c r="I8030">
        <v>20754</v>
      </c>
      <c r="J8030">
        <v>21182</v>
      </c>
    </row>
    <row r="8031" spans="1:10" x14ac:dyDescent="0.3">
      <c r="A8031" t="s">
        <v>8158</v>
      </c>
      <c r="B8031" s="1">
        <v>45904</v>
      </c>
      <c r="C8031" t="s">
        <v>38</v>
      </c>
      <c r="D8031">
        <v>36</v>
      </c>
      <c r="E8031" t="s">
        <v>24</v>
      </c>
      <c r="F8031" t="s">
        <v>101</v>
      </c>
      <c r="G8031" t="s">
        <v>58</v>
      </c>
      <c r="H8031" t="s">
        <v>111</v>
      </c>
      <c r="I8031">
        <v>38311</v>
      </c>
      <c r="J8031">
        <v>40376</v>
      </c>
    </row>
    <row r="8032" spans="1:10" x14ac:dyDescent="0.3">
      <c r="A8032" t="s">
        <v>8159</v>
      </c>
      <c r="B8032" s="1">
        <v>45687</v>
      </c>
      <c r="C8032" t="s">
        <v>17</v>
      </c>
      <c r="D8032">
        <v>5</v>
      </c>
      <c r="E8032" t="s">
        <v>61</v>
      </c>
      <c r="F8032" t="s">
        <v>62</v>
      </c>
      <c r="G8032" t="s">
        <v>40</v>
      </c>
      <c r="H8032" t="s">
        <v>68</v>
      </c>
      <c r="I8032">
        <v>28567</v>
      </c>
      <c r="J8032">
        <v>20770</v>
      </c>
    </row>
    <row r="8033" spans="1:10" x14ac:dyDescent="0.3">
      <c r="A8033" t="s">
        <v>8160</v>
      </c>
      <c r="B8033" s="1">
        <v>45966</v>
      </c>
      <c r="C8033" t="s">
        <v>23</v>
      </c>
      <c r="D8033">
        <v>45</v>
      </c>
      <c r="E8033" t="s">
        <v>24</v>
      </c>
      <c r="F8033" t="s">
        <v>29</v>
      </c>
      <c r="G8033" t="s">
        <v>135</v>
      </c>
      <c r="H8033" t="s">
        <v>84</v>
      </c>
      <c r="I8033">
        <v>19056</v>
      </c>
      <c r="J8033">
        <v>18772</v>
      </c>
    </row>
    <row r="8034" spans="1:10" x14ac:dyDescent="0.3">
      <c r="A8034" t="s">
        <v>8161</v>
      </c>
      <c r="B8034" s="1">
        <v>45891</v>
      </c>
      <c r="C8034" t="s">
        <v>113</v>
      </c>
      <c r="D8034">
        <v>34</v>
      </c>
      <c r="E8034" t="s">
        <v>12</v>
      </c>
      <c r="F8034" t="s">
        <v>122</v>
      </c>
      <c r="G8034" t="s">
        <v>88</v>
      </c>
      <c r="H8034" t="s">
        <v>80</v>
      </c>
      <c r="I8034">
        <v>28222</v>
      </c>
      <c r="J8034">
        <v>31826</v>
      </c>
    </row>
    <row r="8035" spans="1:10" x14ac:dyDescent="0.3">
      <c r="A8035" t="s">
        <v>8162</v>
      </c>
      <c r="B8035" s="1">
        <v>45691</v>
      </c>
      <c r="C8035" t="s">
        <v>82</v>
      </c>
      <c r="D8035">
        <v>6</v>
      </c>
      <c r="E8035" t="s">
        <v>24</v>
      </c>
      <c r="F8035" t="s">
        <v>92</v>
      </c>
      <c r="G8035" t="s">
        <v>230</v>
      </c>
      <c r="H8035" t="s">
        <v>163</v>
      </c>
      <c r="I8035">
        <v>31317</v>
      </c>
      <c r="J8035">
        <v>26195</v>
      </c>
    </row>
    <row r="8036" spans="1:10" x14ac:dyDescent="0.3">
      <c r="A8036" t="s">
        <v>8163</v>
      </c>
      <c r="B8036" s="1">
        <v>45994</v>
      </c>
      <c r="C8036" t="s">
        <v>100</v>
      </c>
      <c r="D8036">
        <v>49</v>
      </c>
      <c r="E8036" t="s">
        <v>33</v>
      </c>
      <c r="F8036" t="s">
        <v>50</v>
      </c>
      <c r="G8036" t="s">
        <v>266</v>
      </c>
      <c r="H8036" t="s">
        <v>188</v>
      </c>
      <c r="I8036">
        <v>20628</v>
      </c>
      <c r="J8036">
        <v>18367</v>
      </c>
    </row>
    <row r="8037" spans="1:10" x14ac:dyDescent="0.3">
      <c r="A8037" t="s">
        <v>8164</v>
      </c>
      <c r="B8037" s="1">
        <v>45734</v>
      </c>
      <c r="C8037" t="s">
        <v>95</v>
      </c>
      <c r="D8037">
        <v>12</v>
      </c>
      <c r="E8037" t="s">
        <v>61</v>
      </c>
      <c r="F8037" t="s">
        <v>46</v>
      </c>
      <c r="G8037" t="s">
        <v>79</v>
      </c>
      <c r="H8037" t="s">
        <v>163</v>
      </c>
      <c r="I8037">
        <v>21221</v>
      </c>
      <c r="J8037">
        <v>17037</v>
      </c>
    </row>
    <row r="8038" spans="1:10" x14ac:dyDescent="0.3">
      <c r="A8038" t="s">
        <v>8165</v>
      </c>
      <c r="B8038" s="1">
        <v>45672</v>
      </c>
      <c r="C8038" t="s">
        <v>17</v>
      </c>
      <c r="D8038">
        <v>3</v>
      </c>
      <c r="E8038" t="s">
        <v>33</v>
      </c>
      <c r="F8038" t="s">
        <v>13</v>
      </c>
      <c r="G8038" t="s">
        <v>118</v>
      </c>
      <c r="H8038" t="s">
        <v>243</v>
      </c>
      <c r="I8038">
        <v>28304</v>
      </c>
      <c r="J8038">
        <v>27954</v>
      </c>
    </row>
    <row r="8039" spans="1:10" x14ac:dyDescent="0.3">
      <c r="A8039" t="s">
        <v>8166</v>
      </c>
      <c r="B8039" s="1">
        <v>45920</v>
      </c>
      <c r="C8039" t="s">
        <v>38</v>
      </c>
      <c r="D8039">
        <v>38</v>
      </c>
      <c r="E8039" t="s">
        <v>24</v>
      </c>
      <c r="F8039" t="s">
        <v>34</v>
      </c>
      <c r="G8039" t="s">
        <v>128</v>
      </c>
      <c r="H8039" t="s">
        <v>64</v>
      </c>
      <c r="I8039">
        <v>31989</v>
      </c>
      <c r="J8039">
        <v>29623</v>
      </c>
    </row>
    <row r="8040" spans="1:10" x14ac:dyDescent="0.3">
      <c r="A8040" t="s">
        <v>8167</v>
      </c>
      <c r="B8040" s="1">
        <v>45805</v>
      </c>
      <c r="C8040" t="s">
        <v>90</v>
      </c>
      <c r="D8040">
        <v>22</v>
      </c>
      <c r="E8040" t="s">
        <v>61</v>
      </c>
      <c r="F8040" t="s">
        <v>29</v>
      </c>
      <c r="G8040" t="s">
        <v>253</v>
      </c>
      <c r="H8040" t="s">
        <v>243</v>
      </c>
      <c r="I8040">
        <v>24690</v>
      </c>
      <c r="J8040">
        <v>24035</v>
      </c>
    </row>
    <row r="8041" spans="1:10" x14ac:dyDescent="0.3">
      <c r="A8041" t="s">
        <v>8168</v>
      </c>
      <c r="B8041" s="1">
        <v>45718</v>
      </c>
      <c r="C8041" t="s">
        <v>95</v>
      </c>
      <c r="D8041">
        <v>9</v>
      </c>
      <c r="E8041" t="s">
        <v>12</v>
      </c>
      <c r="F8041" t="s">
        <v>92</v>
      </c>
      <c r="G8041" t="s">
        <v>253</v>
      </c>
      <c r="H8041" t="s">
        <v>48</v>
      </c>
      <c r="I8041">
        <v>17927</v>
      </c>
      <c r="J8041">
        <v>17674</v>
      </c>
    </row>
    <row r="8042" spans="1:10" x14ac:dyDescent="0.3">
      <c r="A8042" t="s">
        <v>8169</v>
      </c>
      <c r="B8042" s="1">
        <v>46010</v>
      </c>
      <c r="C8042" t="s">
        <v>100</v>
      </c>
      <c r="D8042">
        <v>51</v>
      </c>
      <c r="E8042" t="s">
        <v>70</v>
      </c>
      <c r="F8042" t="s">
        <v>46</v>
      </c>
      <c r="G8042" t="s">
        <v>149</v>
      </c>
      <c r="H8042" t="s">
        <v>165</v>
      </c>
      <c r="I8042">
        <v>16345</v>
      </c>
      <c r="J8042">
        <v>18807</v>
      </c>
    </row>
    <row r="8043" spans="1:10" x14ac:dyDescent="0.3">
      <c r="A8043" t="s">
        <v>8170</v>
      </c>
      <c r="B8043" s="1">
        <v>45725</v>
      </c>
      <c r="C8043" t="s">
        <v>95</v>
      </c>
      <c r="D8043">
        <v>10</v>
      </c>
      <c r="E8043" t="s">
        <v>33</v>
      </c>
      <c r="F8043" t="s">
        <v>62</v>
      </c>
      <c r="G8043" t="s">
        <v>266</v>
      </c>
      <c r="H8043" t="s">
        <v>52</v>
      </c>
      <c r="I8043">
        <v>37183</v>
      </c>
      <c r="J8043">
        <v>30848</v>
      </c>
    </row>
    <row r="8044" spans="1:10" x14ac:dyDescent="0.3">
      <c r="A8044" t="s">
        <v>8171</v>
      </c>
      <c r="B8044" s="1">
        <v>45845</v>
      </c>
      <c r="C8044" t="s">
        <v>11</v>
      </c>
      <c r="D8044">
        <v>28</v>
      </c>
      <c r="E8044" t="s">
        <v>39</v>
      </c>
      <c r="F8044" t="s">
        <v>193</v>
      </c>
      <c r="G8044" t="s">
        <v>234</v>
      </c>
      <c r="H8044" t="s">
        <v>155</v>
      </c>
      <c r="I8044">
        <v>23254</v>
      </c>
      <c r="J8044">
        <v>23861</v>
      </c>
    </row>
    <row r="8045" spans="1:10" x14ac:dyDescent="0.3">
      <c r="A8045" t="s">
        <v>8172</v>
      </c>
      <c r="B8045" s="1">
        <v>45922</v>
      </c>
      <c r="C8045" t="s">
        <v>38</v>
      </c>
      <c r="D8045">
        <v>39</v>
      </c>
      <c r="E8045" t="s">
        <v>24</v>
      </c>
      <c r="F8045" t="s">
        <v>25</v>
      </c>
      <c r="G8045" t="s">
        <v>72</v>
      </c>
      <c r="H8045" t="s">
        <v>52</v>
      </c>
      <c r="I8045">
        <v>20842</v>
      </c>
      <c r="J8045">
        <v>18391</v>
      </c>
    </row>
    <row r="8046" spans="1:10" x14ac:dyDescent="0.3">
      <c r="A8046" t="s">
        <v>8173</v>
      </c>
      <c r="B8046" s="1">
        <v>45822</v>
      </c>
      <c r="C8046" t="s">
        <v>74</v>
      </c>
      <c r="D8046">
        <v>24</v>
      </c>
      <c r="E8046" t="s">
        <v>24</v>
      </c>
      <c r="F8046" t="s">
        <v>114</v>
      </c>
      <c r="G8046" t="s">
        <v>324</v>
      </c>
      <c r="H8046" t="s">
        <v>96</v>
      </c>
      <c r="I8046">
        <v>17922</v>
      </c>
      <c r="J8046">
        <v>16963</v>
      </c>
    </row>
    <row r="8047" spans="1:10" x14ac:dyDescent="0.3">
      <c r="A8047" t="s">
        <v>8174</v>
      </c>
      <c r="B8047" s="1">
        <v>45950</v>
      </c>
      <c r="C8047" t="s">
        <v>66</v>
      </c>
      <c r="D8047">
        <v>43</v>
      </c>
      <c r="E8047" t="s">
        <v>33</v>
      </c>
      <c r="F8047" t="s">
        <v>62</v>
      </c>
      <c r="G8047" t="s">
        <v>135</v>
      </c>
      <c r="H8047" t="s">
        <v>211</v>
      </c>
      <c r="I8047">
        <v>38487</v>
      </c>
      <c r="J8047">
        <v>27807</v>
      </c>
    </row>
    <row r="8048" spans="1:10" x14ac:dyDescent="0.3">
      <c r="A8048" t="s">
        <v>8175</v>
      </c>
      <c r="B8048" s="1">
        <v>45702</v>
      </c>
      <c r="C8048" t="s">
        <v>82</v>
      </c>
      <c r="D8048">
        <v>7</v>
      </c>
      <c r="E8048" t="s">
        <v>70</v>
      </c>
      <c r="F8048" t="s">
        <v>114</v>
      </c>
      <c r="G8048" t="s">
        <v>67</v>
      </c>
      <c r="H8048" t="s">
        <v>123</v>
      </c>
      <c r="I8048">
        <v>19040</v>
      </c>
      <c r="J8048">
        <v>14336</v>
      </c>
    </row>
    <row r="8049" spans="1:10" x14ac:dyDescent="0.3">
      <c r="A8049" t="s">
        <v>8176</v>
      </c>
      <c r="B8049" s="1">
        <v>45859</v>
      </c>
      <c r="C8049" t="s">
        <v>11</v>
      </c>
      <c r="D8049">
        <v>30</v>
      </c>
      <c r="E8049" t="s">
        <v>61</v>
      </c>
      <c r="F8049" t="s">
        <v>193</v>
      </c>
      <c r="G8049" t="s">
        <v>126</v>
      </c>
      <c r="H8049" t="s">
        <v>36</v>
      </c>
      <c r="I8049">
        <v>39574</v>
      </c>
      <c r="J8049">
        <v>45970</v>
      </c>
    </row>
    <row r="8050" spans="1:10" x14ac:dyDescent="0.3">
      <c r="A8050" t="s">
        <v>8177</v>
      </c>
      <c r="B8050" s="1">
        <v>45940</v>
      </c>
      <c r="C8050" t="s">
        <v>66</v>
      </c>
      <c r="D8050">
        <v>41</v>
      </c>
      <c r="E8050" t="s">
        <v>70</v>
      </c>
      <c r="F8050" t="s">
        <v>34</v>
      </c>
      <c r="G8050" t="s">
        <v>83</v>
      </c>
      <c r="H8050" t="s">
        <v>98</v>
      </c>
      <c r="I8050">
        <v>18508</v>
      </c>
      <c r="J8050">
        <v>16383</v>
      </c>
    </row>
    <row r="8051" spans="1:10" x14ac:dyDescent="0.3">
      <c r="A8051" t="s">
        <v>8178</v>
      </c>
      <c r="B8051" s="1">
        <v>46007</v>
      </c>
      <c r="C8051" t="s">
        <v>100</v>
      </c>
      <c r="D8051">
        <v>51</v>
      </c>
      <c r="E8051" t="s">
        <v>61</v>
      </c>
      <c r="F8051" t="s">
        <v>92</v>
      </c>
      <c r="G8051" t="s">
        <v>201</v>
      </c>
      <c r="H8051" t="s">
        <v>163</v>
      </c>
      <c r="I8051">
        <v>35896</v>
      </c>
      <c r="J8051">
        <v>28362</v>
      </c>
    </row>
    <row r="8052" spans="1:10" x14ac:dyDescent="0.3">
      <c r="A8052" t="s">
        <v>8179</v>
      </c>
      <c r="B8052" s="1">
        <v>45783</v>
      </c>
      <c r="C8052" t="s">
        <v>90</v>
      </c>
      <c r="D8052">
        <v>19</v>
      </c>
      <c r="E8052" t="s">
        <v>39</v>
      </c>
      <c r="F8052" t="s">
        <v>109</v>
      </c>
      <c r="G8052" t="s">
        <v>35</v>
      </c>
      <c r="H8052" t="s">
        <v>188</v>
      </c>
      <c r="I8052">
        <v>35291</v>
      </c>
      <c r="J8052">
        <v>37964</v>
      </c>
    </row>
    <row r="8053" spans="1:10" x14ac:dyDescent="0.3">
      <c r="A8053" t="s">
        <v>8180</v>
      </c>
      <c r="B8053" s="1">
        <v>45677</v>
      </c>
      <c r="C8053" t="s">
        <v>17</v>
      </c>
      <c r="D8053">
        <v>4</v>
      </c>
      <c r="E8053" t="s">
        <v>12</v>
      </c>
      <c r="F8053" t="s">
        <v>193</v>
      </c>
      <c r="G8053" t="s">
        <v>199</v>
      </c>
      <c r="H8053" t="s">
        <v>111</v>
      </c>
      <c r="I8053">
        <v>28201</v>
      </c>
      <c r="J8053">
        <v>34143</v>
      </c>
    </row>
    <row r="8054" spans="1:10" x14ac:dyDescent="0.3">
      <c r="A8054" t="s">
        <v>8181</v>
      </c>
      <c r="B8054" s="1">
        <v>45834</v>
      </c>
      <c r="C8054" t="s">
        <v>74</v>
      </c>
      <c r="D8054">
        <v>26</v>
      </c>
      <c r="E8054" t="s">
        <v>70</v>
      </c>
      <c r="F8054" t="s">
        <v>19</v>
      </c>
      <c r="G8054" t="s">
        <v>266</v>
      </c>
      <c r="H8054" t="s">
        <v>165</v>
      </c>
      <c r="I8054">
        <v>33394</v>
      </c>
      <c r="J8054">
        <v>42926</v>
      </c>
    </row>
    <row r="8055" spans="1:10" x14ac:dyDescent="0.3">
      <c r="A8055" t="s">
        <v>8182</v>
      </c>
      <c r="B8055" s="1">
        <v>45762</v>
      </c>
      <c r="C8055" t="s">
        <v>86</v>
      </c>
      <c r="D8055">
        <v>16</v>
      </c>
      <c r="E8055" t="s">
        <v>39</v>
      </c>
      <c r="F8055" t="s">
        <v>140</v>
      </c>
      <c r="G8055" t="s">
        <v>182</v>
      </c>
      <c r="H8055" t="s">
        <v>80</v>
      </c>
      <c r="I8055">
        <v>29328</v>
      </c>
      <c r="J8055">
        <v>25973</v>
      </c>
    </row>
    <row r="8056" spans="1:10" x14ac:dyDescent="0.3">
      <c r="A8056" t="s">
        <v>8183</v>
      </c>
      <c r="B8056" s="1">
        <v>46019</v>
      </c>
      <c r="C8056" t="s">
        <v>100</v>
      </c>
      <c r="D8056">
        <v>52</v>
      </c>
      <c r="E8056" t="s">
        <v>18</v>
      </c>
      <c r="F8056" t="s">
        <v>114</v>
      </c>
      <c r="G8056" t="s">
        <v>253</v>
      </c>
      <c r="H8056" t="s">
        <v>155</v>
      </c>
      <c r="I8056">
        <v>16118</v>
      </c>
      <c r="J8056">
        <v>17030</v>
      </c>
    </row>
    <row r="8057" spans="1:10" x14ac:dyDescent="0.3">
      <c r="A8057" t="s">
        <v>8184</v>
      </c>
      <c r="B8057" s="1">
        <v>45692</v>
      </c>
      <c r="C8057" t="s">
        <v>82</v>
      </c>
      <c r="D8057">
        <v>6</v>
      </c>
      <c r="E8057" t="s">
        <v>33</v>
      </c>
      <c r="F8057" t="s">
        <v>122</v>
      </c>
      <c r="G8057" t="s">
        <v>118</v>
      </c>
      <c r="H8057" t="s">
        <v>123</v>
      </c>
      <c r="I8057">
        <v>37464</v>
      </c>
      <c r="J8057">
        <v>29300</v>
      </c>
    </row>
    <row r="8058" spans="1:10" x14ac:dyDescent="0.3">
      <c r="A8058" t="s">
        <v>8185</v>
      </c>
      <c r="B8058" s="1">
        <v>45840</v>
      </c>
      <c r="C8058" t="s">
        <v>11</v>
      </c>
      <c r="D8058">
        <v>27</v>
      </c>
      <c r="E8058" t="s">
        <v>24</v>
      </c>
      <c r="F8058" t="s">
        <v>25</v>
      </c>
      <c r="G8058" t="s">
        <v>201</v>
      </c>
      <c r="H8058" t="s">
        <v>31</v>
      </c>
      <c r="I8058">
        <v>35400</v>
      </c>
      <c r="J8058">
        <v>29198</v>
      </c>
    </row>
    <row r="8059" spans="1:10" x14ac:dyDescent="0.3">
      <c r="A8059" t="s">
        <v>8186</v>
      </c>
      <c r="B8059" s="1">
        <v>45952</v>
      </c>
      <c r="C8059" t="s">
        <v>66</v>
      </c>
      <c r="D8059">
        <v>43</v>
      </c>
      <c r="E8059" t="s">
        <v>24</v>
      </c>
      <c r="F8059" t="s">
        <v>122</v>
      </c>
      <c r="G8059" t="s">
        <v>171</v>
      </c>
      <c r="H8059" t="s">
        <v>165</v>
      </c>
      <c r="I8059">
        <v>39539</v>
      </c>
      <c r="J8059">
        <v>31464</v>
      </c>
    </row>
    <row r="8060" spans="1:10" x14ac:dyDescent="0.3">
      <c r="A8060" t="s">
        <v>8187</v>
      </c>
      <c r="B8060" s="1">
        <v>45927</v>
      </c>
      <c r="C8060" t="s">
        <v>38</v>
      </c>
      <c r="D8060">
        <v>39</v>
      </c>
      <c r="E8060" t="s">
        <v>24</v>
      </c>
      <c r="F8060" t="s">
        <v>29</v>
      </c>
      <c r="G8060" t="s">
        <v>67</v>
      </c>
      <c r="H8060" t="s">
        <v>64</v>
      </c>
      <c r="I8060">
        <v>24731</v>
      </c>
      <c r="J8060">
        <v>27057</v>
      </c>
    </row>
    <row r="8061" spans="1:10" x14ac:dyDescent="0.3">
      <c r="A8061" t="s">
        <v>8188</v>
      </c>
      <c r="B8061" s="1">
        <v>45927</v>
      </c>
      <c r="C8061" t="s">
        <v>38</v>
      </c>
      <c r="D8061">
        <v>39</v>
      </c>
      <c r="E8061" t="s">
        <v>70</v>
      </c>
      <c r="F8061" t="s">
        <v>193</v>
      </c>
      <c r="G8061" t="s">
        <v>79</v>
      </c>
      <c r="H8061" t="s">
        <v>188</v>
      </c>
      <c r="I8061">
        <v>26503</v>
      </c>
      <c r="J8061">
        <v>31314</v>
      </c>
    </row>
    <row r="8062" spans="1:10" x14ac:dyDescent="0.3">
      <c r="A8062" t="s">
        <v>8189</v>
      </c>
      <c r="B8062" s="1">
        <v>45737</v>
      </c>
      <c r="C8062" t="s">
        <v>95</v>
      </c>
      <c r="D8062">
        <v>12</v>
      </c>
      <c r="E8062" t="s">
        <v>33</v>
      </c>
      <c r="F8062" t="s">
        <v>43</v>
      </c>
      <c r="G8062" t="s">
        <v>201</v>
      </c>
      <c r="H8062" t="s">
        <v>157</v>
      </c>
      <c r="I8062">
        <v>28962</v>
      </c>
      <c r="J8062">
        <v>29878</v>
      </c>
    </row>
    <row r="8063" spans="1:10" x14ac:dyDescent="0.3">
      <c r="A8063" t="s">
        <v>8190</v>
      </c>
      <c r="B8063" s="1">
        <v>45862</v>
      </c>
      <c r="C8063" t="s">
        <v>11</v>
      </c>
      <c r="D8063">
        <v>30</v>
      </c>
      <c r="E8063" t="s">
        <v>12</v>
      </c>
      <c r="F8063" t="s">
        <v>114</v>
      </c>
      <c r="G8063" t="s">
        <v>145</v>
      </c>
      <c r="H8063" t="s">
        <v>151</v>
      </c>
      <c r="I8063">
        <v>32147</v>
      </c>
      <c r="J8063">
        <v>25532</v>
      </c>
    </row>
    <row r="8064" spans="1:10" x14ac:dyDescent="0.3">
      <c r="A8064" t="s">
        <v>8191</v>
      </c>
      <c r="B8064" s="1">
        <v>45986</v>
      </c>
      <c r="C8064" t="s">
        <v>23</v>
      </c>
      <c r="D8064">
        <v>48</v>
      </c>
      <c r="E8064" t="s">
        <v>70</v>
      </c>
      <c r="F8064" t="s">
        <v>193</v>
      </c>
      <c r="G8064" t="s">
        <v>326</v>
      </c>
      <c r="H8064" t="s">
        <v>116</v>
      </c>
      <c r="I8064">
        <v>28119</v>
      </c>
      <c r="J8064">
        <v>27071</v>
      </c>
    </row>
    <row r="8065" spans="1:10" x14ac:dyDescent="0.3">
      <c r="A8065" t="s">
        <v>8192</v>
      </c>
      <c r="B8065" s="1">
        <v>45929</v>
      </c>
      <c r="C8065" t="s">
        <v>38</v>
      </c>
      <c r="D8065">
        <v>40</v>
      </c>
      <c r="E8065" t="s">
        <v>39</v>
      </c>
      <c r="F8065" t="s">
        <v>50</v>
      </c>
      <c r="G8065" t="s">
        <v>266</v>
      </c>
      <c r="H8065" t="s">
        <v>243</v>
      </c>
      <c r="I8065">
        <v>24369</v>
      </c>
      <c r="J8065">
        <v>21192</v>
      </c>
    </row>
    <row r="8066" spans="1:10" x14ac:dyDescent="0.3">
      <c r="A8066" t="s">
        <v>8193</v>
      </c>
      <c r="B8066" s="1">
        <v>46012</v>
      </c>
      <c r="C8066" t="s">
        <v>100</v>
      </c>
      <c r="D8066">
        <v>51</v>
      </c>
      <c r="E8066" t="s">
        <v>70</v>
      </c>
      <c r="F8066" t="s">
        <v>19</v>
      </c>
      <c r="G8066" t="s">
        <v>182</v>
      </c>
      <c r="H8066" t="s">
        <v>31</v>
      </c>
      <c r="I8066">
        <v>19106</v>
      </c>
      <c r="J8066">
        <v>17198</v>
      </c>
    </row>
    <row r="8067" spans="1:10" x14ac:dyDescent="0.3">
      <c r="A8067" t="s">
        <v>8194</v>
      </c>
      <c r="B8067" s="1">
        <v>45834</v>
      </c>
      <c r="C8067" t="s">
        <v>74</v>
      </c>
      <c r="D8067">
        <v>26</v>
      </c>
      <c r="E8067" t="s">
        <v>33</v>
      </c>
      <c r="F8067" t="s">
        <v>29</v>
      </c>
      <c r="G8067" t="s">
        <v>44</v>
      </c>
      <c r="H8067" t="s">
        <v>151</v>
      </c>
      <c r="I8067">
        <v>36424</v>
      </c>
      <c r="J8067">
        <v>37902</v>
      </c>
    </row>
    <row r="8068" spans="1:10" x14ac:dyDescent="0.3">
      <c r="A8068" t="s">
        <v>8195</v>
      </c>
      <c r="B8068" s="1">
        <v>45807</v>
      </c>
      <c r="C8068" t="s">
        <v>90</v>
      </c>
      <c r="D8068">
        <v>22</v>
      </c>
      <c r="E8068" t="s">
        <v>12</v>
      </c>
      <c r="F8068" t="s">
        <v>140</v>
      </c>
      <c r="G8068" t="s">
        <v>135</v>
      </c>
      <c r="H8068" t="s">
        <v>41</v>
      </c>
      <c r="I8068">
        <v>37317</v>
      </c>
      <c r="J8068">
        <v>40545</v>
      </c>
    </row>
    <row r="8069" spans="1:10" x14ac:dyDescent="0.3">
      <c r="A8069" t="s">
        <v>8196</v>
      </c>
      <c r="B8069" s="1">
        <v>45962</v>
      </c>
      <c r="C8069" t="s">
        <v>23</v>
      </c>
      <c r="D8069">
        <v>44</v>
      </c>
      <c r="E8069" t="s">
        <v>33</v>
      </c>
      <c r="F8069" t="s">
        <v>122</v>
      </c>
      <c r="G8069" t="s">
        <v>240</v>
      </c>
      <c r="H8069" t="s">
        <v>48</v>
      </c>
      <c r="I8069">
        <v>34493</v>
      </c>
      <c r="J8069">
        <v>30111</v>
      </c>
    </row>
    <row r="8070" spans="1:10" x14ac:dyDescent="0.3">
      <c r="A8070" t="s">
        <v>8197</v>
      </c>
      <c r="B8070" s="1">
        <v>45670</v>
      </c>
      <c r="C8070" t="s">
        <v>17</v>
      </c>
      <c r="D8070">
        <v>3</v>
      </c>
      <c r="E8070" t="s">
        <v>24</v>
      </c>
      <c r="F8070" t="s">
        <v>75</v>
      </c>
      <c r="G8070" t="s">
        <v>63</v>
      </c>
      <c r="H8070" t="s">
        <v>15</v>
      </c>
      <c r="I8070">
        <v>37154</v>
      </c>
      <c r="J8070">
        <v>39903</v>
      </c>
    </row>
    <row r="8071" spans="1:10" x14ac:dyDescent="0.3">
      <c r="A8071" t="s">
        <v>8198</v>
      </c>
      <c r="B8071" s="1">
        <v>45947</v>
      </c>
      <c r="C8071" t="s">
        <v>66</v>
      </c>
      <c r="D8071">
        <v>42</v>
      </c>
      <c r="E8071" t="s">
        <v>33</v>
      </c>
      <c r="F8071" t="s">
        <v>19</v>
      </c>
      <c r="G8071" t="s">
        <v>63</v>
      </c>
      <c r="H8071" t="s">
        <v>133</v>
      </c>
      <c r="I8071">
        <v>31083</v>
      </c>
      <c r="J8071">
        <v>39851</v>
      </c>
    </row>
    <row r="8072" spans="1:10" x14ac:dyDescent="0.3">
      <c r="A8072" t="s">
        <v>8199</v>
      </c>
      <c r="B8072" s="1">
        <v>46008</v>
      </c>
      <c r="C8072" t="s">
        <v>100</v>
      </c>
      <c r="D8072">
        <v>51</v>
      </c>
      <c r="E8072" t="s">
        <v>12</v>
      </c>
      <c r="F8072" t="s">
        <v>34</v>
      </c>
      <c r="G8072" t="s">
        <v>149</v>
      </c>
      <c r="H8072" t="s">
        <v>151</v>
      </c>
      <c r="I8072">
        <v>20107</v>
      </c>
      <c r="J8072">
        <v>23146</v>
      </c>
    </row>
    <row r="8073" spans="1:10" x14ac:dyDescent="0.3">
      <c r="A8073" t="s">
        <v>8200</v>
      </c>
      <c r="B8073" s="1">
        <v>45863</v>
      </c>
      <c r="C8073" t="s">
        <v>11</v>
      </c>
      <c r="D8073">
        <v>30</v>
      </c>
      <c r="E8073" t="s">
        <v>70</v>
      </c>
      <c r="F8073" t="s">
        <v>75</v>
      </c>
      <c r="G8073" t="s">
        <v>118</v>
      </c>
      <c r="H8073" t="s">
        <v>80</v>
      </c>
      <c r="I8073">
        <v>18229</v>
      </c>
      <c r="J8073">
        <v>22656</v>
      </c>
    </row>
    <row r="8074" spans="1:10" x14ac:dyDescent="0.3">
      <c r="A8074" t="s">
        <v>8201</v>
      </c>
      <c r="B8074" s="1">
        <v>45969</v>
      </c>
      <c r="C8074" t="s">
        <v>23</v>
      </c>
      <c r="D8074">
        <v>45</v>
      </c>
      <c r="E8074" t="s">
        <v>18</v>
      </c>
      <c r="F8074" t="s">
        <v>57</v>
      </c>
      <c r="G8074" t="s">
        <v>83</v>
      </c>
      <c r="H8074" t="s">
        <v>243</v>
      </c>
      <c r="I8074">
        <v>17587</v>
      </c>
      <c r="J8074">
        <v>14431</v>
      </c>
    </row>
    <row r="8075" spans="1:10" x14ac:dyDescent="0.3">
      <c r="A8075" t="s">
        <v>8202</v>
      </c>
      <c r="B8075" s="1">
        <v>45704</v>
      </c>
      <c r="C8075" t="s">
        <v>82</v>
      </c>
      <c r="D8075">
        <v>7</v>
      </c>
      <c r="E8075" t="s">
        <v>18</v>
      </c>
      <c r="F8075" t="s">
        <v>78</v>
      </c>
      <c r="G8075" t="s">
        <v>145</v>
      </c>
      <c r="H8075" t="s">
        <v>48</v>
      </c>
      <c r="I8075">
        <v>18409</v>
      </c>
      <c r="J8075">
        <v>13009</v>
      </c>
    </row>
    <row r="8076" spans="1:10" x14ac:dyDescent="0.3">
      <c r="A8076" t="s">
        <v>8203</v>
      </c>
      <c r="B8076" s="1">
        <v>45890</v>
      </c>
      <c r="C8076" t="s">
        <v>113</v>
      </c>
      <c r="D8076">
        <v>34</v>
      </c>
      <c r="E8076" t="s">
        <v>39</v>
      </c>
      <c r="F8076" t="s">
        <v>50</v>
      </c>
      <c r="G8076" t="s">
        <v>110</v>
      </c>
      <c r="H8076" t="s">
        <v>151</v>
      </c>
      <c r="I8076">
        <v>32636</v>
      </c>
      <c r="J8076">
        <v>23665</v>
      </c>
    </row>
    <row r="8077" spans="1:10" x14ac:dyDescent="0.3">
      <c r="A8077" t="s">
        <v>8204</v>
      </c>
      <c r="B8077" s="1">
        <v>45883</v>
      </c>
      <c r="C8077" t="s">
        <v>113</v>
      </c>
      <c r="D8077">
        <v>33</v>
      </c>
      <c r="E8077" t="s">
        <v>61</v>
      </c>
      <c r="F8077" t="s">
        <v>62</v>
      </c>
      <c r="G8077" t="s">
        <v>147</v>
      </c>
      <c r="H8077" t="s">
        <v>123</v>
      </c>
      <c r="I8077">
        <v>17645</v>
      </c>
      <c r="J8077">
        <v>18988</v>
      </c>
    </row>
    <row r="8078" spans="1:10" x14ac:dyDescent="0.3">
      <c r="A8078" t="s">
        <v>8205</v>
      </c>
      <c r="B8078" s="1">
        <v>45987</v>
      </c>
      <c r="C8078" t="s">
        <v>23</v>
      </c>
      <c r="D8078">
        <v>48</v>
      </c>
      <c r="E8078" t="s">
        <v>70</v>
      </c>
      <c r="F8078" t="s">
        <v>140</v>
      </c>
      <c r="G8078" t="s">
        <v>30</v>
      </c>
      <c r="H8078" t="s">
        <v>84</v>
      </c>
      <c r="I8078">
        <v>31780</v>
      </c>
      <c r="J8078">
        <v>26933</v>
      </c>
    </row>
    <row r="8079" spans="1:10" x14ac:dyDescent="0.3">
      <c r="A8079" t="s">
        <v>8206</v>
      </c>
      <c r="B8079" s="1">
        <v>45832</v>
      </c>
      <c r="C8079" t="s">
        <v>74</v>
      </c>
      <c r="D8079">
        <v>26</v>
      </c>
      <c r="E8079" t="s">
        <v>18</v>
      </c>
      <c r="F8079" t="s">
        <v>13</v>
      </c>
      <c r="G8079" t="s">
        <v>291</v>
      </c>
      <c r="H8079" t="s">
        <v>80</v>
      </c>
      <c r="I8079">
        <v>35809</v>
      </c>
      <c r="J8079">
        <v>29026</v>
      </c>
    </row>
    <row r="8080" spans="1:10" x14ac:dyDescent="0.3">
      <c r="A8080" t="s">
        <v>8207</v>
      </c>
      <c r="B8080" s="1">
        <v>45667</v>
      </c>
      <c r="C8080" t="s">
        <v>17</v>
      </c>
      <c r="D8080">
        <v>2</v>
      </c>
      <c r="E8080" t="s">
        <v>39</v>
      </c>
      <c r="F8080" t="s">
        <v>62</v>
      </c>
      <c r="G8080" t="s">
        <v>58</v>
      </c>
      <c r="H8080" t="s">
        <v>188</v>
      </c>
      <c r="I8080">
        <v>32314</v>
      </c>
      <c r="J8080">
        <v>38588</v>
      </c>
    </row>
    <row r="8081" spans="1:10" x14ac:dyDescent="0.3">
      <c r="A8081" t="s">
        <v>8208</v>
      </c>
      <c r="B8081" s="1">
        <v>45798</v>
      </c>
      <c r="C8081" t="s">
        <v>90</v>
      </c>
      <c r="D8081">
        <v>21</v>
      </c>
      <c r="E8081" t="s">
        <v>24</v>
      </c>
      <c r="F8081" t="s">
        <v>62</v>
      </c>
      <c r="G8081" t="s">
        <v>240</v>
      </c>
      <c r="H8081" t="s">
        <v>80</v>
      </c>
      <c r="I8081">
        <v>34572</v>
      </c>
      <c r="J8081">
        <v>25182</v>
      </c>
    </row>
    <row r="8082" spans="1:10" x14ac:dyDescent="0.3">
      <c r="A8082" t="s">
        <v>8209</v>
      </c>
      <c r="B8082" s="1">
        <v>45823</v>
      </c>
      <c r="C8082" t="s">
        <v>74</v>
      </c>
      <c r="D8082">
        <v>24</v>
      </c>
      <c r="E8082" t="s">
        <v>61</v>
      </c>
      <c r="F8082" t="s">
        <v>29</v>
      </c>
      <c r="G8082" t="s">
        <v>51</v>
      </c>
      <c r="H8082" t="s">
        <v>48</v>
      </c>
      <c r="I8082">
        <v>16460</v>
      </c>
      <c r="J8082">
        <v>16915</v>
      </c>
    </row>
    <row r="8083" spans="1:10" x14ac:dyDescent="0.3">
      <c r="A8083" t="s">
        <v>8210</v>
      </c>
      <c r="B8083" s="1">
        <v>45662</v>
      </c>
      <c r="C8083" t="s">
        <v>17</v>
      </c>
      <c r="D8083">
        <v>1</v>
      </c>
      <c r="E8083" t="s">
        <v>61</v>
      </c>
      <c r="F8083" t="s">
        <v>25</v>
      </c>
      <c r="G8083" t="s">
        <v>118</v>
      </c>
      <c r="H8083" t="s">
        <v>84</v>
      </c>
      <c r="I8083">
        <v>20854</v>
      </c>
      <c r="J8083">
        <v>20468</v>
      </c>
    </row>
    <row r="8084" spans="1:10" x14ac:dyDescent="0.3">
      <c r="A8084" t="s">
        <v>8211</v>
      </c>
      <c r="B8084" s="1">
        <v>45781</v>
      </c>
      <c r="C8084" t="s">
        <v>90</v>
      </c>
      <c r="D8084">
        <v>18</v>
      </c>
      <c r="E8084" t="s">
        <v>24</v>
      </c>
      <c r="F8084" t="s">
        <v>87</v>
      </c>
      <c r="G8084" t="s">
        <v>324</v>
      </c>
      <c r="H8084" t="s">
        <v>84</v>
      </c>
      <c r="I8084">
        <v>28823</v>
      </c>
      <c r="J8084">
        <v>24991</v>
      </c>
    </row>
    <row r="8085" spans="1:10" x14ac:dyDescent="0.3">
      <c r="A8085" t="s">
        <v>8212</v>
      </c>
      <c r="B8085" s="1">
        <v>45843</v>
      </c>
      <c r="C8085" t="s">
        <v>11</v>
      </c>
      <c r="D8085">
        <v>27</v>
      </c>
      <c r="E8085" t="s">
        <v>12</v>
      </c>
      <c r="F8085" t="s">
        <v>193</v>
      </c>
      <c r="G8085" t="s">
        <v>147</v>
      </c>
      <c r="H8085" t="s">
        <v>151</v>
      </c>
      <c r="I8085">
        <v>37951</v>
      </c>
      <c r="J8085">
        <v>27368</v>
      </c>
    </row>
    <row r="8086" spans="1:10" x14ac:dyDescent="0.3">
      <c r="A8086" t="s">
        <v>8213</v>
      </c>
      <c r="B8086" s="1">
        <v>45904</v>
      </c>
      <c r="C8086" t="s">
        <v>38</v>
      </c>
      <c r="D8086">
        <v>36</v>
      </c>
      <c r="E8086" t="s">
        <v>70</v>
      </c>
      <c r="F8086" t="s">
        <v>57</v>
      </c>
      <c r="G8086" t="s">
        <v>130</v>
      </c>
      <c r="H8086" t="s">
        <v>31</v>
      </c>
      <c r="I8086">
        <v>23243</v>
      </c>
      <c r="J8086">
        <v>19327</v>
      </c>
    </row>
    <row r="8087" spans="1:10" x14ac:dyDescent="0.3">
      <c r="A8087" t="s">
        <v>8214</v>
      </c>
      <c r="B8087" s="1">
        <v>45918</v>
      </c>
      <c r="C8087" t="s">
        <v>38</v>
      </c>
      <c r="D8087">
        <v>38</v>
      </c>
      <c r="E8087" t="s">
        <v>61</v>
      </c>
      <c r="F8087" t="s">
        <v>122</v>
      </c>
      <c r="G8087" t="s">
        <v>40</v>
      </c>
      <c r="H8087" t="s">
        <v>111</v>
      </c>
      <c r="I8087">
        <v>32467</v>
      </c>
      <c r="J8087">
        <v>28021</v>
      </c>
    </row>
    <row r="8088" spans="1:10" x14ac:dyDescent="0.3">
      <c r="A8088" t="s">
        <v>8215</v>
      </c>
      <c r="B8088" s="1">
        <v>45797</v>
      </c>
      <c r="C8088" t="s">
        <v>90</v>
      </c>
      <c r="D8088">
        <v>21</v>
      </c>
      <c r="E8088" t="s">
        <v>61</v>
      </c>
      <c r="F8088" t="s">
        <v>34</v>
      </c>
      <c r="G8088" t="s">
        <v>230</v>
      </c>
      <c r="H8088" t="s">
        <v>80</v>
      </c>
      <c r="I8088">
        <v>26655</v>
      </c>
      <c r="J8088">
        <v>26395</v>
      </c>
    </row>
    <row r="8089" spans="1:10" x14ac:dyDescent="0.3">
      <c r="A8089" t="s">
        <v>8216</v>
      </c>
      <c r="B8089" s="1">
        <v>45711</v>
      </c>
      <c r="C8089" t="s">
        <v>82</v>
      </c>
      <c r="D8089">
        <v>8</v>
      </c>
      <c r="E8089" t="s">
        <v>61</v>
      </c>
      <c r="F8089" t="s">
        <v>46</v>
      </c>
      <c r="G8089" t="s">
        <v>51</v>
      </c>
      <c r="H8089" t="s">
        <v>84</v>
      </c>
      <c r="I8089">
        <v>33153</v>
      </c>
      <c r="J8089">
        <v>28443</v>
      </c>
    </row>
    <row r="8090" spans="1:10" x14ac:dyDescent="0.3">
      <c r="A8090" t="s">
        <v>8217</v>
      </c>
      <c r="B8090" s="1">
        <v>45782</v>
      </c>
      <c r="C8090" t="s">
        <v>90</v>
      </c>
      <c r="D8090">
        <v>19</v>
      </c>
      <c r="E8090" t="s">
        <v>61</v>
      </c>
      <c r="F8090" t="s">
        <v>34</v>
      </c>
      <c r="G8090" t="s">
        <v>199</v>
      </c>
      <c r="H8090" t="s">
        <v>80</v>
      </c>
      <c r="I8090">
        <v>24706</v>
      </c>
      <c r="J8090">
        <v>27828</v>
      </c>
    </row>
    <row r="8091" spans="1:10" x14ac:dyDescent="0.3">
      <c r="A8091" t="s">
        <v>8218</v>
      </c>
      <c r="B8091" s="1">
        <v>45668</v>
      </c>
      <c r="C8091" t="s">
        <v>17</v>
      </c>
      <c r="D8091">
        <v>2</v>
      </c>
      <c r="E8091" t="s">
        <v>18</v>
      </c>
      <c r="F8091" t="s">
        <v>34</v>
      </c>
      <c r="G8091" t="s">
        <v>234</v>
      </c>
      <c r="H8091" t="s">
        <v>155</v>
      </c>
      <c r="I8091">
        <v>18378</v>
      </c>
      <c r="J8091">
        <v>17620</v>
      </c>
    </row>
    <row r="8092" spans="1:10" x14ac:dyDescent="0.3">
      <c r="A8092" t="s">
        <v>8219</v>
      </c>
      <c r="B8092" s="1">
        <v>45893</v>
      </c>
      <c r="C8092" t="s">
        <v>113</v>
      </c>
      <c r="D8092">
        <v>34</v>
      </c>
      <c r="E8092" t="s">
        <v>12</v>
      </c>
      <c r="F8092" t="s">
        <v>75</v>
      </c>
      <c r="G8092" t="s">
        <v>83</v>
      </c>
      <c r="H8092" t="s">
        <v>163</v>
      </c>
      <c r="I8092">
        <v>17729</v>
      </c>
      <c r="J8092">
        <v>22207</v>
      </c>
    </row>
    <row r="8093" spans="1:10" x14ac:dyDescent="0.3">
      <c r="A8093" t="s">
        <v>8220</v>
      </c>
      <c r="B8093" s="1">
        <v>45660</v>
      </c>
      <c r="C8093" t="s">
        <v>17</v>
      </c>
      <c r="D8093">
        <v>1</v>
      </c>
      <c r="E8093" t="s">
        <v>18</v>
      </c>
      <c r="F8093" t="s">
        <v>34</v>
      </c>
      <c r="G8093" t="s">
        <v>58</v>
      </c>
      <c r="H8093" t="s">
        <v>27</v>
      </c>
      <c r="I8093">
        <v>20245</v>
      </c>
      <c r="J8093">
        <v>22767</v>
      </c>
    </row>
    <row r="8094" spans="1:10" x14ac:dyDescent="0.3">
      <c r="A8094" t="s">
        <v>8221</v>
      </c>
      <c r="B8094" s="1">
        <v>45671</v>
      </c>
      <c r="C8094" t="s">
        <v>17</v>
      </c>
      <c r="D8094">
        <v>3</v>
      </c>
      <c r="E8094" t="s">
        <v>33</v>
      </c>
      <c r="F8094" t="s">
        <v>46</v>
      </c>
      <c r="G8094" t="s">
        <v>145</v>
      </c>
      <c r="H8094" t="s">
        <v>211</v>
      </c>
      <c r="I8094">
        <v>30207</v>
      </c>
      <c r="J8094">
        <v>36957</v>
      </c>
    </row>
    <row r="8095" spans="1:10" x14ac:dyDescent="0.3">
      <c r="A8095" t="s">
        <v>8222</v>
      </c>
      <c r="B8095" s="1">
        <v>45757</v>
      </c>
      <c r="C8095" t="s">
        <v>86</v>
      </c>
      <c r="D8095">
        <v>15</v>
      </c>
      <c r="E8095" t="s">
        <v>24</v>
      </c>
      <c r="F8095" t="s">
        <v>19</v>
      </c>
      <c r="G8095" t="s">
        <v>145</v>
      </c>
      <c r="H8095" t="s">
        <v>119</v>
      </c>
      <c r="I8095">
        <v>25382</v>
      </c>
      <c r="J8095">
        <v>19933</v>
      </c>
    </row>
    <row r="8096" spans="1:10" x14ac:dyDescent="0.3">
      <c r="A8096" t="s">
        <v>8223</v>
      </c>
      <c r="B8096" s="1">
        <v>45742</v>
      </c>
      <c r="C8096" t="s">
        <v>95</v>
      </c>
      <c r="D8096">
        <v>13</v>
      </c>
      <c r="E8096" t="s">
        <v>24</v>
      </c>
      <c r="F8096" t="s">
        <v>75</v>
      </c>
      <c r="G8096" t="s">
        <v>51</v>
      </c>
      <c r="H8096" t="s">
        <v>133</v>
      </c>
      <c r="I8096">
        <v>19432</v>
      </c>
      <c r="J8096">
        <v>21446</v>
      </c>
    </row>
    <row r="8097" spans="1:10" x14ac:dyDescent="0.3">
      <c r="A8097" t="s">
        <v>8224</v>
      </c>
      <c r="B8097" s="1">
        <v>45929</v>
      </c>
      <c r="C8097" t="s">
        <v>38</v>
      </c>
      <c r="D8097">
        <v>40</v>
      </c>
      <c r="E8097" t="s">
        <v>18</v>
      </c>
      <c r="F8097" t="s">
        <v>87</v>
      </c>
      <c r="G8097" t="s">
        <v>83</v>
      </c>
      <c r="H8097" t="s">
        <v>21</v>
      </c>
      <c r="I8097">
        <v>19386</v>
      </c>
      <c r="J8097">
        <v>18372</v>
      </c>
    </row>
    <row r="8098" spans="1:10" x14ac:dyDescent="0.3">
      <c r="A8098" t="s">
        <v>8225</v>
      </c>
      <c r="B8098" s="1">
        <v>45940</v>
      </c>
      <c r="C8098" t="s">
        <v>66</v>
      </c>
      <c r="D8098">
        <v>41</v>
      </c>
      <c r="E8098" t="s">
        <v>70</v>
      </c>
      <c r="F8098" t="s">
        <v>75</v>
      </c>
      <c r="G8098" t="s">
        <v>137</v>
      </c>
      <c r="H8098" t="s">
        <v>80</v>
      </c>
      <c r="I8098">
        <v>29536</v>
      </c>
      <c r="J8098">
        <v>23841</v>
      </c>
    </row>
    <row r="8099" spans="1:10" x14ac:dyDescent="0.3">
      <c r="A8099" t="s">
        <v>8226</v>
      </c>
      <c r="B8099" s="1">
        <v>45984</v>
      </c>
      <c r="C8099" t="s">
        <v>23</v>
      </c>
      <c r="D8099">
        <v>47</v>
      </c>
      <c r="E8099" t="s">
        <v>24</v>
      </c>
      <c r="F8099" t="s">
        <v>87</v>
      </c>
      <c r="G8099" t="s">
        <v>137</v>
      </c>
      <c r="H8099" t="s">
        <v>55</v>
      </c>
      <c r="I8099">
        <v>21750</v>
      </c>
      <c r="J8099">
        <v>18261</v>
      </c>
    </row>
    <row r="8100" spans="1:10" x14ac:dyDescent="0.3">
      <c r="A8100" t="s">
        <v>8227</v>
      </c>
      <c r="B8100" s="1">
        <v>45815</v>
      </c>
      <c r="C8100" t="s">
        <v>74</v>
      </c>
      <c r="D8100">
        <v>23</v>
      </c>
      <c r="E8100" t="s">
        <v>18</v>
      </c>
      <c r="F8100" t="s">
        <v>122</v>
      </c>
      <c r="G8100" t="s">
        <v>40</v>
      </c>
      <c r="H8100" t="s">
        <v>84</v>
      </c>
      <c r="I8100">
        <v>21381</v>
      </c>
      <c r="J8100">
        <v>19041</v>
      </c>
    </row>
    <row r="8101" spans="1:10" x14ac:dyDescent="0.3">
      <c r="A8101" t="s">
        <v>8228</v>
      </c>
      <c r="B8101" s="1">
        <v>45692</v>
      </c>
      <c r="C8101" t="s">
        <v>82</v>
      </c>
      <c r="D8101">
        <v>6</v>
      </c>
      <c r="E8101" t="s">
        <v>39</v>
      </c>
      <c r="F8101" t="s">
        <v>50</v>
      </c>
      <c r="G8101" t="s">
        <v>240</v>
      </c>
      <c r="H8101" t="s">
        <v>41</v>
      </c>
      <c r="I8101">
        <v>29788</v>
      </c>
      <c r="J8101">
        <v>29816</v>
      </c>
    </row>
    <row r="8102" spans="1:10" x14ac:dyDescent="0.3">
      <c r="A8102" t="s">
        <v>8229</v>
      </c>
      <c r="B8102" s="1">
        <v>45786</v>
      </c>
      <c r="C8102" t="s">
        <v>90</v>
      </c>
      <c r="D8102">
        <v>19</v>
      </c>
      <c r="E8102" t="s">
        <v>12</v>
      </c>
      <c r="F8102" t="s">
        <v>101</v>
      </c>
      <c r="G8102" t="s">
        <v>93</v>
      </c>
      <c r="H8102" t="s">
        <v>151</v>
      </c>
      <c r="I8102">
        <v>17077</v>
      </c>
      <c r="J8102">
        <v>12487</v>
      </c>
    </row>
    <row r="8103" spans="1:10" x14ac:dyDescent="0.3">
      <c r="A8103" t="s">
        <v>8230</v>
      </c>
      <c r="B8103" s="1">
        <v>46016</v>
      </c>
      <c r="C8103" t="s">
        <v>100</v>
      </c>
      <c r="D8103">
        <v>52</v>
      </c>
      <c r="E8103" t="s">
        <v>24</v>
      </c>
      <c r="F8103" t="s">
        <v>101</v>
      </c>
      <c r="G8103" t="s">
        <v>191</v>
      </c>
      <c r="H8103" t="s">
        <v>188</v>
      </c>
      <c r="I8103">
        <v>25134</v>
      </c>
      <c r="J8103">
        <v>30362</v>
      </c>
    </row>
    <row r="8104" spans="1:10" x14ac:dyDescent="0.3">
      <c r="A8104" t="s">
        <v>8231</v>
      </c>
      <c r="B8104" s="1">
        <v>45871</v>
      </c>
      <c r="C8104" t="s">
        <v>113</v>
      </c>
      <c r="D8104">
        <v>31</v>
      </c>
      <c r="E8104" t="s">
        <v>39</v>
      </c>
      <c r="F8104" t="s">
        <v>75</v>
      </c>
      <c r="G8104" t="s">
        <v>110</v>
      </c>
      <c r="H8104" t="s">
        <v>116</v>
      </c>
      <c r="I8104">
        <v>35085</v>
      </c>
      <c r="J8104">
        <v>25670</v>
      </c>
    </row>
    <row r="8105" spans="1:10" x14ac:dyDescent="0.3">
      <c r="A8105" t="s">
        <v>8232</v>
      </c>
      <c r="B8105" s="1">
        <v>45704</v>
      </c>
      <c r="C8105" t="s">
        <v>82</v>
      </c>
      <c r="D8105">
        <v>7</v>
      </c>
      <c r="E8105" t="s">
        <v>33</v>
      </c>
      <c r="F8105" t="s">
        <v>19</v>
      </c>
      <c r="G8105" t="s">
        <v>40</v>
      </c>
      <c r="H8105" t="s">
        <v>41</v>
      </c>
      <c r="I8105">
        <v>21482</v>
      </c>
      <c r="J8105">
        <v>24548</v>
      </c>
    </row>
    <row r="8106" spans="1:10" x14ac:dyDescent="0.3">
      <c r="A8106" t="s">
        <v>8233</v>
      </c>
      <c r="B8106" s="1">
        <v>45962</v>
      </c>
      <c r="C8106" t="s">
        <v>23</v>
      </c>
      <c r="D8106">
        <v>44</v>
      </c>
      <c r="E8106" t="s">
        <v>39</v>
      </c>
      <c r="F8106" t="s">
        <v>62</v>
      </c>
      <c r="G8106" t="s">
        <v>240</v>
      </c>
      <c r="H8106" t="s">
        <v>48</v>
      </c>
      <c r="I8106">
        <v>28378</v>
      </c>
      <c r="J8106">
        <v>33245</v>
      </c>
    </row>
    <row r="8107" spans="1:10" x14ac:dyDescent="0.3">
      <c r="A8107" t="s">
        <v>8234</v>
      </c>
      <c r="B8107" s="1">
        <v>45678</v>
      </c>
      <c r="C8107" t="s">
        <v>17</v>
      </c>
      <c r="D8107">
        <v>4</v>
      </c>
      <c r="E8107" t="s">
        <v>33</v>
      </c>
      <c r="F8107" t="s">
        <v>34</v>
      </c>
      <c r="G8107" t="s">
        <v>253</v>
      </c>
      <c r="H8107" t="s">
        <v>155</v>
      </c>
      <c r="I8107">
        <v>27719</v>
      </c>
      <c r="J8107">
        <v>33756</v>
      </c>
    </row>
    <row r="8108" spans="1:10" x14ac:dyDescent="0.3">
      <c r="A8108" t="s">
        <v>8235</v>
      </c>
      <c r="B8108" s="1">
        <v>45915</v>
      </c>
      <c r="C8108" t="s">
        <v>38</v>
      </c>
      <c r="D8108">
        <v>38</v>
      </c>
      <c r="E8108" t="s">
        <v>33</v>
      </c>
      <c r="F8108" t="s">
        <v>13</v>
      </c>
      <c r="G8108" t="s">
        <v>253</v>
      </c>
      <c r="H8108" t="s">
        <v>116</v>
      </c>
      <c r="I8108">
        <v>20085</v>
      </c>
      <c r="J8108">
        <v>19278</v>
      </c>
    </row>
    <row r="8109" spans="1:10" x14ac:dyDescent="0.3">
      <c r="A8109" t="s">
        <v>8236</v>
      </c>
      <c r="B8109" s="1">
        <v>45897</v>
      </c>
      <c r="C8109" t="s">
        <v>113</v>
      </c>
      <c r="D8109">
        <v>35</v>
      </c>
      <c r="E8109" t="s">
        <v>12</v>
      </c>
      <c r="F8109" t="s">
        <v>13</v>
      </c>
      <c r="G8109" t="s">
        <v>63</v>
      </c>
      <c r="H8109" t="s">
        <v>64</v>
      </c>
      <c r="I8109">
        <v>35632</v>
      </c>
      <c r="J8109">
        <v>33194</v>
      </c>
    </row>
    <row r="8110" spans="1:10" x14ac:dyDescent="0.3">
      <c r="A8110" t="s">
        <v>8237</v>
      </c>
      <c r="B8110" s="1">
        <v>45710</v>
      </c>
      <c r="C8110" t="s">
        <v>82</v>
      </c>
      <c r="D8110">
        <v>8</v>
      </c>
      <c r="E8110" t="s">
        <v>24</v>
      </c>
      <c r="F8110" t="s">
        <v>114</v>
      </c>
      <c r="G8110" t="s">
        <v>171</v>
      </c>
      <c r="H8110" t="s">
        <v>123</v>
      </c>
      <c r="I8110">
        <v>18005</v>
      </c>
      <c r="J8110">
        <v>20819</v>
      </c>
    </row>
    <row r="8111" spans="1:10" x14ac:dyDescent="0.3">
      <c r="A8111" t="s">
        <v>8238</v>
      </c>
      <c r="B8111" s="1">
        <v>45904</v>
      </c>
      <c r="C8111" t="s">
        <v>38</v>
      </c>
      <c r="D8111">
        <v>36</v>
      </c>
      <c r="E8111" t="s">
        <v>33</v>
      </c>
      <c r="F8111" t="s">
        <v>29</v>
      </c>
      <c r="G8111" t="s">
        <v>240</v>
      </c>
      <c r="H8111" t="s">
        <v>68</v>
      </c>
      <c r="I8111">
        <v>16949</v>
      </c>
      <c r="J8111">
        <v>14903</v>
      </c>
    </row>
    <row r="8112" spans="1:10" x14ac:dyDescent="0.3">
      <c r="A8112" t="s">
        <v>8239</v>
      </c>
      <c r="B8112" s="1">
        <v>45708</v>
      </c>
      <c r="C8112" t="s">
        <v>82</v>
      </c>
      <c r="D8112">
        <v>8</v>
      </c>
      <c r="E8112" t="s">
        <v>12</v>
      </c>
      <c r="F8112" t="s">
        <v>114</v>
      </c>
      <c r="G8112" t="s">
        <v>83</v>
      </c>
      <c r="H8112" t="s">
        <v>48</v>
      </c>
      <c r="I8112">
        <v>22069</v>
      </c>
      <c r="J8112">
        <v>18459</v>
      </c>
    </row>
    <row r="8113" spans="1:10" x14ac:dyDescent="0.3">
      <c r="A8113" t="s">
        <v>8240</v>
      </c>
      <c r="B8113" s="1">
        <v>45942</v>
      </c>
      <c r="C8113" t="s">
        <v>66</v>
      </c>
      <c r="D8113">
        <v>41</v>
      </c>
      <c r="E8113" t="s">
        <v>39</v>
      </c>
      <c r="F8113" t="s">
        <v>46</v>
      </c>
      <c r="G8113" t="s">
        <v>88</v>
      </c>
      <c r="H8113" t="s">
        <v>151</v>
      </c>
      <c r="I8113">
        <v>33838</v>
      </c>
      <c r="J8113">
        <v>26473</v>
      </c>
    </row>
    <row r="8114" spans="1:10" x14ac:dyDescent="0.3">
      <c r="A8114" t="s">
        <v>8241</v>
      </c>
      <c r="B8114" s="1">
        <v>45909</v>
      </c>
      <c r="C8114" t="s">
        <v>38</v>
      </c>
      <c r="D8114">
        <v>37</v>
      </c>
      <c r="E8114" t="s">
        <v>61</v>
      </c>
      <c r="F8114" t="s">
        <v>50</v>
      </c>
      <c r="G8114" t="s">
        <v>79</v>
      </c>
      <c r="H8114" t="s">
        <v>119</v>
      </c>
      <c r="I8114">
        <v>19645</v>
      </c>
      <c r="J8114">
        <v>13833</v>
      </c>
    </row>
    <row r="8115" spans="1:10" x14ac:dyDescent="0.3">
      <c r="A8115" t="s">
        <v>8242</v>
      </c>
      <c r="B8115" s="1">
        <v>45739</v>
      </c>
      <c r="C8115" t="s">
        <v>95</v>
      </c>
      <c r="D8115">
        <v>12</v>
      </c>
      <c r="E8115" t="s">
        <v>18</v>
      </c>
      <c r="F8115" t="s">
        <v>19</v>
      </c>
      <c r="G8115" t="s">
        <v>324</v>
      </c>
      <c r="H8115" t="s">
        <v>123</v>
      </c>
      <c r="I8115">
        <v>17633</v>
      </c>
      <c r="J8115">
        <v>21709</v>
      </c>
    </row>
    <row r="8116" spans="1:10" x14ac:dyDescent="0.3">
      <c r="A8116" t="s">
        <v>8243</v>
      </c>
      <c r="B8116" s="1">
        <v>45778</v>
      </c>
      <c r="C8116" t="s">
        <v>90</v>
      </c>
      <c r="D8116">
        <v>18</v>
      </c>
      <c r="E8116" t="s">
        <v>24</v>
      </c>
      <c r="F8116" t="s">
        <v>87</v>
      </c>
      <c r="G8116" t="s">
        <v>266</v>
      </c>
      <c r="H8116" t="s">
        <v>55</v>
      </c>
      <c r="I8116">
        <v>24596</v>
      </c>
      <c r="J8116">
        <v>21579</v>
      </c>
    </row>
    <row r="8117" spans="1:10" x14ac:dyDescent="0.3">
      <c r="A8117" t="s">
        <v>8244</v>
      </c>
      <c r="B8117" s="1">
        <v>45940</v>
      </c>
      <c r="C8117" t="s">
        <v>66</v>
      </c>
      <c r="D8117">
        <v>41</v>
      </c>
      <c r="E8117" t="s">
        <v>33</v>
      </c>
      <c r="F8117" t="s">
        <v>87</v>
      </c>
      <c r="G8117" t="s">
        <v>76</v>
      </c>
      <c r="H8117" t="s">
        <v>96</v>
      </c>
      <c r="I8117">
        <v>28932</v>
      </c>
      <c r="J8117">
        <v>25922</v>
      </c>
    </row>
    <row r="8118" spans="1:10" x14ac:dyDescent="0.3">
      <c r="A8118" t="s">
        <v>8245</v>
      </c>
      <c r="B8118" s="1">
        <v>45862</v>
      </c>
      <c r="C8118" t="s">
        <v>11</v>
      </c>
      <c r="D8118">
        <v>30</v>
      </c>
      <c r="E8118" t="s">
        <v>61</v>
      </c>
      <c r="F8118" t="s">
        <v>29</v>
      </c>
      <c r="G8118" t="s">
        <v>126</v>
      </c>
      <c r="H8118" t="s">
        <v>188</v>
      </c>
      <c r="I8118">
        <v>28799</v>
      </c>
      <c r="J8118">
        <v>22269</v>
      </c>
    </row>
    <row r="8119" spans="1:10" x14ac:dyDescent="0.3">
      <c r="A8119" t="s">
        <v>8246</v>
      </c>
      <c r="B8119" s="1">
        <v>45993</v>
      </c>
      <c r="C8119" t="s">
        <v>100</v>
      </c>
      <c r="D8119">
        <v>49</v>
      </c>
      <c r="E8119" t="s">
        <v>61</v>
      </c>
      <c r="F8119" t="s">
        <v>140</v>
      </c>
      <c r="G8119" t="s">
        <v>51</v>
      </c>
      <c r="H8119" t="s">
        <v>80</v>
      </c>
      <c r="I8119">
        <v>24219</v>
      </c>
      <c r="J8119">
        <v>26251</v>
      </c>
    </row>
    <row r="8120" spans="1:10" x14ac:dyDescent="0.3">
      <c r="A8120" t="s">
        <v>8247</v>
      </c>
      <c r="B8120" s="1">
        <v>45766</v>
      </c>
      <c r="C8120" t="s">
        <v>86</v>
      </c>
      <c r="D8120">
        <v>16</v>
      </c>
      <c r="E8120" t="s">
        <v>61</v>
      </c>
      <c r="F8120" t="s">
        <v>75</v>
      </c>
      <c r="G8120" t="s">
        <v>137</v>
      </c>
      <c r="H8120" t="s">
        <v>59</v>
      </c>
      <c r="I8120">
        <v>31227</v>
      </c>
      <c r="J8120">
        <v>34589</v>
      </c>
    </row>
    <row r="8121" spans="1:10" x14ac:dyDescent="0.3">
      <c r="A8121" t="s">
        <v>8248</v>
      </c>
      <c r="B8121" s="1">
        <v>45879</v>
      </c>
      <c r="C8121" t="s">
        <v>113</v>
      </c>
      <c r="D8121">
        <v>32</v>
      </c>
      <c r="E8121" t="s">
        <v>39</v>
      </c>
      <c r="F8121" t="s">
        <v>29</v>
      </c>
      <c r="G8121" t="s">
        <v>191</v>
      </c>
      <c r="H8121" t="s">
        <v>98</v>
      </c>
      <c r="I8121">
        <v>27762</v>
      </c>
      <c r="J8121">
        <v>25411</v>
      </c>
    </row>
    <row r="8122" spans="1:10" x14ac:dyDescent="0.3">
      <c r="A8122" t="s">
        <v>8249</v>
      </c>
      <c r="B8122" s="1">
        <v>45782</v>
      </c>
      <c r="C8122" t="s">
        <v>90</v>
      </c>
      <c r="D8122">
        <v>19</v>
      </c>
      <c r="E8122" t="s">
        <v>33</v>
      </c>
      <c r="F8122" t="s">
        <v>25</v>
      </c>
      <c r="G8122" t="s">
        <v>234</v>
      </c>
      <c r="H8122" t="s">
        <v>163</v>
      </c>
      <c r="I8122">
        <v>18759</v>
      </c>
      <c r="J8122">
        <v>22022</v>
      </c>
    </row>
    <row r="8123" spans="1:10" x14ac:dyDescent="0.3">
      <c r="A8123" t="s">
        <v>8250</v>
      </c>
      <c r="B8123" s="1">
        <v>45674</v>
      </c>
      <c r="C8123" t="s">
        <v>17</v>
      </c>
      <c r="D8123">
        <v>3</v>
      </c>
      <c r="E8123" t="s">
        <v>39</v>
      </c>
      <c r="F8123" t="s">
        <v>122</v>
      </c>
      <c r="G8123" t="s">
        <v>234</v>
      </c>
      <c r="H8123" t="s">
        <v>116</v>
      </c>
      <c r="I8123">
        <v>17864</v>
      </c>
      <c r="J8123">
        <v>17134</v>
      </c>
    </row>
    <row r="8124" spans="1:10" x14ac:dyDescent="0.3">
      <c r="A8124" t="s">
        <v>8251</v>
      </c>
      <c r="B8124" s="1">
        <v>45858</v>
      </c>
      <c r="C8124" t="s">
        <v>11</v>
      </c>
      <c r="D8124">
        <v>29</v>
      </c>
      <c r="E8124" t="s">
        <v>12</v>
      </c>
      <c r="F8124" t="s">
        <v>29</v>
      </c>
      <c r="G8124" t="s">
        <v>110</v>
      </c>
      <c r="H8124" t="s">
        <v>27</v>
      </c>
      <c r="I8124">
        <v>17848</v>
      </c>
      <c r="J8124">
        <v>19255</v>
      </c>
    </row>
    <row r="8125" spans="1:10" x14ac:dyDescent="0.3">
      <c r="A8125" t="s">
        <v>8252</v>
      </c>
      <c r="B8125" s="1">
        <v>45899</v>
      </c>
      <c r="C8125" t="s">
        <v>113</v>
      </c>
      <c r="D8125">
        <v>35</v>
      </c>
      <c r="E8125" t="s">
        <v>33</v>
      </c>
      <c r="F8125" t="s">
        <v>140</v>
      </c>
      <c r="G8125" t="s">
        <v>79</v>
      </c>
      <c r="H8125" t="s">
        <v>36</v>
      </c>
      <c r="I8125">
        <v>23680</v>
      </c>
      <c r="J8125">
        <v>19174</v>
      </c>
    </row>
    <row r="8126" spans="1:10" x14ac:dyDescent="0.3">
      <c r="A8126" t="s">
        <v>8253</v>
      </c>
      <c r="B8126" s="1">
        <v>45875</v>
      </c>
      <c r="C8126" t="s">
        <v>113</v>
      </c>
      <c r="D8126">
        <v>32</v>
      </c>
      <c r="E8126" t="s">
        <v>39</v>
      </c>
      <c r="F8126" t="s">
        <v>57</v>
      </c>
      <c r="G8126" t="s">
        <v>126</v>
      </c>
      <c r="H8126" t="s">
        <v>31</v>
      </c>
      <c r="I8126">
        <v>26718</v>
      </c>
      <c r="J8126">
        <v>18807</v>
      </c>
    </row>
    <row r="8127" spans="1:10" x14ac:dyDescent="0.3">
      <c r="A8127" t="s">
        <v>8254</v>
      </c>
      <c r="B8127" s="1">
        <v>45665</v>
      </c>
      <c r="C8127" t="s">
        <v>17</v>
      </c>
      <c r="D8127">
        <v>2</v>
      </c>
      <c r="E8127" t="s">
        <v>24</v>
      </c>
      <c r="F8127" t="s">
        <v>109</v>
      </c>
      <c r="G8127" t="s">
        <v>145</v>
      </c>
      <c r="H8127" t="s">
        <v>157</v>
      </c>
      <c r="I8127">
        <v>30678</v>
      </c>
      <c r="J8127">
        <v>29471</v>
      </c>
    </row>
    <row r="8128" spans="1:10" x14ac:dyDescent="0.3">
      <c r="A8128" t="s">
        <v>8255</v>
      </c>
      <c r="B8128" s="1">
        <v>45963</v>
      </c>
      <c r="C8128" t="s">
        <v>23</v>
      </c>
      <c r="D8128">
        <v>44</v>
      </c>
      <c r="E8128" t="s">
        <v>39</v>
      </c>
      <c r="F8128" t="s">
        <v>29</v>
      </c>
      <c r="G8128" t="s">
        <v>137</v>
      </c>
      <c r="H8128" t="s">
        <v>98</v>
      </c>
      <c r="I8128">
        <v>38957</v>
      </c>
      <c r="J8128">
        <v>50001</v>
      </c>
    </row>
    <row r="8129" spans="1:10" x14ac:dyDescent="0.3">
      <c r="A8129" t="s">
        <v>8256</v>
      </c>
      <c r="B8129" s="1">
        <v>45742</v>
      </c>
      <c r="C8129" t="s">
        <v>95</v>
      </c>
      <c r="D8129">
        <v>13</v>
      </c>
      <c r="E8129" t="s">
        <v>39</v>
      </c>
      <c r="F8129" t="s">
        <v>57</v>
      </c>
      <c r="G8129" t="s">
        <v>35</v>
      </c>
      <c r="H8129" t="s">
        <v>119</v>
      </c>
      <c r="I8129">
        <v>18014</v>
      </c>
      <c r="J8129">
        <v>16085</v>
      </c>
    </row>
    <row r="8130" spans="1:10" x14ac:dyDescent="0.3">
      <c r="A8130" t="s">
        <v>8257</v>
      </c>
      <c r="B8130" s="1">
        <v>45922</v>
      </c>
      <c r="C8130" t="s">
        <v>38</v>
      </c>
      <c r="D8130">
        <v>39</v>
      </c>
      <c r="E8130" t="s">
        <v>70</v>
      </c>
      <c r="F8130" t="s">
        <v>193</v>
      </c>
      <c r="G8130" t="s">
        <v>54</v>
      </c>
      <c r="H8130" t="s">
        <v>21</v>
      </c>
      <c r="I8130">
        <v>33743</v>
      </c>
      <c r="J8130">
        <v>27267</v>
      </c>
    </row>
    <row r="8131" spans="1:10" x14ac:dyDescent="0.3">
      <c r="A8131" t="s">
        <v>8258</v>
      </c>
      <c r="B8131" s="1">
        <v>45846</v>
      </c>
      <c r="C8131" t="s">
        <v>11</v>
      </c>
      <c r="D8131">
        <v>28</v>
      </c>
      <c r="E8131" t="s">
        <v>61</v>
      </c>
      <c r="F8131" t="s">
        <v>109</v>
      </c>
      <c r="G8131" t="s">
        <v>79</v>
      </c>
      <c r="H8131" t="s">
        <v>64</v>
      </c>
      <c r="I8131">
        <v>20499</v>
      </c>
      <c r="J8131">
        <v>17876</v>
      </c>
    </row>
    <row r="8132" spans="1:10" x14ac:dyDescent="0.3">
      <c r="A8132" t="s">
        <v>8259</v>
      </c>
      <c r="B8132" s="1">
        <v>45720</v>
      </c>
      <c r="C8132" t="s">
        <v>95</v>
      </c>
      <c r="D8132">
        <v>10</v>
      </c>
      <c r="E8132" t="s">
        <v>18</v>
      </c>
      <c r="F8132" t="s">
        <v>114</v>
      </c>
      <c r="G8132" t="s">
        <v>35</v>
      </c>
      <c r="H8132" t="s">
        <v>111</v>
      </c>
      <c r="I8132">
        <v>31511</v>
      </c>
      <c r="J8132">
        <v>31984</v>
      </c>
    </row>
    <row r="8133" spans="1:10" x14ac:dyDescent="0.3">
      <c r="A8133" t="s">
        <v>8260</v>
      </c>
      <c r="B8133" s="1">
        <v>45866</v>
      </c>
      <c r="C8133" t="s">
        <v>11</v>
      </c>
      <c r="D8133">
        <v>31</v>
      </c>
      <c r="E8133" t="s">
        <v>61</v>
      </c>
      <c r="F8133" t="s">
        <v>25</v>
      </c>
      <c r="G8133" t="s">
        <v>14</v>
      </c>
      <c r="H8133" t="s">
        <v>21</v>
      </c>
      <c r="I8133">
        <v>35764</v>
      </c>
      <c r="J8133">
        <v>40276</v>
      </c>
    </row>
    <row r="8134" spans="1:10" x14ac:dyDescent="0.3">
      <c r="A8134" t="s">
        <v>8261</v>
      </c>
      <c r="B8134" s="1">
        <v>46002</v>
      </c>
      <c r="C8134" t="s">
        <v>100</v>
      </c>
      <c r="D8134">
        <v>50</v>
      </c>
      <c r="E8134" t="s">
        <v>33</v>
      </c>
      <c r="F8134" t="s">
        <v>62</v>
      </c>
      <c r="G8134" t="s">
        <v>58</v>
      </c>
      <c r="H8134" t="s">
        <v>68</v>
      </c>
      <c r="I8134">
        <v>23633</v>
      </c>
      <c r="J8134">
        <v>22536</v>
      </c>
    </row>
    <row r="8135" spans="1:10" x14ac:dyDescent="0.3">
      <c r="A8135" t="s">
        <v>8262</v>
      </c>
      <c r="B8135" s="1">
        <v>45969</v>
      </c>
      <c r="C8135" t="s">
        <v>23</v>
      </c>
      <c r="D8135">
        <v>45</v>
      </c>
      <c r="E8135" t="s">
        <v>39</v>
      </c>
      <c r="F8135" t="s">
        <v>75</v>
      </c>
      <c r="G8135" t="s">
        <v>206</v>
      </c>
      <c r="H8135" t="s">
        <v>96</v>
      </c>
      <c r="I8135">
        <v>27816</v>
      </c>
      <c r="J8135">
        <v>34662</v>
      </c>
    </row>
    <row r="8136" spans="1:10" x14ac:dyDescent="0.3">
      <c r="A8136" t="s">
        <v>8263</v>
      </c>
      <c r="B8136" s="1">
        <v>45986</v>
      </c>
      <c r="C8136" t="s">
        <v>23</v>
      </c>
      <c r="D8136">
        <v>48</v>
      </c>
      <c r="E8136" t="s">
        <v>12</v>
      </c>
      <c r="F8136" t="s">
        <v>75</v>
      </c>
      <c r="G8136" t="s">
        <v>88</v>
      </c>
      <c r="H8136" t="s">
        <v>157</v>
      </c>
      <c r="I8136">
        <v>18885</v>
      </c>
      <c r="J8136">
        <v>13334</v>
      </c>
    </row>
    <row r="8137" spans="1:10" x14ac:dyDescent="0.3">
      <c r="A8137" t="s">
        <v>8264</v>
      </c>
      <c r="B8137" s="1">
        <v>45730</v>
      </c>
      <c r="C8137" t="s">
        <v>95</v>
      </c>
      <c r="D8137">
        <v>11</v>
      </c>
      <c r="E8137" t="s">
        <v>33</v>
      </c>
      <c r="F8137" t="s">
        <v>78</v>
      </c>
      <c r="G8137" t="s">
        <v>201</v>
      </c>
      <c r="H8137" t="s">
        <v>211</v>
      </c>
      <c r="I8137">
        <v>34726</v>
      </c>
      <c r="J8137">
        <v>38667</v>
      </c>
    </row>
    <row r="8138" spans="1:10" x14ac:dyDescent="0.3">
      <c r="A8138" t="s">
        <v>8265</v>
      </c>
      <c r="B8138" s="1">
        <v>45672</v>
      </c>
      <c r="C8138" t="s">
        <v>17</v>
      </c>
      <c r="D8138">
        <v>3</v>
      </c>
      <c r="E8138" t="s">
        <v>18</v>
      </c>
      <c r="F8138" t="s">
        <v>193</v>
      </c>
      <c r="G8138" t="s">
        <v>102</v>
      </c>
      <c r="H8138" t="s">
        <v>80</v>
      </c>
      <c r="I8138">
        <v>36304</v>
      </c>
      <c r="J8138">
        <v>44279</v>
      </c>
    </row>
    <row r="8139" spans="1:10" x14ac:dyDescent="0.3">
      <c r="A8139" t="s">
        <v>8266</v>
      </c>
      <c r="B8139" s="1">
        <v>45737</v>
      </c>
      <c r="C8139" t="s">
        <v>95</v>
      </c>
      <c r="D8139">
        <v>12</v>
      </c>
      <c r="E8139" t="s">
        <v>24</v>
      </c>
      <c r="F8139" t="s">
        <v>193</v>
      </c>
      <c r="G8139" t="s">
        <v>107</v>
      </c>
      <c r="H8139" t="s">
        <v>103</v>
      </c>
      <c r="I8139">
        <v>34578</v>
      </c>
      <c r="J8139">
        <v>29547</v>
      </c>
    </row>
    <row r="8140" spans="1:10" x14ac:dyDescent="0.3">
      <c r="A8140" t="s">
        <v>8267</v>
      </c>
      <c r="B8140" s="1">
        <v>45978</v>
      </c>
      <c r="C8140" t="s">
        <v>23</v>
      </c>
      <c r="D8140">
        <v>47</v>
      </c>
      <c r="E8140" t="s">
        <v>39</v>
      </c>
      <c r="F8140" t="s">
        <v>109</v>
      </c>
      <c r="G8140" t="s">
        <v>201</v>
      </c>
      <c r="H8140" t="s">
        <v>103</v>
      </c>
      <c r="I8140">
        <v>21957</v>
      </c>
      <c r="J8140">
        <v>18614</v>
      </c>
    </row>
    <row r="8141" spans="1:10" x14ac:dyDescent="0.3">
      <c r="A8141" t="s">
        <v>8268</v>
      </c>
      <c r="B8141" s="1">
        <v>45801</v>
      </c>
      <c r="C8141" t="s">
        <v>90</v>
      </c>
      <c r="D8141">
        <v>21</v>
      </c>
      <c r="E8141" t="s">
        <v>18</v>
      </c>
      <c r="F8141" t="s">
        <v>114</v>
      </c>
      <c r="G8141" t="s">
        <v>83</v>
      </c>
      <c r="H8141" t="s">
        <v>119</v>
      </c>
      <c r="I8141">
        <v>27317</v>
      </c>
      <c r="J8141">
        <v>29157</v>
      </c>
    </row>
    <row r="8142" spans="1:10" x14ac:dyDescent="0.3">
      <c r="A8142" t="s">
        <v>8269</v>
      </c>
      <c r="B8142" s="1">
        <v>45953</v>
      </c>
      <c r="C8142" t="s">
        <v>66</v>
      </c>
      <c r="D8142">
        <v>43</v>
      </c>
      <c r="E8142" t="s">
        <v>18</v>
      </c>
      <c r="F8142" t="s">
        <v>87</v>
      </c>
      <c r="G8142" t="s">
        <v>160</v>
      </c>
      <c r="H8142" t="s">
        <v>36</v>
      </c>
      <c r="I8142">
        <v>15501</v>
      </c>
      <c r="J8142">
        <v>17484</v>
      </c>
    </row>
    <row r="8143" spans="1:10" x14ac:dyDescent="0.3">
      <c r="A8143" t="s">
        <v>8270</v>
      </c>
      <c r="B8143" s="1">
        <v>45659</v>
      </c>
      <c r="C8143" t="s">
        <v>17</v>
      </c>
      <c r="D8143">
        <v>1</v>
      </c>
      <c r="E8143" t="s">
        <v>61</v>
      </c>
      <c r="F8143" t="s">
        <v>46</v>
      </c>
      <c r="G8143" t="s">
        <v>137</v>
      </c>
      <c r="H8143" t="s">
        <v>119</v>
      </c>
      <c r="I8143">
        <v>34690</v>
      </c>
      <c r="J8143">
        <v>25374</v>
      </c>
    </row>
    <row r="8144" spans="1:10" x14ac:dyDescent="0.3">
      <c r="A8144" t="s">
        <v>8271</v>
      </c>
      <c r="B8144" s="1">
        <v>45729</v>
      </c>
      <c r="C8144" t="s">
        <v>95</v>
      </c>
      <c r="D8144">
        <v>11</v>
      </c>
      <c r="E8144" t="s">
        <v>18</v>
      </c>
      <c r="F8144" t="s">
        <v>140</v>
      </c>
      <c r="G8144" t="s">
        <v>130</v>
      </c>
      <c r="H8144" t="s">
        <v>55</v>
      </c>
      <c r="I8144">
        <v>20460</v>
      </c>
      <c r="J8144">
        <v>17550</v>
      </c>
    </row>
    <row r="8145" spans="1:10" x14ac:dyDescent="0.3">
      <c r="A8145" t="s">
        <v>8272</v>
      </c>
      <c r="B8145" s="1">
        <v>45728</v>
      </c>
      <c r="C8145" t="s">
        <v>95</v>
      </c>
      <c r="D8145">
        <v>11</v>
      </c>
      <c r="E8145" t="s">
        <v>12</v>
      </c>
      <c r="F8145" t="s">
        <v>92</v>
      </c>
      <c r="G8145" t="s">
        <v>58</v>
      </c>
      <c r="H8145" t="s">
        <v>68</v>
      </c>
      <c r="I8145">
        <v>15143</v>
      </c>
      <c r="J8145">
        <v>12746</v>
      </c>
    </row>
    <row r="8146" spans="1:10" x14ac:dyDescent="0.3">
      <c r="A8146" t="s">
        <v>8273</v>
      </c>
      <c r="B8146" s="1">
        <v>45710</v>
      </c>
      <c r="C8146" t="s">
        <v>82</v>
      </c>
      <c r="D8146">
        <v>8</v>
      </c>
      <c r="E8146" t="s">
        <v>18</v>
      </c>
      <c r="F8146" t="s">
        <v>114</v>
      </c>
      <c r="G8146" t="s">
        <v>35</v>
      </c>
      <c r="H8146" t="s">
        <v>157</v>
      </c>
      <c r="I8146">
        <v>20980</v>
      </c>
      <c r="J8146">
        <v>16341</v>
      </c>
    </row>
    <row r="8147" spans="1:10" x14ac:dyDescent="0.3">
      <c r="A8147" t="s">
        <v>8274</v>
      </c>
      <c r="B8147" s="1">
        <v>45689</v>
      </c>
      <c r="C8147" t="s">
        <v>82</v>
      </c>
      <c r="D8147">
        <v>5</v>
      </c>
      <c r="E8147" t="s">
        <v>70</v>
      </c>
      <c r="F8147" t="s">
        <v>29</v>
      </c>
      <c r="G8147" t="s">
        <v>47</v>
      </c>
      <c r="H8147" t="s">
        <v>243</v>
      </c>
      <c r="I8147">
        <v>33021</v>
      </c>
      <c r="J8147">
        <v>25788</v>
      </c>
    </row>
    <row r="8148" spans="1:10" x14ac:dyDescent="0.3">
      <c r="A8148" t="s">
        <v>8275</v>
      </c>
      <c r="B8148" s="1">
        <v>45709</v>
      </c>
      <c r="C8148" t="s">
        <v>82</v>
      </c>
      <c r="D8148">
        <v>8</v>
      </c>
      <c r="E8148" t="s">
        <v>70</v>
      </c>
      <c r="F8148" t="s">
        <v>13</v>
      </c>
      <c r="G8148" t="s">
        <v>130</v>
      </c>
      <c r="H8148" t="s">
        <v>15</v>
      </c>
      <c r="I8148">
        <v>39878</v>
      </c>
      <c r="J8148">
        <v>46379</v>
      </c>
    </row>
    <row r="8149" spans="1:10" x14ac:dyDescent="0.3">
      <c r="A8149" t="s">
        <v>8276</v>
      </c>
      <c r="B8149" s="1">
        <v>45910</v>
      </c>
      <c r="C8149" t="s">
        <v>38</v>
      </c>
      <c r="D8149">
        <v>37</v>
      </c>
      <c r="E8149" t="s">
        <v>33</v>
      </c>
      <c r="F8149" t="s">
        <v>75</v>
      </c>
      <c r="G8149" t="s">
        <v>93</v>
      </c>
      <c r="H8149" t="s">
        <v>155</v>
      </c>
      <c r="I8149">
        <v>32258</v>
      </c>
      <c r="J8149">
        <v>37546</v>
      </c>
    </row>
    <row r="8150" spans="1:10" x14ac:dyDescent="0.3">
      <c r="A8150" t="s">
        <v>8277</v>
      </c>
      <c r="B8150" s="1">
        <v>45804</v>
      </c>
      <c r="C8150" t="s">
        <v>90</v>
      </c>
      <c r="D8150">
        <v>22</v>
      </c>
      <c r="E8150" t="s">
        <v>70</v>
      </c>
      <c r="F8150" t="s">
        <v>57</v>
      </c>
      <c r="G8150" t="s">
        <v>145</v>
      </c>
      <c r="H8150" t="s">
        <v>103</v>
      </c>
      <c r="I8150">
        <v>36236</v>
      </c>
      <c r="J8150">
        <v>39242</v>
      </c>
    </row>
    <row r="8151" spans="1:10" x14ac:dyDescent="0.3">
      <c r="A8151" t="s">
        <v>8278</v>
      </c>
      <c r="B8151" s="1">
        <v>45909</v>
      </c>
      <c r="C8151" t="s">
        <v>38</v>
      </c>
      <c r="D8151">
        <v>37</v>
      </c>
      <c r="E8151" t="s">
        <v>18</v>
      </c>
      <c r="F8151" t="s">
        <v>34</v>
      </c>
      <c r="G8151" t="s">
        <v>147</v>
      </c>
      <c r="H8151" t="s">
        <v>55</v>
      </c>
      <c r="I8151">
        <v>24211</v>
      </c>
      <c r="J8151">
        <v>24478</v>
      </c>
    </row>
    <row r="8152" spans="1:10" x14ac:dyDescent="0.3">
      <c r="A8152" t="s">
        <v>8279</v>
      </c>
      <c r="B8152" s="1">
        <v>45848</v>
      </c>
      <c r="C8152" t="s">
        <v>11</v>
      </c>
      <c r="D8152">
        <v>28</v>
      </c>
      <c r="E8152" t="s">
        <v>39</v>
      </c>
      <c r="F8152" t="s">
        <v>13</v>
      </c>
      <c r="G8152" t="s">
        <v>88</v>
      </c>
      <c r="H8152" t="s">
        <v>80</v>
      </c>
      <c r="I8152">
        <v>22390</v>
      </c>
      <c r="J8152">
        <v>19793</v>
      </c>
    </row>
    <row r="8153" spans="1:10" x14ac:dyDescent="0.3">
      <c r="A8153" t="s">
        <v>8280</v>
      </c>
      <c r="B8153" s="1">
        <v>45946</v>
      </c>
      <c r="C8153" t="s">
        <v>66</v>
      </c>
      <c r="D8153">
        <v>42</v>
      </c>
      <c r="E8153" t="s">
        <v>18</v>
      </c>
      <c r="F8153" t="s">
        <v>75</v>
      </c>
      <c r="G8153" t="s">
        <v>230</v>
      </c>
      <c r="H8153" t="s">
        <v>155</v>
      </c>
      <c r="I8153">
        <v>21514</v>
      </c>
      <c r="J8153">
        <v>19154</v>
      </c>
    </row>
    <row r="8154" spans="1:10" x14ac:dyDescent="0.3">
      <c r="A8154" t="s">
        <v>8281</v>
      </c>
      <c r="B8154" s="1">
        <v>45791</v>
      </c>
      <c r="C8154" t="s">
        <v>90</v>
      </c>
      <c r="D8154">
        <v>20</v>
      </c>
      <c r="E8154" t="s">
        <v>33</v>
      </c>
      <c r="F8154" t="s">
        <v>114</v>
      </c>
      <c r="G8154" t="s">
        <v>54</v>
      </c>
      <c r="H8154" t="s">
        <v>36</v>
      </c>
      <c r="I8154">
        <v>21691</v>
      </c>
      <c r="J8154">
        <v>20446</v>
      </c>
    </row>
    <row r="8155" spans="1:10" x14ac:dyDescent="0.3">
      <c r="A8155" t="s">
        <v>8282</v>
      </c>
      <c r="B8155" s="1">
        <v>45903</v>
      </c>
      <c r="C8155" t="s">
        <v>38</v>
      </c>
      <c r="D8155">
        <v>36</v>
      </c>
      <c r="E8155" t="s">
        <v>12</v>
      </c>
      <c r="F8155" t="s">
        <v>87</v>
      </c>
      <c r="G8155" t="s">
        <v>79</v>
      </c>
      <c r="H8155" t="s">
        <v>116</v>
      </c>
      <c r="I8155">
        <v>37132</v>
      </c>
      <c r="J8155">
        <v>47421</v>
      </c>
    </row>
    <row r="8156" spans="1:10" x14ac:dyDescent="0.3">
      <c r="A8156" t="s">
        <v>8283</v>
      </c>
      <c r="B8156" s="1">
        <v>45799</v>
      </c>
      <c r="C8156" t="s">
        <v>90</v>
      </c>
      <c r="D8156">
        <v>21</v>
      </c>
      <c r="E8156" t="s">
        <v>18</v>
      </c>
      <c r="F8156" t="s">
        <v>101</v>
      </c>
      <c r="G8156" t="s">
        <v>107</v>
      </c>
      <c r="H8156" t="s">
        <v>27</v>
      </c>
      <c r="I8156">
        <v>37245</v>
      </c>
      <c r="J8156">
        <v>41183</v>
      </c>
    </row>
    <row r="8157" spans="1:10" x14ac:dyDescent="0.3">
      <c r="A8157" t="s">
        <v>8284</v>
      </c>
      <c r="B8157" s="1">
        <v>45760</v>
      </c>
      <c r="C8157" t="s">
        <v>86</v>
      </c>
      <c r="D8157">
        <v>15</v>
      </c>
      <c r="E8157" t="s">
        <v>12</v>
      </c>
      <c r="F8157" t="s">
        <v>43</v>
      </c>
      <c r="G8157" t="s">
        <v>253</v>
      </c>
      <c r="H8157" t="s">
        <v>96</v>
      </c>
      <c r="I8157">
        <v>36818</v>
      </c>
      <c r="J8157">
        <v>31042</v>
      </c>
    </row>
    <row r="8158" spans="1:10" x14ac:dyDescent="0.3">
      <c r="A8158" t="s">
        <v>8285</v>
      </c>
      <c r="B8158" s="1">
        <v>45902</v>
      </c>
      <c r="C8158" t="s">
        <v>38</v>
      </c>
      <c r="D8158">
        <v>36</v>
      </c>
      <c r="E8158" t="s">
        <v>61</v>
      </c>
      <c r="F8158" t="s">
        <v>13</v>
      </c>
      <c r="G8158" t="s">
        <v>79</v>
      </c>
      <c r="H8158" t="s">
        <v>111</v>
      </c>
      <c r="I8158">
        <v>26907</v>
      </c>
      <c r="J8158">
        <v>34735</v>
      </c>
    </row>
    <row r="8159" spans="1:10" x14ac:dyDescent="0.3">
      <c r="A8159" t="s">
        <v>8286</v>
      </c>
      <c r="B8159" s="1">
        <v>45795</v>
      </c>
      <c r="C8159" t="s">
        <v>90</v>
      </c>
      <c r="D8159">
        <v>20</v>
      </c>
      <c r="E8159" t="s">
        <v>12</v>
      </c>
      <c r="F8159" t="s">
        <v>109</v>
      </c>
      <c r="G8159" t="s">
        <v>126</v>
      </c>
      <c r="H8159" t="s">
        <v>103</v>
      </c>
      <c r="I8159">
        <v>34002</v>
      </c>
      <c r="J8159">
        <v>26657</v>
      </c>
    </row>
    <row r="8160" spans="1:10" x14ac:dyDescent="0.3">
      <c r="A8160" t="s">
        <v>8287</v>
      </c>
      <c r="B8160" s="1">
        <v>45696</v>
      </c>
      <c r="C8160" t="s">
        <v>82</v>
      </c>
      <c r="D8160">
        <v>6</v>
      </c>
      <c r="E8160" t="s">
        <v>12</v>
      </c>
      <c r="F8160" t="s">
        <v>29</v>
      </c>
      <c r="G8160" t="s">
        <v>240</v>
      </c>
      <c r="H8160" t="s">
        <v>165</v>
      </c>
      <c r="I8160">
        <v>29827</v>
      </c>
      <c r="J8160">
        <v>36173</v>
      </c>
    </row>
    <row r="8161" spans="1:10" x14ac:dyDescent="0.3">
      <c r="A8161" t="s">
        <v>8288</v>
      </c>
      <c r="B8161" s="1">
        <v>45827</v>
      </c>
      <c r="C8161" t="s">
        <v>74</v>
      </c>
      <c r="D8161">
        <v>25</v>
      </c>
      <c r="E8161" t="s">
        <v>24</v>
      </c>
      <c r="F8161" t="s">
        <v>62</v>
      </c>
      <c r="G8161" t="s">
        <v>20</v>
      </c>
      <c r="H8161" t="s">
        <v>64</v>
      </c>
      <c r="I8161">
        <v>22406</v>
      </c>
      <c r="J8161">
        <v>26000</v>
      </c>
    </row>
    <row r="8162" spans="1:10" x14ac:dyDescent="0.3">
      <c r="A8162" t="s">
        <v>8289</v>
      </c>
      <c r="B8162" s="1">
        <v>45914</v>
      </c>
      <c r="C8162" t="s">
        <v>38</v>
      </c>
      <c r="D8162">
        <v>37</v>
      </c>
      <c r="E8162" t="s">
        <v>12</v>
      </c>
      <c r="F8162" t="s">
        <v>109</v>
      </c>
      <c r="G8162" t="s">
        <v>72</v>
      </c>
      <c r="H8162" t="s">
        <v>41</v>
      </c>
      <c r="I8162">
        <v>22967</v>
      </c>
      <c r="J8162">
        <v>16127</v>
      </c>
    </row>
    <row r="8163" spans="1:10" x14ac:dyDescent="0.3">
      <c r="A8163" t="s">
        <v>8290</v>
      </c>
      <c r="B8163" s="1">
        <v>45731</v>
      </c>
      <c r="C8163" t="s">
        <v>95</v>
      </c>
      <c r="D8163">
        <v>11</v>
      </c>
      <c r="E8163" t="s">
        <v>18</v>
      </c>
      <c r="F8163" t="s">
        <v>19</v>
      </c>
      <c r="G8163" t="s">
        <v>201</v>
      </c>
      <c r="H8163" t="s">
        <v>64</v>
      </c>
      <c r="I8163">
        <v>33903</v>
      </c>
      <c r="J8163">
        <v>33609</v>
      </c>
    </row>
    <row r="8164" spans="1:10" x14ac:dyDescent="0.3">
      <c r="A8164" t="s">
        <v>8291</v>
      </c>
      <c r="B8164" s="1">
        <v>45997</v>
      </c>
      <c r="C8164" t="s">
        <v>100</v>
      </c>
      <c r="D8164">
        <v>49</v>
      </c>
      <c r="E8164" t="s">
        <v>61</v>
      </c>
      <c r="F8164" t="s">
        <v>140</v>
      </c>
      <c r="G8164" t="s">
        <v>326</v>
      </c>
      <c r="H8164" t="s">
        <v>59</v>
      </c>
      <c r="I8164">
        <v>33515</v>
      </c>
      <c r="J8164">
        <v>43280</v>
      </c>
    </row>
    <row r="8165" spans="1:10" x14ac:dyDescent="0.3">
      <c r="A8165" t="s">
        <v>8292</v>
      </c>
      <c r="B8165" s="1">
        <v>46020</v>
      </c>
      <c r="C8165" t="s">
        <v>100</v>
      </c>
      <c r="D8165">
        <v>1</v>
      </c>
      <c r="E8165" t="s">
        <v>18</v>
      </c>
      <c r="F8165" t="s">
        <v>43</v>
      </c>
      <c r="G8165" t="s">
        <v>224</v>
      </c>
      <c r="H8165" t="s">
        <v>55</v>
      </c>
      <c r="I8165">
        <v>30999</v>
      </c>
      <c r="J8165">
        <v>26547</v>
      </c>
    </row>
    <row r="8166" spans="1:10" x14ac:dyDescent="0.3">
      <c r="A8166" t="s">
        <v>8293</v>
      </c>
      <c r="B8166" s="1">
        <v>45719</v>
      </c>
      <c r="C8166" t="s">
        <v>95</v>
      </c>
      <c r="D8166">
        <v>10</v>
      </c>
      <c r="E8166" t="s">
        <v>39</v>
      </c>
      <c r="F8166" t="s">
        <v>13</v>
      </c>
      <c r="G8166" t="s">
        <v>54</v>
      </c>
      <c r="H8166" t="s">
        <v>188</v>
      </c>
      <c r="I8166">
        <v>28861</v>
      </c>
      <c r="J8166">
        <v>36155</v>
      </c>
    </row>
    <row r="8167" spans="1:10" x14ac:dyDescent="0.3">
      <c r="A8167" t="s">
        <v>8294</v>
      </c>
      <c r="B8167" s="1">
        <v>45993</v>
      </c>
      <c r="C8167" t="s">
        <v>100</v>
      </c>
      <c r="D8167">
        <v>49</v>
      </c>
      <c r="E8167" t="s">
        <v>24</v>
      </c>
      <c r="F8167" t="s">
        <v>140</v>
      </c>
      <c r="G8167" t="s">
        <v>26</v>
      </c>
      <c r="H8167" t="s">
        <v>211</v>
      </c>
      <c r="I8167">
        <v>28354</v>
      </c>
      <c r="J8167">
        <v>30609</v>
      </c>
    </row>
    <row r="8168" spans="1:10" x14ac:dyDescent="0.3">
      <c r="A8168" t="s">
        <v>8295</v>
      </c>
      <c r="B8168" s="1">
        <v>45883</v>
      </c>
      <c r="C8168" t="s">
        <v>113</v>
      </c>
      <c r="D8168">
        <v>33</v>
      </c>
      <c r="E8168" t="s">
        <v>39</v>
      </c>
      <c r="F8168" t="s">
        <v>62</v>
      </c>
      <c r="G8168" t="s">
        <v>107</v>
      </c>
      <c r="H8168" t="s">
        <v>80</v>
      </c>
      <c r="I8168">
        <v>18552</v>
      </c>
      <c r="J8168">
        <v>13727</v>
      </c>
    </row>
    <row r="8169" spans="1:10" x14ac:dyDescent="0.3">
      <c r="A8169" t="s">
        <v>8296</v>
      </c>
      <c r="B8169" s="1">
        <v>45743</v>
      </c>
      <c r="C8169" t="s">
        <v>95</v>
      </c>
      <c r="D8169">
        <v>13</v>
      </c>
      <c r="E8169" t="s">
        <v>24</v>
      </c>
      <c r="F8169" t="s">
        <v>109</v>
      </c>
      <c r="G8169" t="s">
        <v>102</v>
      </c>
      <c r="H8169" t="s">
        <v>243</v>
      </c>
      <c r="I8169">
        <v>22740</v>
      </c>
      <c r="J8169">
        <v>24926</v>
      </c>
    </row>
    <row r="8170" spans="1:10" x14ac:dyDescent="0.3">
      <c r="A8170" t="s">
        <v>8297</v>
      </c>
      <c r="B8170" s="1">
        <v>45835</v>
      </c>
      <c r="C8170" t="s">
        <v>74</v>
      </c>
      <c r="D8170">
        <v>26</v>
      </c>
      <c r="E8170" t="s">
        <v>24</v>
      </c>
      <c r="F8170" t="s">
        <v>114</v>
      </c>
      <c r="G8170" t="s">
        <v>14</v>
      </c>
      <c r="H8170" t="s">
        <v>84</v>
      </c>
      <c r="I8170">
        <v>35336</v>
      </c>
      <c r="J8170">
        <v>28885</v>
      </c>
    </row>
    <row r="8171" spans="1:10" x14ac:dyDescent="0.3">
      <c r="A8171" t="s">
        <v>8298</v>
      </c>
      <c r="B8171" s="1">
        <v>45721</v>
      </c>
      <c r="C8171" t="s">
        <v>95</v>
      </c>
      <c r="D8171">
        <v>10</v>
      </c>
      <c r="E8171" t="s">
        <v>39</v>
      </c>
      <c r="F8171" t="s">
        <v>114</v>
      </c>
      <c r="G8171" t="s">
        <v>253</v>
      </c>
      <c r="H8171" t="s">
        <v>36</v>
      </c>
      <c r="I8171">
        <v>30849</v>
      </c>
      <c r="J8171">
        <v>30681</v>
      </c>
    </row>
    <row r="8172" spans="1:10" x14ac:dyDescent="0.3">
      <c r="A8172" t="s">
        <v>8299</v>
      </c>
      <c r="B8172" s="1">
        <v>45818</v>
      </c>
      <c r="C8172" t="s">
        <v>74</v>
      </c>
      <c r="D8172">
        <v>24</v>
      </c>
      <c r="E8172" t="s">
        <v>24</v>
      </c>
      <c r="F8172" t="s">
        <v>122</v>
      </c>
      <c r="G8172" t="s">
        <v>58</v>
      </c>
      <c r="H8172" t="s">
        <v>165</v>
      </c>
      <c r="I8172">
        <v>35219</v>
      </c>
      <c r="J8172">
        <v>25753</v>
      </c>
    </row>
    <row r="8173" spans="1:10" x14ac:dyDescent="0.3">
      <c r="A8173" t="s">
        <v>8300</v>
      </c>
      <c r="B8173" s="1">
        <v>45849</v>
      </c>
      <c r="C8173" t="s">
        <v>11</v>
      </c>
      <c r="D8173">
        <v>28</v>
      </c>
      <c r="E8173" t="s">
        <v>39</v>
      </c>
      <c r="F8173" t="s">
        <v>101</v>
      </c>
      <c r="G8173" t="s">
        <v>54</v>
      </c>
      <c r="H8173" t="s">
        <v>119</v>
      </c>
      <c r="I8173">
        <v>17363</v>
      </c>
      <c r="J8173">
        <v>20001</v>
      </c>
    </row>
    <row r="8174" spans="1:10" x14ac:dyDescent="0.3">
      <c r="A8174" t="s">
        <v>8301</v>
      </c>
      <c r="B8174" s="1">
        <v>45866</v>
      </c>
      <c r="C8174" t="s">
        <v>11</v>
      </c>
      <c r="D8174">
        <v>31</v>
      </c>
      <c r="E8174" t="s">
        <v>61</v>
      </c>
      <c r="F8174" t="s">
        <v>57</v>
      </c>
      <c r="G8174" t="s">
        <v>147</v>
      </c>
      <c r="H8174" t="s">
        <v>21</v>
      </c>
      <c r="I8174">
        <v>31272</v>
      </c>
      <c r="J8174">
        <v>35536</v>
      </c>
    </row>
    <row r="8175" spans="1:10" x14ac:dyDescent="0.3">
      <c r="A8175" t="s">
        <v>8302</v>
      </c>
      <c r="B8175" s="1">
        <v>45888</v>
      </c>
      <c r="C8175" t="s">
        <v>113</v>
      </c>
      <c r="D8175">
        <v>34</v>
      </c>
      <c r="E8175" t="s">
        <v>61</v>
      </c>
      <c r="F8175" t="s">
        <v>13</v>
      </c>
      <c r="G8175" t="s">
        <v>44</v>
      </c>
      <c r="H8175" t="s">
        <v>27</v>
      </c>
      <c r="I8175">
        <v>37489</v>
      </c>
      <c r="J8175">
        <v>42593</v>
      </c>
    </row>
    <row r="8176" spans="1:10" x14ac:dyDescent="0.3">
      <c r="A8176" t="s">
        <v>8303</v>
      </c>
      <c r="B8176" s="1">
        <v>45709</v>
      </c>
      <c r="C8176" t="s">
        <v>82</v>
      </c>
      <c r="D8176">
        <v>8</v>
      </c>
      <c r="E8176" t="s">
        <v>24</v>
      </c>
      <c r="F8176" t="s">
        <v>78</v>
      </c>
      <c r="G8176" t="s">
        <v>54</v>
      </c>
      <c r="H8176" t="s">
        <v>52</v>
      </c>
      <c r="I8176">
        <v>25067</v>
      </c>
      <c r="J8176">
        <v>23028</v>
      </c>
    </row>
    <row r="8177" spans="1:10" x14ac:dyDescent="0.3">
      <c r="A8177" t="s">
        <v>8304</v>
      </c>
      <c r="B8177" s="1">
        <v>45678</v>
      </c>
      <c r="C8177" t="s">
        <v>17</v>
      </c>
      <c r="D8177">
        <v>4</v>
      </c>
      <c r="E8177" t="s">
        <v>33</v>
      </c>
      <c r="F8177" t="s">
        <v>78</v>
      </c>
      <c r="G8177" t="s">
        <v>240</v>
      </c>
      <c r="H8177" t="s">
        <v>157</v>
      </c>
      <c r="I8177">
        <v>22460</v>
      </c>
      <c r="J8177">
        <v>18870</v>
      </c>
    </row>
    <row r="8178" spans="1:10" x14ac:dyDescent="0.3">
      <c r="A8178" t="s">
        <v>8305</v>
      </c>
      <c r="B8178" s="1">
        <v>45843</v>
      </c>
      <c r="C8178" t="s">
        <v>11</v>
      </c>
      <c r="D8178">
        <v>27</v>
      </c>
      <c r="E8178" t="s">
        <v>61</v>
      </c>
      <c r="F8178" t="s">
        <v>19</v>
      </c>
      <c r="G8178" t="s">
        <v>141</v>
      </c>
      <c r="H8178" t="s">
        <v>31</v>
      </c>
      <c r="I8178">
        <v>30876</v>
      </c>
      <c r="J8178">
        <v>26526</v>
      </c>
    </row>
    <row r="8179" spans="1:10" x14ac:dyDescent="0.3">
      <c r="A8179" t="s">
        <v>8306</v>
      </c>
      <c r="B8179" s="1">
        <v>45981</v>
      </c>
      <c r="C8179" t="s">
        <v>23</v>
      </c>
      <c r="D8179">
        <v>47</v>
      </c>
      <c r="E8179" t="s">
        <v>70</v>
      </c>
      <c r="F8179" t="s">
        <v>43</v>
      </c>
      <c r="G8179" t="s">
        <v>137</v>
      </c>
      <c r="H8179" t="s">
        <v>31</v>
      </c>
      <c r="I8179">
        <v>31890</v>
      </c>
      <c r="J8179">
        <v>39419</v>
      </c>
    </row>
    <row r="8180" spans="1:10" x14ac:dyDescent="0.3">
      <c r="A8180" t="s">
        <v>8307</v>
      </c>
      <c r="B8180" s="1">
        <v>45887</v>
      </c>
      <c r="C8180" t="s">
        <v>113</v>
      </c>
      <c r="D8180">
        <v>34</v>
      </c>
      <c r="E8180" t="s">
        <v>24</v>
      </c>
      <c r="F8180" t="s">
        <v>109</v>
      </c>
      <c r="G8180" t="s">
        <v>63</v>
      </c>
      <c r="H8180" t="s">
        <v>68</v>
      </c>
      <c r="I8180">
        <v>27488</v>
      </c>
      <c r="J8180">
        <v>35014</v>
      </c>
    </row>
    <row r="8181" spans="1:10" x14ac:dyDescent="0.3">
      <c r="A8181" t="s">
        <v>8308</v>
      </c>
      <c r="B8181" s="1">
        <v>46017</v>
      </c>
      <c r="C8181" t="s">
        <v>100</v>
      </c>
      <c r="D8181">
        <v>52</v>
      </c>
      <c r="E8181" t="s">
        <v>39</v>
      </c>
      <c r="F8181" t="s">
        <v>57</v>
      </c>
      <c r="G8181" t="s">
        <v>240</v>
      </c>
      <c r="H8181" t="s">
        <v>165</v>
      </c>
      <c r="I8181">
        <v>20722</v>
      </c>
      <c r="J8181">
        <v>15630</v>
      </c>
    </row>
    <row r="8182" spans="1:10" x14ac:dyDescent="0.3">
      <c r="A8182" t="s">
        <v>8309</v>
      </c>
      <c r="B8182" s="1">
        <v>45924</v>
      </c>
      <c r="C8182" t="s">
        <v>38</v>
      </c>
      <c r="D8182">
        <v>39</v>
      </c>
      <c r="E8182" t="s">
        <v>70</v>
      </c>
      <c r="F8182" t="s">
        <v>46</v>
      </c>
      <c r="G8182" t="s">
        <v>88</v>
      </c>
      <c r="H8182" t="s">
        <v>188</v>
      </c>
      <c r="I8182">
        <v>33579</v>
      </c>
      <c r="J8182">
        <v>41916</v>
      </c>
    </row>
    <row r="8183" spans="1:10" x14ac:dyDescent="0.3">
      <c r="A8183" t="s">
        <v>8310</v>
      </c>
      <c r="B8183" s="1">
        <v>45760</v>
      </c>
      <c r="C8183" t="s">
        <v>86</v>
      </c>
      <c r="D8183">
        <v>15</v>
      </c>
      <c r="E8183" t="s">
        <v>12</v>
      </c>
      <c r="F8183" t="s">
        <v>13</v>
      </c>
      <c r="G8183" t="s">
        <v>253</v>
      </c>
      <c r="H8183" t="s">
        <v>48</v>
      </c>
      <c r="I8183">
        <v>38811</v>
      </c>
      <c r="J8183">
        <v>46690</v>
      </c>
    </row>
    <row r="8184" spans="1:10" x14ac:dyDescent="0.3">
      <c r="A8184" t="s">
        <v>8311</v>
      </c>
      <c r="B8184" s="1">
        <v>45818</v>
      </c>
      <c r="C8184" t="s">
        <v>74</v>
      </c>
      <c r="D8184">
        <v>24</v>
      </c>
      <c r="E8184" t="s">
        <v>18</v>
      </c>
      <c r="F8184" t="s">
        <v>43</v>
      </c>
      <c r="G8184" t="s">
        <v>79</v>
      </c>
      <c r="H8184" t="s">
        <v>80</v>
      </c>
      <c r="I8184">
        <v>38817</v>
      </c>
      <c r="J8184">
        <v>34112</v>
      </c>
    </row>
    <row r="8185" spans="1:10" x14ac:dyDescent="0.3">
      <c r="A8185" t="s">
        <v>8312</v>
      </c>
      <c r="B8185" s="1">
        <v>45771</v>
      </c>
      <c r="C8185" t="s">
        <v>86</v>
      </c>
      <c r="D8185">
        <v>17</v>
      </c>
      <c r="E8185" t="s">
        <v>18</v>
      </c>
      <c r="F8185" t="s">
        <v>43</v>
      </c>
      <c r="G8185" t="s">
        <v>30</v>
      </c>
      <c r="H8185" t="s">
        <v>36</v>
      </c>
      <c r="I8185">
        <v>33042</v>
      </c>
      <c r="J8185">
        <v>31049</v>
      </c>
    </row>
    <row r="8186" spans="1:10" x14ac:dyDescent="0.3">
      <c r="A8186" t="s">
        <v>8313</v>
      </c>
      <c r="B8186" s="1">
        <v>45836</v>
      </c>
      <c r="C8186" t="s">
        <v>74</v>
      </c>
      <c r="D8186">
        <v>26</v>
      </c>
      <c r="E8186" t="s">
        <v>33</v>
      </c>
      <c r="F8186" t="s">
        <v>114</v>
      </c>
      <c r="G8186" t="s">
        <v>20</v>
      </c>
      <c r="H8186" t="s">
        <v>21</v>
      </c>
      <c r="I8186">
        <v>36456</v>
      </c>
      <c r="J8186">
        <v>36522</v>
      </c>
    </row>
    <row r="8187" spans="1:10" x14ac:dyDescent="0.3">
      <c r="A8187" t="s">
        <v>8314</v>
      </c>
      <c r="B8187" s="1">
        <v>45891</v>
      </c>
      <c r="C8187" t="s">
        <v>113</v>
      </c>
      <c r="D8187">
        <v>34</v>
      </c>
      <c r="E8187" t="s">
        <v>12</v>
      </c>
      <c r="F8187" t="s">
        <v>57</v>
      </c>
      <c r="G8187" t="s">
        <v>47</v>
      </c>
      <c r="H8187" t="s">
        <v>59</v>
      </c>
      <c r="I8187">
        <v>19466</v>
      </c>
      <c r="J8187">
        <v>18841</v>
      </c>
    </row>
    <row r="8188" spans="1:10" x14ac:dyDescent="0.3">
      <c r="A8188" t="s">
        <v>8315</v>
      </c>
      <c r="B8188" s="1">
        <v>45978</v>
      </c>
      <c r="C8188" t="s">
        <v>23</v>
      </c>
      <c r="D8188">
        <v>47</v>
      </c>
      <c r="E8188" t="s">
        <v>33</v>
      </c>
      <c r="F8188" t="s">
        <v>62</v>
      </c>
      <c r="G8188" t="s">
        <v>240</v>
      </c>
      <c r="H8188" t="s">
        <v>84</v>
      </c>
      <c r="I8188">
        <v>20849</v>
      </c>
      <c r="J8188">
        <v>19277</v>
      </c>
    </row>
    <row r="8189" spans="1:10" x14ac:dyDescent="0.3">
      <c r="A8189" t="s">
        <v>8316</v>
      </c>
      <c r="B8189" s="1">
        <v>45833</v>
      </c>
      <c r="C8189" t="s">
        <v>74</v>
      </c>
      <c r="D8189">
        <v>26</v>
      </c>
      <c r="E8189" t="s">
        <v>39</v>
      </c>
      <c r="F8189" t="s">
        <v>57</v>
      </c>
      <c r="G8189" t="s">
        <v>79</v>
      </c>
      <c r="H8189" t="s">
        <v>157</v>
      </c>
      <c r="I8189">
        <v>15457</v>
      </c>
      <c r="J8189">
        <v>12755</v>
      </c>
    </row>
    <row r="8190" spans="1:10" x14ac:dyDescent="0.3">
      <c r="A8190" t="s">
        <v>8317</v>
      </c>
      <c r="B8190" s="1">
        <v>45850</v>
      </c>
      <c r="C8190" t="s">
        <v>11</v>
      </c>
      <c r="D8190">
        <v>28</v>
      </c>
      <c r="E8190" t="s">
        <v>18</v>
      </c>
      <c r="F8190" t="s">
        <v>101</v>
      </c>
      <c r="G8190" t="s">
        <v>130</v>
      </c>
      <c r="H8190" t="s">
        <v>151</v>
      </c>
      <c r="I8190">
        <v>37589</v>
      </c>
      <c r="J8190">
        <v>48282</v>
      </c>
    </row>
    <row r="8191" spans="1:10" x14ac:dyDescent="0.3">
      <c r="A8191" t="s">
        <v>8318</v>
      </c>
      <c r="B8191" s="1">
        <v>45767</v>
      </c>
      <c r="C8191" t="s">
        <v>86</v>
      </c>
      <c r="D8191">
        <v>16</v>
      </c>
      <c r="E8191" t="s">
        <v>39</v>
      </c>
      <c r="F8191" t="s">
        <v>101</v>
      </c>
      <c r="G8191" t="s">
        <v>14</v>
      </c>
      <c r="H8191" t="s">
        <v>151</v>
      </c>
      <c r="I8191">
        <v>27641</v>
      </c>
      <c r="J8191">
        <v>27483</v>
      </c>
    </row>
    <row r="8192" spans="1:10" x14ac:dyDescent="0.3">
      <c r="A8192" t="s">
        <v>8319</v>
      </c>
      <c r="B8192" s="1">
        <v>45703</v>
      </c>
      <c r="C8192" t="s">
        <v>82</v>
      </c>
      <c r="D8192">
        <v>7</v>
      </c>
      <c r="E8192" t="s">
        <v>61</v>
      </c>
      <c r="F8192" t="s">
        <v>62</v>
      </c>
      <c r="G8192" t="s">
        <v>76</v>
      </c>
      <c r="H8192" t="s">
        <v>96</v>
      </c>
      <c r="I8192">
        <v>18663</v>
      </c>
      <c r="J8192">
        <v>23283</v>
      </c>
    </row>
    <row r="8193" spans="1:10" x14ac:dyDescent="0.3">
      <c r="A8193" t="s">
        <v>8320</v>
      </c>
      <c r="B8193" s="1">
        <v>45673</v>
      </c>
      <c r="C8193" t="s">
        <v>17</v>
      </c>
      <c r="D8193">
        <v>3</v>
      </c>
      <c r="E8193" t="s">
        <v>33</v>
      </c>
      <c r="F8193" t="s">
        <v>13</v>
      </c>
      <c r="G8193" t="s">
        <v>171</v>
      </c>
      <c r="H8193" t="s">
        <v>84</v>
      </c>
      <c r="I8193">
        <v>15482</v>
      </c>
      <c r="J8193">
        <v>13748</v>
      </c>
    </row>
    <row r="8194" spans="1:10" x14ac:dyDescent="0.3">
      <c r="A8194" t="s">
        <v>8321</v>
      </c>
      <c r="B8194" s="1">
        <v>45902</v>
      </c>
      <c r="C8194" t="s">
        <v>38</v>
      </c>
      <c r="D8194">
        <v>36</v>
      </c>
      <c r="E8194" t="s">
        <v>33</v>
      </c>
      <c r="F8194" t="s">
        <v>78</v>
      </c>
      <c r="G8194" t="s">
        <v>88</v>
      </c>
      <c r="H8194" t="s">
        <v>133</v>
      </c>
      <c r="I8194">
        <v>31650</v>
      </c>
      <c r="J8194">
        <v>38833</v>
      </c>
    </row>
    <row r="8195" spans="1:10" x14ac:dyDescent="0.3">
      <c r="A8195" t="s">
        <v>8322</v>
      </c>
      <c r="B8195" s="1">
        <v>45925</v>
      </c>
      <c r="C8195" t="s">
        <v>38</v>
      </c>
      <c r="D8195">
        <v>39</v>
      </c>
      <c r="E8195" t="s">
        <v>33</v>
      </c>
      <c r="F8195" t="s">
        <v>78</v>
      </c>
      <c r="G8195" t="s">
        <v>182</v>
      </c>
      <c r="H8195" t="s">
        <v>80</v>
      </c>
      <c r="I8195">
        <v>19198</v>
      </c>
      <c r="J8195">
        <v>20556</v>
      </c>
    </row>
    <row r="8196" spans="1:10" x14ac:dyDescent="0.3">
      <c r="A8196" t="s">
        <v>8323</v>
      </c>
      <c r="B8196" s="1">
        <v>45900</v>
      </c>
      <c r="C8196" t="s">
        <v>113</v>
      </c>
      <c r="D8196">
        <v>35</v>
      </c>
      <c r="E8196" t="s">
        <v>12</v>
      </c>
      <c r="F8196" t="s">
        <v>114</v>
      </c>
      <c r="G8196" t="s">
        <v>201</v>
      </c>
      <c r="H8196" t="s">
        <v>41</v>
      </c>
      <c r="I8196">
        <v>38559</v>
      </c>
      <c r="J8196">
        <v>43002</v>
      </c>
    </row>
    <row r="8197" spans="1:10" x14ac:dyDescent="0.3">
      <c r="A8197" t="s">
        <v>8324</v>
      </c>
      <c r="B8197" s="1">
        <v>45881</v>
      </c>
      <c r="C8197" t="s">
        <v>113</v>
      </c>
      <c r="D8197">
        <v>33</v>
      </c>
      <c r="E8197" t="s">
        <v>18</v>
      </c>
      <c r="F8197" t="s">
        <v>29</v>
      </c>
      <c r="G8197" t="s">
        <v>35</v>
      </c>
      <c r="H8197" t="s">
        <v>96</v>
      </c>
      <c r="I8197">
        <v>26765</v>
      </c>
      <c r="J8197">
        <v>29378</v>
      </c>
    </row>
    <row r="8198" spans="1:10" x14ac:dyDescent="0.3">
      <c r="A8198" t="s">
        <v>8325</v>
      </c>
      <c r="B8198" s="1">
        <v>45852</v>
      </c>
      <c r="C8198" t="s">
        <v>11</v>
      </c>
      <c r="D8198">
        <v>29</v>
      </c>
      <c r="E8198" t="s">
        <v>12</v>
      </c>
      <c r="F8198" t="s">
        <v>87</v>
      </c>
      <c r="G8198" t="s">
        <v>324</v>
      </c>
      <c r="H8198" t="s">
        <v>119</v>
      </c>
      <c r="I8198">
        <v>24146</v>
      </c>
      <c r="J8198">
        <v>27471</v>
      </c>
    </row>
    <row r="8199" spans="1:10" x14ac:dyDescent="0.3">
      <c r="A8199" t="s">
        <v>8326</v>
      </c>
      <c r="B8199" s="1">
        <v>45858</v>
      </c>
      <c r="C8199" t="s">
        <v>11</v>
      </c>
      <c r="D8199">
        <v>29</v>
      </c>
      <c r="E8199" t="s">
        <v>18</v>
      </c>
      <c r="F8199" t="s">
        <v>62</v>
      </c>
      <c r="G8199" t="s">
        <v>240</v>
      </c>
      <c r="H8199" t="s">
        <v>68</v>
      </c>
      <c r="I8199">
        <v>15886</v>
      </c>
      <c r="J8199">
        <v>15238</v>
      </c>
    </row>
    <row r="8200" spans="1:10" x14ac:dyDescent="0.3">
      <c r="A8200" t="s">
        <v>8327</v>
      </c>
      <c r="B8200" s="1">
        <v>45832</v>
      </c>
      <c r="C8200" t="s">
        <v>74</v>
      </c>
      <c r="D8200">
        <v>26</v>
      </c>
      <c r="E8200" t="s">
        <v>24</v>
      </c>
      <c r="F8200" t="s">
        <v>29</v>
      </c>
      <c r="G8200" t="s">
        <v>26</v>
      </c>
      <c r="H8200" t="s">
        <v>68</v>
      </c>
      <c r="I8200">
        <v>26363</v>
      </c>
      <c r="J8200">
        <v>21508</v>
      </c>
    </row>
    <row r="8201" spans="1:10" x14ac:dyDescent="0.3">
      <c r="A8201" t="s">
        <v>8328</v>
      </c>
      <c r="B8201" s="1">
        <v>45728</v>
      </c>
      <c r="C8201" t="s">
        <v>95</v>
      </c>
      <c r="D8201">
        <v>11</v>
      </c>
      <c r="E8201" t="s">
        <v>24</v>
      </c>
      <c r="F8201" t="s">
        <v>109</v>
      </c>
      <c r="G8201" t="s">
        <v>132</v>
      </c>
      <c r="H8201" t="s">
        <v>188</v>
      </c>
      <c r="I8201">
        <v>18673</v>
      </c>
      <c r="J8201">
        <v>22322</v>
      </c>
    </row>
    <row r="8202" spans="1:10" x14ac:dyDescent="0.3">
      <c r="A8202" t="s">
        <v>8329</v>
      </c>
      <c r="B8202" s="1">
        <v>45917</v>
      </c>
      <c r="C8202" t="s">
        <v>38</v>
      </c>
      <c r="D8202">
        <v>38</v>
      </c>
      <c r="E8202" t="s">
        <v>61</v>
      </c>
      <c r="F8202" t="s">
        <v>75</v>
      </c>
      <c r="G8202" t="s">
        <v>324</v>
      </c>
      <c r="H8202" t="s">
        <v>68</v>
      </c>
      <c r="I8202">
        <v>38863</v>
      </c>
      <c r="J8202">
        <v>39965</v>
      </c>
    </row>
    <row r="8203" spans="1:10" x14ac:dyDescent="0.3">
      <c r="A8203" t="s">
        <v>8330</v>
      </c>
      <c r="B8203" s="1">
        <v>45776</v>
      </c>
      <c r="C8203" t="s">
        <v>86</v>
      </c>
      <c r="D8203">
        <v>18</v>
      </c>
      <c r="E8203" t="s">
        <v>39</v>
      </c>
      <c r="F8203" t="s">
        <v>75</v>
      </c>
      <c r="G8203" t="s">
        <v>20</v>
      </c>
      <c r="H8203" t="s">
        <v>64</v>
      </c>
      <c r="I8203">
        <v>19681</v>
      </c>
      <c r="J8203">
        <v>14153</v>
      </c>
    </row>
    <row r="8204" spans="1:10" x14ac:dyDescent="0.3">
      <c r="A8204" t="s">
        <v>8331</v>
      </c>
      <c r="B8204" s="1">
        <v>45747</v>
      </c>
      <c r="C8204" t="s">
        <v>95</v>
      </c>
      <c r="D8204">
        <v>14</v>
      </c>
      <c r="E8204" t="s">
        <v>39</v>
      </c>
      <c r="F8204" t="s">
        <v>92</v>
      </c>
      <c r="G8204" t="s">
        <v>76</v>
      </c>
      <c r="H8204" t="s">
        <v>68</v>
      </c>
      <c r="I8204">
        <v>22728</v>
      </c>
      <c r="J8204">
        <v>16836</v>
      </c>
    </row>
    <row r="8205" spans="1:10" x14ac:dyDescent="0.3">
      <c r="A8205" t="s">
        <v>8332</v>
      </c>
      <c r="B8205" s="1">
        <v>45864</v>
      </c>
      <c r="C8205" t="s">
        <v>11</v>
      </c>
      <c r="D8205">
        <v>30</v>
      </c>
      <c r="E8205" t="s">
        <v>33</v>
      </c>
      <c r="F8205" t="s">
        <v>78</v>
      </c>
      <c r="G8205" t="s">
        <v>51</v>
      </c>
      <c r="H8205" t="s">
        <v>36</v>
      </c>
      <c r="I8205">
        <v>32088</v>
      </c>
      <c r="J8205">
        <v>29357</v>
      </c>
    </row>
    <row r="8206" spans="1:10" x14ac:dyDescent="0.3">
      <c r="A8206" t="s">
        <v>8333</v>
      </c>
      <c r="B8206" s="1">
        <v>45746</v>
      </c>
      <c r="C8206" t="s">
        <v>95</v>
      </c>
      <c r="D8206">
        <v>13</v>
      </c>
      <c r="E8206" t="s">
        <v>18</v>
      </c>
      <c r="F8206" t="s">
        <v>50</v>
      </c>
      <c r="G8206" t="s">
        <v>14</v>
      </c>
      <c r="H8206" t="s">
        <v>188</v>
      </c>
      <c r="I8206">
        <v>19849</v>
      </c>
      <c r="J8206">
        <v>16292</v>
      </c>
    </row>
    <row r="8207" spans="1:10" x14ac:dyDescent="0.3">
      <c r="A8207" t="s">
        <v>8334</v>
      </c>
      <c r="B8207" s="1">
        <v>45858</v>
      </c>
      <c r="C8207" t="s">
        <v>11</v>
      </c>
      <c r="D8207">
        <v>29</v>
      </c>
      <c r="E8207" t="s">
        <v>24</v>
      </c>
      <c r="F8207" t="s">
        <v>109</v>
      </c>
      <c r="G8207" t="s">
        <v>253</v>
      </c>
      <c r="H8207" t="s">
        <v>84</v>
      </c>
      <c r="I8207">
        <v>25427</v>
      </c>
      <c r="J8207">
        <v>30999</v>
      </c>
    </row>
    <row r="8208" spans="1:10" x14ac:dyDescent="0.3">
      <c r="A8208" t="s">
        <v>8335</v>
      </c>
      <c r="B8208" s="1">
        <v>45878</v>
      </c>
      <c r="C8208" t="s">
        <v>113</v>
      </c>
      <c r="D8208">
        <v>32</v>
      </c>
      <c r="E8208" t="s">
        <v>39</v>
      </c>
      <c r="F8208" t="s">
        <v>34</v>
      </c>
      <c r="G8208" t="s">
        <v>137</v>
      </c>
      <c r="H8208" t="s">
        <v>103</v>
      </c>
      <c r="I8208">
        <v>30838</v>
      </c>
      <c r="J8208">
        <v>39435</v>
      </c>
    </row>
    <row r="8209" spans="1:10" x14ac:dyDescent="0.3">
      <c r="A8209" t="s">
        <v>8336</v>
      </c>
      <c r="B8209" s="1">
        <v>45966</v>
      </c>
      <c r="C8209" t="s">
        <v>23</v>
      </c>
      <c r="D8209">
        <v>45</v>
      </c>
      <c r="E8209" t="s">
        <v>24</v>
      </c>
      <c r="F8209" t="s">
        <v>62</v>
      </c>
      <c r="G8209" t="s">
        <v>72</v>
      </c>
      <c r="H8209" t="s">
        <v>52</v>
      </c>
      <c r="I8209">
        <v>31431</v>
      </c>
      <c r="J8209">
        <v>30683</v>
      </c>
    </row>
    <row r="8210" spans="1:10" x14ac:dyDescent="0.3">
      <c r="A8210" t="s">
        <v>8337</v>
      </c>
      <c r="B8210" s="1">
        <v>45715</v>
      </c>
      <c r="C8210" t="s">
        <v>82</v>
      </c>
      <c r="D8210">
        <v>9</v>
      </c>
      <c r="E8210" t="s">
        <v>61</v>
      </c>
      <c r="F8210" t="s">
        <v>29</v>
      </c>
      <c r="G8210" t="s">
        <v>130</v>
      </c>
      <c r="H8210" t="s">
        <v>133</v>
      </c>
      <c r="I8210">
        <v>35940</v>
      </c>
      <c r="J8210">
        <v>34300</v>
      </c>
    </row>
    <row r="8211" spans="1:10" x14ac:dyDescent="0.3">
      <c r="A8211" t="s">
        <v>8338</v>
      </c>
      <c r="B8211" s="1">
        <v>45680</v>
      </c>
      <c r="C8211" t="s">
        <v>17</v>
      </c>
      <c r="D8211">
        <v>4</v>
      </c>
      <c r="E8211" t="s">
        <v>61</v>
      </c>
      <c r="F8211" t="s">
        <v>43</v>
      </c>
      <c r="G8211" t="s">
        <v>20</v>
      </c>
      <c r="H8211" t="s">
        <v>84</v>
      </c>
      <c r="I8211">
        <v>25631</v>
      </c>
      <c r="J8211">
        <v>18251</v>
      </c>
    </row>
    <row r="8212" spans="1:10" x14ac:dyDescent="0.3">
      <c r="A8212" t="s">
        <v>8339</v>
      </c>
      <c r="B8212" s="1">
        <v>45840</v>
      </c>
      <c r="C8212" t="s">
        <v>11</v>
      </c>
      <c r="D8212">
        <v>27</v>
      </c>
      <c r="E8212" t="s">
        <v>61</v>
      </c>
      <c r="F8212" t="s">
        <v>13</v>
      </c>
      <c r="G8212" t="s">
        <v>199</v>
      </c>
      <c r="H8212" t="s">
        <v>96</v>
      </c>
      <c r="I8212">
        <v>22234</v>
      </c>
      <c r="J8212">
        <v>16835</v>
      </c>
    </row>
    <row r="8213" spans="1:10" x14ac:dyDescent="0.3">
      <c r="A8213" t="s">
        <v>8340</v>
      </c>
      <c r="B8213" s="1">
        <v>45925</v>
      </c>
      <c r="C8213" t="s">
        <v>38</v>
      </c>
      <c r="D8213">
        <v>39</v>
      </c>
      <c r="E8213" t="s">
        <v>61</v>
      </c>
      <c r="F8213" t="s">
        <v>50</v>
      </c>
      <c r="G8213" t="s">
        <v>115</v>
      </c>
      <c r="H8213" t="s">
        <v>111</v>
      </c>
      <c r="I8213">
        <v>33060</v>
      </c>
      <c r="J8213">
        <v>30206</v>
      </c>
    </row>
    <row r="8214" spans="1:10" x14ac:dyDescent="0.3">
      <c r="A8214" t="s">
        <v>8341</v>
      </c>
      <c r="B8214" s="1">
        <v>45882</v>
      </c>
      <c r="C8214" t="s">
        <v>113</v>
      </c>
      <c r="D8214">
        <v>33</v>
      </c>
      <c r="E8214" t="s">
        <v>39</v>
      </c>
      <c r="F8214" t="s">
        <v>109</v>
      </c>
      <c r="G8214" t="s">
        <v>58</v>
      </c>
      <c r="H8214" t="s">
        <v>84</v>
      </c>
      <c r="I8214">
        <v>25501</v>
      </c>
      <c r="J8214">
        <v>26798</v>
      </c>
    </row>
    <row r="8215" spans="1:10" x14ac:dyDescent="0.3">
      <c r="A8215" t="s">
        <v>8342</v>
      </c>
      <c r="B8215" s="1">
        <v>45726</v>
      </c>
      <c r="C8215" t="s">
        <v>95</v>
      </c>
      <c r="D8215">
        <v>11</v>
      </c>
      <c r="E8215" t="s">
        <v>70</v>
      </c>
      <c r="F8215" t="s">
        <v>114</v>
      </c>
      <c r="G8215" t="s">
        <v>118</v>
      </c>
      <c r="H8215" t="s">
        <v>52</v>
      </c>
      <c r="I8215">
        <v>20680</v>
      </c>
      <c r="J8215">
        <v>23426</v>
      </c>
    </row>
    <row r="8216" spans="1:10" x14ac:dyDescent="0.3">
      <c r="A8216" t="s">
        <v>8343</v>
      </c>
      <c r="B8216" s="1">
        <v>45897</v>
      </c>
      <c r="C8216" t="s">
        <v>113</v>
      </c>
      <c r="D8216">
        <v>35</v>
      </c>
      <c r="E8216" t="s">
        <v>33</v>
      </c>
      <c r="F8216" t="s">
        <v>101</v>
      </c>
      <c r="G8216" t="s">
        <v>132</v>
      </c>
      <c r="H8216" t="s">
        <v>59</v>
      </c>
      <c r="I8216">
        <v>25916</v>
      </c>
      <c r="J8216">
        <v>30333</v>
      </c>
    </row>
    <row r="8217" spans="1:10" x14ac:dyDescent="0.3">
      <c r="A8217" t="s">
        <v>8344</v>
      </c>
      <c r="B8217" s="1">
        <v>45961</v>
      </c>
      <c r="C8217" t="s">
        <v>66</v>
      </c>
      <c r="D8217">
        <v>44</v>
      </c>
      <c r="E8217" t="s">
        <v>12</v>
      </c>
      <c r="F8217" t="s">
        <v>13</v>
      </c>
      <c r="G8217" t="s">
        <v>201</v>
      </c>
      <c r="H8217" t="s">
        <v>133</v>
      </c>
      <c r="I8217">
        <v>38926</v>
      </c>
      <c r="J8217">
        <v>31229</v>
      </c>
    </row>
    <row r="8218" spans="1:10" x14ac:dyDescent="0.3">
      <c r="A8218" t="s">
        <v>8345</v>
      </c>
      <c r="B8218" s="1">
        <v>45691</v>
      </c>
      <c r="C8218" t="s">
        <v>82</v>
      </c>
      <c r="D8218">
        <v>6</v>
      </c>
      <c r="E8218" t="s">
        <v>39</v>
      </c>
      <c r="F8218" t="s">
        <v>34</v>
      </c>
      <c r="G8218" t="s">
        <v>79</v>
      </c>
      <c r="H8218" t="s">
        <v>98</v>
      </c>
      <c r="I8218">
        <v>20905</v>
      </c>
      <c r="J8218">
        <v>20504</v>
      </c>
    </row>
    <row r="8219" spans="1:10" x14ac:dyDescent="0.3">
      <c r="A8219" t="s">
        <v>8346</v>
      </c>
      <c r="B8219" s="1">
        <v>45964</v>
      </c>
      <c r="C8219" t="s">
        <v>23</v>
      </c>
      <c r="D8219">
        <v>45</v>
      </c>
      <c r="E8219" t="s">
        <v>12</v>
      </c>
      <c r="F8219" t="s">
        <v>46</v>
      </c>
      <c r="G8219" t="s">
        <v>107</v>
      </c>
      <c r="H8219" t="s">
        <v>133</v>
      </c>
      <c r="I8219">
        <v>16976</v>
      </c>
      <c r="J8219">
        <v>15498</v>
      </c>
    </row>
    <row r="8220" spans="1:10" x14ac:dyDescent="0.3">
      <c r="A8220" t="s">
        <v>8347</v>
      </c>
      <c r="B8220" s="1">
        <v>45720</v>
      </c>
      <c r="C8220" t="s">
        <v>95</v>
      </c>
      <c r="D8220">
        <v>10</v>
      </c>
      <c r="E8220" t="s">
        <v>39</v>
      </c>
      <c r="F8220" t="s">
        <v>29</v>
      </c>
      <c r="G8220" t="s">
        <v>88</v>
      </c>
      <c r="H8220" t="s">
        <v>155</v>
      </c>
      <c r="I8220">
        <v>25753</v>
      </c>
      <c r="J8220">
        <v>32307</v>
      </c>
    </row>
    <row r="8221" spans="1:10" x14ac:dyDescent="0.3">
      <c r="A8221" t="s">
        <v>8348</v>
      </c>
      <c r="B8221" s="1">
        <v>45739</v>
      </c>
      <c r="C8221" t="s">
        <v>95</v>
      </c>
      <c r="D8221">
        <v>12</v>
      </c>
      <c r="E8221" t="s">
        <v>24</v>
      </c>
      <c r="F8221" t="s">
        <v>43</v>
      </c>
      <c r="G8221" t="s">
        <v>35</v>
      </c>
      <c r="H8221" t="s">
        <v>84</v>
      </c>
      <c r="I8221">
        <v>31065</v>
      </c>
      <c r="J8221">
        <v>31597</v>
      </c>
    </row>
    <row r="8222" spans="1:10" x14ac:dyDescent="0.3">
      <c r="A8222" t="s">
        <v>8349</v>
      </c>
      <c r="B8222" s="1">
        <v>45837</v>
      </c>
      <c r="C8222" t="s">
        <v>74</v>
      </c>
      <c r="D8222">
        <v>26</v>
      </c>
      <c r="E8222" t="s">
        <v>18</v>
      </c>
      <c r="F8222" t="s">
        <v>62</v>
      </c>
      <c r="G8222" t="s">
        <v>201</v>
      </c>
      <c r="H8222" t="s">
        <v>36</v>
      </c>
      <c r="I8222">
        <v>21571</v>
      </c>
      <c r="J8222">
        <v>21437</v>
      </c>
    </row>
    <row r="8223" spans="1:10" x14ac:dyDescent="0.3">
      <c r="A8223" t="s">
        <v>8350</v>
      </c>
      <c r="B8223" s="1">
        <v>45806</v>
      </c>
      <c r="C8223" t="s">
        <v>90</v>
      </c>
      <c r="D8223">
        <v>22</v>
      </c>
      <c r="E8223" t="s">
        <v>12</v>
      </c>
      <c r="F8223" t="s">
        <v>109</v>
      </c>
      <c r="G8223" t="s">
        <v>67</v>
      </c>
      <c r="H8223" t="s">
        <v>36</v>
      </c>
      <c r="I8223">
        <v>32655</v>
      </c>
      <c r="J8223">
        <v>31621</v>
      </c>
    </row>
    <row r="8224" spans="1:10" x14ac:dyDescent="0.3">
      <c r="A8224" t="s">
        <v>8351</v>
      </c>
      <c r="B8224" s="1">
        <v>45682</v>
      </c>
      <c r="C8224" t="s">
        <v>17</v>
      </c>
      <c r="D8224">
        <v>4</v>
      </c>
      <c r="E8224" t="s">
        <v>18</v>
      </c>
      <c r="F8224" t="s">
        <v>19</v>
      </c>
      <c r="G8224" t="s">
        <v>234</v>
      </c>
      <c r="H8224" t="s">
        <v>41</v>
      </c>
      <c r="I8224">
        <v>30659</v>
      </c>
      <c r="J8224">
        <v>26030</v>
      </c>
    </row>
    <row r="8225" spans="1:10" x14ac:dyDescent="0.3">
      <c r="A8225" t="s">
        <v>8352</v>
      </c>
      <c r="B8225" s="1">
        <v>45717</v>
      </c>
      <c r="C8225" t="s">
        <v>95</v>
      </c>
      <c r="D8225">
        <v>9</v>
      </c>
      <c r="E8225" t="s">
        <v>39</v>
      </c>
      <c r="F8225" t="s">
        <v>140</v>
      </c>
      <c r="G8225" t="s">
        <v>93</v>
      </c>
      <c r="H8225" t="s">
        <v>133</v>
      </c>
      <c r="I8225">
        <v>17026</v>
      </c>
      <c r="J8225">
        <v>18797</v>
      </c>
    </row>
    <row r="8226" spans="1:10" x14ac:dyDescent="0.3">
      <c r="A8226" t="s">
        <v>8353</v>
      </c>
      <c r="B8226" s="1">
        <v>45984</v>
      </c>
      <c r="C8226" t="s">
        <v>23</v>
      </c>
      <c r="D8226">
        <v>47</v>
      </c>
      <c r="E8226" t="s">
        <v>70</v>
      </c>
      <c r="F8226" t="s">
        <v>43</v>
      </c>
      <c r="G8226" t="s">
        <v>171</v>
      </c>
      <c r="H8226" t="s">
        <v>163</v>
      </c>
      <c r="I8226">
        <v>30582</v>
      </c>
      <c r="J8226">
        <v>25931</v>
      </c>
    </row>
    <row r="8227" spans="1:10" x14ac:dyDescent="0.3">
      <c r="A8227" t="s">
        <v>8354</v>
      </c>
      <c r="B8227" s="1">
        <v>45892</v>
      </c>
      <c r="C8227" t="s">
        <v>113</v>
      </c>
      <c r="D8227">
        <v>34</v>
      </c>
      <c r="E8227" t="s">
        <v>24</v>
      </c>
      <c r="F8227" t="s">
        <v>193</v>
      </c>
      <c r="G8227" t="s">
        <v>63</v>
      </c>
      <c r="H8227" t="s">
        <v>116</v>
      </c>
      <c r="I8227">
        <v>38863</v>
      </c>
      <c r="J8227">
        <v>28708</v>
      </c>
    </row>
    <row r="8228" spans="1:10" x14ac:dyDescent="0.3">
      <c r="A8228" t="s">
        <v>8355</v>
      </c>
      <c r="B8228" s="1">
        <v>45828</v>
      </c>
      <c r="C8228" t="s">
        <v>74</v>
      </c>
      <c r="D8228">
        <v>25</v>
      </c>
      <c r="E8228" t="s">
        <v>39</v>
      </c>
      <c r="F8228" t="s">
        <v>122</v>
      </c>
      <c r="G8228" t="s">
        <v>253</v>
      </c>
      <c r="H8228" t="s">
        <v>68</v>
      </c>
      <c r="I8228">
        <v>27653</v>
      </c>
      <c r="J8228">
        <v>26246</v>
      </c>
    </row>
    <row r="8229" spans="1:10" x14ac:dyDescent="0.3">
      <c r="A8229" t="s">
        <v>8356</v>
      </c>
      <c r="B8229" s="1">
        <v>45986</v>
      </c>
      <c r="C8229" t="s">
        <v>23</v>
      </c>
      <c r="D8229">
        <v>48</v>
      </c>
      <c r="E8229" t="s">
        <v>18</v>
      </c>
      <c r="F8229" t="s">
        <v>50</v>
      </c>
      <c r="G8229" t="s">
        <v>93</v>
      </c>
      <c r="H8229" t="s">
        <v>211</v>
      </c>
      <c r="I8229">
        <v>38490</v>
      </c>
      <c r="J8229">
        <v>32649</v>
      </c>
    </row>
    <row r="8230" spans="1:10" x14ac:dyDescent="0.3">
      <c r="A8230" t="s">
        <v>8357</v>
      </c>
      <c r="B8230" s="1">
        <v>45990</v>
      </c>
      <c r="C8230" t="s">
        <v>23</v>
      </c>
      <c r="D8230">
        <v>48</v>
      </c>
      <c r="E8230" t="s">
        <v>18</v>
      </c>
      <c r="F8230" t="s">
        <v>29</v>
      </c>
      <c r="G8230" t="s">
        <v>126</v>
      </c>
      <c r="H8230" t="s">
        <v>15</v>
      </c>
      <c r="I8230">
        <v>30892</v>
      </c>
      <c r="J8230">
        <v>32883</v>
      </c>
    </row>
    <row r="8231" spans="1:10" x14ac:dyDescent="0.3">
      <c r="A8231" t="s">
        <v>8358</v>
      </c>
      <c r="B8231" s="1">
        <v>45815</v>
      </c>
      <c r="C8231" t="s">
        <v>74</v>
      </c>
      <c r="D8231">
        <v>23</v>
      </c>
      <c r="E8231" t="s">
        <v>12</v>
      </c>
      <c r="F8231" t="s">
        <v>75</v>
      </c>
      <c r="G8231" t="s">
        <v>326</v>
      </c>
      <c r="H8231" t="s">
        <v>31</v>
      </c>
      <c r="I8231">
        <v>35909</v>
      </c>
      <c r="J8231">
        <v>28517</v>
      </c>
    </row>
    <row r="8232" spans="1:10" x14ac:dyDescent="0.3">
      <c r="A8232" t="s">
        <v>8359</v>
      </c>
      <c r="B8232" s="1">
        <v>45847</v>
      </c>
      <c r="C8232" t="s">
        <v>11</v>
      </c>
      <c r="D8232">
        <v>28</v>
      </c>
      <c r="E8232" t="s">
        <v>61</v>
      </c>
      <c r="F8232" t="s">
        <v>13</v>
      </c>
      <c r="G8232" t="s">
        <v>182</v>
      </c>
      <c r="H8232" t="s">
        <v>59</v>
      </c>
      <c r="I8232">
        <v>23469</v>
      </c>
      <c r="J8232">
        <v>28447</v>
      </c>
    </row>
    <row r="8233" spans="1:10" x14ac:dyDescent="0.3">
      <c r="A8233" t="s">
        <v>8360</v>
      </c>
      <c r="B8233" s="1">
        <v>45792</v>
      </c>
      <c r="C8233" t="s">
        <v>90</v>
      </c>
      <c r="D8233">
        <v>20</v>
      </c>
      <c r="E8233" t="s">
        <v>33</v>
      </c>
      <c r="F8233" t="s">
        <v>62</v>
      </c>
      <c r="G8233" t="s">
        <v>191</v>
      </c>
      <c r="H8233" t="s">
        <v>243</v>
      </c>
      <c r="I8233">
        <v>15994</v>
      </c>
      <c r="J8233">
        <v>20458</v>
      </c>
    </row>
    <row r="8234" spans="1:10" x14ac:dyDescent="0.3">
      <c r="A8234" t="s">
        <v>8361</v>
      </c>
      <c r="B8234" s="1">
        <v>45658</v>
      </c>
      <c r="C8234" t="s">
        <v>17</v>
      </c>
      <c r="D8234">
        <v>1</v>
      </c>
      <c r="E8234" t="s">
        <v>12</v>
      </c>
      <c r="F8234" t="s">
        <v>34</v>
      </c>
      <c r="G8234" t="s">
        <v>102</v>
      </c>
      <c r="H8234" t="s">
        <v>163</v>
      </c>
      <c r="I8234">
        <v>15101</v>
      </c>
      <c r="J8234">
        <v>19104</v>
      </c>
    </row>
    <row r="8235" spans="1:10" x14ac:dyDescent="0.3">
      <c r="A8235" t="s">
        <v>8362</v>
      </c>
      <c r="B8235" s="1">
        <v>45835</v>
      </c>
      <c r="C8235" t="s">
        <v>74</v>
      </c>
      <c r="D8235">
        <v>26</v>
      </c>
      <c r="E8235" t="s">
        <v>39</v>
      </c>
      <c r="F8235" t="s">
        <v>43</v>
      </c>
      <c r="G8235" t="s">
        <v>171</v>
      </c>
      <c r="H8235" t="s">
        <v>48</v>
      </c>
      <c r="I8235">
        <v>17808</v>
      </c>
      <c r="J8235">
        <v>16475</v>
      </c>
    </row>
    <row r="8236" spans="1:10" x14ac:dyDescent="0.3">
      <c r="A8236" t="s">
        <v>8363</v>
      </c>
      <c r="B8236" s="1">
        <v>45917</v>
      </c>
      <c r="C8236" t="s">
        <v>38</v>
      </c>
      <c r="D8236">
        <v>38</v>
      </c>
      <c r="E8236" t="s">
        <v>33</v>
      </c>
      <c r="F8236" t="s">
        <v>62</v>
      </c>
      <c r="G8236" t="s">
        <v>20</v>
      </c>
      <c r="H8236" t="s">
        <v>155</v>
      </c>
      <c r="I8236">
        <v>25870</v>
      </c>
      <c r="J8236">
        <v>25749</v>
      </c>
    </row>
    <row r="8237" spans="1:10" x14ac:dyDescent="0.3">
      <c r="A8237" t="s">
        <v>8364</v>
      </c>
      <c r="B8237" s="1">
        <v>45856</v>
      </c>
      <c r="C8237" t="s">
        <v>11</v>
      </c>
      <c r="D8237">
        <v>29</v>
      </c>
      <c r="E8237" t="s">
        <v>24</v>
      </c>
      <c r="F8237" t="s">
        <v>75</v>
      </c>
      <c r="G8237" t="s">
        <v>137</v>
      </c>
      <c r="H8237" t="s">
        <v>119</v>
      </c>
      <c r="I8237">
        <v>16647</v>
      </c>
      <c r="J8237">
        <v>14411</v>
      </c>
    </row>
    <row r="8238" spans="1:10" x14ac:dyDescent="0.3">
      <c r="A8238" t="s">
        <v>8365</v>
      </c>
      <c r="B8238" s="1">
        <v>45948</v>
      </c>
      <c r="C8238" t="s">
        <v>66</v>
      </c>
      <c r="D8238">
        <v>42</v>
      </c>
      <c r="E8238" t="s">
        <v>33</v>
      </c>
      <c r="F8238" t="s">
        <v>43</v>
      </c>
      <c r="G8238" t="s">
        <v>199</v>
      </c>
      <c r="H8238" t="s">
        <v>155</v>
      </c>
      <c r="I8238">
        <v>33988</v>
      </c>
      <c r="J8238">
        <v>28733</v>
      </c>
    </row>
    <row r="8239" spans="1:10" x14ac:dyDescent="0.3">
      <c r="A8239" t="s">
        <v>8366</v>
      </c>
      <c r="B8239" s="1">
        <v>45999</v>
      </c>
      <c r="C8239" t="s">
        <v>100</v>
      </c>
      <c r="D8239">
        <v>50</v>
      </c>
      <c r="E8239" t="s">
        <v>18</v>
      </c>
      <c r="F8239" t="s">
        <v>122</v>
      </c>
      <c r="G8239" t="s">
        <v>47</v>
      </c>
      <c r="H8239" t="s">
        <v>151</v>
      </c>
      <c r="I8239">
        <v>38236</v>
      </c>
      <c r="J8239">
        <v>30082</v>
      </c>
    </row>
    <row r="8240" spans="1:10" x14ac:dyDescent="0.3">
      <c r="A8240" t="s">
        <v>8367</v>
      </c>
      <c r="B8240" s="1">
        <v>45768</v>
      </c>
      <c r="C8240" t="s">
        <v>86</v>
      </c>
      <c r="D8240">
        <v>17</v>
      </c>
      <c r="E8240" t="s">
        <v>33</v>
      </c>
      <c r="F8240" t="s">
        <v>62</v>
      </c>
      <c r="G8240" t="s">
        <v>110</v>
      </c>
      <c r="H8240" t="s">
        <v>84</v>
      </c>
      <c r="I8240">
        <v>31002</v>
      </c>
      <c r="J8240">
        <v>37291</v>
      </c>
    </row>
    <row r="8241" spans="1:10" x14ac:dyDescent="0.3">
      <c r="A8241" t="s">
        <v>8368</v>
      </c>
      <c r="B8241" s="1">
        <v>45983</v>
      </c>
      <c r="C8241" t="s">
        <v>23</v>
      </c>
      <c r="D8241">
        <v>47</v>
      </c>
      <c r="E8241" t="s">
        <v>12</v>
      </c>
      <c r="F8241" t="s">
        <v>19</v>
      </c>
      <c r="G8241" t="s">
        <v>63</v>
      </c>
      <c r="H8241" t="s">
        <v>165</v>
      </c>
      <c r="I8241">
        <v>39927</v>
      </c>
      <c r="J8241">
        <v>51233</v>
      </c>
    </row>
    <row r="8242" spans="1:10" x14ac:dyDescent="0.3">
      <c r="A8242" t="s">
        <v>8369</v>
      </c>
      <c r="B8242" s="1">
        <v>45832</v>
      </c>
      <c r="C8242" t="s">
        <v>74</v>
      </c>
      <c r="D8242">
        <v>26</v>
      </c>
      <c r="E8242" t="s">
        <v>12</v>
      </c>
      <c r="F8242" t="s">
        <v>114</v>
      </c>
      <c r="G8242" t="s">
        <v>224</v>
      </c>
      <c r="H8242" t="s">
        <v>52</v>
      </c>
      <c r="I8242">
        <v>38292</v>
      </c>
      <c r="J8242">
        <v>33395</v>
      </c>
    </row>
    <row r="8243" spans="1:10" x14ac:dyDescent="0.3">
      <c r="A8243" t="s">
        <v>8370</v>
      </c>
      <c r="B8243" s="1">
        <v>45751</v>
      </c>
      <c r="C8243" t="s">
        <v>86</v>
      </c>
      <c r="D8243">
        <v>14</v>
      </c>
      <c r="E8243" t="s">
        <v>24</v>
      </c>
      <c r="F8243" t="s">
        <v>193</v>
      </c>
      <c r="G8243" t="s">
        <v>20</v>
      </c>
      <c r="H8243" t="s">
        <v>31</v>
      </c>
      <c r="I8243">
        <v>16552</v>
      </c>
      <c r="J8243">
        <v>13397</v>
      </c>
    </row>
    <row r="8244" spans="1:10" x14ac:dyDescent="0.3">
      <c r="A8244" t="s">
        <v>8371</v>
      </c>
      <c r="B8244" s="1">
        <v>45917</v>
      </c>
      <c r="C8244" t="s">
        <v>38</v>
      </c>
      <c r="D8244">
        <v>38</v>
      </c>
      <c r="E8244" t="s">
        <v>24</v>
      </c>
      <c r="F8244" t="s">
        <v>46</v>
      </c>
      <c r="G8244" t="s">
        <v>135</v>
      </c>
      <c r="H8244" t="s">
        <v>243</v>
      </c>
      <c r="I8244">
        <v>26500</v>
      </c>
      <c r="J8244">
        <v>22516</v>
      </c>
    </row>
    <row r="8245" spans="1:10" x14ac:dyDescent="0.3">
      <c r="A8245" t="s">
        <v>8372</v>
      </c>
      <c r="B8245" s="1">
        <v>45785</v>
      </c>
      <c r="C8245" t="s">
        <v>90</v>
      </c>
      <c r="D8245">
        <v>19</v>
      </c>
      <c r="E8245" t="s">
        <v>70</v>
      </c>
      <c r="F8245" t="s">
        <v>101</v>
      </c>
      <c r="G8245" t="s">
        <v>126</v>
      </c>
      <c r="H8245" t="s">
        <v>31</v>
      </c>
      <c r="I8245">
        <v>33685</v>
      </c>
      <c r="J8245">
        <v>26662</v>
      </c>
    </row>
    <row r="8246" spans="1:10" x14ac:dyDescent="0.3">
      <c r="A8246" t="s">
        <v>8373</v>
      </c>
      <c r="B8246" s="1">
        <v>45658</v>
      </c>
      <c r="C8246" t="s">
        <v>17</v>
      </c>
      <c r="D8246">
        <v>1</v>
      </c>
      <c r="E8246" t="s">
        <v>24</v>
      </c>
      <c r="F8246" t="s">
        <v>34</v>
      </c>
      <c r="G8246" t="s">
        <v>115</v>
      </c>
      <c r="H8246" t="s">
        <v>64</v>
      </c>
      <c r="I8246">
        <v>18840</v>
      </c>
      <c r="J8246">
        <v>15053</v>
      </c>
    </row>
    <row r="8247" spans="1:10" x14ac:dyDescent="0.3">
      <c r="A8247" t="s">
        <v>8374</v>
      </c>
      <c r="B8247" s="1">
        <v>45896</v>
      </c>
      <c r="C8247" t="s">
        <v>113</v>
      </c>
      <c r="D8247">
        <v>35</v>
      </c>
      <c r="E8247" t="s">
        <v>33</v>
      </c>
      <c r="F8247" t="s">
        <v>114</v>
      </c>
      <c r="G8247" t="s">
        <v>326</v>
      </c>
      <c r="H8247" t="s">
        <v>31</v>
      </c>
      <c r="I8247">
        <v>35009</v>
      </c>
      <c r="J8247">
        <v>26387</v>
      </c>
    </row>
    <row r="8248" spans="1:10" x14ac:dyDescent="0.3">
      <c r="A8248" t="s">
        <v>8375</v>
      </c>
      <c r="B8248" s="1">
        <v>45865</v>
      </c>
      <c r="C8248" t="s">
        <v>11</v>
      </c>
      <c r="D8248">
        <v>30</v>
      </c>
      <c r="E8248" t="s">
        <v>12</v>
      </c>
      <c r="F8248" t="s">
        <v>46</v>
      </c>
      <c r="G8248" t="s">
        <v>137</v>
      </c>
      <c r="H8248" t="s">
        <v>123</v>
      </c>
      <c r="I8248">
        <v>30640</v>
      </c>
      <c r="J8248">
        <v>30909</v>
      </c>
    </row>
    <row r="8249" spans="1:10" x14ac:dyDescent="0.3">
      <c r="A8249" t="s">
        <v>8376</v>
      </c>
      <c r="B8249" s="1">
        <v>45889</v>
      </c>
      <c r="C8249" t="s">
        <v>113</v>
      </c>
      <c r="D8249">
        <v>34</v>
      </c>
      <c r="E8249" t="s">
        <v>12</v>
      </c>
      <c r="F8249" t="s">
        <v>78</v>
      </c>
      <c r="G8249" t="s">
        <v>160</v>
      </c>
      <c r="H8249" t="s">
        <v>211</v>
      </c>
      <c r="I8249">
        <v>20336</v>
      </c>
      <c r="J8249">
        <v>19862</v>
      </c>
    </row>
    <row r="8250" spans="1:10" x14ac:dyDescent="0.3">
      <c r="A8250" t="s">
        <v>8377</v>
      </c>
      <c r="B8250" s="1">
        <v>45878</v>
      </c>
      <c r="C8250" t="s">
        <v>113</v>
      </c>
      <c r="D8250">
        <v>32</v>
      </c>
      <c r="E8250" t="s">
        <v>18</v>
      </c>
      <c r="F8250" t="s">
        <v>193</v>
      </c>
      <c r="G8250" t="s">
        <v>88</v>
      </c>
      <c r="H8250" t="s">
        <v>165</v>
      </c>
      <c r="I8250">
        <v>32741</v>
      </c>
      <c r="J8250">
        <v>29403</v>
      </c>
    </row>
    <row r="8251" spans="1:10" x14ac:dyDescent="0.3">
      <c r="A8251" t="s">
        <v>8378</v>
      </c>
      <c r="B8251" s="1">
        <v>45762</v>
      </c>
      <c r="C8251" t="s">
        <v>86</v>
      </c>
      <c r="D8251">
        <v>16</v>
      </c>
      <c r="E8251" t="s">
        <v>61</v>
      </c>
      <c r="F8251" t="s">
        <v>57</v>
      </c>
      <c r="G8251" t="s">
        <v>160</v>
      </c>
      <c r="H8251" t="s">
        <v>96</v>
      </c>
      <c r="I8251">
        <v>35892</v>
      </c>
      <c r="J8251">
        <v>29568</v>
      </c>
    </row>
    <row r="8252" spans="1:10" x14ac:dyDescent="0.3">
      <c r="A8252" t="s">
        <v>8379</v>
      </c>
      <c r="B8252" s="1">
        <v>45680</v>
      </c>
      <c r="C8252" t="s">
        <v>17</v>
      </c>
      <c r="D8252">
        <v>4</v>
      </c>
      <c r="E8252" t="s">
        <v>33</v>
      </c>
      <c r="F8252" t="s">
        <v>46</v>
      </c>
      <c r="G8252" t="s">
        <v>199</v>
      </c>
      <c r="H8252" t="s">
        <v>211</v>
      </c>
      <c r="I8252">
        <v>25263</v>
      </c>
      <c r="J8252">
        <v>30909</v>
      </c>
    </row>
    <row r="8253" spans="1:10" x14ac:dyDescent="0.3">
      <c r="A8253" t="s">
        <v>8380</v>
      </c>
      <c r="B8253" s="1">
        <v>45840</v>
      </c>
      <c r="C8253" t="s">
        <v>11</v>
      </c>
      <c r="D8253">
        <v>27</v>
      </c>
      <c r="E8253" t="s">
        <v>18</v>
      </c>
      <c r="F8253" t="s">
        <v>109</v>
      </c>
      <c r="G8253" t="s">
        <v>76</v>
      </c>
      <c r="H8253" t="s">
        <v>55</v>
      </c>
      <c r="I8253">
        <v>35284</v>
      </c>
      <c r="J8253">
        <v>43588</v>
      </c>
    </row>
    <row r="8254" spans="1:10" x14ac:dyDescent="0.3">
      <c r="A8254" t="s">
        <v>8381</v>
      </c>
      <c r="B8254" s="1">
        <v>45726</v>
      </c>
      <c r="C8254" t="s">
        <v>95</v>
      </c>
      <c r="D8254">
        <v>11</v>
      </c>
      <c r="E8254" t="s">
        <v>33</v>
      </c>
      <c r="F8254" t="s">
        <v>13</v>
      </c>
      <c r="G8254" t="s">
        <v>51</v>
      </c>
      <c r="H8254" t="s">
        <v>31</v>
      </c>
      <c r="I8254">
        <v>23627</v>
      </c>
      <c r="J8254">
        <v>30051</v>
      </c>
    </row>
    <row r="8255" spans="1:10" x14ac:dyDescent="0.3">
      <c r="A8255" t="s">
        <v>8382</v>
      </c>
      <c r="B8255" s="1">
        <v>45965</v>
      </c>
      <c r="C8255" t="s">
        <v>23</v>
      </c>
      <c r="D8255">
        <v>45</v>
      </c>
      <c r="E8255" t="s">
        <v>12</v>
      </c>
      <c r="F8255" t="s">
        <v>34</v>
      </c>
      <c r="G8255" t="s">
        <v>20</v>
      </c>
      <c r="H8255" t="s">
        <v>211</v>
      </c>
      <c r="I8255">
        <v>21190</v>
      </c>
      <c r="J8255">
        <v>24142</v>
      </c>
    </row>
    <row r="8256" spans="1:10" x14ac:dyDescent="0.3">
      <c r="A8256" t="s">
        <v>8383</v>
      </c>
      <c r="B8256" s="1">
        <v>45767</v>
      </c>
      <c r="C8256" t="s">
        <v>86</v>
      </c>
      <c r="D8256">
        <v>16</v>
      </c>
      <c r="E8256" t="s">
        <v>39</v>
      </c>
      <c r="F8256" t="s">
        <v>78</v>
      </c>
      <c r="G8256" t="s">
        <v>26</v>
      </c>
      <c r="H8256" t="s">
        <v>48</v>
      </c>
      <c r="I8256">
        <v>20901</v>
      </c>
      <c r="J8256">
        <v>23941</v>
      </c>
    </row>
    <row r="8257" spans="1:10" x14ac:dyDescent="0.3">
      <c r="A8257" t="s">
        <v>8384</v>
      </c>
      <c r="B8257" s="1">
        <v>45688</v>
      </c>
      <c r="C8257" t="s">
        <v>17</v>
      </c>
      <c r="D8257">
        <v>5</v>
      </c>
      <c r="E8257" t="s">
        <v>18</v>
      </c>
      <c r="F8257" t="s">
        <v>92</v>
      </c>
      <c r="G8257" t="s">
        <v>102</v>
      </c>
      <c r="H8257" t="s">
        <v>96</v>
      </c>
      <c r="I8257">
        <v>18377</v>
      </c>
      <c r="J8257">
        <v>17783</v>
      </c>
    </row>
    <row r="8258" spans="1:10" x14ac:dyDescent="0.3">
      <c r="A8258" t="s">
        <v>8385</v>
      </c>
      <c r="B8258" s="1">
        <v>45917</v>
      </c>
      <c r="C8258" t="s">
        <v>38</v>
      </c>
      <c r="D8258">
        <v>38</v>
      </c>
      <c r="E8258" t="s">
        <v>12</v>
      </c>
      <c r="F8258" t="s">
        <v>78</v>
      </c>
      <c r="G8258" t="s">
        <v>132</v>
      </c>
      <c r="H8258" t="s">
        <v>27</v>
      </c>
      <c r="I8258">
        <v>31880</v>
      </c>
      <c r="J8258">
        <v>31719</v>
      </c>
    </row>
    <row r="8259" spans="1:10" x14ac:dyDescent="0.3">
      <c r="A8259" t="s">
        <v>8386</v>
      </c>
      <c r="B8259" s="1">
        <v>45766</v>
      </c>
      <c r="C8259" t="s">
        <v>86</v>
      </c>
      <c r="D8259">
        <v>16</v>
      </c>
      <c r="E8259" t="s">
        <v>24</v>
      </c>
      <c r="F8259" t="s">
        <v>50</v>
      </c>
      <c r="G8259" t="s">
        <v>199</v>
      </c>
      <c r="H8259" t="s">
        <v>68</v>
      </c>
      <c r="I8259">
        <v>24330</v>
      </c>
      <c r="J8259">
        <v>29522</v>
      </c>
    </row>
    <row r="8260" spans="1:10" x14ac:dyDescent="0.3">
      <c r="A8260" t="s">
        <v>8387</v>
      </c>
      <c r="B8260" s="1">
        <v>45677</v>
      </c>
      <c r="C8260" t="s">
        <v>17</v>
      </c>
      <c r="D8260">
        <v>4</v>
      </c>
      <c r="E8260" t="s">
        <v>61</v>
      </c>
      <c r="F8260" t="s">
        <v>114</v>
      </c>
      <c r="G8260" t="s">
        <v>30</v>
      </c>
      <c r="H8260" t="s">
        <v>165</v>
      </c>
      <c r="I8260">
        <v>30727</v>
      </c>
      <c r="J8260">
        <v>39451</v>
      </c>
    </row>
    <row r="8261" spans="1:10" x14ac:dyDescent="0.3">
      <c r="A8261" t="s">
        <v>8388</v>
      </c>
      <c r="B8261" s="1">
        <v>45804</v>
      </c>
      <c r="C8261" t="s">
        <v>90</v>
      </c>
      <c r="D8261">
        <v>22</v>
      </c>
      <c r="E8261" t="s">
        <v>18</v>
      </c>
      <c r="F8261" t="s">
        <v>29</v>
      </c>
      <c r="G8261" t="s">
        <v>63</v>
      </c>
      <c r="H8261" t="s">
        <v>188</v>
      </c>
      <c r="I8261">
        <v>32424</v>
      </c>
      <c r="J8261">
        <v>31134</v>
      </c>
    </row>
    <row r="8262" spans="1:10" x14ac:dyDescent="0.3">
      <c r="A8262" t="s">
        <v>8389</v>
      </c>
      <c r="B8262" s="1">
        <v>45838</v>
      </c>
      <c r="C8262" t="s">
        <v>74</v>
      </c>
      <c r="D8262">
        <v>27</v>
      </c>
      <c r="E8262" t="s">
        <v>24</v>
      </c>
      <c r="F8262" t="s">
        <v>78</v>
      </c>
      <c r="G8262" t="s">
        <v>324</v>
      </c>
      <c r="H8262" t="s">
        <v>59</v>
      </c>
      <c r="I8262">
        <v>29182</v>
      </c>
      <c r="J8262">
        <v>34760</v>
      </c>
    </row>
    <row r="8263" spans="1:10" x14ac:dyDescent="0.3">
      <c r="A8263" t="s">
        <v>8390</v>
      </c>
      <c r="B8263" s="1">
        <v>45783</v>
      </c>
      <c r="C8263" t="s">
        <v>90</v>
      </c>
      <c r="D8263">
        <v>19</v>
      </c>
      <c r="E8263" t="s">
        <v>61</v>
      </c>
      <c r="F8263" t="s">
        <v>92</v>
      </c>
      <c r="G8263" t="s">
        <v>234</v>
      </c>
      <c r="H8263" t="s">
        <v>157</v>
      </c>
      <c r="I8263">
        <v>24843</v>
      </c>
      <c r="J8263">
        <v>29134</v>
      </c>
    </row>
    <row r="8264" spans="1:10" x14ac:dyDescent="0.3">
      <c r="A8264" t="s">
        <v>8391</v>
      </c>
      <c r="B8264" s="1">
        <v>45794</v>
      </c>
      <c r="C8264" t="s">
        <v>90</v>
      </c>
      <c r="D8264">
        <v>20</v>
      </c>
      <c r="E8264" t="s">
        <v>18</v>
      </c>
      <c r="F8264" t="s">
        <v>19</v>
      </c>
      <c r="G8264" t="s">
        <v>30</v>
      </c>
      <c r="H8264" t="s">
        <v>103</v>
      </c>
      <c r="I8264">
        <v>23959</v>
      </c>
      <c r="J8264">
        <v>20194</v>
      </c>
    </row>
    <row r="8265" spans="1:10" x14ac:dyDescent="0.3">
      <c r="A8265" t="s">
        <v>8392</v>
      </c>
      <c r="B8265" s="1">
        <v>45702</v>
      </c>
      <c r="C8265" t="s">
        <v>82</v>
      </c>
      <c r="D8265">
        <v>7</v>
      </c>
      <c r="E8265" t="s">
        <v>33</v>
      </c>
      <c r="F8265" t="s">
        <v>62</v>
      </c>
      <c r="G8265" t="s">
        <v>135</v>
      </c>
      <c r="H8265" t="s">
        <v>119</v>
      </c>
      <c r="I8265">
        <v>20958</v>
      </c>
      <c r="J8265">
        <v>26808</v>
      </c>
    </row>
    <row r="8266" spans="1:10" x14ac:dyDescent="0.3">
      <c r="A8266" t="s">
        <v>8393</v>
      </c>
      <c r="B8266" s="1">
        <v>45780</v>
      </c>
      <c r="C8266" t="s">
        <v>90</v>
      </c>
      <c r="D8266">
        <v>18</v>
      </c>
      <c r="E8266" t="s">
        <v>33</v>
      </c>
      <c r="F8266" t="s">
        <v>78</v>
      </c>
      <c r="G8266" t="s">
        <v>44</v>
      </c>
      <c r="H8266" t="s">
        <v>157</v>
      </c>
      <c r="I8266">
        <v>31567</v>
      </c>
      <c r="J8266">
        <v>34205</v>
      </c>
    </row>
    <row r="8267" spans="1:10" x14ac:dyDescent="0.3">
      <c r="A8267" t="s">
        <v>8394</v>
      </c>
      <c r="B8267" s="1">
        <v>45713</v>
      </c>
      <c r="C8267" t="s">
        <v>82</v>
      </c>
      <c r="D8267">
        <v>9</v>
      </c>
      <c r="E8267" t="s">
        <v>33</v>
      </c>
      <c r="F8267" t="s">
        <v>101</v>
      </c>
      <c r="G8267" t="s">
        <v>141</v>
      </c>
      <c r="H8267" t="s">
        <v>243</v>
      </c>
      <c r="I8267">
        <v>31354</v>
      </c>
      <c r="J8267">
        <v>27943</v>
      </c>
    </row>
    <row r="8268" spans="1:10" x14ac:dyDescent="0.3">
      <c r="A8268" t="s">
        <v>8395</v>
      </c>
      <c r="B8268" s="1">
        <v>45901</v>
      </c>
      <c r="C8268" t="s">
        <v>38</v>
      </c>
      <c r="D8268">
        <v>36</v>
      </c>
      <c r="E8268" t="s">
        <v>70</v>
      </c>
      <c r="F8268" t="s">
        <v>78</v>
      </c>
      <c r="G8268" t="s">
        <v>137</v>
      </c>
      <c r="H8268" t="s">
        <v>52</v>
      </c>
      <c r="I8268">
        <v>39608</v>
      </c>
      <c r="J8268">
        <v>35157</v>
      </c>
    </row>
    <row r="8269" spans="1:10" x14ac:dyDescent="0.3">
      <c r="A8269" t="s">
        <v>8396</v>
      </c>
      <c r="B8269" s="1">
        <v>45710</v>
      </c>
      <c r="C8269" t="s">
        <v>82</v>
      </c>
      <c r="D8269">
        <v>8</v>
      </c>
      <c r="E8269" t="s">
        <v>18</v>
      </c>
      <c r="F8269" t="s">
        <v>78</v>
      </c>
      <c r="G8269" t="s">
        <v>145</v>
      </c>
      <c r="H8269" t="s">
        <v>165</v>
      </c>
      <c r="I8269">
        <v>19130</v>
      </c>
      <c r="J8269">
        <v>13952</v>
      </c>
    </row>
    <row r="8270" spans="1:10" x14ac:dyDescent="0.3">
      <c r="A8270" t="s">
        <v>8397</v>
      </c>
      <c r="B8270" s="1">
        <v>45675</v>
      </c>
      <c r="C8270" t="s">
        <v>17</v>
      </c>
      <c r="D8270">
        <v>3</v>
      </c>
      <c r="E8270" t="s">
        <v>39</v>
      </c>
      <c r="F8270" t="s">
        <v>43</v>
      </c>
      <c r="G8270" t="s">
        <v>26</v>
      </c>
      <c r="H8270" t="s">
        <v>15</v>
      </c>
      <c r="I8270">
        <v>26307</v>
      </c>
      <c r="J8270">
        <v>32672</v>
      </c>
    </row>
    <row r="8271" spans="1:10" x14ac:dyDescent="0.3">
      <c r="A8271" t="s">
        <v>8398</v>
      </c>
      <c r="B8271" s="1">
        <v>45984</v>
      </c>
      <c r="C8271" t="s">
        <v>23</v>
      </c>
      <c r="D8271">
        <v>47</v>
      </c>
      <c r="E8271" t="s">
        <v>61</v>
      </c>
      <c r="F8271" t="s">
        <v>46</v>
      </c>
      <c r="G8271" t="s">
        <v>67</v>
      </c>
      <c r="H8271" t="s">
        <v>157</v>
      </c>
      <c r="I8271">
        <v>28700</v>
      </c>
      <c r="J8271">
        <v>33426</v>
      </c>
    </row>
    <row r="8272" spans="1:10" x14ac:dyDescent="0.3">
      <c r="A8272" t="s">
        <v>8399</v>
      </c>
      <c r="B8272" s="1">
        <v>45794</v>
      </c>
      <c r="C8272" t="s">
        <v>90</v>
      </c>
      <c r="D8272">
        <v>20</v>
      </c>
      <c r="E8272" t="s">
        <v>70</v>
      </c>
      <c r="F8272" t="s">
        <v>25</v>
      </c>
      <c r="G8272" t="s">
        <v>67</v>
      </c>
      <c r="H8272" t="s">
        <v>59</v>
      </c>
      <c r="I8272">
        <v>37759</v>
      </c>
      <c r="J8272">
        <v>29289</v>
      </c>
    </row>
    <row r="8273" spans="1:10" x14ac:dyDescent="0.3">
      <c r="A8273" t="s">
        <v>8400</v>
      </c>
      <c r="B8273" s="1">
        <v>45986</v>
      </c>
      <c r="C8273" t="s">
        <v>23</v>
      </c>
      <c r="D8273">
        <v>48</v>
      </c>
      <c r="E8273" t="s">
        <v>33</v>
      </c>
      <c r="F8273" t="s">
        <v>43</v>
      </c>
      <c r="G8273" t="s">
        <v>324</v>
      </c>
      <c r="H8273" t="s">
        <v>52</v>
      </c>
      <c r="I8273">
        <v>37537</v>
      </c>
      <c r="J8273">
        <v>28633</v>
      </c>
    </row>
    <row r="8274" spans="1:10" x14ac:dyDescent="0.3">
      <c r="A8274" t="s">
        <v>8401</v>
      </c>
      <c r="B8274" s="1">
        <v>45907</v>
      </c>
      <c r="C8274" t="s">
        <v>38</v>
      </c>
      <c r="D8274">
        <v>36</v>
      </c>
      <c r="E8274" t="s">
        <v>18</v>
      </c>
      <c r="F8274" t="s">
        <v>87</v>
      </c>
      <c r="G8274" t="s">
        <v>83</v>
      </c>
      <c r="H8274" t="s">
        <v>155</v>
      </c>
      <c r="I8274">
        <v>39478</v>
      </c>
      <c r="J8274">
        <v>27728</v>
      </c>
    </row>
    <row r="8275" spans="1:10" x14ac:dyDescent="0.3">
      <c r="A8275" t="s">
        <v>8402</v>
      </c>
      <c r="B8275" s="1">
        <v>45954</v>
      </c>
      <c r="C8275" t="s">
        <v>66</v>
      </c>
      <c r="D8275">
        <v>43</v>
      </c>
      <c r="E8275" t="s">
        <v>61</v>
      </c>
      <c r="F8275" t="s">
        <v>122</v>
      </c>
      <c r="G8275" t="s">
        <v>115</v>
      </c>
      <c r="H8275" t="s">
        <v>64</v>
      </c>
      <c r="I8275">
        <v>34861</v>
      </c>
      <c r="J8275">
        <v>39546</v>
      </c>
    </row>
    <row r="8276" spans="1:10" x14ac:dyDescent="0.3">
      <c r="A8276" t="s">
        <v>8403</v>
      </c>
      <c r="B8276" s="1">
        <v>45699</v>
      </c>
      <c r="C8276" t="s">
        <v>82</v>
      </c>
      <c r="D8276">
        <v>7</v>
      </c>
      <c r="E8276" t="s">
        <v>24</v>
      </c>
      <c r="F8276" t="s">
        <v>57</v>
      </c>
      <c r="G8276" t="s">
        <v>199</v>
      </c>
      <c r="H8276" t="s">
        <v>36</v>
      </c>
      <c r="I8276">
        <v>18286</v>
      </c>
      <c r="J8276">
        <v>15949</v>
      </c>
    </row>
    <row r="8277" spans="1:10" x14ac:dyDescent="0.3">
      <c r="A8277" t="s">
        <v>8404</v>
      </c>
      <c r="B8277" s="1">
        <v>45826</v>
      </c>
      <c r="C8277" t="s">
        <v>74</v>
      </c>
      <c r="D8277">
        <v>25</v>
      </c>
      <c r="E8277" t="s">
        <v>39</v>
      </c>
      <c r="F8277" t="s">
        <v>57</v>
      </c>
      <c r="G8277" t="s">
        <v>118</v>
      </c>
      <c r="H8277" t="s">
        <v>243</v>
      </c>
      <c r="I8277">
        <v>22286</v>
      </c>
      <c r="J8277">
        <v>24928</v>
      </c>
    </row>
    <row r="8278" spans="1:10" x14ac:dyDescent="0.3">
      <c r="A8278" t="s">
        <v>8405</v>
      </c>
      <c r="B8278" s="1">
        <v>45728</v>
      </c>
      <c r="C8278" t="s">
        <v>95</v>
      </c>
      <c r="D8278">
        <v>11</v>
      </c>
      <c r="E8278" t="s">
        <v>39</v>
      </c>
      <c r="F8278" t="s">
        <v>34</v>
      </c>
      <c r="G8278" t="s">
        <v>230</v>
      </c>
      <c r="H8278" t="s">
        <v>41</v>
      </c>
      <c r="I8278">
        <v>23885</v>
      </c>
      <c r="J8278">
        <v>19016</v>
      </c>
    </row>
    <row r="8279" spans="1:10" x14ac:dyDescent="0.3">
      <c r="A8279" t="s">
        <v>8406</v>
      </c>
      <c r="B8279" s="1">
        <v>46018</v>
      </c>
      <c r="C8279" t="s">
        <v>100</v>
      </c>
      <c r="D8279">
        <v>52</v>
      </c>
      <c r="E8279" t="s">
        <v>33</v>
      </c>
      <c r="F8279" t="s">
        <v>34</v>
      </c>
      <c r="G8279" t="s">
        <v>40</v>
      </c>
      <c r="H8279" t="s">
        <v>15</v>
      </c>
      <c r="I8279">
        <v>30748</v>
      </c>
      <c r="J8279">
        <v>30723</v>
      </c>
    </row>
    <row r="8280" spans="1:10" x14ac:dyDescent="0.3">
      <c r="A8280" t="s">
        <v>8407</v>
      </c>
      <c r="B8280" s="1">
        <v>45973</v>
      </c>
      <c r="C8280" t="s">
        <v>23</v>
      </c>
      <c r="D8280">
        <v>46</v>
      </c>
      <c r="E8280" t="s">
        <v>61</v>
      </c>
      <c r="F8280" t="s">
        <v>46</v>
      </c>
      <c r="G8280" t="s">
        <v>145</v>
      </c>
      <c r="H8280" t="s">
        <v>31</v>
      </c>
      <c r="I8280">
        <v>15279</v>
      </c>
      <c r="J8280">
        <v>17924</v>
      </c>
    </row>
    <row r="8281" spans="1:10" x14ac:dyDescent="0.3">
      <c r="A8281" t="s">
        <v>8408</v>
      </c>
      <c r="B8281" s="1">
        <v>45913</v>
      </c>
      <c r="C8281" t="s">
        <v>38</v>
      </c>
      <c r="D8281">
        <v>37</v>
      </c>
      <c r="E8281" t="s">
        <v>33</v>
      </c>
      <c r="F8281" t="s">
        <v>87</v>
      </c>
      <c r="G8281" t="s">
        <v>107</v>
      </c>
      <c r="H8281" t="s">
        <v>48</v>
      </c>
      <c r="I8281">
        <v>30962</v>
      </c>
      <c r="J8281">
        <v>38798</v>
      </c>
    </row>
    <row r="8282" spans="1:10" x14ac:dyDescent="0.3">
      <c r="A8282" t="s">
        <v>8409</v>
      </c>
      <c r="B8282" s="1">
        <v>45767</v>
      </c>
      <c r="C8282" t="s">
        <v>86</v>
      </c>
      <c r="D8282">
        <v>16</v>
      </c>
      <c r="E8282" t="s">
        <v>18</v>
      </c>
      <c r="F8282" t="s">
        <v>43</v>
      </c>
      <c r="G8282" t="s">
        <v>128</v>
      </c>
      <c r="H8282" t="s">
        <v>31</v>
      </c>
      <c r="I8282">
        <v>20509</v>
      </c>
      <c r="J8282">
        <v>20522</v>
      </c>
    </row>
    <row r="8283" spans="1:10" x14ac:dyDescent="0.3">
      <c r="A8283" t="s">
        <v>8410</v>
      </c>
      <c r="B8283" s="1">
        <v>45779</v>
      </c>
      <c r="C8283" t="s">
        <v>90</v>
      </c>
      <c r="D8283">
        <v>18</v>
      </c>
      <c r="E8283" t="s">
        <v>12</v>
      </c>
      <c r="F8283" t="s">
        <v>101</v>
      </c>
      <c r="G8283" t="s">
        <v>107</v>
      </c>
      <c r="H8283" t="s">
        <v>165</v>
      </c>
      <c r="I8283">
        <v>38268</v>
      </c>
      <c r="J8283">
        <v>42574</v>
      </c>
    </row>
    <row r="8284" spans="1:10" x14ac:dyDescent="0.3">
      <c r="A8284" t="s">
        <v>8411</v>
      </c>
      <c r="B8284" s="1">
        <v>45996</v>
      </c>
      <c r="C8284" t="s">
        <v>100</v>
      </c>
      <c r="D8284">
        <v>49</v>
      </c>
      <c r="E8284" t="s">
        <v>18</v>
      </c>
      <c r="F8284" t="s">
        <v>29</v>
      </c>
      <c r="G8284" t="s">
        <v>35</v>
      </c>
      <c r="H8284" t="s">
        <v>211</v>
      </c>
      <c r="I8284">
        <v>15797</v>
      </c>
      <c r="J8284">
        <v>16283</v>
      </c>
    </row>
    <row r="8285" spans="1:10" x14ac:dyDescent="0.3">
      <c r="A8285" t="s">
        <v>8412</v>
      </c>
      <c r="B8285" s="1">
        <v>45966</v>
      </c>
      <c r="C8285" t="s">
        <v>23</v>
      </c>
      <c r="D8285">
        <v>45</v>
      </c>
      <c r="E8285" t="s">
        <v>12</v>
      </c>
      <c r="F8285" t="s">
        <v>101</v>
      </c>
      <c r="G8285" t="s">
        <v>83</v>
      </c>
      <c r="H8285" t="s">
        <v>68</v>
      </c>
      <c r="I8285">
        <v>27867</v>
      </c>
      <c r="J8285">
        <v>33196</v>
      </c>
    </row>
    <row r="8286" spans="1:10" x14ac:dyDescent="0.3">
      <c r="A8286" t="s">
        <v>8413</v>
      </c>
      <c r="B8286" s="1">
        <v>45899</v>
      </c>
      <c r="C8286" t="s">
        <v>113</v>
      </c>
      <c r="D8286">
        <v>35</v>
      </c>
      <c r="E8286" t="s">
        <v>18</v>
      </c>
      <c r="F8286" t="s">
        <v>43</v>
      </c>
      <c r="G8286" t="s">
        <v>44</v>
      </c>
      <c r="H8286" t="s">
        <v>52</v>
      </c>
      <c r="I8286">
        <v>20597</v>
      </c>
      <c r="J8286">
        <v>17520</v>
      </c>
    </row>
    <row r="8287" spans="1:10" x14ac:dyDescent="0.3">
      <c r="A8287" t="s">
        <v>8414</v>
      </c>
      <c r="B8287" s="1">
        <v>45926</v>
      </c>
      <c r="C8287" t="s">
        <v>38</v>
      </c>
      <c r="D8287">
        <v>39</v>
      </c>
      <c r="E8287" t="s">
        <v>33</v>
      </c>
      <c r="F8287" t="s">
        <v>29</v>
      </c>
      <c r="G8287" t="s">
        <v>63</v>
      </c>
      <c r="H8287" t="s">
        <v>155</v>
      </c>
      <c r="I8287">
        <v>18327</v>
      </c>
      <c r="J8287">
        <v>20802</v>
      </c>
    </row>
    <row r="8288" spans="1:10" x14ac:dyDescent="0.3">
      <c r="A8288" t="s">
        <v>8415</v>
      </c>
      <c r="B8288" s="1">
        <v>45828</v>
      </c>
      <c r="C8288" t="s">
        <v>74</v>
      </c>
      <c r="D8288">
        <v>25</v>
      </c>
      <c r="E8288" t="s">
        <v>39</v>
      </c>
      <c r="F8288" t="s">
        <v>13</v>
      </c>
      <c r="G8288" t="s">
        <v>191</v>
      </c>
      <c r="H8288" t="s">
        <v>116</v>
      </c>
      <c r="I8288">
        <v>21498</v>
      </c>
      <c r="J8288">
        <v>23882</v>
      </c>
    </row>
    <row r="8289" spans="1:10" x14ac:dyDescent="0.3">
      <c r="A8289" t="s">
        <v>8416</v>
      </c>
      <c r="B8289" s="1">
        <v>45848</v>
      </c>
      <c r="C8289" t="s">
        <v>11</v>
      </c>
      <c r="D8289">
        <v>28</v>
      </c>
      <c r="E8289" t="s">
        <v>12</v>
      </c>
      <c r="F8289" t="s">
        <v>57</v>
      </c>
      <c r="G8289" t="s">
        <v>199</v>
      </c>
      <c r="H8289" t="s">
        <v>155</v>
      </c>
      <c r="I8289">
        <v>29616</v>
      </c>
      <c r="J8289">
        <v>22838</v>
      </c>
    </row>
    <row r="8290" spans="1:10" x14ac:dyDescent="0.3">
      <c r="A8290" t="s">
        <v>8417</v>
      </c>
      <c r="B8290" s="1">
        <v>45788</v>
      </c>
      <c r="C8290" t="s">
        <v>90</v>
      </c>
      <c r="D8290">
        <v>19</v>
      </c>
      <c r="E8290" t="s">
        <v>39</v>
      </c>
      <c r="F8290" t="s">
        <v>140</v>
      </c>
      <c r="G8290" t="s">
        <v>118</v>
      </c>
      <c r="H8290" t="s">
        <v>133</v>
      </c>
      <c r="I8290">
        <v>20865</v>
      </c>
      <c r="J8290">
        <v>15511</v>
      </c>
    </row>
    <row r="8291" spans="1:10" x14ac:dyDescent="0.3">
      <c r="A8291" t="s">
        <v>8418</v>
      </c>
      <c r="B8291" s="1">
        <v>45700</v>
      </c>
      <c r="C8291" t="s">
        <v>82</v>
      </c>
      <c r="D8291">
        <v>7</v>
      </c>
      <c r="E8291" t="s">
        <v>61</v>
      </c>
      <c r="F8291" t="s">
        <v>114</v>
      </c>
      <c r="G8291" t="s">
        <v>88</v>
      </c>
      <c r="H8291" t="s">
        <v>188</v>
      </c>
      <c r="I8291">
        <v>15111</v>
      </c>
      <c r="J8291">
        <v>14603</v>
      </c>
    </row>
    <row r="8292" spans="1:10" x14ac:dyDescent="0.3">
      <c r="A8292" t="s">
        <v>8419</v>
      </c>
      <c r="B8292" s="1">
        <v>45763</v>
      </c>
      <c r="C8292" t="s">
        <v>86</v>
      </c>
      <c r="D8292">
        <v>16</v>
      </c>
      <c r="E8292" t="s">
        <v>33</v>
      </c>
      <c r="F8292" t="s">
        <v>57</v>
      </c>
      <c r="G8292" t="s">
        <v>199</v>
      </c>
      <c r="H8292" t="s">
        <v>15</v>
      </c>
      <c r="I8292">
        <v>39079</v>
      </c>
      <c r="J8292">
        <v>41538</v>
      </c>
    </row>
    <row r="8293" spans="1:10" x14ac:dyDescent="0.3">
      <c r="A8293" t="s">
        <v>8420</v>
      </c>
      <c r="B8293" s="1">
        <v>45949</v>
      </c>
      <c r="C8293" t="s">
        <v>66</v>
      </c>
      <c r="D8293">
        <v>42</v>
      </c>
      <c r="E8293" t="s">
        <v>39</v>
      </c>
      <c r="F8293" t="s">
        <v>78</v>
      </c>
      <c r="G8293" t="s">
        <v>171</v>
      </c>
      <c r="H8293" t="s">
        <v>123</v>
      </c>
      <c r="I8293">
        <v>16759</v>
      </c>
      <c r="J8293">
        <v>12800</v>
      </c>
    </row>
    <row r="8294" spans="1:10" x14ac:dyDescent="0.3">
      <c r="A8294" t="s">
        <v>8421</v>
      </c>
      <c r="B8294" s="1">
        <v>45805</v>
      </c>
      <c r="C8294" t="s">
        <v>90</v>
      </c>
      <c r="D8294">
        <v>22</v>
      </c>
      <c r="E8294" t="s">
        <v>61</v>
      </c>
      <c r="F8294" t="s">
        <v>13</v>
      </c>
      <c r="G8294" t="s">
        <v>58</v>
      </c>
      <c r="H8294" t="s">
        <v>151</v>
      </c>
      <c r="I8294">
        <v>21653</v>
      </c>
      <c r="J8294">
        <v>26233</v>
      </c>
    </row>
    <row r="8295" spans="1:10" x14ac:dyDescent="0.3">
      <c r="A8295" t="s">
        <v>8422</v>
      </c>
      <c r="B8295" s="1">
        <v>45783</v>
      </c>
      <c r="C8295" t="s">
        <v>90</v>
      </c>
      <c r="D8295">
        <v>19</v>
      </c>
      <c r="E8295" t="s">
        <v>61</v>
      </c>
      <c r="F8295" t="s">
        <v>122</v>
      </c>
      <c r="G8295" t="s">
        <v>40</v>
      </c>
      <c r="H8295" t="s">
        <v>84</v>
      </c>
      <c r="I8295">
        <v>18619</v>
      </c>
      <c r="J8295">
        <v>13090</v>
      </c>
    </row>
    <row r="8296" spans="1:10" x14ac:dyDescent="0.3">
      <c r="A8296" t="s">
        <v>8423</v>
      </c>
      <c r="B8296" s="1">
        <v>45995</v>
      </c>
      <c r="C8296" t="s">
        <v>100</v>
      </c>
      <c r="D8296">
        <v>49</v>
      </c>
      <c r="E8296" t="s">
        <v>33</v>
      </c>
      <c r="F8296" t="s">
        <v>101</v>
      </c>
      <c r="G8296" t="s">
        <v>102</v>
      </c>
      <c r="H8296" t="s">
        <v>41</v>
      </c>
      <c r="I8296">
        <v>39252</v>
      </c>
      <c r="J8296">
        <v>48488</v>
      </c>
    </row>
    <row r="8297" spans="1:10" x14ac:dyDescent="0.3">
      <c r="A8297" t="s">
        <v>8424</v>
      </c>
      <c r="B8297" s="1">
        <v>46022</v>
      </c>
      <c r="C8297" t="s">
        <v>100</v>
      </c>
      <c r="D8297">
        <v>1</v>
      </c>
      <c r="E8297" t="s">
        <v>61</v>
      </c>
      <c r="F8297" t="s">
        <v>78</v>
      </c>
      <c r="G8297" t="s">
        <v>58</v>
      </c>
      <c r="H8297" t="s">
        <v>84</v>
      </c>
      <c r="I8297">
        <v>27277</v>
      </c>
      <c r="J8297">
        <v>32865</v>
      </c>
    </row>
    <row r="8298" spans="1:10" x14ac:dyDescent="0.3">
      <c r="A8298" t="s">
        <v>8425</v>
      </c>
      <c r="B8298" s="1">
        <v>45919</v>
      </c>
      <c r="C8298" t="s">
        <v>38</v>
      </c>
      <c r="D8298">
        <v>38</v>
      </c>
      <c r="E8298" t="s">
        <v>12</v>
      </c>
      <c r="F8298" t="s">
        <v>19</v>
      </c>
      <c r="G8298" t="s">
        <v>20</v>
      </c>
      <c r="H8298" t="s">
        <v>188</v>
      </c>
      <c r="I8298">
        <v>15636</v>
      </c>
      <c r="J8298">
        <v>14918</v>
      </c>
    </row>
    <row r="8299" spans="1:10" x14ac:dyDescent="0.3">
      <c r="A8299" t="s">
        <v>8426</v>
      </c>
      <c r="B8299" s="1">
        <v>45848</v>
      </c>
      <c r="C8299" t="s">
        <v>11</v>
      </c>
      <c r="D8299">
        <v>28</v>
      </c>
      <c r="E8299" t="s">
        <v>24</v>
      </c>
      <c r="F8299" t="s">
        <v>34</v>
      </c>
      <c r="G8299" t="s">
        <v>171</v>
      </c>
      <c r="H8299" t="s">
        <v>52</v>
      </c>
      <c r="I8299">
        <v>28703</v>
      </c>
      <c r="J8299">
        <v>23591</v>
      </c>
    </row>
    <row r="8300" spans="1:10" x14ac:dyDescent="0.3">
      <c r="A8300" t="s">
        <v>8427</v>
      </c>
      <c r="B8300" s="1">
        <v>45928</v>
      </c>
      <c r="C8300" t="s">
        <v>38</v>
      </c>
      <c r="D8300">
        <v>39</v>
      </c>
      <c r="E8300" t="s">
        <v>70</v>
      </c>
      <c r="F8300" t="s">
        <v>193</v>
      </c>
      <c r="G8300" t="s">
        <v>201</v>
      </c>
      <c r="H8300" t="s">
        <v>59</v>
      </c>
      <c r="I8300">
        <v>20462</v>
      </c>
      <c r="J8300">
        <v>14699</v>
      </c>
    </row>
    <row r="8301" spans="1:10" x14ac:dyDescent="0.3">
      <c r="A8301" t="s">
        <v>8428</v>
      </c>
      <c r="B8301" s="1">
        <v>45703</v>
      </c>
      <c r="C8301" t="s">
        <v>82</v>
      </c>
      <c r="D8301">
        <v>7</v>
      </c>
      <c r="E8301" t="s">
        <v>61</v>
      </c>
      <c r="F8301" t="s">
        <v>114</v>
      </c>
      <c r="G8301" t="s">
        <v>72</v>
      </c>
      <c r="H8301" t="s">
        <v>151</v>
      </c>
      <c r="I8301">
        <v>25103</v>
      </c>
      <c r="J8301">
        <v>22635</v>
      </c>
    </row>
    <row r="8302" spans="1:10" x14ac:dyDescent="0.3">
      <c r="A8302" t="s">
        <v>8429</v>
      </c>
      <c r="B8302" s="1">
        <v>45973</v>
      </c>
      <c r="C8302" t="s">
        <v>23</v>
      </c>
      <c r="D8302">
        <v>46</v>
      </c>
      <c r="E8302" t="s">
        <v>18</v>
      </c>
      <c r="F8302" t="s">
        <v>140</v>
      </c>
      <c r="G8302" t="s">
        <v>206</v>
      </c>
      <c r="H8302" t="s">
        <v>155</v>
      </c>
      <c r="I8302">
        <v>19561</v>
      </c>
      <c r="J8302">
        <v>15833</v>
      </c>
    </row>
    <row r="8303" spans="1:10" x14ac:dyDescent="0.3">
      <c r="A8303" t="s">
        <v>8430</v>
      </c>
      <c r="B8303" s="1">
        <v>45780</v>
      </c>
      <c r="C8303" t="s">
        <v>90</v>
      </c>
      <c r="D8303">
        <v>18</v>
      </c>
      <c r="E8303" t="s">
        <v>33</v>
      </c>
      <c r="F8303" t="s">
        <v>78</v>
      </c>
      <c r="G8303" t="s">
        <v>137</v>
      </c>
      <c r="H8303" t="s">
        <v>163</v>
      </c>
      <c r="I8303">
        <v>20301</v>
      </c>
      <c r="J8303">
        <v>21014</v>
      </c>
    </row>
    <row r="8304" spans="1:10" x14ac:dyDescent="0.3">
      <c r="A8304" t="s">
        <v>8431</v>
      </c>
      <c r="B8304" s="1">
        <v>45933</v>
      </c>
      <c r="C8304" t="s">
        <v>66</v>
      </c>
      <c r="D8304">
        <v>40</v>
      </c>
      <c r="E8304" t="s">
        <v>12</v>
      </c>
      <c r="F8304" t="s">
        <v>19</v>
      </c>
      <c r="G8304" t="s">
        <v>191</v>
      </c>
      <c r="H8304" t="s">
        <v>84</v>
      </c>
      <c r="I8304">
        <v>15756</v>
      </c>
      <c r="J8304">
        <v>20329</v>
      </c>
    </row>
    <row r="8305" spans="1:10" x14ac:dyDescent="0.3">
      <c r="A8305" t="s">
        <v>8432</v>
      </c>
      <c r="B8305" s="1">
        <v>45797</v>
      </c>
      <c r="C8305" t="s">
        <v>90</v>
      </c>
      <c r="D8305">
        <v>21</v>
      </c>
      <c r="E8305" t="s">
        <v>70</v>
      </c>
      <c r="F8305" t="s">
        <v>25</v>
      </c>
      <c r="G8305" t="s">
        <v>47</v>
      </c>
      <c r="H8305" t="s">
        <v>188</v>
      </c>
      <c r="I8305">
        <v>21383</v>
      </c>
      <c r="J8305">
        <v>18760</v>
      </c>
    </row>
    <row r="8306" spans="1:10" x14ac:dyDescent="0.3">
      <c r="A8306" t="s">
        <v>8433</v>
      </c>
      <c r="B8306" s="1">
        <v>45770</v>
      </c>
      <c r="C8306" t="s">
        <v>86</v>
      </c>
      <c r="D8306">
        <v>17</v>
      </c>
      <c r="E8306" t="s">
        <v>70</v>
      </c>
      <c r="F8306" t="s">
        <v>34</v>
      </c>
      <c r="G8306" t="s">
        <v>182</v>
      </c>
      <c r="H8306" t="s">
        <v>155</v>
      </c>
      <c r="I8306">
        <v>21277</v>
      </c>
      <c r="J8306">
        <v>17619</v>
      </c>
    </row>
    <row r="8307" spans="1:10" x14ac:dyDescent="0.3">
      <c r="A8307" t="s">
        <v>8434</v>
      </c>
      <c r="B8307" s="1">
        <v>45786</v>
      </c>
      <c r="C8307" t="s">
        <v>90</v>
      </c>
      <c r="D8307">
        <v>19</v>
      </c>
      <c r="E8307" t="s">
        <v>24</v>
      </c>
      <c r="F8307" t="s">
        <v>109</v>
      </c>
      <c r="G8307" t="s">
        <v>149</v>
      </c>
      <c r="H8307" t="s">
        <v>119</v>
      </c>
      <c r="I8307">
        <v>35900</v>
      </c>
      <c r="J8307">
        <v>30451</v>
      </c>
    </row>
    <row r="8308" spans="1:10" x14ac:dyDescent="0.3">
      <c r="A8308" t="s">
        <v>8435</v>
      </c>
      <c r="B8308" s="1">
        <v>45704</v>
      </c>
      <c r="C8308" t="s">
        <v>82</v>
      </c>
      <c r="D8308">
        <v>7</v>
      </c>
      <c r="E8308" t="s">
        <v>18</v>
      </c>
      <c r="F8308" t="s">
        <v>193</v>
      </c>
      <c r="G8308" t="s">
        <v>58</v>
      </c>
      <c r="H8308" t="s">
        <v>98</v>
      </c>
      <c r="I8308">
        <v>17516</v>
      </c>
      <c r="J8308">
        <v>19399</v>
      </c>
    </row>
    <row r="8309" spans="1:10" x14ac:dyDescent="0.3">
      <c r="A8309" t="s">
        <v>8436</v>
      </c>
      <c r="B8309" s="1">
        <v>46003</v>
      </c>
      <c r="C8309" t="s">
        <v>100</v>
      </c>
      <c r="D8309">
        <v>50</v>
      </c>
      <c r="E8309" t="s">
        <v>33</v>
      </c>
      <c r="F8309" t="s">
        <v>13</v>
      </c>
      <c r="G8309" t="s">
        <v>72</v>
      </c>
      <c r="H8309" t="s">
        <v>157</v>
      </c>
      <c r="I8309">
        <v>36907</v>
      </c>
      <c r="J8309">
        <v>34521</v>
      </c>
    </row>
    <row r="8310" spans="1:10" x14ac:dyDescent="0.3">
      <c r="A8310" t="s">
        <v>8437</v>
      </c>
      <c r="B8310" s="1">
        <v>45755</v>
      </c>
      <c r="C8310" t="s">
        <v>86</v>
      </c>
      <c r="D8310">
        <v>15</v>
      </c>
      <c r="E8310" t="s">
        <v>70</v>
      </c>
      <c r="F8310" t="s">
        <v>62</v>
      </c>
      <c r="G8310" t="s">
        <v>128</v>
      </c>
      <c r="H8310" t="s">
        <v>36</v>
      </c>
      <c r="I8310">
        <v>15767</v>
      </c>
      <c r="J8310">
        <v>14843</v>
      </c>
    </row>
    <row r="8311" spans="1:10" x14ac:dyDescent="0.3">
      <c r="A8311" t="s">
        <v>8438</v>
      </c>
      <c r="B8311" s="1">
        <v>45927</v>
      </c>
      <c r="C8311" t="s">
        <v>38</v>
      </c>
      <c r="D8311">
        <v>39</v>
      </c>
      <c r="E8311" t="s">
        <v>70</v>
      </c>
      <c r="F8311" t="s">
        <v>13</v>
      </c>
      <c r="G8311" t="s">
        <v>58</v>
      </c>
      <c r="H8311" t="s">
        <v>103</v>
      </c>
      <c r="I8311">
        <v>15929</v>
      </c>
      <c r="J8311">
        <v>19109</v>
      </c>
    </row>
    <row r="8312" spans="1:10" x14ac:dyDescent="0.3">
      <c r="A8312" t="s">
        <v>8439</v>
      </c>
      <c r="B8312" s="1">
        <v>45891</v>
      </c>
      <c r="C8312" t="s">
        <v>113</v>
      </c>
      <c r="D8312">
        <v>34</v>
      </c>
      <c r="E8312" t="s">
        <v>61</v>
      </c>
      <c r="F8312" t="s">
        <v>78</v>
      </c>
      <c r="G8312" t="s">
        <v>199</v>
      </c>
      <c r="H8312" t="s">
        <v>52</v>
      </c>
      <c r="I8312">
        <v>31362</v>
      </c>
      <c r="J8312">
        <v>32710</v>
      </c>
    </row>
    <row r="8313" spans="1:10" x14ac:dyDescent="0.3">
      <c r="A8313" t="s">
        <v>8440</v>
      </c>
      <c r="B8313" s="1">
        <v>45755</v>
      </c>
      <c r="C8313" t="s">
        <v>86</v>
      </c>
      <c r="D8313">
        <v>15</v>
      </c>
      <c r="E8313" t="s">
        <v>24</v>
      </c>
      <c r="F8313" t="s">
        <v>43</v>
      </c>
      <c r="G8313" t="s">
        <v>58</v>
      </c>
      <c r="H8313" t="s">
        <v>59</v>
      </c>
      <c r="I8313">
        <v>22517</v>
      </c>
      <c r="J8313">
        <v>28502</v>
      </c>
    </row>
    <row r="8314" spans="1:10" x14ac:dyDescent="0.3">
      <c r="A8314" t="s">
        <v>8441</v>
      </c>
      <c r="B8314" s="1">
        <v>45930</v>
      </c>
      <c r="C8314" t="s">
        <v>38</v>
      </c>
      <c r="D8314">
        <v>40</v>
      </c>
      <c r="E8314" t="s">
        <v>61</v>
      </c>
      <c r="F8314" t="s">
        <v>34</v>
      </c>
      <c r="G8314" t="s">
        <v>206</v>
      </c>
      <c r="H8314" t="s">
        <v>68</v>
      </c>
      <c r="I8314">
        <v>23123</v>
      </c>
      <c r="J8314">
        <v>16698</v>
      </c>
    </row>
    <row r="8315" spans="1:10" x14ac:dyDescent="0.3">
      <c r="A8315" t="s">
        <v>8442</v>
      </c>
      <c r="B8315" s="1">
        <v>45818</v>
      </c>
      <c r="C8315" t="s">
        <v>74</v>
      </c>
      <c r="D8315">
        <v>24</v>
      </c>
      <c r="E8315" t="s">
        <v>12</v>
      </c>
      <c r="F8315" t="s">
        <v>43</v>
      </c>
      <c r="G8315" t="s">
        <v>160</v>
      </c>
      <c r="H8315" t="s">
        <v>15</v>
      </c>
      <c r="I8315">
        <v>32723</v>
      </c>
      <c r="J8315">
        <v>29385</v>
      </c>
    </row>
    <row r="8316" spans="1:10" x14ac:dyDescent="0.3">
      <c r="A8316" t="s">
        <v>8443</v>
      </c>
      <c r="B8316" s="1">
        <v>45818</v>
      </c>
      <c r="C8316" t="s">
        <v>74</v>
      </c>
      <c r="D8316">
        <v>24</v>
      </c>
      <c r="E8316" t="s">
        <v>39</v>
      </c>
      <c r="F8316" t="s">
        <v>75</v>
      </c>
      <c r="G8316" t="s">
        <v>118</v>
      </c>
      <c r="H8316" t="s">
        <v>98</v>
      </c>
      <c r="I8316">
        <v>20528</v>
      </c>
      <c r="J8316">
        <v>15695</v>
      </c>
    </row>
    <row r="8317" spans="1:10" x14ac:dyDescent="0.3">
      <c r="A8317" t="s">
        <v>8444</v>
      </c>
      <c r="B8317" s="1">
        <v>45829</v>
      </c>
      <c r="C8317" t="s">
        <v>74</v>
      </c>
      <c r="D8317">
        <v>25</v>
      </c>
      <c r="E8317" t="s">
        <v>39</v>
      </c>
      <c r="F8317" t="s">
        <v>57</v>
      </c>
      <c r="G8317" t="s">
        <v>54</v>
      </c>
      <c r="H8317" t="s">
        <v>41</v>
      </c>
      <c r="I8317">
        <v>17138</v>
      </c>
      <c r="J8317">
        <v>20516</v>
      </c>
    </row>
    <row r="8318" spans="1:10" x14ac:dyDescent="0.3">
      <c r="A8318" t="s">
        <v>8445</v>
      </c>
      <c r="B8318" s="1">
        <v>45832</v>
      </c>
      <c r="C8318" t="s">
        <v>74</v>
      </c>
      <c r="D8318">
        <v>26</v>
      </c>
      <c r="E8318" t="s">
        <v>70</v>
      </c>
      <c r="F8318" t="s">
        <v>140</v>
      </c>
      <c r="G8318" t="s">
        <v>76</v>
      </c>
      <c r="H8318" t="s">
        <v>157</v>
      </c>
      <c r="I8318">
        <v>24153</v>
      </c>
      <c r="J8318">
        <v>18742</v>
      </c>
    </row>
    <row r="8319" spans="1:10" x14ac:dyDescent="0.3">
      <c r="A8319" t="s">
        <v>8446</v>
      </c>
      <c r="B8319" s="1">
        <v>45802</v>
      </c>
      <c r="C8319" t="s">
        <v>90</v>
      </c>
      <c r="D8319">
        <v>21</v>
      </c>
      <c r="E8319" t="s">
        <v>39</v>
      </c>
      <c r="F8319" t="s">
        <v>29</v>
      </c>
      <c r="G8319" t="s">
        <v>51</v>
      </c>
      <c r="H8319" t="s">
        <v>52</v>
      </c>
      <c r="I8319">
        <v>23664</v>
      </c>
      <c r="J8319">
        <v>22804</v>
      </c>
    </row>
    <row r="8320" spans="1:10" x14ac:dyDescent="0.3">
      <c r="A8320" t="s">
        <v>8447</v>
      </c>
      <c r="B8320" s="1">
        <v>45789</v>
      </c>
      <c r="C8320" t="s">
        <v>90</v>
      </c>
      <c r="D8320">
        <v>20</v>
      </c>
      <c r="E8320" t="s">
        <v>39</v>
      </c>
      <c r="F8320" t="s">
        <v>122</v>
      </c>
      <c r="G8320" t="s">
        <v>35</v>
      </c>
      <c r="H8320" t="s">
        <v>36</v>
      </c>
      <c r="I8320">
        <v>20428</v>
      </c>
      <c r="J8320">
        <v>25583</v>
      </c>
    </row>
    <row r="8321" spans="1:10" x14ac:dyDescent="0.3">
      <c r="A8321" t="s">
        <v>8448</v>
      </c>
      <c r="B8321" s="1">
        <v>45728</v>
      </c>
      <c r="C8321" t="s">
        <v>95</v>
      </c>
      <c r="D8321">
        <v>11</v>
      </c>
      <c r="E8321" t="s">
        <v>61</v>
      </c>
      <c r="F8321" t="s">
        <v>19</v>
      </c>
      <c r="G8321" t="s">
        <v>160</v>
      </c>
      <c r="H8321" t="s">
        <v>243</v>
      </c>
      <c r="I8321">
        <v>25007</v>
      </c>
      <c r="J8321">
        <v>25865</v>
      </c>
    </row>
    <row r="8322" spans="1:10" x14ac:dyDescent="0.3">
      <c r="A8322" t="s">
        <v>8449</v>
      </c>
      <c r="B8322" s="1">
        <v>45705</v>
      </c>
      <c r="C8322" t="s">
        <v>82</v>
      </c>
      <c r="D8322">
        <v>8</v>
      </c>
      <c r="E8322" t="s">
        <v>12</v>
      </c>
      <c r="F8322" t="s">
        <v>19</v>
      </c>
      <c r="G8322" t="s">
        <v>76</v>
      </c>
      <c r="H8322" t="s">
        <v>48</v>
      </c>
      <c r="I8322">
        <v>36273</v>
      </c>
      <c r="J8322">
        <v>39595</v>
      </c>
    </row>
    <row r="8323" spans="1:10" x14ac:dyDescent="0.3">
      <c r="A8323" t="s">
        <v>8450</v>
      </c>
      <c r="B8323" s="1">
        <v>45758</v>
      </c>
      <c r="C8323" t="s">
        <v>86</v>
      </c>
      <c r="D8323">
        <v>15</v>
      </c>
      <c r="E8323" t="s">
        <v>33</v>
      </c>
      <c r="F8323" t="s">
        <v>50</v>
      </c>
      <c r="G8323" t="s">
        <v>107</v>
      </c>
      <c r="H8323" t="s">
        <v>103</v>
      </c>
      <c r="I8323">
        <v>33984</v>
      </c>
      <c r="J8323">
        <v>30670</v>
      </c>
    </row>
    <row r="8324" spans="1:10" x14ac:dyDescent="0.3">
      <c r="A8324" t="s">
        <v>8451</v>
      </c>
      <c r="B8324" s="1">
        <v>45682</v>
      </c>
      <c r="C8324" t="s">
        <v>17</v>
      </c>
      <c r="D8324">
        <v>4</v>
      </c>
      <c r="E8324" t="s">
        <v>33</v>
      </c>
      <c r="F8324" t="s">
        <v>46</v>
      </c>
      <c r="G8324" t="s">
        <v>266</v>
      </c>
      <c r="H8324" t="s">
        <v>21</v>
      </c>
      <c r="I8324">
        <v>24044</v>
      </c>
      <c r="J8324">
        <v>25183</v>
      </c>
    </row>
    <row r="8325" spans="1:10" x14ac:dyDescent="0.3">
      <c r="A8325" t="s">
        <v>8452</v>
      </c>
      <c r="B8325" s="1">
        <v>45732</v>
      </c>
      <c r="C8325" t="s">
        <v>95</v>
      </c>
      <c r="D8325">
        <v>11</v>
      </c>
      <c r="E8325" t="s">
        <v>61</v>
      </c>
      <c r="F8325" t="s">
        <v>29</v>
      </c>
      <c r="G8325" t="s">
        <v>145</v>
      </c>
      <c r="H8325" t="s">
        <v>116</v>
      </c>
      <c r="I8325">
        <v>17138</v>
      </c>
      <c r="J8325">
        <v>20444</v>
      </c>
    </row>
    <row r="8326" spans="1:10" x14ac:dyDescent="0.3">
      <c r="A8326" t="s">
        <v>8453</v>
      </c>
      <c r="B8326" s="1">
        <v>45768</v>
      </c>
      <c r="C8326" t="s">
        <v>86</v>
      </c>
      <c r="D8326">
        <v>17</v>
      </c>
      <c r="E8326" t="s">
        <v>70</v>
      </c>
      <c r="F8326" t="s">
        <v>57</v>
      </c>
      <c r="G8326" t="s">
        <v>14</v>
      </c>
      <c r="H8326" t="s">
        <v>211</v>
      </c>
      <c r="I8326">
        <v>29645</v>
      </c>
      <c r="J8326">
        <v>34506</v>
      </c>
    </row>
    <row r="8327" spans="1:10" x14ac:dyDescent="0.3">
      <c r="A8327" t="s">
        <v>8454</v>
      </c>
      <c r="B8327" s="1">
        <v>45932</v>
      </c>
      <c r="C8327" t="s">
        <v>66</v>
      </c>
      <c r="D8327">
        <v>40</v>
      </c>
      <c r="E8327" t="s">
        <v>61</v>
      </c>
      <c r="F8327" t="s">
        <v>193</v>
      </c>
      <c r="G8327" t="s">
        <v>253</v>
      </c>
      <c r="H8327" t="s">
        <v>55</v>
      </c>
      <c r="I8327">
        <v>36816</v>
      </c>
      <c r="J8327">
        <v>35377</v>
      </c>
    </row>
    <row r="8328" spans="1:10" x14ac:dyDescent="0.3">
      <c r="A8328" t="s">
        <v>8455</v>
      </c>
      <c r="B8328" s="1">
        <v>45835</v>
      </c>
      <c r="C8328" t="s">
        <v>74</v>
      </c>
      <c r="D8328">
        <v>26</v>
      </c>
      <c r="E8328" t="s">
        <v>18</v>
      </c>
      <c r="F8328" t="s">
        <v>78</v>
      </c>
      <c r="G8328" t="s">
        <v>266</v>
      </c>
      <c r="H8328" t="s">
        <v>36</v>
      </c>
      <c r="I8328">
        <v>35812</v>
      </c>
      <c r="J8328">
        <v>28329</v>
      </c>
    </row>
    <row r="8329" spans="1:10" x14ac:dyDescent="0.3">
      <c r="A8329" t="s">
        <v>8456</v>
      </c>
      <c r="B8329" s="1">
        <v>45768</v>
      </c>
      <c r="C8329" t="s">
        <v>86</v>
      </c>
      <c r="D8329">
        <v>17</v>
      </c>
      <c r="E8329" t="s">
        <v>70</v>
      </c>
      <c r="F8329" t="s">
        <v>78</v>
      </c>
      <c r="G8329" t="s">
        <v>79</v>
      </c>
      <c r="H8329" t="s">
        <v>103</v>
      </c>
      <c r="I8329">
        <v>30544</v>
      </c>
      <c r="J8329">
        <v>22473</v>
      </c>
    </row>
    <row r="8330" spans="1:10" x14ac:dyDescent="0.3">
      <c r="A8330" t="s">
        <v>8457</v>
      </c>
      <c r="B8330" s="1">
        <v>45996</v>
      </c>
      <c r="C8330" t="s">
        <v>100</v>
      </c>
      <c r="D8330">
        <v>49</v>
      </c>
      <c r="E8330" t="s">
        <v>61</v>
      </c>
      <c r="F8330" t="s">
        <v>101</v>
      </c>
      <c r="G8330" t="s">
        <v>44</v>
      </c>
      <c r="H8330" t="s">
        <v>31</v>
      </c>
      <c r="I8330">
        <v>28174</v>
      </c>
      <c r="J8330">
        <v>36143</v>
      </c>
    </row>
    <row r="8331" spans="1:10" x14ac:dyDescent="0.3">
      <c r="A8331" t="s">
        <v>8458</v>
      </c>
      <c r="B8331" s="1">
        <v>45909</v>
      </c>
      <c r="C8331" t="s">
        <v>38</v>
      </c>
      <c r="D8331">
        <v>37</v>
      </c>
      <c r="E8331" t="s">
        <v>39</v>
      </c>
      <c r="F8331" t="s">
        <v>75</v>
      </c>
      <c r="G8331" t="s">
        <v>128</v>
      </c>
      <c r="H8331" t="s">
        <v>123</v>
      </c>
      <c r="I8331">
        <v>28827</v>
      </c>
      <c r="J8331">
        <v>25498</v>
      </c>
    </row>
    <row r="8332" spans="1:10" x14ac:dyDescent="0.3">
      <c r="A8332" t="s">
        <v>8459</v>
      </c>
      <c r="B8332" s="1">
        <v>45929</v>
      </c>
      <c r="C8332" t="s">
        <v>38</v>
      </c>
      <c r="D8332">
        <v>40</v>
      </c>
      <c r="E8332" t="s">
        <v>18</v>
      </c>
      <c r="F8332" t="s">
        <v>92</v>
      </c>
      <c r="G8332" t="s">
        <v>93</v>
      </c>
      <c r="H8332" t="s">
        <v>27</v>
      </c>
      <c r="I8332">
        <v>29524</v>
      </c>
      <c r="J8332">
        <v>27663</v>
      </c>
    </row>
    <row r="8333" spans="1:10" x14ac:dyDescent="0.3">
      <c r="A8333" t="s">
        <v>8460</v>
      </c>
      <c r="B8333" s="1">
        <v>45891</v>
      </c>
      <c r="C8333" t="s">
        <v>113</v>
      </c>
      <c r="D8333">
        <v>34</v>
      </c>
      <c r="E8333" t="s">
        <v>18</v>
      </c>
      <c r="F8333" t="s">
        <v>109</v>
      </c>
      <c r="G8333" t="s">
        <v>141</v>
      </c>
      <c r="H8333" t="s">
        <v>36</v>
      </c>
      <c r="I8333">
        <v>39697</v>
      </c>
      <c r="J8333">
        <v>45950</v>
      </c>
    </row>
    <row r="8334" spans="1:10" x14ac:dyDescent="0.3">
      <c r="A8334" t="s">
        <v>8461</v>
      </c>
      <c r="B8334" s="1">
        <v>45982</v>
      </c>
      <c r="C8334" t="s">
        <v>23</v>
      </c>
      <c r="D8334">
        <v>47</v>
      </c>
      <c r="E8334" t="s">
        <v>24</v>
      </c>
      <c r="F8334" t="s">
        <v>193</v>
      </c>
      <c r="G8334" t="s">
        <v>35</v>
      </c>
      <c r="H8334" t="s">
        <v>119</v>
      </c>
      <c r="I8334">
        <v>37341</v>
      </c>
      <c r="J8334">
        <v>43566</v>
      </c>
    </row>
    <row r="8335" spans="1:10" x14ac:dyDescent="0.3">
      <c r="A8335" t="s">
        <v>8462</v>
      </c>
      <c r="B8335" s="1">
        <v>45989</v>
      </c>
      <c r="C8335" t="s">
        <v>23</v>
      </c>
      <c r="D8335">
        <v>48</v>
      </c>
      <c r="E8335" t="s">
        <v>70</v>
      </c>
      <c r="F8335" t="s">
        <v>193</v>
      </c>
      <c r="G8335" t="s">
        <v>201</v>
      </c>
      <c r="H8335" t="s">
        <v>52</v>
      </c>
      <c r="I8335">
        <v>21751</v>
      </c>
      <c r="J8335">
        <v>26175</v>
      </c>
    </row>
    <row r="8336" spans="1:10" x14ac:dyDescent="0.3">
      <c r="A8336" t="s">
        <v>8463</v>
      </c>
      <c r="B8336" s="1">
        <v>45800</v>
      </c>
      <c r="C8336" t="s">
        <v>90</v>
      </c>
      <c r="D8336">
        <v>21</v>
      </c>
      <c r="E8336" t="s">
        <v>18</v>
      </c>
      <c r="F8336" t="s">
        <v>50</v>
      </c>
      <c r="G8336" t="s">
        <v>130</v>
      </c>
      <c r="H8336" t="s">
        <v>84</v>
      </c>
      <c r="I8336">
        <v>39173</v>
      </c>
      <c r="J8336">
        <v>46774</v>
      </c>
    </row>
    <row r="8337" spans="1:10" x14ac:dyDescent="0.3">
      <c r="A8337" t="s">
        <v>8464</v>
      </c>
      <c r="B8337" s="1">
        <v>45976</v>
      </c>
      <c r="C8337" t="s">
        <v>23</v>
      </c>
      <c r="D8337">
        <v>46</v>
      </c>
      <c r="E8337" t="s">
        <v>24</v>
      </c>
      <c r="F8337" t="s">
        <v>75</v>
      </c>
      <c r="G8337" t="s">
        <v>14</v>
      </c>
      <c r="H8337" t="s">
        <v>64</v>
      </c>
      <c r="I8337">
        <v>24301</v>
      </c>
      <c r="J8337">
        <v>25670</v>
      </c>
    </row>
    <row r="8338" spans="1:10" x14ac:dyDescent="0.3">
      <c r="A8338" t="s">
        <v>8465</v>
      </c>
      <c r="B8338" s="1">
        <v>45786</v>
      </c>
      <c r="C8338" t="s">
        <v>90</v>
      </c>
      <c r="D8338">
        <v>19</v>
      </c>
      <c r="E8338" t="s">
        <v>12</v>
      </c>
      <c r="F8338" t="s">
        <v>193</v>
      </c>
      <c r="G8338" t="s">
        <v>72</v>
      </c>
      <c r="H8338" t="s">
        <v>98</v>
      </c>
      <c r="I8338">
        <v>36925</v>
      </c>
      <c r="J8338">
        <v>32026</v>
      </c>
    </row>
    <row r="8339" spans="1:10" x14ac:dyDescent="0.3">
      <c r="A8339" t="s">
        <v>8466</v>
      </c>
      <c r="B8339" s="1">
        <v>45980</v>
      </c>
      <c r="C8339" t="s">
        <v>23</v>
      </c>
      <c r="D8339">
        <v>47</v>
      </c>
      <c r="E8339" t="s">
        <v>24</v>
      </c>
      <c r="F8339" t="s">
        <v>43</v>
      </c>
      <c r="G8339" t="s">
        <v>182</v>
      </c>
      <c r="H8339" t="s">
        <v>55</v>
      </c>
      <c r="I8339">
        <v>21899</v>
      </c>
      <c r="J8339">
        <v>16658</v>
      </c>
    </row>
    <row r="8340" spans="1:10" x14ac:dyDescent="0.3">
      <c r="A8340" t="s">
        <v>8467</v>
      </c>
      <c r="B8340" s="1">
        <v>45750</v>
      </c>
      <c r="C8340" t="s">
        <v>86</v>
      </c>
      <c r="D8340">
        <v>14</v>
      </c>
      <c r="E8340" t="s">
        <v>12</v>
      </c>
      <c r="F8340" t="s">
        <v>92</v>
      </c>
      <c r="G8340" t="s">
        <v>40</v>
      </c>
      <c r="H8340" t="s">
        <v>59</v>
      </c>
      <c r="I8340">
        <v>21468</v>
      </c>
      <c r="J8340">
        <v>16098</v>
      </c>
    </row>
    <row r="8341" spans="1:10" x14ac:dyDescent="0.3">
      <c r="A8341" t="s">
        <v>8468</v>
      </c>
      <c r="B8341" s="1">
        <v>45953</v>
      </c>
      <c r="C8341" t="s">
        <v>66</v>
      </c>
      <c r="D8341">
        <v>43</v>
      </c>
      <c r="E8341" t="s">
        <v>33</v>
      </c>
      <c r="F8341" t="s">
        <v>114</v>
      </c>
      <c r="G8341" t="s">
        <v>76</v>
      </c>
      <c r="H8341" t="s">
        <v>151</v>
      </c>
      <c r="I8341">
        <v>32388</v>
      </c>
      <c r="J8341">
        <v>30858</v>
      </c>
    </row>
    <row r="8342" spans="1:10" x14ac:dyDescent="0.3">
      <c r="A8342" t="s">
        <v>8469</v>
      </c>
      <c r="B8342" s="1">
        <v>46009</v>
      </c>
      <c r="C8342" t="s">
        <v>100</v>
      </c>
      <c r="D8342">
        <v>51</v>
      </c>
      <c r="E8342" t="s">
        <v>70</v>
      </c>
      <c r="F8342" t="s">
        <v>50</v>
      </c>
      <c r="G8342" t="s">
        <v>147</v>
      </c>
      <c r="H8342" t="s">
        <v>27</v>
      </c>
      <c r="I8342">
        <v>35470</v>
      </c>
      <c r="J8342">
        <v>45133</v>
      </c>
    </row>
    <row r="8343" spans="1:10" x14ac:dyDescent="0.3">
      <c r="A8343" t="s">
        <v>8470</v>
      </c>
      <c r="B8343" s="1">
        <v>45939</v>
      </c>
      <c r="C8343" t="s">
        <v>66</v>
      </c>
      <c r="D8343">
        <v>41</v>
      </c>
      <c r="E8343" t="s">
        <v>33</v>
      </c>
      <c r="F8343" t="s">
        <v>122</v>
      </c>
      <c r="G8343" t="s">
        <v>88</v>
      </c>
      <c r="H8343" t="s">
        <v>243</v>
      </c>
      <c r="I8343">
        <v>22946</v>
      </c>
      <c r="J8343">
        <v>19453</v>
      </c>
    </row>
    <row r="8344" spans="1:10" x14ac:dyDescent="0.3">
      <c r="A8344" t="s">
        <v>8471</v>
      </c>
      <c r="B8344" s="1">
        <v>45681</v>
      </c>
      <c r="C8344" t="s">
        <v>17</v>
      </c>
      <c r="D8344">
        <v>4</v>
      </c>
      <c r="E8344" t="s">
        <v>33</v>
      </c>
      <c r="F8344" t="s">
        <v>193</v>
      </c>
      <c r="G8344" t="s">
        <v>35</v>
      </c>
      <c r="H8344" t="s">
        <v>155</v>
      </c>
      <c r="I8344">
        <v>31132</v>
      </c>
      <c r="J8344">
        <v>38903</v>
      </c>
    </row>
    <row r="8345" spans="1:10" x14ac:dyDescent="0.3">
      <c r="A8345" t="s">
        <v>8472</v>
      </c>
      <c r="B8345" s="1">
        <v>45710</v>
      </c>
      <c r="C8345" t="s">
        <v>82</v>
      </c>
      <c r="D8345">
        <v>8</v>
      </c>
      <c r="E8345" t="s">
        <v>12</v>
      </c>
      <c r="F8345" t="s">
        <v>114</v>
      </c>
      <c r="G8345" t="s">
        <v>76</v>
      </c>
      <c r="H8345" t="s">
        <v>31</v>
      </c>
      <c r="I8345">
        <v>33536</v>
      </c>
      <c r="J8345">
        <v>26911</v>
      </c>
    </row>
    <row r="8346" spans="1:10" x14ac:dyDescent="0.3">
      <c r="A8346" t="s">
        <v>8473</v>
      </c>
      <c r="B8346" s="1">
        <v>45926</v>
      </c>
      <c r="C8346" t="s">
        <v>38</v>
      </c>
      <c r="D8346">
        <v>39</v>
      </c>
      <c r="E8346" t="s">
        <v>18</v>
      </c>
      <c r="F8346" t="s">
        <v>78</v>
      </c>
      <c r="G8346" t="s">
        <v>130</v>
      </c>
      <c r="H8346" t="s">
        <v>163</v>
      </c>
      <c r="I8346">
        <v>22201</v>
      </c>
      <c r="J8346">
        <v>24325</v>
      </c>
    </row>
    <row r="8347" spans="1:10" x14ac:dyDescent="0.3">
      <c r="A8347" t="s">
        <v>8474</v>
      </c>
      <c r="B8347" s="1">
        <v>45873</v>
      </c>
      <c r="C8347" t="s">
        <v>113</v>
      </c>
      <c r="D8347">
        <v>32</v>
      </c>
      <c r="E8347" t="s">
        <v>70</v>
      </c>
      <c r="F8347" t="s">
        <v>122</v>
      </c>
      <c r="G8347" t="s">
        <v>130</v>
      </c>
      <c r="H8347" t="s">
        <v>188</v>
      </c>
      <c r="I8347">
        <v>20104</v>
      </c>
      <c r="J8347">
        <v>14107</v>
      </c>
    </row>
    <row r="8348" spans="1:10" x14ac:dyDescent="0.3">
      <c r="A8348" t="s">
        <v>8475</v>
      </c>
      <c r="B8348" s="1">
        <v>45974</v>
      </c>
      <c r="C8348" t="s">
        <v>23</v>
      </c>
      <c r="D8348">
        <v>46</v>
      </c>
      <c r="E8348" t="s">
        <v>18</v>
      </c>
      <c r="F8348" t="s">
        <v>122</v>
      </c>
      <c r="G8348" t="s">
        <v>199</v>
      </c>
      <c r="H8348" t="s">
        <v>64</v>
      </c>
      <c r="I8348">
        <v>19119</v>
      </c>
      <c r="J8348">
        <v>18204</v>
      </c>
    </row>
    <row r="8349" spans="1:10" x14ac:dyDescent="0.3">
      <c r="A8349" t="s">
        <v>8476</v>
      </c>
      <c r="B8349" s="1">
        <v>45712</v>
      </c>
      <c r="C8349" t="s">
        <v>82</v>
      </c>
      <c r="D8349">
        <v>9</v>
      </c>
      <c r="E8349" t="s">
        <v>24</v>
      </c>
      <c r="F8349" t="s">
        <v>34</v>
      </c>
      <c r="G8349" t="s">
        <v>324</v>
      </c>
      <c r="H8349" t="s">
        <v>52</v>
      </c>
      <c r="I8349">
        <v>39559</v>
      </c>
      <c r="J8349">
        <v>49566</v>
      </c>
    </row>
    <row r="8350" spans="1:10" x14ac:dyDescent="0.3">
      <c r="A8350" t="s">
        <v>8477</v>
      </c>
      <c r="B8350" s="1">
        <v>46019</v>
      </c>
      <c r="C8350" t="s">
        <v>100</v>
      </c>
      <c r="D8350">
        <v>52</v>
      </c>
      <c r="E8350" t="s">
        <v>12</v>
      </c>
      <c r="F8350" t="s">
        <v>29</v>
      </c>
      <c r="G8350" t="s">
        <v>115</v>
      </c>
      <c r="H8350" t="s">
        <v>68</v>
      </c>
      <c r="I8350">
        <v>39563</v>
      </c>
      <c r="J8350">
        <v>34194</v>
      </c>
    </row>
    <row r="8351" spans="1:10" x14ac:dyDescent="0.3">
      <c r="A8351" t="s">
        <v>8478</v>
      </c>
      <c r="B8351" s="1">
        <v>45995</v>
      </c>
      <c r="C8351" t="s">
        <v>100</v>
      </c>
      <c r="D8351">
        <v>49</v>
      </c>
      <c r="E8351" t="s">
        <v>24</v>
      </c>
      <c r="F8351" t="s">
        <v>122</v>
      </c>
      <c r="G8351" t="s">
        <v>83</v>
      </c>
      <c r="H8351" t="s">
        <v>111</v>
      </c>
      <c r="I8351">
        <v>33267</v>
      </c>
      <c r="J8351">
        <v>27126</v>
      </c>
    </row>
    <row r="8352" spans="1:10" x14ac:dyDescent="0.3">
      <c r="A8352" t="s">
        <v>8479</v>
      </c>
      <c r="B8352" s="1">
        <v>45998</v>
      </c>
      <c r="C8352" t="s">
        <v>100</v>
      </c>
      <c r="D8352">
        <v>49</v>
      </c>
      <c r="E8352" t="s">
        <v>12</v>
      </c>
      <c r="F8352" t="s">
        <v>29</v>
      </c>
      <c r="G8352" t="s">
        <v>224</v>
      </c>
      <c r="H8352" t="s">
        <v>96</v>
      </c>
      <c r="I8352">
        <v>27859</v>
      </c>
      <c r="J8352">
        <v>29842</v>
      </c>
    </row>
    <row r="8353" spans="1:10" x14ac:dyDescent="0.3">
      <c r="A8353" t="s">
        <v>8480</v>
      </c>
      <c r="B8353" s="1">
        <v>45790</v>
      </c>
      <c r="C8353" t="s">
        <v>90</v>
      </c>
      <c r="D8353">
        <v>20</v>
      </c>
      <c r="E8353" t="s">
        <v>18</v>
      </c>
      <c r="F8353" t="s">
        <v>109</v>
      </c>
      <c r="G8353" t="s">
        <v>149</v>
      </c>
      <c r="H8353" t="s">
        <v>119</v>
      </c>
      <c r="I8353">
        <v>29182</v>
      </c>
      <c r="J8353">
        <v>30379</v>
      </c>
    </row>
    <row r="8354" spans="1:10" x14ac:dyDescent="0.3">
      <c r="A8354" t="s">
        <v>8481</v>
      </c>
      <c r="B8354" s="1">
        <v>45937</v>
      </c>
      <c r="C8354" t="s">
        <v>66</v>
      </c>
      <c r="D8354">
        <v>41</v>
      </c>
      <c r="E8354" t="s">
        <v>18</v>
      </c>
      <c r="F8354" t="s">
        <v>34</v>
      </c>
      <c r="G8354" t="s">
        <v>54</v>
      </c>
      <c r="H8354" t="s">
        <v>111</v>
      </c>
      <c r="I8354">
        <v>26870</v>
      </c>
      <c r="J8354">
        <v>19565</v>
      </c>
    </row>
    <row r="8355" spans="1:10" x14ac:dyDescent="0.3">
      <c r="A8355" t="s">
        <v>8482</v>
      </c>
      <c r="B8355" s="1">
        <v>45900</v>
      </c>
      <c r="C8355" t="s">
        <v>113</v>
      </c>
      <c r="D8355">
        <v>35</v>
      </c>
      <c r="E8355" t="s">
        <v>33</v>
      </c>
      <c r="F8355" t="s">
        <v>43</v>
      </c>
      <c r="G8355" t="s">
        <v>326</v>
      </c>
      <c r="H8355" t="s">
        <v>133</v>
      </c>
      <c r="I8355">
        <v>16471</v>
      </c>
      <c r="J8355">
        <v>12305</v>
      </c>
    </row>
    <row r="8356" spans="1:10" x14ac:dyDescent="0.3">
      <c r="A8356" t="s">
        <v>8483</v>
      </c>
      <c r="B8356" s="1">
        <v>45952</v>
      </c>
      <c r="C8356" t="s">
        <v>66</v>
      </c>
      <c r="D8356">
        <v>43</v>
      </c>
      <c r="E8356" t="s">
        <v>39</v>
      </c>
      <c r="F8356" t="s">
        <v>101</v>
      </c>
      <c r="G8356" t="s">
        <v>130</v>
      </c>
      <c r="H8356" t="s">
        <v>163</v>
      </c>
      <c r="I8356">
        <v>38176</v>
      </c>
      <c r="J8356">
        <v>41644</v>
      </c>
    </row>
    <row r="8357" spans="1:10" x14ac:dyDescent="0.3">
      <c r="A8357" t="s">
        <v>8484</v>
      </c>
      <c r="B8357" s="1">
        <v>45981</v>
      </c>
      <c r="C8357" t="s">
        <v>23</v>
      </c>
      <c r="D8357">
        <v>47</v>
      </c>
      <c r="E8357" t="s">
        <v>33</v>
      </c>
      <c r="F8357" t="s">
        <v>57</v>
      </c>
      <c r="G8357" t="s">
        <v>132</v>
      </c>
      <c r="H8357" t="s">
        <v>243</v>
      </c>
      <c r="I8357">
        <v>31198</v>
      </c>
      <c r="J8357">
        <v>35910</v>
      </c>
    </row>
    <row r="8358" spans="1:10" x14ac:dyDescent="0.3">
      <c r="A8358" t="s">
        <v>8485</v>
      </c>
      <c r="B8358" s="1">
        <v>45673</v>
      </c>
      <c r="C8358" t="s">
        <v>17</v>
      </c>
      <c r="D8358">
        <v>3</v>
      </c>
      <c r="E8358" t="s">
        <v>39</v>
      </c>
      <c r="F8358" t="s">
        <v>109</v>
      </c>
      <c r="G8358" t="s">
        <v>230</v>
      </c>
      <c r="H8358" t="s">
        <v>188</v>
      </c>
      <c r="I8358">
        <v>27249</v>
      </c>
      <c r="J8358">
        <v>34518</v>
      </c>
    </row>
    <row r="8359" spans="1:10" x14ac:dyDescent="0.3">
      <c r="A8359" t="s">
        <v>8486</v>
      </c>
      <c r="B8359" s="1">
        <v>45897</v>
      </c>
      <c r="C8359" t="s">
        <v>113</v>
      </c>
      <c r="D8359">
        <v>35</v>
      </c>
      <c r="E8359" t="s">
        <v>33</v>
      </c>
      <c r="F8359" t="s">
        <v>75</v>
      </c>
      <c r="G8359" t="s">
        <v>93</v>
      </c>
      <c r="H8359" t="s">
        <v>111</v>
      </c>
      <c r="I8359">
        <v>17387</v>
      </c>
      <c r="J8359">
        <v>12329</v>
      </c>
    </row>
    <row r="8360" spans="1:10" x14ac:dyDescent="0.3">
      <c r="A8360" t="s">
        <v>8487</v>
      </c>
      <c r="B8360" s="1">
        <v>45738</v>
      </c>
      <c r="C8360" t="s">
        <v>95</v>
      </c>
      <c r="D8360">
        <v>12</v>
      </c>
      <c r="E8360" t="s">
        <v>18</v>
      </c>
      <c r="F8360" t="s">
        <v>78</v>
      </c>
      <c r="G8360" t="s">
        <v>182</v>
      </c>
      <c r="H8360" t="s">
        <v>243</v>
      </c>
      <c r="I8360">
        <v>35530</v>
      </c>
      <c r="J8360">
        <v>26741</v>
      </c>
    </row>
    <row r="8361" spans="1:10" x14ac:dyDescent="0.3">
      <c r="A8361" t="s">
        <v>8488</v>
      </c>
      <c r="B8361" s="1">
        <v>45693</v>
      </c>
      <c r="C8361" t="s">
        <v>82</v>
      </c>
      <c r="D8361">
        <v>6</v>
      </c>
      <c r="E8361" t="s">
        <v>39</v>
      </c>
      <c r="F8361" t="s">
        <v>193</v>
      </c>
      <c r="G8361" t="s">
        <v>326</v>
      </c>
      <c r="H8361" t="s">
        <v>36</v>
      </c>
      <c r="I8361">
        <v>26862</v>
      </c>
      <c r="J8361">
        <v>26779</v>
      </c>
    </row>
    <row r="8362" spans="1:10" x14ac:dyDescent="0.3">
      <c r="A8362" t="s">
        <v>8489</v>
      </c>
      <c r="B8362" s="1">
        <v>45969</v>
      </c>
      <c r="C8362" t="s">
        <v>23</v>
      </c>
      <c r="D8362">
        <v>45</v>
      </c>
      <c r="E8362" t="s">
        <v>33</v>
      </c>
      <c r="F8362" t="s">
        <v>114</v>
      </c>
      <c r="G8362" t="s">
        <v>88</v>
      </c>
      <c r="H8362" t="s">
        <v>55</v>
      </c>
      <c r="I8362">
        <v>25899</v>
      </c>
      <c r="J8362">
        <v>22227</v>
      </c>
    </row>
    <row r="8363" spans="1:10" x14ac:dyDescent="0.3">
      <c r="A8363" t="s">
        <v>8490</v>
      </c>
      <c r="B8363" s="1">
        <v>45695</v>
      </c>
      <c r="C8363" t="s">
        <v>82</v>
      </c>
      <c r="D8363">
        <v>6</v>
      </c>
      <c r="E8363" t="s">
        <v>39</v>
      </c>
      <c r="F8363" t="s">
        <v>109</v>
      </c>
      <c r="G8363" t="s">
        <v>201</v>
      </c>
      <c r="H8363" t="s">
        <v>64</v>
      </c>
      <c r="I8363">
        <v>31044</v>
      </c>
      <c r="J8363">
        <v>34257</v>
      </c>
    </row>
    <row r="8364" spans="1:10" x14ac:dyDescent="0.3">
      <c r="A8364" t="s">
        <v>8491</v>
      </c>
      <c r="B8364" s="1">
        <v>45753</v>
      </c>
      <c r="C8364" t="s">
        <v>86</v>
      </c>
      <c r="D8364">
        <v>14</v>
      </c>
      <c r="E8364" t="s">
        <v>18</v>
      </c>
      <c r="F8364" t="s">
        <v>75</v>
      </c>
      <c r="G8364" t="s">
        <v>182</v>
      </c>
      <c r="H8364" t="s">
        <v>27</v>
      </c>
      <c r="I8364">
        <v>29182</v>
      </c>
      <c r="J8364">
        <v>36778</v>
      </c>
    </row>
    <row r="8365" spans="1:10" x14ac:dyDescent="0.3">
      <c r="A8365" t="s">
        <v>8492</v>
      </c>
      <c r="B8365" s="1">
        <v>45659</v>
      </c>
      <c r="C8365" t="s">
        <v>17</v>
      </c>
      <c r="D8365">
        <v>1</v>
      </c>
      <c r="E8365" t="s">
        <v>24</v>
      </c>
      <c r="F8365" t="s">
        <v>114</v>
      </c>
      <c r="G8365" t="s">
        <v>47</v>
      </c>
      <c r="H8365" t="s">
        <v>123</v>
      </c>
      <c r="I8365">
        <v>24894</v>
      </c>
      <c r="J8365">
        <v>25141</v>
      </c>
    </row>
    <row r="8366" spans="1:10" x14ac:dyDescent="0.3">
      <c r="A8366" t="s">
        <v>8493</v>
      </c>
      <c r="B8366" s="1">
        <v>45832</v>
      </c>
      <c r="C8366" t="s">
        <v>74</v>
      </c>
      <c r="D8366">
        <v>26</v>
      </c>
      <c r="E8366" t="s">
        <v>12</v>
      </c>
      <c r="F8366" t="s">
        <v>75</v>
      </c>
      <c r="G8366" t="s">
        <v>224</v>
      </c>
      <c r="H8366" t="s">
        <v>27</v>
      </c>
      <c r="I8366">
        <v>38062</v>
      </c>
      <c r="J8366">
        <v>28999</v>
      </c>
    </row>
    <row r="8367" spans="1:10" x14ac:dyDescent="0.3">
      <c r="A8367" t="s">
        <v>8494</v>
      </c>
      <c r="B8367" s="1">
        <v>45670</v>
      </c>
      <c r="C8367" t="s">
        <v>17</v>
      </c>
      <c r="D8367">
        <v>3</v>
      </c>
      <c r="E8367" t="s">
        <v>12</v>
      </c>
      <c r="F8367" t="s">
        <v>87</v>
      </c>
      <c r="G8367" t="s">
        <v>326</v>
      </c>
      <c r="H8367" t="s">
        <v>119</v>
      </c>
      <c r="I8367">
        <v>17113</v>
      </c>
      <c r="J8367">
        <v>12768</v>
      </c>
    </row>
    <row r="8368" spans="1:10" x14ac:dyDescent="0.3">
      <c r="A8368" t="s">
        <v>8495</v>
      </c>
      <c r="B8368" s="1">
        <v>45849</v>
      </c>
      <c r="C8368" t="s">
        <v>11</v>
      </c>
      <c r="D8368">
        <v>28</v>
      </c>
      <c r="E8368" t="s">
        <v>24</v>
      </c>
      <c r="F8368" t="s">
        <v>114</v>
      </c>
      <c r="G8368" t="s">
        <v>76</v>
      </c>
      <c r="H8368" t="s">
        <v>155</v>
      </c>
      <c r="I8368">
        <v>33023</v>
      </c>
      <c r="J8368">
        <v>27877</v>
      </c>
    </row>
    <row r="8369" spans="1:10" x14ac:dyDescent="0.3">
      <c r="A8369" t="s">
        <v>8496</v>
      </c>
      <c r="B8369" s="1">
        <v>45739</v>
      </c>
      <c r="C8369" t="s">
        <v>95</v>
      </c>
      <c r="D8369">
        <v>12</v>
      </c>
      <c r="E8369" t="s">
        <v>12</v>
      </c>
      <c r="F8369" t="s">
        <v>46</v>
      </c>
      <c r="G8369" t="s">
        <v>26</v>
      </c>
      <c r="H8369" t="s">
        <v>163</v>
      </c>
      <c r="I8369">
        <v>35584</v>
      </c>
      <c r="J8369">
        <v>31102</v>
      </c>
    </row>
    <row r="8370" spans="1:10" x14ac:dyDescent="0.3">
      <c r="A8370" t="s">
        <v>8497</v>
      </c>
      <c r="B8370" s="1">
        <v>45763</v>
      </c>
      <c r="C8370" t="s">
        <v>86</v>
      </c>
      <c r="D8370">
        <v>16</v>
      </c>
      <c r="E8370" t="s">
        <v>12</v>
      </c>
      <c r="F8370" t="s">
        <v>114</v>
      </c>
      <c r="G8370" t="s">
        <v>118</v>
      </c>
      <c r="H8370" t="s">
        <v>41</v>
      </c>
      <c r="I8370">
        <v>25411</v>
      </c>
      <c r="J8370">
        <v>23754</v>
      </c>
    </row>
    <row r="8371" spans="1:10" x14ac:dyDescent="0.3">
      <c r="A8371" t="s">
        <v>8498</v>
      </c>
      <c r="B8371" s="1">
        <v>45842</v>
      </c>
      <c r="C8371" t="s">
        <v>11</v>
      </c>
      <c r="D8371">
        <v>27</v>
      </c>
      <c r="E8371" t="s">
        <v>24</v>
      </c>
      <c r="F8371" t="s">
        <v>34</v>
      </c>
      <c r="G8371" t="s">
        <v>40</v>
      </c>
      <c r="H8371" t="s">
        <v>31</v>
      </c>
      <c r="I8371">
        <v>20087</v>
      </c>
      <c r="J8371">
        <v>17240</v>
      </c>
    </row>
    <row r="8372" spans="1:10" x14ac:dyDescent="0.3">
      <c r="A8372" t="s">
        <v>8499</v>
      </c>
      <c r="B8372" s="1">
        <v>45925</v>
      </c>
      <c r="C8372" t="s">
        <v>38</v>
      </c>
      <c r="D8372">
        <v>39</v>
      </c>
      <c r="E8372" t="s">
        <v>61</v>
      </c>
      <c r="F8372" t="s">
        <v>101</v>
      </c>
      <c r="G8372" t="s">
        <v>206</v>
      </c>
      <c r="H8372" t="s">
        <v>68</v>
      </c>
      <c r="I8372">
        <v>30162</v>
      </c>
      <c r="J8372">
        <v>24336</v>
      </c>
    </row>
    <row r="8373" spans="1:10" x14ac:dyDescent="0.3">
      <c r="A8373" t="s">
        <v>8500</v>
      </c>
      <c r="B8373" s="1">
        <v>45862</v>
      </c>
      <c r="C8373" t="s">
        <v>11</v>
      </c>
      <c r="D8373">
        <v>30</v>
      </c>
      <c r="E8373" t="s">
        <v>39</v>
      </c>
      <c r="F8373" t="s">
        <v>193</v>
      </c>
      <c r="G8373" t="s">
        <v>107</v>
      </c>
      <c r="H8373" t="s">
        <v>116</v>
      </c>
      <c r="I8373">
        <v>39849</v>
      </c>
      <c r="J8373">
        <v>33731</v>
      </c>
    </row>
    <row r="8374" spans="1:10" x14ac:dyDescent="0.3">
      <c r="A8374" t="s">
        <v>8501</v>
      </c>
      <c r="B8374" s="1">
        <v>45673</v>
      </c>
      <c r="C8374" t="s">
        <v>17</v>
      </c>
      <c r="D8374">
        <v>3</v>
      </c>
      <c r="E8374" t="s">
        <v>39</v>
      </c>
      <c r="F8374" t="s">
        <v>13</v>
      </c>
      <c r="G8374" t="s">
        <v>79</v>
      </c>
      <c r="H8374" t="s">
        <v>151</v>
      </c>
      <c r="I8374">
        <v>36486</v>
      </c>
      <c r="J8374">
        <v>43424</v>
      </c>
    </row>
    <row r="8375" spans="1:10" x14ac:dyDescent="0.3">
      <c r="A8375" t="s">
        <v>8502</v>
      </c>
      <c r="B8375" s="1">
        <v>45808</v>
      </c>
      <c r="C8375" t="s">
        <v>90</v>
      </c>
      <c r="D8375">
        <v>22</v>
      </c>
      <c r="E8375" t="s">
        <v>70</v>
      </c>
      <c r="F8375" t="s">
        <v>62</v>
      </c>
      <c r="G8375" t="s">
        <v>14</v>
      </c>
      <c r="H8375" t="s">
        <v>64</v>
      </c>
      <c r="I8375">
        <v>17130</v>
      </c>
      <c r="J8375">
        <v>16092</v>
      </c>
    </row>
    <row r="8376" spans="1:10" x14ac:dyDescent="0.3">
      <c r="A8376" t="s">
        <v>8503</v>
      </c>
      <c r="B8376" s="1">
        <v>46017</v>
      </c>
      <c r="C8376" t="s">
        <v>100</v>
      </c>
      <c r="D8376">
        <v>52</v>
      </c>
      <c r="E8376" t="s">
        <v>18</v>
      </c>
      <c r="F8376" t="s">
        <v>92</v>
      </c>
      <c r="G8376" t="s">
        <v>67</v>
      </c>
      <c r="H8376" t="s">
        <v>188</v>
      </c>
      <c r="I8376">
        <v>35911</v>
      </c>
      <c r="J8376">
        <v>28293</v>
      </c>
    </row>
    <row r="8377" spans="1:10" x14ac:dyDescent="0.3">
      <c r="A8377" t="s">
        <v>8504</v>
      </c>
      <c r="B8377" s="1">
        <v>45693</v>
      </c>
      <c r="C8377" t="s">
        <v>82</v>
      </c>
      <c r="D8377">
        <v>6</v>
      </c>
      <c r="E8377" t="s">
        <v>39</v>
      </c>
      <c r="F8377" t="s">
        <v>114</v>
      </c>
      <c r="G8377" t="s">
        <v>234</v>
      </c>
      <c r="H8377" t="s">
        <v>36</v>
      </c>
      <c r="I8377">
        <v>29724</v>
      </c>
      <c r="J8377">
        <v>29577</v>
      </c>
    </row>
    <row r="8378" spans="1:10" x14ac:dyDescent="0.3">
      <c r="A8378" t="s">
        <v>8505</v>
      </c>
      <c r="B8378" s="1">
        <v>45875</v>
      </c>
      <c r="C8378" t="s">
        <v>113</v>
      </c>
      <c r="D8378">
        <v>32</v>
      </c>
      <c r="E8378" t="s">
        <v>12</v>
      </c>
      <c r="F8378" t="s">
        <v>109</v>
      </c>
      <c r="G8378" t="s">
        <v>30</v>
      </c>
      <c r="H8378" t="s">
        <v>64</v>
      </c>
      <c r="I8378">
        <v>36295</v>
      </c>
      <c r="J8378">
        <v>25610</v>
      </c>
    </row>
    <row r="8379" spans="1:10" x14ac:dyDescent="0.3">
      <c r="A8379" t="s">
        <v>8506</v>
      </c>
      <c r="B8379" s="1">
        <v>45952</v>
      </c>
      <c r="C8379" t="s">
        <v>66</v>
      </c>
      <c r="D8379">
        <v>43</v>
      </c>
      <c r="E8379" t="s">
        <v>18</v>
      </c>
      <c r="F8379" t="s">
        <v>62</v>
      </c>
      <c r="G8379" t="s">
        <v>102</v>
      </c>
      <c r="H8379" t="s">
        <v>36</v>
      </c>
      <c r="I8379">
        <v>19916</v>
      </c>
      <c r="J8379">
        <v>20097</v>
      </c>
    </row>
    <row r="8380" spans="1:10" x14ac:dyDescent="0.3">
      <c r="A8380" t="s">
        <v>8507</v>
      </c>
      <c r="B8380" s="1">
        <v>45663</v>
      </c>
      <c r="C8380" t="s">
        <v>17</v>
      </c>
      <c r="D8380">
        <v>2</v>
      </c>
      <c r="E8380" t="s">
        <v>61</v>
      </c>
      <c r="F8380" t="s">
        <v>43</v>
      </c>
      <c r="G8380" t="s">
        <v>171</v>
      </c>
      <c r="H8380" t="s">
        <v>48</v>
      </c>
      <c r="I8380">
        <v>26568</v>
      </c>
      <c r="J8380">
        <v>34229</v>
      </c>
    </row>
    <row r="8381" spans="1:10" x14ac:dyDescent="0.3">
      <c r="A8381" t="s">
        <v>8508</v>
      </c>
      <c r="B8381" s="1">
        <v>45958</v>
      </c>
      <c r="C8381" t="s">
        <v>66</v>
      </c>
      <c r="D8381">
        <v>44</v>
      </c>
      <c r="E8381" t="s">
        <v>24</v>
      </c>
      <c r="F8381" t="s">
        <v>50</v>
      </c>
      <c r="G8381" t="s">
        <v>160</v>
      </c>
      <c r="H8381" t="s">
        <v>15</v>
      </c>
      <c r="I8381">
        <v>21084</v>
      </c>
      <c r="J8381">
        <v>20392</v>
      </c>
    </row>
    <row r="8382" spans="1:10" x14ac:dyDescent="0.3">
      <c r="A8382" t="s">
        <v>8509</v>
      </c>
      <c r="B8382" s="1">
        <v>45952</v>
      </c>
      <c r="C8382" t="s">
        <v>66</v>
      </c>
      <c r="D8382">
        <v>43</v>
      </c>
      <c r="E8382" t="s">
        <v>12</v>
      </c>
      <c r="F8382" t="s">
        <v>101</v>
      </c>
      <c r="G8382" t="s">
        <v>14</v>
      </c>
      <c r="H8382" t="s">
        <v>103</v>
      </c>
      <c r="I8382">
        <v>31266</v>
      </c>
      <c r="J8382">
        <v>34838</v>
      </c>
    </row>
    <row r="8383" spans="1:10" x14ac:dyDescent="0.3">
      <c r="A8383" t="s">
        <v>8510</v>
      </c>
      <c r="B8383" s="1">
        <v>45985</v>
      </c>
      <c r="C8383" t="s">
        <v>23</v>
      </c>
      <c r="D8383">
        <v>48</v>
      </c>
      <c r="E8383" t="s">
        <v>33</v>
      </c>
      <c r="F8383" t="s">
        <v>109</v>
      </c>
      <c r="G8383" t="s">
        <v>137</v>
      </c>
      <c r="H8383" t="s">
        <v>31</v>
      </c>
      <c r="I8383">
        <v>20277</v>
      </c>
      <c r="J8383">
        <v>17206</v>
      </c>
    </row>
    <row r="8384" spans="1:10" x14ac:dyDescent="0.3">
      <c r="A8384" t="s">
        <v>8511</v>
      </c>
      <c r="B8384" s="1">
        <v>45704</v>
      </c>
      <c r="C8384" t="s">
        <v>82</v>
      </c>
      <c r="D8384">
        <v>7</v>
      </c>
      <c r="E8384" t="s">
        <v>70</v>
      </c>
      <c r="F8384" t="s">
        <v>87</v>
      </c>
      <c r="G8384" t="s">
        <v>126</v>
      </c>
      <c r="H8384" t="s">
        <v>188</v>
      </c>
      <c r="I8384">
        <v>17432</v>
      </c>
      <c r="J8384">
        <v>19652</v>
      </c>
    </row>
    <row r="8385" spans="1:10" x14ac:dyDescent="0.3">
      <c r="A8385" t="s">
        <v>8512</v>
      </c>
      <c r="B8385" s="1">
        <v>45883</v>
      </c>
      <c r="C8385" t="s">
        <v>113</v>
      </c>
      <c r="D8385">
        <v>33</v>
      </c>
      <c r="E8385" t="s">
        <v>18</v>
      </c>
      <c r="F8385" t="s">
        <v>13</v>
      </c>
      <c r="G8385" t="s">
        <v>137</v>
      </c>
      <c r="H8385" t="s">
        <v>116</v>
      </c>
      <c r="I8385">
        <v>28780</v>
      </c>
      <c r="J8385">
        <v>23309</v>
      </c>
    </row>
    <row r="8386" spans="1:10" x14ac:dyDescent="0.3">
      <c r="A8386" t="s">
        <v>8513</v>
      </c>
      <c r="B8386" s="1">
        <v>45995</v>
      </c>
      <c r="C8386" t="s">
        <v>100</v>
      </c>
      <c r="D8386">
        <v>49</v>
      </c>
      <c r="E8386" t="s">
        <v>24</v>
      </c>
      <c r="F8386" t="s">
        <v>92</v>
      </c>
      <c r="G8386" t="s">
        <v>126</v>
      </c>
      <c r="H8386" t="s">
        <v>41</v>
      </c>
      <c r="I8386">
        <v>38612</v>
      </c>
      <c r="J8386">
        <v>36974</v>
      </c>
    </row>
    <row r="8387" spans="1:10" x14ac:dyDescent="0.3">
      <c r="A8387" t="s">
        <v>8514</v>
      </c>
      <c r="B8387" s="1">
        <v>45661</v>
      </c>
      <c r="C8387" t="s">
        <v>17</v>
      </c>
      <c r="D8387">
        <v>1</v>
      </c>
      <c r="E8387" t="s">
        <v>33</v>
      </c>
      <c r="F8387" t="s">
        <v>50</v>
      </c>
      <c r="G8387" t="s">
        <v>128</v>
      </c>
      <c r="H8387" t="s">
        <v>163</v>
      </c>
      <c r="I8387">
        <v>20431</v>
      </c>
      <c r="J8387">
        <v>24942</v>
      </c>
    </row>
    <row r="8388" spans="1:10" x14ac:dyDescent="0.3">
      <c r="A8388" t="s">
        <v>8515</v>
      </c>
      <c r="B8388" s="1">
        <v>45962</v>
      </c>
      <c r="C8388" t="s">
        <v>23</v>
      </c>
      <c r="D8388">
        <v>44</v>
      </c>
      <c r="E8388" t="s">
        <v>61</v>
      </c>
      <c r="F8388" t="s">
        <v>62</v>
      </c>
      <c r="G8388" t="s">
        <v>266</v>
      </c>
      <c r="H8388" t="s">
        <v>188</v>
      </c>
      <c r="I8388">
        <v>35145</v>
      </c>
      <c r="J8388">
        <v>30498</v>
      </c>
    </row>
    <row r="8389" spans="1:10" x14ac:dyDescent="0.3">
      <c r="A8389" t="s">
        <v>8516</v>
      </c>
      <c r="B8389" s="1">
        <v>46022</v>
      </c>
      <c r="C8389" t="s">
        <v>100</v>
      </c>
      <c r="D8389">
        <v>1</v>
      </c>
      <c r="E8389" t="s">
        <v>18</v>
      </c>
      <c r="F8389" t="s">
        <v>50</v>
      </c>
      <c r="G8389" t="s">
        <v>14</v>
      </c>
      <c r="H8389" t="s">
        <v>98</v>
      </c>
      <c r="I8389">
        <v>34119</v>
      </c>
      <c r="J8389">
        <v>29321</v>
      </c>
    </row>
    <row r="8390" spans="1:10" x14ac:dyDescent="0.3">
      <c r="A8390" t="s">
        <v>8517</v>
      </c>
      <c r="B8390" s="1">
        <v>45683</v>
      </c>
      <c r="C8390" t="s">
        <v>17</v>
      </c>
      <c r="D8390">
        <v>4</v>
      </c>
      <c r="E8390" t="s">
        <v>61</v>
      </c>
      <c r="F8390" t="s">
        <v>75</v>
      </c>
      <c r="G8390" t="s">
        <v>234</v>
      </c>
      <c r="H8390" t="s">
        <v>96</v>
      </c>
      <c r="I8390">
        <v>31261</v>
      </c>
      <c r="J8390">
        <v>28348</v>
      </c>
    </row>
    <row r="8391" spans="1:10" x14ac:dyDescent="0.3">
      <c r="A8391" t="s">
        <v>8518</v>
      </c>
      <c r="B8391" s="1">
        <v>45827</v>
      </c>
      <c r="C8391" t="s">
        <v>74</v>
      </c>
      <c r="D8391">
        <v>25</v>
      </c>
      <c r="E8391" t="s">
        <v>12</v>
      </c>
      <c r="F8391" t="s">
        <v>109</v>
      </c>
      <c r="G8391" t="s">
        <v>83</v>
      </c>
      <c r="H8391" t="s">
        <v>243</v>
      </c>
      <c r="I8391">
        <v>25107</v>
      </c>
      <c r="J8391">
        <v>26341</v>
      </c>
    </row>
    <row r="8392" spans="1:10" x14ac:dyDescent="0.3">
      <c r="A8392" t="s">
        <v>8519</v>
      </c>
      <c r="B8392" s="1">
        <v>45757</v>
      </c>
      <c r="C8392" t="s">
        <v>86</v>
      </c>
      <c r="D8392">
        <v>15</v>
      </c>
      <c r="E8392" t="s">
        <v>61</v>
      </c>
      <c r="F8392" t="s">
        <v>62</v>
      </c>
      <c r="G8392" t="s">
        <v>102</v>
      </c>
      <c r="H8392" t="s">
        <v>36</v>
      </c>
      <c r="I8392">
        <v>30123</v>
      </c>
      <c r="J8392">
        <v>26976</v>
      </c>
    </row>
    <row r="8393" spans="1:10" x14ac:dyDescent="0.3">
      <c r="A8393" t="s">
        <v>8520</v>
      </c>
      <c r="B8393" s="1">
        <v>45822</v>
      </c>
      <c r="C8393" t="s">
        <v>74</v>
      </c>
      <c r="D8393">
        <v>24</v>
      </c>
      <c r="E8393" t="s">
        <v>61</v>
      </c>
      <c r="F8393" t="s">
        <v>193</v>
      </c>
      <c r="G8393" t="s">
        <v>63</v>
      </c>
      <c r="H8393" t="s">
        <v>96</v>
      </c>
      <c r="I8393">
        <v>27075</v>
      </c>
      <c r="J8393">
        <v>34944</v>
      </c>
    </row>
    <row r="8394" spans="1:10" x14ac:dyDescent="0.3">
      <c r="A8394" t="s">
        <v>8521</v>
      </c>
      <c r="B8394" s="1">
        <v>45954</v>
      </c>
      <c r="C8394" t="s">
        <v>66</v>
      </c>
      <c r="D8394">
        <v>43</v>
      </c>
      <c r="E8394" t="s">
        <v>39</v>
      </c>
      <c r="F8394" t="s">
        <v>101</v>
      </c>
      <c r="G8394" t="s">
        <v>51</v>
      </c>
      <c r="H8394" t="s">
        <v>163</v>
      </c>
      <c r="I8394">
        <v>35775</v>
      </c>
      <c r="J8394">
        <v>40306</v>
      </c>
    </row>
    <row r="8395" spans="1:10" x14ac:dyDescent="0.3">
      <c r="A8395" t="s">
        <v>8522</v>
      </c>
      <c r="B8395" s="1">
        <v>45681</v>
      </c>
      <c r="C8395" t="s">
        <v>17</v>
      </c>
      <c r="D8395">
        <v>4</v>
      </c>
      <c r="E8395" t="s">
        <v>39</v>
      </c>
      <c r="F8395" t="s">
        <v>25</v>
      </c>
      <c r="G8395" t="s">
        <v>88</v>
      </c>
      <c r="H8395" t="s">
        <v>119</v>
      </c>
      <c r="I8395">
        <v>39780</v>
      </c>
      <c r="J8395">
        <v>29300</v>
      </c>
    </row>
    <row r="8396" spans="1:10" x14ac:dyDescent="0.3">
      <c r="A8396" t="s">
        <v>8523</v>
      </c>
      <c r="B8396" s="1">
        <v>45983</v>
      </c>
      <c r="C8396" t="s">
        <v>23</v>
      </c>
      <c r="D8396">
        <v>47</v>
      </c>
      <c r="E8396" t="s">
        <v>24</v>
      </c>
      <c r="F8396" t="s">
        <v>57</v>
      </c>
      <c r="G8396" t="s">
        <v>35</v>
      </c>
      <c r="H8396" t="s">
        <v>68</v>
      </c>
      <c r="I8396">
        <v>28581</v>
      </c>
      <c r="J8396">
        <v>32853</v>
      </c>
    </row>
    <row r="8397" spans="1:10" x14ac:dyDescent="0.3">
      <c r="A8397" t="s">
        <v>8524</v>
      </c>
      <c r="B8397" s="1">
        <v>45662</v>
      </c>
      <c r="C8397" t="s">
        <v>17</v>
      </c>
      <c r="D8397">
        <v>1</v>
      </c>
      <c r="E8397" t="s">
        <v>24</v>
      </c>
      <c r="F8397" t="s">
        <v>62</v>
      </c>
      <c r="G8397" t="s">
        <v>63</v>
      </c>
      <c r="H8397" t="s">
        <v>41</v>
      </c>
      <c r="I8397">
        <v>19561</v>
      </c>
      <c r="J8397">
        <v>16643</v>
      </c>
    </row>
    <row r="8398" spans="1:10" x14ac:dyDescent="0.3">
      <c r="A8398" t="s">
        <v>8525</v>
      </c>
      <c r="B8398" s="1">
        <v>45967</v>
      </c>
      <c r="C8398" t="s">
        <v>23</v>
      </c>
      <c r="D8398">
        <v>45</v>
      </c>
      <c r="E8398" t="s">
        <v>24</v>
      </c>
      <c r="F8398" t="s">
        <v>140</v>
      </c>
      <c r="G8398" t="s">
        <v>88</v>
      </c>
      <c r="H8398" t="s">
        <v>116</v>
      </c>
      <c r="I8398">
        <v>21838</v>
      </c>
      <c r="J8398">
        <v>21269</v>
      </c>
    </row>
    <row r="8399" spans="1:10" x14ac:dyDescent="0.3">
      <c r="A8399" t="s">
        <v>8526</v>
      </c>
      <c r="B8399" s="1">
        <v>45884</v>
      </c>
      <c r="C8399" t="s">
        <v>113</v>
      </c>
      <c r="D8399">
        <v>33</v>
      </c>
      <c r="E8399" t="s">
        <v>61</v>
      </c>
      <c r="F8399" t="s">
        <v>62</v>
      </c>
      <c r="G8399" t="s">
        <v>58</v>
      </c>
      <c r="H8399" t="s">
        <v>27</v>
      </c>
      <c r="I8399">
        <v>28009</v>
      </c>
      <c r="J8399">
        <v>32665</v>
      </c>
    </row>
    <row r="8400" spans="1:10" x14ac:dyDescent="0.3">
      <c r="A8400" t="s">
        <v>8527</v>
      </c>
      <c r="B8400" s="1">
        <v>45782</v>
      </c>
      <c r="C8400" t="s">
        <v>90</v>
      </c>
      <c r="D8400">
        <v>19</v>
      </c>
      <c r="E8400" t="s">
        <v>61</v>
      </c>
      <c r="F8400" t="s">
        <v>13</v>
      </c>
      <c r="G8400" t="s">
        <v>51</v>
      </c>
      <c r="H8400" t="s">
        <v>84</v>
      </c>
      <c r="I8400">
        <v>36443</v>
      </c>
      <c r="J8400">
        <v>32420</v>
      </c>
    </row>
    <row r="8401" spans="1:10" x14ac:dyDescent="0.3">
      <c r="A8401" t="s">
        <v>8528</v>
      </c>
      <c r="B8401" s="1">
        <v>45821</v>
      </c>
      <c r="C8401" t="s">
        <v>74</v>
      </c>
      <c r="D8401">
        <v>24</v>
      </c>
      <c r="E8401" t="s">
        <v>61</v>
      </c>
      <c r="F8401" t="s">
        <v>140</v>
      </c>
      <c r="G8401" t="s">
        <v>130</v>
      </c>
      <c r="H8401" t="s">
        <v>133</v>
      </c>
      <c r="I8401">
        <v>37146</v>
      </c>
      <c r="J8401">
        <v>27483</v>
      </c>
    </row>
    <row r="8402" spans="1:10" x14ac:dyDescent="0.3">
      <c r="A8402" t="s">
        <v>8529</v>
      </c>
      <c r="B8402" s="1">
        <v>45768</v>
      </c>
      <c r="C8402" t="s">
        <v>86</v>
      </c>
      <c r="D8402">
        <v>17</v>
      </c>
      <c r="E8402" t="s">
        <v>18</v>
      </c>
      <c r="F8402" t="s">
        <v>19</v>
      </c>
      <c r="G8402" t="s">
        <v>76</v>
      </c>
      <c r="H8402" t="s">
        <v>111</v>
      </c>
      <c r="I8402">
        <v>27446</v>
      </c>
      <c r="J8402">
        <v>21134</v>
      </c>
    </row>
    <row r="8403" spans="1:10" x14ac:dyDescent="0.3">
      <c r="A8403" t="s">
        <v>8530</v>
      </c>
      <c r="B8403" s="1">
        <v>45961</v>
      </c>
      <c r="C8403" t="s">
        <v>66</v>
      </c>
      <c r="D8403">
        <v>44</v>
      </c>
      <c r="E8403" t="s">
        <v>12</v>
      </c>
      <c r="F8403" t="s">
        <v>78</v>
      </c>
      <c r="G8403" t="s">
        <v>14</v>
      </c>
      <c r="H8403" t="s">
        <v>111</v>
      </c>
      <c r="I8403">
        <v>20792</v>
      </c>
      <c r="J8403">
        <v>22796</v>
      </c>
    </row>
    <row r="8404" spans="1:10" x14ac:dyDescent="0.3">
      <c r="A8404" t="s">
        <v>8531</v>
      </c>
      <c r="B8404" s="1">
        <v>45783</v>
      </c>
      <c r="C8404" t="s">
        <v>90</v>
      </c>
      <c r="D8404">
        <v>19</v>
      </c>
      <c r="E8404" t="s">
        <v>24</v>
      </c>
      <c r="F8404" t="s">
        <v>13</v>
      </c>
      <c r="G8404" t="s">
        <v>14</v>
      </c>
      <c r="H8404" t="s">
        <v>188</v>
      </c>
      <c r="I8404">
        <v>28580</v>
      </c>
      <c r="J8404">
        <v>33376</v>
      </c>
    </row>
    <row r="8405" spans="1:10" x14ac:dyDescent="0.3">
      <c r="A8405" t="s">
        <v>8532</v>
      </c>
      <c r="B8405" s="1">
        <v>45733</v>
      </c>
      <c r="C8405" t="s">
        <v>95</v>
      </c>
      <c r="D8405">
        <v>12</v>
      </c>
      <c r="E8405" t="s">
        <v>61</v>
      </c>
      <c r="F8405" t="s">
        <v>122</v>
      </c>
      <c r="G8405" t="s">
        <v>230</v>
      </c>
      <c r="H8405" t="s">
        <v>157</v>
      </c>
      <c r="I8405">
        <v>23177</v>
      </c>
      <c r="J8405">
        <v>30071</v>
      </c>
    </row>
    <row r="8406" spans="1:10" x14ac:dyDescent="0.3">
      <c r="A8406" t="s">
        <v>8533</v>
      </c>
      <c r="B8406" s="1">
        <v>45751</v>
      </c>
      <c r="C8406" t="s">
        <v>86</v>
      </c>
      <c r="D8406">
        <v>14</v>
      </c>
      <c r="E8406" t="s">
        <v>61</v>
      </c>
      <c r="F8406" t="s">
        <v>92</v>
      </c>
      <c r="G8406" t="s">
        <v>191</v>
      </c>
      <c r="H8406" t="s">
        <v>155</v>
      </c>
      <c r="I8406">
        <v>33563</v>
      </c>
      <c r="J8406">
        <v>38352</v>
      </c>
    </row>
    <row r="8407" spans="1:10" x14ac:dyDescent="0.3">
      <c r="A8407" t="s">
        <v>8534</v>
      </c>
      <c r="B8407" s="1">
        <v>45762</v>
      </c>
      <c r="C8407" t="s">
        <v>86</v>
      </c>
      <c r="D8407">
        <v>16</v>
      </c>
      <c r="E8407" t="s">
        <v>12</v>
      </c>
      <c r="F8407" t="s">
        <v>193</v>
      </c>
      <c r="G8407" t="s">
        <v>54</v>
      </c>
      <c r="H8407" t="s">
        <v>165</v>
      </c>
      <c r="I8407">
        <v>25499</v>
      </c>
      <c r="J8407">
        <v>26581</v>
      </c>
    </row>
    <row r="8408" spans="1:10" x14ac:dyDescent="0.3">
      <c r="A8408" t="s">
        <v>8535</v>
      </c>
      <c r="B8408" s="1">
        <v>45706</v>
      </c>
      <c r="C8408" t="s">
        <v>82</v>
      </c>
      <c r="D8408">
        <v>8</v>
      </c>
      <c r="E8408" t="s">
        <v>18</v>
      </c>
      <c r="F8408" t="s">
        <v>122</v>
      </c>
      <c r="G8408" t="s">
        <v>253</v>
      </c>
      <c r="H8408" t="s">
        <v>96</v>
      </c>
      <c r="I8408">
        <v>24930</v>
      </c>
      <c r="J8408">
        <v>27877</v>
      </c>
    </row>
    <row r="8409" spans="1:10" x14ac:dyDescent="0.3">
      <c r="A8409" t="s">
        <v>8536</v>
      </c>
      <c r="B8409" s="1">
        <v>46019</v>
      </c>
      <c r="C8409" t="s">
        <v>100</v>
      </c>
      <c r="D8409">
        <v>52</v>
      </c>
      <c r="E8409" t="s">
        <v>24</v>
      </c>
      <c r="F8409" t="s">
        <v>101</v>
      </c>
      <c r="G8409" t="s">
        <v>234</v>
      </c>
      <c r="H8409" t="s">
        <v>163</v>
      </c>
      <c r="I8409">
        <v>23909</v>
      </c>
      <c r="J8409">
        <v>27616</v>
      </c>
    </row>
    <row r="8410" spans="1:10" x14ac:dyDescent="0.3">
      <c r="A8410" t="s">
        <v>8537</v>
      </c>
      <c r="B8410" s="1">
        <v>45972</v>
      </c>
      <c r="C8410" t="s">
        <v>23</v>
      </c>
      <c r="D8410">
        <v>46</v>
      </c>
      <c r="E8410" t="s">
        <v>33</v>
      </c>
      <c r="F8410" t="s">
        <v>13</v>
      </c>
      <c r="G8410" t="s">
        <v>110</v>
      </c>
      <c r="H8410" t="s">
        <v>133</v>
      </c>
      <c r="I8410">
        <v>24579</v>
      </c>
      <c r="J8410">
        <v>22646</v>
      </c>
    </row>
    <row r="8411" spans="1:10" x14ac:dyDescent="0.3">
      <c r="A8411" t="s">
        <v>8538</v>
      </c>
      <c r="B8411" s="1">
        <v>45913</v>
      </c>
      <c r="C8411" t="s">
        <v>38</v>
      </c>
      <c r="D8411">
        <v>37</v>
      </c>
      <c r="E8411" t="s">
        <v>33</v>
      </c>
      <c r="F8411" t="s">
        <v>46</v>
      </c>
      <c r="G8411" t="s">
        <v>266</v>
      </c>
      <c r="H8411" t="s">
        <v>41</v>
      </c>
      <c r="I8411">
        <v>28591</v>
      </c>
      <c r="J8411">
        <v>27119</v>
      </c>
    </row>
    <row r="8412" spans="1:10" x14ac:dyDescent="0.3">
      <c r="A8412" t="s">
        <v>8539</v>
      </c>
      <c r="B8412" s="1">
        <v>45691</v>
      </c>
      <c r="C8412" t="s">
        <v>82</v>
      </c>
      <c r="D8412">
        <v>6</v>
      </c>
      <c r="E8412" t="s">
        <v>61</v>
      </c>
      <c r="F8412" t="s">
        <v>87</v>
      </c>
      <c r="G8412" t="s">
        <v>128</v>
      </c>
      <c r="H8412" t="s">
        <v>80</v>
      </c>
      <c r="I8412">
        <v>17557</v>
      </c>
      <c r="J8412">
        <v>16194</v>
      </c>
    </row>
    <row r="8413" spans="1:10" x14ac:dyDescent="0.3">
      <c r="A8413" t="s">
        <v>8540</v>
      </c>
      <c r="B8413" s="1">
        <v>45730</v>
      </c>
      <c r="C8413" t="s">
        <v>95</v>
      </c>
      <c r="D8413">
        <v>11</v>
      </c>
      <c r="E8413" t="s">
        <v>33</v>
      </c>
      <c r="F8413" t="s">
        <v>78</v>
      </c>
      <c r="G8413" t="s">
        <v>44</v>
      </c>
      <c r="H8413" t="s">
        <v>21</v>
      </c>
      <c r="I8413">
        <v>22187</v>
      </c>
      <c r="J8413">
        <v>17336</v>
      </c>
    </row>
    <row r="8414" spans="1:10" x14ac:dyDescent="0.3">
      <c r="A8414" t="s">
        <v>8541</v>
      </c>
      <c r="B8414" s="1">
        <v>45982</v>
      </c>
      <c r="C8414" t="s">
        <v>23</v>
      </c>
      <c r="D8414">
        <v>47</v>
      </c>
      <c r="E8414" t="s">
        <v>12</v>
      </c>
      <c r="F8414" t="s">
        <v>78</v>
      </c>
      <c r="G8414" t="s">
        <v>110</v>
      </c>
      <c r="H8414" t="s">
        <v>55</v>
      </c>
      <c r="I8414">
        <v>36838</v>
      </c>
      <c r="J8414">
        <v>26152</v>
      </c>
    </row>
    <row r="8415" spans="1:10" x14ac:dyDescent="0.3">
      <c r="A8415" t="s">
        <v>8542</v>
      </c>
      <c r="B8415" s="1">
        <v>45929</v>
      </c>
      <c r="C8415" t="s">
        <v>38</v>
      </c>
      <c r="D8415">
        <v>40</v>
      </c>
      <c r="E8415" t="s">
        <v>33</v>
      </c>
      <c r="F8415" t="s">
        <v>109</v>
      </c>
      <c r="G8415" t="s">
        <v>35</v>
      </c>
      <c r="H8415" t="s">
        <v>27</v>
      </c>
      <c r="I8415">
        <v>26430</v>
      </c>
      <c r="J8415">
        <v>23626</v>
      </c>
    </row>
    <row r="8416" spans="1:10" x14ac:dyDescent="0.3">
      <c r="A8416" t="s">
        <v>8543</v>
      </c>
      <c r="B8416" s="1">
        <v>45926</v>
      </c>
      <c r="C8416" t="s">
        <v>38</v>
      </c>
      <c r="D8416">
        <v>39</v>
      </c>
      <c r="E8416" t="s">
        <v>18</v>
      </c>
      <c r="F8416" t="s">
        <v>43</v>
      </c>
      <c r="G8416" t="s">
        <v>47</v>
      </c>
      <c r="H8416" t="s">
        <v>243</v>
      </c>
      <c r="I8416">
        <v>21035</v>
      </c>
      <c r="J8416">
        <v>19707</v>
      </c>
    </row>
    <row r="8417" spans="1:10" x14ac:dyDescent="0.3">
      <c r="A8417" t="s">
        <v>8544</v>
      </c>
      <c r="B8417" s="1">
        <v>45723</v>
      </c>
      <c r="C8417" t="s">
        <v>95</v>
      </c>
      <c r="D8417">
        <v>10</v>
      </c>
      <c r="E8417" t="s">
        <v>12</v>
      </c>
      <c r="F8417" t="s">
        <v>87</v>
      </c>
      <c r="G8417" t="s">
        <v>79</v>
      </c>
      <c r="H8417" t="s">
        <v>111</v>
      </c>
      <c r="I8417">
        <v>27898</v>
      </c>
      <c r="J8417">
        <v>25036</v>
      </c>
    </row>
    <row r="8418" spans="1:10" x14ac:dyDescent="0.3">
      <c r="A8418" t="s">
        <v>8545</v>
      </c>
      <c r="B8418" s="1">
        <v>45903</v>
      </c>
      <c r="C8418" t="s">
        <v>38</v>
      </c>
      <c r="D8418">
        <v>36</v>
      </c>
      <c r="E8418" t="s">
        <v>70</v>
      </c>
      <c r="F8418" t="s">
        <v>75</v>
      </c>
      <c r="G8418" t="s">
        <v>35</v>
      </c>
      <c r="H8418" t="s">
        <v>21</v>
      </c>
      <c r="I8418">
        <v>39192</v>
      </c>
      <c r="J8418">
        <v>39777</v>
      </c>
    </row>
    <row r="8419" spans="1:10" x14ac:dyDescent="0.3">
      <c r="A8419" t="s">
        <v>8546</v>
      </c>
      <c r="B8419" s="1">
        <v>45851</v>
      </c>
      <c r="C8419" t="s">
        <v>11</v>
      </c>
      <c r="D8419">
        <v>28</v>
      </c>
      <c r="E8419" t="s">
        <v>33</v>
      </c>
      <c r="F8419" t="s">
        <v>122</v>
      </c>
      <c r="G8419" t="s">
        <v>115</v>
      </c>
      <c r="H8419" t="s">
        <v>163</v>
      </c>
      <c r="I8419">
        <v>32283</v>
      </c>
      <c r="J8419">
        <v>33077</v>
      </c>
    </row>
    <row r="8420" spans="1:10" x14ac:dyDescent="0.3">
      <c r="A8420" t="s">
        <v>8547</v>
      </c>
      <c r="B8420" s="1">
        <v>45730</v>
      </c>
      <c r="C8420" t="s">
        <v>95</v>
      </c>
      <c r="D8420">
        <v>11</v>
      </c>
      <c r="E8420" t="s">
        <v>24</v>
      </c>
      <c r="F8420" t="s">
        <v>50</v>
      </c>
      <c r="G8420" t="s">
        <v>199</v>
      </c>
      <c r="H8420" t="s">
        <v>80</v>
      </c>
      <c r="I8420">
        <v>30174</v>
      </c>
      <c r="J8420">
        <v>30364</v>
      </c>
    </row>
    <row r="8421" spans="1:10" x14ac:dyDescent="0.3">
      <c r="A8421" t="s">
        <v>8548</v>
      </c>
      <c r="B8421" s="1">
        <v>45907</v>
      </c>
      <c r="C8421" t="s">
        <v>38</v>
      </c>
      <c r="D8421">
        <v>36</v>
      </c>
      <c r="E8421" t="s">
        <v>12</v>
      </c>
      <c r="F8421" t="s">
        <v>25</v>
      </c>
      <c r="G8421" t="s">
        <v>253</v>
      </c>
      <c r="H8421" t="s">
        <v>163</v>
      </c>
      <c r="I8421">
        <v>33486</v>
      </c>
      <c r="J8421">
        <v>28367</v>
      </c>
    </row>
    <row r="8422" spans="1:10" x14ac:dyDescent="0.3">
      <c r="A8422" t="s">
        <v>8549</v>
      </c>
      <c r="B8422" s="1">
        <v>45797</v>
      </c>
      <c r="C8422" t="s">
        <v>90</v>
      </c>
      <c r="D8422">
        <v>21</v>
      </c>
      <c r="E8422" t="s">
        <v>18</v>
      </c>
      <c r="F8422" t="s">
        <v>87</v>
      </c>
      <c r="G8422" t="s">
        <v>224</v>
      </c>
      <c r="H8422" t="s">
        <v>119</v>
      </c>
      <c r="I8422">
        <v>18098</v>
      </c>
      <c r="J8422">
        <v>21601</v>
      </c>
    </row>
    <row r="8423" spans="1:10" x14ac:dyDescent="0.3">
      <c r="A8423" t="s">
        <v>8550</v>
      </c>
      <c r="B8423" s="1">
        <v>45699</v>
      </c>
      <c r="C8423" t="s">
        <v>82</v>
      </c>
      <c r="D8423">
        <v>7</v>
      </c>
      <c r="E8423" t="s">
        <v>39</v>
      </c>
      <c r="F8423" t="s">
        <v>122</v>
      </c>
      <c r="G8423" t="s">
        <v>160</v>
      </c>
      <c r="H8423" t="s">
        <v>15</v>
      </c>
      <c r="I8423">
        <v>32423</v>
      </c>
      <c r="J8423">
        <v>27681</v>
      </c>
    </row>
    <row r="8424" spans="1:10" x14ac:dyDescent="0.3">
      <c r="A8424" t="s">
        <v>8551</v>
      </c>
      <c r="B8424" s="1">
        <v>45686</v>
      </c>
      <c r="C8424" t="s">
        <v>17</v>
      </c>
      <c r="D8424">
        <v>5</v>
      </c>
      <c r="E8424" t="s">
        <v>61</v>
      </c>
      <c r="F8424" t="s">
        <v>92</v>
      </c>
      <c r="G8424" t="s">
        <v>191</v>
      </c>
      <c r="H8424" t="s">
        <v>119</v>
      </c>
      <c r="I8424">
        <v>26993</v>
      </c>
      <c r="J8424">
        <v>23565</v>
      </c>
    </row>
    <row r="8425" spans="1:10" x14ac:dyDescent="0.3">
      <c r="A8425" t="s">
        <v>8552</v>
      </c>
      <c r="B8425" s="1">
        <v>45923</v>
      </c>
      <c r="C8425" t="s">
        <v>38</v>
      </c>
      <c r="D8425">
        <v>39</v>
      </c>
      <c r="E8425" t="s">
        <v>18</v>
      </c>
      <c r="F8425" t="s">
        <v>57</v>
      </c>
      <c r="G8425" t="s">
        <v>132</v>
      </c>
      <c r="H8425" t="s">
        <v>80</v>
      </c>
      <c r="I8425">
        <v>36812</v>
      </c>
      <c r="J8425">
        <v>29809</v>
      </c>
    </row>
    <row r="8426" spans="1:10" x14ac:dyDescent="0.3">
      <c r="A8426" t="s">
        <v>8553</v>
      </c>
      <c r="B8426" s="1">
        <v>45928</v>
      </c>
      <c r="C8426" t="s">
        <v>38</v>
      </c>
      <c r="D8426">
        <v>39</v>
      </c>
      <c r="E8426" t="s">
        <v>61</v>
      </c>
      <c r="F8426" t="s">
        <v>46</v>
      </c>
      <c r="G8426" t="s">
        <v>63</v>
      </c>
      <c r="H8426" t="s">
        <v>243</v>
      </c>
      <c r="I8426">
        <v>16918</v>
      </c>
      <c r="J8426">
        <v>12964</v>
      </c>
    </row>
    <row r="8427" spans="1:10" x14ac:dyDescent="0.3">
      <c r="A8427" t="s">
        <v>8554</v>
      </c>
      <c r="B8427" s="1">
        <v>45972</v>
      </c>
      <c r="C8427" t="s">
        <v>23</v>
      </c>
      <c r="D8427">
        <v>46</v>
      </c>
      <c r="E8427" t="s">
        <v>70</v>
      </c>
      <c r="F8427" t="s">
        <v>78</v>
      </c>
      <c r="G8427" t="s">
        <v>102</v>
      </c>
      <c r="H8427" t="s">
        <v>36</v>
      </c>
      <c r="I8427">
        <v>36109</v>
      </c>
      <c r="J8427">
        <v>25929</v>
      </c>
    </row>
    <row r="8428" spans="1:10" x14ac:dyDescent="0.3">
      <c r="A8428" t="s">
        <v>8555</v>
      </c>
      <c r="B8428" s="1">
        <v>45956</v>
      </c>
      <c r="C8428" t="s">
        <v>66</v>
      </c>
      <c r="D8428">
        <v>43</v>
      </c>
      <c r="E8428" t="s">
        <v>24</v>
      </c>
      <c r="F8428" t="s">
        <v>13</v>
      </c>
      <c r="G8428" t="s">
        <v>191</v>
      </c>
      <c r="H8428" t="s">
        <v>21</v>
      </c>
      <c r="I8428">
        <v>18633</v>
      </c>
      <c r="J8428">
        <v>17783</v>
      </c>
    </row>
    <row r="8429" spans="1:10" x14ac:dyDescent="0.3">
      <c r="A8429" t="s">
        <v>8556</v>
      </c>
      <c r="B8429" s="1">
        <v>45658</v>
      </c>
      <c r="C8429" t="s">
        <v>17</v>
      </c>
      <c r="D8429">
        <v>1</v>
      </c>
      <c r="E8429" t="s">
        <v>12</v>
      </c>
      <c r="F8429" t="s">
        <v>114</v>
      </c>
      <c r="G8429" t="s">
        <v>266</v>
      </c>
      <c r="H8429" t="s">
        <v>21</v>
      </c>
      <c r="I8429">
        <v>36751</v>
      </c>
      <c r="J8429">
        <v>39022</v>
      </c>
    </row>
    <row r="8430" spans="1:10" x14ac:dyDescent="0.3">
      <c r="A8430" t="s">
        <v>8557</v>
      </c>
      <c r="B8430" s="1">
        <v>45964</v>
      </c>
      <c r="C8430" t="s">
        <v>23</v>
      </c>
      <c r="D8430">
        <v>45</v>
      </c>
      <c r="E8430" t="s">
        <v>18</v>
      </c>
      <c r="F8430" t="s">
        <v>122</v>
      </c>
      <c r="G8430" t="s">
        <v>115</v>
      </c>
      <c r="H8430" t="s">
        <v>151</v>
      </c>
      <c r="I8430">
        <v>30908</v>
      </c>
      <c r="J8430">
        <v>33535</v>
      </c>
    </row>
    <row r="8431" spans="1:10" x14ac:dyDescent="0.3">
      <c r="A8431" t="s">
        <v>8558</v>
      </c>
      <c r="B8431" s="1">
        <v>46008</v>
      </c>
      <c r="C8431" t="s">
        <v>100</v>
      </c>
      <c r="D8431">
        <v>51</v>
      </c>
      <c r="E8431" t="s">
        <v>70</v>
      </c>
      <c r="F8431" t="s">
        <v>13</v>
      </c>
      <c r="G8431" t="s">
        <v>130</v>
      </c>
      <c r="H8431" t="s">
        <v>21</v>
      </c>
      <c r="I8431">
        <v>34435</v>
      </c>
      <c r="J8431">
        <v>29818</v>
      </c>
    </row>
    <row r="8432" spans="1:10" x14ac:dyDescent="0.3">
      <c r="A8432" t="s">
        <v>8559</v>
      </c>
      <c r="B8432" s="1">
        <v>45761</v>
      </c>
      <c r="C8432" t="s">
        <v>86</v>
      </c>
      <c r="D8432">
        <v>16</v>
      </c>
      <c r="E8432" t="s">
        <v>61</v>
      </c>
      <c r="F8432" t="s">
        <v>92</v>
      </c>
      <c r="G8432" t="s">
        <v>35</v>
      </c>
      <c r="H8432" t="s">
        <v>98</v>
      </c>
      <c r="I8432">
        <v>39653</v>
      </c>
      <c r="J8432">
        <v>35094</v>
      </c>
    </row>
    <row r="8433" spans="1:10" x14ac:dyDescent="0.3">
      <c r="A8433" t="s">
        <v>8560</v>
      </c>
      <c r="B8433" s="1">
        <v>45800</v>
      </c>
      <c r="C8433" t="s">
        <v>90</v>
      </c>
      <c r="D8433">
        <v>21</v>
      </c>
      <c r="E8433" t="s">
        <v>70</v>
      </c>
      <c r="F8433" t="s">
        <v>75</v>
      </c>
      <c r="G8433" t="s">
        <v>145</v>
      </c>
      <c r="H8433" t="s">
        <v>48</v>
      </c>
      <c r="I8433">
        <v>16159</v>
      </c>
      <c r="J8433">
        <v>18946</v>
      </c>
    </row>
    <row r="8434" spans="1:10" x14ac:dyDescent="0.3">
      <c r="A8434" t="s">
        <v>8561</v>
      </c>
      <c r="B8434" s="1">
        <v>46018</v>
      </c>
      <c r="C8434" t="s">
        <v>100</v>
      </c>
      <c r="D8434">
        <v>52</v>
      </c>
      <c r="E8434" t="s">
        <v>33</v>
      </c>
      <c r="F8434" t="s">
        <v>25</v>
      </c>
      <c r="G8434" t="s">
        <v>182</v>
      </c>
      <c r="H8434" t="s">
        <v>84</v>
      </c>
      <c r="I8434">
        <v>23232</v>
      </c>
      <c r="J8434">
        <v>29425</v>
      </c>
    </row>
    <row r="8435" spans="1:10" x14ac:dyDescent="0.3">
      <c r="A8435" t="s">
        <v>8562</v>
      </c>
      <c r="B8435" s="1">
        <v>46016</v>
      </c>
      <c r="C8435" t="s">
        <v>100</v>
      </c>
      <c r="D8435">
        <v>52</v>
      </c>
      <c r="E8435" t="s">
        <v>12</v>
      </c>
      <c r="F8435" t="s">
        <v>101</v>
      </c>
      <c r="G8435" t="s">
        <v>206</v>
      </c>
      <c r="H8435" t="s">
        <v>27</v>
      </c>
      <c r="I8435">
        <v>32974</v>
      </c>
      <c r="J8435">
        <v>38315</v>
      </c>
    </row>
    <row r="8436" spans="1:10" x14ac:dyDescent="0.3">
      <c r="A8436" t="s">
        <v>8563</v>
      </c>
      <c r="B8436" s="1">
        <v>45932</v>
      </c>
      <c r="C8436" t="s">
        <v>66</v>
      </c>
      <c r="D8436">
        <v>40</v>
      </c>
      <c r="E8436" t="s">
        <v>12</v>
      </c>
      <c r="F8436" t="s">
        <v>62</v>
      </c>
      <c r="G8436" t="s">
        <v>224</v>
      </c>
      <c r="H8436" t="s">
        <v>98</v>
      </c>
      <c r="I8436">
        <v>27382</v>
      </c>
      <c r="J8436">
        <v>35168</v>
      </c>
    </row>
    <row r="8437" spans="1:10" x14ac:dyDescent="0.3">
      <c r="A8437" t="s">
        <v>8564</v>
      </c>
      <c r="B8437" s="1">
        <v>45742</v>
      </c>
      <c r="C8437" t="s">
        <v>95</v>
      </c>
      <c r="D8437">
        <v>13</v>
      </c>
      <c r="E8437" t="s">
        <v>18</v>
      </c>
      <c r="F8437" t="s">
        <v>92</v>
      </c>
      <c r="G8437" t="s">
        <v>76</v>
      </c>
      <c r="H8437" t="s">
        <v>165</v>
      </c>
      <c r="I8437">
        <v>35639</v>
      </c>
      <c r="J8437">
        <v>38654</v>
      </c>
    </row>
    <row r="8438" spans="1:10" x14ac:dyDescent="0.3">
      <c r="A8438" t="s">
        <v>8565</v>
      </c>
      <c r="B8438" s="1">
        <v>45984</v>
      </c>
      <c r="C8438" t="s">
        <v>23</v>
      </c>
      <c r="D8438">
        <v>47</v>
      </c>
      <c r="E8438" t="s">
        <v>33</v>
      </c>
      <c r="F8438" t="s">
        <v>29</v>
      </c>
      <c r="G8438" t="s">
        <v>191</v>
      </c>
      <c r="H8438" t="s">
        <v>119</v>
      </c>
      <c r="I8438">
        <v>16259</v>
      </c>
      <c r="J8438">
        <v>15928</v>
      </c>
    </row>
    <row r="8439" spans="1:10" x14ac:dyDescent="0.3">
      <c r="A8439" t="s">
        <v>8566</v>
      </c>
      <c r="B8439" s="1">
        <v>45707</v>
      </c>
      <c r="C8439" t="s">
        <v>82</v>
      </c>
      <c r="D8439">
        <v>8</v>
      </c>
      <c r="E8439" t="s">
        <v>39</v>
      </c>
      <c r="F8439" t="s">
        <v>13</v>
      </c>
      <c r="G8439" t="s">
        <v>201</v>
      </c>
      <c r="H8439" t="s">
        <v>98</v>
      </c>
      <c r="I8439">
        <v>28914</v>
      </c>
      <c r="J8439">
        <v>22394</v>
      </c>
    </row>
    <row r="8440" spans="1:10" x14ac:dyDescent="0.3">
      <c r="A8440" t="s">
        <v>8567</v>
      </c>
      <c r="B8440" s="1">
        <v>45969</v>
      </c>
      <c r="C8440" t="s">
        <v>23</v>
      </c>
      <c r="D8440">
        <v>45</v>
      </c>
      <c r="E8440" t="s">
        <v>33</v>
      </c>
      <c r="F8440" t="s">
        <v>34</v>
      </c>
      <c r="G8440" t="s">
        <v>135</v>
      </c>
      <c r="H8440" t="s">
        <v>188</v>
      </c>
      <c r="I8440">
        <v>37765</v>
      </c>
      <c r="J8440">
        <v>35035</v>
      </c>
    </row>
    <row r="8441" spans="1:10" x14ac:dyDescent="0.3">
      <c r="A8441" t="s">
        <v>8568</v>
      </c>
      <c r="B8441" s="1">
        <v>45955</v>
      </c>
      <c r="C8441" t="s">
        <v>66</v>
      </c>
      <c r="D8441">
        <v>43</v>
      </c>
      <c r="E8441" t="s">
        <v>24</v>
      </c>
      <c r="F8441" t="s">
        <v>75</v>
      </c>
      <c r="G8441" t="s">
        <v>102</v>
      </c>
      <c r="H8441" t="s">
        <v>243</v>
      </c>
      <c r="I8441">
        <v>33851</v>
      </c>
      <c r="J8441">
        <v>31561</v>
      </c>
    </row>
    <row r="8442" spans="1:10" x14ac:dyDescent="0.3">
      <c r="A8442" t="s">
        <v>8569</v>
      </c>
      <c r="B8442" s="1">
        <v>45743</v>
      </c>
      <c r="C8442" t="s">
        <v>95</v>
      </c>
      <c r="D8442">
        <v>13</v>
      </c>
      <c r="E8442" t="s">
        <v>12</v>
      </c>
      <c r="F8442" t="s">
        <v>43</v>
      </c>
      <c r="G8442" t="s">
        <v>110</v>
      </c>
      <c r="H8442" t="s">
        <v>55</v>
      </c>
      <c r="I8442">
        <v>17093</v>
      </c>
      <c r="J8442">
        <v>14000</v>
      </c>
    </row>
    <row r="8443" spans="1:10" x14ac:dyDescent="0.3">
      <c r="A8443" t="s">
        <v>8570</v>
      </c>
      <c r="B8443" s="1">
        <v>45877</v>
      </c>
      <c r="C8443" t="s">
        <v>113</v>
      </c>
      <c r="D8443">
        <v>32</v>
      </c>
      <c r="E8443" t="s">
        <v>18</v>
      </c>
      <c r="F8443" t="s">
        <v>62</v>
      </c>
      <c r="G8443" t="s">
        <v>132</v>
      </c>
      <c r="H8443" t="s">
        <v>36</v>
      </c>
      <c r="I8443">
        <v>20826</v>
      </c>
      <c r="J8443">
        <v>22338</v>
      </c>
    </row>
    <row r="8444" spans="1:10" x14ac:dyDescent="0.3">
      <c r="A8444" t="s">
        <v>8571</v>
      </c>
      <c r="B8444" s="1">
        <v>45966</v>
      </c>
      <c r="C8444" t="s">
        <v>23</v>
      </c>
      <c r="D8444">
        <v>45</v>
      </c>
      <c r="E8444" t="s">
        <v>61</v>
      </c>
      <c r="F8444" t="s">
        <v>50</v>
      </c>
      <c r="G8444" t="s">
        <v>83</v>
      </c>
      <c r="H8444" t="s">
        <v>59</v>
      </c>
      <c r="I8444">
        <v>18258</v>
      </c>
      <c r="J8444">
        <v>13646</v>
      </c>
    </row>
    <row r="8445" spans="1:10" x14ac:dyDescent="0.3">
      <c r="A8445" t="s">
        <v>8572</v>
      </c>
      <c r="B8445" s="1">
        <v>45714</v>
      </c>
      <c r="C8445" t="s">
        <v>82</v>
      </c>
      <c r="D8445">
        <v>9</v>
      </c>
      <c r="E8445" t="s">
        <v>70</v>
      </c>
      <c r="F8445" t="s">
        <v>46</v>
      </c>
      <c r="G8445" t="s">
        <v>40</v>
      </c>
      <c r="H8445" t="s">
        <v>119</v>
      </c>
      <c r="I8445">
        <v>35139</v>
      </c>
      <c r="J8445">
        <v>32995</v>
      </c>
    </row>
    <row r="8446" spans="1:10" x14ac:dyDescent="0.3">
      <c r="A8446" t="s">
        <v>8573</v>
      </c>
      <c r="B8446" s="1">
        <v>45907</v>
      </c>
      <c r="C8446" t="s">
        <v>38</v>
      </c>
      <c r="D8446">
        <v>36</v>
      </c>
      <c r="E8446" t="s">
        <v>24</v>
      </c>
      <c r="F8446" t="s">
        <v>193</v>
      </c>
      <c r="G8446" t="s">
        <v>118</v>
      </c>
      <c r="H8446" t="s">
        <v>111</v>
      </c>
      <c r="I8446">
        <v>33107</v>
      </c>
      <c r="J8446">
        <v>27336</v>
      </c>
    </row>
    <row r="8447" spans="1:10" x14ac:dyDescent="0.3">
      <c r="A8447" t="s">
        <v>8574</v>
      </c>
      <c r="B8447" s="1">
        <v>45685</v>
      </c>
      <c r="C8447" t="s">
        <v>17</v>
      </c>
      <c r="D8447">
        <v>5</v>
      </c>
      <c r="E8447" t="s">
        <v>61</v>
      </c>
      <c r="F8447" t="s">
        <v>13</v>
      </c>
      <c r="G8447" t="s">
        <v>20</v>
      </c>
      <c r="H8447" t="s">
        <v>133</v>
      </c>
      <c r="I8447">
        <v>37121</v>
      </c>
      <c r="J8447">
        <v>36523</v>
      </c>
    </row>
    <row r="8448" spans="1:10" x14ac:dyDescent="0.3">
      <c r="A8448" t="s">
        <v>8575</v>
      </c>
      <c r="B8448" s="1">
        <v>45741</v>
      </c>
      <c r="C8448" t="s">
        <v>95</v>
      </c>
      <c r="D8448">
        <v>13</v>
      </c>
      <c r="E8448" t="s">
        <v>12</v>
      </c>
      <c r="F8448" t="s">
        <v>75</v>
      </c>
      <c r="G8448" t="s">
        <v>206</v>
      </c>
      <c r="H8448" t="s">
        <v>116</v>
      </c>
      <c r="I8448">
        <v>25696</v>
      </c>
      <c r="J8448">
        <v>29866</v>
      </c>
    </row>
    <row r="8449" spans="1:10" x14ac:dyDescent="0.3">
      <c r="A8449" t="s">
        <v>8576</v>
      </c>
      <c r="B8449" s="1">
        <v>45906</v>
      </c>
      <c r="C8449" t="s">
        <v>38</v>
      </c>
      <c r="D8449">
        <v>36</v>
      </c>
      <c r="E8449" t="s">
        <v>33</v>
      </c>
      <c r="F8449" t="s">
        <v>62</v>
      </c>
      <c r="G8449" t="s">
        <v>149</v>
      </c>
      <c r="H8449" t="s">
        <v>36</v>
      </c>
      <c r="I8449">
        <v>25503</v>
      </c>
      <c r="J8449">
        <v>32746</v>
      </c>
    </row>
    <row r="8450" spans="1:10" x14ac:dyDescent="0.3">
      <c r="A8450" t="s">
        <v>8577</v>
      </c>
      <c r="B8450" s="1">
        <v>45879</v>
      </c>
      <c r="C8450" t="s">
        <v>113</v>
      </c>
      <c r="D8450">
        <v>32</v>
      </c>
      <c r="E8450" t="s">
        <v>33</v>
      </c>
      <c r="F8450" t="s">
        <v>50</v>
      </c>
      <c r="G8450" t="s">
        <v>107</v>
      </c>
      <c r="H8450" t="s">
        <v>80</v>
      </c>
      <c r="I8450">
        <v>32133</v>
      </c>
      <c r="J8450">
        <v>32739</v>
      </c>
    </row>
    <row r="8451" spans="1:10" x14ac:dyDescent="0.3">
      <c r="A8451" t="s">
        <v>8578</v>
      </c>
      <c r="B8451" s="1">
        <v>45988</v>
      </c>
      <c r="C8451" t="s">
        <v>23</v>
      </c>
      <c r="D8451">
        <v>48</v>
      </c>
      <c r="E8451" t="s">
        <v>70</v>
      </c>
      <c r="F8451" t="s">
        <v>122</v>
      </c>
      <c r="G8451" t="s">
        <v>149</v>
      </c>
      <c r="H8451" t="s">
        <v>96</v>
      </c>
      <c r="I8451">
        <v>20339</v>
      </c>
      <c r="J8451">
        <v>21299</v>
      </c>
    </row>
    <row r="8452" spans="1:10" x14ac:dyDescent="0.3">
      <c r="A8452" t="s">
        <v>8579</v>
      </c>
      <c r="B8452" s="1">
        <v>45904</v>
      </c>
      <c r="C8452" t="s">
        <v>38</v>
      </c>
      <c r="D8452">
        <v>36</v>
      </c>
      <c r="E8452" t="s">
        <v>70</v>
      </c>
      <c r="F8452" t="s">
        <v>92</v>
      </c>
      <c r="G8452" t="s">
        <v>240</v>
      </c>
      <c r="H8452" t="s">
        <v>55</v>
      </c>
      <c r="I8452">
        <v>32048</v>
      </c>
      <c r="J8452">
        <v>25805</v>
      </c>
    </row>
    <row r="8453" spans="1:10" x14ac:dyDescent="0.3">
      <c r="A8453" t="s">
        <v>8580</v>
      </c>
      <c r="B8453" s="1">
        <v>45848</v>
      </c>
      <c r="C8453" t="s">
        <v>11</v>
      </c>
      <c r="D8453">
        <v>28</v>
      </c>
      <c r="E8453" t="s">
        <v>61</v>
      </c>
      <c r="F8453" t="s">
        <v>34</v>
      </c>
      <c r="G8453" t="s">
        <v>145</v>
      </c>
      <c r="H8453" t="s">
        <v>111</v>
      </c>
      <c r="I8453">
        <v>24025</v>
      </c>
      <c r="J8453">
        <v>19392</v>
      </c>
    </row>
    <row r="8454" spans="1:10" x14ac:dyDescent="0.3">
      <c r="A8454" t="s">
        <v>8581</v>
      </c>
      <c r="B8454" s="1">
        <v>45776</v>
      </c>
      <c r="C8454" t="s">
        <v>86</v>
      </c>
      <c r="D8454">
        <v>18</v>
      </c>
      <c r="E8454" t="s">
        <v>70</v>
      </c>
      <c r="F8454" t="s">
        <v>19</v>
      </c>
      <c r="G8454" t="s">
        <v>147</v>
      </c>
      <c r="H8454" t="s">
        <v>103</v>
      </c>
      <c r="I8454">
        <v>34624</v>
      </c>
      <c r="J8454">
        <v>25466</v>
      </c>
    </row>
    <row r="8455" spans="1:10" x14ac:dyDescent="0.3">
      <c r="A8455" t="s">
        <v>8582</v>
      </c>
      <c r="B8455" s="1">
        <v>45802</v>
      </c>
      <c r="C8455" t="s">
        <v>90</v>
      </c>
      <c r="D8455">
        <v>21</v>
      </c>
      <c r="E8455" t="s">
        <v>39</v>
      </c>
      <c r="F8455" t="s">
        <v>92</v>
      </c>
      <c r="G8455" t="s">
        <v>93</v>
      </c>
      <c r="H8455" t="s">
        <v>64</v>
      </c>
      <c r="I8455">
        <v>33856</v>
      </c>
      <c r="J8455">
        <v>37635</v>
      </c>
    </row>
    <row r="8456" spans="1:10" x14ac:dyDescent="0.3">
      <c r="A8456" t="s">
        <v>8583</v>
      </c>
      <c r="B8456" s="1">
        <v>45854</v>
      </c>
      <c r="C8456" t="s">
        <v>11</v>
      </c>
      <c r="D8456">
        <v>29</v>
      </c>
      <c r="E8456" t="s">
        <v>12</v>
      </c>
      <c r="F8456" t="s">
        <v>50</v>
      </c>
      <c r="G8456" t="s">
        <v>30</v>
      </c>
      <c r="H8456" t="s">
        <v>31</v>
      </c>
      <c r="I8456">
        <v>39472</v>
      </c>
      <c r="J8456">
        <v>36925</v>
      </c>
    </row>
    <row r="8457" spans="1:10" x14ac:dyDescent="0.3">
      <c r="A8457" t="s">
        <v>8584</v>
      </c>
      <c r="B8457" s="1">
        <v>45762</v>
      </c>
      <c r="C8457" t="s">
        <v>86</v>
      </c>
      <c r="D8457">
        <v>16</v>
      </c>
      <c r="E8457" t="s">
        <v>18</v>
      </c>
      <c r="F8457" t="s">
        <v>43</v>
      </c>
      <c r="G8457" t="s">
        <v>54</v>
      </c>
      <c r="H8457" t="s">
        <v>151</v>
      </c>
      <c r="I8457">
        <v>16852</v>
      </c>
      <c r="J8457">
        <v>14093</v>
      </c>
    </row>
    <row r="8458" spans="1:10" x14ac:dyDescent="0.3">
      <c r="A8458" t="s">
        <v>8585</v>
      </c>
      <c r="B8458" s="1">
        <v>45870</v>
      </c>
      <c r="C8458" t="s">
        <v>113</v>
      </c>
      <c r="D8458">
        <v>31</v>
      </c>
      <c r="E8458" t="s">
        <v>24</v>
      </c>
      <c r="F8458" t="s">
        <v>101</v>
      </c>
      <c r="G8458" t="s">
        <v>72</v>
      </c>
      <c r="H8458" t="s">
        <v>157</v>
      </c>
      <c r="I8458">
        <v>20593</v>
      </c>
      <c r="J8458">
        <v>18577</v>
      </c>
    </row>
    <row r="8459" spans="1:10" x14ac:dyDescent="0.3">
      <c r="A8459" t="s">
        <v>8586</v>
      </c>
      <c r="B8459" s="1">
        <v>45947</v>
      </c>
      <c r="C8459" t="s">
        <v>66</v>
      </c>
      <c r="D8459">
        <v>42</v>
      </c>
      <c r="E8459" t="s">
        <v>70</v>
      </c>
      <c r="F8459" t="s">
        <v>75</v>
      </c>
      <c r="G8459" t="s">
        <v>76</v>
      </c>
      <c r="H8459" t="s">
        <v>163</v>
      </c>
      <c r="I8459">
        <v>15490</v>
      </c>
      <c r="J8459">
        <v>11975</v>
      </c>
    </row>
    <row r="8460" spans="1:10" x14ac:dyDescent="0.3">
      <c r="A8460" t="s">
        <v>8587</v>
      </c>
      <c r="B8460" s="1">
        <v>45675</v>
      </c>
      <c r="C8460" t="s">
        <v>17</v>
      </c>
      <c r="D8460">
        <v>3</v>
      </c>
      <c r="E8460" t="s">
        <v>24</v>
      </c>
      <c r="F8460" t="s">
        <v>62</v>
      </c>
      <c r="G8460" t="s">
        <v>191</v>
      </c>
      <c r="H8460" t="s">
        <v>55</v>
      </c>
      <c r="I8460">
        <v>15147</v>
      </c>
      <c r="J8460">
        <v>10613</v>
      </c>
    </row>
    <row r="8461" spans="1:10" x14ac:dyDescent="0.3">
      <c r="A8461" t="s">
        <v>8588</v>
      </c>
      <c r="B8461" s="1">
        <v>45967</v>
      </c>
      <c r="C8461" t="s">
        <v>23</v>
      </c>
      <c r="D8461">
        <v>45</v>
      </c>
      <c r="E8461" t="s">
        <v>39</v>
      </c>
      <c r="F8461" t="s">
        <v>101</v>
      </c>
      <c r="G8461" t="s">
        <v>26</v>
      </c>
      <c r="H8461" t="s">
        <v>64</v>
      </c>
      <c r="I8461">
        <v>31502</v>
      </c>
      <c r="J8461">
        <v>33510</v>
      </c>
    </row>
    <row r="8462" spans="1:10" x14ac:dyDescent="0.3">
      <c r="A8462" t="s">
        <v>8589</v>
      </c>
      <c r="B8462" s="1">
        <v>45706</v>
      </c>
      <c r="C8462" t="s">
        <v>82</v>
      </c>
      <c r="D8462">
        <v>8</v>
      </c>
      <c r="E8462" t="s">
        <v>18</v>
      </c>
      <c r="F8462" t="s">
        <v>57</v>
      </c>
      <c r="G8462" t="s">
        <v>141</v>
      </c>
      <c r="H8462" t="s">
        <v>64</v>
      </c>
      <c r="I8462">
        <v>28160</v>
      </c>
      <c r="J8462">
        <v>28088</v>
      </c>
    </row>
    <row r="8463" spans="1:10" x14ac:dyDescent="0.3">
      <c r="A8463" t="s">
        <v>8590</v>
      </c>
      <c r="B8463" s="1">
        <v>45763</v>
      </c>
      <c r="C8463" t="s">
        <v>86</v>
      </c>
      <c r="D8463">
        <v>16</v>
      </c>
      <c r="E8463" t="s">
        <v>33</v>
      </c>
      <c r="F8463" t="s">
        <v>62</v>
      </c>
      <c r="G8463" t="s">
        <v>224</v>
      </c>
      <c r="H8463" t="s">
        <v>133</v>
      </c>
      <c r="I8463">
        <v>20158</v>
      </c>
      <c r="J8463">
        <v>20671</v>
      </c>
    </row>
    <row r="8464" spans="1:10" x14ac:dyDescent="0.3">
      <c r="A8464" t="s">
        <v>8591</v>
      </c>
      <c r="B8464" s="1">
        <v>45811</v>
      </c>
      <c r="C8464" t="s">
        <v>74</v>
      </c>
      <c r="D8464">
        <v>23</v>
      </c>
      <c r="E8464" t="s">
        <v>12</v>
      </c>
      <c r="F8464" t="s">
        <v>75</v>
      </c>
      <c r="G8464" t="s">
        <v>118</v>
      </c>
      <c r="H8464" t="s">
        <v>98</v>
      </c>
      <c r="I8464">
        <v>17176</v>
      </c>
      <c r="J8464">
        <v>17429</v>
      </c>
    </row>
    <row r="8465" spans="1:10" x14ac:dyDescent="0.3">
      <c r="A8465" t="s">
        <v>8592</v>
      </c>
      <c r="B8465" s="1">
        <v>45684</v>
      </c>
      <c r="C8465" t="s">
        <v>17</v>
      </c>
      <c r="D8465">
        <v>5</v>
      </c>
      <c r="E8465" t="s">
        <v>12</v>
      </c>
      <c r="F8465" t="s">
        <v>62</v>
      </c>
      <c r="G8465" t="s">
        <v>234</v>
      </c>
      <c r="H8465" t="s">
        <v>48</v>
      </c>
      <c r="I8465">
        <v>35225</v>
      </c>
      <c r="J8465">
        <v>40218</v>
      </c>
    </row>
    <row r="8466" spans="1:10" x14ac:dyDescent="0.3">
      <c r="A8466" t="s">
        <v>8593</v>
      </c>
      <c r="B8466" s="1">
        <v>45928</v>
      </c>
      <c r="C8466" t="s">
        <v>38</v>
      </c>
      <c r="D8466">
        <v>39</v>
      </c>
      <c r="E8466" t="s">
        <v>18</v>
      </c>
      <c r="F8466" t="s">
        <v>34</v>
      </c>
      <c r="G8466" t="s">
        <v>88</v>
      </c>
      <c r="H8466" t="s">
        <v>111</v>
      </c>
      <c r="I8466">
        <v>20441</v>
      </c>
      <c r="J8466">
        <v>19520</v>
      </c>
    </row>
    <row r="8467" spans="1:10" x14ac:dyDescent="0.3">
      <c r="A8467" t="s">
        <v>8594</v>
      </c>
      <c r="B8467" s="1">
        <v>45899</v>
      </c>
      <c r="C8467" t="s">
        <v>113</v>
      </c>
      <c r="D8467">
        <v>35</v>
      </c>
      <c r="E8467" t="s">
        <v>70</v>
      </c>
      <c r="F8467" t="s">
        <v>122</v>
      </c>
      <c r="G8467" t="s">
        <v>137</v>
      </c>
      <c r="H8467" t="s">
        <v>111</v>
      </c>
      <c r="I8467">
        <v>35998</v>
      </c>
      <c r="J8467">
        <v>41236</v>
      </c>
    </row>
    <row r="8468" spans="1:10" x14ac:dyDescent="0.3">
      <c r="A8468" t="s">
        <v>8595</v>
      </c>
      <c r="B8468" s="1">
        <v>45780</v>
      </c>
      <c r="C8468" t="s">
        <v>90</v>
      </c>
      <c r="D8468">
        <v>18</v>
      </c>
      <c r="E8468" t="s">
        <v>33</v>
      </c>
      <c r="F8468" t="s">
        <v>140</v>
      </c>
      <c r="G8468" t="s">
        <v>135</v>
      </c>
      <c r="H8468" t="s">
        <v>52</v>
      </c>
      <c r="I8468">
        <v>33492</v>
      </c>
      <c r="J8468">
        <v>33226</v>
      </c>
    </row>
    <row r="8469" spans="1:10" x14ac:dyDescent="0.3">
      <c r="A8469" t="s">
        <v>8596</v>
      </c>
      <c r="B8469" s="1">
        <v>45896</v>
      </c>
      <c r="C8469" t="s">
        <v>113</v>
      </c>
      <c r="D8469">
        <v>35</v>
      </c>
      <c r="E8469" t="s">
        <v>61</v>
      </c>
      <c r="F8469" t="s">
        <v>25</v>
      </c>
      <c r="G8469" t="s">
        <v>35</v>
      </c>
      <c r="H8469" t="s">
        <v>36</v>
      </c>
      <c r="I8469">
        <v>29937</v>
      </c>
      <c r="J8469">
        <v>28828</v>
      </c>
    </row>
    <row r="8470" spans="1:10" x14ac:dyDescent="0.3">
      <c r="A8470" t="s">
        <v>8597</v>
      </c>
      <c r="B8470" s="1">
        <v>45930</v>
      </c>
      <c r="C8470" t="s">
        <v>38</v>
      </c>
      <c r="D8470">
        <v>40</v>
      </c>
      <c r="E8470" t="s">
        <v>39</v>
      </c>
      <c r="F8470" t="s">
        <v>114</v>
      </c>
      <c r="G8470" t="s">
        <v>67</v>
      </c>
      <c r="H8470" t="s">
        <v>64</v>
      </c>
      <c r="I8470">
        <v>17201</v>
      </c>
      <c r="J8470">
        <v>21779</v>
      </c>
    </row>
    <row r="8471" spans="1:10" x14ac:dyDescent="0.3">
      <c r="A8471" t="s">
        <v>8598</v>
      </c>
      <c r="B8471" s="1">
        <v>45803</v>
      </c>
      <c r="C8471" t="s">
        <v>90</v>
      </c>
      <c r="D8471">
        <v>22</v>
      </c>
      <c r="E8471" t="s">
        <v>70</v>
      </c>
      <c r="F8471" t="s">
        <v>19</v>
      </c>
      <c r="G8471" t="s">
        <v>14</v>
      </c>
      <c r="H8471" t="s">
        <v>103</v>
      </c>
      <c r="I8471">
        <v>30750</v>
      </c>
      <c r="J8471">
        <v>23181</v>
      </c>
    </row>
    <row r="8472" spans="1:10" x14ac:dyDescent="0.3">
      <c r="A8472" t="s">
        <v>8599</v>
      </c>
      <c r="B8472" s="1">
        <v>45909</v>
      </c>
      <c r="C8472" t="s">
        <v>38</v>
      </c>
      <c r="D8472">
        <v>37</v>
      </c>
      <c r="E8472" t="s">
        <v>18</v>
      </c>
      <c r="F8472" t="s">
        <v>34</v>
      </c>
      <c r="G8472" t="s">
        <v>141</v>
      </c>
      <c r="H8472" t="s">
        <v>96</v>
      </c>
      <c r="I8472">
        <v>29962</v>
      </c>
      <c r="J8472">
        <v>26815</v>
      </c>
    </row>
    <row r="8473" spans="1:10" x14ac:dyDescent="0.3">
      <c r="A8473" t="s">
        <v>8600</v>
      </c>
      <c r="B8473" s="1">
        <v>45747</v>
      </c>
      <c r="C8473" t="s">
        <v>95</v>
      </c>
      <c r="D8473">
        <v>14</v>
      </c>
      <c r="E8473" t="s">
        <v>24</v>
      </c>
      <c r="F8473" t="s">
        <v>78</v>
      </c>
      <c r="G8473" t="s">
        <v>63</v>
      </c>
      <c r="H8473" t="s">
        <v>68</v>
      </c>
      <c r="I8473">
        <v>18249</v>
      </c>
      <c r="J8473">
        <v>22817</v>
      </c>
    </row>
    <row r="8474" spans="1:10" x14ac:dyDescent="0.3">
      <c r="A8474" t="s">
        <v>8601</v>
      </c>
      <c r="B8474" s="1">
        <v>45865</v>
      </c>
      <c r="C8474" t="s">
        <v>11</v>
      </c>
      <c r="D8474">
        <v>30</v>
      </c>
      <c r="E8474" t="s">
        <v>24</v>
      </c>
      <c r="F8474" t="s">
        <v>57</v>
      </c>
      <c r="G8474" t="s">
        <v>324</v>
      </c>
      <c r="H8474" t="s">
        <v>211</v>
      </c>
      <c r="I8474">
        <v>22877</v>
      </c>
      <c r="J8474">
        <v>24088</v>
      </c>
    </row>
    <row r="8475" spans="1:10" x14ac:dyDescent="0.3">
      <c r="A8475" t="s">
        <v>8602</v>
      </c>
      <c r="B8475" s="1">
        <v>45731</v>
      </c>
      <c r="C8475" t="s">
        <v>95</v>
      </c>
      <c r="D8475">
        <v>11</v>
      </c>
      <c r="E8475" t="s">
        <v>24</v>
      </c>
      <c r="F8475" t="s">
        <v>34</v>
      </c>
      <c r="G8475" t="s">
        <v>83</v>
      </c>
      <c r="H8475" t="s">
        <v>188</v>
      </c>
      <c r="I8475">
        <v>31335</v>
      </c>
      <c r="J8475">
        <v>26329</v>
      </c>
    </row>
    <row r="8476" spans="1:10" x14ac:dyDescent="0.3">
      <c r="A8476" t="s">
        <v>8603</v>
      </c>
      <c r="B8476" s="1">
        <v>45693</v>
      </c>
      <c r="C8476" t="s">
        <v>82</v>
      </c>
      <c r="D8476">
        <v>6</v>
      </c>
      <c r="E8476" t="s">
        <v>33</v>
      </c>
      <c r="F8476" t="s">
        <v>114</v>
      </c>
      <c r="G8476" t="s">
        <v>76</v>
      </c>
      <c r="H8476" t="s">
        <v>188</v>
      </c>
      <c r="I8476">
        <v>28961</v>
      </c>
      <c r="J8476">
        <v>24722</v>
      </c>
    </row>
    <row r="8477" spans="1:10" x14ac:dyDescent="0.3">
      <c r="A8477" t="s">
        <v>8604</v>
      </c>
      <c r="B8477" s="1">
        <v>45995</v>
      </c>
      <c r="C8477" t="s">
        <v>100</v>
      </c>
      <c r="D8477">
        <v>49</v>
      </c>
      <c r="E8477" t="s">
        <v>18</v>
      </c>
      <c r="F8477" t="s">
        <v>46</v>
      </c>
      <c r="G8477" t="s">
        <v>147</v>
      </c>
      <c r="H8477" t="s">
        <v>188</v>
      </c>
      <c r="I8477">
        <v>16777</v>
      </c>
      <c r="J8477">
        <v>17633</v>
      </c>
    </row>
    <row r="8478" spans="1:10" x14ac:dyDescent="0.3">
      <c r="A8478" t="s">
        <v>8605</v>
      </c>
      <c r="B8478" s="1">
        <v>45719</v>
      </c>
      <c r="C8478" t="s">
        <v>95</v>
      </c>
      <c r="D8478">
        <v>10</v>
      </c>
      <c r="E8478" t="s">
        <v>61</v>
      </c>
      <c r="F8478" t="s">
        <v>140</v>
      </c>
      <c r="G8478" t="s">
        <v>67</v>
      </c>
      <c r="H8478" t="s">
        <v>36</v>
      </c>
      <c r="I8478">
        <v>16654</v>
      </c>
      <c r="J8478">
        <v>20891</v>
      </c>
    </row>
    <row r="8479" spans="1:10" x14ac:dyDescent="0.3">
      <c r="A8479" t="s">
        <v>8606</v>
      </c>
      <c r="B8479" s="1">
        <v>45833</v>
      </c>
      <c r="C8479" t="s">
        <v>74</v>
      </c>
      <c r="D8479">
        <v>26</v>
      </c>
      <c r="E8479" t="s">
        <v>39</v>
      </c>
      <c r="F8479" t="s">
        <v>19</v>
      </c>
      <c r="G8479" t="s">
        <v>88</v>
      </c>
      <c r="H8479" t="s">
        <v>98</v>
      </c>
      <c r="I8479">
        <v>35290</v>
      </c>
      <c r="J8479">
        <v>25447</v>
      </c>
    </row>
    <row r="8480" spans="1:10" x14ac:dyDescent="0.3">
      <c r="A8480" t="s">
        <v>8607</v>
      </c>
      <c r="B8480" s="1">
        <v>45981</v>
      </c>
      <c r="C8480" t="s">
        <v>23</v>
      </c>
      <c r="D8480">
        <v>47</v>
      </c>
      <c r="E8480" t="s">
        <v>12</v>
      </c>
      <c r="F8480" t="s">
        <v>87</v>
      </c>
      <c r="G8480" t="s">
        <v>126</v>
      </c>
      <c r="H8480" t="s">
        <v>36</v>
      </c>
      <c r="I8480">
        <v>28568</v>
      </c>
      <c r="J8480">
        <v>26472</v>
      </c>
    </row>
    <row r="8481" spans="1:10" x14ac:dyDescent="0.3">
      <c r="A8481" t="s">
        <v>8608</v>
      </c>
      <c r="B8481" s="1">
        <v>45750</v>
      </c>
      <c r="C8481" t="s">
        <v>86</v>
      </c>
      <c r="D8481">
        <v>14</v>
      </c>
      <c r="E8481" t="s">
        <v>12</v>
      </c>
      <c r="F8481" t="s">
        <v>46</v>
      </c>
      <c r="G8481" t="s">
        <v>107</v>
      </c>
      <c r="H8481" t="s">
        <v>27</v>
      </c>
      <c r="I8481">
        <v>18803</v>
      </c>
      <c r="J8481">
        <v>22334</v>
      </c>
    </row>
    <row r="8482" spans="1:10" x14ac:dyDescent="0.3">
      <c r="A8482" t="s">
        <v>8609</v>
      </c>
      <c r="B8482" s="1">
        <v>45976</v>
      </c>
      <c r="C8482" t="s">
        <v>23</v>
      </c>
      <c r="D8482">
        <v>46</v>
      </c>
      <c r="E8482" t="s">
        <v>70</v>
      </c>
      <c r="F8482" t="s">
        <v>50</v>
      </c>
      <c r="G8482" t="s">
        <v>128</v>
      </c>
      <c r="H8482" t="s">
        <v>165</v>
      </c>
      <c r="I8482">
        <v>23905</v>
      </c>
      <c r="J8482">
        <v>26558</v>
      </c>
    </row>
    <row r="8483" spans="1:10" x14ac:dyDescent="0.3">
      <c r="A8483" t="s">
        <v>8610</v>
      </c>
      <c r="B8483" s="1">
        <v>45763</v>
      </c>
      <c r="C8483" t="s">
        <v>86</v>
      </c>
      <c r="D8483">
        <v>16</v>
      </c>
      <c r="E8483" t="s">
        <v>33</v>
      </c>
      <c r="F8483" t="s">
        <v>29</v>
      </c>
      <c r="G8483" t="s">
        <v>130</v>
      </c>
      <c r="H8483" t="s">
        <v>243</v>
      </c>
      <c r="I8483">
        <v>17582</v>
      </c>
      <c r="J8483">
        <v>15220</v>
      </c>
    </row>
    <row r="8484" spans="1:10" x14ac:dyDescent="0.3">
      <c r="A8484" t="s">
        <v>8611</v>
      </c>
      <c r="B8484" s="1">
        <v>45935</v>
      </c>
      <c r="C8484" t="s">
        <v>66</v>
      </c>
      <c r="D8484">
        <v>40</v>
      </c>
      <c r="E8484" t="s">
        <v>18</v>
      </c>
      <c r="F8484" t="s">
        <v>92</v>
      </c>
      <c r="G8484" t="s">
        <v>326</v>
      </c>
      <c r="H8484" t="s">
        <v>15</v>
      </c>
      <c r="I8484">
        <v>39679</v>
      </c>
      <c r="J8484">
        <v>27927</v>
      </c>
    </row>
    <row r="8485" spans="1:10" x14ac:dyDescent="0.3">
      <c r="A8485" t="s">
        <v>8612</v>
      </c>
      <c r="B8485" s="1">
        <v>45827</v>
      </c>
      <c r="C8485" t="s">
        <v>74</v>
      </c>
      <c r="D8485">
        <v>25</v>
      </c>
      <c r="E8485" t="s">
        <v>24</v>
      </c>
      <c r="F8485" t="s">
        <v>57</v>
      </c>
      <c r="G8485" t="s">
        <v>182</v>
      </c>
      <c r="H8485" t="s">
        <v>163</v>
      </c>
      <c r="I8485">
        <v>35827</v>
      </c>
      <c r="J8485">
        <v>42819</v>
      </c>
    </row>
    <row r="8486" spans="1:10" x14ac:dyDescent="0.3">
      <c r="A8486" t="s">
        <v>8613</v>
      </c>
      <c r="B8486" s="1">
        <v>45712</v>
      </c>
      <c r="C8486" t="s">
        <v>82</v>
      </c>
      <c r="D8486">
        <v>9</v>
      </c>
      <c r="E8486" t="s">
        <v>70</v>
      </c>
      <c r="F8486" t="s">
        <v>101</v>
      </c>
      <c r="G8486" t="s">
        <v>240</v>
      </c>
      <c r="H8486" t="s">
        <v>31</v>
      </c>
      <c r="I8486">
        <v>26779</v>
      </c>
      <c r="J8486">
        <v>24699</v>
      </c>
    </row>
    <row r="8487" spans="1:10" x14ac:dyDescent="0.3">
      <c r="A8487" t="s">
        <v>8614</v>
      </c>
      <c r="B8487" s="1">
        <v>45991</v>
      </c>
      <c r="C8487" t="s">
        <v>23</v>
      </c>
      <c r="D8487">
        <v>48</v>
      </c>
      <c r="E8487" t="s">
        <v>12</v>
      </c>
      <c r="F8487" t="s">
        <v>29</v>
      </c>
      <c r="G8487" t="s">
        <v>107</v>
      </c>
      <c r="H8487" t="s">
        <v>80</v>
      </c>
      <c r="I8487">
        <v>28421</v>
      </c>
      <c r="J8487">
        <v>33230</v>
      </c>
    </row>
    <row r="8488" spans="1:10" x14ac:dyDescent="0.3">
      <c r="A8488" t="s">
        <v>8615</v>
      </c>
      <c r="B8488" s="1">
        <v>45778</v>
      </c>
      <c r="C8488" t="s">
        <v>90</v>
      </c>
      <c r="D8488">
        <v>18</v>
      </c>
      <c r="E8488" t="s">
        <v>24</v>
      </c>
      <c r="F8488" t="s">
        <v>13</v>
      </c>
      <c r="G8488" t="s">
        <v>137</v>
      </c>
      <c r="H8488" t="s">
        <v>84</v>
      </c>
      <c r="I8488">
        <v>19386</v>
      </c>
      <c r="J8488">
        <v>23615</v>
      </c>
    </row>
    <row r="8489" spans="1:10" x14ac:dyDescent="0.3">
      <c r="A8489" t="s">
        <v>8616</v>
      </c>
      <c r="B8489" s="1">
        <v>45876</v>
      </c>
      <c r="C8489" t="s">
        <v>113</v>
      </c>
      <c r="D8489">
        <v>32</v>
      </c>
      <c r="E8489" t="s">
        <v>24</v>
      </c>
      <c r="F8489" t="s">
        <v>101</v>
      </c>
      <c r="G8489" t="s">
        <v>51</v>
      </c>
      <c r="H8489" t="s">
        <v>52</v>
      </c>
      <c r="I8489">
        <v>18193</v>
      </c>
      <c r="J8489">
        <v>23313</v>
      </c>
    </row>
    <row r="8490" spans="1:10" x14ac:dyDescent="0.3">
      <c r="A8490" t="s">
        <v>8617</v>
      </c>
      <c r="B8490" s="1">
        <v>46015</v>
      </c>
      <c r="C8490" t="s">
        <v>100</v>
      </c>
      <c r="D8490">
        <v>52</v>
      </c>
      <c r="E8490" t="s">
        <v>18</v>
      </c>
      <c r="F8490" t="s">
        <v>25</v>
      </c>
      <c r="G8490" t="s">
        <v>47</v>
      </c>
      <c r="H8490" t="s">
        <v>165</v>
      </c>
      <c r="I8490">
        <v>18684</v>
      </c>
      <c r="J8490">
        <v>17022</v>
      </c>
    </row>
    <row r="8491" spans="1:10" x14ac:dyDescent="0.3">
      <c r="A8491" t="s">
        <v>8618</v>
      </c>
      <c r="B8491" s="1">
        <v>45883</v>
      </c>
      <c r="C8491" t="s">
        <v>113</v>
      </c>
      <c r="D8491">
        <v>33</v>
      </c>
      <c r="E8491" t="s">
        <v>18</v>
      </c>
      <c r="F8491" t="s">
        <v>122</v>
      </c>
      <c r="G8491" t="s">
        <v>326</v>
      </c>
      <c r="H8491" t="s">
        <v>123</v>
      </c>
      <c r="I8491">
        <v>28795</v>
      </c>
      <c r="J8491">
        <v>28056</v>
      </c>
    </row>
    <row r="8492" spans="1:10" x14ac:dyDescent="0.3">
      <c r="A8492" t="s">
        <v>8619</v>
      </c>
      <c r="B8492" s="1">
        <v>45685</v>
      </c>
      <c r="C8492" t="s">
        <v>17</v>
      </c>
      <c r="D8492">
        <v>5</v>
      </c>
      <c r="E8492" t="s">
        <v>33</v>
      </c>
      <c r="F8492" t="s">
        <v>114</v>
      </c>
      <c r="G8492" t="s">
        <v>182</v>
      </c>
      <c r="H8492" t="s">
        <v>64</v>
      </c>
      <c r="I8492">
        <v>22861</v>
      </c>
      <c r="J8492">
        <v>18864</v>
      </c>
    </row>
    <row r="8493" spans="1:10" x14ac:dyDescent="0.3">
      <c r="A8493" t="s">
        <v>8620</v>
      </c>
      <c r="B8493" s="1">
        <v>45660</v>
      </c>
      <c r="C8493" t="s">
        <v>17</v>
      </c>
      <c r="D8493">
        <v>1</v>
      </c>
      <c r="E8493" t="s">
        <v>24</v>
      </c>
      <c r="F8493" t="s">
        <v>19</v>
      </c>
      <c r="G8493" t="s">
        <v>137</v>
      </c>
      <c r="H8493" t="s">
        <v>59</v>
      </c>
      <c r="I8493">
        <v>22308</v>
      </c>
      <c r="J8493">
        <v>28473</v>
      </c>
    </row>
    <row r="8494" spans="1:10" x14ac:dyDescent="0.3">
      <c r="A8494" t="s">
        <v>8621</v>
      </c>
      <c r="B8494" s="1">
        <v>45801</v>
      </c>
      <c r="C8494" t="s">
        <v>90</v>
      </c>
      <c r="D8494">
        <v>21</v>
      </c>
      <c r="E8494" t="s">
        <v>39</v>
      </c>
      <c r="F8494" t="s">
        <v>34</v>
      </c>
      <c r="G8494" t="s">
        <v>20</v>
      </c>
      <c r="H8494" t="s">
        <v>31</v>
      </c>
      <c r="I8494">
        <v>20452</v>
      </c>
      <c r="J8494">
        <v>26505</v>
      </c>
    </row>
    <row r="8495" spans="1:10" x14ac:dyDescent="0.3">
      <c r="A8495" t="s">
        <v>8622</v>
      </c>
      <c r="B8495" s="1">
        <v>45979</v>
      </c>
      <c r="C8495" t="s">
        <v>23</v>
      </c>
      <c r="D8495">
        <v>47</v>
      </c>
      <c r="E8495" t="s">
        <v>33</v>
      </c>
      <c r="F8495" t="s">
        <v>140</v>
      </c>
      <c r="G8495" t="s">
        <v>35</v>
      </c>
      <c r="H8495" t="s">
        <v>59</v>
      </c>
      <c r="I8495">
        <v>36950</v>
      </c>
      <c r="J8495">
        <v>31182</v>
      </c>
    </row>
    <row r="8496" spans="1:10" x14ac:dyDescent="0.3">
      <c r="A8496" t="s">
        <v>8623</v>
      </c>
      <c r="B8496" s="1">
        <v>45977</v>
      </c>
      <c r="C8496" t="s">
        <v>23</v>
      </c>
      <c r="D8496">
        <v>46</v>
      </c>
      <c r="E8496" t="s">
        <v>24</v>
      </c>
      <c r="F8496" t="s">
        <v>50</v>
      </c>
      <c r="G8496" t="s">
        <v>324</v>
      </c>
      <c r="H8496" t="s">
        <v>15</v>
      </c>
      <c r="I8496">
        <v>17478</v>
      </c>
      <c r="J8496">
        <v>14205</v>
      </c>
    </row>
    <row r="8497" spans="1:10" x14ac:dyDescent="0.3">
      <c r="A8497" t="s">
        <v>8624</v>
      </c>
      <c r="B8497" s="1">
        <v>45717</v>
      </c>
      <c r="C8497" t="s">
        <v>95</v>
      </c>
      <c r="D8497">
        <v>9</v>
      </c>
      <c r="E8497" t="s">
        <v>18</v>
      </c>
      <c r="F8497" t="s">
        <v>87</v>
      </c>
      <c r="G8497" t="s">
        <v>30</v>
      </c>
      <c r="H8497" t="s">
        <v>68</v>
      </c>
      <c r="I8497">
        <v>25259</v>
      </c>
      <c r="J8497">
        <v>32832</v>
      </c>
    </row>
    <row r="8498" spans="1:10" x14ac:dyDescent="0.3">
      <c r="A8498" t="s">
        <v>8625</v>
      </c>
      <c r="B8498" s="1">
        <v>45658</v>
      </c>
      <c r="C8498" t="s">
        <v>17</v>
      </c>
      <c r="D8498">
        <v>1</v>
      </c>
      <c r="E8498" t="s">
        <v>61</v>
      </c>
      <c r="F8498" t="s">
        <v>34</v>
      </c>
      <c r="G8498" t="s">
        <v>20</v>
      </c>
      <c r="H8498" t="s">
        <v>188</v>
      </c>
      <c r="I8498">
        <v>21961</v>
      </c>
      <c r="J8498">
        <v>18769</v>
      </c>
    </row>
    <row r="8499" spans="1:10" x14ac:dyDescent="0.3">
      <c r="A8499" t="s">
        <v>8626</v>
      </c>
      <c r="B8499" s="1">
        <v>45762</v>
      </c>
      <c r="C8499" t="s">
        <v>86</v>
      </c>
      <c r="D8499">
        <v>16</v>
      </c>
      <c r="E8499" t="s">
        <v>24</v>
      </c>
      <c r="F8499" t="s">
        <v>13</v>
      </c>
      <c r="G8499" t="s">
        <v>171</v>
      </c>
      <c r="H8499" t="s">
        <v>98</v>
      </c>
      <c r="I8499">
        <v>39530</v>
      </c>
      <c r="J8499">
        <v>29433</v>
      </c>
    </row>
    <row r="8500" spans="1:10" x14ac:dyDescent="0.3">
      <c r="A8500" t="s">
        <v>8627</v>
      </c>
      <c r="B8500" s="1">
        <v>45860</v>
      </c>
      <c r="C8500" t="s">
        <v>11</v>
      </c>
      <c r="D8500">
        <v>30</v>
      </c>
      <c r="E8500" t="s">
        <v>70</v>
      </c>
      <c r="F8500" t="s">
        <v>140</v>
      </c>
      <c r="G8500" t="s">
        <v>44</v>
      </c>
      <c r="H8500" t="s">
        <v>165</v>
      </c>
      <c r="I8500">
        <v>18260</v>
      </c>
      <c r="J8500">
        <v>21245</v>
      </c>
    </row>
    <row r="8501" spans="1:10" x14ac:dyDescent="0.3">
      <c r="A8501" t="s">
        <v>8628</v>
      </c>
      <c r="B8501" s="1">
        <v>45697</v>
      </c>
      <c r="C8501" t="s">
        <v>82</v>
      </c>
      <c r="D8501">
        <v>6</v>
      </c>
      <c r="E8501" t="s">
        <v>39</v>
      </c>
      <c r="F8501" t="s">
        <v>114</v>
      </c>
      <c r="G8501" t="s">
        <v>206</v>
      </c>
      <c r="H8501" t="s">
        <v>48</v>
      </c>
      <c r="I8501">
        <v>18614</v>
      </c>
      <c r="J8501">
        <v>14390</v>
      </c>
    </row>
    <row r="8502" spans="1:10" x14ac:dyDescent="0.3">
      <c r="A8502" t="s">
        <v>8629</v>
      </c>
      <c r="B8502" s="1">
        <v>46022</v>
      </c>
      <c r="C8502" t="s">
        <v>100</v>
      </c>
      <c r="D8502">
        <v>1</v>
      </c>
      <c r="E8502" t="s">
        <v>33</v>
      </c>
      <c r="F8502" t="s">
        <v>50</v>
      </c>
      <c r="G8502" t="s">
        <v>126</v>
      </c>
      <c r="H8502" t="s">
        <v>55</v>
      </c>
      <c r="I8502">
        <v>27219</v>
      </c>
      <c r="J8502">
        <v>31576</v>
      </c>
    </row>
    <row r="8503" spans="1:10" x14ac:dyDescent="0.3">
      <c r="A8503" t="s">
        <v>8630</v>
      </c>
      <c r="B8503" s="1">
        <v>45718</v>
      </c>
      <c r="C8503" t="s">
        <v>95</v>
      </c>
      <c r="D8503">
        <v>9</v>
      </c>
      <c r="E8503" t="s">
        <v>70</v>
      </c>
      <c r="F8503" t="s">
        <v>114</v>
      </c>
      <c r="G8503" t="s">
        <v>30</v>
      </c>
      <c r="H8503" t="s">
        <v>84</v>
      </c>
      <c r="I8503">
        <v>39958</v>
      </c>
      <c r="J8503">
        <v>29513</v>
      </c>
    </row>
    <row r="8504" spans="1:10" x14ac:dyDescent="0.3">
      <c r="A8504" t="s">
        <v>8631</v>
      </c>
      <c r="B8504" s="1">
        <v>45839</v>
      </c>
      <c r="C8504" t="s">
        <v>11</v>
      </c>
      <c r="D8504">
        <v>27</v>
      </c>
      <c r="E8504" t="s">
        <v>24</v>
      </c>
      <c r="F8504" t="s">
        <v>122</v>
      </c>
      <c r="G8504" t="s">
        <v>126</v>
      </c>
      <c r="H8504" t="s">
        <v>211</v>
      </c>
      <c r="I8504">
        <v>27153</v>
      </c>
      <c r="J8504">
        <v>21996</v>
      </c>
    </row>
    <row r="8505" spans="1:10" x14ac:dyDescent="0.3">
      <c r="A8505" t="s">
        <v>8632</v>
      </c>
      <c r="B8505" s="1">
        <v>45713</v>
      </c>
      <c r="C8505" t="s">
        <v>82</v>
      </c>
      <c r="D8505">
        <v>9</v>
      </c>
      <c r="E8505" t="s">
        <v>61</v>
      </c>
      <c r="F8505" t="s">
        <v>13</v>
      </c>
      <c r="G8505" t="s">
        <v>35</v>
      </c>
      <c r="H8505" t="s">
        <v>103</v>
      </c>
      <c r="I8505">
        <v>16316</v>
      </c>
      <c r="J8505">
        <v>16573</v>
      </c>
    </row>
    <row r="8506" spans="1:10" x14ac:dyDescent="0.3">
      <c r="A8506" t="s">
        <v>8633</v>
      </c>
      <c r="B8506" s="1">
        <v>45934</v>
      </c>
      <c r="C8506" t="s">
        <v>66</v>
      </c>
      <c r="D8506">
        <v>40</v>
      </c>
      <c r="E8506" t="s">
        <v>39</v>
      </c>
      <c r="F8506" t="s">
        <v>57</v>
      </c>
      <c r="G8506" t="s">
        <v>58</v>
      </c>
      <c r="H8506" t="s">
        <v>119</v>
      </c>
      <c r="I8506">
        <v>18709</v>
      </c>
      <c r="J8506">
        <v>18981</v>
      </c>
    </row>
    <row r="8507" spans="1:10" x14ac:dyDescent="0.3">
      <c r="A8507" t="s">
        <v>8634</v>
      </c>
      <c r="B8507" s="1">
        <v>45730</v>
      </c>
      <c r="C8507" t="s">
        <v>95</v>
      </c>
      <c r="D8507">
        <v>11</v>
      </c>
      <c r="E8507" t="s">
        <v>33</v>
      </c>
      <c r="F8507" t="s">
        <v>46</v>
      </c>
      <c r="G8507" t="s">
        <v>58</v>
      </c>
      <c r="H8507" t="s">
        <v>15</v>
      </c>
      <c r="I8507">
        <v>29871</v>
      </c>
      <c r="J8507">
        <v>35601</v>
      </c>
    </row>
    <row r="8508" spans="1:10" x14ac:dyDescent="0.3">
      <c r="A8508" t="s">
        <v>8635</v>
      </c>
      <c r="B8508" s="1">
        <v>45881</v>
      </c>
      <c r="C8508" t="s">
        <v>113</v>
      </c>
      <c r="D8508">
        <v>33</v>
      </c>
      <c r="E8508" t="s">
        <v>24</v>
      </c>
      <c r="F8508" t="s">
        <v>57</v>
      </c>
      <c r="G8508" t="s">
        <v>83</v>
      </c>
      <c r="H8508" t="s">
        <v>21</v>
      </c>
      <c r="I8508">
        <v>15630</v>
      </c>
      <c r="J8508">
        <v>17540</v>
      </c>
    </row>
    <row r="8509" spans="1:10" x14ac:dyDescent="0.3">
      <c r="A8509" t="s">
        <v>8636</v>
      </c>
      <c r="B8509" s="1">
        <v>45891</v>
      </c>
      <c r="C8509" t="s">
        <v>113</v>
      </c>
      <c r="D8509">
        <v>34</v>
      </c>
      <c r="E8509" t="s">
        <v>12</v>
      </c>
      <c r="F8509" t="s">
        <v>193</v>
      </c>
      <c r="G8509" t="s">
        <v>324</v>
      </c>
      <c r="H8509" t="s">
        <v>165</v>
      </c>
      <c r="I8509">
        <v>15915</v>
      </c>
      <c r="J8509">
        <v>13202</v>
      </c>
    </row>
    <row r="8510" spans="1:10" x14ac:dyDescent="0.3">
      <c r="A8510" t="s">
        <v>8637</v>
      </c>
      <c r="B8510" s="1">
        <v>45798</v>
      </c>
      <c r="C8510" t="s">
        <v>90</v>
      </c>
      <c r="D8510">
        <v>21</v>
      </c>
      <c r="E8510" t="s">
        <v>33</v>
      </c>
      <c r="F8510" t="s">
        <v>50</v>
      </c>
      <c r="G8510" t="s">
        <v>324</v>
      </c>
      <c r="H8510" t="s">
        <v>55</v>
      </c>
      <c r="I8510">
        <v>22939</v>
      </c>
      <c r="J8510">
        <v>25538</v>
      </c>
    </row>
    <row r="8511" spans="1:10" x14ac:dyDescent="0.3">
      <c r="A8511" t="s">
        <v>8638</v>
      </c>
      <c r="B8511" s="1">
        <v>45839</v>
      </c>
      <c r="C8511" t="s">
        <v>11</v>
      </c>
      <c r="D8511">
        <v>27</v>
      </c>
      <c r="E8511" t="s">
        <v>12</v>
      </c>
      <c r="F8511" t="s">
        <v>43</v>
      </c>
      <c r="G8511" t="s">
        <v>107</v>
      </c>
      <c r="H8511" t="s">
        <v>155</v>
      </c>
      <c r="I8511">
        <v>31930</v>
      </c>
      <c r="J8511">
        <v>41417</v>
      </c>
    </row>
    <row r="8512" spans="1:10" x14ac:dyDescent="0.3">
      <c r="A8512" t="s">
        <v>8639</v>
      </c>
      <c r="B8512" s="1">
        <v>46008</v>
      </c>
      <c r="C8512" t="s">
        <v>100</v>
      </c>
      <c r="D8512">
        <v>51</v>
      </c>
      <c r="E8512" t="s">
        <v>24</v>
      </c>
      <c r="F8512" t="s">
        <v>13</v>
      </c>
      <c r="G8512" t="s">
        <v>79</v>
      </c>
      <c r="H8512" t="s">
        <v>119</v>
      </c>
      <c r="I8512">
        <v>34641</v>
      </c>
      <c r="J8512">
        <v>26661</v>
      </c>
    </row>
    <row r="8513" spans="1:10" x14ac:dyDescent="0.3">
      <c r="A8513" t="s">
        <v>8640</v>
      </c>
      <c r="B8513" s="1">
        <v>45734</v>
      </c>
      <c r="C8513" t="s">
        <v>95</v>
      </c>
      <c r="D8513">
        <v>12</v>
      </c>
      <c r="E8513" t="s">
        <v>70</v>
      </c>
      <c r="F8513" t="s">
        <v>140</v>
      </c>
      <c r="G8513" t="s">
        <v>206</v>
      </c>
      <c r="H8513" t="s">
        <v>163</v>
      </c>
      <c r="I8513">
        <v>32092</v>
      </c>
      <c r="J8513">
        <v>36544</v>
      </c>
    </row>
    <row r="8514" spans="1:10" x14ac:dyDescent="0.3">
      <c r="A8514" t="s">
        <v>8641</v>
      </c>
      <c r="B8514" s="1">
        <v>45693</v>
      </c>
      <c r="C8514" t="s">
        <v>82</v>
      </c>
      <c r="D8514">
        <v>6</v>
      </c>
      <c r="E8514" t="s">
        <v>61</v>
      </c>
      <c r="F8514" t="s">
        <v>13</v>
      </c>
      <c r="G8514" t="s">
        <v>266</v>
      </c>
      <c r="H8514" t="s">
        <v>165</v>
      </c>
      <c r="I8514">
        <v>36499</v>
      </c>
      <c r="J8514">
        <v>30094</v>
      </c>
    </row>
    <row r="8515" spans="1:10" x14ac:dyDescent="0.3">
      <c r="A8515" t="s">
        <v>8642</v>
      </c>
      <c r="B8515" s="1">
        <v>45830</v>
      </c>
      <c r="C8515" t="s">
        <v>74</v>
      </c>
      <c r="D8515">
        <v>25</v>
      </c>
      <c r="E8515" t="s">
        <v>33</v>
      </c>
      <c r="F8515" t="s">
        <v>75</v>
      </c>
      <c r="G8515" t="s">
        <v>201</v>
      </c>
      <c r="H8515" t="s">
        <v>96</v>
      </c>
      <c r="I8515">
        <v>38983</v>
      </c>
      <c r="J8515">
        <v>47958</v>
      </c>
    </row>
    <row r="8516" spans="1:10" x14ac:dyDescent="0.3">
      <c r="A8516" t="s">
        <v>8643</v>
      </c>
      <c r="B8516" s="1">
        <v>45658</v>
      </c>
      <c r="C8516" t="s">
        <v>17</v>
      </c>
      <c r="D8516">
        <v>1</v>
      </c>
      <c r="E8516" t="s">
        <v>39</v>
      </c>
      <c r="F8516" t="s">
        <v>43</v>
      </c>
      <c r="G8516" t="s">
        <v>102</v>
      </c>
      <c r="H8516" t="s">
        <v>116</v>
      </c>
      <c r="I8516">
        <v>35795</v>
      </c>
      <c r="J8516">
        <v>43175</v>
      </c>
    </row>
    <row r="8517" spans="1:10" x14ac:dyDescent="0.3">
      <c r="A8517" t="s">
        <v>8644</v>
      </c>
      <c r="B8517" s="1">
        <v>45951</v>
      </c>
      <c r="C8517" t="s">
        <v>66</v>
      </c>
      <c r="D8517">
        <v>43</v>
      </c>
      <c r="E8517" t="s">
        <v>24</v>
      </c>
      <c r="F8517" t="s">
        <v>101</v>
      </c>
      <c r="G8517" t="s">
        <v>126</v>
      </c>
      <c r="H8517" t="s">
        <v>98</v>
      </c>
      <c r="I8517">
        <v>30712</v>
      </c>
      <c r="J8517">
        <v>24284</v>
      </c>
    </row>
    <row r="8518" spans="1:10" x14ac:dyDescent="0.3">
      <c r="A8518" t="s">
        <v>8645</v>
      </c>
      <c r="B8518" s="1">
        <v>45786</v>
      </c>
      <c r="C8518" t="s">
        <v>90</v>
      </c>
      <c r="D8518">
        <v>19</v>
      </c>
      <c r="E8518" t="s">
        <v>61</v>
      </c>
      <c r="F8518" t="s">
        <v>29</v>
      </c>
      <c r="G8518" t="s">
        <v>79</v>
      </c>
      <c r="H8518" t="s">
        <v>211</v>
      </c>
      <c r="I8518">
        <v>36088</v>
      </c>
      <c r="J8518">
        <v>32123</v>
      </c>
    </row>
    <row r="8519" spans="1:10" x14ac:dyDescent="0.3">
      <c r="A8519" t="s">
        <v>8646</v>
      </c>
      <c r="B8519" s="1">
        <v>45874</v>
      </c>
      <c r="C8519" t="s">
        <v>113</v>
      </c>
      <c r="D8519">
        <v>32</v>
      </c>
      <c r="E8519" t="s">
        <v>18</v>
      </c>
      <c r="F8519" t="s">
        <v>109</v>
      </c>
      <c r="G8519" t="s">
        <v>182</v>
      </c>
      <c r="H8519" t="s">
        <v>116</v>
      </c>
      <c r="I8519">
        <v>38165</v>
      </c>
      <c r="J8519">
        <v>38136</v>
      </c>
    </row>
    <row r="8520" spans="1:10" x14ac:dyDescent="0.3">
      <c r="A8520" t="s">
        <v>8647</v>
      </c>
      <c r="B8520" s="1">
        <v>46021</v>
      </c>
      <c r="C8520" t="s">
        <v>100</v>
      </c>
      <c r="D8520">
        <v>1</v>
      </c>
      <c r="E8520" t="s">
        <v>12</v>
      </c>
      <c r="F8520" t="s">
        <v>122</v>
      </c>
      <c r="G8520" t="s">
        <v>93</v>
      </c>
      <c r="H8520" t="s">
        <v>188</v>
      </c>
      <c r="I8520">
        <v>32062</v>
      </c>
      <c r="J8520">
        <v>24608</v>
      </c>
    </row>
    <row r="8521" spans="1:10" x14ac:dyDescent="0.3">
      <c r="A8521" t="s">
        <v>8648</v>
      </c>
      <c r="B8521" s="1">
        <v>45923</v>
      </c>
      <c r="C8521" t="s">
        <v>38</v>
      </c>
      <c r="D8521">
        <v>39</v>
      </c>
      <c r="E8521" t="s">
        <v>61</v>
      </c>
      <c r="F8521" t="s">
        <v>193</v>
      </c>
      <c r="G8521" t="s">
        <v>132</v>
      </c>
      <c r="H8521" t="s">
        <v>84</v>
      </c>
      <c r="I8521">
        <v>16980</v>
      </c>
      <c r="J8521">
        <v>18496</v>
      </c>
    </row>
    <row r="8522" spans="1:10" x14ac:dyDescent="0.3">
      <c r="A8522" t="s">
        <v>8649</v>
      </c>
      <c r="B8522" s="1">
        <v>45780</v>
      </c>
      <c r="C8522" t="s">
        <v>90</v>
      </c>
      <c r="D8522">
        <v>18</v>
      </c>
      <c r="E8522" t="s">
        <v>18</v>
      </c>
      <c r="F8522" t="s">
        <v>29</v>
      </c>
      <c r="G8522" t="s">
        <v>171</v>
      </c>
      <c r="H8522" t="s">
        <v>52</v>
      </c>
      <c r="I8522">
        <v>15319</v>
      </c>
      <c r="J8522">
        <v>13482</v>
      </c>
    </row>
    <row r="8523" spans="1:10" x14ac:dyDescent="0.3">
      <c r="A8523" t="s">
        <v>8650</v>
      </c>
      <c r="B8523" s="1">
        <v>46014</v>
      </c>
      <c r="C8523" t="s">
        <v>100</v>
      </c>
      <c r="D8523">
        <v>52</v>
      </c>
      <c r="E8523" t="s">
        <v>33</v>
      </c>
      <c r="F8523" t="s">
        <v>62</v>
      </c>
      <c r="G8523" t="s">
        <v>107</v>
      </c>
      <c r="H8523" t="s">
        <v>15</v>
      </c>
      <c r="I8523">
        <v>16969</v>
      </c>
      <c r="J8523">
        <v>19948</v>
      </c>
    </row>
    <row r="8524" spans="1:10" x14ac:dyDescent="0.3">
      <c r="A8524" t="s">
        <v>8651</v>
      </c>
      <c r="B8524" s="1">
        <v>45977</v>
      </c>
      <c r="C8524" t="s">
        <v>23</v>
      </c>
      <c r="D8524">
        <v>46</v>
      </c>
      <c r="E8524" t="s">
        <v>24</v>
      </c>
      <c r="F8524" t="s">
        <v>25</v>
      </c>
      <c r="G8524" t="s">
        <v>206</v>
      </c>
      <c r="H8524" t="s">
        <v>55</v>
      </c>
      <c r="I8524">
        <v>17160</v>
      </c>
      <c r="J8524">
        <v>21032</v>
      </c>
    </row>
    <row r="8525" spans="1:10" x14ac:dyDescent="0.3">
      <c r="A8525" t="s">
        <v>8652</v>
      </c>
      <c r="B8525" s="1">
        <v>45715</v>
      </c>
      <c r="C8525" t="s">
        <v>82</v>
      </c>
      <c r="D8525">
        <v>9</v>
      </c>
      <c r="E8525" t="s">
        <v>70</v>
      </c>
      <c r="F8525" t="s">
        <v>19</v>
      </c>
      <c r="G8525" t="s">
        <v>40</v>
      </c>
      <c r="H8525" t="s">
        <v>59</v>
      </c>
      <c r="I8525">
        <v>27406</v>
      </c>
      <c r="J8525">
        <v>32386</v>
      </c>
    </row>
    <row r="8526" spans="1:10" x14ac:dyDescent="0.3">
      <c r="A8526" t="s">
        <v>8653</v>
      </c>
      <c r="B8526" s="1">
        <v>45757</v>
      </c>
      <c r="C8526" t="s">
        <v>86</v>
      </c>
      <c r="D8526">
        <v>15</v>
      </c>
      <c r="E8526" t="s">
        <v>39</v>
      </c>
      <c r="F8526" t="s">
        <v>193</v>
      </c>
      <c r="G8526" t="s">
        <v>67</v>
      </c>
      <c r="H8526" t="s">
        <v>98</v>
      </c>
      <c r="I8526">
        <v>15338</v>
      </c>
      <c r="J8526">
        <v>15235</v>
      </c>
    </row>
    <row r="8527" spans="1:10" x14ac:dyDescent="0.3">
      <c r="A8527" t="s">
        <v>8654</v>
      </c>
      <c r="B8527" s="1">
        <v>45708</v>
      </c>
      <c r="C8527" t="s">
        <v>82</v>
      </c>
      <c r="D8527">
        <v>8</v>
      </c>
      <c r="E8527" t="s">
        <v>18</v>
      </c>
      <c r="F8527" t="s">
        <v>101</v>
      </c>
      <c r="G8527" t="s">
        <v>141</v>
      </c>
      <c r="H8527" t="s">
        <v>163</v>
      </c>
      <c r="I8527">
        <v>29746</v>
      </c>
      <c r="J8527">
        <v>27084</v>
      </c>
    </row>
    <row r="8528" spans="1:10" x14ac:dyDescent="0.3">
      <c r="A8528" t="s">
        <v>8655</v>
      </c>
      <c r="B8528" s="1">
        <v>45699</v>
      </c>
      <c r="C8528" t="s">
        <v>82</v>
      </c>
      <c r="D8528">
        <v>7</v>
      </c>
      <c r="E8528" t="s">
        <v>18</v>
      </c>
      <c r="F8528" t="s">
        <v>62</v>
      </c>
      <c r="G8528" t="s">
        <v>76</v>
      </c>
      <c r="H8528" t="s">
        <v>119</v>
      </c>
      <c r="I8528">
        <v>21285</v>
      </c>
      <c r="J8528">
        <v>24306</v>
      </c>
    </row>
    <row r="8529" spans="1:10" x14ac:dyDescent="0.3">
      <c r="A8529" t="s">
        <v>8656</v>
      </c>
      <c r="B8529" s="1">
        <v>45979</v>
      </c>
      <c r="C8529" t="s">
        <v>23</v>
      </c>
      <c r="D8529">
        <v>47</v>
      </c>
      <c r="E8529" t="s">
        <v>24</v>
      </c>
      <c r="F8529" t="s">
        <v>140</v>
      </c>
      <c r="G8529" t="s">
        <v>63</v>
      </c>
      <c r="H8529" t="s">
        <v>116</v>
      </c>
      <c r="I8529">
        <v>23533</v>
      </c>
      <c r="J8529">
        <v>23634</v>
      </c>
    </row>
    <row r="8530" spans="1:10" x14ac:dyDescent="0.3">
      <c r="A8530" t="s">
        <v>8657</v>
      </c>
      <c r="B8530" s="1">
        <v>45922</v>
      </c>
      <c r="C8530" t="s">
        <v>38</v>
      </c>
      <c r="D8530">
        <v>39</v>
      </c>
      <c r="E8530" t="s">
        <v>70</v>
      </c>
      <c r="F8530" t="s">
        <v>46</v>
      </c>
      <c r="G8530" t="s">
        <v>83</v>
      </c>
      <c r="H8530" t="s">
        <v>64</v>
      </c>
      <c r="I8530">
        <v>36723</v>
      </c>
      <c r="J8530">
        <v>30333</v>
      </c>
    </row>
    <row r="8531" spans="1:10" x14ac:dyDescent="0.3">
      <c r="A8531" t="s">
        <v>8658</v>
      </c>
      <c r="B8531" s="1">
        <v>46016</v>
      </c>
      <c r="C8531" t="s">
        <v>100</v>
      </c>
      <c r="D8531">
        <v>52</v>
      </c>
      <c r="E8531" t="s">
        <v>12</v>
      </c>
      <c r="F8531" t="s">
        <v>19</v>
      </c>
      <c r="G8531" t="s">
        <v>201</v>
      </c>
      <c r="H8531" t="s">
        <v>36</v>
      </c>
      <c r="I8531">
        <v>29789</v>
      </c>
      <c r="J8531">
        <v>29410</v>
      </c>
    </row>
    <row r="8532" spans="1:10" x14ac:dyDescent="0.3">
      <c r="A8532" t="s">
        <v>8659</v>
      </c>
      <c r="B8532" s="1">
        <v>45812</v>
      </c>
      <c r="C8532" t="s">
        <v>74</v>
      </c>
      <c r="D8532">
        <v>23</v>
      </c>
      <c r="E8532" t="s">
        <v>70</v>
      </c>
      <c r="F8532" t="s">
        <v>50</v>
      </c>
      <c r="G8532" t="s">
        <v>291</v>
      </c>
      <c r="H8532" t="s">
        <v>52</v>
      </c>
      <c r="I8532">
        <v>35712</v>
      </c>
      <c r="J8532">
        <v>30894</v>
      </c>
    </row>
    <row r="8533" spans="1:10" x14ac:dyDescent="0.3">
      <c r="A8533" t="s">
        <v>8660</v>
      </c>
      <c r="B8533" s="1">
        <v>45680</v>
      </c>
      <c r="C8533" t="s">
        <v>17</v>
      </c>
      <c r="D8533">
        <v>4</v>
      </c>
      <c r="E8533" t="s">
        <v>39</v>
      </c>
      <c r="F8533" t="s">
        <v>140</v>
      </c>
      <c r="G8533" t="s">
        <v>76</v>
      </c>
      <c r="H8533" t="s">
        <v>188</v>
      </c>
      <c r="I8533">
        <v>21295</v>
      </c>
      <c r="J8533">
        <v>24834</v>
      </c>
    </row>
    <row r="8534" spans="1:10" x14ac:dyDescent="0.3">
      <c r="A8534" t="s">
        <v>8661</v>
      </c>
      <c r="B8534" s="1">
        <v>45795</v>
      </c>
      <c r="C8534" t="s">
        <v>90</v>
      </c>
      <c r="D8534">
        <v>20</v>
      </c>
      <c r="E8534" t="s">
        <v>39</v>
      </c>
      <c r="F8534" t="s">
        <v>92</v>
      </c>
      <c r="G8534" t="s">
        <v>58</v>
      </c>
      <c r="H8534" t="s">
        <v>98</v>
      </c>
      <c r="I8534">
        <v>19279</v>
      </c>
      <c r="J8534">
        <v>20294</v>
      </c>
    </row>
    <row r="8535" spans="1:10" x14ac:dyDescent="0.3">
      <c r="A8535" t="s">
        <v>8662</v>
      </c>
      <c r="B8535" s="1">
        <v>45776</v>
      </c>
      <c r="C8535" t="s">
        <v>86</v>
      </c>
      <c r="D8535">
        <v>18</v>
      </c>
      <c r="E8535" t="s">
        <v>61</v>
      </c>
      <c r="F8535" t="s">
        <v>109</v>
      </c>
      <c r="G8535" t="s">
        <v>51</v>
      </c>
      <c r="H8535" t="s">
        <v>15</v>
      </c>
      <c r="I8535">
        <v>30485</v>
      </c>
      <c r="J8535">
        <v>23844</v>
      </c>
    </row>
    <row r="8536" spans="1:10" x14ac:dyDescent="0.3">
      <c r="A8536" t="s">
        <v>8663</v>
      </c>
      <c r="B8536" s="1">
        <v>45826</v>
      </c>
      <c r="C8536" t="s">
        <v>74</v>
      </c>
      <c r="D8536">
        <v>25</v>
      </c>
      <c r="E8536" t="s">
        <v>70</v>
      </c>
      <c r="F8536" t="s">
        <v>50</v>
      </c>
      <c r="G8536" t="s">
        <v>30</v>
      </c>
      <c r="H8536" t="s">
        <v>155</v>
      </c>
      <c r="I8536">
        <v>26699</v>
      </c>
      <c r="J8536">
        <v>27717</v>
      </c>
    </row>
    <row r="8537" spans="1:10" x14ac:dyDescent="0.3">
      <c r="A8537" t="s">
        <v>8664</v>
      </c>
      <c r="B8537" s="1">
        <v>45774</v>
      </c>
      <c r="C8537" t="s">
        <v>86</v>
      </c>
      <c r="D8537">
        <v>17</v>
      </c>
      <c r="E8537" t="s">
        <v>24</v>
      </c>
      <c r="F8537" t="s">
        <v>25</v>
      </c>
      <c r="G8537" t="s">
        <v>126</v>
      </c>
      <c r="H8537" t="s">
        <v>243</v>
      </c>
      <c r="I8537">
        <v>34319</v>
      </c>
      <c r="J8537">
        <v>27212</v>
      </c>
    </row>
    <row r="8538" spans="1:10" x14ac:dyDescent="0.3">
      <c r="A8538" t="s">
        <v>8665</v>
      </c>
      <c r="B8538" s="1">
        <v>45741</v>
      </c>
      <c r="C8538" t="s">
        <v>95</v>
      </c>
      <c r="D8538">
        <v>13</v>
      </c>
      <c r="E8538" t="s">
        <v>24</v>
      </c>
      <c r="F8538" t="s">
        <v>101</v>
      </c>
      <c r="G8538" t="s">
        <v>107</v>
      </c>
      <c r="H8538" t="s">
        <v>151</v>
      </c>
      <c r="I8538">
        <v>18966</v>
      </c>
      <c r="J8538">
        <v>16709</v>
      </c>
    </row>
    <row r="8539" spans="1:10" x14ac:dyDescent="0.3">
      <c r="A8539" t="s">
        <v>8666</v>
      </c>
      <c r="B8539" s="1">
        <v>45820</v>
      </c>
      <c r="C8539" t="s">
        <v>74</v>
      </c>
      <c r="D8539">
        <v>24</v>
      </c>
      <c r="E8539" t="s">
        <v>12</v>
      </c>
      <c r="F8539" t="s">
        <v>78</v>
      </c>
      <c r="G8539" t="s">
        <v>79</v>
      </c>
      <c r="H8539" t="s">
        <v>52</v>
      </c>
      <c r="I8539">
        <v>39895</v>
      </c>
      <c r="J8539">
        <v>47739</v>
      </c>
    </row>
    <row r="8540" spans="1:10" x14ac:dyDescent="0.3">
      <c r="A8540" t="s">
        <v>8667</v>
      </c>
      <c r="B8540" s="1">
        <v>45818</v>
      </c>
      <c r="C8540" t="s">
        <v>74</v>
      </c>
      <c r="D8540">
        <v>24</v>
      </c>
      <c r="E8540" t="s">
        <v>61</v>
      </c>
      <c r="F8540" t="s">
        <v>13</v>
      </c>
      <c r="G8540" t="s">
        <v>130</v>
      </c>
      <c r="H8540" t="s">
        <v>68</v>
      </c>
      <c r="I8540">
        <v>32805</v>
      </c>
      <c r="J8540">
        <v>37450</v>
      </c>
    </row>
    <row r="8541" spans="1:10" x14ac:dyDescent="0.3">
      <c r="A8541" t="s">
        <v>8668</v>
      </c>
      <c r="B8541" s="1">
        <v>45840</v>
      </c>
      <c r="C8541" t="s">
        <v>11</v>
      </c>
      <c r="D8541">
        <v>27</v>
      </c>
      <c r="E8541" t="s">
        <v>33</v>
      </c>
      <c r="F8541" t="s">
        <v>87</v>
      </c>
      <c r="G8541" t="s">
        <v>44</v>
      </c>
      <c r="H8541" t="s">
        <v>211</v>
      </c>
      <c r="I8541">
        <v>34226</v>
      </c>
      <c r="J8541">
        <v>32367</v>
      </c>
    </row>
    <row r="8542" spans="1:10" x14ac:dyDescent="0.3">
      <c r="A8542" t="s">
        <v>8669</v>
      </c>
      <c r="B8542" s="1">
        <v>45726</v>
      </c>
      <c r="C8542" t="s">
        <v>95</v>
      </c>
      <c r="D8542">
        <v>11</v>
      </c>
      <c r="E8542" t="s">
        <v>61</v>
      </c>
      <c r="F8542" t="s">
        <v>140</v>
      </c>
      <c r="G8542" t="s">
        <v>14</v>
      </c>
      <c r="H8542" t="s">
        <v>68</v>
      </c>
      <c r="I8542">
        <v>30710</v>
      </c>
      <c r="J8542">
        <v>38209</v>
      </c>
    </row>
    <row r="8543" spans="1:10" x14ac:dyDescent="0.3">
      <c r="A8543" t="s">
        <v>8670</v>
      </c>
      <c r="B8543" s="1">
        <v>45774</v>
      </c>
      <c r="C8543" t="s">
        <v>86</v>
      </c>
      <c r="D8543">
        <v>17</v>
      </c>
      <c r="E8543" t="s">
        <v>70</v>
      </c>
      <c r="F8543" t="s">
        <v>46</v>
      </c>
      <c r="G8543" t="s">
        <v>35</v>
      </c>
      <c r="H8543" t="s">
        <v>31</v>
      </c>
      <c r="I8543">
        <v>31632</v>
      </c>
      <c r="J8543">
        <v>26590</v>
      </c>
    </row>
    <row r="8544" spans="1:10" x14ac:dyDescent="0.3">
      <c r="A8544" t="s">
        <v>8671</v>
      </c>
      <c r="B8544" s="1">
        <v>45961</v>
      </c>
      <c r="C8544" t="s">
        <v>66</v>
      </c>
      <c r="D8544">
        <v>44</v>
      </c>
      <c r="E8544" t="s">
        <v>61</v>
      </c>
      <c r="F8544" t="s">
        <v>19</v>
      </c>
      <c r="G8544" t="s">
        <v>171</v>
      </c>
      <c r="H8544" t="s">
        <v>103</v>
      </c>
      <c r="I8544">
        <v>19066</v>
      </c>
      <c r="J8544">
        <v>19382</v>
      </c>
    </row>
    <row r="8545" spans="1:10" x14ac:dyDescent="0.3">
      <c r="A8545" t="s">
        <v>8672</v>
      </c>
      <c r="B8545" s="1">
        <v>45771</v>
      </c>
      <c r="C8545" t="s">
        <v>86</v>
      </c>
      <c r="D8545">
        <v>17</v>
      </c>
      <c r="E8545" t="s">
        <v>33</v>
      </c>
      <c r="F8545" t="s">
        <v>29</v>
      </c>
      <c r="G8545" t="s">
        <v>40</v>
      </c>
      <c r="H8545" t="s">
        <v>31</v>
      </c>
      <c r="I8545">
        <v>37565</v>
      </c>
      <c r="J8545">
        <v>30658</v>
      </c>
    </row>
    <row r="8546" spans="1:10" x14ac:dyDescent="0.3">
      <c r="A8546" t="s">
        <v>8673</v>
      </c>
      <c r="B8546" s="1">
        <v>45858</v>
      </c>
      <c r="C8546" t="s">
        <v>11</v>
      </c>
      <c r="D8546">
        <v>29</v>
      </c>
      <c r="E8546" t="s">
        <v>18</v>
      </c>
      <c r="F8546" t="s">
        <v>140</v>
      </c>
      <c r="G8546" t="s">
        <v>128</v>
      </c>
      <c r="H8546" t="s">
        <v>188</v>
      </c>
      <c r="I8546">
        <v>38512</v>
      </c>
      <c r="J8546">
        <v>46610</v>
      </c>
    </row>
    <row r="8547" spans="1:10" x14ac:dyDescent="0.3">
      <c r="A8547" t="s">
        <v>8674</v>
      </c>
      <c r="B8547" s="1">
        <v>45682</v>
      </c>
      <c r="C8547" t="s">
        <v>17</v>
      </c>
      <c r="D8547">
        <v>4</v>
      </c>
      <c r="E8547" t="s">
        <v>70</v>
      </c>
      <c r="F8547" t="s">
        <v>140</v>
      </c>
      <c r="G8547" t="s">
        <v>126</v>
      </c>
      <c r="H8547" t="s">
        <v>119</v>
      </c>
      <c r="I8547">
        <v>31253</v>
      </c>
      <c r="J8547">
        <v>27835</v>
      </c>
    </row>
    <row r="8548" spans="1:10" x14ac:dyDescent="0.3">
      <c r="A8548" t="s">
        <v>8675</v>
      </c>
      <c r="B8548" s="1">
        <v>45664</v>
      </c>
      <c r="C8548" t="s">
        <v>17</v>
      </c>
      <c r="D8548">
        <v>2</v>
      </c>
      <c r="E8548" t="s">
        <v>18</v>
      </c>
      <c r="F8548" t="s">
        <v>43</v>
      </c>
      <c r="G8548" t="s">
        <v>118</v>
      </c>
      <c r="H8548" t="s">
        <v>151</v>
      </c>
      <c r="I8548">
        <v>29922</v>
      </c>
      <c r="J8548">
        <v>30137</v>
      </c>
    </row>
    <row r="8549" spans="1:10" x14ac:dyDescent="0.3">
      <c r="A8549" t="s">
        <v>8676</v>
      </c>
      <c r="B8549" s="1">
        <v>45844</v>
      </c>
      <c r="C8549" t="s">
        <v>11</v>
      </c>
      <c r="D8549">
        <v>27</v>
      </c>
      <c r="E8549" t="s">
        <v>24</v>
      </c>
      <c r="F8549" t="s">
        <v>87</v>
      </c>
      <c r="G8549" t="s">
        <v>118</v>
      </c>
      <c r="H8549" t="s">
        <v>64</v>
      </c>
      <c r="I8549">
        <v>26883</v>
      </c>
      <c r="J8549">
        <v>27957</v>
      </c>
    </row>
    <row r="8550" spans="1:10" x14ac:dyDescent="0.3">
      <c r="A8550" t="s">
        <v>8677</v>
      </c>
      <c r="B8550" s="1">
        <v>45816</v>
      </c>
      <c r="C8550" t="s">
        <v>74</v>
      </c>
      <c r="D8550">
        <v>23</v>
      </c>
      <c r="E8550" t="s">
        <v>24</v>
      </c>
      <c r="F8550" t="s">
        <v>50</v>
      </c>
      <c r="G8550" t="s">
        <v>141</v>
      </c>
      <c r="H8550" t="s">
        <v>163</v>
      </c>
      <c r="I8550">
        <v>19511</v>
      </c>
      <c r="J8550">
        <v>17147</v>
      </c>
    </row>
    <row r="8551" spans="1:10" x14ac:dyDescent="0.3">
      <c r="A8551" t="s">
        <v>8678</v>
      </c>
      <c r="B8551" s="1">
        <v>45687</v>
      </c>
      <c r="C8551" t="s">
        <v>17</v>
      </c>
      <c r="D8551">
        <v>5</v>
      </c>
      <c r="E8551" t="s">
        <v>18</v>
      </c>
      <c r="F8551" t="s">
        <v>114</v>
      </c>
      <c r="G8551" t="s">
        <v>135</v>
      </c>
      <c r="H8551" t="s">
        <v>123</v>
      </c>
      <c r="I8551">
        <v>33358</v>
      </c>
      <c r="J8551">
        <v>34827</v>
      </c>
    </row>
    <row r="8552" spans="1:10" x14ac:dyDescent="0.3">
      <c r="A8552" t="s">
        <v>8679</v>
      </c>
      <c r="B8552" s="1">
        <v>45799</v>
      </c>
      <c r="C8552" t="s">
        <v>90</v>
      </c>
      <c r="D8552">
        <v>21</v>
      </c>
      <c r="E8552" t="s">
        <v>18</v>
      </c>
      <c r="F8552" t="s">
        <v>25</v>
      </c>
      <c r="G8552" t="s">
        <v>128</v>
      </c>
      <c r="H8552" t="s">
        <v>52</v>
      </c>
      <c r="I8552">
        <v>37826</v>
      </c>
      <c r="J8552">
        <v>31815</v>
      </c>
    </row>
    <row r="8553" spans="1:10" x14ac:dyDescent="0.3">
      <c r="A8553" t="s">
        <v>8680</v>
      </c>
      <c r="B8553" s="1">
        <v>45926</v>
      </c>
      <c r="C8553" t="s">
        <v>38</v>
      </c>
      <c r="D8553">
        <v>39</v>
      </c>
      <c r="E8553" t="s">
        <v>24</v>
      </c>
      <c r="F8553" t="s">
        <v>140</v>
      </c>
      <c r="G8553" t="s">
        <v>130</v>
      </c>
      <c r="H8553" t="s">
        <v>116</v>
      </c>
      <c r="I8553">
        <v>28263</v>
      </c>
      <c r="J8553">
        <v>26373</v>
      </c>
    </row>
    <row r="8554" spans="1:10" x14ac:dyDescent="0.3">
      <c r="A8554" t="s">
        <v>8681</v>
      </c>
      <c r="B8554" s="1">
        <v>45798</v>
      </c>
      <c r="C8554" t="s">
        <v>90</v>
      </c>
      <c r="D8554">
        <v>21</v>
      </c>
      <c r="E8554" t="s">
        <v>70</v>
      </c>
      <c r="F8554" t="s">
        <v>75</v>
      </c>
      <c r="G8554" t="s">
        <v>26</v>
      </c>
      <c r="H8554" t="s">
        <v>59</v>
      </c>
      <c r="I8554">
        <v>38047</v>
      </c>
      <c r="J8554">
        <v>47418</v>
      </c>
    </row>
    <row r="8555" spans="1:10" x14ac:dyDescent="0.3">
      <c r="A8555" t="s">
        <v>8682</v>
      </c>
      <c r="B8555" s="1">
        <v>45803</v>
      </c>
      <c r="C8555" t="s">
        <v>90</v>
      </c>
      <c r="D8555">
        <v>22</v>
      </c>
      <c r="E8555" t="s">
        <v>12</v>
      </c>
      <c r="F8555" t="s">
        <v>140</v>
      </c>
      <c r="G8555" t="s">
        <v>128</v>
      </c>
      <c r="H8555" t="s">
        <v>84</v>
      </c>
      <c r="I8555">
        <v>16117</v>
      </c>
      <c r="J8555">
        <v>20573</v>
      </c>
    </row>
    <row r="8556" spans="1:10" x14ac:dyDescent="0.3">
      <c r="A8556" t="s">
        <v>8683</v>
      </c>
      <c r="B8556" s="1">
        <v>45951</v>
      </c>
      <c r="C8556" t="s">
        <v>66</v>
      </c>
      <c r="D8556">
        <v>43</v>
      </c>
      <c r="E8556" t="s">
        <v>39</v>
      </c>
      <c r="F8556" t="s">
        <v>193</v>
      </c>
      <c r="G8556" t="s">
        <v>58</v>
      </c>
      <c r="H8556" t="s">
        <v>48</v>
      </c>
      <c r="I8556">
        <v>34246</v>
      </c>
      <c r="J8556">
        <v>25757</v>
      </c>
    </row>
    <row r="8557" spans="1:10" x14ac:dyDescent="0.3">
      <c r="A8557" t="s">
        <v>8684</v>
      </c>
      <c r="B8557" s="1">
        <v>46021</v>
      </c>
      <c r="C8557" t="s">
        <v>100</v>
      </c>
      <c r="D8557">
        <v>1</v>
      </c>
      <c r="E8557" t="s">
        <v>18</v>
      </c>
      <c r="F8557" t="s">
        <v>122</v>
      </c>
      <c r="G8557" t="s">
        <v>230</v>
      </c>
      <c r="H8557" t="s">
        <v>98</v>
      </c>
      <c r="I8557">
        <v>30703</v>
      </c>
      <c r="J8557">
        <v>27509</v>
      </c>
    </row>
    <row r="8558" spans="1:10" x14ac:dyDescent="0.3">
      <c r="A8558" t="s">
        <v>8685</v>
      </c>
      <c r="B8558" s="1">
        <v>46017</v>
      </c>
      <c r="C8558" t="s">
        <v>100</v>
      </c>
      <c r="D8558">
        <v>52</v>
      </c>
      <c r="E8558" t="s">
        <v>39</v>
      </c>
      <c r="F8558" t="s">
        <v>109</v>
      </c>
      <c r="G8558" t="s">
        <v>115</v>
      </c>
      <c r="H8558" t="s">
        <v>41</v>
      </c>
      <c r="I8558">
        <v>31511</v>
      </c>
      <c r="J8558">
        <v>40490</v>
      </c>
    </row>
    <row r="8559" spans="1:10" x14ac:dyDescent="0.3">
      <c r="A8559" t="s">
        <v>8686</v>
      </c>
      <c r="B8559" s="1">
        <v>46017</v>
      </c>
      <c r="C8559" t="s">
        <v>100</v>
      </c>
      <c r="D8559">
        <v>52</v>
      </c>
      <c r="E8559" t="s">
        <v>18</v>
      </c>
      <c r="F8559" t="s">
        <v>50</v>
      </c>
      <c r="G8559" t="s">
        <v>224</v>
      </c>
      <c r="H8559" t="s">
        <v>165</v>
      </c>
      <c r="I8559">
        <v>27692</v>
      </c>
      <c r="J8559">
        <v>35290</v>
      </c>
    </row>
    <row r="8560" spans="1:10" x14ac:dyDescent="0.3">
      <c r="A8560" t="s">
        <v>8687</v>
      </c>
      <c r="B8560" s="1">
        <v>45804</v>
      </c>
      <c r="C8560" t="s">
        <v>90</v>
      </c>
      <c r="D8560">
        <v>22</v>
      </c>
      <c r="E8560" t="s">
        <v>39</v>
      </c>
      <c r="F8560" t="s">
        <v>92</v>
      </c>
      <c r="G8560" t="s">
        <v>171</v>
      </c>
      <c r="H8560" t="s">
        <v>133</v>
      </c>
      <c r="I8560">
        <v>28051</v>
      </c>
      <c r="J8560">
        <v>22579</v>
      </c>
    </row>
    <row r="8561" spans="1:10" x14ac:dyDescent="0.3">
      <c r="A8561" t="s">
        <v>8688</v>
      </c>
      <c r="B8561" s="1">
        <v>45873</v>
      </c>
      <c r="C8561" t="s">
        <v>113</v>
      </c>
      <c r="D8561">
        <v>32</v>
      </c>
      <c r="E8561" t="s">
        <v>18</v>
      </c>
      <c r="F8561" t="s">
        <v>46</v>
      </c>
      <c r="G8561" t="s">
        <v>54</v>
      </c>
      <c r="H8561" t="s">
        <v>151</v>
      </c>
      <c r="I8561">
        <v>21506</v>
      </c>
      <c r="J8561">
        <v>19398</v>
      </c>
    </row>
    <row r="8562" spans="1:10" x14ac:dyDescent="0.3">
      <c r="A8562" t="s">
        <v>8689</v>
      </c>
      <c r="B8562" s="1">
        <v>45969</v>
      </c>
      <c r="C8562" t="s">
        <v>23</v>
      </c>
      <c r="D8562">
        <v>45</v>
      </c>
      <c r="E8562" t="s">
        <v>61</v>
      </c>
      <c r="F8562" t="s">
        <v>122</v>
      </c>
      <c r="G8562" t="s">
        <v>240</v>
      </c>
      <c r="H8562" t="s">
        <v>116</v>
      </c>
      <c r="I8562">
        <v>17677</v>
      </c>
      <c r="J8562">
        <v>18812</v>
      </c>
    </row>
    <row r="8563" spans="1:10" x14ac:dyDescent="0.3">
      <c r="A8563" t="s">
        <v>8690</v>
      </c>
      <c r="B8563" s="1">
        <v>45909</v>
      </c>
      <c r="C8563" t="s">
        <v>38</v>
      </c>
      <c r="D8563">
        <v>37</v>
      </c>
      <c r="E8563" t="s">
        <v>12</v>
      </c>
      <c r="F8563" t="s">
        <v>34</v>
      </c>
      <c r="G8563" t="s">
        <v>141</v>
      </c>
      <c r="H8563" t="s">
        <v>64</v>
      </c>
      <c r="I8563">
        <v>17994</v>
      </c>
      <c r="J8563">
        <v>18871</v>
      </c>
    </row>
    <row r="8564" spans="1:10" x14ac:dyDescent="0.3">
      <c r="A8564" t="s">
        <v>8691</v>
      </c>
      <c r="B8564" s="1">
        <v>45978</v>
      </c>
      <c r="C8564" t="s">
        <v>23</v>
      </c>
      <c r="D8564">
        <v>47</v>
      </c>
      <c r="E8564" t="s">
        <v>12</v>
      </c>
      <c r="F8564" t="s">
        <v>101</v>
      </c>
      <c r="G8564" t="s">
        <v>88</v>
      </c>
      <c r="H8564" t="s">
        <v>116</v>
      </c>
      <c r="I8564">
        <v>34995</v>
      </c>
      <c r="J8564">
        <v>29165</v>
      </c>
    </row>
    <row r="8565" spans="1:10" x14ac:dyDescent="0.3">
      <c r="A8565" t="s">
        <v>8692</v>
      </c>
      <c r="B8565" s="1">
        <v>45662</v>
      </c>
      <c r="C8565" t="s">
        <v>17</v>
      </c>
      <c r="D8565">
        <v>1</v>
      </c>
      <c r="E8565" t="s">
        <v>61</v>
      </c>
      <c r="F8565" t="s">
        <v>62</v>
      </c>
      <c r="G8565" t="s">
        <v>266</v>
      </c>
      <c r="H8565" t="s">
        <v>188</v>
      </c>
      <c r="I8565">
        <v>33998</v>
      </c>
      <c r="J8565">
        <v>24006</v>
      </c>
    </row>
    <row r="8566" spans="1:10" x14ac:dyDescent="0.3">
      <c r="A8566" t="s">
        <v>8693</v>
      </c>
      <c r="B8566" s="1">
        <v>45807</v>
      </c>
      <c r="C8566" t="s">
        <v>90</v>
      </c>
      <c r="D8566">
        <v>22</v>
      </c>
      <c r="E8566" t="s">
        <v>70</v>
      </c>
      <c r="F8566" t="s">
        <v>25</v>
      </c>
      <c r="G8566" t="s">
        <v>199</v>
      </c>
      <c r="H8566" t="s">
        <v>84</v>
      </c>
      <c r="I8566">
        <v>36196</v>
      </c>
      <c r="J8566">
        <v>41882</v>
      </c>
    </row>
    <row r="8567" spans="1:10" x14ac:dyDescent="0.3">
      <c r="A8567" t="s">
        <v>8694</v>
      </c>
      <c r="B8567" s="1">
        <v>45939</v>
      </c>
      <c r="C8567" t="s">
        <v>66</v>
      </c>
      <c r="D8567">
        <v>41</v>
      </c>
      <c r="E8567" t="s">
        <v>70</v>
      </c>
      <c r="F8567" t="s">
        <v>193</v>
      </c>
      <c r="G8567" t="s">
        <v>88</v>
      </c>
      <c r="H8567" t="s">
        <v>64</v>
      </c>
      <c r="I8567">
        <v>36627</v>
      </c>
      <c r="J8567">
        <v>26276</v>
      </c>
    </row>
    <row r="8568" spans="1:10" x14ac:dyDescent="0.3">
      <c r="A8568" t="s">
        <v>8695</v>
      </c>
      <c r="B8568" s="1">
        <v>45772</v>
      </c>
      <c r="C8568" t="s">
        <v>86</v>
      </c>
      <c r="D8568">
        <v>17</v>
      </c>
      <c r="E8568" t="s">
        <v>70</v>
      </c>
      <c r="F8568" t="s">
        <v>122</v>
      </c>
      <c r="G8568" t="s">
        <v>93</v>
      </c>
      <c r="H8568" t="s">
        <v>119</v>
      </c>
      <c r="I8568">
        <v>30111</v>
      </c>
      <c r="J8568">
        <v>27877</v>
      </c>
    </row>
    <row r="8569" spans="1:10" x14ac:dyDescent="0.3">
      <c r="A8569" t="s">
        <v>8696</v>
      </c>
      <c r="B8569" s="1">
        <v>45998</v>
      </c>
      <c r="C8569" t="s">
        <v>100</v>
      </c>
      <c r="D8569">
        <v>49</v>
      </c>
      <c r="E8569" t="s">
        <v>12</v>
      </c>
      <c r="F8569" t="s">
        <v>140</v>
      </c>
      <c r="G8569" t="s">
        <v>234</v>
      </c>
      <c r="H8569" t="s">
        <v>155</v>
      </c>
      <c r="I8569">
        <v>19648</v>
      </c>
      <c r="J8569">
        <v>15300</v>
      </c>
    </row>
    <row r="8570" spans="1:10" x14ac:dyDescent="0.3">
      <c r="A8570" t="s">
        <v>8697</v>
      </c>
      <c r="B8570" s="1">
        <v>45964</v>
      </c>
      <c r="C8570" t="s">
        <v>23</v>
      </c>
      <c r="D8570">
        <v>45</v>
      </c>
      <c r="E8570" t="s">
        <v>18</v>
      </c>
      <c r="F8570" t="s">
        <v>140</v>
      </c>
      <c r="G8570" t="s">
        <v>145</v>
      </c>
      <c r="H8570" t="s">
        <v>27</v>
      </c>
      <c r="I8570">
        <v>15616</v>
      </c>
      <c r="J8570">
        <v>17337</v>
      </c>
    </row>
    <row r="8571" spans="1:10" x14ac:dyDescent="0.3">
      <c r="A8571" t="s">
        <v>8698</v>
      </c>
      <c r="B8571" s="1">
        <v>45837</v>
      </c>
      <c r="C8571" t="s">
        <v>74</v>
      </c>
      <c r="D8571">
        <v>26</v>
      </c>
      <c r="E8571" t="s">
        <v>18</v>
      </c>
      <c r="F8571" t="s">
        <v>78</v>
      </c>
      <c r="G8571" t="s">
        <v>149</v>
      </c>
      <c r="H8571" t="s">
        <v>98</v>
      </c>
      <c r="I8571">
        <v>32091</v>
      </c>
      <c r="J8571">
        <v>34601</v>
      </c>
    </row>
    <row r="8572" spans="1:10" x14ac:dyDescent="0.3">
      <c r="A8572" t="s">
        <v>8699</v>
      </c>
      <c r="B8572" s="1">
        <v>45936</v>
      </c>
      <c r="C8572" t="s">
        <v>66</v>
      </c>
      <c r="D8572">
        <v>41</v>
      </c>
      <c r="E8572" t="s">
        <v>12</v>
      </c>
      <c r="F8572" t="s">
        <v>46</v>
      </c>
      <c r="G8572" t="s">
        <v>149</v>
      </c>
      <c r="H8572" t="s">
        <v>111</v>
      </c>
      <c r="I8572">
        <v>33335</v>
      </c>
      <c r="J8572">
        <v>31951</v>
      </c>
    </row>
    <row r="8573" spans="1:10" x14ac:dyDescent="0.3">
      <c r="A8573" t="s">
        <v>8700</v>
      </c>
      <c r="B8573" s="1">
        <v>45678</v>
      </c>
      <c r="C8573" t="s">
        <v>17</v>
      </c>
      <c r="D8573">
        <v>4</v>
      </c>
      <c r="E8573" t="s">
        <v>33</v>
      </c>
      <c r="F8573" t="s">
        <v>13</v>
      </c>
      <c r="G8573" t="s">
        <v>83</v>
      </c>
      <c r="H8573" t="s">
        <v>96</v>
      </c>
      <c r="I8573">
        <v>16817</v>
      </c>
      <c r="J8573">
        <v>11797</v>
      </c>
    </row>
    <row r="8574" spans="1:10" x14ac:dyDescent="0.3">
      <c r="A8574" t="s">
        <v>8701</v>
      </c>
      <c r="B8574" s="1">
        <v>45997</v>
      </c>
      <c r="C8574" t="s">
        <v>100</v>
      </c>
      <c r="D8574">
        <v>49</v>
      </c>
      <c r="E8574" t="s">
        <v>39</v>
      </c>
      <c r="F8574" t="s">
        <v>101</v>
      </c>
      <c r="G8574" t="s">
        <v>199</v>
      </c>
      <c r="H8574" t="s">
        <v>21</v>
      </c>
      <c r="I8574">
        <v>32442</v>
      </c>
      <c r="J8574">
        <v>24282</v>
      </c>
    </row>
    <row r="8575" spans="1:10" x14ac:dyDescent="0.3">
      <c r="A8575" t="s">
        <v>8702</v>
      </c>
      <c r="B8575" s="1">
        <v>45948</v>
      </c>
      <c r="C8575" t="s">
        <v>66</v>
      </c>
      <c r="D8575">
        <v>42</v>
      </c>
      <c r="E8575" t="s">
        <v>70</v>
      </c>
      <c r="F8575" t="s">
        <v>25</v>
      </c>
      <c r="G8575" t="s">
        <v>171</v>
      </c>
      <c r="H8575" t="s">
        <v>188</v>
      </c>
      <c r="I8575">
        <v>35563</v>
      </c>
      <c r="J8575">
        <v>44903</v>
      </c>
    </row>
    <row r="8576" spans="1:10" x14ac:dyDescent="0.3">
      <c r="A8576" t="s">
        <v>8703</v>
      </c>
      <c r="B8576" s="1">
        <v>45901</v>
      </c>
      <c r="C8576" t="s">
        <v>38</v>
      </c>
      <c r="D8576">
        <v>36</v>
      </c>
      <c r="E8576" t="s">
        <v>33</v>
      </c>
      <c r="F8576" t="s">
        <v>13</v>
      </c>
      <c r="G8576" t="s">
        <v>58</v>
      </c>
      <c r="H8576" t="s">
        <v>68</v>
      </c>
      <c r="I8576">
        <v>26118</v>
      </c>
      <c r="J8576">
        <v>28581</v>
      </c>
    </row>
    <row r="8577" spans="1:10" x14ac:dyDescent="0.3">
      <c r="A8577" t="s">
        <v>8704</v>
      </c>
      <c r="B8577" s="1">
        <v>45761</v>
      </c>
      <c r="C8577" t="s">
        <v>86</v>
      </c>
      <c r="D8577">
        <v>16</v>
      </c>
      <c r="E8577" t="s">
        <v>61</v>
      </c>
      <c r="F8577" t="s">
        <v>25</v>
      </c>
      <c r="G8577" t="s">
        <v>54</v>
      </c>
      <c r="H8577" t="s">
        <v>111</v>
      </c>
      <c r="I8577">
        <v>23183</v>
      </c>
      <c r="J8577">
        <v>23233</v>
      </c>
    </row>
    <row r="8578" spans="1:10" x14ac:dyDescent="0.3">
      <c r="A8578" t="s">
        <v>8705</v>
      </c>
      <c r="B8578" s="1">
        <v>45716</v>
      </c>
      <c r="C8578" t="s">
        <v>82</v>
      </c>
      <c r="D8578">
        <v>9</v>
      </c>
      <c r="E8578" t="s">
        <v>12</v>
      </c>
      <c r="F8578" t="s">
        <v>29</v>
      </c>
      <c r="G8578" t="s">
        <v>234</v>
      </c>
      <c r="H8578" t="s">
        <v>103</v>
      </c>
      <c r="I8578">
        <v>32034</v>
      </c>
      <c r="J8578">
        <v>27321</v>
      </c>
    </row>
    <row r="8579" spans="1:10" x14ac:dyDescent="0.3">
      <c r="A8579" t="s">
        <v>8706</v>
      </c>
      <c r="B8579" s="1">
        <v>45921</v>
      </c>
      <c r="C8579" t="s">
        <v>38</v>
      </c>
      <c r="D8579">
        <v>38</v>
      </c>
      <c r="E8579" t="s">
        <v>70</v>
      </c>
      <c r="F8579" t="s">
        <v>193</v>
      </c>
      <c r="G8579" t="s">
        <v>63</v>
      </c>
      <c r="H8579" t="s">
        <v>119</v>
      </c>
      <c r="I8579">
        <v>15621</v>
      </c>
      <c r="J8579">
        <v>16454</v>
      </c>
    </row>
    <row r="8580" spans="1:10" x14ac:dyDescent="0.3">
      <c r="A8580" t="s">
        <v>8707</v>
      </c>
      <c r="B8580" s="1">
        <v>45669</v>
      </c>
      <c r="C8580" t="s">
        <v>17</v>
      </c>
      <c r="D8580">
        <v>2</v>
      </c>
      <c r="E8580" t="s">
        <v>70</v>
      </c>
      <c r="F8580" t="s">
        <v>57</v>
      </c>
      <c r="G8580" t="s">
        <v>141</v>
      </c>
      <c r="H8580" t="s">
        <v>163</v>
      </c>
      <c r="I8580">
        <v>38579</v>
      </c>
      <c r="J8580">
        <v>43442</v>
      </c>
    </row>
    <row r="8581" spans="1:10" x14ac:dyDescent="0.3">
      <c r="A8581" t="s">
        <v>8708</v>
      </c>
      <c r="B8581" s="1">
        <v>45868</v>
      </c>
      <c r="C8581" t="s">
        <v>11</v>
      </c>
      <c r="D8581">
        <v>31</v>
      </c>
      <c r="E8581" t="s">
        <v>18</v>
      </c>
      <c r="F8581" t="s">
        <v>25</v>
      </c>
      <c r="G8581" t="s">
        <v>40</v>
      </c>
      <c r="H8581" t="s">
        <v>15</v>
      </c>
      <c r="I8581">
        <v>25278</v>
      </c>
      <c r="J8581">
        <v>27274</v>
      </c>
    </row>
    <row r="8582" spans="1:10" x14ac:dyDescent="0.3">
      <c r="A8582" t="s">
        <v>8709</v>
      </c>
      <c r="B8582" s="1">
        <v>45909</v>
      </c>
      <c r="C8582" t="s">
        <v>38</v>
      </c>
      <c r="D8582">
        <v>37</v>
      </c>
      <c r="E8582" t="s">
        <v>12</v>
      </c>
      <c r="F8582" t="s">
        <v>19</v>
      </c>
      <c r="G8582" t="s">
        <v>291</v>
      </c>
      <c r="H8582" t="s">
        <v>31</v>
      </c>
      <c r="I8582">
        <v>17623</v>
      </c>
      <c r="J8582">
        <v>21011</v>
      </c>
    </row>
    <row r="8583" spans="1:10" x14ac:dyDescent="0.3">
      <c r="A8583" t="s">
        <v>8710</v>
      </c>
      <c r="B8583" s="1">
        <v>45924</v>
      </c>
      <c r="C8583" t="s">
        <v>38</v>
      </c>
      <c r="D8583">
        <v>39</v>
      </c>
      <c r="E8583" t="s">
        <v>61</v>
      </c>
      <c r="F8583" t="s">
        <v>34</v>
      </c>
      <c r="G8583" t="s">
        <v>20</v>
      </c>
      <c r="H8583" t="s">
        <v>123</v>
      </c>
      <c r="I8583">
        <v>18799</v>
      </c>
      <c r="J8583">
        <v>13963</v>
      </c>
    </row>
    <row r="8584" spans="1:10" x14ac:dyDescent="0.3">
      <c r="A8584" t="s">
        <v>8711</v>
      </c>
      <c r="B8584" s="1">
        <v>45687</v>
      </c>
      <c r="C8584" t="s">
        <v>17</v>
      </c>
      <c r="D8584">
        <v>5</v>
      </c>
      <c r="E8584" t="s">
        <v>61</v>
      </c>
      <c r="F8584" t="s">
        <v>114</v>
      </c>
      <c r="G8584" t="s">
        <v>191</v>
      </c>
      <c r="H8584" t="s">
        <v>68</v>
      </c>
      <c r="I8584">
        <v>35801</v>
      </c>
      <c r="J8584">
        <v>44501</v>
      </c>
    </row>
    <row r="8585" spans="1:10" x14ac:dyDescent="0.3">
      <c r="A8585" t="s">
        <v>8712</v>
      </c>
      <c r="B8585" s="1">
        <v>45750</v>
      </c>
      <c r="C8585" t="s">
        <v>86</v>
      </c>
      <c r="D8585">
        <v>14</v>
      </c>
      <c r="E8585" t="s">
        <v>12</v>
      </c>
      <c r="F8585" t="s">
        <v>122</v>
      </c>
      <c r="G8585" t="s">
        <v>132</v>
      </c>
      <c r="H8585" t="s">
        <v>31</v>
      </c>
      <c r="I8585">
        <v>26666</v>
      </c>
      <c r="J8585">
        <v>28463</v>
      </c>
    </row>
    <row r="8586" spans="1:10" x14ac:dyDescent="0.3">
      <c r="A8586" t="s">
        <v>8713</v>
      </c>
      <c r="B8586" s="1">
        <v>45812</v>
      </c>
      <c r="C8586" t="s">
        <v>74</v>
      </c>
      <c r="D8586">
        <v>23</v>
      </c>
      <c r="E8586" t="s">
        <v>12</v>
      </c>
      <c r="F8586" t="s">
        <v>193</v>
      </c>
      <c r="G8586" t="s">
        <v>72</v>
      </c>
      <c r="H8586" t="s">
        <v>27</v>
      </c>
      <c r="I8586">
        <v>37838</v>
      </c>
      <c r="J8586">
        <v>40641</v>
      </c>
    </row>
    <row r="8587" spans="1:10" x14ac:dyDescent="0.3">
      <c r="A8587" t="s">
        <v>8714</v>
      </c>
      <c r="B8587" s="1">
        <v>45989</v>
      </c>
      <c r="C8587" t="s">
        <v>23</v>
      </c>
      <c r="D8587">
        <v>48</v>
      </c>
      <c r="E8587" t="s">
        <v>39</v>
      </c>
      <c r="F8587" t="s">
        <v>19</v>
      </c>
      <c r="G8587" t="s">
        <v>324</v>
      </c>
      <c r="H8587" t="s">
        <v>188</v>
      </c>
      <c r="I8587">
        <v>29437</v>
      </c>
      <c r="J8587">
        <v>27491</v>
      </c>
    </row>
    <row r="8588" spans="1:10" x14ac:dyDescent="0.3">
      <c r="A8588" t="s">
        <v>8715</v>
      </c>
      <c r="B8588" s="1">
        <v>45710</v>
      </c>
      <c r="C8588" t="s">
        <v>82</v>
      </c>
      <c r="D8588">
        <v>8</v>
      </c>
      <c r="E8588" t="s">
        <v>18</v>
      </c>
      <c r="F8588" t="s">
        <v>78</v>
      </c>
      <c r="G8588" t="s">
        <v>191</v>
      </c>
      <c r="H8588" t="s">
        <v>84</v>
      </c>
      <c r="I8588">
        <v>38618</v>
      </c>
      <c r="J8588">
        <v>47113</v>
      </c>
    </row>
    <row r="8589" spans="1:10" x14ac:dyDescent="0.3">
      <c r="A8589" t="s">
        <v>8716</v>
      </c>
      <c r="B8589" s="1">
        <v>45698</v>
      </c>
      <c r="C8589" t="s">
        <v>82</v>
      </c>
      <c r="D8589">
        <v>7</v>
      </c>
      <c r="E8589" t="s">
        <v>70</v>
      </c>
      <c r="F8589" t="s">
        <v>57</v>
      </c>
      <c r="G8589" t="s">
        <v>266</v>
      </c>
      <c r="H8589" t="s">
        <v>64</v>
      </c>
      <c r="I8589">
        <v>28741</v>
      </c>
      <c r="J8589">
        <v>35853</v>
      </c>
    </row>
    <row r="8590" spans="1:10" x14ac:dyDescent="0.3">
      <c r="A8590" t="s">
        <v>8717</v>
      </c>
      <c r="B8590" s="1">
        <v>45700</v>
      </c>
      <c r="C8590" t="s">
        <v>82</v>
      </c>
      <c r="D8590">
        <v>7</v>
      </c>
      <c r="E8590" t="s">
        <v>33</v>
      </c>
      <c r="F8590" t="s">
        <v>57</v>
      </c>
      <c r="G8590" t="s">
        <v>160</v>
      </c>
      <c r="H8590" t="s">
        <v>163</v>
      </c>
      <c r="I8590">
        <v>30805</v>
      </c>
      <c r="J8590">
        <v>27257</v>
      </c>
    </row>
    <row r="8591" spans="1:10" x14ac:dyDescent="0.3">
      <c r="A8591" t="s">
        <v>8718</v>
      </c>
      <c r="B8591" s="1">
        <v>45781</v>
      </c>
      <c r="C8591" t="s">
        <v>90</v>
      </c>
      <c r="D8591">
        <v>18</v>
      </c>
      <c r="E8591" t="s">
        <v>33</v>
      </c>
      <c r="F8591" t="s">
        <v>101</v>
      </c>
      <c r="G8591" t="s">
        <v>191</v>
      </c>
      <c r="H8591" t="s">
        <v>15</v>
      </c>
      <c r="I8591">
        <v>22881</v>
      </c>
      <c r="J8591">
        <v>27332</v>
      </c>
    </row>
    <row r="8592" spans="1:10" x14ac:dyDescent="0.3">
      <c r="A8592" t="s">
        <v>8719</v>
      </c>
      <c r="B8592" s="1">
        <v>45749</v>
      </c>
      <c r="C8592" t="s">
        <v>86</v>
      </c>
      <c r="D8592">
        <v>14</v>
      </c>
      <c r="E8592" t="s">
        <v>18</v>
      </c>
      <c r="F8592" t="s">
        <v>43</v>
      </c>
      <c r="G8592" t="s">
        <v>171</v>
      </c>
      <c r="H8592" t="s">
        <v>36</v>
      </c>
      <c r="I8592">
        <v>21225</v>
      </c>
      <c r="J8592">
        <v>15792</v>
      </c>
    </row>
    <row r="8593" spans="1:10" x14ac:dyDescent="0.3">
      <c r="A8593" t="s">
        <v>8720</v>
      </c>
      <c r="B8593" s="1">
        <v>45912</v>
      </c>
      <c r="C8593" t="s">
        <v>38</v>
      </c>
      <c r="D8593">
        <v>37</v>
      </c>
      <c r="E8593" t="s">
        <v>24</v>
      </c>
      <c r="F8593" t="s">
        <v>19</v>
      </c>
      <c r="G8593" t="s">
        <v>58</v>
      </c>
      <c r="H8593" t="s">
        <v>151</v>
      </c>
      <c r="I8593">
        <v>36558</v>
      </c>
      <c r="J8593">
        <v>45093</v>
      </c>
    </row>
    <row r="8594" spans="1:10" x14ac:dyDescent="0.3">
      <c r="A8594" t="s">
        <v>8721</v>
      </c>
      <c r="B8594" s="1">
        <v>46000</v>
      </c>
      <c r="C8594" t="s">
        <v>100</v>
      </c>
      <c r="D8594">
        <v>50</v>
      </c>
      <c r="E8594" t="s">
        <v>12</v>
      </c>
      <c r="F8594" t="s">
        <v>78</v>
      </c>
      <c r="G8594" t="s">
        <v>149</v>
      </c>
      <c r="H8594" t="s">
        <v>80</v>
      </c>
      <c r="I8594">
        <v>28886</v>
      </c>
      <c r="J8594">
        <v>33237</v>
      </c>
    </row>
    <row r="8595" spans="1:10" x14ac:dyDescent="0.3">
      <c r="A8595" t="s">
        <v>8722</v>
      </c>
      <c r="B8595" s="1">
        <v>45729</v>
      </c>
      <c r="C8595" t="s">
        <v>95</v>
      </c>
      <c r="D8595">
        <v>11</v>
      </c>
      <c r="E8595" t="s">
        <v>39</v>
      </c>
      <c r="F8595" t="s">
        <v>43</v>
      </c>
      <c r="G8595" t="s">
        <v>160</v>
      </c>
      <c r="H8595" t="s">
        <v>123</v>
      </c>
      <c r="I8595">
        <v>27458</v>
      </c>
      <c r="J8595">
        <v>33458</v>
      </c>
    </row>
    <row r="8596" spans="1:10" x14ac:dyDescent="0.3">
      <c r="A8596" t="s">
        <v>8723</v>
      </c>
      <c r="B8596" s="1">
        <v>45963</v>
      </c>
      <c r="C8596" t="s">
        <v>23</v>
      </c>
      <c r="D8596">
        <v>44</v>
      </c>
      <c r="E8596" t="s">
        <v>12</v>
      </c>
      <c r="F8596" t="s">
        <v>114</v>
      </c>
      <c r="G8596" t="s">
        <v>137</v>
      </c>
      <c r="H8596" t="s">
        <v>119</v>
      </c>
      <c r="I8596">
        <v>29334</v>
      </c>
      <c r="J8596">
        <v>20621</v>
      </c>
    </row>
    <row r="8597" spans="1:10" x14ac:dyDescent="0.3">
      <c r="A8597" t="s">
        <v>8724</v>
      </c>
      <c r="B8597" s="1">
        <v>45678</v>
      </c>
      <c r="C8597" t="s">
        <v>17</v>
      </c>
      <c r="D8597">
        <v>4</v>
      </c>
      <c r="E8597" t="s">
        <v>70</v>
      </c>
      <c r="F8597" t="s">
        <v>75</v>
      </c>
      <c r="G8597" t="s">
        <v>147</v>
      </c>
      <c r="H8597" t="s">
        <v>68</v>
      </c>
      <c r="I8597">
        <v>27343</v>
      </c>
      <c r="J8597">
        <v>29656</v>
      </c>
    </row>
    <row r="8598" spans="1:10" x14ac:dyDescent="0.3">
      <c r="A8598" t="s">
        <v>8725</v>
      </c>
      <c r="B8598" s="1">
        <v>45922</v>
      </c>
      <c r="C8598" t="s">
        <v>38</v>
      </c>
      <c r="D8598">
        <v>39</v>
      </c>
      <c r="E8598" t="s">
        <v>70</v>
      </c>
      <c r="F8598" t="s">
        <v>193</v>
      </c>
      <c r="G8598" t="s">
        <v>14</v>
      </c>
      <c r="H8598" t="s">
        <v>55</v>
      </c>
      <c r="I8598">
        <v>30910</v>
      </c>
      <c r="J8598">
        <v>32005</v>
      </c>
    </row>
    <row r="8599" spans="1:10" x14ac:dyDescent="0.3">
      <c r="A8599" t="s">
        <v>8726</v>
      </c>
      <c r="B8599" s="1">
        <v>45826</v>
      </c>
      <c r="C8599" t="s">
        <v>74</v>
      </c>
      <c r="D8599">
        <v>25</v>
      </c>
      <c r="E8599" t="s">
        <v>70</v>
      </c>
      <c r="F8599" t="s">
        <v>29</v>
      </c>
      <c r="G8599" t="s">
        <v>130</v>
      </c>
      <c r="H8599" t="s">
        <v>103</v>
      </c>
      <c r="I8599">
        <v>24948</v>
      </c>
      <c r="J8599">
        <v>18921</v>
      </c>
    </row>
    <row r="8600" spans="1:10" x14ac:dyDescent="0.3">
      <c r="A8600" t="s">
        <v>8727</v>
      </c>
      <c r="B8600" s="1">
        <v>45845</v>
      </c>
      <c r="C8600" t="s">
        <v>11</v>
      </c>
      <c r="D8600">
        <v>28</v>
      </c>
      <c r="E8600" t="s">
        <v>12</v>
      </c>
      <c r="F8600" t="s">
        <v>75</v>
      </c>
      <c r="G8600" t="s">
        <v>58</v>
      </c>
      <c r="H8600" t="s">
        <v>165</v>
      </c>
      <c r="I8600">
        <v>29160</v>
      </c>
      <c r="J8600">
        <v>31008</v>
      </c>
    </row>
    <row r="8601" spans="1:10" x14ac:dyDescent="0.3">
      <c r="A8601" t="s">
        <v>8728</v>
      </c>
      <c r="B8601" s="1">
        <v>45903</v>
      </c>
      <c r="C8601" t="s">
        <v>38</v>
      </c>
      <c r="D8601">
        <v>36</v>
      </c>
      <c r="E8601" t="s">
        <v>24</v>
      </c>
      <c r="F8601" t="s">
        <v>29</v>
      </c>
      <c r="G8601" t="s">
        <v>130</v>
      </c>
      <c r="H8601" t="s">
        <v>155</v>
      </c>
      <c r="I8601">
        <v>22672</v>
      </c>
      <c r="J8601">
        <v>28684</v>
      </c>
    </row>
    <row r="8602" spans="1:10" x14ac:dyDescent="0.3">
      <c r="A8602" t="s">
        <v>8729</v>
      </c>
      <c r="B8602" s="1">
        <v>45771</v>
      </c>
      <c r="C8602" t="s">
        <v>86</v>
      </c>
      <c r="D8602">
        <v>17</v>
      </c>
      <c r="E8602" t="s">
        <v>12</v>
      </c>
      <c r="F8602" t="s">
        <v>114</v>
      </c>
      <c r="G8602" t="s">
        <v>266</v>
      </c>
      <c r="H8602" t="s">
        <v>48</v>
      </c>
      <c r="I8602">
        <v>31152</v>
      </c>
      <c r="J8602">
        <v>32093</v>
      </c>
    </row>
    <row r="8603" spans="1:10" x14ac:dyDescent="0.3">
      <c r="A8603" t="s">
        <v>8730</v>
      </c>
      <c r="B8603" s="1">
        <v>45679</v>
      </c>
      <c r="C8603" t="s">
        <v>17</v>
      </c>
      <c r="D8603">
        <v>4</v>
      </c>
      <c r="E8603" t="s">
        <v>18</v>
      </c>
      <c r="F8603" t="s">
        <v>114</v>
      </c>
      <c r="G8603" t="s">
        <v>128</v>
      </c>
      <c r="H8603" t="s">
        <v>31</v>
      </c>
      <c r="I8603">
        <v>32326</v>
      </c>
      <c r="J8603">
        <v>32677</v>
      </c>
    </row>
    <row r="8604" spans="1:10" x14ac:dyDescent="0.3">
      <c r="A8604" t="s">
        <v>8731</v>
      </c>
      <c r="B8604" s="1">
        <v>45953</v>
      </c>
      <c r="C8604" t="s">
        <v>66</v>
      </c>
      <c r="D8604">
        <v>43</v>
      </c>
      <c r="E8604" t="s">
        <v>24</v>
      </c>
      <c r="F8604" t="s">
        <v>87</v>
      </c>
      <c r="G8604" t="s">
        <v>145</v>
      </c>
      <c r="H8604" t="s">
        <v>98</v>
      </c>
      <c r="I8604">
        <v>25295</v>
      </c>
      <c r="J8604">
        <v>21789</v>
      </c>
    </row>
    <row r="8605" spans="1:10" x14ac:dyDescent="0.3">
      <c r="A8605" t="s">
        <v>8732</v>
      </c>
      <c r="B8605" s="1">
        <v>45963</v>
      </c>
      <c r="C8605" t="s">
        <v>23</v>
      </c>
      <c r="D8605">
        <v>44</v>
      </c>
      <c r="E8605" t="s">
        <v>70</v>
      </c>
      <c r="F8605" t="s">
        <v>34</v>
      </c>
      <c r="G8605" t="s">
        <v>132</v>
      </c>
      <c r="H8605" t="s">
        <v>123</v>
      </c>
      <c r="I8605">
        <v>21836</v>
      </c>
      <c r="J8605">
        <v>17647</v>
      </c>
    </row>
    <row r="8606" spans="1:10" x14ac:dyDescent="0.3">
      <c r="A8606" t="s">
        <v>8733</v>
      </c>
      <c r="B8606" s="1">
        <v>45860</v>
      </c>
      <c r="C8606" t="s">
        <v>11</v>
      </c>
      <c r="D8606">
        <v>30</v>
      </c>
      <c r="E8606" t="s">
        <v>61</v>
      </c>
      <c r="F8606" t="s">
        <v>109</v>
      </c>
      <c r="G8606" t="s">
        <v>76</v>
      </c>
      <c r="H8606" t="s">
        <v>48</v>
      </c>
      <c r="I8606">
        <v>23355</v>
      </c>
      <c r="J8606">
        <v>25484</v>
      </c>
    </row>
    <row r="8607" spans="1:10" x14ac:dyDescent="0.3">
      <c r="A8607" t="s">
        <v>8734</v>
      </c>
      <c r="B8607" s="1">
        <v>45757</v>
      </c>
      <c r="C8607" t="s">
        <v>86</v>
      </c>
      <c r="D8607">
        <v>15</v>
      </c>
      <c r="E8607" t="s">
        <v>12</v>
      </c>
      <c r="F8607" t="s">
        <v>109</v>
      </c>
      <c r="G8607" t="s">
        <v>224</v>
      </c>
      <c r="H8607" t="s">
        <v>163</v>
      </c>
      <c r="I8607">
        <v>33189</v>
      </c>
      <c r="J8607">
        <v>41966</v>
      </c>
    </row>
    <row r="8608" spans="1:10" x14ac:dyDescent="0.3">
      <c r="A8608" t="s">
        <v>8735</v>
      </c>
      <c r="B8608" s="1">
        <v>45903</v>
      </c>
      <c r="C8608" t="s">
        <v>38</v>
      </c>
      <c r="D8608">
        <v>36</v>
      </c>
      <c r="E8608" t="s">
        <v>61</v>
      </c>
      <c r="F8608" t="s">
        <v>114</v>
      </c>
      <c r="G8608" t="s">
        <v>67</v>
      </c>
      <c r="H8608" t="s">
        <v>119</v>
      </c>
      <c r="I8608">
        <v>29750</v>
      </c>
      <c r="J8608">
        <v>28658</v>
      </c>
    </row>
    <row r="8609" spans="1:10" x14ac:dyDescent="0.3">
      <c r="A8609" t="s">
        <v>8736</v>
      </c>
      <c r="B8609" s="1">
        <v>45940</v>
      </c>
      <c r="C8609" t="s">
        <v>66</v>
      </c>
      <c r="D8609">
        <v>41</v>
      </c>
      <c r="E8609" t="s">
        <v>33</v>
      </c>
      <c r="F8609" t="s">
        <v>13</v>
      </c>
      <c r="G8609" t="s">
        <v>291</v>
      </c>
      <c r="H8609" t="s">
        <v>243</v>
      </c>
      <c r="I8609">
        <v>36587</v>
      </c>
      <c r="J8609">
        <v>26426</v>
      </c>
    </row>
    <row r="8610" spans="1:10" x14ac:dyDescent="0.3">
      <c r="A8610" t="s">
        <v>8737</v>
      </c>
      <c r="B8610" s="1">
        <v>45825</v>
      </c>
      <c r="C8610" t="s">
        <v>74</v>
      </c>
      <c r="D8610">
        <v>25</v>
      </c>
      <c r="E8610" t="s">
        <v>12</v>
      </c>
      <c r="F8610" t="s">
        <v>92</v>
      </c>
      <c r="G8610" t="s">
        <v>230</v>
      </c>
      <c r="H8610" t="s">
        <v>36</v>
      </c>
      <c r="I8610">
        <v>30957</v>
      </c>
      <c r="J8610">
        <v>35939</v>
      </c>
    </row>
    <row r="8611" spans="1:10" x14ac:dyDescent="0.3">
      <c r="A8611" t="s">
        <v>8738</v>
      </c>
      <c r="B8611" s="1">
        <v>45755</v>
      </c>
      <c r="C8611" t="s">
        <v>86</v>
      </c>
      <c r="D8611">
        <v>15</v>
      </c>
      <c r="E8611" t="s">
        <v>61</v>
      </c>
      <c r="F8611" t="s">
        <v>34</v>
      </c>
      <c r="G8611" t="s">
        <v>326</v>
      </c>
      <c r="H8611" t="s">
        <v>151</v>
      </c>
      <c r="I8611">
        <v>23461</v>
      </c>
      <c r="J8611">
        <v>25687</v>
      </c>
    </row>
    <row r="8612" spans="1:10" x14ac:dyDescent="0.3">
      <c r="A8612" t="s">
        <v>8739</v>
      </c>
      <c r="B8612" s="1">
        <v>45888</v>
      </c>
      <c r="C8612" t="s">
        <v>113</v>
      </c>
      <c r="D8612">
        <v>34</v>
      </c>
      <c r="E8612" t="s">
        <v>12</v>
      </c>
      <c r="F8612" t="s">
        <v>193</v>
      </c>
      <c r="G8612" t="s">
        <v>126</v>
      </c>
      <c r="H8612" t="s">
        <v>111</v>
      </c>
      <c r="I8612">
        <v>20342</v>
      </c>
      <c r="J8612">
        <v>15618</v>
      </c>
    </row>
    <row r="8613" spans="1:10" x14ac:dyDescent="0.3">
      <c r="A8613" t="s">
        <v>8740</v>
      </c>
      <c r="B8613" s="1">
        <v>45879</v>
      </c>
      <c r="C8613" t="s">
        <v>113</v>
      </c>
      <c r="D8613">
        <v>32</v>
      </c>
      <c r="E8613" t="s">
        <v>33</v>
      </c>
      <c r="F8613" t="s">
        <v>114</v>
      </c>
      <c r="G8613" t="s">
        <v>83</v>
      </c>
      <c r="H8613" t="s">
        <v>98</v>
      </c>
      <c r="I8613">
        <v>33278</v>
      </c>
      <c r="J8613">
        <v>23744</v>
      </c>
    </row>
    <row r="8614" spans="1:10" x14ac:dyDescent="0.3">
      <c r="A8614" t="s">
        <v>8741</v>
      </c>
      <c r="B8614" s="1">
        <v>45776</v>
      </c>
      <c r="C8614" t="s">
        <v>86</v>
      </c>
      <c r="D8614">
        <v>18</v>
      </c>
      <c r="E8614" t="s">
        <v>12</v>
      </c>
      <c r="F8614" t="s">
        <v>122</v>
      </c>
      <c r="G8614" t="s">
        <v>107</v>
      </c>
      <c r="H8614" t="s">
        <v>31</v>
      </c>
      <c r="I8614">
        <v>23786</v>
      </c>
      <c r="J8614">
        <v>27206</v>
      </c>
    </row>
    <row r="8615" spans="1:10" x14ac:dyDescent="0.3">
      <c r="A8615" t="s">
        <v>8742</v>
      </c>
      <c r="B8615" s="1">
        <v>45886</v>
      </c>
      <c r="C8615" t="s">
        <v>113</v>
      </c>
      <c r="D8615">
        <v>33</v>
      </c>
      <c r="E8615" t="s">
        <v>33</v>
      </c>
      <c r="F8615" t="s">
        <v>109</v>
      </c>
      <c r="G8615" t="s">
        <v>253</v>
      </c>
      <c r="H8615" t="s">
        <v>157</v>
      </c>
      <c r="I8615">
        <v>24493</v>
      </c>
      <c r="J8615">
        <v>25062</v>
      </c>
    </row>
    <row r="8616" spans="1:10" x14ac:dyDescent="0.3">
      <c r="A8616" t="s">
        <v>8743</v>
      </c>
      <c r="B8616" s="1">
        <v>45947</v>
      </c>
      <c r="C8616" t="s">
        <v>66</v>
      </c>
      <c r="D8616">
        <v>42</v>
      </c>
      <c r="E8616" t="s">
        <v>39</v>
      </c>
      <c r="F8616" t="s">
        <v>62</v>
      </c>
      <c r="G8616" t="s">
        <v>128</v>
      </c>
      <c r="H8616" t="s">
        <v>52</v>
      </c>
      <c r="I8616">
        <v>31248</v>
      </c>
      <c r="J8616">
        <v>29010</v>
      </c>
    </row>
    <row r="8617" spans="1:10" x14ac:dyDescent="0.3">
      <c r="A8617" t="s">
        <v>8744</v>
      </c>
      <c r="B8617" s="1">
        <v>45794</v>
      </c>
      <c r="C8617" t="s">
        <v>90</v>
      </c>
      <c r="D8617">
        <v>20</v>
      </c>
      <c r="E8617" t="s">
        <v>24</v>
      </c>
      <c r="F8617" t="s">
        <v>140</v>
      </c>
      <c r="G8617" t="s">
        <v>76</v>
      </c>
      <c r="H8617" t="s">
        <v>68</v>
      </c>
      <c r="I8617">
        <v>31445</v>
      </c>
      <c r="J8617">
        <v>24405</v>
      </c>
    </row>
    <row r="8618" spans="1:10" x14ac:dyDescent="0.3">
      <c r="A8618" t="s">
        <v>8745</v>
      </c>
      <c r="B8618" s="1">
        <v>45800</v>
      </c>
      <c r="C8618" t="s">
        <v>90</v>
      </c>
      <c r="D8618">
        <v>21</v>
      </c>
      <c r="E8618" t="s">
        <v>12</v>
      </c>
      <c r="F8618" t="s">
        <v>109</v>
      </c>
      <c r="G8618" t="s">
        <v>206</v>
      </c>
      <c r="H8618" t="s">
        <v>55</v>
      </c>
      <c r="I8618">
        <v>19770</v>
      </c>
      <c r="J8618">
        <v>18487</v>
      </c>
    </row>
    <row r="8619" spans="1:10" x14ac:dyDescent="0.3">
      <c r="A8619" t="s">
        <v>8746</v>
      </c>
      <c r="B8619" s="1">
        <v>45676</v>
      </c>
      <c r="C8619" t="s">
        <v>17</v>
      </c>
      <c r="D8619">
        <v>3</v>
      </c>
      <c r="E8619" t="s">
        <v>12</v>
      </c>
      <c r="F8619" t="s">
        <v>114</v>
      </c>
      <c r="G8619" t="s">
        <v>326</v>
      </c>
      <c r="H8619" t="s">
        <v>111</v>
      </c>
      <c r="I8619">
        <v>39704</v>
      </c>
      <c r="J8619">
        <v>31859</v>
      </c>
    </row>
    <row r="8620" spans="1:10" x14ac:dyDescent="0.3">
      <c r="A8620" t="s">
        <v>8747</v>
      </c>
      <c r="B8620" s="1">
        <v>45934</v>
      </c>
      <c r="C8620" t="s">
        <v>66</v>
      </c>
      <c r="D8620">
        <v>40</v>
      </c>
      <c r="E8620" t="s">
        <v>39</v>
      </c>
      <c r="F8620" t="s">
        <v>101</v>
      </c>
      <c r="G8620" t="s">
        <v>14</v>
      </c>
      <c r="H8620" t="s">
        <v>68</v>
      </c>
      <c r="I8620">
        <v>18458</v>
      </c>
      <c r="J8620">
        <v>21023</v>
      </c>
    </row>
    <row r="8621" spans="1:10" x14ac:dyDescent="0.3">
      <c r="A8621" t="s">
        <v>8748</v>
      </c>
      <c r="B8621" s="1">
        <v>45795</v>
      </c>
      <c r="C8621" t="s">
        <v>90</v>
      </c>
      <c r="D8621">
        <v>20</v>
      </c>
      <c r="E8621" t="s">
        <v>39</v>
      </c>
      <c r="F8621" t="s">
        <v>114</v>
      </c>
      <c r="G8621" t="s">
        <v>132</v>
      </c>
      <c r="H8621" t="s">
        <v>96</v>
      </c>
      <c r="I8621">
        <v>20167</v>
      </c>
      <c r="J8621">
        <v>25544</v>
      </c>
    </row>
    <row r="8622" spans="1:10" x14ac:dyDescent="0.3">
      <c r="A8622" t="s">
        <v>8749</v>
      </c>
      <c r="B8622" s="1">
        <v>45929</v>
      </c>
      <c r="C8622" t="s">
        <v>38</v>
      </c>
      <c r="D8622">
        <v>40</v>
      </c>
      <c r="E8622" t="s">
        <v>12</v>
      </c>
      <c r="F8622" t="s">
        <v>114</v>
      </c>
      <c r="G8622" t="s">
        <v>234</v>
      </c>
      <c r="H8622" t="s">
        <v>41</v>
      </c>
      <c r="I8622">
        <v>36640</v>
      </c>
      <c r="J8622">
        <v>28948</v>
      </c>
    </row>
    <row r="8623" spans="1:10" x14ac:dyDescent="0.3">
      <c r="A8623" t="s">
        <v>8750</v>
      </c>
      <c r="B8623" s="1">
        <v>45661</v>
      </c>
      <c r="C8623" t="s">
        <v>17</v>
      </c>
      <c r="D8623">
        <v>1</v>
      </c>
      <c r="E8623" t="s">
        <v>39</v>
      </c>
      <c r="F8623" t="s">
        <v>19</v>
      </c>
      <c r="G8623" t="s">
        <v>291</v>
      </c>
      <c r="H8623" t="s">
        <v>15</v>
      </c>
      <c r="I8623">
        <v>18861</v>
      </c>
      <c r="J8623">
        <v>19665</v>
      </c>
    </row>
    <row r="8624" spans="1:10" x14ac:dyDescent="0.3">
      <c r="A8624" t="s">
        <v>8751</v>
      </c>
      <c r="B8624" s="1">
        <v>45897</v>
      </c>
      <c r="C8624" t="s">
        <v>113</v>
      </c>
      <c r="D8624">
        <v>35</v>
      </c>
      <c r="E8624" t="s">
        <v>61</v>
      </c>
      <c r="F8624" t="s">
        <v>78</v>
      </c>
      <c r="G8624" t="s">
        <v>14</v>
      </c>
      <c r="H8624" t="s">
        <v>116</v>
      </c>
      <c r="I8624">
        <v>23607</v>
      </c>
      <c r="J8624">
        <v>18781</v>
      </c>
    </row>
    <row r="8625" spans="1:10" x14ac:dyDescent="0.3">
      <c r="A8625" t="s">
        <v>8752</v>
      </c>
      <c r="B8625" s="1">
        <v>45768</v>
      </c>
      <c r="C8625" t="s">
        <v>86</v>
      </c>
      <c r="D8625">
        <v>17</v>
      </c>
      <c r="E8625" t="s">
        <v>39</v>
      </c>
      <c r="F8625" t="s">
        <v>46</v>
      </c>
      <c r="G8625" t="s">
        <v>128</v>
      </c>
      <c r="H8625" t="s">
        <v>116</v>
      </c>
      <c r="I8625">
        <v>24346</v>
      </c>
      <c r="J8625">
        <v>21744</v>
      </c>
    </row>
    <row r="8626" spans="1:10" x14ac:dyDescent="0.3">
      <c r="A8626" t="s">
        <v>8753</v>
      </c>
      <c r="B8626" s="1">
        <v>45752</v>
      </c>
      <c r="C8626" t="s">
        <v>86</v>
      </c>
      <c r="D8626">
        <v>14</v>
      </c>
      <c r="E8626" t="s">
        <v>33</v>
      </c>
      <c r="F8626" t="s">
        <v>62</v>
      </c>
      <c r="G8626" t="s">
        <v>137</v>
      </c>
      <c r="H8626" t="s">
        <v>98</v>
      </c>
      <c r="I8626">
        <v>28253</v>
      </c>
      <c r="J8626">
        <v>34571</v>
      </c>
    </row>
    <row r="8627" spans="1:10" x14ac:dyDescent="0.3">
      <c r="A8627" t="s">
        <v>8754</v>
      </c>
      <c r="B8627" s="1">
        <v>45777</v>
      </c>
      <c r="C8627" t="s">
        <v>86</v>
      </c>
      <c r="D8627">
        <v>18</v>
      </c>
      <c r="E8627" t="s">
        <v>24</v>
      </c>
      <c r="F8627" t="s">
        <v>62</v>
      </c>
      <c r="G8627" t="s">
        <v>83</v>
      </c>
      <c r="H8627" t="s">
        <v>103</v>
      </c>
      <c r="I8627">
        <v>30426</v>
      </c>
      <c r="J8627">
        <v>38664</v>
      </c>
    </row>
    <row r="8628" spans="1:10" x14ac:dyDescent="0.3">
      <c r="A8628" t="s">
        <v>8755</v>
      </c>
      <c r="B8628" s="1">
        <v>45918</v>
      </c>
      <c r="C8628" t="s">
        <v>38</v>
      </c>
      <c r="D8628">
        <v>38</v>
      </c>
      <c r="E8628" t="s">
        <v>39</v>
      </c>
      <c r="F8628" t="s">
        <v>19</v>
      </c>
      <c r="G8628" t="s">
        <v>118</v>
      </c>
      <c r="H8628" t="s">
        <v>111</v>
      </c>
      <c r="I8628">
        <v>38678</v>
      </c>
      <c r="J8628">
        <v>33391</v>
      </c>
    </row>
    <row r="8629" spans="1:10" x14ac:dyDescent="0.3">
      <c r="A8629" t="s">
        <v>8756</v>
      </c>
      <c r="B8629" s="1">
        <v>45723</v>
      </c>
      <c r="C8629" t="s">
        <v>95</v>
      </c>
      <c r="D8629">
        <v>10</v>
      </c>
      <c r="E8629" t="s">
        <v>12</v>
      </c>
      <c r="F8629" t="s">
        <v>13</v>
      </c>
      <c r="G8629" t="s">
        <v>30</v>
      </c>
      <c r="H8629" t="s">
        <v>163</v>
      </c>
      <c r="I8629">
        <v>21212</v>
      </c>
      <c r="J8629">
        <v>27206</v>
      </c>
    </row>
    <row r="8630" spans="1:10" x14ac:dyDescent="0.3">
      <c r="A8630" t="s">
        <v>8757</v>
      </c>
      <c r="B8630" s="1">
        <v>45982</v>
      </c>
      <c r="C8630" t="s">
        <v>23</v>
      </c>
      <c r="D8630">
        <v>47</v>
      </c>
      <c r="E8630" t="s">
        <v>39</v>
      </c>
      <c r="F8630" t="s">
        <v>46</v>
      </c>
      <c r="G8630" t="s">
        <v>324</v>
      </c>
      <c r="H8630" t="s">
        <v>55</v>
      </c>
      <c r="I8630">
        <v>19680</v>
      </c>
      <c r="J8630">
        <v>14401</v>
      </c>
    </row>
    <row r="8631" spans="1:10" x14ac:dyDescent="0.3">
      <c r="A8631" t="s">
        <v>8758</v>
      </c>
      <c r="B8631" s="1">
        <v>45871</v>
      </c>
      <c r="C8631" t="s">
        <v>113</v>
      </c>
      <c r="D8631">
        <v>31</v>
      </c>
      <c r="E8631" t="s">
        <v>24</v>
      </c>
      <c r="F8631" t="s">
        <v>57</v>
      </c>
      <c r="G8631" t="s">
        <v>128</v>
      </c>
      <c r="H8631" t="s">
        <v>52</v>
      </c>
      <c r="I8631">
        <v>15435</v>
      </c>
      <c r="J8631">
        <v>13023</v>
      </c>
    </row>
    <row r="8632" spans="1:10" x14ac:dyDescent="0.3">
      <c r="A8632" t="s">
        <v>8759</v>
      </c>
      <c r="B8632" s="1">
        <v>45890</v>
      </c>
      <c r="C8632" t="s">
        <v>113</v>
      </c>
      <c r="D8632">
        <v>34</v>
      </c>
      <c r="E8632" t="s">
        <v>33</v>
      </c>
      <c r="F8632" t="s">
        <v>43</v>
      </c>
      <c r="G8632" t="s">
        <v>147</v>
      </c>
      <c r="H8632" t="s">
        <v>52</v>
      </c>
      <c r="I8632">
        <v>22140</v>
      </c>
      <c r="J8632">
        <v>21713</v>
      </c>
    </row>
    <row r="8633" spans="1:10" x14ac:dyDescent="0.3">
      <c r="A8633" t="s">
        <v>8760</v>
      </c>
      <c r="B8633" s="1">
        <v>45793</v>
      </c>
      <c r="C8633" t="s">
        <v>90</v>
      </c>
      <c r="D8633">
        <v>20</v>
      </c>
      <c r="E8633" t="s">
        <v>33</v>
      </c>
      <c r="F8633" t="s">
        <v>75</v>
      </c>
      <c r="G8633" t="s">
        <v>149</v>
      </c>
      <c r="H8633" t="s">
        <v>41</v>
      </c>
      <c r="I8633">
        <v>20911</v>
      </c>
      <c r="J8633">
        <v>20266</v>
      </c>
    </row>
    <row r="8634" spans="1:10" x14ac:dyDescent="0.3">
      <c r="A8634" t="s">
        <v>8761</v>
      </c>
      <c r="B8634" s="1">
        <v>45830</v>
      </c>
      <c r="C8634" t="s">
        <v>74</v>
      </c>
      <c r="D8634">
        <v>25</v>
      </c>
      <c r="E8634" t="s">
        <v>61</v>
      </c>
      <c r="F8634" t="s">
        <v>92</v>
      </c>
      <c r="G8634" t="s">
        <v>118</v>
      </c>
      <c r="H8634" t="s">
        <v>119</v>
      </c>
      <c r="I8634">
        <v>30842</v>
      </c>
      <c r="J8634">
        <v>22896</v>
      </c>
    </row>
    <row r="8635" spans="1:10" x14ac:dyDescent="0.3">
      <c r="A8635" t="s">
        <v>8762</v>
      </c>
      <c r="B8635" s="1">
        <v>45965</v>
      </c>
      <c r="C8635" t="s">
        <v>23</v>
      </c>
      <c r="D8635">
        <v>45</v>
      </c>
      <c r="E8635" t="s">
        <v>39</v>
      </c>
      <c r="F8635" t="s">
        <v>46</v>
      </c>
      <c r="G8635" t="s">
        <v>83</v>
      </c>
      <c r="H8635" t="s">
        <v>111</v>
      </c>
      <c r="I8635">
        <v>30433</v>
      </c>
      <c r="J8635">
        <v>24659</v>
      </c>
    </row>
    <row r="8636" spans="1:10" x14ac:dyDescent="0.3">
      <c r="A8636" t="s">
        <v>8763</v>
      </c>
      <c r="B8636" s="1">
        <v>45704</v>
      </c>
      <c r="C8636" t="s">
        <v>82</v>
      </c>
      <c r="D8636">
        <v>7</v>
      </c>
      <c r="E8636" t="s">
        <v>33</v>
      </c>
      <c r="F8636" t="s">
        <v>19</v>
      </c>
      <c r="G8636" t="s">
        <v>145</v>
      </c>
      <c r="H8636" t="s">
        <v>163</v>
      </c>
      <c r="I8636">
        <v>39262</v>
      </c>
      <c r="J8636">
        <v>34349</v>
      </c>
    </row>
    <row r="8637" spans="1:10" x14ac:dyDescent="0.3">
      <c r="A8637" t="s">
        <v>8764</v>
      </c>
      <c r="B8637" s="1">
        <v>45763</v>
      </c>
      <c r="C8637" t="s">
        <v>86</v>
      </c>
      <c r="D8637">
        <v>16</v>
      </c>
      <c r="E8637" t="s">
        <v>39</v>
      </c>
      <c r="F8637" t="s">
        <v>78</v>
      </c>
      <c r="G8637" t="s">
        <v>58</v>
      </c>
      <c r="H8637" t="s">
        <v>21</v>
      </c>
      <c r="I8637">
        <v>23740</v>
      </c>
      <c r="J8637">
        <v>20149</v>
      </c>
    </row>
    <row r="8638" spans="1:10" x14ac:dyDescent="0.3">
      <c r="A8638" t="s">
        <v>8765</v>
      </c>
      <c r="B8638" s="1">
        <v>45908</v>
      </c>
      <c r="C8638" t="s">
        <v>38</v>
      </c>
      <c r="D8638">
        <v>37</v>
      </c>
      <c r="E8638" t="s">
        <v>70</v>
      </c>
      <c r="F8638" t="s">
        <v>34</v>
      </c>
      <c r="G8638" t="s">
        <v>126</v>
      </c>
      <c r="H8638" t="s">
        <v>52</v>
      </c>
      <c r="I8638">
        <v>29469</v>
      </c>
      <c r="J8638">
        <v>25516</v>
      </c>
    </row>
    <row r="8639" spans="1:10" x14ac:dyDescent="0.3">
      <c r="A8639" t="s">
        <v>8766</v>
      </c>
      <c r="B8639" s="1">
        <v>45886</v>
      </c>
      <c r="C8639" t="s">
        <v>113</v>
      </c>
      <c r="D8639">
        <v>33</v>
      </c>
      <c r="E8639" t="s">
        <v>18</v>
      </c>
      <c r="F8639" t="s">
        <v>114</v>
      </c>
      <c r="G8639" t="s">
        <v>20</v>
      </c>
      <c r="H8639" t="s">
        <v>163</v>
      </c>
      <c r="I8639">
        <v>26719</v>
      </c>
      <c r="J8639">
        <v>33483</v>
      </c>
    </row>
    <row r="8640" spans="1:10" x14ac:dyDescent="0.3">
      <c r="A8640" t="s">
        <v>8767</v>
      </c>
      <c r="B8640" s="1">
        <v>45689</v>
      </c>
      <c r="C8640" t="s">
        <v>82</v>
      </c>
      <c r="D8640">
        <v>5</v>
      </c>
      <c r="E8640" t="s">
        <v>12</v>
      </c>
      <c r="F8640" t="s">
        <v>19</v>
      </c>
      <c r="G8640" t="s">
        <v>93</v>
      </c>
      <c r="H8640" t="s">
        <v>84</v>
      </c>
      <c r="I8640">
        <v>21432</v>
      </c>
      <c r="J8640">
        <v>27434</v>
      </c>
    </row>
    <row r="8641" spans="1:10" x14ac:dyDescent="0.3">
      <c r="A8641" t="s">
        <v>8768</v>
      </c>
      <c r="B8641" s="1">
        <v>45658</v>
      </c>
      <c r="C8641" t="s">
        <v>17</v>
      </c>
      <c r="D8641">
        <v>1</v>
      </c>
      <c r="E8641" t="s">
        <v>39</v>
      </c>
      <c r="F8641" t="s">
        <v>109</v>
      </c>
      <c r="G8641" t="s">
        <v>40</v>
      </c>
      <c r="H8641" t="s">
        <v>96</v>
      </c>
      <c r="I8641">
        <v>17423</v>
      </c>
      <c r="J8641">
        <v>22543</v>
      </c>
    </row>
    <row r="8642" spans="1:10" x14ac:dyDescent="0.3">
      <c r="A8642" t="s">
        <v>8769</v>
      </c>
      <c r="B8642" s="1">
        <v>45822</v>
      </c>
      <c r="C8642" t="s">
        <v>74</v>
      </c>
      <c r="D8642">
        <v>24</v>
      </c>
      <c r="E8642" t="s">
        <v>70</v>
      </c>
      <c r="F8642" t="s">
        <v>13</v>
      </c>
      <c r="G8642" t="s">
        <v>147</v>
      </c>
      <c r="H8642" t="s">
        <v>84</v>
      </c>
      <c r="I8642">
        <v>38402</v>
      </c>
      <c r="J8642">
        <v>35089</v>
      </c>
    </row>
    <row r="8643" spans="1:10" x14ac:dyDescent="0.3">
      <c r="A8643" t="s">
        <v>8770</v>
      </c>
      <c r="B8643" s="1">
        <v>45777</v>
      </c>
      <c r="C8643" t="s">
        <v>86</v>
      </c>
      <c r="D8643">
        <v>18</v>
      </c>
      <c r="E8643" t="s">
        <v>61</v>
      </c>
      <c r="F8643" t="s">
        <v>101</v>
      </c>
      <c r="G8643" t="s">
        <v>199</v>
      </c>
      <c r="H8643" t="s">
        <v>155</v>
      </c>
      <c r="I8643">
        <v>25334</v>
      </c>
      <c r="J8643">
        <v>24674</v>
      </c>
    </row>
    <row r="8644" spans="1:10" x14ac:dyDescent="0.3">
      <c r="A8644" t="s">
        <v>8771</v>
      </c>
      <c r="B8644" s="1">
        <v>45848</v>
      </c>
      <c r="C8644" t="s">
        <v>11</v>
      </c>
      <c r="D8644">
        <v>28</v>
      </c>
      <c r="E8644" t="s">
        <v>24</v>
      </c>
      <c r="F8644" t="s">
        <v>193</v>
      </c>
      <c r="G8644" t="s">
        <v>44</v>
      </c>
      <c r="H8644" t="s">
        <v>41</v>
      </c>
      <c r="I8644">
        <v>17102</v>
      </c>
      <c r="J8644">
        <v>16644</v>
      </c>
    </row>
    <row r="8645" spans="1:10" x14ac:dyDescent="0.3">
      <c r="A8645" t="s">
        <v>8772</v>
      </c>
      <c r="B8645" s="1">
        <v>45715</v>
      </c>
      <c r="C8645" t="s">
        <v>82</v>
      </c>
      <c r="D8645">
        <v>9</v>
      </c>
      <c r="E8645" t="s">
        <v>24</v>
      </c>
      <c r="F8645" t="s">
        <v>34</v>
      </c>
      <c r="G8645" t="s">
        <v>118</v>
      </c>
      <c r="H8645" t="s">
        <v>59</v>
      </c>
      <c r="I8645">
        <v>29946</v>
      </c>
      <c r="J8645">
        <v>37858</v>
      </c>
    </row>
    <row r="8646" spans="1:10" x14ac:dyDescent="0.3">
      <c r="A8646" t="s">
        <v>8773</v>
      </c>
      <c r="B8646" s="1">
        <v>45985</v>
      </c>
      <c r="C8646" t="s">
        <v>23</v>
      </c>
      <c r="D8646">
        <v>48</v>
      </c>
      <c r="E8646" t="s">
        <v>61</v>
      </c>
      <c r="F8646" t="s">
        <v>122</v>
      </c>
      <c r="G8646" t="s">
        <v>128</v>
      </c>
      <c r="H8646" t="s">
        <v>15</v>
      </c>
      <c r="I8646">
        <v>24424</v>
      </c>
      <c r="J8646">
        <v>18327</v>
      </c>
    </row>
    <row r="8647" spans="1:10" x14ac:dyDescent="0.3">
      <c r="A8647" t="s">
        <v>8774</v>
      </c>
      <c r="B8647" s="1">
        <v>45985</v>
      </c>
      <c r="C8647" t="s">
        <v>23</v>
      </c>
      <c r="D8647">
        <v>48</v>
      </c>
      <c r="E8647" t="s">
        <v>61</v>
      </c>
      <c r="F8647" t="s">
        <v>114</v>
      </c>
      <c r="G8647" t="s">
        <v>147</v>
      </c>
      <c r="H8647" t="s">
        <v>96</v>
      </c>
      <c r="I8647">
        <v>19592</v>
      </c>
      <c r="J8647">
        <v>20365</v>
      </c>
    </row>
    <row r="8648" spans="1:10" x14ac:dyDescent="0.3">
      <c r="A8648" t="s">
        <v>8775</v>
      </c>
      <c r="B8648" s="1">
        <v>45806</v>
      </c>
      <c r="C8648" t="s">
        <v>90</v>
      </c>
      <c r="D8648">
        <v>22</v>
      </c>
      <c r="E8648" t="s">
        <v>12</v>
      </c>
      <c r="F8648" t="s">
        <v>92</v>
      </c>
      <c r="G8648" t="s">
        <v>76</v>
      </c>
      <c r="H8648" t="s">
        <v>119</v>
      </c>
      <c r="I8648">
        <v>18099</v>
      </c>
      <c r="J8648">
        <v>15281</v>
      </c>
    </row>
    <row r="8649" spans="1:10" x14ac:dyDescent="0.3">
      <c r="A8649" t="s">
        <v>8776</v>
      </c>
      <c r="B8649" s="1">
        <v>45713</v>
      </c>
      <c r="C8649" t="s">
        <v>82</v>
      </c>
      <c r="D8649">
        <v>9</v>
      </c>
      <c r="E8649" t="s">
        <v>61</v>
      </c>
      <c r="F8649" t="s">
        <v>140</v>
      </c>
      <c r="G8649" t="s">
        <v>44</v>
      </c>
      <c r="H8649" t="s">
        <v>80</v>
      </c>
      <c r="I8649">
        <v>18682</v>
      </c>
      <c r="J8649">
        <v>23341</v>
      </c>
    </row>
    <row r="8650" spans="1:10" x14ac:dyDescent="0.3">
      <c r="A8650" t="s">
        <v>8777</v>
      </c>
      <c r="B8650" s="1">
        <v>45764</v>
      </c>
      <c r="C8650" t="s">
        <v>86</v>
      </c>
      <c r="D8650">
        <v>16</v>
      </c>
      <c r="E8650" t="s">
        <v>33</v>
      </c>
      <c r="F8650" t="s">
        <v>19</v>
      </c>
      <c r="G8650" t="s">
        <v>291</v>
      </c>
      <c r="H8650" t="s">
        <v>188</v>
      </c>
      <c r="I8650">
        <v>30586</v>
      </c>
      <c r="J8650">
        <v>26096</v>
      </c>
    </row>
    <row r="8651" spans="1:10" x14ac:dyDescent="0.3">
      <c r="A8651" t="s">
        <v>8778</v>
      </c>
      <c r="B8651" s="1">
        <v>45943</v>
      </c>
      <c r="C8651" t="s">
        <v>66</v>
      </c>
      <c r="D8651">
        <v>42</v>
      </c>
      <c r="E8651" t="s">
        <v>24</v>
      </c>
      <c r="F8651" t="s">
        <v>140</v>
      </c>
      <c r="G8651" t="s">
        <v>83</v>
      </c>
      <c r="H8651" t="s">
        <v>243</v>
      </c>
      <c r="I8651">
        <v>26720</v>
      </c>
      <c r="J8651">
        <v>19777</v>
      </c>
    </row>
    <row r="8652" spans="1:10" x14ac:dyDescent="0.3">
      <c r="A8652" t="s">
        <v>8779</v>
      </c>
      <c r="B8652" s="1">
        <v>45995</v>
      </c>
      <c r="C8652" t="s">
        <v>100</v>
      </c>
      <c r="D8652">
        <v>49</v>
      </c>
      <c r="E8652" t="s">
        <v>12</v>
      </c>
      <c r="F8652" t="s">
        <v>193</v>
      </c>
      <c r="G8652" t="s">
        <v>191</v>
      </c>
      <c r="H8652" t="s">
        <v>52</v>
      </c>
      <c r="I8652">
        <v>38041</v>
      </c>
      <c r="J8652">
        <v>39967</v>
      </c>
    </row>
    <row r="8653" spans="1:10" x14ac:dyDescent="0.3">
      <c r="A8653" t="s">
        <v>8780</v>
      </c>
      <c r="B8653" s="1">
        <v>46007</v>
      </c>
      <c r="C8653" t="s">
        <v>100</v>
      </c>
      <c r="D8653">
        <v>51</v>
      </c>
      <c r="E8653" t="s">
        <v>33</v>
      </c>
      <c r="F8653" t="s">
        <v>25</v>
      </c>
      <c r="G8653" t="s">
        <v>67</v>
      </c>
      <c r="H8653" t="s">
        <v>41</v>
      </c>
      <c r="I8653">
        <v>30257</v>
      </c>
      <c r="J8653">
        <v>28885</v>
      </c>
    </row>
    <row r="8654" spans="1:10" x14ac:dyDescent="0.3">
      <c r="A8654" t="s">
        <v>8781</v>
      </c>
      <c r="B8654" s="1">
        <v>45739</v>
      </c>
      <c r="C8654" t="s">
        <v>95</v>
      </c>
      <c r="D8654">
        <v>12</v>
      </c>
      <c r="E8654" t="s">
        <v>18</v>
      </c>
      <c r="F8654" t="s">
        <v>109</v>
      </c>
      <c r="G8654" t="s">
        <v>110</v>
      </c>
      <c r="H8654" t="s">
        <v>21</v>
      </c>
      <c r="I8654">
        <v>38372</v>
      </c>
      <c r="J8654">
        <v>41263</v>
      </c>
    </row>
    <row r="8655" spans="1:10" x14ac:dyDescent="0.3">
      <c r="A8655" t="s">
        <v>8782</v>
      </c>
      <c r="B8655" s="1">
        <v>45911</v>
      </c>
      <c r="C8655" t="s">
        <v>38</v>
      </c>
      <c r="D8655">
        <v>37</v>
      </c>
      <c r="E8655" t="s">
        <v>61</v>
      </c>
      <c r="F8655" t="s">
        <v>122</v>
      </c>
      <c r="G8655" t="s">
        <v>20</v>
      </c>
      <c r="H8655" t="s">
        <v>133</v>
      </c>
      <c r="I8655">
        <v>33285</v>
      </c>
      <c r="J8655">
        <v>35573</v>
      </c>
    </row>
    <row r="8656" spans="1:10" x14ac:dyDescent="0.3">
      <c r="A8656" t="s">
        <v>8783</v>
      </c>
      <c r="B8656" s="1">
        <v>45900</v>
      </c>
      <c r="C8656" t="s">
        <v>113</v>
      </c>
      <c r="D8656">
        <v>35</v>
      </c>
      <c r="E8656" t="s">
        <v>18</v>
      </c>
      <c r="F8656" t="s">
        <v>29</v>
      </c>
      <c r="G8656" t="s">
        <v>44</v>
      </c>
      <c r="H8656" t="s">
        <v>55</v>
      </c>
      <c r="I8656">
        <v>34577</v>
      </c>
      <c r="J8656">
        <v>32236</v>
      </c>
    </row>
    <row r="8657" spans="1:10" x14ac:dyDescent="0.3">
      <c r="A8657" t="s">
        <v>8784</v>
      </c>
      <c r="B8657" s="1">
        <v>45838</v>
      </c>
      <c r="C8657" t="s">
        <v>74</v>
      </c>
      <c r="D8657">
        <v>27</v>
      </c>
      <c r="E8657" t="s">
        <v>33</v>
      </c>
      <c r="F8657" t="s">
        <v>140</v>
      </c>
      <c r="G8657" t="s">
        <v>234</v>
      </c>
      <c r="H8657" t="s">
        <v>111</v>
      </c>
      <c r="I8657">
        <v>37859</v>
      </c>
      <c r="J8657">
        <v>47760</v>
      </c>
    </row>
    <row r="8658" spans="1:10" x14ac:dyDescent="0.3">
      <c r="A8658" t="s">
        <v>8785</v>
      </c>
      <c r="B8658" s="1">
        <v>45783</v>
      </c>
      <c r="C8658" t="s">
        <v>90</v>
      </c>
      <c r="D8658">
        <v>19</v>
      </c>
      <c r="E8658" t="s">
        <v>12</v>
      </c>
      <c r="F8658" t="s">
        <v>57</v>
      </c>
      <c r="G8658" t="s">
        <v>83</v>
      </c>
      <c r="H8658" t="s">
        <v>111</v>
      </c>
      <c r="I8658">
        <v>38070</v>
      </c>
      <c r="J8658">
        <v>48365</v>
      </c>
    </row>
    <row r="8659" spans="1:10" x14ac:dyDescent="0.3">
      <c r="A8659" t="s">
        <v>8786</v>
      </c>
      <c r="B8659" s="1">
        <v>45741</v>
      </c>
      <c r="C8659" t="s">
        <v>95</v>
      </c>
      <c r="D8659">
        <v>13</v>
      </c>
      <c r="E8659" t="s">
        <v>24</v>
      </c>
      <c r="F8659" t="s">
        <v>46</v>
      </c>
      <c r="G8659" t="s">
        <v>47</v>
      </c>
      <c r="H8659" t="s">
        <v>133</v>
      </c>
      <c r="I8659">
        <v>37284</v>
      </c>
      <c r="J8659">
        <v>26580</v>
      </c>
    </row>
    <row r="8660" spans="1:10" x14ac:dyDescent="0.3">
      <c r="A8660" t="s">
        <v>8787</v>
      </c>
      <c r="B8660" s="1">
        <v>46009</v>
      </c>
      <c r="C8660" t="s">
        <v>100</v>
      </c>
      <c r="D8660">
        <v>51</v>
      </c>
      <c r="E8660" t="s">
        <v>12</v>
      </c>
      <c r="F8660" t="s">
        <v>92</v>
      </c>
      <c r="G8660" t="s">
        <v>83</v>
      </c>
      <c r="H8660" t="s">
        <v>211</v>
      </c>
      <c r="I8660">
        <v>24204</v>
      </c>
      <c r="J8660">
        <v>27144</v>
      </c>
    </row>
    <row r="8661" spans="1:10" x14ac:dyDescent="0.3">
      <c r="A8661" t="s">
        <v>8788</v>
      </c>
      <c r="B8661" s="1">
        <v>45747</v>
      </c>
      <c r="C8661" t="s">
        <v>95</v>
      </c>
      <c r="D8661">
        <v>14</v>
      </c>
      <c r="E8661" t="s">
        <v>12</v>
      </c>
      <c r="F8661" t="s">
        <v>19</v>
      </c>
      <c r="G8661" t="s">
        <v>171</v>
      </c>
      <c r="H8661" t="s">
        <v>48</v>
      </c>
      <c r="I8661">
        <v>16502</v>
      </c>
      <c r="J8661">
        <v>19832</v>
      </c>
    </row>
    <row r="8662" spans="1:10" x14ac:dyDescent="0.3">
      <c r="A8662" t="s">
        <v>8789</v>
      </c>
      <c r="B8662" s="1">
        <v>45735</v>
      </c>
      <c r="C8662" t="s">
        <v>95</v>
      </c>
      <c r="D8662">
        <v>12</v>
      </c>
      <c r="E8662" t="s">
        <v>12</v>
      </c>
      <c r="F8662" t="s">
        <v>114</v>
      </c>
      <c r="G8662" t="s">
        <v>160</v>
      </c>
      <c r="H8662" t="s">
        <v>84</v>
      </c>
      <c r="I8662">
        <v>28399</v>
      </c>
      <c r="J8662">
        <v>20809</v>
      </c>
    </row>
    <row r="8663" spans="1:10" x14ac:dyDescent="0.3">
      <c r="A8663" t="s">
        <v>8790</v>
      </c>
      <c r="B8663" s="1">
        <v>45810</v>
      </c>
      <c r="C8663" t="s">
        <v>74</v>
      </c>
      <c r="D8663">
        <v>23</v>
      </c>
      <c r="E8663" t="s">
        <v>12</v>
      </c>
      <c r="F8663" t="s">
        <v>46</v>
      </c>
      <c r="G8663" t="s">
        <v>20</v>
      </c>
      <c r="H8663" t="s">
        <v>133</v>
      </c>
      <c r="I8663">
        <v>21364</v>
      </c>
      <c r="J8663">
        <v>19119</v>
      </c>
    </row>
    <row r="8664" spans="1:10" x14ac:dyDescent="0.3">
      <c r="A8664" t="s">
        <v>8791</v>
      </c>
      <c r="B8664" s="1">
        <v>45874</v>
      </c>
      <c r="C8664" t="s">
        <v>113</v>
      </c>
      <c r="D8664">
        <v>32</v>
      </c>
      <c r="E8664" t="s">
        <v>24</v>
      </c>
      <c r="F8664" t="s">
        <v>34</v>
      </c>
      <c r="G8664" t="s">
        <v>141</v>
      </c>
      <c r="H8664" t="s">
        <v>68</v>
      </c>
      <c r="I8664">
        <v>15472</v>
      </c>
      <c r="J8664">
        <v>20079</v>
      </c>
    </row>
    <row r="8665" spans="1:10" x14ac:dyDescent="0.3">
      <c r="A8665" t="s">
        <v>8792</v>
      </c>
      <c r="B8665" s="1">
        <v>45853</v>
      </c>
      <c r="C8665" t="s">
        <v>11</v>
      </c>
      <c r="D8665">
        <v>29</v>
      </c>
      <c r="E8665" t="s">
        <v>12</v>
      </c>
      <c r="F8665" t="s">
        <v>114</v>
      </c>
      <c r="G8665" t="s">
        <v>171</v>
      </c>
      <c r="H8665" t="s">
        <v>64</v>
      </c>
      <c r="I8665">
        <v>28774</v>
      </c>
      <c r="J8665">
        <v>26166</v>
      </c>
    </row>
    <row r="8666" spans="1:10" x14ac:dyDescent="0.3">
      <c r="A8666" t="s">
        <v>8793</v>
      </c>
      <c r="B8666" s="1">
        <v>45690</v>
      </c>
      <c r="C8666" t="s">
        <v>82</v>
      </c>
      <c r="D8666">
        <v>5</v>
      </c>
      <c r="E8666" t="s">
        <v>61</v>
      </c>
      <c r="F8666" t="s">
        <v>109</v>
      </c>
      <c r="G8666" t="s">
        <v>83</v>
      </c>
      <c r="H8666" t="s">
        <v>103</v>
      </c>
      <c r="I8666">
        <v>35830</v>
      </c>
      <c r="J8666">
        <v>42622</v>
      </c>
    </row>
    <row r="8667" spans="1:10" x14ac:dyDescent="0.3">
      <c r="A8667" t="s">
        <v>8794</v>
      </c>
      <c r="B8667" s="1">
        <v>45737</v>
      </c>
      <c r="C8667" t="s">
        <v>95</v>
      </c>
      <c r="D8667">
        <v>12</v>
      </c>
      <c r="E8667" t="s">
        <v>70</v>
      </c>
      <c r="F8667" t="s">
        <v>34</v>
      </c>
      <c r="G8667" t="s">
        <v>102</v>
      </c>
      <c r="H8667" t="s">
        <v>119</v>
      </c>
      <c r="I8667">
        <v>36042</v>
      </c>
      <c r="J8667">
        <v>31229</v>
      </c>
    </row>
    <row r="8668" spans="1:10" x14ac:dyDescent="0.3">
      <c r="A8668" t="s">
        <v>8795</v>
      </c>
      <c r="B8668" s="1">
        <v>46018</v>
      </c>
      <c r="C8668" t="s">
        <v>100</v>
      </c>
      <c r="D8668">
        <v>52</v>
      </c>
      <c r="E8668" t="s">
        <v>24</v>
      </c>
      <c r="F8668" t="s">
        <v>29</v>
      </c>
      <c r="G8668" t="s">
        <v>93</v>
      </c>
      <c r="H8668" t="s">
        <v>27</v>
      </c>
      <c r="I8668">
        <v>23333</v>
      </c>
      <c r="J8668">
        <v>25556</v>
      </c>
    </row>
    <row r="8669" spans="1:10" x14ac:dyDescent="0.3">
      <c r="A8669" t="s">
        <v>8796</v>
      </c>
      <c r="B8669" s="1">
        <v>45762</v>
      </c>
      <c r="C8669" t="s">
        <v>86</v>
      </c>
      <c r="D8669">
        <v>16</v>
      </c>
      <c r="E8669" t="s">
        <v>24</v>
      </c>
      <c r="F8669" t="s">
        <v>101</v>
      </c>
      <c r="G8669" t="s">
        <v>44</v>
      </c>
      <c r="H8669" t="s">
        <v>41</v>
      </c>
      <c r="I8669">
        <v>33685</v>
      </c>
      <c r="J8669">
        <v>29546</v>
      </c>
    </row>
    <row r="8670" spans="1:10" x14ac:dyDescent="0.3">
      <c r="A8670" t="s">
        <v>8797</v>
      </c>
      <c r="B8670" s="1">
        <v>45707</v>
      </c>
      <c r="C8670" t="s">
        <v>82</v>
      </c>
      <c r="D8670">
        <v>8</v>
      </c>
      <c r="E8670" t="s">
        <v>24</v>
      </c>
      <c r="F8670" t="s">
        <v>62</v>
      </c>
      <c r="G8670" t="s">
        <v>224</v>
      </c>
      <c r="H8670" t="s">
        <v>133</v>
      </c>
      <c r="I8670">
        <v>24877</v>
      </c>
      <c r="J8670">
        <v>23235</v>
      </c>
    </row>
    <row r="8671" spans="1:10" x14ac:dyDescent="0.3">
      <c r="A8671" t="s">
        <v>8798</v>
      </c>
      <c r="B8671" s="1">
        <v>45984</v>
      </c>
      <c r="C8671" t="s">
        <v>23</v>
      </c>
      <c r="D8671">
        <v>47</v>
      </c>
      <c r="E8671" t="s">
        <v>39</v>
      </c>
      <c r="F8671" t="s">
        <v>92</v>
      </c>
      <c r="G8671" t="s">
        <v>141</v>
      </c>
      <c r="H8671" t="s">
        <v>98</v>
      </c>
      <c r="I8671">
        <v>29459</v>
      </c>
      <c r="J8671">
        <v>32569</v>
      </c>
    </row>
    <row r="8672" spans="1:10" x14ac:dyDescent="0.3">
      <c r="A8672" t="s">
        <v>8799</v>
      </c>
      <c r="B8672" s="1">
        <v>45956</v>
      </c>
      <c r="C8672" t="s">
        <v>66</v>
      </c>
      <c r="D8672">
        <v>43</v>
      </c>
      <c r="E8672" t="s">
        <v>12</v>
      </c>
      <c r="F8672" t="s">
        <v>92</v>
      </c>
      <c r="G8672" t="s">
        <v>191</v>
      </c>
      <c r="H8672" t="s">
        <v>15</v>
      </c>
      <c r="I8672">
        <v>22805</v>
      </c>
      <c r="J8672">
        <v>17942</v>
      </c>
    </row>
    <row r="8673" spans="1:10" x14ac:dyDescent="0.3">
      <c r="A8673" t="s">
        <v>8800</v>
      </c>
      <c r="B8673" s="1">
        <v>45951</v>
      </c>
      <c r="C8673" t="s">
        <v>66</v>
      </c>
      <c r="D8673">
        <v>43</v>
      </c>
      <c r="E8673" t="s">
        <v>33</v>
      </c>
      <c r="F8673" t="s">
        <v>92</v>
      </c>
      <c r="G8673" t="s">
        <v>110</v>
      </c>
      <c r="H8673" t="s">
        <v>27</v>
      </c>
      <c r="I8673">
        <v>22365</v>
      </c>
      <c r="J8673">
        <v>26240</v>
      </c>
    </row>
    <row r="8674" spans="1:10" x14ac:dyDescent="0.3">
      <c r="A8674" t="s">
        <v>8801</v>
      </c>
      <c r="B8674" s="1">
        <v>45705</v>
      </c>
      <c r="C8674" t="s">
        <v>82</v>
      </c>
      <c r="D8674">
        <v>8</v>
      </c>
      <c r="E8674" t="s">
        <v>70</v>
      </c>
      <c r="F8674" t="s">
        <v>29</v>
      </c>
      <c r="G8674" t="s">
        <v>126</v>
      </c>
      <c r="H8674" t="s">
        <v>27</v>
      </c>
      <c r="I8674">
        <v>36056</v>
      </c>
      <c r="J8674">
        <v>25689</v>
      </c>
    </row>
    <row r="8675" spans="1:10" x14ac:dyDescent="0.3">
      <c r="A8675" t="s">
        <v>8802</v>
      </c>
      <c r="B8675" s="1">
        <v>45740</v>
      </c>
      <c r="C8675" t="s">
        <v>95</v>
      </c>
      <c r="D8675">
        <v>13</v>
      </c>
      <c r="E8675" t="s">
        <v>24</v>
      </c>
      <c r="F8675" t="s">
        <v>193</v>
      </c>
      <c r="G8675" t="s">
        <v>51</v>
      </c>
      <c r="H8675" t="s">
        <v>163</v>
      </c>
      <c r="I8675">
        <v>29115</v>
      </c>
      <c r="J8675">
        <v>34662</v>
      </c>
    </row>
    <row r="8676" spans="1:10" x14ac:dyDescent="0.3">
      <c r="A8676" t="s">
        <v>8803</v>
      </c>
      <c r="B8676" s="1">
        <v>45717</v>
      </c>
      <c r="C8676" t="s">
        <v>95</v>
      </c>
      <c r="D8676">
        <v>9</v>
      </c>
      <c r="E8676" t="s">
        <v>18</v>
      </c>
      <c r="F8676" t="s">
        <v>109</v>
      </c>
      <c r="G8676" t="s">
        <v>54</v>
      </c>
      <c r="H8676" t="s">
        <v>163</v>
      </c>
      <c r="I8676">
        <v>30577</v>
      </c>
      <c r="J8676">
        <v>30570</v>
      </c>
    </row>
    <row r="8677" spans="1:10" x14ac:dyDescent="0.3">
      <c r="A8677" t="s">
        <v>8804</v>
      </c>
      <c r="B8677" s="1">
        <v>45958</v>
      </c>
      <c r="C8677" t="s">
        <v>66</v>
      </c>
      <c r="D8677">
        <v>44</v>
      </c>
      <c r="E8677" t="s">
        <v>12</v>
      </c>
      <c r="F8677" t="s">
        <v>114</v>
      </c>
      <c r="G8677" t="s">
        <v>63</v>
      </c>
      <c r="H8677" t="s">
        <v>52</v>
      </c>
      <c r="I8677">
        <v>27620</v>
      </c>
      <c r="J8677">
        <v>34591</v>
      </c>
    </row>
    <row r="8678" spans="1:10" x14ac:dyDescent="0.3">
      <c r="A8678" t="s">
        <v>8805</v>
      </c>
      <c r="B8678" s="1">
        <v>45733</v>
      </c>
      <c r="C8678" t="s">
        <v>95</v>
      </c>
      <c r="D8678">
        <v>12</v>
      </c>
      <c r="E8678" t="s">
        <v>39</v>
      </c>
      <c r="F8678" t="s">
        <v>75</v>
      </c>
      <c r="G8678" t="s">
        <v>58</v>
      </c>
      <c r="H8678" t="s">
        <v>111</v>
      </c>
      <c r="I8678">
        <v>38645</v>
      </c>
      <c r="J8678">
        <v>50161</v>
      </c>
    </row>
    <row r="8679" spans="1:10" x14ac:dyDescent="0.3">
      <c r="A8679" t="s">
        <v>8806</v>
      </c>
      <c r="B8679" s="1">
        <v>45962</v>
      </c>
      <c r="C8679" t="s">
        <v>23</v>
      </c>
      <c r="D8679">
        <v>44</v>
      </c>
      <c r="E8679" t="s">
        <v>24</v>
      </c>
      <c r="F8679" t="s">
        <v>62</v>
      </c>
      <c r="G8679" t="s">
        <v>135</v>
      </c>
      <c r="H8679" t="s">
        <v>188</v>
      </c>
      <c r="I8679">
        <v>36726</v>
      </c>
      <c r="J8679">
        <v>26608</v>
      </c>
    </row>
    <row r="8680" spans="1:10" x14ac:dyDescent="0.3">
      <c r="A8680" t="s">
        <v>8807</v>
      </c>
      <c r="B8680" s="1">
        <v>45994</v>
      </c>
      <c r="C8680" t="s">
        <v>100</v>
      </c>
      <c r="D8680">
        <v>49</v>
      </c>
      <c r="E8680" t="s">
        <v>61</v>
      </c>
      <c r="F8680" t="s">
        <v>19</v>
      </c>
      <c r="G8680" t="s">
        <v>266</v>
      </c>
      <c r="H8680" t="s">
        <v>52</v>
      </c>
      <c r="I8680">
        <v>27801</v>
      </c>
      <c r="J8680">
        <v>20902</v>
      </c>
    </row>
    <row r="8681" spans="1:10" x14ac:dyDescent="0.3">
      <c r="A8681" t="s">
        <v>8808</v>
      </c>
      <c r="B8681" s="1">
        <v>45828</v>
      </c>
      <c r="C8681" t="s">
        <v>74</v>
      </c>
      <c r="D8681">
        <v>25</v>
      </c>
      <c r="E8681" t="s">
        <v>12</v>
      </c>
      <c r="F8681" t="s">
        <v>140</v>
      </c>
      <c r="G8681" t="s">
        <v>291</v>
      </c>
      <c r="H8681" t="s">
        <v>41</v>
      </c>
      <c r="I8681">
        <v>30697</v>
      </c>
      <c r="J8681">
        <v>31575</v>
      </c>
    </row>
    <row r="8682" spans="1:10" x14ac:dyDescent="0.3">
      <c r="A8682" t="s">
        <v>8809</v>
      </c>
      <c r="B8682" s="1">
        <v>45950</v>
      </c>
      <c r="C8682" t="s">
        <v>66</v>
      </c>
      <c r="D8682">
        <v>43</v>
      </c>
      <c r="E8682" t="s">
        <v>18</v>
      </c>
      <c r="F8682" t="s">
        <v>122</v>
      </c>
      <c r="G8682" t="s">
        <v>224</v>
      </c>
      <c r="H8682" t="s">
        <v>123</v>
      </c>
      <c r="I8682">
        <v>29395</v>
      </c>
      <c r="J8682">
        <v>21189</v>
      </c>
    </row>
    <row r="8683" spans="1:10" x14ac:dyDescent="0.3">
      <c r="A8683" t="s">
        <v>8810</v>
      </c>
      <c r="B8683" s="1">
        <v>45817</v>
      </c>
      <c r="C8683" t="s">
        <v>74</v>
      </c>
      <c r="D8683">
        <v>24</v>
      </c>
      <c r="E8683" t="s">
        <v>24</v>
      </c>
      <c r="F8683" t="s">
        <v>46</v>
      </c>
      <c r="G8683" t="s">
        <v>240</v>
      </c>
      <c r="H8683" t="s">
        <v>15</v>
      </c>
      <c r="I8683">
        <v>34121</v>
      </c>
      <c r="J8683">
        <v>42344</v>
      </c>
    </row>
    <row r="8684" spans="1:10" x14ac:dyDescent="0.3">
      <c r="A8684" t="s">
        <v>8811</v>
      </c>
      <c r="B8684" s="1">
        <v>45798</v>
      </c>
      <c r="C8684" t="s">
        <v>90</v>
      </c>
      <c r="D8684">
        <v>21</v>
      </c>
      <c r="E8684" t="s">
        <v>39</v>
      </c>
      <c r="F8684" t="s">
        <v>57</v>
      </c>
      <c r="G8684" t="s">
        <v>118</v>
      </c>
      <c r="H8684" t="s">
        <v>151</v>
      </c>
      <c r="I8684">
        <v>35011</v>
      </c>
      <c r="J8684">
        <v>30283</v>
      </c>
    </row>
    <row r="8685" spans="1:10" x14ac:dyDescent="0.3">
      <c r="A8685" t="s">
        <v>8812</v>
      </c>
      <c r="B8685" s="1">
        <v>45722</v>
      </c>
      <c r="C8685" t="s">
        <v>95</v>
      </c>
      <c r="D8685">
        <v>10</v>
      </c>
      <c r="E8685" t="s">
        <v>70</v>
      </c>
      <c r="F8685" t="s">
        <v>46</v>
      </c>
      <c r="G8685" t="s">
        <v>130</v>
      </c>
      <c r="H8685" t="s">
        <v>36</v>
      </c>
      <c r="I8685">
        <v>37416</v>
      </c>
      <c r="J8685">
        <v>45237</v>
      </c>
    </row>
    <row r="8686" spans="1:10" x14ac:dyDescent="0.3">
      <c r="A8686" t="s">
        <v>8813</v>
      </c>
      <c r="B8686" s="1">
        <v>45977</v>
      </c>
      <c r="C8686" t="s">
        <v>23</v>
      </c>
      <c r="D8686">
        <v>46</v>
      </c>
      <c r="E8686" t="s">
        <v>61</v>
      </c>
      <c r="F8686" t="s">
        <v>19</v>
      </c>
      <c r="G8686" t="s">
        <v>135</v>
      </c>
      <c r="H8686" t="s">
        <v>52</v>
      </c>
      <c r="I8686">
        <v>33715</v>
      </c>
      <c r="J8686">
        <v>39623</v>
      </c>
    </row>
    <row r="8687" spans="1:10" x14ac:dyDescent="0.3">
      <c r="A8687" t="s">
        <v>8814</v>
      </c>
      <c r="B8687" s="1">
        <v>45689</v>
      </c>
      <c r="C8687" t="s">
        <v>82</v>
      </c>
      <c r="D8687">
        <v>5</v>
      </c>
      <c r="E8687" t="s">
        <v>70</v>
      </c>
      <c r="F8687" t="s">
        <v>87</v>
      </c>
      <c r="G8687" t="s">
        <v>110</v>
      </c>
      <c r="H8687" t="s">
        <v>165</v>
      </c>
      <c r="I8687">
        <v>15105</v>
      </c>
      <c r="J8687">
        <v>18664</v>
      </c>
    </row>
    <row r="8688" spans="1:10" x14ac:dyDescent="0.3">
      <c r="A8688" t="s">
        <v>8815</v>
      </c>
      <c r="B8688" s="1">
        <v>45831</v>
      </c>
      <c r="C8688" t="s">
        <v>74</v>
      </c>
      <c r="D8688">
        <v>26</v>
      </c>
      <c r="E8688" t="s">
        <v>18</v>
      </c>
      <c r="F8688" t="s">
        <v>25</v>
      </c>
      <c r="G8688" t="s">
        <v>128</v>
      </c>
      <c r="H8688" t="s">
        <v>52</v>
      </c>
      <c r="I8688">
        <v>36983</v>
      </c>
      <c r="J8688">
        <v>40047</v>
      </c>
    </row>
    <row r="8689" spans="1:10" x14ac:dyDescent="0.3">
      <c r="A8689" t="s">
        <v>8816</v>
      </c>
      <c r="B8689" s="1">
        <v>45917</v>
      </c>
      <c r="C8689" t="s">
        <v>38</v>
      </c>
      <c r="D8689">
        <v>38</v>
      </c>
      <c r="E8689" t="s">
        <v>61</v>
      </c>
      <c r="F8689" t="s">
        <v>57</v>
      </c>
      <c r="G8689" t="s">
        <v>63</v>
      </c>
      <c r="H8689" t="s">
        <v>52</v>
      </c>
      <c r="I8689">
        <v>22453</v>
      </c>
      <c r="J8689">
        <v>20423</v>
      </c>
    </row>
    <row r="8690" spans="1:10" x14ac:dyDescent="0.3">
      <c r="A8690" t="s">
        <v>8817</v>
      </c>
      <c r="B8690" s="1">
        <v>45894</v>
      </c>
      <c r="C8690" t="s">
        <v>113</v>
      </c>
      <c r="D8690">
        <v>35</v>
      </c>
      <c r="E8690" t="s">
        <v>33</v>
      </c>
      <c r="F8690" t="s">
        <v>62</v>
      </c>
      <c r="G8690" t="s">
        <v>40</v>
      </c>
      <c r="H8690" t="s">
        <v>27</v>
      </c>
      <c r="I8690">
        <v>28237</v>
      </c>
      <c r="J8690">
        <v>24249</v>
      </c>
    </row>
    <row r="8691" spans="1:10" x14ac:dyDescent="0.3">
      <c r="A8691" t="s">
        <v>8818</v>
      </c>
      <c r="B8691" s="1">
        <v>45737</v>
      </c>
      <c r="C8691" t="s">
        <v>95</v>
      </c>
      <c r="D8691">
        <v>12</v>
      </c>
      <c r="E8691" t="s">
        <v>39</v>
      </c>
      <c r="F8691" t="s">
        <v>92</v>
      </c>
      <c r="G8691" t="s">
        <v>14</v>
      </c>
      <c r="H8691" t="s">
        <v>80</v>
      </c>
      <c r="I8691">
        <v>15924</v>
      </c>
      <c r="J8691">
        <v>18072</v>
      </c>
    </row>
    <row r="8692" spans="1:10" x14ac:dyDescent="0.3">
      <c r="A8692" t="s">
        <v>8819</v>
      </c>
      <c r="B8692" s="1">
        <v>45902</v>
      </c>
      <c r="C8692" t="s">
        <v>38</v>
      </c>
      <c r="D8692">
        <v>36</v>
      </c>
      <c r="E8692" t="s">
        <v>18</v>
      </c>
      <c r="F8692" t="s">
        <v>50</v>
      </c>
      <c r="G8692" t="s">
        <v>54</v>
      </c>
      <c r="H8692" t="s">
        <v>15</v>
      </c>
      <c r="I8692">
        <v>21976</v>
      </c>
      <c r="J8692">
        <v>21344</v>
      </c>
    </row>
    <row r="8693" spans="1:10" x14ac:dyDescent="0.3">
      <c r="A8693" t="s">
        <v>8820</v>
      </c>
      <c r="B8693" s="1">
        <v>45791</v>
      </c>
      <c r="C8693" t="s">
        <v>90</v>
      </c>
      <c r="D8693">
        <v>20</v>
      </c>
      <c r="E8693" t="s">
        <v>39</v>
      </c>
      <c r="F8693" t="s">
        <v>140</v>
      </c>
      <c r="G8693" t="s">
        <v>110</v>
      </c>
      <c r="H8693" t="s">
        <v>96</v>
      </c>
      <c r="I8693">
        <v>32166</v>
      </c>
      <c r="J8693">
        <v>34292</v>
      </c>
    </row>
    <row r="8694" spans="1:10" x14ac:dyDescent="0.3">
      <c r="A8694" t="s">
        <v>8821</v>
      </c>
      <c r="B8694" s="1">
        <v>45784</v>
      </c>
      <c r="C8694" t="s">
        <v>90</v>
      </c>
      <c r="D8694">
        <v>19</v>
      </c>
      <c r="E8694" t="s">
        <v>70</v>
      </c>
      <c r="F8694" t="s">
        <v>25</v>
      </c>
      <c r="G8694" t="s">
        <v>40</v>
      </c>
      <c r="H8694" t="s">
        <v>64</v>
      </c>
      <c r="I8694">
        <v>19989</v>
      </c>
      <c r="J8694">
        <v>22314</v>
      </c>
    </row>
    <row r="8695" spans="1:10" x14ac:dyDescent="0.3">
      <c r="A8695" t="s">
        <v>8822</v>
      </c>
      <c r="B8695" s="1">
        <v>45781</v>
      </c>
      <c r="C8695" t="s">
        <v>90</v>
      </c>
      <c r="D8695">
        <v>18</v>
      </c>
      <c r="E8695" t="s">
        <v>12</v>
      </c>
      <c r="F8695" t="s">
        <v>46</v>
      </c>
      <c r="G8695" t="s">
        <v>240</v>
      </c>
      <c r="H8695" t="s">
        <v>151</v>
      </c>
      <c r="I8695">
        <v>27625</v>
      </c>
      <c r="J8695">
        <v>32018</v>
      </c>
    </row>
    <row r="8696" spans="1:10" x14ac:dyDescent="0.3">
      <c r="A8696" t="s">
        <v>8823</v>
      </c>
      <c r="B8696" s="1">
        <v>45941</v>
      </c>
      <c r="C8696" t="s">
        <v>66</v>
      </c>
      <c r="D8696">
        <v>41</v>
      </c>
      <c r="E8696" t="s">
        <v>70</v>
      </c>
      <c r="F8696" t="s">
        <v>140</v>
      </c>
      <c r="G8696" t="s">
        <v>132</v>
      </c>
      <c r="H8696" t="s">
        <v>55</v>
      </c>
      <c r="I8696">
        <v>33472</v>
      </c>
      <c r="J8696">
        <v>32054</v>
      </c>
    </row>
    <row r="8697" spans="1:10" x14ac:dyDescent="0.3">
      <c r="A8697" t="s">
        <v>8824</v>
      </c>
      <c r="B8697" s="1">
        <v>45745</v>
      </c>
      <c r="C8697" t="s">
        <v>95</v>
      </c>
      <c r="D8697">
        <v>13</v>
      </c>
      <c r="E8697" t="s">
        <v>61</v>
      </c>
      <c r="F8697" t="s">
        <v>62</v>
      </c>
      <c r="G8697" t="s">
        <v>145</v>
      </c>
      <c r="H8697" t="s">
        <v>123</v>
      </c>
      <c r="I8697">
        <v>26063</v>
      </c>
      <c r="J8697">
        <v>22079</v>
      </c>
    </row>
    <row r="8698" spans="1:10" x14ac:dyDescent="0.3">
      <c r="A8698" t="s">
        <v>8825</v>
      </c>
      <c r="B8698" s="1">
        <v>45844</v>
      </c>
      <c r="C8698" t="s">
        <v>11</v>
      </c>
      <c r="D8698">
        <v>27</v>
      </c>
      <c r="E8698" t="s">
        <v>61</v>
      </c>
      <c r="F8698" t="s">
        <v>19</v>
      </c>
      <c r="G8698" t="s">
        <v>26</v>
      </c>
      <c r="H8698" t="s">
        <v>84</v>
      </c>
      <c r="I8698">
        <v>33517</v>
      </c>
      <c r="J8698">
        <v>43479</v>
      </c>
    </row>
    <row r="8699" spans="1:10" x14ac:dyDescent="0.3">
      <c r="A8699" t="s">
        <v>8826</v>
      </c>
      <c r="B8699" s="1">
        <v>45753</v>
      </c>
      <c r="C8699" t="s">
        <v>86</v>
      </c>
      <c r="D8699">
        <v>14</v>
      </c>
      <c r="E8699" t="s">
        <v>39</v>
      </c>
      <c r="F8699" t="s">
        <v>109</v>
      </c>
      <c r="G8699" t="s">
        <v>83</v>
      </c>
      <c r="H8699" t="s">
        <v>157</v>
      </c>
      <c r="I8699">
        <v>25035</v>
      </c>
      <c r="J8699">
        <v>28769</v>
      </c>
    </row>
    <row r="8700" spans="1:10" x14ac:dyDescent="0.3">
      <c r="A8700" t="s">
        <v>8827</v>
      </c>
      <c r="B8700" s="1">
        <v>45734</v>
      </c>
      <c r="C8700" t="s">
        <v>95</v>
      </c>
      <c r="D8700">
        <v>12</v>
      </c>
      <c r="E8700" t="s">
        <v>33</v>
      </c>
      <c r="F8700" t="s">
        <v>13</v>
      </c>
      <c r="G8700" t="s">
        <v>58</v>
      </c>
      <c r="H8700" t="s">
        <v>27</v>
      </c>
      <c r="I8700">
        <v>37962</v>
      </c>
      <c r="J8700">
        <v>41382</v>
      </c>
    </row>
    <row r="8701" spans="1:10" x14ac:dyDescent="0.3">
      <c r="A8701" t="s">
        <v>8828</v>
      </c>
      <c r="B8701" s="1">
        <v>45695</v>
      </c>
      <c r="C8701" t="s">
        <v>82</v>
      </c>
      <c r="D8701">
        <v>6</v>
      </c>
      <c r="E8701" t="s">
        <v>24</v>
      </c>
      <c r="F8701" t="s">
        <v>62</v>
      </c>
      <c r="G8701" t="s">
        <v>14</v>
      </c>
      <c r="H8701" t="s">
        <v>55</v>
      </c>
      <c r="I8701">
        <v>22081</v>
      </c>
      <c r="J8701">
        <v>19328</v>
      </c>
    </row>
    <row r="8702" spans="1:10" x14ac:dyDescent="0.3">
      <c r="A8702" t="s">
        <v>8829</v>
      </c>
      <c r="B8702" s="1">
        <v>46001</v>
      </c>
      <c r="C8702" t="s">
        <v>100</v>
      </c>
      <c r="D8702">
        <v>50</v>
      </c>
      <c r="E8702" t="s">
        <v>70</v>
      </c>
      <c r="F8702" t="s">
        <v>122</v>
      </c>
      <c r="G8702" t="s">
        <v>40</v>
      </c>
      <c r="H8702" t="s">
        <v>80</v>
      </c>
      <c r="I8702">
        <v>18616</v>
      </c>
      <c r="J8702">
        <v>14489</v>
      </c>
    </row>
    <row r="8703" spans="1:10" x14ac:dyDescent="0.3">
      <c r="A8703" t="s">
        <v>8830</v>
      </c>
      <c r="B8703" s="1">
        <v>45844</v>
      </c>
      <c r="C8703" t="s">
        <v>11</v>
      </c>
      <c r="D8703">
        <v>27</v>
      </c>
      <c r="E8703" t="s">
        <v>24</v>
      </c>
      <c r="F8703" t="s">
        <v>13</v>
      </c>
      <c r="G8703" t="s">
        <v>206</v>
      </c>
      <c r="H8703" t="s">
        <v>59</v>
      </c>
      <c r="I8703">
        <v>34876</v>
      </c>
      <c r="J8703">
        <v>40645</v>
      </c>
    </row>
    <row r="8704" spans="1:10" x14ac:dyDescent="0.3">
      <c r="A8704" t="s">
        <v>8831</v>
      </c>
      <c r="B8704" s="1">
        <v>45817</v>
      </c>
      <c r="C8704" t="s">
        <v>74</v>
      </c>
      <c r="D8704">
        <v>24</v>
      </c>
      <c r="E8704" t="s">
        <v>61</v>
      </c>
      <c r="F8704" t="s">
        <v>25</v>
      </c>
      <c r="G8704" t="s">
        <v>135</v>
      </c>
      <c r="H8704" t="s">
        <v>157</v>
      </c>
      <c r="I8704">
        <v>25202</v>
      </c>
      <c r="J8704">
        <v>20482</v>
      </c>
    </row>
    <row r="8705" spans="1:10" x14ac:dyDescent="0.3">
      <c r="A8705" t="s">
        <v>8832</v>
      </c>
      <c r="B8705" s="1">
        <v>45662</v>
      </c>
      <c r="C8705" t="s">
        <v>17</v>
      </c>
      <c r="D8705">
        <v>1</v>
      </c>
      <c r="E8705" t="s">
        <v>24</v>
      </c>
      <c r="F8705" t="s">
        <v>122</v>
      </c>
      <c r="G8705" t="s">
        <v>324</v>
      </c>
      <c r="H8705" t="s">
        <v>133</v>
      </c>
      <c r="I8705">
        <v>15751</v>
      </c>
      <c r="J8705">
        <v>17775</v>
      </c>
    </row>
    <row r="8706" spans="1:10" x14ac:dyDescent="0.3">
      <c r="A8706" t="s">
        <v>8833</v>
      </c>
      <c r="B8706" s="1">
        <v>45897</v>
      </c>
      <c r="C8706" t="s">
        <v>113</v>
      </c>
      <c r="D8706">
        <v>35</v>
      </c>
      <c r="E8706" t="s">
        <v>12</v>
      </c>
      <c r="F8706" t="s">
        <v>122</v>
      </c>
      <c r="G8706" t="s">
        <v>35</v>
      </c>
      <c r="H8706" t="s">
        <v>36</v>
      </c>
      <c r="I8706">
        <v>25221</v>
      </c>
      <c r="J8706">
        <v>29068</v>
      </c>
    </row>
    <row r="8707" spans="1:10" x14ac:dyDescent="0.3">
      <c r="A8707" t="s">
        <v>8834</v>
      </c>
      <c r="B8707" s="1">
        <v>45951</v>
      </c>
      <c r="C8707" t="s">
        <v>66</v>
      </c>
      <c r="D8707">
        <v>43</v>
      </c>
      <c r="E8707" t="s">
        <v>24</v>
      </c>
      <c r="F8707" t="s">
        <v>101</v>
      </c>
      <c r="G8707" t="s">
        <v>171</v>
      </c>
      <c r="H8707" t="s">
        <v>123</v>
      </c>
      <c r="I8707">
        <v>25508</v>
      </c>
      <c r="J8707">
        <v>28747</v>
      </c>
    </row>
    <row r="8708" spans="1:10" x14ac:dyDescent="0.3">
      <c r="A8708" t="s">
        <v>8835</v>
      </c>
      <c r="B8708" s="1">
        <v>45744</v>
      </c>
      <c r="C8708" t="s">
        <v>95</v>
      </c>
      <c r="D8708">
        <v>13</v>
      </c>
      <c r="E8708" t="s">
        <v>18</v>
      </c>
      <c r="F8708" t="s">
        <v>92</v>
      </c>
      <c r="G8708" t="s">
        <v>135</v>
      </c>
      <c r="H8708" t="s">
        <v>98</v>
      </c>
      <c r="I8708">
        <v>16640</v>
      </c>
      <c r="J8708">
        <v>20016</v>
      </c>
    </row>
    <row r="8709" spans="1:10" x14ac:dyDescent="0.3">
      <c r="A8709" t="s">
        <v>8836</v>
      </c>
      <c r="B8709" s="1">
        <v>45670</v>
      </c>
      <c r="C8709" t="s">
        <v>17</v>
      </c>
      <c r="D8709">
        <v>3</v>
      </c>
      <c r="E8709" t="s">
        <v>24</v>
      </c>
      <c r="F8709" t="s">
        <v>193</v>
      </c>
      <c r="G8709" t="s">
        <v>93</v>
      </c>
      <c r="H8709" t="s">
        <v>80</v>
      </c>
      <c r="I8709">
        <v>26879</v>
      </c>
      <c r="J8709">
        <v>26867</v>
      </c>
    </row>
    <row r="8710" spans="1:10" x14ac:dyDescent="0.3">
      <c r="A8710" t="s">
        <v>8837</v>
      </c>
      <c r="B8710" s="1">
        <v>45971</v>
      </c>
      <c r="C8710" t="s">
        <v>23</v>
      </c>
      <c r="D8710">
        <v>46</v>
      </c>
      <c r="E8710" t="s">
        <v>39</v>
      </c>
      <c r="F8710" t="s">
        <v>29</v>
      </c>
      <c r="G8710" t="s">
        <v>137</v>
      </c>
      <c r="H8710" t="s">
        <v>55</v>
      </c>
      <c r="I8710">
        <v>32215</v>
      </c>
      <c r="J8710">
        <v>24490</v>
      </c>
    </row>
    <row r="8711" spans="1:10" x14ac:dyDescent="0.3">
      <c r="A8711" t="s">
        <v>8838</v>
      </c>
      <c r="B8711" s="1">
        <v>45732</v>
      </c>
      <c r="C8711" t="s">
        <v>95</v>
      </c>
      <c r="D8711">
        <v>11</v>
      </c>
      <c r="E8711" t="s">
        <v>12</v>
      </c>
      <c r="F8711" t="s">
        <v>57</v>
      </c>
      <c r="G8711" t="s">
        <v>40</v>
      </c>
      <c r="H8711" t="s">
        <v>36</v>
      </c>
      <c r="I8711">
        <v>15156</v>
      </c>
      <c r="J8711">
        <v>19573</v>
      </c>
    </row>
    <row r="8712" spans="1:10" x14ac:dyDescent="0.3">
      <c r="A8712" t="s">
        <v>8839</v>
      </c>
      <c r="B8712" s="1">
        <v>45879</v>
      </c>
      <c r="C8712" t="s">
        <v>113</v>
      </c>
      <c r="D8712">
        <v>32</v>
      </c>
      <c r="E8712" t="s">
        <v>70</v>
      </c>
      <c r="F8712" t="s">
        <v>46</v>
      </c>
      <c r="G8712" t="s">
        <v>324</v>
      </c>
      <c r="H8712" t="s">
        <v>21</v>
      </c>
      <c r="I8712">
        <v>35273</v>
      </c>
      <c r="J8712">
        <v>35586</v>
      </c>
    </row>
    <row r="8713" spans="1:10" x14ac:dyDescent="0.3">
      <c r="A8713" t="s">
        <v>8840</v>
      </c>
      <c r="B8713" s="1">
        <v>45698</v>
      </c>
      <c r="C8713" t="s">
        <v>82</v>
      </c>
      <c r="D8713">
        <v>7</v>
      </c>
      <c r="E8713" t="s">
        <v>24</v>
      </c>
      <c r="F8713" t="s">
        <v>114</v>
      </c>
      <c r="G8713" t="s">
        <v>47</v>
      </c>
      <c r="H8713" t="s">
        <v>123</v>
      </c>
      <c r="I8713">
        <v>34532</v>
      </c>
      <c r="J8713">
        <v>25068</v>
      </c>
    </row>
    <row r="8714" spans="1:10" x14ac:dyDescent="0.3">
      <c r="A8714" t="s">
        <v>8841</v>
      </c>
      <c r="B8714" s="1">
        <v>45942</v>
      </c>
      <c r="C8714" t="s">
        <v>66</v>
      </c>
      <c r="D8714">
        <v>41</v>
      </c>
      <c r="E8714" t="s">
        <v>70</v>
      </c>
      <c r="F8714" t="s">
        <v>193</v>
      </c>
      <c r="G8714" t="s">
        <v>266</v>
      </c>
      <c r="H8714" t="s">
        <v>41</v>
      </c>
      <c r="I8714">
        <v>34527</v>
      </c>
      <c r="J8714">
        <v>26684</v>
      </c>
    </row>
    <row r="8715" spans="1:10" x14ac:dyDescent="0.3">
      <c r="A8715" t="s">
        <v>8842</v>
      </c>
      <c r="B8715" s="1">
        <v>45704</v>
      </c>
      <c r="C8715" t="s">
        <v>82</v>
      </c>
      <c r="D8715">
        <v>7</v>
      </c>
      <c r="E8715" t="s">
        <v>18</v>
      </c>
      <c r="F8715" t="s">
        <v>92</v>
      </c>
      <c r="G8715" t="s">
        <v>88</v>
      </c>
      <c r="H8715" t="s">
        <v>64</v>
      </c>
      <c r="I8715">
        <v>38548</v>
      </c>
      <c r="J8715">
        <v>34018</v>
      </c>
    </row>
    <row r="8716" spans="1:10" x14ac:dyDescent="0.3">
      <c r="A8716" t="s">
        <v>8843</v>
      </c>
      <c r="B8716" s="1">
        <v>46020</v>
      </c>
      <c r="C8716" t="s">
        <v>100</v>
      </c>
      <c r="D8716">
        <v>1</v>
      </c>
      <c r="E8716" t="s">
        <v>39</v>
      </c>
      <c r="F8716" t="s">
        <v>62</v>
      </c>
      <c r="G8716" t="s">
        <v>135</v>
      </c>
      <c r="H8716" t="s">
        <v>155</v>
      </c>
      <c r="I8716">
        <v>31924</v>
      </c>
      <c r="J8716">
        <v>37652</v>
      </c>
    </row>
    <row r="8717" spans="1:10" x14ac:dyDescent="0.3">
      <c r="A8717" t="s">
        <v>8844</v>
      </c>
      <c r="B8717" s="1">
        <v>45993</v>
      </c>
      <c r="C8717" t="s">
        <v>100</v>
      </c>
      <c r="D8717">
        <v>49</v>
      </c>
      <c r="E8717" t="s">
        <v>70</v>
      </c>
      <c r="F8717" t="s">
        <v>78</v>
      </c>
      <c r="G8717" t="s">
        <v>135</v>
      </c>
      <c r="H8717" t="s">
        <v>80</v>
      </c>
      <c r="I8717">
        <v>17964</v>
      </c>
      <c r="J8717">
        <v>12945</v>
      </c>
    </row>
    <row r="8718" spans="1:10" x14ac:dyDescent="0.3">
      <c r="A8718" t="s">
        <v>8845</v>
      </c>
      <c r="B8718" s="1">
        <v>45674</v>
      </c>
      <c r="C8718" t="s">
        <v>17</v>
      </c>
      <c r="D8718">
        <v>3</v>
      </c>
      <c r="E8718" t="s">
        <v>33</v>
      </c>
      <c r="F8718" t="s">
        <v>109</v>
      </c>
      <c r="G8718" t="s">
        <v>137</v>
      </c>
      <c r="H8718" t="s">
        <v>68</v>
      </c>
      <c r="I8718">
        <v>22687</v>
      </c>
      <c r="J8718">
        <v>24975</v>
      </c>
    </row>
    <row r="8719" spans="1:10" x14ac:dyDescent="0.3">
      <c r="A8719" t="s">
        <v>8846</v>
      </c>
      <c r="B8719" s="1">
        <v>45945</v>
      </c>
      <c r="C8719" t="s">
        <v>66</v>
      </c>
      <c r="D8719">
        <v>42</v>
      </c>
      <c r="E8719" t="s">
        <v>24</v>
      </c>
      <c r="F8719" t="s">
        <v>114</v>
      </c>
      <c r="G8719" t="s">
        <v>126</v>
      </c>
      <c r="H8719" t="s">
        <v>48</v>
      </c>
      <c r="I8719">
        <v>29300</v>
      </c>
      <c r="J8719">
        <v>34623</v>
      </c>
    </row>
    <row r="8720" spans="1:10" x14ac:dyDescent="0.3">
      <c r="A8720" t="s">
        <v>8847</v>
      </c>
      <c r="B8720" s="1">
        <v>45897</v>
      </c>
      <c r="C8720" t="s">
        <v>113</v>
      </c>
      <c r="D8720">
        <v>35</v>
      </c>
      <c r="E8720" t="s">
        <v>12</v>
      </c>
      <c r="F8720" t="s">
        <v>19</v>
      </c>
      <c r="G8720" t="s">
        <v>35</v>
      </c>
      <c r="H8720" t="s">
        <v>243</v>
      </c>
      <c r="I8720">
        <v>21926</v>
      </c>
      <c r="J8720">
        <v>17458</v>
      </c>
    </row>
    <row r="8721" spans="1:10" x14ac:dyDescent="0.3">
      <c r="A8721" t="s">
        <v>8848</v>
      </c>
      <c r="B8721" s="1">
        <v>45794</v>
      </c>
      <c r="C8721" t="s">
        <v>90</v>
      </c>
      <c r="D8721">
        <v>20</v>
      </c>
      <c r="E8721" t="s">
        <v>61</v>
      </c>
      <c r="F8721" t="s">
        <v>109</v>
      </c>
      <c r="G8721" t="s">
        <v>201</v>
      </c>
      <c r="H8721" t="s">
        <v>165</v>
      </c>
      <c r="I8721">
        <v>19760</v>
      </c>
      <c r="J8721">
        <v>14645</v>
      </c>
    </row>
    <row r="8722" spans="1:10" x14ac:dyDescent="0.3">
      <c r="A8722" t="s">
        <v>8849</v>
      </c>
      <c r="B8722" s="1">
        <v>45912</v>
      </c>
      <c r="C8722" t="s">
        <v>38</v>
      </c>
      <c r="D8722">
        <v>37</v>
      </c>
      <c r="E8722" t="s">
        <v>18</v>
      </c>
      <c r="F8722" t="s">
        <v>75</v>
      </c>
      <c r="G8722" t="s">
        <v>51</v>
      </c>
      <c r="H8722" t="s">
        <v>119</v>
      </c>
      <c r="I8722">
        <v>38267</v>
      </c>
      <c r="J8722">
        <v>38935</v>
      </c>
    </row>
    <row r="8723" spans="1:10" x14ac:dyDescent="0.3">
      <c r="A8723" t="s">
        <v>8850</v>
      </c>
      <c r="B8723" s="1">
        <v>45904</v>
      </c>
      <c r="C8723" t="s">
        <v>38</v>
      </c>
      <c r="D8723">
        <v>36</v>
      </c>
      <c r="E8723" t="s">
        <v>61</v>
      </c>
      <c r="F8723" t="s">
        <v>13</v>
      </c>
      <c r="G8723" t="s">
        <v>88</v>
      </c>
      <c r="H8723" t="s">
        <v>68</v>
      </c>
      <c r="I8723">
        <v>30820</v>
      </c>
      <c r="J8723">
        <v>29123</v>
      </c>
    </row>
    <row r="8724" spans="1:10" x14ac:dyDescent="0.3">
      <c r="A8724" t="s">
        <v>8851</v>
      </c>
      <c r="B8724" s="1">
        <v>45818</v>
      </c>
      <c r="C8724" t="s">
        <v>74</v>
      </c>
      <c r="D8724">
        <v>24</v>
      </c>
      <c r="E8724" t="s">
        <v>70</v>
      </c>
      <c r="F8724" t="s">
        <v>92</v>
      </c>
      <c r="G8724" t="s">
        <v>115</v>
      </c>
      <c r="H8724" t="s">
        <v>123</v>
      </c>
      <c r="I8724">
        <v>31493</v>
      </c>
      <c r="J8724">
        <v>25509</v>
      </c>
    </row>
    <row r="8725" spans="1:10" x14ac:dyDescent="0.3">
      <c r="A8725" t="s">
        <v>8852</v>
      </c>
      <c r="B8725" s="1">
        <v>45841</v>
      </c>
      <c r="C8725" t="s">
        <v>11</v>
      </c>
      <c r="D8725">
        <v>27</v>
      </c>
      <c r="E8725" t="s">
        <v>39</v>
      </c>
      <c r="F8725" t="s">
        <v>101</v>
      </c>
      <c r="G8725" t="s">
        <v>118</v>
      </c>
      <c r="H8725" t="s">
        <v>211</v>
      </c>
      <c r="I8725">
        <v>28327</v>
      </c>
      <c r="J8725">
        <v>21943</v>
      </c>
    </row>
    <row r="8726" spans="1:10" x14ac:dyDescent="0.3">
      <c r="A8726" t="s">
        <v>8853</v>
      </c>
      <c r="B8726" s="1">
        <v>45744</v>
      </c>
      <c r="C8726" t="s">
        <v>95</v>
      </c>
      <c r="D8726">
        <v>13</v>
      </c>
      <c r="E8726" t="s">
        <v>18</v>
      </c>
      <c r="F8726" t="s">
        <v>101</v>
      </c>
      <c r="G8726" t="s">
        <v>130</v>
      </c>
      <c r="H8726" t="s">
        <v>119</v>
      </c>
      <c r="I8726">
        <v>31798</v>
      </c>
      <c r="J8726">
        <v>29146</v>
      </c>
    </row>
    <row r="8727" spans="1:10" x14ac:dyDescent="0.3">
      <c r="A8727" t="s">
        <v>8854</v>
      </c>
      <c r="B8727" s="1">
        <v>45703</v>
      </c>
      <c r="C8727" t="s">
        <v>82</v>
      </c>
      <c r="D8727">
        <v>7</v>
      </c>
      <c r="E8727" t="s">
        <v>12</v>
      </c>
      <c r="F8727" t="s">
        <v>122</v>
      </c>
      <c r="G8727" t="s">
        <v>79</v>
      </c>
      <c r="H8727" t="s">
        <v>165</v>
      </c>
      <c r="I8727">
        <v>17831</v>
      </c>
      <c r="J8727">
        <v>22649</v>
      </c>
    </row>
    <row r="8728" spans="1:10" x14ac:dyDescent="0.3">
      <c r="A8728" t="s">
        <v>8855</v>
      </c>
      <c r="B8728" s="1">
        <v>45832</v>
      </c>
      <c r="C8728" t="s">
        <v>74</v>
      </c>
      <c r="D8728">
        <v>26</v>
      </c>
      <c r="E8728" t="s">
        <v>70</v>
      </c>
      <c r="F8728" t="s">
        <v>62</v>
      </c>
      <c r="G8728" t="s">
        <v>191</v>
      </c>
      <c r="H8728" t="s">
        <v>155</v>
      </c>
      <c r="I8728">
        <v>22744</v>
      </c>
      <c r="J8728">
        <v>18303</v>
      </c>
    </row>
    <row r="8729" spans="1:10" x14ac:dyDescent="0.3">
      <c r="A8729" t="s">
        <v>8856</v>
      </c>
      <c r="B8729" s="1">
        <v>46019</v>
      </c>
      <c r="C8729" t="s">
        <v>100</v>
      </c>
      <c r="D8729">
        <v>52</v>
      </c>
      <c r="E8729" t="s">
        <v>61</v>
      </c>
      <c r="F8729" t="s">
        <v>13</v>
      </c>
      <c r="G8729" t="s">
        <v>47</v>
      </c>
      <c r="H8729" t="s">
        <v>68</v>
      </c>
      <c r="I8729">
        <v>28469</v>
      </c>
      <c r="J8729">
        <v>36278</v>
      </c>
    </row>
    <row r="8730" spans="1:10" x14ac:dyDescent="0.3">
      <c r="A8730" t="s">
        <v>8857</v>
      </c>
      <c r="B8730" s="1">
        <v>45820</v>
      </c>
      <c r="C8730" t="s">
        <v>74</v>
      </c>
      <c r="D8730">
        <v>24</v>
      </c>
      <c r="E8730" t="s">
        <v>39</v>
      </c>
      <c r="F8730" t="s">
        <v>140</v>
      </c>
      <c r="G8730" t="s">
        <v>51</v>
      </c>
      <c r="H8730" t="s">
        <v>15</v>
      </c>
      <c r="I8730">
        <v>32749</v>
      </c>
      <c r="J8730">
        <v>40990</v>
      </c>
    </row>
    <row r="8731" spans="1:10" x14ac:dyDescent="0.3">
      <c r="A8731" t="s">
        <v>8858</v>
      </c>
      <c r="B8731" s="1">
        <v>45727</v>
      </c>
      <c r="C8731" t="s">
        <v>95</v>
      </c>
      <c r="D8731">
        <v>11</v>
      </c>
      <c r="E8731" t="s">
        <v>33</v>
      </c>
      <c r="F8731" t="s">
        <v>78</v>
      </c>
      <c r="G8731" t="s">
        <v>145</v>
      </c>
      <c r="H8731" t="s">
        <v>116</v>
      </c>
      <c r="I8731">
        <v>37951</v>
      </c>
      <c r="J8731">
        <v>47357</v>
      </c>
    </row>
    <row r="8732" spans="1:10" x14ac:dyDescent="0.3">
      <c r="A8732" t="s">
        <v>8859</v>
      </c>
      <c r="B8732" s="1">
        <v>45906</v>
      </c>
      <c r="C8732" t="s">
        <v>38</v>
      </c>
      <c r="D8732">
        <v>36</v>
      </c>
      <c r="E8732" t="s">
        <v>24</v>
      </c>
      <c r="F8732" t="s">
        <v>25</v>
      </c>
      <c r="G8732" t="s">
        <v>44</v>
      </c>
      <c r="H8732" t="s">
        <v>41</v>
      </c>
      <c r="I8732">
        <v>39917</v>
      </c>
      <c r="J8732">
        <v>43731</v>
      </c>
    </row>
    <row r="8733" spans="1:10" x14ac:dyDescent="0.3">
      <c r="A8733" t="s">
        <v>8860</v>
      </c>
      <c r="B8733" s="1">
        <v>45989</v>
      </c>
      <c r="C8733" t="s">
        <v>23</v>
      </c>
      <c r="D8733">
        <v>48</v>
      </c>
      <c r="E8733" t="s">
        <v>12</v>
      </c>
      <c r="F8733" t="s">
        <v>19</v>
      </c>
      <c r="G8733" t="s">
        <v>35</v>
      </c>
      <c r="H8733" t="s">
        <v>41</v>
      </c>
      <c r="I8733">
        <v>31578</v>
      </c>
      <c r="J8733">
        <v>25217</v>
      </c>
    </row>
    <row r="8734" spans="1:10" x14ac:dyDescent="0.3">
      <c r="A8734" t="s">
        <v>8861</v>
      </c>
      <c r="B8734" s="1">
        <v>45711</v>
      </c>
      <c r="C8734" t="s">
        <v>82</v>
      </c>
      <c r="D8734">
        <v>8</v>
      </c>
      <c r="E8734" t="s">
        <v>61</v>
      </c>
      <c r="F8734" t="s">
        <v>140</v>
      </c>
      <c r="G8734" t="s">
        <v>72</v>
      </c>
      <c r="H8734" t="s">
        <v>31</v>
      </c>
      <c r="I8734">
        <v>24549</v>
      </c>
      <c r="J8734">
        <v>30405</v>
      </c>
    </row>
    <row r="8735" spans="1:10" x14ac:dyDescent="0.3">
      <c r="A8735" t="s">
        <v>8862</v>
      </c>
      <c r="B8735" s="1">
        <v>45697</v>
      </c>
      <c r="C8735" t="s">
        <v>82</v>
      </c>
      <c r="D8735">
        <v>6</v>
      </c>
      <c r="E8735" t="s">
        <v>24</v>
      </c>
      <c r="F8735" t="s">
        <v>29</v>
      </c>
      <c r="G8735" t="s">
        <v>224</v>
      </c>
      <c r="H8735" t="s">
        <v>84</v>
      </c>
      <c r="I8735">
        <v>37422</v>
      </c>
      <c r="J8735">
        <v>33992</v>
      </c>
    </row>
    <row r="8736" spans="1:10" x14ac:dyDescent="0.3">
      <c r="A8736" t="s">
        <v>8863</v>
      </c>
      <c r="B8736" s="1">
        <v>45947</v>
      </c>
      <c r="C8736" t="s">
        <v>66</v>
      </c>
      <c r="D8736">
        <v>42</v>
      </c>
      <c r="E8736" t="s">
        <v>18</v>
      </c>
      <c r="F8736" t="s">
        <v>122</v>
      </c>
      <c r="G8736" t="s">
        <v>51</v>
      </c>
      <c r="H8736" t="s">
        <v>52</v>
      </c>
      <c r="I8736">
        <v>21130</v>
      </c>
      <c r="J8736">
        <v>19651</v>
      </c>
    </row>
    <row r="8737" spans="1:10" x14ac:dyDescent="0.3">
      <c r="A8737" t="s">
        <v>8864</v>
      </c>
      <c r="B8737" s="1">
        <v>45700</v>
      </c>
      <c r="C8737" t="s">
        <v>82</v>
      </c>
      <c r="D8737">
        <v>7</v>
      </c>
      <c r="E8737" t="s">
        <v>33</v>
      </c>
      <c r="F8737" t="s">
        <v>122</v>
      </c>
      <c r="G8737" t="s">
        <v>88</v>
      </c>
      <c r="H8737" t="s">
        <v>27</v>
      </c>
      <c r="I8737">
        <v>32058</v>
      </c>
      <c r="J8737">
        <v>31087</v>
      </c>
    </row>
    <row r="8738" spans="1:10" x14ac:dyDescent="0.3">
      <c r="A8738" t="s">
        <v>8865</v>
      </c>
      <c r="B8738" s="1">
        <v>45899</v>
      </c>
      <c r="C8738" t="s">
        <v>113</v>
      </c>
      <c r="D8738">
        <v>35</v>
      </c>
      <c r="E8738" t="s">
        <v>39</v>
      </c>
      <c r="F8738" t="s">
        <v>29</v>
      </c>
      <c r="G8738" t="s">
        <v>30</v>
      </c>
      <c r="H8738" t="s">
        <v>36</v>
      </c>
      <c r="I8738">
        <v>18687</v>
      </c>
      <c r="J8738">
        <v>15237</v>
      </c>
    </row>
    <row r="8739" spans="1:10" x14ac:dyDescent="0.3">
      <c r="A8739" t="s">
        <v>8866</v>
      </c>
      <c r="B8739" s="1">
        <v>45816</v>
      </c>
      <c r="C8739" t="s">
        <v>74</v>
      </c>
      <c r="D8739">
        <v>23</v>
      </c>
      <c r="E8739" t="s">
        <v>61</v>
      </c>
      <c r="F8739" t="s">
        <v>101</v>
      </c>
      <c r="G8739" t="s">
        <v>230</v>
      </c>
      <c r="H8739" t="s">
        <v>103</v>
      </c>
      <c r="I8739">
        <v>36332</v>
      </c>
      <c r="J8739">
        <v>41707</v>
      </c>
    </row>
    <row r="8740" spans="1:10" x14ac:dyDescent="0.3">
      <c r="A8740" t="s">
        <v>8867</v>
      </c>
      <c r="B8740" s="1">
        <v>45787</v>
      </c>
      <c r="C8740" t="s">
        <v>90</v>
      </c>
      <c r="D8740">
        <v>19</v>
      </c>
      <c r="E8740" t="s">
        <v>24</v>
      </c>
      <c r="F8740" t="s">
        <v>87</v>
      </c>
      <c r="G8740" t="s">
        <v>137</v>
      </c>
      <c r="H8740" t="s">
        <v>116</v>
      </c>
      <c r="I8740">
        <v>38996</v>
      </c>
      <c r="J8740">
        <v>32436</v>
      </c>
    </row>
    <row r="8741" spans="1:10" x14ac:dyDescent="0.3">
      <c r="A8741" t="s">
        <v>8868</v>
      </c>
      <c r="B8741" s="1">
        <v>45857</v>
      </c>
      <c r="C8741" t="s">
        <v>11</v>
      </c>
      <c r="D8741">
        <v>29</v>
      </c>
      <c r="E8741" t="s">
        <v>70</v>
      </c>
      <c r="F8741" t="s">
        <v>87</v>
      </c>
      <c r="G8741" t="s">
        <v>324</v>
      </c>
      <c r="H8741" t="s">
        <v>163</v>
      </c>
      <c r="I8741">
        <v>23521</v>
      </c>
      <c r="J8741">
        <v>17948</v>
      </c>
    </row>
    <row r="8742" spans="1:10" x14ac:dyDescent="0.3">
      <c r="A8742" t="s">
        <v>8869</v>
      </c>
      <c r="B8742" s="1">
        <v>45979</v>
      </c>
      <c r="C8742" t="s">
        <v>23</v>
      </c>
      <c r="D8742">
        <v>47</v>
      </c>
      <c r="E8742" t="s">
        <v>61</v>
      </c>
      <c r="F8742" t="s">
        <v>140</v>
      </c>
      <c r="G8742" t="s">
        <v>230</v>
      </c>
      <c r="H8742" t="s">
        <v>31</v>
      </c>
      <c r="I8742">
        <v>38214</v>
      </c>
      <c r="J8742">
        <v>35720</v>
      </c>
    </row>
    <row r="8743" spans="1:10" x14ac:dyDescent="0.3">
      <c r="A8743" t="s">
        <v>8870</v>
      </c>
      <c r="B8743" s="1">
        <v>45934</v>
      </c>
      <c r="C8743" t="s">
        <v>66</v>
      </c>
      <c r="D8743">
        <v>40</v>
      </c>
      <c r="E8743" t="s">
        <v>70</v>
      </c>
      <c r="F8743" t="s">
        <v>62</v>
      </c>
      <c r="G8743" t="s">
        <v>253</v>
      </c>
      <c r="H8743" t="s">
        <v>211</v>
      </c>
      <c r="I8743">
        <v>31052</v>
      </c>
      <c r="J8743">
        <v>28416</v>
      </c>
    </row>
    <row r="8744" spans="1:10" x14ac:dyDescent="0.3">
      <c r="A8744" t="s">
        <v>8871</v>
      </c>
      <c r="B8744" s="1">
        <v>45895</v>
      </c>
      <c r="C8744" t="s">
        <v>113</v>
      </c>
      <c r="D8744">
        <v>35</v>
      </c>
      <c r="E8744" t="s">
        <v>70</v>
      </c>
      <c r="F8744" t="s">
        <v>25</v>
      </c>
      <c r="G8744" t="s">
        <v>224</v>
      </c>
      <c r="H8744" t="s">
        <v>96</v>
      </c>
      <c r="I8744">
        <v>24320</v>
      </c>
      <c r="J8744">
        <v>20053</v>
      </c>
    </row>
    <row r="8745" spans="1:10" x14ac:dyDescent="0.3">
      <c r="A8745" t="s">
        <v>8872</v>
      </c>
      <c r="B8745" s="1">
        <v>45959</v>
      </c>
      <c r="C8745" t="s">
        <v>66</v>
      </c>
      <c r="D8745">
        <v>44</v>
      </c>
      <c r="E8745" t="s">
        <v>39</v>
      </c>
      <c r="F8745" t="s">
        <v>109</v>
      </c>
      <c r="G8745" t="s">
        <v>137</v>
      </c>
      <c r="H8745" t="s">
        <v>243</v>
      </c>
      <c r="I8745">
        <v>34106</v>
      </c>
      <c r="J8745">
        <v>37404</v>
      </c>
    </row>
    <row r="8746" spans="1:10" x14ac:dyDescent="0.3">
      <c r="A8746" t="s">
        <v>8873</v>
      </c>
      <c r="B8746" s="1">
        <v>45965</v>
      </c>
      <c r="C8746" t="s">
        <v>23</v>
      </c>
      <c r="D8746">
        <v>45</v>
      </c>
      <c r="E8746" t="s">
        <v>33</v>
      </c>
      <c r="F8746" t="s">
        <v>57</v>
      </c>
      <c r="G8746" t="s">
        <v>130</v>
      </c>
      <c r="H8746" t="s">
        <v>111</v>
      </c>
      <c r="I8746">
        <v>17844</v>
      </c>
      <c r="J8746">
        <v>16680</v>
      </c>
    </row>
    <row r="8747" spans="1:10" x14ac:dyDescent="0.3">
      <c r="A8747" t="s">
        <v>8874</v>
      </c>
      <c r="B8747" s="1">
        <v>45894</v>
      </c>
      <c r="C8747" t="s">
        <v>113</v>
      </c>
      <c r="D8747">
        <v>35</v>
      </c>
      <c r="E8747" t="s">
        <v>70</v>
      </c>
      <c r="F8747" t="s">
        <v>43</v>
      </c>
      <c r="G8747" t="s">
        <v>128</v>
      </c>
      <c r="H8747" t="s">
        <v>116</v>
      </c>
      <c r="I8747">
        <v>24932</v>
      </c>
      <c r="J8747">
        <v>24364</v>
      </c>
    </row>
    <row r="8748" spans="1:10" x14ac:dyDescent="0.3">
      <c r="A8748" t="s">
        <v>8875</v>
      </c>
      <c r="B8748" s="1">
        <v>45932</v>
      </c>
      <c r="C8748" t="s">
        <v>66</v>
      </c>
      <c r="D8748">
        <v>40</v>
      </c>
      <c r="E8748" t="s">
        <v>18</v>
      </c>
      <c r="F8748" t="s">
        <v>109</v>
      </c>
      <c r="G8748" t="s">
        <v>130</v>
      </c>
      <c r="H8748" t="s">
        <v>52</v>
      </c>
      <c r="I8748">
        <v>29254</v>
      </c>
      <c r="J8748">
        <v>24212</v>
      </c>
    </row>
    <row r="8749" spans="1:10" x14ac:dyDescent="0.3">
      <c r="A8749" t="s">
        <v>8876</v>
      </c>
      <c r="B8749" s="1">
        <v>45914</v>
      </c>
      <c r="C8749" t="s">
        <v>38</v>
      </c>
      <c r="D8749">
        <v>37</v>
      </c>
      <c r="E8749" t="s">
        <v>18</v>
      </c>
      <c r="F8749" t="s">
        <v>114</v>
      </c>
      <c r="G8749" t="s">
        <v>182</v>
      </c>
      <c r="H8749" t="s">
        <v>55</v>
      </c>
      <c r="I8749">
        <v>30169</v>
      </c>
      <c r="J8749">
        <v>24150</v>
      </c>
    </row>
    <row r="8750" spans="1:10" x14ac:dyDescent="0.3">
      <c r="A8750" t="s">
        <v>8877</v>
      </c>
      <c r="B8750" s="1">
        <v>45782</v>
      </c>
      <c r="C8750" t="s">
        <v>90</v>
      </c>
      <c r="D8750">
        <v>19</v>
      </c>
      <c r="E8750" t="s">
        <v>70</v>
      </c>
      <c r="F8750" t="s">
        <v>34</v>
      </c>
      <c r="G8750" t="s">
        <v>137</v>
      </c>
      <c r="H8750" t="s">
        <v>157</v>
      </c>
      <c r="I8750">
        <v>22057</v>
      </c>
      <c r="J8750">
        <v>20653</v>
      </c>
    </row>
    <row r="8751" spans="1:10" x14ac:dyDescent="0.3">
      <c r="A8751" t="s">
        <v>8878</v>
      </c>
      <c r="B8751" s="1">
        <v>46009</v>
      </c>
      <c r="C8751" t="s">
        <v>100</v>
      </c>
      <c r="D8751">
        <v>51</v>
      </c>
      <c r="E8751" t="s">
        <v>24</v>
      </c>
      <c r="F8751" t="s">
        <v>25</v>
      </c>
      <c r="G8751" t="s">
        <v>118</v>
      </c>
      <c r="H8751" t="s">
        <v>119</v>
      </c>
      <c r="I8751">
        <v>37220</v>
      </c>
      <c r="J8751">
        <v>37522</v>
      </c>
    </row>
    <row r="8752" spans="1:10" x14ac:dyDescent="0.3">
      <c r="A8752" t="s">
        <v>8879</v>
      </c>
      <c r="B8752" s="1">
        <v>45734</v>
      </c>
      <c r="C8752" t="s">
        <v>95</v>
      </c>
      <c r="D8752">
        <v>12</v>
      </c>
      <c r="E8752" t="s">
        <v>33</v>
      </c>
      <c r="F8752" t="s">
        <v>57</v>
      </c>
      <c r="G8752" t="s">
        <v>224</v>
      </c>
      <c r="H8752" t="s">
        <v>163</v>
      </c>
      <c r="I8752">
        <v>27866</v>
      </c>
      <c r="J8752">
        <v>36188</v>
      </c>
    </row>
    <row r="8753" spans="1:10" x14ac:dyDescent="0.3">
      <c r="A8753" t="s">
        <v>8880</v>
      </c>
      <c r="B8753" s="1">
        <v>45690</v>
      </c>
      <c r="C8753" t="s">
        <v>82</v>
      </c>
      <c r="D8753">
        <v>5</v>
      </c>
      <c r="E8753" t="s">
        <v>39</v>
      </c>
      <c r="F8753" t="s">
        <v>114</v>
      </c>
      <c r="G8753" t="s">
        <v>230</v>
      </c>
      <c r="H8753" t="s">
        <v>48</v>
      </c>
      <c r="I8753">
        <v>29343</v>
      </c>
      <c r="J8753">
        <v>26565</v>
      </c>
    </row>
    <row r="8754" spans="1:10" x14ac:dyDescent="0.3">
      <c r="A8754" t="s">
        <v>8881</v>
      </c>
      <c r="B8754" s="1">
        <v>46006</v>
      </c>
      <c r="C8754" t="s">
        <v>100</v>
      </c>
      <c r="D8754">
        <v>51</v>
      </c>
      <c r="E8754" t="s">
        <v>70</v>
      </c>
      <c r="F8754" t="s">
        <v>75</v>
      </c>
      <c r="G8754" t="s">
        <v>76</v>
      </c>
      <c r="H8754" t="s">
        <v>52</v>
      </c>
      <c r="I8754">
        <v>37471</v>
      </c>
      <c r="J8754">
        <v>29176</v>
      </c>
    </row>
    <row r="8755" spans="1:10" x14ac:dyDescent="0.3">
      <c r="A8755" t="s">
        <v>8882</v>
      </c>
      <c r="B8755" s="1">
        <v>45778</v>
      </c>
      <c r="C8755" t="s">
        <v>90</v>
      </c>
      <c r="D8755">
        <v>18</v>
      </c>
      <c r="E8755" t="s">
        <v>18</v>
      </c>
      <c r="F8755" t="s">
        <v>62</v>
      </c>
      <c r="G8755" t="s">
        <v>35</v>
      </c>
      <c r="H8755" t="s">
        <v>48</v>
      </c>
      <c r="I8755">
        <v>18789</v>
      </c>
      <c r="J8755">
        <v>18935</v>
      </c>
    </row>
    <row r="8756" spans="1:10" x14ac:dyDescent="0.3">
      <c r="A8756" t="s">
        <v>8883</v>
      </c>
      <c r="B8756" s="1">
        <v>45812</v>
      </c>
      <c r="C8756" t="s">
        <v>74</v>
      </c>
      <c r="D8756">
        <v>23</v>
      </c>
      <c r="E8756" t="s">
        <v>24</v>
      </c>
      <c r="F8756" t="s">
        <v>25</v>
      </c>
      <c r="G8756" t="s">
        <v>79</v>
      </c>
      <c r="H8756" t="s">
        <v>111</v>
      </c>
      <c r="I8756">
        <v>17334</v>
      </c>
      <c r="J8756">
        <v>13829</v>
      </c>
    </row>
    <row r="8757" spans="1:10" x14ac:dyDescent="0.3">
      <c r="A8757" t="s">
        <v>8884</v>
      </c>
      <c r="B8757" s="1">
        <v>45740</v>
      </c>
      <c r="C8757" t="s">
        <v>95</v>
      </c>
      <c r="D8757">
        <v>13</v>
      </c>
      <c r="E8757" t="s">
        <v>18</v>
      </c>
      <c r="F8757" t="s">
        <v>109</v>
      </c>
      <c r="G8757" t="s">
        <v>44</v>
      </c>
      <c r="H8757" t="s">
        <v>80</v>
      </c>
      <c r="I8757">
        <v>19599</v>
      </c>
      <c r="J8757">
        <v>21276</v>
      </c>
    </row>
    <row r="8758" spans="1:10" x14ac:dyDescent="0.3">
      <c r="A8758" t="s">
        <v>8885</v>
      </c>
      <c r="B8758" s="1">
        <v>45840</v>
      </c>
      <c r="C8758" t="s">
        <v>11</v>
      </c>
      <c r="D8758">
        <v>27</v>
      </c>
      <c r="E8758" t="s">
        <v>33</v>
      </c>
      <c r="F8758" t="s">
        <v>34</v>
      </c>
      <c r="G8758" t="s">
        <v>51</v>
      </c>
      <c r="H8758" t="s">
        <v>59</v>
      </c>
      <c r="I8758">
        <v>28278</v>
      </c>
      <c r="J8758">
        <v>35084</v>
      </c>
    </row>
    <row r="8759" spans="1:10" x14ac:dyDescent="0.3">
      <c r="A8759" t="s">
        <v>8886</v>
      </c>
      <c r="B8759" s="1">
        <v>45909</v>
      </c>
      <c r="C8759" t="s">
        <v>38</v>
      </c>
      <c r="D8759">
        <v>37</v>
      </c>
      <c r="E8759" t="s">
        <v>12</v>
      </c>
      <c r="F8759" t="s">
        <v>140</v>
      </c>
      <c r="G8759" t="s">
        <v>107</v>
      </c>
      <c r="H8759" t="s">
        <v>165</v>
      </c>
      <c r="I8759">
        <v>29458</v>
      </c>
      <c r="J8759">
        <v>24649</v>
      </c>
    </row>
    <row r="8760" spans="1:10" x14ac:dyDescent="0.3">
      <c r="A8760" t="s">
        <v>8887</v>
      </c>
      <c r="B8760" s="1">
        <v>45934</v>
      </c>
      <c r="C8760" t="s">
        <v>66</v>
      </c>
      <c r="D8760">
        <v>40</v>
      </c>
      <c r="E8760" t="s">
        <v>33</v>
      </c>
      <c r="F8760" t="s">
        <v>140</v>
      </c>
      <c r="G8760" t="s">
        <v>115</v>
      </c>
      <c r="H8760" t="s">
        <v>27</v>
      </c>
      <c r="I8760">
        <v>17043</v>
      </c>
      <c r="J8760">
        <v>19884</v>
      </c>
    </row>
    <row r="8761" spans="1:10" x14ac:dyDescent="0.3">
      <c r="A8761" t="s">
        <v>8888</v>
      </c>
      <c r="B8761" s="1">
        <v>45760</v>
      </c>
      <c r="C8761" t="s">
        <v>86</v>
      </c>
      <c r="D8761">
        <v>15</v>
      </c>
      <c r="E8761" t="s">
        <v>61</v>
      </c>
      <c r="F8761" t="s">
        <v>29</v>
      </c>
      <c r="G8761" t="s">
        <v>44</v>
      </c>
      <c r="H8761" t="s">
        <v>163</v>
      </c>
      <c r="I8761">
        <v>27144</v>
      </c>
      <c r="J8761">
        <v>25219</v>
      </c>
    </row>
    <row r="8762" spans="1:10" x14ac:dyDescent="0.3">
      <c r="A8762" t="s">
        <v>8889</v>
      </c>
      <c r="B8762" s="1">
        <v>45883</v>
      </c>
      <c r="C8762" t="s">
        <v>113</v>
      </c>
      <c r="D8762">
        <v>33</v>
      </c>
      <c r="E8762" t="s">
        <v>70</v>
      </c>
      <c r="F8762" t="s">
        <v>109</v>
      </c>
      <c r="G8762" t="s">
        <v>291</v>
      </c>
      <c r="H8762" t="s">
        <v>103</v>
      </c>
      <c r="I8762">
        <v>38456</v>
      </c>
      <c r="J8762">
        <v>32332</v>
      </c>
    </row>
    <row r="8763" spans="1:10" x14ac:dyDescent="0.3">
      <c r="A8763" t="s">
        <v>8890</v>
      </c>
      <c r="B8763" s="1">
        <v>45852</v>
      </c>
      <c r="C8763" t="s">
        <v>11</v>
      </c>
      <c r="D8763">
        <v>29</v>
      </c>
      <c r="E8763" t="s">
        <v>70</v>
      </c>
      <c r="F8763" t="s">
        <v>50</v>
      </c>
      <c r="G8763" t="s">
        <v>93</v>
      </c>
      <c r="H8763" t="s">
        <v>98</v>
      </c>
      <c r="I8763">
        <v>24038</v>
      </c>
      <c r="J8763">
        <v>28381</v>
      </c>
    </row>
    <row r="8764" spans="1:10" x14ac:dyDescent="0.3">
      <c r="A8764" t="s">
        <v>8891</v>
      </c>
      <c r="B8764" s="1">
        <v>45681</v>
      </c>
      <c r="C8764" t="s">
        <v>17</v>
      </c>
      <c r="D8764">
        <v>4</v>
      </c>
      <c r="E8764" t="s">
        <v>39</v>
      </c>
      <c r="F8764" t="s">
        <v>46</v>
      </c>
      <c r="G8764" t="s">
        <v>26</v>
      </c>
      <c r="H8764" t="s">
        <v>211</v>
      </c>
      <c r="I8764">
        <v>18132</v>
      </c>
      <c r="J8764">
        <v>18808</v>
      </c>
    </row>
    <row r="8765" spans="1:10" x14ac:dyDescent="0.3">
      <c r="A8765" t="s">
        <v>8892</v>
      </c>
      <c r="B8765" s="1">
        <v>45929</v>
      </c>
      <c r="C8765" t="s">
        <v>38</v>
      </c>
      <c r="D8765">
        <v>40</v>
      </c>
      <c r="E8765" t="s">
        <v>70</v>
      </c>
      <c r="F8765" t="s">
        <v>122</v>
      </c>
      <c r="G8765" t="s">
        <v>115</v>
      </c>
      <c r="H8765" t="s">
        <v>243</v>
      </c>
      <c r="I8765">
        <v>27980</v>
      </c>
      <c r="J8765">
        <v>23687</v>
      </c>
    </row>
    <row r="8766" spans="1:10" x14ac:dyDescent="0.3">
      <c r="A8766" t="s">
        <v>8893</v>
      </c>
      <c r="B8766" s="1">
        <v>45911</v>
      </c>
      <c r="C8766" t="s">
        <v>38</v>
      </c>
      <c r="D8766">
        <v>37</v>
      </c>
      <c r="E8766" t="s">
        <v>12</v>
      </c>
      <c r="F8766" t="s">
        <v>92</v>
      </c>
      <c r="G8766" t="s">
        <v>324</v>
      </c>
      <c r="H8766" t="s">
        <v>21</v>
      </c>
      <c r="I8766">
        <v>35140</v>
      </c>
      <c r="J8766">
        <v>36791</v>
      </c>
    </row>
    <row r="8767" spans="1:10" x14ac:dyDescent="0.3">
      <c r="A8767" t="s">
        <v>8894</v>
      </c>
      <c r="B8767" s="1">
        <v>45685</v>
      </c>
      <c r="C8767" t="s">
        <v>17</v>
      </c>
      <c r="D8767">
        <v>5</v>
      </c>
      <c r="E8767" t="s">
        <v>12</v>
      </c>
      <c r="F8767" t="s">
        <v>62</v>
      </c>
      <c r="G8767" t="s">
        <v>63</v>
      </c>
      <c r="H8767" t="s">
        <v>163</v>
      </c>
      <c r="I8767">
        <v>19530</v>
      </c>
      <c r="J8767">
        <v>20888</v>
      </c>
    </row>
    <row r="8768" spans="1:10" x14ac:dyDescent="0.3">
      <c r="A8768" t="s">
        <v>8895</v>
      </c>
      <c r="B8768" s="1">
        <v>45729</v>
      </c>
      <c r="C8768" t="s">
        <v>95</v>
      </c>
      <c r="D8768">
        <v>11</v>
      </c>
      <c r="E8768" t="s">
        <v>33</v>
      </c>
      <c r="F8768" t="s">
        <v>75</v>
      </c>
      <c r="G8768" t="s">
        <v>191</v>
      </c>
      <c r="H8768" t="s">
        <v>133</v>
      </c>
      <c r="I8768">
        <v>28180</v>
      </c>
      <c r="J8768">
        <v>24797</v>
      </c>
    </row>
    <row r="8769" spans="1:10" x14ac:dyDescent="0.3">
      <c r="A8769" t="s">
        <v>8896</v>
      </c>
      <c r="B8769" s="1">
        <v>45896</v>
      </c>
      <c r="C8769" t="s">
        <v>113</v>
      </c>
      <c r="D8769">
        <v>35</v>
      </c>
      <c r="E8769" t="s">
        <v>33</v>
      </c>
      <c r="F8769" t="s">
        <v>25</v>
      </c>
      <c r="G8769" t="s">
        <v>206</v>
      </c>
      <c r="H8769" t="s">
        <v>123</v>
      </c>
      <c r="I8769">
        <v>36733</v>
      </c>
      <c r="J8769">
        <v>42542</v>
      </c>
    </row>
    <row r="8770" spans="1:10" x14ac:dyDescent="0.3">
      <c r="A8770" t="s">
        <v>8897</v>
      </c>
      <c r="B8770" s="1">
        <v>46013</v>
      </c>
      <c r="C8770" t="s">
        <v>100</v>
      </c>
      <c r="D8770">
        <v>52</v>
      </c>
      <c r="E8770" t="s">
        <v>18</v>
      </c>
      <c r="F8770" t="s">
        <v>78</v>
      </c>
      <c r="G8770" t="s">
        <v>79</v>
      </c>
      <c r="H8770" t="s">
        <v>211</v>
      </c>
      <c r="I8770">
        <v>22504</v>
      </c>
      <c r="J8770">
        <v>24559</v>
      </c>
    </row>
    <row r="8771" spans="1:10" x14ac:dyDescent="0.3">
      <c r="A8771" t="s">
        <v>8898</v>
      </c>
      <c r="B8771" s="1">
        <v>45718</v>
      </c>
      <c r="C8771" t="s">
        <v>95</v>
      </c>
      <c r="D8771">
        <v>9</v>
      </c>
      <c r="E8771" t="s">
        <v>61</v>
      </c>
      <c r="F8771" t="s">
        <v>109</v>
      </c>
      <c r="G8771" t="s">
        <v>253</v>
      </c>
      <c r="H8771" t="s">
        <v>52</v>
      </c>
      <c r="I8771">
        <v>35495</v>
      </c>
      <c r="J8771">
        <v>26418</v>
      </c>
    </row>
    <row r="8772" spans="1:10" x14ac:dyDescent="0.3">
      <c r="A8772" t="s">
        <v>8899</v>
      </c>
      <c r="B8772" s="1">
        <v>45897</v>
      </c>
      <c r="C8772" t="s">
        <v>113</v>
      </c>
      <c r="D8772">
        <v>35</v>
      </c>
      <c r="E8772" t="s">
        <v>12</v>
      </c>
      <c r="F8772" t="s">
        <v>109</v>
      </c>
      <c r="G8772" t="s">
        <v>206</v>
      </c>
      <c r="H8772" t="s">
        <v>31</v>
      </c>
      <c r="I8772">
        <v>18178</v>
      </c>
      <c r="J8772">
        <v>14226</v>
      </c>
    </row>
    <row r="8773" spans="1:10" x14ac:dyDescent="0.3">
      <c r="A8773" t="s">
        <v>8900</v>
      </c>
      <c r="B8773" s="1">
        <v>45721</v>
      </c>
      <c r="C8773" t="s">
        <v>95</v>
      </c>
      <c r="D8773">
        <v>10</v>
      </c>
      <c r="E8773" t="s">
        <v>18</v>
      </c>
      <c r="F8773" t="s">
        <v>46</v>
      </c>
      <c r="G8773" t="s">
        <v>266</v>
      </c>
      <c r="H8773" t="s">
        <v>133</v>
      </c>
      <c r="I8773">
        <v>27742</v>
      </c>
      <c r="J8773">
        <v>26343</v>
      </c>
    </row>
    <row r="8774" spans="1:10" x14ac:dyDescent="0.3">
      <c r="A8774" t="s">
        <v>8901</v>
      </c>
      <c r="B8774" s="1">
        <v>45805</v>
      </c>
      <c r="C8774" t="s">
        <v>90</v>
      </c>
      <c r="D8774">
        <v>22</v>
      </c>
      <c r="E8774" t="s">
        <v>12</v>
      </c>
      <c r="F8774" t="s">
        <v>43</v>
      </c>
      <c r="G8774" t="s">
        <v>240</v>
      </c>
      <c r="H8774" t="s">
        <v>36</v>
      </c>
      <c r="I8774">
        <v>36251</v>
      </c>
      <c r="J8774">
        <v>39497</v>
      </c>
    </row>
    <row r="8775" spans="1:10" x14ac:dyDescent="0.3">
      <c r="A8775" t="s">
        <v>8902</v>
      </c>
      <c r="B8775" s="1">
        <v>45973</v>
      </c>
      <c r="C8775" t="s">
        <v>23</v>
      </c>
      <c r="D8775">
        <v>46</v>
      </c>
      <c r="E8775" t="s">
        <v>39</v>
      </c>
      <c r="F8775" t="s">
        <v>62</v>
      </c>
      <c r="G8775" t="s">
        <v>206</v>
      </c>
      <c r="H8775" t="s">
        <v>211</v>
      </c>
      <c r="I8775">
        <v>27681</v>
      </c>
      <c r="J8775">
        <v>26225</v>
      </c>
    </row>
    <row r="8776" spans="1:10" x14ac:dyDescent="0.3">
      <c r="A8776" t="s">
        <v>8903</v>
      </c>
      <c r="B8776" s="1">
        <v>45866</v>
      </c>
      <c r="C8776" t="s">
        <v>11</v>
      </c>
      <c r="D8776">
        <v>31</v>
      </c>
      <c r="E8776" t="s">
        <v>18</v>
      </c>
      <c r="F8776" t="s">
        <v>78</v>
      </c>
      <c r="G8776" t="s">
        <v>79</v>
      </c>
      <c r="H8776" t="s">
        <v>116</v>
      </c>
      <c r="I8776">
        <v>35977</v>
      </c>
      <c r="J8776">
        <v>33462</v>
      </c>
    </row>
    <row r="8777" spans="1:10" x14ac:dyDescent="0.3">
      <c r="A8777" t="s">
        <v>8904</v>
      </c>
      <c r="B8777" s="1">
        <v>45891</v>
      </c>
      <c r="C8777" t="s">
        <v>113</v>
      </c>
      <c r="D8777">
        <v>34</v>
      </c>
      <c r="E8777" t="s">
        <v>33</v>
      </c>
      <c r="F8777" t="s">
        <v>193</v>
      </c>
      <c r="G8777" t="s">
        <v>149</v>
      </c>
      <c r="H8777" t="s">
        <v>48</v>
      </c>
      <c r="I8777">
        <v>31728</v>
      </c>
      <c r="J8777">
        <v>25978</v>
      </c>
    </row>
    <row r="8778" spans="1:10" x14ac:dyDescent="0.3">
      <c r="A8778" t="s">
        <v>8905</v>
      </c>
      <c r="B8778" s="1">
        <v>45878</v>
      </c>
      <c r="C8778" t="s">
        <v>113</v>
      </c>
      <c r="D8778">
        <v>32</v>
      </c>
      <c r="E8778" t="s">
        <v>61</v>
      </c>
      <c r="F8778" t="s">
        <v>57</v>
      </c>
      <c r="G8778" t="s">
        <v>266</v>
      </c>
      <c r="H8778" t="s">
        <v>41</v>
      </c>
      <c r="I8778">
        <v>23901</v>
      </c>
      <c r="J8778">
        <v>18115</v>
      </c>
    </row>
    <row r="8779" spans="1:10" x14ac:dyDescent="0.3">
      <c r="A8779" t="s">
        <v>8906</v>
      </c>
      <c r="B8779" s="1">
        <v>46013</v>
      </c>
      <c r="C8779" t="s">
        <v>100</v>
      </c>
      <c r="D8779">
        <v>52</v>
      </c>
      <c r="E8779" t="s">
        <v>33</v>
      </c>
      <c r="F8779" t="s">
        <v>34</v>
      </c>
      <c r="G8779" t="s">
        <v>14</v>
      </c>
      <c r="H8779" t="s">
        <v>80</v>
      </c>
      <c r="I8779">
        <v>18567</v>
      </c>
      <c r="J8779">
        <v>15617</v>
      </c>
    </row>
    <row r="8780" spans="1:10" x14ac:dyDescent="0.3">
      <c r="A8780" t="s">
        <v>8907</v>
      </c>
      <c r="B8780" s="1">
        <v>45849</v>
      </c>
      <c r="C8780" t="s">
        <v>11</v>
      </c>
      <c r="D8780">
        <v>28</v>
      </c>
      <c r="E8780" t="s">
        <v>24</v>
      </c>
      <c r="F8780" t="s">
        <v>62</v>
      </c>
      <c r="G8780" t="s">
        <v>132</v>
      </c>
      <c r="H8780" t="s">
        <v>55</v>
      </c>
      <c r="I8780">
        <v>38184</v>
      </c>
      <c r="J8780">
        <v>28558</v>
      </c>
    </row>
    <row r="8781" spans="1:10" x14ac:dyDescent="0.3">
      <c r="A8781" t="s">
        <v>8908</v>
      </c>
      <c r="B8781" s="1">
        <v>45803</v>
      </c>
      <c r="C8781" t="s">
        <v>90</v>
      </c>
      <c r="D8781">
        <v>22</v>
      </c>
      <c r="E8781" t="s">
        <v>61</v>
      </c>
      <c r="F8781" t="s">
        <v>19</v>
      </c>
      <c r="G8781" t="s">
        <v>149</v>
      </c>
      <c r="H8781" t="s">
        <v>163</v>
      </c>
      <c r="I8781">
        <v>39766</v>
      </c>
      <c r="J8781">
        <v>28057</v>
      </c>
    </row>
    <row r="8782" spans="1:10" x14ac:dyDescent="0.3">
      <c r="A8782" t="s">
        <v>8909</v>
      </c>
      <c r="B8782" s="1">
        <v>45775</v>
      </c>
      <c r="C8782" t="s">
        <v>86</v>
      </c>
      <c r="D8782">
        <v>18</v>
      </c>
      <c r="E8782" t="s">
        <v>33</v>
      </c>
      <c r="F8782" t="s">
        <v>78</v>
      </c>
      <c r="G8782" t="s">
        <v>51</v>
      </c>
      <c r="H8782" t="s">
        <v>119</v>
      </c>
      <c r="I8782">
        <v>15119</v>
      </c>
      <c r="J8782">
        <v>17838</v>
      </c>
    </row>
    <row r="8783" spans="1:10" x14ac:dyDescent="0.3">
      <c r="A8783" t="s">
        <v>8910</v>
      </c>
      <c r="B8783" s="1">
        <v>45918</v>
      </c>
      <c r="C8783" t="s">
        <v>38</v>
      </c>
      <c r="D8783">
        <v>38</v>
      </c>
      <c r="E8783" t="s">
        <v>33</v>
      </c>
      <c r="F8783" t="s">
        <v>109</v>
      </c>
      <c r="G8783" t="s">
        <v>35</v>
      </c>
      <c r="H8783" t="s">
        <v>188</v>
      </c>
      <c r="I8783">
        <v>18037</v>
      </c>
      <c r="J8783">
        <v>17989</v>
      </c>
    </row>
    <row r="8784" spans="1:10" x14ac:dyDescent="0.3">
      <c r="A8784" t="s">
        <v>8911</v>
      </c>
      <c r="B8784" s="1">
        <v>45865</v>
      </c>
      <c r="C8784" t="s">
        <v>11</v>
      </c>
      <c r="D8784">
        <v>30</v>
      </c>
      <c r="E8784" t="s">
        <v>33</v>
      </c>
      <c r="F8784" t="s">
        <v>122</v>
      </c>
      <c r="G8784" t="s">
        <v>240</v>
      </c>
      <c r="H8784" t="s">
        <v>27</v>
      </c>
      <c r="I8784">
        <v>25058</v>
      </c>
      <c r="J8784">
        <v>18784</v>
      </c>
    </row>
    <row r="8785" spans="1:10" x14ac:dyDescent="0.3">
      <c r="A8785" t="s">
        <v>8912</v>
      </c>
      <c r="B8785" s="1">
        <v>45768</v>
      </c>
      <c r="C8785" t="s">
        <v>86</v>
      </c>
      <c r="D8785">
        <v>17</v>
      </c>
      <c r="E8785" t="s">
        <v>24</v>
      </c>
      <c r="F8785" t="s">
        <v>50</v>
      </c>
      <c r="G8785" t="s">
        <v>35</v>
      </c>
      <c r="H8785" t="s">
        <v>68</v>
      </c>
      <c r="I8785">
        <v>37552</v>
      </c>
      <c r="J8785">
        <v>28112</v>
      </c>
    </row>
    <row r="8786" spans="1:10" x14ac:dyDescent="0.3">
      <c r="A8786" t="s">
        <v>8913</v>
      </c>
      <c r="B8786" s="1">
        <v>45883</v>
      </c>
      <c r="C8786" t="s">
        <v>113</v>
      </c>
      <c r="D8786">
        <v>33</v>
      </c>
      <c r="E8786" t="s">
        <v>12</v>
      </c>
      <c r="F8786" t="s">
        <v>29</v>
      </c>
      <c r="G8786" t="s">
        <v>199</v>
      </c>
      <c r="H8786" t="s">
        <v>119</v>
      </c>
      <c r="I8786">
        <v>30828</v>
      </c>
      <c r="J8786">
        <v>36350</v>
      </c>
    </row>
    <row r="8787" spans="1:10" x14ac:dyDescent="0.3">
      <c r="A8787" t="s">
        <v>8914</v>
      </c>
      <c r="B8787" s="1">
        <v>45904</v>
      </c>
      <c r="C8787" t="s">
        <v>38</v>
      </c>
      <c r="D8787">
        <v>36</v>
      </c>
      <c r="E8787" t="s">
        <v>18</v>
      </c>
      <c r="F8787" t="s">
        <v>87</v>
      </c>
      <c r="G8787" t="s">
        <v>63</v>
      </c>
      <c r="H8787" t="s">
        <v>165</v>
      </c>
      <c r="I8787">
        <v>24708</v>
      </c>
      <c r="J8787">
        <v>27811</v>
      </c>
    </row>
    <row r="8788" spans="1:10" x14ac:dyDescent="0.3">
      <c r="A8788" t="s">
        <v>8915</v>
      </c>
      <c r="B8788" s="1">
        <v>45796</v>
      </c>
      <c r="C8788" t="s">
        <v>90</v>
      </c>
      <c r="D8788">
        <v>21</v>
      </c>
      <c r="E8788" t="s">
        <v>24</v>
      </c>
      <c r="F8788" t="s">
        <v>57</v>
      </c>
      <c r="G8788" t="s">
        <v>83</v>
      </c>
      <c r="H8788" t="s">
        <v>41</v>
      </c>
      <c r="I8788">
        <v>35685</v>
      </c>
      <c r="J8788">
        <v>39368</v>
      </c>
    </row>
    <row r="8789" spans="1:10" x14ac:dyDescent="0.3">
      <c r="A8789" t="s">
        <v>8916</v>
      </c>
      <c r="B8789" s="1">
        <v>45761</v>
      </c>
      <c r="C8789" t="s">
        <v>86</v>
      </c>
      <c r="D8789">
        <v>16</v>
      </c>
      <c r="E8789" t="s">
        <v>39</v>
      </c>
      <c r="F8789" t="s">
        <v>122</v>
      </c>
      <c r="G8789" t="s">
        <v>102</v>
      </c>
      <c r="H8789" t="s">
        <v>155</v>
      </c>
      <c r="I8789">
        <v>25760</v>
      </c>
      <c r="J8789">
        <v>29189</v>
      </c>
    </row>
    <row r="8790" spans="1:10" x14ac:dyDescent="0.3">
      <c r="A8790" t="s">
        <v>8917</v>
      </c>
      <c r="B8790" s="1">
        <v>45781</v>
      </c>
      <c r="C8790" t="s">
        <v>90</v>
      </c>
      <c r="D8790">
        <v>18</v>
      </c>
      <c r="E8790" t="s">
        <v>33</v>
      </c>
      <c r="F8790" t="s">
        <v>78</v>
      </c>
      <c r="G8790" t="s">
        <v>110</v>
      </c>
      <c r="H8790" t="s">
        <v>55</v>
      </c>
      <c r="I8790">
        <v>27173</v>
      </c>
      <c r="J8790">
        <v>24115</v>
      </c>
    </row>
    <row r="8791" spans="1:10" x14ac:dyDescent="0.3">
      <c r="A8791" t="s">
        <v>8918</v>
      </c>
      <c r="B8791" s="1">
        <v>45780</v>
      </c>
      <c r="C8791" t="s">
        <v>90</v>
      </c>
      <c r="D8791">
        <v>18</v>
      </c>
      <c r="E8791" t="s">
        <v>39</v>
      </c>
      <c r="F8791" t="s">
        <v>140</v>
      </c>
      <c r="G8791" t="s">
        <v>149</v>
      </c>
      <c r="H8791" t="s">
        <v>155</v>
      </c>
      <c r="I8791">
        <v>35905</v>
      </c>
      <c r="J8791">
        <v>36821</v>
      </c>
    </row>
    <row r="8792" spans="1:10" x14ac:dyDescent="0.3">
      <c r="A8792" t="s">
        <v>8919</v>
      </c>
      <c r="B8792" s="1">
        <v>45946</v>
      </c>
      <c r="C8792" t="s">
        <v>66</v>
      </c>
      <c r="D8792">
        <v>42</v>
      </c>
      <c r="E8792" t="s">
        <v>12</v>
      </c>
      <c r="F8792" t="s">
        <v>101</v>
      </c>
      <c r="G8792" t="s">
        <v>145</v>
      </c>
      <c r="H8792" t="s">
        <v>157</v>
      </c>
      <c r="I8792">
        <v>34039</v>
      </c>
      <c r="J8792">
        <v>44178</v>
      </c>
    </row>
    <row r="8793" spans="1:10" x14ac:dyDescent="0.3">
      <c r="A8793" t="s">
        <v>8920</v>
      </c>
      <c r="B8793" s="1">
        <v>45688</v>
      </c>
      <c r="C8793" t="s">
        <v>17</v>
      </c>
      <c r="D8793">
        <v>5</v>
      </c>
      <c r="E8793" t="s">
        <v>70</v>
      </c>
      <c r="F8793" t="s">
        <v>19</v>
      </c>
      <c r="G8793" t="s">
        <v>58</v>
      </c>
      <c r="H8793" t="s">
        <v>64</v>
      </c>
      <c r="I8793">
        <v>15438</v>
      </c>
      <c r="J8793">
        <v>16256</v>
      </c>
    </row>
    <row r="8794" spans="1:10" x14ac:dyDescent="0.3">
      <c r="A8794" t="s">
        <v>8921</v>
      </c>
      <c r="B8794" s="1">
        <v>45694</v>
      </c>
      <c r="C8794" t="s">
        <v>82</v>
      </c>
      <c r="D8794">
        <v>6</v>
      </c>
      <c r="E8794" t="s">
        <v>70</v>
      </c>
      <c r="F8794" t="s">
        <v>122</v>
      </c>
      <c r="G8794" t="s">
        <v>107</v>
      </c>
      <c r="H8794" t="s">
        <v>123</v>
      </c>
      <c r="I8794">
        <v>35481</v>
      </c>
      <c r="J8794">
        <v>35950</v>
      </c>
    </row>
    <row r="8795" spans="1:10" x14ac:dyDescent="0.3">
      <c r="A8795" t="s">
        <v>8922</v>
      </c>
      <c r="B8795" s="1">
        <v>45719</v>
      </c>
      <c r="C8795" t="s">
        <v>95</v>
      </c>
      <c r="D8795">
        <v>10</v>
      </c>
      <c r="E8795" t="s">
        <v>24</v>
      </c>
      <c r="F8795" t="s">
        <v>19</v>
      </c>
      <c r="G8795" t="s">
        <v>234</v>
      </c>
      <c r="H8795" t="s">
        <v>64</v>
      </c>
      <c r="I8795">
        <v>22483</v>
      </c>
      <c r="J8795">
        <v>23048</v>
      </c>
    </row>
    <row r="8796" spans="1:10" x14ac:dyDescent="0.3">
      <c r="A8796" t="s">
        <v>8923</v>
      </c>
      <c r="B8796" s="1">
        <v>45667</v>
      </c>
      <c r="C8796" t="s">
        <v>17</v>
      </c>
      <c r="D8796">
        <v>2</v>
      </c>
      <c r="E8796" t="s">
        <v>61</v>
      </c>
      <c r="F8796" t="s">
        <v>43</v>
      </c>
      <c r="G8796" t="s">
        <v>115</v>
      </c>
      <c r="H8796" t="s">
        <v>243</v>
      </c>
      <c r="I8796">
        <v>22520</v>
      </c>
      <c r="J8796">
        <v>22003</v>
      </c>
    </row>
    <row r="8797" spans="1:10" x14ac:dyDescent="0.3">
      <c r="A8797" t="s">
        <v>8924</v>
      </c>
      <c r="B8797" s="1">
        <v>45927</v>
      </c>
      <c r="C8797" t="s">
        <v>38</v>
      </c>
      <c r="D8797">
        <v>39</v>
      </c>
      <c r="E8797" t="s">
        <v>18</v>
      </c>
      <c r="F8797" t="s">
        <v>25</v>
      </c>
      <c r="G8797" t="s">
        <v>199</v>
      </c>
      <c r="H8797" t="s">
        <v>151</v>
      </c>
      <c r="I8797">
        <v>18427</v>
      </c>
      <c r="J8797">
        <v>19305</v>
      </c>
    </row>
    <row r="8798" spans="1:10" x14ac:dyDescent="0.3">
      <c r="A8798" t="s">
        <v>8925</v>
      </c>
      <c r="B8798" s="1">
        <v>45710</v>
      </c>
      <c r="C8798" t="s">
        <v>82</v>
      </c>
      <c r="D8798">
        <v>8</v>
      </c>
      <c r="E8798" t="s">
        <v>12</v>
      </c>
      <c r="F8798" t="s">
        <v>62</v>
      </c>
      <c r="G8798" t="s">
        <v>115</v>
      </c>
      <c r="H8798" t="s">
        <v>15</v>
      </c>
      <c r="I8798">
        <v>37719</v>
      </c>
      <c r="J8798">
        <v>34248</v>
      </c>
    </row>
    <row r="8799" spans="1:10" x14ac:dyDescent="0.3">
      <c r="A8799" t="s">
        <v>8926</v>
      </c>
      <c r="B8799" s="1">
        <v>45964</v>
      </c>
      <c r="C8799" t="s">
        <v>23</v>
      </c>
      <c r="D8799">
        <v>45</v>
      </c>
      <c r="E8799" t="s">
        <v>39</v>
      </c>
      <c r="F8799" t="s">
        <v>34</v>
      </c>
      <c r="G8799" t="s">
        <v>115</v>
      </c>
      <c r="H8799" t="s">
        <v>211</v>
      </c>
      <c r="I8799">
        <v>27469</v>
      </c>
      <c r="J8799">
        <v>23674</v>
      </c>
    </row>
    <row r="8800" spans="1:10" x14ac:dyDescent="0.3">
      <c r="A8800" t="s">
        <v>8927</v>
      </c>
      <c r="B8800" s="1">
        <v>45832</v>
      </c>
      <c r="C8800" t="s">
        <v>74</v>
      </c>
      <c r="D8800">
        <v>26</v>
      </c>
      <c r="E8800" t="s">
        <v>70</v>
      </c>
      <c r="F8800" t="s">
        <v>62</v>
      </c>
      <c r="G8800" t="s">
        <v>102</v>
      </c>
      <c r="H8800" t="s">
        <v>243</v>
      </c>
      <c r="I8800">
        <v>36507</v>
      </c>
      <c r="J8800">
        <v>30386</v>
      </c>
    </row>
    <row r="8801" spans="1:10" x14ac:dyDescent="0.3">
      <c r="A8801" t="s">
        <v>8928</v>
      </c>
      <c r="B8801" s="1">
        <v>45884</v>
      </c>
      <c r="C8801" t="s">
        <v>113</v>
      </c>
      <c r="D8801">
        <v>33</v>
      </c>
      <c r="E8801" t="s">
        <v>61</v>
      </c>
      <c r="F8801" t="s">
        <v>109</v>
      </c>
      <c r="G8801" t="s">
        <v>79</v>
      </c>
      <c r="H8801" t="s">
        <v>98</v>
      </c>
      <c r="I8801">
        <v>37341</v>
      </c>
      <c r="J8801">
        <v>44349</v>
      </c>
    </row>
    <row r="8802" spans="1:10" x14ac:dyDescent="0.3">
      <c r="A8802" t="s">
        <v>8929</v>
      </c>
      <c r="B8802" s="1">
        <v>45880</v>
      </c>
      <c r="C8802" t="s">
        <v>113</v>
      </c>
      <c r="D8802">
        <v>33</v>
      </c>
      <c r="E8802" t="s">
        <v>39</v>
      </c>
      <c r="F8802" t="s">
        <v>122</v>
      </c>
      <c r="G8802" t="s">
        <v>72</v>
      </c>
      <c r="H8802" t="s">
        <v>68</v>
      </c>
      <c r="I8802">
        <v>34545</v>
      </c>
      <c r="J8802">
        <v>39602</v>
      </c>
    </row>
    <row r="8803" spans="1:10" x14ac:dyDescent="0.3">
      <c r="A8803" t="s">
        <v>8930</v>
      </c>
      <c r="B8803" s="1">
        <v>45734</v>
      </c>
      <c r="C8803" t="s">
        <v>95</v>
      </c>
      <c r="D8803">
        <v>12</v>
      </c>
      <c r="E8803" t="s">
        <v>33</v>
      </c>
      <c r="F8803" t="s">
        <v>50</v>
      </c>
      <c r="G8803" t="s">
        <v>130</v>
      </c>
      <c r="H8803" t="s">
        <v>123</v>
      </c>
      <c r="I8803">
        <v>18016</v>
      </c>
      <c r="J8803">
        <v>12833</v>
      </c>
    </row>
    <row r="8804" spans="1:10" x14ac:dyDescent="0.3">
      <c r="A8804" t="s">
        <v>8931</v>
      </c>
      <c r="B8804" s="1">
        <v>46008</v>
      </c>
      <c r="C8804" t="s">
        <v>100</v>
      </c>
      <c r="D8804">
        <v>51</v>
      </c>
      <c r="E8804" t="s">
        <v>39</v>
      </c>
      <c r="F8804" t="s">
        <v>140</v>
      </c>
      <c r="G8804" t="s">
        <v>54</v>
      </c>
      <c r="H8804" t="s">
        <v>21</v>
      </c>
      <c r="I8804">
        <v>31929</v>
      </c>
      <c r="J8804">
        <v>30528</v>
      </c>
    </row>
    <row r="8805" spans="1:10" x14ac:dyDescent="0.3">
      <c r="A8805" t="s">
        <v>8932</v>
      </c>
      <c r="B8805" s="1">
        <v>45693</v>
      </c>
      <c r="C8805" t="s">
        <v>82</v>
      </c>
      <c r="D8805">
        <v>6</v>
      </c>
      <c r="E8805" t="s">
        <v>12</v>
      </c>
      <c r="F8805" t="s">
        <v>29</v>
      </c>
      <c r="G8805" t="s">
        <v>30</v>
      </c>
      <c r="H8805" t="s">
        <v>31</v>
      </c>
      <c r="I8805">
        <v>29185</v>
      </c>
      <c r="J8805">
        <v>29109</v>
      </c>
    </row>
    <row r="8806" spans="1:10" x14ac:dyDescent="0.3">
      <c r="A8806" t="s">
        <v>8933</v>
      </c>
      <c r="B8806" s="1">
        <v>45861</v>
      </c>
      <c r="C8806" t="s">
        <v>11</v>
      </c>
      <c r="D8806">
        <v>30</v>
      </c>
      <c r="E8806" t="s">
        <v>24</v>
      </c>
      <c r="F8806" t="s">
        <v>62</v>
      </c>
      <c r="G8806" t="s">
        <v>291</v>
      </c>
      <c r="H8806" t="s">
        <v>80</v>
      </c>
      <c r="I8806">
        <v>17950</v>
      </c>
      <c r="J8806">
        <v>20651</v>
      </c>
    </row>
    <row r="8807" spans="1:10" x14ac:dyDescent="0.3">
      <c r="A8807" t="s">
        <v>8934</v>
      </c>
      <c r="B8807" s="1">
        <v>45861</v>
      </c>
      <c r="C8807" t="s">
        <v>11</v>
      </c>
      <c r="D8807">
        <v>30</v>
      </c>
      <c r="E8807" t="s">
        <v>61</v>
      </c>
      <c r="F8807" t="s">
        <v>122</v>
      </c>
      <c r="G8807" t="s">
        <v>128</v>
      </c>
      <c r="H8807" t="s">
        <v>119</v>
      </c>
      <c r="I8807">
        <v>20015</v>
      </c>
      <c r="J8807">
        <v>22585</v>
      </c>
    </row>
    <row r="8808" spans="1:10" x14ac:dyDescent="0.3">
      <c r="A8808" t="s">
        <v>8935</v>
      </c>
      <c r="B8808" s="1">
        <v>45885</v>
      </c>
      <c r="C8808" t="s">
        <v>113</v>
      </c>
      <c r="D8808">
        <v>33</v>
      </c>
      <c r="E8808" t="s">
        <v>61</v>
      </c>
      <c r="F8808" t="s">
        <v>34</v>
      </c>
      <c r="G8808" t="s">
        <v>118</v>
      </c>
      <c r="H8808" t="s">
        <v>15</v>
      </c>
      <c r="I8808">
        <v>29990</v>
      </c>
      <c r="J8808">
        <v>29970</v>
      </c>
    </row>
    <row r="8809" spans="1:10" x14ac:dyDescent="0.3">
      <c r="A8809" t="s">
        <v>8936</v>
      </c>
      <c r="B8809" s="1">
        <v>45803</v>
      </c>
      <c r="C8809" t="s">
        <v>90</v>
      </c>
      <c r="D8809">
        <v>22</v>
      </c>
      <c r="E8809" t="s">
        <v>18</v>
      </c>
      <c r="F8809" t="s">
        <v>140</v>
      </c>
      <c r="G8809" t="s">
        <v>191</v>
      </c>
      <c r="H8809" t="s">
        <v>163</v>
      </c>
      <c r="I8809">
        <v>37447</v>
      </c>
      <c r="J8809">
        <v>32332</v>
      </c>
    </row>
    <row r="8810" spans="1:10" x14ac:dyDescent="0.3">
      <c r="A8810" t="s">
        <v>8937</v>
      </c>
      <c r="B8810" s="1">
        <v>45873</v>
      </c>
      <c r="C8810" t="s">
        <v>113</v>
      </c>
      <c r="D8810">
        <v>32</v>
      </c>
      <c r="E8810" t="s">
        <v>39</v>
      </c>
      <c r="F8810" t="s">
        <v>140</v>
      </c>
      <c r="G8810" t="s">
        <v>326</v>
      </c>
      <c r="H8810" t="s">
        <v>55</v>
      </c>
      <c r="I8810">
        <v>30547</v>
      </c>
      <c r="J8810">
        <v>35964</v>
      </c>
    </row>
    <row r="8811" spans="1:10" x14ac:dyDescent="0.3">
      <c r="A8811" t="s">
        <v>8938</v>
      </c>
      <c r="B8811" s="1">
        <v>45810</v>
      </c>
      <c r="C8811" t="s">
        <v>74</v>
      </c>
      <c r="D8811">
        <v>23</v>
      </c>
      <c r="E8811" t="s">
        <v>39</v>
      </c>
      <c r="F8811" t="s">
        <v>78</v>
      </c>
      <c r="G8811" t="s">
        <v>291</v>
      </c>
      <c r="H8811" t="s">
        <v>103</v>
      </c>
      <c r="I8811">
        <v>15162</v>
      </c>
      <c r="J8811">
        <v>15652</v>
      </c>
    </row>
    <row r="8812" spans="1:10" x14ac:dyDescent="0.3">
      <c r="A8812" t="s">
        <v>8939</v>
      </c>
      <c r="B8812" s="1">
        <v>45972</v>
      </c>
      <c r="C8812" t="s">
        <v>23</v>
      </c>
      <c r="D8812">
        <v>46</v>
      </c>
      <c r="E8812" t="s">
        <v>39</v>
      </c>
      <c r="F8812" t="s">
        <v>57</v>
      </c>
      <c r="G8812" t="s">
        <v>67</v>
      </c>
      <c r="H8812" t="s">
        <v>27</v>
      </c>
      <c r="I8812">
        <v>38528</v>
      </c>
      <c r="J8812">
        <v>39240</v>
      </c>
    </row>
    <row r="8813" spans="1:10" x14ac:dyDescent="0.3">
      <c r="A8813" t="s">
        <v>8940</v>
      </c>
      <c r="B8813" s="1">
        <v>45792</v>
      </c>
      <c r="C8813" t="s">
        <v>90</v>
      </c>
      <c r="D8813">
        <v>20</v>
      </c>
      <c r="E8813" t="s">
        <v>39</v>
      </c>
      <c r="F8813" t="s">
        <v>78</v>
      </c>
      <c r="G8813" t="s">
        <v>115</v>
      </c>
      <c r="H8813" t="s">
        <v>243</v>
      </c>
      <c r="I8813">
        <v>20598</v>
      </c>
      <c r="J8813">
        <v>17403</v>
      </c>
    </row>
    <row r="8814" spans="1:10" x14ac:dyDescent="0.3">
      <c r="A8814" t="s">
        <v>8941</v>
      </c>
      <c r="B8814" s="1">
        <v>45903</v>
      </c>
      <c r="C8814" t="s">
        <v>38</v>
      </c>
      <c r="D8814">
        <v>36</v>
      </c>
      <c r="E8814" t="s">
        <v>70</v>
      </c>
      <c r="F8814" t="s">
        <v>34</v>
      </c>
      <c r="G8814" t="s">
        <v>79</v>
      </c>
      <c r="H8814" t="s">
        <v>36</v>
      </c>
      <c r="I8814">
        <v>32679</v>
      </c>
      <c r="J8814">
        <v>39208</v>
      </c>
    </row>
    <row r="8815" spans="1:10" x14ac:dyDescent="0.3">
      <c r="A8815" t="s">
        <v>8942</v>
      </c>
      <c r="B8815" s="1">
        <v>45829</v>
      </c>
      <c r="C8815" t="s">
        <v>74</v>
      </c>
      <c r="D8815">
        <v>25</v>
      </c>
      <c r="E8815" t="s">
        <v>39</v>
      </c>
      <c r="F8815" t="s">
        <v>25</v>
      </c>
      <c r="G8815" t="s">
        <v>206</v>
      </c>
      <c r="H8815" t="s">
        <v>123</v>
      </c>
      <c r="I8815">
        <v>29144</v>
      </c>
      <c r="J8815">
        <v>28763</v>
      </c>
    </row>
    <row r="8816" spans="1:10" x14ac:dyDescent="0.3">
      <c r="A8816" t="s">
        <v>8943</v>
      </c>
      <c r="B8816" s="1">
        <v>45752</v>
      </c>
      <c r="C8816" t="s">
        <v>86</v>
      </c>
      <c r="D8816">
        <v>14</v>
      </c>
      <c r="E8816" t="s">
        <v>24</v>
      </c>
      <c r="F8816" t="s">
        <v>87</v>
      </c>
      <c r="G8816" t="s">
        <v>171</v>
      </c>
      <c r="H8816" t="s">
        <v>157</v>
      </c>
      <c r="I8816">
        <v>34742</v>
      </c>
      <c r="J8816">
        <v>42460</v>
      </c>
    </row>
    <row r="8817" spans="1:10" x14ac:dyDescent="0.3">
      <c r="A8817" t="s">
        <v>8944</v>
      </c>
      <c r="B8817" s="1">
        <v>46004</v>
      </c>
      <c r="C8817" t="s">
        <v>100</v>
      </c>
      <c r="D8817">
        <v>50</v>
      </c>
      <c r="E8817" t="s">
        <v>24</v>
      </c>
      <c r="F8817" t="s">
        <v>50</v>
      </c>
      <c r="G8817" t="s">
        <v>324</v>
      </c>
      <c r="H8817" t="s">
        <v>165</v>
      </c>
      <c r="I8817">
        <v>25753</v>
      </c>
      <c r="J8817">
        <v>23974</v>
      </c>
    </row>
    <row r="8818" spans="1:10" x14ac:dyDescent="0.3">
      <c r="A8818" t="s">
        <v>8945</v>
      </c>
      <c r="B8818" s="1">
        <v>45992</v>
      </c>
      <c r="C8818" t="s">
        <v>100</v>
      </c>
      <c r="D8818">
        <v>49</v>
      </c>
      <c r="E8818" t="s">
        <v>12</v>
      </c>
      <c r="F8818" t="s">
        <v>34</v>
      </c>
      <c r="G8818" t="s">
        <v>79</v>
      </c>
      <c r="H8818" t="s">
        <v>31</v>
      </c>
      <c r="I8818">
        <v>34650</v>
      </c>
      <c r="J8818">
        <v>44057</v>
      </c>
    </row>
    <row r="8819" spans="1:10" x14ac:dyDescent="0.3">
      <c r="A8819" t="s">
        <v>8946</v>
      </c>
      <c r="B8819" s="1">
        <v>45768</v>
      </c>
      <c r="C8819" t="s">
        <v>86</v>
      </c>
      <c r="D8819">
        <v>17</v>
      </c>
      <c r="E8819" t="s">
        <v>24</v>
      </c>
      <c r="F8819" t="s">
        <v>29</v>
      </c>
      <c r="G8819" t="s">
        <v>182</v>
      </c>
      <c r="H8819" t="s">
        <v>27</v>
      </c>
      <c r="I8819">
        <v>31101</v>
      </c>
      <c r="J8819">
        <v>40370</v>
      </c>
    </row>
    <row r="8820" spans="1:10" x14ac:dyDescent="0.3">
      <c r="A8820" t="s">
        <v>8947</v>
      </c>
      <c r="B8820" s="1">
        <v>45780</v>
      </c>
      <c r="C8820" t="s">
        <v>90</v>
      </c>
      <c r="D8820">
        <v>18</v>
      </c>
      <c r="E8820" t="s">
        <v>18</v>
      </c>
      <c r="F8820" t="s">
        <v>43</v>
      </c>
      <c r="G8820" t="s">
        <v>72</v>
      </c>
      <c r="H8820" t="s">
        <v>165</v>
      </c>
      <c r="I8820">
        <v>30657</v>
      </c>
      <c r="J8820">
        <v>22691</v>
      </c>
    </row>
    <row r="8821" spans="1:10" x14ac:dyDescent="0.3">
      <c r="A8821" t="s">
        <v>8948</v>
      </c>
      <c r="B8821" s="1">
        <v>45857</v>
      </c>
      <c r="C8821" t="s">
        <v>11</v>
      </c>
      <c r="D8821">
        <v>29</v>
      </c>
      <c r="E8821" t="s">
        <v>18</v>
      </c>
      <c r="F8821" t="s">
        <v>92</v>
      </c>
      <c r="G8821" t="s">
        <v>40</v>
      </c>
      <c r="H8821" t="s">
        <v>163</v>
      </c>
      <c r="I8821">
        <v>18689</v>
      </c>
      <c r="J8821">
        <v>19486</v>
      </c>
    </row>
    <row r="8822" spans="1:10" x14ac:dyDescent="0.3">
      <c r="A8822" t="s">
        <v>8949</v>
      </c>
      <c r="B8822" s="1">
        <v>45751</v>
      </c>
      <c r="C8822" t="s">
        <v>86</v>
      </c>
      <c r="D8822">
        <v>14</v>
      </c>
      <c r="E8822" t="s">
        <v>33</v>
      </c>
      <c r="F8822" t="s">
        <v>122</v>
      </c>
      <c r="G8822" t="s">
        <v>40</v>
      </c>
      <c r="H8822" t="s">
        <v>96</v>
      </c>
      <c r="I8822">
        <v>27245</v>
      </c>
      <c r="J8822">
        <v>31584</v>
      </c>
    </row>
    <row r="8823" spans="1:10" x14ac:dyDescent="0.3">
      <c r="A8823" t="s">
        <v>8950</v>
      </c>
      <c r="B8823" s="1">
        <v>45732</v>
      </c>
      <c r="C8823" t="s">
        <v>95</v>
      </c>
      <c r="D8823">
        <v>11</v>
      </c>
      <c r="E8823" t="s">
        <v>12</v>
      </c>
      <c r="F8823" t="s">
        <v>19</v>
      </c>
      <c r="G8823" t="s">
        <v>324</v>
      </c>
      <c r="H8823" t="s">
        <v>103</v>
      </c>
      <c r="I8823">
        <v>35731</v>
      </c>
      <c r="J8823">
        <v>32321</v>
      </c>
    </row>
    <row r="8824" spans="1:10" x14ac:dyDescent="0.3">
      <c r="A8824" t="s">
        <v>8951</v>
      </c>
      <c r="B8824" s="1">
        <v>45677</v>
      </c>
      <c r="C8824" t="s">
        <v>17</v>
      </c>
      <c r="D8824">
        <v>4</v>
      </c>
      <c r="E8824" t="s">
        <v>70</v>
      </c>
      <c r="F8824" t="s">
        <v>13</v>
      </c>
      <c r="G8824" t="s">
        <v>63</v>
      </c>
      <c r="H8824" t="s">
        <v>165</v>
      </c>
      <c r="I8824">
        <v>33651</v>
      </c>
      <c r="J8824">
        <v>35212</v>
      </c>
    </row>
    <row r="8825" spans="1:10" x14ac:dyDescent="0.3">
      <c r="A8825" t="s">
        <v>8952</v>
      </c>
      <c r="B8825" s="1">
        <v>45916</v>
      </c>
      <c r="C8825" t="s">
        <v>38</v>
      </c>
      <c r="D8825">
        <v>38</v>
      </c>
      <c r="E8825" t="s">
        <v>61</v>
      </c>
      <c r="F8825" t="s">
        <v>34</v>
      </c>
      <c r="G8825" t="s">
        <v>324</v>
      </c>
      <c r="H8825" t="s">
        <v>133</v>
      </c>
      <c r="I8825">
        <v>19839</v>
      </c>
      <c r="J8825">
        <v>24870</v>
      </c>
    </row>
    <row r="8826" spans="1:10" x14ac:dyDescent="0.3">
      <c r="A8826" t="s">
        <v>8953</v>
      </c>
      <c r="B8826" s="1">
        <v>45973</v>
      </c>
      <c r="C8826" t="s">
        <v>23</v>
      </c>
      <c r="D8826">
        <v>46</v>
      </c>
      <c r="E8826" t="s">
        <v>70</v>
      </c>
      <c r="F8826" t="s">
        <v>25</v>
      </c>
      <c r="G8826" t="s">
        <v>26</v>
      </c>
      <c r="H8826" t="s">
        <v>55</v>
      </c>
      <c r="I8826">
        <v>33589</v>
      </c>
      <c r="J8826">
        <v>33413</v>
      </c>
    </row>
    <row r="8827" spans="1:10" x14ac:dyDescent="0.3">
      <c r="A8827" t="s">
        <v>8954</v>
      </c>
      <c r="B8827" s="1">
        <v>45942</v>
      </c>
      <c r="C8827" t="s">
        <v>66</v>
      </c>
      <c r="D8827">
        <v>41</v>
      </c>
      <c r="E8827" t="s">
        <v>18</v>
      </c>
      <c r="F8827" t="s">
        <v>193</v>
      </c>
      <c r="G8827" t="s">
        <v>51</v>
      </c>
      <c r="H8827" t="s">
        <v>163</v>
      </c>
      <c r="I8827">
        <v>36874</v>
      </c>
      <c r="J8827">
        <v>39371</v>
      </c>
    </row>
    <row r="8828" spans="1:10" x14ac:dyDescent="0.3">
      <c r="A8828" t="s">
        <v>8955</v>
      </c>
      <c r="B8828" s="1">
        <v>45847</v>
      </c>
      <c r="C8828" t="s">
        <v>11</v>
      </c>
      <c r="D8828">
        <v>28</v>
      </c>
      <c r="E8828" t="s">
        <v>61</v>
      </c>
      <c r="F8828" t="s">
        <v>43</v>
      </c>
      <c r="G8828" t="s">
        <v>47</v>
      </c>
      <c r="H8828" t="s">
        <v>80</v>
      </c>
      <c r="I8828">
        <v>22945</v>
      </c>
      <c r="J8828">
        <v>24934</v>
      </c>
    </row>
    <row r="8829" spans="1:10" x14ac:dyDescent="0.3">
      <c r="A8829" t="s">
        <v>8956</v>
      </c>
      <c r="B8829" s="1">
        <v>45805</v>
      </c>
      <c r="C8829" t="s">
        <v>90</v>
      </c>
      <c r="D8829">
        <v>22</v>
      </c>
      <c r="E8829" t="s">
        <v>70</v>
      </c>
      <c r="F8829" t="s">
        <v>25</v>
      </c>
      <c r="G8829" t="s">
        <v>145</v>
      </c>
      <c r="H8829" t="s">
        <v>165</v>
      </c>
      <c r="I8829">
        <v>37890</v>
      </c>
      <c r="J8829">
        <v>26742</v>
      </c>
    </row>
    <row r="8830" spans="1:10" x14ac:dyDescent="0.3">
      <c r="A8830" t="s">
        <v>8957</v>
      </c>
      <c r="B8830" s="1">
        <v>45989</v>
      </c>
      <c r="C8830" t="s">
        <v>23</v>
      </c>
      <c r="D8830">
        <v>48</v>
      </c>
      <c r="E8830" t="s">
        <v>33</v>
      </c>
      <c r="F8830" t="s">
        <v>193</v>
      </c>
      <c r="G8830" t="s">
        <v>126</v>
      </c>
      <c r="H8830" t="s">
        <v>111</v>
      </c>
      <c r="I8830">
        <v>27998</v>
      </c>
      <c r="J8830">
        <v>30339</v>
      </c>
    </row>
    <row r="8831" spans="1:10" x14ac:dyDescent="0.3">
      <c r="A8831" t="s">
        <v>8958</v>
      </c>
      <c r="B8831" s="1">
        <v>45692</v>
      </c>
      <c r="C8831" t="s">
        <v>82</v>
      </c>
      <c r="D8831">
        <v>6</v>
      </c>
      <c r="E8831" t="s">
        <v>61</v>
      </c>
      <c r="F8831" t="s">
        <v>19</v>
      </c>
      <c r="G8831" t="s">
        <v>141</v>
      </c>
      <c r="H8831" t="s">
        <v>111</v>
      </c>
      <c r="I8831">
        <v>28030</v>
      </c>
      <c r="J8831">
        <v>19852</v>
      </c>
    </row>
    <row r="8832" spans="1:10" x14ac:dyDescent="0.3">
      <c r="A8832" t="s">
        <v>8959</v>
      </c>
      <c r="B8832" s="1">
        <v>45900</v>
      </c>
      <c r="C8832" t="s">
        <v>113</v>
      </c>
      <c r="D8832">
        <v>35</v>
      </c>
      <c r="E8832" t="s">
        <v>39</v>
      </c>
      <c r="F8832" t="s">
        <v>19</v>
      </c>
      <c r="G8832" t="s">
        <v>201</v>
      </c>
      <c r="H8832" t="s">
        <v>165</v>
      </c>
      <c r="I8832">
        <v>28809</v>
      </c>
      <c r="J8832">
        <v>22803</v>
      </c>
    </row>
    <row r="8833" spans="1:10" x14ac:dyDescent="0.3">
      <c r="A8833" t="s">
        <v>8960</v>
      </c>
      <c r="B8833" s="1">
        <v>45909</v>
      </c>
      <c r="C8833" t="s">
        <v>38</v>
      </c>
      <c r="D8833">
        <v>37</v>
      </c>
      <c r="E8833" t="s">
        <v>18</v>
      </c>
      <c r="F8833" t="s">
        <v>25</v>
      </c>
      <c r="G8833" t="s">
        <v>224</v>
      </c>
      <c r="H8833" t="s">
        <v>103</v>
      </c>
      <c r="I8833">
        <v>38352</v>
      </c>
      <c r="J8833">
        <v>49220</v>
      </c>
    </row>
    <row r="8834" spans="1:10" x14ac:dyDescent="0.3">
      <c r="A8834" t="s">
        <v>8961</v>
      </c>
      <c r="B8834" s="1">
        <v>45677</v>
      </c>
      <c r="C8834" t="s">
        <v>17</v>
      </c>
      <c r="D8834">
        <v>4</v>
      </c>
      <c r="E8834" t="s">
        <v>12</v>
      </c>
      <c r="F8834" t="s">
        <v>78</v>
      </c>
      <c r="G8834" t="s">
        <v>182</v>
      </c>
      <c r="H8834" t="s">
        <v>188</v>
      </c>
      <c r="I8834">
        <v>36836</v>
      </c>
      <c r="J8834">
        <v>45862</v>
      </c>
    </row>
    <row r="8835" spans="1:10" x14ac:dyDescent="0.3">
      <c r="A8835" t="s">
        <v>8962</v>
      </c>
      <c r="B8835" s="1">
        <v>45888</v>
      </c>
      <c r="C8835" t="s">
        <v>113</v>
      </c>
      <c r="D8835">
        <v>34</v>
      </c>
      <c r="E8835" t="s">
        <v>70</v>
      </c>
      <c r="F8835" t="s">
        <v>25</v>
      </c>
      <c r="G8835" t="s">
        <v>40</v>
      </c>
      <c r="H8835" t="s">
        <v>243</v>
      </c>
      <c r="I8835">
        <v>39414</v>
      </c>
      <c r="J8835">
        <v>48661</v>
      </c>
    </row>
    <row r="8836" spans="1:10" x14ac:dyDescent="0.3">
      <c r="A8836" t="s">
        <v>8963</v>
      </c>
      <c r="B8836" s="1">
        <v>45846</v>
      </c>
      <c r="C8836" t="s">
        <v>11</v>
      </c>
      <c r="D8836">
        <v>28</v>
      </c>
      <c r="E8836" t="s">
        <v>61</v>
      </c>
      <c r="F8836" t="s">
        <v>13</v>
      </c>
      <c r="G8836" t="s">
        <v>76</v>
      </c>
      <c r="H8836" t="s">
        <v>188</v>
      </c>
      <c r="I8836">
        <v>23416</v>
      </c>
      <c r="J8836">
        <v>28416</v>
      </c>
    </row>
    <row r="8837" spans="1:10" x14ac:dyDescent="0.3">
      <c r="A8837" t="s">
        <v>8964</v>
      </c>
      <c r="B8837" s="1">
        <v>45813</v>
      </c>
      <c r="C8837" t="s">
        <v>74</v>
      </c>
      <c r="D8837">
        <v>23</v>
      </c>
      <c r="E8837" t="s">
        <v>61</v>
      </c>
      <c r="F8837" t="s">
        <v>29</v>
      </c>
      <c r="G8837" t="s">
        <v>115</v>
      </c>
      <c r="H8837" t="s">
        <v>111</v>
      </c>
      <c r="I8837">
        <v>20399</v>
      </c>
      <c r="J8837">
        <v>23459</v>
      </c>
    </row>
    <row r="8838" spans="1:10" x14ac:dyDescent="0.3">
      <c r="A8838" t="s">
        <v>8965</v>
      </c>
      <c r="B8838" s="1">
        <v>45981</v>
      </c>
      <c r="C8838" t="s">
        <v>23</v>
      </c>
      <c r="D8838">
        <v>47</v>
      </c>
      <c r="E8838" t="s">
        <v>18</v>
      </c>
      <c r="F8838" t="s">
        <v>75</v>
      </c>
      <c r="G8838" t="s">
        <v>63</v>
      </c>
      <c r="H8838" t="s">
        <v>80</v>
      </c>
      <c r="I8838">
        <v>28220</v>
      </c>
      <c r="J8838">
        <v>36602</v>
      </c>
    </row>
    <row r="8839" spans="1:10" x14ac:dyDescent="0.3">
      <c r="A8839" t="s">
        <v>8966</v>
      </c>
      <c r="B8839" s="1">
        <v>45750</v>
      </c>
      <c r="C8839" t="s">
        <v>86</v>
      </c>
      <c r="D8839">
        <v>14</v>
      </c>
      <c r="E8839" t="s">
        <v>39</v>
      </c>
      <c r="F8839" t="s">
        <v>43</v>
      </c>
      <c r="G8839" t="s">
        <v>230</v>
      </c>
      <c r="H8839" t="s">
        <v>36</v>
      </c>
      <c r="I8839">
        <v>31398</v>
      </c>
      <c r="J8839">
        <v>28263</v>
      </c>
    </row>
    <row r="8840" spans="1:10" x14ac:dyDescent="0.3">
      <c r="A8840" t="s">
        <v>8967</v>
      </c>
      <c r="B8840" s="1">
        <v>45677</v>
      </c>
      <c r="C8840" t="s">
        <v>17</v>
      </c>
      <c r="D8840">
        <v>4</v>
      </c>
      <c r="E8840" t="s">
        <v>70</v>
      </c>
      <c r="F8840" t="s">
        <v>25</v>
      </c>
      <c r="G8840" t="s">
        <v>72</v>
      </c>
      <c r="H8840" t="s">
        <v>59</v>
      </c>
      <c r="I8840">
        <v>36141</v>
      </c>
      <c r="J8840">
        <v>43297</v>
      </c>
    </row>
    <row r="8841" spans="1:10" x14ac:dyDescent="0.3">
      <c r="A8841" t="s">
        <v>8968</v>
      </c>
      <c r="B8841" s="1">
        <v>45675</v>
      </c>
      <c r="C8841" t="s">
        <v>17</v>
      </c>
      <c r="D8841">
        <v>3</v>
      </c>
      <c r="E8841" t="s">
        <v>12</v>
      </c>
      <c r="F8841" t="s">
        <v>34</v>
      </c>
      <c r="G8841" t="s">
        <v>44</v>
      </c>
      <c r="H8841" t="s">
        <v>111</v>
      </c>
      <c r="I8841">
        <v>28931</v>
      </c>
      <c r="J8841">
        <v>29590</v>
      </c>
    </row>
    <row r="8842" spans="1:10" x14ac:dyDescent="0.3">
      <c r="A8842" t="s">
        <v>8969</v>
      </c>
      <c r="B8842" s="1">
        <v>46006</v>
      </c>
      <c r="C8842" t="s">
        <v>100</v>
      </c>
      <c r="D8842">
        <v>51</v>
      </c>
      <c r="E8842" t="s">
        <v>24</v>
      </c>
      <c r="F8842" t="s">
        <v>62</v>
      </c>
      <c r="G8842" t="s">
        <v>54</v>
      </c>
      <c r="H8842" t="s">
        <v>84</v>
      </c>
      <c r="I8842">
        <v>16203</v>
      </c>
      <c r="J8842">
        <v>19691</v>
      </c>
    </row>
    <row r="8843" spans="1:10" x14ac:dyDescent="0.3">
      <c r="A8843" t="s">
        <v>8970</v>
      </c>
      <c r="B8843" s="1">
        <v>45675</v>
      </c>
      <c r="C8843" t="s">
        <v>17</v>
      </c>
      <c r="D8843">
        <v>3</v>
      </c>
      <c r="E8843" t="s">
        <v>61</v>
      </c>
      <c r="F8843" t="s">
        <v>43</v>
      </c>
      <c r="G8843" t="s">
        <v>201</v>
      </c>
      <c r="H8843" t="s">
        <v>103</v>
      </c>
      <c r="I8843">
        <v>35262</v>
      </c>
      <c r="J8843">
        <v>34760</v>
      </c>
    </row>
    <row r="8844" spans="1:10" x14ac:dyDescent="0.3">
      <c r="A8844" t="s">
        <v>8971</v>
      </c>
      <c r="B8844" s="1">
        <v>45980</v>
      </c>
      <c r="C8844" t="s">
        <v>23</v>
      </c>
      <c r="D8844">
        <v>47</v>
      </c>
      <c r="E8844" t="s">
        <v>24</v>
      </c>
      <c r="F8844" t="s">
        <v>78</v>
      </c>
      <c r="G8844" t="s">
        <v>291</v>
      </c>
      <c r="H8844" t="s">
        <v>243</v>
      </c>
      <c r="I8844">
        <v>16708</v>
      </c>
      <c r="J8844">
        <v>16420</v>
      </c>
    </row>
    <row r="8845" spans="1:10" x14ac:dyDescent="0.3">
      <c r="A8845" t="s">
        <v>8972</v>
      </c>
      <c r="B8845" s="1">
        <v>45932</v>
      </c>
      <c r="C8845" t="s">
        <v>66</v>
      </c>
      <c r="D8845">
        <v>40</v>
      </c>
      <c r="E8845" t="s">
        <v>12</v>
      </c>
      <c r="F8845" t="s">
        <v>57</v>
      </c>
      <c r="G8845" t="s">
        <v>118</v>
      </c>
      <c r="H8845" t="s">
        <v>133</v>
      </c>
      <c r="I8845">
        <v>32978</v>
      </c>
      <c r="J8845">
        <v>24963</v>
      </c>
    </row>
    <row r="8846" spans="1:10" x14ac:dyDescent="0.3">
      <c r="A8846" t="s">
        <v>8973</v>
      </c>
      <c r="B8846" s="1">
        <v>45914</v>
      </c>
      <c r="C8846" t="s">
        <v>38</v>
      </c>
      <c r="D8846">
        <v>37</v>
      </c>
      <c r="E8846" t="s">
        <v>18</v>
      </c>
      <c r="F8846" t="s">
        <v>25</v>
      </c>
      <c r="G8846" t="s">
        <v>26</v>
      </c>
      <c r="H8846" t="s">
        <v>48</v>
      </c>
      <c r="I8846">
        <v>15153</v>
      </c>
      <c r="J8846">
        <v>13401</v>
      </c>
    </row>
    <row r="8847" spans="1:10" x14ac:dyDescent="0.3">
      <c r="A8847" t="s">
        <v>8974</v>
      </c>
      <c r="B8847" s="1">
        <v>45897</v>
      </c>
      <c r="C8847" t="s">
        <v>113</v>
      </c>
      <c r="D8847">
        <v>35</v>
      </c>
      <c r="E8847" t="s">
        <v>33</v>
      </c>
      <c r="F8847" t="s">
        <v>92</v>
      </c>
      <c r="G8847" t="s">
        <v>63</v>
      </c>
      <c r="H8847" t="s">
        <v>36</v>
      </c>
      <c r="I8847">
        <v>24299</v>
      </c>
      <c r="J8847">
        <v>21853</v>
      </c>
    </row>
    <row r="8848" spans="1:10" x14ac:dyDescent="0.3">
      <c r="A8848" t="s">
        <v>8975</v>
      </c>
      <c r="B8848" s="1">
        <v>45679</v>
      </c>
      <c r="C8848" t="s">
        <v>17</v>
      </c>
      <c r="D8848">
        <v>4</v>
      </c>
      <c r="E8848" t="s">
        <v>24</v>
      </c>
      <c r="F8848" t="s">
        <v>140</v>
      </c>
      <c r="G8848" t="s">
        <v>26</v>
      </c>
      <c r="H8848" t="s">
        <v>52</v>
      </c>
      <c r="I8848">
        <v>38223</v>
      </c>
      <c r="J8848">
        <v>29900</v>
      </c>
    </row>
    <row r="8849" spans="1:10" x14ac:dyDescent="0.3">
      <c r="A8849" t="s">
        <v>8976</v>
      </c>
      <c r="B8849" s="1">
        <v>45981</v>
      </c>
      <c r="C8849" t="s">
        <v>23</v>
      </c>
      <c r="D8849">
        <v>47</v>
      </c>
      <c r="E8849" t="s">
        <v>39</v>
      </c>
      <c r="F8849" t="s">
        <v>193</v>
      </c>
      <c r="G8849" t="s">
        <v>30</v>
      </c>
      <c r="H8849" t="s">
        <v>21</v>
      </c>
      <c r="I8849">
        <v>37658</v>
      </c>
      <c r="J8849">
        <v>39245</v>
      </c>
    </row>
    <row r="8850" spans="1:10" x14ac:dyDescent="0.3">
      <c r="A8850" t="s">
        <v>8977</v>
      </c>
      <c r="B8850" s="1">
        <v>45736</v>
      </c>
      <c r="C8850" t="s">
        <v>95</v>
      </c>
      <c r="D8850">
        <v>12</v>
      </c>
      <c r="E8850" t="s">
        <v>70</v>
      </c>
      <c r="F8850" t="s">
        <v>122</v>
      </c>
      <c r="G8850" t="s">
        <v>118</v>
      </c>
      <c r="H8850" t="s">
        <v>36</v>
      </c>
      <c r="I8850">
        <v>36329</v>
      </c>
      <c r="J8850">
        <v>28023</v>
      </c>
    </row>
    <row r="8851" spans="1:10" x14ac:dyDescent="0.3">
      <c r="A8851" t="s">
        <v>8978</v>
      </c>
      <c r="B8851" s="1">
        <v>45917</v>
      </c>
      <c r="C8851" t="s">
        <v>38</v>
      </c>
      <c r="D8851">
        <v>38</v>
      </c>
      <c r="E8851" t="s">
        <v>12</v>
      </c>
      <c r="F8851" t="s">
        <v>78</v>
      </c>
      <c r="G8851" t="s">
        <v>44</v>
      </c>
      <c r="H8851" t="s">
        <v>157</v>
      </c>
      <c r="I8851">
        <v>27944</v>
      </c>
      <c r="J8851">
        <v>24434</v>
      </c>
    </row>
    <row r="8852" spans="1:10" x14ac:dyDescent="0.3">
      <c r="A8852" t="s">
        <v>8979</v>
      </c>
      <c r="B8852" s="1">
        <v>45692</v>
      </c>
      <c r="C8852" t="s">
        <v>82</v>
      </c>
      <c r="D8852">
        <v>6</v>
      </c>
      <c r="E8852" t="s">
        <v>12</v>
      </c>
      <c r="F8852" t="s">
        <v>29</v>
      </c>
      <c r="G8852" t="s">
        <v>291</v>
      </c>
      <c r="H8852" t="s">
        <v>163</v>
      </c>
      <c r="I8852">
        <v>29498</v>
      </c>
      <c r="J8852">
        <v>22199</v>
      </c>
    </row>
    <row r="8853" spans="1:10" x14ac:dyDescent="0.3">
      <c r="A8853" t="s">
        <v>8980</v>
      </c>
      <c r="B8853" s="1">
        <v>45941</v>
      </c>
      <c r="C8853" t="s">
        <v>66</v>
      </c>
      <c r="D8853">
        <v>41</v>
      </c>
      <c r="E8853" t="s">
        <v>39</v>
      </c>
      <c r="F8853" t="s">
        <v>57</v>
      </c>
      <c r="G8853" t="s">
        <v>199</v>
      </c>
      <c r="H8853" t="s">
        <v>84</v>
      </c>
      <c r="I8853">
        <v>32570</v>
      </c>
      <c r="J8853">
        <v>31201</v>
      </c>
    </row>
    <row r="8854" spans="1:10" x14ac:dyDescent="0.3">
      <c r="A8854" t="s">
        <v>8981</v>
      </c>
      <c r="B8854" s="1">
        <v>45973</v>
      </c>
      <c r="C8854" t="s">
        <v>23</v>
      </c>
      <c r="D8854">
        <v>46</v>
      </c>
      <c r="E8854" t="s">
        <v>18</v>
      </c>
      <c r="F8854" t="s">
        <v>19</v>
      </c>
      <c r="G8854" t="s">
        <v>206</v>
      </c>
      <c r="H8854" t="s">
        <v>84</v>
      </c>
      <c r="I8854">
        <v>31792</v>
      </c>
      <c r="J8854">
        <v>37752</v>
      </c>
    </row>
    <row r="8855" spans="1:10" x14ac:dyDescent="0.3">
      <c r="A8855" t="s">
        <v>8982</v>
      </c>
      <c r="B8855" s="1">
        <v>45819</v>
      </c>
      <c r="C8855" t="s">
        <v>74</v>
      </c>
      <c r="D8855">
        <v>24</v>
      </c>
      <c r="E8855" t="s">
        <v>18</v>
      </c>
      <c r="F8855" t="s">
        <v>19</v>
      </c>
      <c r="G8855" t="s">
        <v>20</v>
      </c>
      <c r="H8855" t="s">
        <v>151</v>
      </c>
      <c r="I8855">
        <v>26590</v>
      </c>
      <c r="J8855">
        <v>29107</v>
      </c>
    </row>
    <row r="8856" spans="1:10" x14ac:dyDescent="0.3">
      <c r="A8856" t="s">
        <v>8983</v>
      </c>
      <c r="B8856" s="1">
        <v>45996</v>
      </c>
      <c r="C8856" t="s">
        <v>100</v>
      </c>
      <c r="D8856">
        <v>49</v>
      </c>
      <c r="E8856" t="s">
        <v>33</v>
      </c>
      <c r="F8856" t="s">
        <v>62</v>
      </c>
      <c r="G8856" t="s">
        <v>240</v>
      </c>
      <c r="H8856" t="s">
        <v>111</v>
      </c>
      <c r="I8856">
        <v>30149</v>
      </c>
      <c r="J8856">
        <v>30075</v>
      </c>
    </row>
    <row r="8857" spans="1:10" x14ac:dyDescent="0.3">
      <c r="A8857" t="s">
        <v>8984</v>
      </c>
      <c r="B8857" s="1">
        <v>45796</v>
      </c>
      <c r="C8857" t="s">
        <v>90</v>
      </c>
      <c r="D8857">
        <v>21</v>
      </c>
      <c r="E8857" t="s">
        <v>12</v>
      </c>
      <c r="F8857" t="s">
        <v>122</v>
      </c>
      <c r="G8857" t="s">
        <v>26</v>
      </c>
      <c r="H8857" t="s">
        <v>15</v>
      </c>
      <c r="I8857">
        <v>15799</v>
      </c>
      <c r="J8857">
        <v>13906</v>
      </c>
    </row>
    <row r="8858" spans="1:10" x14ac:dyDescent="0.3">
      <c r="A8858" t="s">
        <v>8985</v>
      </c>
      <c r="B8858" s="1">
        <v>45944</v>
      </c>
      <c r="C8858" t="s">
        <v>66</v>
      </c>
      <c r="D8858">
        <v>42</v>
      </c>
      <c r="E8858" t="s">
        <v>18</v>
      </c>
      <c r="F8858" t="s">
        <v>87</v>
      </c>
      <c r="G8858" t="s">
        <v>145</v>
      </c>
      <c r="H8858" t="s">
        <v>41</v>
      </c>
      <c r="I8858">
        <v>23715</v>
      </c>
      <c r="J8858">
        <v>17377</v>
      </c>
    </row>
    <row r="8859" spans="1:10" x14ac:dyDescent="0.3">
      <c r="A8859" t="s">
        <v>8986</v>
      </c>
      <c r="B8859" s="1">
        <v>46010</v>
      </c>
      <c r="C8859" t="s">
        <v>100</v>
      </c>
      <c r="D8859">
        <v>51</v>
      </c>
      <c r="E8859" t="s">
        <v>61</v>
      </c>
      <c r="F8859" t="s">
        <v>78</v>
      </c>
      <c r="G8859" t="s">
        <v>110</v>
      </c>
      <c r="H8859" t="s">
        <v>21</v>
      </c>
      <c r="I8859">
        <v>30507</v>
      </c>
      <c r="J8859">
        <v>39378</v>
      </c>
    </row>
    <row r="8860" spans="1:10" x14ac:dyDescent="0.3">
      <c r="A8860" t="s">
        <v>8987</v>
      </c>
      <c r="B8860" s="1">
        <v>45741</v>
      </c>
      <c r="C8860" t="s">
        <v>95</v>
      </c>
      <c r="D8860">
        <v>13</v>
      </c>
      <c r="E8860" t="s">
        <v>33</v>
      </c>
      <c r="F8860" t="s">
        <v>46</v>
      </c>
      <c r="G8860" t="s">
        <v>149</v>
      </c>
      <c r="H8860" t="s">
        <v>55</v>
      </c>
      <c r="I8860">
        <v>15445</v>
      </c>
      <c r="J8860">
        <v>16738</v>
      </c>
    </row>
    <row r="8861" spans="1:10" x14ac:dyDescent="0.3">
      <c r="A8861" t="s">
        <v>8988</v>
      </c>
      <c r="B8861" s="1">
        <v>45867</v>
      </c>
      <c r="C8861" t="s">
        <v>11</v>
      </c>
      <c r="D8861">
        <v>31</v>
      </c>
      <c r="E8861" t="s">
        <v>18</v>
      </c>
      <c r="F8861" t="s">
        <v>43</v>
      </c>
      <c r="G8861" t="s">
        <v>107</v>
      </c>
      <c r="H8861" t="s">
        <v>103</v>
      </c>
      <c r="I8861">
        <v>17255</v>
      </c>
      <c r="J8861">
        <v>18447</v>
      </c>
    </row>
    <row r="8862" spans="1:10" x14ac:dyDescent="0.3">
      <c r="A8862" t="s">
        <v>8989</v>
      </c>
      <c r="B8862" s="1">
        <v>45668</v>
      </c>
      <c r="C8862" t="s">
        <v>17</v>
      </c>
      <c r="D8862">
        <v>2</v>
      </c>
      <c r="E8862" t="s">
        <v>39</v>
      </c>
      <c r="F8862" t="s">
        <v>193</v>
      </c>
      <c r="G8862" t="s">
        <v>160</v>
      </c>
      <c r="H8862" t="s">
        <v>243</v>
      </c>
      <c r="I8862">
        <v>35345</v>
      </c>
      <c r="J8862">
        <v>31023</v>
      </c>
    </row>
    <row r="8863" spans="1:10" x14ac:dyDescent="0.3">
      <c r="A8863" t="s">
        <v>8990</v>
      </c>
      <c r="B8863" s="1">
        <v>45973</v>
      </c>
      <c r="C8863" t="s">
        <v>23</v>
      </c>
      <c r="D8863">
        <v>46</v>
      </c>
      <c r="E8863" t="s">
        <v>12</v>
      </c>
      <c r="F8863" t="s">
        <v>19</v>
      </c>
      <c r="G8863" t="s">
        <v>54</v>
      </c>
      <c r="H8863" t="s">
        <v>55</v>
      </c>
      <c r="I8863">
        <v>22108</v>
      </c>
      <c r="J8863">
        <v>19410</v>
      </c>
    </row>
    <row r="8864" spans="1:10" x14ac:dyDescent="0.3">
      <c r="A8864" t="s">
        <v>8991</v>
      </c>
      <c r="B8864" s="1">
        <v>45737</v>
      </c>
      <c r="C8864" t="s">
        <v>95</v>
      </c>
      <c r="D8864">
        <v>12</v>
      </c>
      <c r="E8864" t="s">
        <v>24</v>
      </c>
      <c r="F8864" t="s">
        <v>29</v>
      </c>
      <c r="G8864" t="s">
        <v>110</v>
      </c>
      <c r="H8864" t="s">
        <v>48</v>
      </c>
      <c r="I8864">
        <v>25535</v>
      </c>
      <c r="J8864">
        <v>31487</v>
      </c>
    </row>
    <row r="8865" spans="1:10" x14ac:dyDescent="0.3">
      <c r="A8865" t="s">
        <v>8992</v>
      </c>
      <c r="B8865" s="1">
        <v>45890</v>
      </c>
      <c r="C8865" t="s">
        <v>113</v>
      </c>
      <c r="D8865">
        <v>34</v>
      </c>
      <c r="E8865" t="s">
        <v>39</v>
      </c>
      <c r="F8865" t="s">
        <v>75</v>
      </c>
      <c r="G8865" t="s">
        <v>141</v>
      </c>
      <c r="H8865" t="s">
        <v>188</v>
      </c>
      <c r="I8865">
        <v>21372</v>
      </c>
      <c r="J8865">
        <v>23775</v>
      </c>
    </row>
    <row r="8866" spans="1:10" x14ac:dyDescent="0.3">
      <c r="A8866" t="s">
        <v>8993</v>
      </c>
      <c r="B8866" s="1">
        <v>45910</v>
      </c>
      <c r="C8866" t="s">
        <v>38</v>
      </c>
      <c r="D8866">
        <v>37</v>
      </c>
      <c r="E8866" t="s">
        <v>61</v>
      </c>
      <c r="F8866" t="s">
        <v>122</v>
      </c>
      <c r="G8866" t="s">
        <v>88</v>
      </c>
      <c r="H8866" t="s">
        <v>111</v>
      </c>
      <c r="I8866">
        <v>38487</v>
      </c>
      <c r="J8866">
        <v>35465</v>
      </c>
    </row>
    <row r="8867" spans="1:10" x14ac:dyDescent="0.3">
      <c r="A8867" t="s">
        <v>8994</v>
      </c>
      <c r="B8867" s="1">
        <v>45712</v>
      </c>
      <c r="C8867" t="s">
        <v>82</v>
      </c>
      <c r="D8867">
        <v>9</v>
      </c>
      <c r="E8867" t="s">
        <v>61</v>
      </c>
      <c r="F8867" t="s">
        <v>140</v>
      </c>
      <c r="G8867" t="s">
        <v>149</v>
      </c>
      <c r="H8867" t="s">
        <v>157</v>
      </c>
      <c r="I8867">
        <v>27689</v>
      </c>
      <c r="J8867">
        <v>23414</v>
      </c>
    </row>
    <row r="8868" spans="1:10" x14ac:dyDescent="0.3">
      <c r="A8868" t="s">
        <v>8995</v>
      </c>
      <c r="B8868" s="1">
        <v>45916</v>
      </c>
      <c r="C8868" t="s">
        <v>38</v>
      </c>
      <c r="D8868">
        <v>38</v>
      </c>
      <c r="E8868" t="s">
        <v>39</v>
      </c>
      <c r="F8868" t="s">
        <v>122</v>
      </c>
      <c r="G8868" t="s">
        <v>88</v>
      </c>
      <c r="H8868" t="s">
        <v>55</v>
      </c>
      <c r="I8868">
        <v>39042</v>
      </c>
      <c r="J8868">
        <v>28515</v>
      </c>
    </row>
    <row r="8869" spans="1:10" x14ac:dyDescent="0.3">
      <c r="A8869" t="s">
        <v>8996</v>
      </c>
      <c r="B8869" s="1">
        <v>46003</v>
      </c>
      <c r="C8869" t="s">
        <v>100</v>
      </c>
      <c r="D8869">
        <v>50</v>
      </c>
      <c r="E8869" t="s">
        <v>12</v>
      </c>
      <c r="F8869" t="s">
        <v>193</v>
      </c>
      <c r="G8869" t="s">
        <v>128</v>
      </c>
      <c r="H8869" t="s">
        <v>52</v>
      </c>
      <c r="I8869">
        <v>19348</v>
      </c>
      <c r="J8869">
        <v>17493</v>
      </c>
    </row>
    <row r="8870" spans="1:10" x14ac:dyDescent="0.3">
      <c r="A8870" t="s">
        <v>8997</v>
      </c>
      <c r="B8870" s="1">
        <v>45752</v>
      </c>
      <c r="C8870" t="s">
        <v>86</v>
      </c>
      <c r="D8870">
        <v>14</v>
      </c>
      <c r="E8870" t="s">
        <v>70</v>
      </c>
      <c r="F8870" t="s">
        <v>193</v>
      </c>
      <c r="G8870" t="s">
        <v>40</v>
      </c>
      <c r="H8870" t="s">
        <v>157</v>
      </c>
      <c r="I8870">
        <v>20042</v>
      </c>
      <c r="J8870">
        <v>17686</v>
      </c>
    </row>
    <row r="8871" spans="1:10" x14ac:dyDescent="0.3">
      <c r="A8871" t="s">
        <v>8998</v>
      </c>
      <c r="B8871" s="1">
        <v>46018</v>
      </c>
      <c r="C8871" t="s">
        <v>100</v>
      </c>
      <c r="D8871">
        <v>52</v>
      </c>
      <c r="E8871" t="s">
        <v>61</v>
      </c>
      <c r="F8871" t="s">
        <v>78</v>
      </c>
      <c r="G8871" t="s">
        <v>199</v>
      </c>
      <c r="H8871" t="s">
        <v>119</v>
      </c>
      <c r="I8871">
        <v>33691</v>
      </c>
      <c r="J8871">
        <v>24809</v>
      </c>
    </row>
    <row r="8872" spans="1:10" x14ac:dyDescent="0.3">
      <c r="A8872" t="s">
        <v>8999</v>
      </c>
      <c r="B8872" s="1">
        <v>45699</v>
      </c>
      <c r="C8872" t="s">
        <v>82</v>
      </c>
      <c r="D8872">
        <v>7</v>
      </c>
      <c r="E8872" t="s">
        <v>33</v>
      </c>
      <c r="F8872" t="s">
        <v>50</v>
      </c>
      <c r="G8872" t="s">
        <v>137</v>
      </c>
      <c r="H8872" t="s">
        <v>151</v>
      </c>
      <c r="I8872">
        <v>34482</v>
      </c>
      <c r="J8872">
        <v>39493</v>
      </c>
    </row>
    <row r="8873" spans="1:10" x14ac:dyDescent="0.3">
      <c r="A8873" t="s">
        <v>9000</v>
      </c>
      <c r="B8873" s="1">
        <v>45668</v>
      </c>
      <c r="C8873" t="s">
        <v>17</v>
      </c>
      <c r="D8873">
        <v>2</v>
      </c>
      <c r="E8873" t="s">
        <v>39</v>
      </c>
      <c r="F8873" t="s">
        <v>25</v>
      </c>
      <c r="G8873" t="s">
        <v>110</v>
      </c>
      <c r="H8873" t="s">
        <v>157</v>
      </c>
      <c r="I8873">
        <v>37760</v>
      </c>
      <c r="J8873">
        <v>38423</v>
      </c>
    </row>
    <row r="8874" spans="1:10" x14ac:dyDescent="0.3">
      <c r="A8874" t="s">
        <v>9001</v>
      </c>
      <c r="B8874" s="1">
        <v>45904</v>
      </c>
      <c r="C8874" t="s">
        <v>38</v>
      </c>
      <c r="D8874">
        <v>36</v>
      </c>
      <c r="E8874" t="s">
        <v>12</v>
      </c>
      <c r="F8874" t="s">
        <v>140</v>
      </c>
      <c r="G8874" t="s">
        <v>30</v>
      </c>
      <c r="H8874" t="s">
        <v>48</v>
      </c>
      <c r="I8874">
        <v>21560</v>
      </c>
      <c r="J8874">
        <v>21313</v>
      </c>
    </row>
    <row r="8875" spans="1:10" x14ac:dyDescent="0.3">
      <c r="A8875" t="s">
        <v>9002</v>
      </c>
      <c r="B8875" s="1">
        <v>45762</v>
      </c>
      <c r="C8875" t="s">
        <v>86</v>
      </c>
      <c r="D8875">
        <v>16</v>
      </c>
      <c r="E8875" t="s">
        <v>33</v>
      </c>
      <c r="F8875" t="s">
        <v>25</v>
      </c>
      <c r="G8875" t="s">
        <v>110</v>
      </c>
      <c r="H8875" t="s">
        <v>151</v>
      </c>
      <c r="I8875">
        <v>20601</v>
      </c>
      <c r="J8875">
        <v>21849</v>
      </c>
    </row>
    <row r="8876" spans="1:10" x14ac:dyDescent="0.3">
      <c r="A8876" t="s">
        <v>9003</v>
      </c>
      <c r="B8876" s="1">
        <v>45833</v>
      </c>
      <c r="C8876" t="s">
        <v>74</v>
      </c>
      <c r="D8876">
        <v>26</v>
      </c>
      <c r="E8876" t="s">
        <v>33</v>
      </c>
      <c r="F8876" t="s">
        <v>92</v>
      </c>
      <c r="G8876" t="s">
        <v>191</v>
      </c>
      <c r="H8876" t="s">
        <v>36</v>
      </c>
      <c r="I8876">
        <v>22014</v>
      </c>
      <c r="J8876">
        <v>22621</v>
      </c>
    </row>
    <row r="8877" spans="1:10" x14ac:dyDescent="0.3">
      <c r="A8877" t="s">
        <v>9004</v>
      </c>
      <c r="B8877" s="1">
        <v>45920</v>
      </c>
      <c r="C8877" t="s">
        <v>38</v>
      </c>
      <c r="D8877">
        <v>38</v>
      </c>
      <c r="E8877" t="s">
        <v>61</v>
      </c>
      <c r="F8877" t="s">
        <v>101</v>
      </c>
      <c r="G8877" t="s">
        <v>76</v>
      </c>
      <c r="H8877" t="s">
        <v>151</v>
      </c>
      <c r="I8877">
        <v>31448</v>
      </c>
      <c r="J8877">
        <v>29003</v>
      </c>
    </row>
    <row r="8878" spans="1:10" x14ac:dyDescent="0.3">
      <c r="A8878" t="s">
        <v>9005</v>
      </c>
      <c r="B8878" s="1">
        <v>45680</v>
      </c>
      <c r="C8878" t="s">
        <v>17</v>
      </c>
      <c r="D8878">
        <v>4</v>
      </c>
      <c r="E8878" t="s">
        <v>24</v>
      </c>
      <c r="F8878" t="s">
        <v>114</v>
      </c>
      <c r="G8878" t="s">
        <v>76</v>
      </c>
      <c r="H8878" t="s">
        <v>163</v>
      </c>
      <c r="I8878">
        <v>36174</v>
      </c>
      <c r="J8878">
        <v>30135</v>
      </c>
    </row>
    <row r="8879" spans="1:10" x14ac:dyDescent="0.3">
      <c r="A8879" t="s">
        <v>9006</v>
      </c>
      <c r="B8879" s="1">
        <v>45756</v>
      </c>
      <c r="C8879" t="s">
        <v>86</v>
      </c>
      <c r="D8879">
        <v>15</v>
      </c>
      <c r="E8879" t="s">
        <v>24</v>
      </c>
      <c r="F8879" t="s">
        <v>50</v>
      </c>
      <c r="G8879" t="s">
        <v>63</v>
      </c>
      <c r="H8879" t="s">
        <v>36</v>
      </c>
      <c r="I8879">
        <v>22286</v>
      </c>
      <c r="J8879">
        <v>27245</v>
      </c>
    </row>
    <row r="8880" spans="1:10" x14ac:dyDescent="0.3">
      <c r="A8880" t="s">
        <v>9007</v>
      </c>
      <c r="B8880" s="1">
        <v>45895</v>
      </c>
      <c r="C8880" t="s">
        <v>113</v>
      </c>
      <c r="D8880">
        <v>35</v>
      </c>
      <c r="E8880" t="s">
        <v>33</v>
      </c>
      <c r="F8880" t="s">
        <v>13</v>
      </c>
      <c r="G8880" t="s">
        <v>107</v>
      </c>
      <c r="H8880" t="s">
        <v>165</v>
      </c>
      <c r="I8880">
        <v>36244</v>
      </c>
      <c r="J8880">
        <v>45749</v>
      </c>
    </row>
    <row r="8881" spans="1:10" x14ac:dyDescent="0.3">
      <c r="A8881" t="s">
        <v>9008</v>
      </c>
      <c r="B8881" s="1">
        <v>45869</v>
      </c>
      <c r="C8881" t="s">
        <v>11</v>
      </c>
      <c r="D8881">
        <v>31</v>
      </c>
      <c r="E8881" t="s">
        <v>18</v>
      </c>
      <c r="F8881" t="s">
        <v>109</v>
      </c>
      <c r="G8881" t="s">
        <v>149</v>
      </c>
      <c r="H8881" t="s">
        <v>96</v>
      </c>
      <c r="I8881">
        <v>36959</v>
      </c>
      <c r="J8881">
        <v>29057</v>
      </c>
    </row>
    <row r="8882" spans="1:10" x14ac:dyDescent="0.3">
      <c r="A8882" t="s">
        <v>9009</v>
      </c>
      <c r="B8882" s="1">
        <v>45700</v>
      </c>
      <c r="C8882" t="s">
        <v>82</v>
      </c>
      <c r="D8882">
        <v>7</v>
      </c>
      <c r="E8882" t="s">
        <v>61</v>
      </c>
      <c r="F8882" t="s">
        <v>92</v>
      </c>
      <c r="G8882" t="s">
        <v>149</v>
      </c>
      <c r="H8882" t="s">
        <v>55</v>
      </c>
      <c r="I8882">
        <v>17798</v>
      </c>
      <c r="J8882">
        <v>14522</v>
      </c>
    </row>
    <row r="8883" spans="1:10" x14ac:dyDescent="0.3">
      <c r="A8883" t="s">
        <v>9010</v>
      </c>
      <c r="B8883" s="1">
        <v>45760</v>
      </c>
      <c r="C8883" t="s">
        <v>86</v>
      </c>
      <c r="D8883">
        <v>15</v>
      </c>
      <c r="E8883" t="s">
        <v>61</v>
      </c>
      <c r="F8883" t="s">
        <v>19</v>
      </c>
      <c r="G8883" t="s">
        <v>88</v>
      </c>
      <c r="H8883" t="s">
        <v>103</v>
      </c>
      <c r="I8883">
        <v>36242</v>
      </c>
      <c r="J8883">
        <v>26116</v>
      </c>
    </row>
    <row r="8884" spans="1:10" x14ac:dyDescent="0.3">
      <c r="A8884" t="s">
        <v>9011</v>
      </c>
      <c r="B8884" s="1">
        <v>45744</v>
      </c>
      <c r="C8884" t="s">
        <v>95</v>
      </c>
      <c r="D8884">
        <v>13</v>
      </c>
      <c r="E8884" t="s">
        <v>24</v>
      </c>
      <c r="F8884" t="s">
        <v>109</v>
      </c>
      <c r="G8884" t="s">
        <v>83</v>
      </c>
      <c r="H8884" t="s">
        <v>31</v>
      </c>
      <c r="I8884">
        <v>33746</v>
      </c>
      <c r="J8884">
        <v>36865</v>
      </c>
    </row>
    <row r="8885" spans="1:10" x14ac:dyDescent="0.3">
      <c r="A8885" t="s">
        <v>9012</v>
      </c>
      <c r="B8885" s="1">
        <v>45795</v>
      </c>
      <c r="C8885" t="s">
        <v>90</v>
      </c>
      <c r="D8885">
        <v>20</v>
      </c>
      <c r="E8885" t="s">
        <v>24</v>
      </c>
      <c r="F8885" t="s">
        <v>92</v>
      </c>
      <c r="G8885" t="s">
        <v>201</v>
      </c>
      <c r="H8885" t="s">
        <v>111</v>
      </c>
      <c r="I8885">
        <v>34405</v>
      </c>
      <c r="J8885">
        <v>26048</v>
      </c>
    </row>
    <row r="8886" spans="1:10" x14ac:dyDescent="0.3">
      <c r="A8886" t="s">
        <v>9013</v>
      </c>
      <c r="B8886" s="1">
        <v>45933</v>
      </c>
      <c r="C8886" t="s">
        <v>66</v>
      </c>
      <c r="D8886">
        <v>40</v>
      </c>
      <c r="E8886" t="s">
        <v>39</v>
      </c>
      <c r="F8886" t="s">
        <v>75</v>
      </c>
      <c r="G8886" t="s">
        <v>234</v>
      </c>
      <c r="H8886" t="s">
        <v>41</v>
      </c>
      <c r="I8886">
        <v>33971</v>
      </c>
      <c r="J8886">
        <v>42313</v>
      </c>
    </row>
    <row r="8887" spans="1:10" x14ac:dyDescent="0.3">
      <c r="A8887" t="s">
        <v>9014</v>
      </c>
      <c r="B8887" s="1">
        <v>45883</v>
      </c>
      <c r="C8887" t="s">
        <v>113</v>
      </c>
      <c r="D8887">
        <v>33</v>
      </c>
      <c r="E8887" t="s">
        <v>33</v>
      </c>
      <c r="F8887" t="s">
        <v>114</v>
      </c>
      <c r="G8887" t="s">
        <v>14</v>
      </c>
      <c r="H8887" t="s">
        <v>84</v>
      </c>
      <c r="I8887">
        <v>34851</v>
      </c>
      <c r="J8887">
        <v>33921</v>
      </c>
    </row>
    <row r="8888" spans="1:10" x14ac:dyDescent="0.3">
      <c r="A8888" t="s">
        <v>9015</v>
      </c>
      <c r="B8888" s="1">
        <v>45992</v>
      </c>
      <c r="C8888" t="s">
        <v>100</v>
      </c>
      <c r="D8888">
        <v>49</v>
      </c>
      <c r="E8888" t="s">
        <v>39</v>
      </c>
      <c r="F8888" t="s">
        <v>75</v>
      </c>
      <c r="G8888" t="s">
        <v>145</v>
      </c>
      <c r="H8888" t="s">
        <v>116</v>
      </c>
      <c r="I8888">
        <v>38489</v>
      </c>
      <c r="J8888">
        <v>37852</v>
      </c>
    </row>
    <row r="8889" spans="1:10" x14ac:dyDescent="0.3">
      <c r="A8889" t="s">
        <v>9016</v>
      </c>
      <c r="B8889" s="1">
        <v>45841</v>
      </c>
      <c r="C8889" t="s">
        <v>11</v>
      </c>
      <c r="D8889">
        <v>27</v>
      </c>
      <c r="E8889" t="s">
        <v>70</v>
      </c>
      <c r="F8889" t="s">
        <v>57</v>
      </c>
      <c r="G8889" t="s">
        <v>110</v>
      </c>
      <c r="H8889" t="s">
        <v>157</v>
      </c>
      <c r="I8889">
        <v>29170</v>
      </c>
      <c r="J8889">
        <v>34780</v>
      </c>
    </row>
    <row r="8890" spans="1:10" x14ac:dyDescent="0.3">
      <c r="A8890" t="s">
        <v>9017</v>
      </c>
      <c r="B8890" s="1">
        <v>45830</v>
      </c>
      <c r="C8890" t="s">
        <v>74</v>
      </c>
      <c r="D8890">
        <v>25</v>
      </c>
      <c r="E8890" t="s">
        <v>12</v>
      </c>
      <c r="F8890" t="s">
        <v>140</v>
      </c>
      <c r="G8890" t="s">
        <v>324</v>
      </c>
      <c r="H8890" t="s">
        <v>41</v>
      </c>
      <c r="I8890">
        <v>19969</v>
      </c>
      <c r="J8890">
        <v>14518</v>
      </c>
    </row>
    <row r="8891" spans="1:10" x14ac:dyDescent="0.3">
      <c r="A8891" t="s">
        <v>9018</v>
      </c>
      <c r="B8891" s="1">
        <v>45962</v>
      </c>
      <c r="C8891" t="s">
        <v>23</v>
      </c>
      <c r="D8891">
        <v>44</v>
      </c>
      <c r="E8891" t="s">
        <v>24</v>
      </c>
      <c r="F8891" t="s">
        <v>43</v>
      </c>
      <c r="G8891" t="s">
        <v>135</v>
      </c>
      <c r="H8891" t="s">
        <v>64</v>
      </c>
      <c r="I8891">
        <v>15589</v>
      </c>
      <c r="J8891">
        <v>13885</v>
      </c>
    </row>
    <row r="8892" spans="1:10" x14ac:dyDescent="0.3">
      <c r="A8892" t="s">
        <v>9019</v>
      </c>
      <c r="B8892" s="1">
        <v>45916</v>
      </c>
      <c r="C8892" t="s">
        <v>38</v>
      </c>
      <c r="D8892">
        <v>38</v>
      </c>
      <c r="E8892" t="s">
        <v>39</v>
      </c>
      <c r="F8892" t="s">
        <v>101</v>
      </c>
      <c r="G8892" t="s">
        <v>145</v>
      </c>
      <c r="H8892" t="s">
        <v>211</v>
      </c>
      <c r="I8892">
        <v>27033</v>
      </c>
      <c r="J8892">
        <v>31427</v>
      </c>
    </row>
    <row r="8893" spans="1:10" x14ac:dyDescent="0.3">
      <c r="A8893" t="s">
        <v>9020</v>
      </c>
      <c r="B8893" s="1">
        <v>45925</v>
      </c>
      <c r="C8893" t="s">
        <v>38</v>
      </c>
      <c r="D8893">
        <v>39</v>
      </c>
      <c r="E8893" t="s">
        <v>70</v>
      </c>
      <c r="F8893" t="s">
        <v>62</v>
      </c>
      <c r="G8893" t="s">
        <v>160</v>
      </c>
      <c r="H8893" t="s">
        <v>211</v>
      </c>
      <c r="I8893">
        <v>28022</v>
      </c>
      <c r="J8893">
        <v>25977</v>
      </c>
    </row>
    <row r="8894" spans="1:10" x14ac:dyDescent="0.3">
      <c r="A8894" t="s">
        <v>9021</v>
      </c>
      <c r="B8894" s="1">
        <v>45718</v>
      </c>
      <c r="C8894" t="s">
        <v>95</v>
      </c>
      <c r="D8894">
        <v>9</v>
      </c>
      <c r="E8894" t="s">
        <v>70</v>
      </c>
      <c r="F8894" t="s">
        <v>193</v>
      </c>
      <c r="G8894" t="s">
        <v>141</v>
      </c>
      <c r="H8894" t="s">
        <v>52</v>
      </c>
      <c r="I8894">
        <v>39155</v>
      </c>
      <c r="J8894">
        <v>46581</v>
      </c>
    </row>
    <row r="8895" spans="1:10" x14ac:dyDescent="0.3">
      <c r="A8895" t="s">
        <v>9022</v>
      </c>
      <c r="B8895" s="1">
        <v>45854</v>
      </c>
      <c r="C8895" t="s">
        <v>11</v>
      </c>
      <c r="D8895">
        <v>29</v>
      </c>
      <c r="E8895" t="s">
        <v>12</v>
      </c>
      <c r="F8895" t="s">
        <v>34</v>
      </c>
      <c r="G8895" t="s">
        <v>93</v>
      </c>
      <c r="H8895" t="s">
        <v>68</v>
      </c>
      <c r="I8895">
        <v>32327</v>
      </c>
      <c r="J8895">
        <v>27783</v>
      </c>
    </row>
    <row r="8896" spans="1:10" x14ac:dyDescent="0.3">
      <c r="A8896" t="s">
        <v>9023</v>
      </c>
      <c r="B8896" s="1">
        <v>45940</v>
      </c>
      <c r="C8896" t="s">
        <v>66</v>
      </c>
      <c r="D8896">
        <v>41</v>
      </c>
      <c r="E8896" t="s">
        <v>33</v>
      </c>
      <c r="F8896" t="s">
        <v>46</v>
      </c>
      <c r="G8896" t="s">
        <v>26</v>
      </c>
      <c r="H8896" t="s">
        <v>211</v>
      </c>
      <c r="I8896">
        <v>32681</v>
      </c>
      <c r="J8896">
        <v>38851</v>
      </c>
    </row>
    <row r="8897" spans="1:10" x14ac:dyDescent="0.3">
      <c r="A8897" t="s">
        <v>9024</v>
      </c>
      <c r="B8897" s="1">
        <v>45779</v>
      </c>
      <c r="C8897" t="s">
        <v>90</v>
      </c>
      <c r="D8897">
        <v>18</v>
      </c>
      <c r="E8897" t="s">
        <v>33</v>
      </c>
      <c r="F8897" t="s">
        <v>50</v>
      </c>
      <c r="G8897" t="s">
        <v>224</v>
      </c>
      <c r="H8897" t="s">
        <v>36</v>
      </c>
      <c r="I8897">
        <v>25924</v>
      </c>
      <c r="J8897">
        <v>21161</v>
      </c>
    </row>
    <row r="8898" spans="1:10" x14ac:dyDescent="0.3">
      <c r="A8898" t="s">
        <v>9025</v>
      </c>
      <c r="B8898" s="1">
        <v>45747</v>
      </c>
      <c r="C8898" t="s">
        <v>95</v>
      </c>
      <c r="D8898">
        <v>14</v>
      </c>
      <c r="E8898" t="s">
        <v>12</v>
      </c>
      <c r="F8898" t="s">
        <v>87</v>
      </c>
      <c r="G8898" t="s">
        <v>76</v>
      </c>
      <c r="H8898" t="s">
        <v>21</v>
      </c>
      <c r="I8898">
        <v>31257</v>
      </c>
      <c r="J8898">
        <v>28760</v>
      </c>
    </row>
    <row r="8899" spans="1:10" x14ac:dyDescent="0.3">
      <c r="A8899" t="s">
        <v>9026</v>
      </c>
      <c r="B8899" s="1">
        <v>45983</v>
      </c>
      <c r="C8899" t="s">
        <v>23</v>
      </c>
      <c r="D8899">
        <v>47</v>
      </c>
      <c r="E8899" t="s">
        <v>18</v>
      </c>
      <c r="F8899" t="s">
        <v>114</v>
      </c>
      <c r="G8899" t="s">
        <v>102</v>
      </c>
      <c r="H8899" t="s">
        <v>151</v>
      </c>
      <c r="I8899">
        <v>17031</v>
      </c>
      <c r="J8899">
        <v>18145</v>
      </c>
    </row>
    <row r="8900" spans="1:10" x14ac:dyDescent="0.3">
      <c r="A8900" t="s">
        <v>9027</v>
      </c>
      <c r="B8900" s="1">
        <v>46001</v>
      </c>
      <c r="C8900" t="s">
        <v>100</v>
      </c>
      <c r="D8900">
        <v>50</v>
      </c>
      <c r="E8900" t="s">
        <v>18</v>
      </c>
      <c r="F8900" t="s">
        <v>25</v>
      </c>
      <c r="G8900" t="s">
        <v>191</v>
      </c>
      <c r="H8900" t="s">
        <v>163</v>
      </c>
      <c r="I8900">
        <v>15959</v>
      </c>
      <c r="J8900">
        <v>14489</v>
      </c>
    </row>
    <row r="8901" spans="1:10" x14ac:dyDescent="0.3">
      <c r="A8901" t="s">
        <v>9028</v>
      </c>
      <c r="B8901" s="1">
        <v>45990</v>
      </c>
      <c r="C8901" t="s">
        <v>23</v>
      </c>
      <c r="D8901">
        <v>48</v>
      </c>
      <c r="E8901" t="s">
        <v>12</v>
      </c>
      <c r="F8901" t="s">
        <v>75</v>
      </c>
      <c r="G8901" t="s">
        <v>291</v>
      </c>
      <c r="H8901" t="s">
        <v>59</v>
      </c>
      <c r="I8901">
        <v>38830</v>
      </c>
      <c r="J8901">
        <v>40966</v>
      </c>
    </row>
    <row r="8902" spans="1:10" x14ac:dyDescent="0.3">
      <c r="A8902" t="s">
        <v>9029</v>
      </c>
      <c r="B8902" s="1">
        <v>45835</v>
      </c>
      <c r="C8902" t="s">
        <v>74</v>
      </c>
      <c r="D8902">
        <v>26</v>
      </c>
      <c r="E8902" t="s">
        <v>39</v>
      </c>
      <c r="F8902" t="s">
        <v>25</v>
      </c>
      <c r="G8902" t="s">
        <v>102</v>
      </c>
      <c r="H8902" t="s">
        <v>80</v>
      </c>
      <c r="I8902">
        <v>18096</v>
      </c>
      <c r="J8902">
        <v>12681</v>
      </c>
    </row>
    <row r="8903" spans="1:10" x14ac:dyDescent="0.3">
      <c r="A8903" t="s">
        <v>9030</v>
      </c>
      <c r="B8903" s="1">
        <v>45978</v>
      </c>
      <c r="C8903" t="s">
        <v>23</v>
      </c>
      <c r="D8903">
        <v>47</v>
      </c>
      <c r="E8903" t="s">
        <v>12</v>
      </c>
      <c r="F8903" t="s">
        <v>50</v>
      </c>
      <c r="G8903" t="s">
        <v>145</v>
      </c>
      <c r="H8903" t="s">
        <v>188</v>
      </c>
      <c r="I8903">
        <v>34744</v>
      </c>
      <c r="J8903">
        <v>28896</v>
      </c>
    </row>
    <row r="8904" spans="1:10" x14ac:dyDescent="0.3">
      <c r="A8904" t="s">
        <v>9031</v>
      </c>
      <c r="B8904" s="1">
        <v>45889</v>
      </c>
      <c r="C8904" t="s">
        <v>113</v>
      </c>
      <c r="D8904">
        <v>34</v>
      </c>
      <c r="E8904" t="s">
        <v>33</v>
      </c>
      <c r="F8904" t="s">
        <v>57</v>
      </c>
      <c r="G8904" t="s">
        <v>324</v>
      </c>
      <c r="H8904" t="s">
        <v>64</v>
      </c>
      <c r="I8904">
        <v>39029</v>
      </c>
      <c r="J8904">
        <v>40949</v>
      </c>
    </row>
    <row r="8905" spans="1:10" x14ac:dyDescent="0.3">
      <c r="A8905" t="s">
        <v>9032</v>
      </c>
      <c r="B8905" s="1">
        <v>45799</v>
      </c>
      <c r="C8905" t="s">
        <v>90</v>
      </c>
      <c r="D8905">
        <v>21</v>
      </c>
      <c r="E8905" t="s">
        <v>12</v>
      </c>
      <c r="F8905" t="s">
        <v>46</v>
      </c>
      <c r="G8905" t="s">
        <v>253</v>
      </c>
      <c r="H8905" t="s">
        <v>27</v>
      </c>
      <c r="I8905">
        <v>25191</v>
      </c>
      <c r="J8905">
        <v>29593</v>
      </c>
    </row>
    <row r="8906" spans="1:10" x14ac:dyDescent="0.3">
      <c r="A8906" t="s">
        <v>9033</v>
      </c>
      <c r="B8906" s="1">
        <v>45968</v>
      </c>
      <c r="C8906" t="s">
        <v>23</v>
      </c>
      <c r="D8906">
        <v>45</v>
      </c>
      <c r="E8906" t="s">
        <v>39</v>
      </c>
      <c r="F8906" t="s">
        <v>109</v>
      </c>
      <c r="G8906" t="s">
        <v>72</v>
      </c>
      <c r="H8906" t="s">
        <v>133</v>
      </c>
      <c r="I8906">
        <v>37915</v>
      </c>
      <c r="J8906">
        <v>35757</v>
      </c>
    </row>
    <row r="8907" spans="1:10" x14ac:dyDescent="0.3">
      <c r="A8907" t="s">
        <v>9034</v>
      </c>
      <c r="B8907" s="1">
        <v>45949</v>
      </c>
      <c r="C8907" t="s">
        <v>66</v>
      </c>
      <c r="D8907">
        <v>42</v>
      </c>
      <c r="E8907" t="s">
        <v>70</v>
      </c>
      <c r="F8907" t="s">
        <v>92</v>
      </c>
      <c r="G8907" t="s">
        <v>107</v>
      </c>
      <c r="H8907" t="s">
        <v>96</v>
      </c>
      <c r="I8907">
        <v>22340</v>
      </c>
      <c r="J8907">
        <v>27154</v>
      </c>
    </row>
    <row r="8908" spans="1:10" x14ac:dyDescent="0.3">
      <c r="A8908" t="s">
        <v>9035</v>
      </c>
      <c r="B8908" s="1">
        <v>45807</v>
      </c>
      <c r="C8908" t="s">
        <v>90</v>
      </c>
      <c r="D8908">
        <v>22</v>
      </c>
      <c r="E8908" t="s">
        <v>24</v>
      </c>
      <c r="F8908" t="s">
        <v>122</v>
      </c>
      <c r="G8908" t="s">
        <v>88</v>
      </c>
      <c r="H8908" t="s">
        <v>211</v>
      </c>
      <c r="I8908">
        <v>26249</v>
      </c>
      <c r="J8908">
        <v>22793</v>
      </c>
    </row>
    <row r="8909" spans="1:10" x14ac:dyDescent="0.3">
      <c r="A8909" t="s">
        <v>9036</v>
      </c>
      <c r="B8909" s="1">
        <v>45856</v>
      </c>
      <c r="C8909" t="s">
        <v>11</v>
      </c>
      <c r="D8909">
        <v>29</v>
      </c>
      <c r="E8909" t="s">
        <v>18</v>
      </c>
      <c r="F8909" t="s">
        <v>43</v>
      </c>
      <c r="G8909" t="s">
        <v>130</v>
      </c>
      <c r="H8909" t="s">
        <v>64</v>
      </c>
      <c r="I8909">
        <v>26026</v>
      </c>
      <c r="J8909">
        <v>22901</v>
      </c>
    </row>
    <row r="8910" spans="1:10" x14ac:dyDescent="0.3">
      <c r="A8910" t="s">
        <v>9037</v>
      </c>
      <c r="B8910" s="1">
        <v>45999</v>
      </c>
      <c r="C8910" t="s">
        <v>100</v>
      </c>
      <c r="D8910">
        <v>50</v>
      </c>
      <c r="E8910" t="s">
        <v>61</v>
      </c>
      <c r="F8910" t="s">
        <v>13</v>
      </c>
      <c r="G8910" t="s">
        <v>40</v>
      </c>
      <c r="H8910" t="s">
        <v>188</v>
      </c>
      <c r="I8910">
        <v>22708</v>
      </c>
      <c r="J8910">
        <v>21947</v>
      </c>
    </row>
    <row r="8911" spans="1:10" x14ac:dyDescent="0.3">
      <c r="A8911" t="s">
        <v>9038</v>
      </c>
      <c r="B8911" s="1">
        <v>45873</v>
      </c>
      <c r="C8911" t="s">
        <v>113</v>
      </c>
      <c r="D8911">
        <v>32</v>
      </c>
      <c r="E8911" t="s">
        <v>12</v>
      </c>
      <c r="F8911" t="s">
        <v>75</v>
      </c>
      <c r="G8911" t="s">
        <v>110</v>
      </c>
      <c r="H8911" t="s">
        <v>84</v>
      </c>
      <c r="I8911">
        <v>38121</v>
      </c>
      <c r="J8911">
        <v>46402</v>
      </c>
    </row>
    <row r="8912" spans="1:10" x14ac:dyDescent="0.3">
      <c r="A8912" t="s">
        <v>9039</v>
      </c>
      <c r="B8912" s="1">
        <v>45984</v>
      </c>
      <c r="C8912" t="s">
        <v>23</v>
      </c>
      <c r="D8912">
        <v>47</v>
      </c>
      <c r="E8912" t="s">
        <v>24</v>
      </c>
      <c r="F8912" t="s">
        <v>46</v>
      </c>
      <c r="G8912" t="s">
        <v>149</v>
      </c>
      <c r="H8912" t="s">
        <v>151</v>
      </c>
      <c r="I8912">
        <v>29827</v>
      </c>
      <c r="J8912">
        <v>20973</v>
      </c>
    </row>
    <row r="8913" spans="1:10" x14ac:dyDescent="0.3">
      <c r="A8913" t="s">
        <v>9040</v>
      </c>
      <c r="B8913" s="1">
        <v>45780</v>
      </c>
      <c r="C8913" t="s">
        <v>90</v>
      </c>
      <c r="D8913">
        <v>18</v>
      </c>
      <c r="E8913" t="s">
        <v>18</v>
      </c>
      <c r="F8913" t="s">
        <v>13</v>
      </c>
      <c r="G8913" t="s">
        <v>110</v>
      </c>
      <c r="H8913" t="s">
        <v>243</v>
      </c>
      <c r="I8913">
        <v>26805</v>
      </c>
      <c r="J8913">
        <v>30270</v>
      </c>
    </row>
    <row r="8914" spans="1:10" x14ac:dyDescent="0.3">
      <c r="A8914" t="s">
        <v>9041</v>
      </c>
      <c r="B8914" s="1">
        <v>45659</v>
      </c>
      <c r="C8914" t="s">
        <v>17</v>
      </c>
      <c r="D8914">
        <v>1</v>
      </c>
      <c r="E8914" t="s">
        <v>61</v>
      </c>
      <c r="F8914" t="s">
        <v>193</v>
      </c>
      <c r="G8914" t="s">
        <v>145</v>
      </c>
      <c r="H8914" t="s">
        <v>59</v>
      </c>
      <c r="I8914">
        <v>19378</v>
      </c>
      <c r="J8914">
        <v>14261</v>
      </c>
    </row>
    <row r="8915" spans="1:10" x14ac:dyDescent="0.3">
      <c r="A8915" t="s">
        <v>9042</v>
      </c>
      <c r="B8915" s="1">
        <v>45888</v>
      </c>
      <c r="C8915" t="s">
        <v>113</v>
      </c>
      <c r="D8915">
        <v>34</v>
      </c>
      <c r="E8915" t="s">
        <v>39</v>
      </c>
      <c r="F8915" t="s">
        <v>122</v>
      </c>
      <c r="G8915" t="s">
        <v>20</v>
      </c>
      <c r="H8915" t="s">
        <v>41</v>
      </c>
      <c r="I8915">
        <v>31839</v>
      </c>
      <c r="J8915">
        <v>31978</v>
      </c>
    </row>
    <row r="8916" spans="1:10" x14ac:dyDescent="0.3">
      <c r="A8916" t="s">
        <v>9043</v>
      </c>
      <c r="B8916" s="1">
        <v>45893</v>
      </c>
      <c r="C8916" t="s">
        <v>113</v>
      </c>
      <c r="D8916">
        <v>34</v>
      </c>
      <c r="E8916" t="s">
        <v>61</v>
      </c>
      <c r="F8916" t="s">
        <v>140</v>
      </c>
      <c r="G8916" t="s">
        <v>63</v>
      </c>
      <c r="H8916" t="s">
        <v>116</v>
      </c>
      <c r="I8916">
        <v>19357</v>
      </c>
      <c r="J8916">
        <v>18357</v>
      </c>
    </row>
    <row r="8917" spans="1:10" x14ac:dyDescent="0.3">
      <c r="A8917" t="s">
        <v>9044</v>
      </c>
      <c r="B8917" s="1">
        <v>45713</v>
      </c>
      <c r="C8917" t="s">
        <v>82</v>
      </c>
      <c r="D8917">
        <v>9</v>
      </c>
      <c r="E8917" t="s">
        <v>61</v>
      </c>
      <c r="F8917" t="s">
        <v>87</v>
      </c>
      <c r="G8917" t="s">
        <v>93</v>
      </c>
      <c r="H8917" t="s">
        <v>55</v>
      </c>
      <c r="I8917">
        <v>25337</v>
      </c>
      <c r="J8917">
        <v>25255</v>
      </c>
    </row>
    <row r="8918" spans="1:10" x14ac:dyDescent="0.3">
      <c r="A8918" t="s">
        <v>9045</v>
      </c>
      <c r="B8918" s="1">
        <v>45877</v>
      </c>
      <c r="C8918" t="s">
        <v>113</v>
      </c>
      <c r="D8918">
        <v>32</v>
      </c>
      <c r="E8918" t="s">
        <v>12</v>
      </c>
      <c r="F8918" t="s">
        <v>19</v>
      </c>
      <c r="G8918" t="s">
        <v>63</v>
      </c>
      <c r="H8918" t="s">
        <v>123</v>
      </c>
      <c r="I8918">
        <v>28948</v>
      </c>
      <c r="J8918">
        <v>31384</v>
      </c>
    </row>
    <row r="8919" spans="1:10" x14ac:dyDescent="0.3">
      <c r="A8919" t="s">
        <v>9046</v>
      </c>
      <c r="B8919" s="1">
        <v>45705</v>
      </c>
      <c r="C8919" t="s">
        <v>82</v>
      </c>
      <c r="D8919">
        <v>8</v>
      </c>
      <c r="E8919" t="s">
        <v>39</v>
      </c>
      <c r="F8919" t="s">
        <v>29</v>
      </c>
      <c r="G8919" t="s">
        <v>201</v>
      </c>
      <c r="H8919" t="s">
        <v>133</v>
      </c>
      <c r="I8919">
        <v>32796</v>
      </c>
      <c r="J8919">
        <v>35619</v>
      </c>
    </row>
    <row r="8920" spans="1:10" x14ac:dyDescent="0.3">
      <c r="A8920" t="s">
        <v>9047</v>
      </c>
      <c r="B8920" s="1">
        <v>45666</v>
      </c>
      <c r="C8920" t="s">
        <v>17</v>
      </c>
      <c r="D8920">
        <v>2</v>
      </c>
      <c r="E8920" t="s">
        <v>18</v>
      </c>
      <c r="F8920" t="s">
        <v>92</v>
      </c>
      <c r="G8920" t="s">
        <v>160</v>
      </c>
      <c r="H8920" t="s">
        <v>55</v>
      </c>
      <c r="I8920">
        <v>35476</v>
      </c>
      <c r="J8920">
        <v>43186</v>
      </c>
    </row>
    <row r="8921" spans="1:10" x14ac:dyDescent="0.3">
      <c r="A8921" t="s">
        <v>9048</v>
      </c>
      <c r="B8921" s="1">
        <v>45906</v>
      </c>
      <c r="C8921" t="s">
        <v>38</v>
      </c>
      <c r="D8921">
        <v>36</v>
      </c>
      <c r="E8921" t="s">
        <v>12</v>
      </c>
      <c r="F8921" t="s">
        <v>75</v>
      </c>
      <c r="G8921" t="s">
        <v>40</v>
      </c>
      <c r="H8921" t="s">
        <v>68</v>
      </c>
      <c r="I8921">
        <v>27515</v>
      </c>
      <c r="J8921">
        <v>23085</v>
      </c>
    </row>
    <row r="8922" spans="1:10" x14ac:dyDescent="0.3">
      <c r="A8922" t="s">
        <v>9049</v>
      </c>
      <c r="B8922" s="1">
        <v>45921</v>
      </c>
      <c r="C8922" t="s">
        <v>38</v>
      </c>
      <c r="D8922">
        <v>38</v>
      </c>
      <c r="E8922" t="s">
        <v>24</v>
      </c>
      <c r="F8922" t="s">
        <v>109</v>
      </c>
      <c r="G8922" t="s">
        <v>35</v>
      </c>
      <c r="H8922" t="s">
        <v>52</v>
      </c>
      <c r="I8922">
        <v>22150</v>
      </c>
      <c r="J8922">
        <v>26806</v>
      </c>
    </row>
    <row r="8923" spans="1:10" x14ac:dyDescent="0.3">
      <c r="A8923" t="s">
        <v>9050</v>
      </c>
      <c r="B8923" s="1">
        <v>45869</v>
      </c>
      <c r="C8923" t="s">
        <v>11</v>
      </c>
      <c r="D8923">
        <v>31</v>
      </c>
      <c r="E8923" t="s">
        <v>12</v>
      </c>
      <c r="F8923" t="s">
        <v>122</v>
      </c>
      <c r="G8923" t="s">
        <v>40</v>
      </c>
      <c r="H8923" t="s">
        <v>59</v>
      </c>
      <c r="I8923">
        <v>21269</v>
      </c>
      <c r="J8923">
        <v>19918</v>
      </c>
    </row>
    <row r="8924" spans="1:10" x14ac:dyDescent="0.3">
      <c r="A8924" t="s">
        <v>9051</v>
      </c>
      <c r="B8924" s="1">
        <v>45861</v>
      </c>
      <c r="C8924" t="s">
        <v>11</v>
      </c>
      <c r="D8924">
        <v>30</v>
      </c>
      <c r="E8924" t="s">
        <v>61</v>
      </c>
      <c r="F8924" t="s">
        <v>62</v>
      </c>
      <c r="G8924" t="s">
        <v>291</v>
      </c>
      <c r="H8924" t="s">
        <v>119</v>
      </c>
      <c r="I8924">
        <v>20077</v>
      </c>
      <c r="J8924">
        <v>15260</v>
      </c>
    </row>
    <row r="8925" spans="1:10" x14ac:dyDescent="0.3">
      <c r="A8925" t="s">
        <v>9052</v>
      </c>
      <c r="B8925" s="1">
        <v>45977</v>
      </c>
      <c r="C8925" t="s">
        <v>23</v>
      </c>
      <c r="D8925">
        <v>46</v>
      </c>
      <c r="E8925" t="s">
        <v>33</v>
      </c>
      <c r="F8925" t="s">
        <v>140</v>
      </c>
      <c r="G8925" t="s">
        <v>47</v>
      </c>
      <c r="H8925" t="s">
        <v>163</v>
      </c>
      <c r="I8925">
        <v>30935</v>
      </c>
      <c r="J8925">
        <v>34107</v>
      </c>
    </row>
    <row r="8926" spans="1:10" x14ac:dyDescent="0.3">
      <c r="A8926" t="s">
        <v>9053</v>
      </c>
      <c r="B8926" s="1">
        <v>45663</v>
      </c>
      <c r="C8926" t="s">
        <v>17</v>
      </c>
      <c r="D8926">
        <v>2</v>
      </c>
      <c r="E8926" t="s">
        <v>24</v>
      </c>
      <c r="F8926" t="s">
        <v>140</v>
      </c>
      <c r="G8926" t="s">
        <v>44</v>
      </c>
      <c r="H8926" t="s">
        <v>151</v>
      </c>
      <c r="I8926">
        <v>38874</v>
      </c>
      <c r="J8926">
        <v>31450</v>
      </c>
    </row>
    <row r="8927" spans="1:10" x14ac:dyDescent="0.3">
      <c r="A8927" t="s">
        <v>9054</v>
      </c>
      <c r="B8927" s="1">
        <v>45767</v>
      </c>
      <c r="C8927" t="s">
        <v>86</v>
      </c>
      <c r="D8927">
        <v>16</v>
      </c>
      <c r="E8927" t="s">
        <v>33</v>
      </c>
      <c r="F8927" t="s">
        <v>29</v>
      </c>
      <c r="G8927" t="s">
        <v>230</v>
      </c>
      <c r="H8927" t="s">
        <v>52</v>
      </c>
      <c r="I8927">
        <v>15600</v>
      </c>
      <c r="J8927">
        <v>17936</v>
      </c>
    </row>
    <row r="8928" spans="1:10" x14ac:dyDescent="0.3">
      <c r="A8928" t="s">
        <v>9055</v>
      </c>
      <c r="B8928" s="1">
        <v>45977</v>
      </c>
      <c r="C8928" t="s">
        <v>23</v>
      </c>
      <c r="D8928">
        <v>46</v>
      </c>
      <c r="E8928" t="s">
        <v>39</v>
      </c>
      <c r="F8928" t="s">
        <v>50</v>
      </c>
      <c r="G8928" t="s">
        <v>88</v>
      </c>
      <c r="H8928" t="s">
        <v>21</v>
      </c>
      <c r="I8928">
        <v>16340</v>
      </c>
      <c r="J8928">
        <v>21196</v>
      </c>
    </row>
    <row r="8929" spans="1:10" x14ac:dyDescent="0.3">
      <c r="A8929" t="s">
        <v>9056</v>
      </c>
      <c r="B8929" s="1">
        <v>45698</v>
      </c>
      <c r="C8929" t="s">
        <v>82</v>
      </c>
      <c r="D8929">
        <v>7</v>
      </c>
      <c r="E8929" t="s">
        <v>18</v>
      </c>
      <c r="F8929" t="s">
        <v>193</v>
      </c>
      <c r="G8929" t="s">
        <v>83</v>
      </c>
      <c r="H8929" t="s">
        <v>48</v>
      </c>
      <c r="I8929">
        <v>19425</v>
      </c>
      <c r="J8929">
        <v>14964</v>
      </c>
    </row>
    <row r="8930" spans="1:10" x14ac:dyDescent="0.3">
      <c r="A8930" t="s">
        <v>9057</v>
      </c>
      <c r="B8930" s="1">
        <v>45868</v>
      </c>
      <c r="C8930" t="s">
        <v>11</v>
      </c>
      <c r="D8930">
        <v>31</v>
      </c>
      <c r="E8930" t="s">
        <v>33</v>
      </c>
      <c r="F8930" t="s">
        <v>13</v>
      </c>
      <c r="G8930" t="s">
        <v>253</v>
      </c>
      <c r="H8930" t="s">
        <v>123</v>
      </c>
      <c r="I8930">
        <v>16979</v>
      </c>
      <c r="J8930">
        <v>12512</v>
      </c>
    </row>
    <row r="8931" spans="1:10" x14ac:dyDescent="0.3">
      <c r="A8931" t="s">
        <v>9058</v>
      </c>
      <c r="B8931" s="1">
        <v>45805</v>
      </c>
      <c r="C8931" t="s">
        <v>90</v>
      </c>
      <c r="D8931">
        <v>22</v>
      </c>
      <c r="E8931" t="s">
        <v>61</v>
      </c>
      <c r="F8931" t="s">
        <v>92</v>
      </c>
      <c r="G8931" t="s">
        <v>118</v>
      </c>
      <c r="H8931" t="s">
        <v>151</v>
      </c>
      <c r="I8931">
        <v>17120</v>
      </c>
      <c r="J8931">
        <v>17203</v>
      </c>
    </row>
    <row r="8932" spans="1:10" x14ac:dyDescent="0.3">
      <c r="A8932" t="s">
        <v>9059</v>
      </c>
      <c r="B8932" s="1">
        <v>45687</v>
      </c>
      <c r="C8932" t="s">
        <v>17</v>
      </c>
      <c r="D8932">
        <v>5</v>
      </c>
      <c r="E8932" t="s">
        <v>24</v>
      </c>
      <c r="F8932" t="s">
        <v>62</v>
      </c>
      <c r="G8932" t="s">
        <v>30</v>
      </c>
      <c r="H8932" t="s">
        <v>52</v>
      </c>
      <c r="I8932">
        <v>27528</v>
      </c>
      <c r="J8932">
        <v>27916</v>
      </c>
    </row>
    <row r="8933" spans="1:10" x14ac:dyDescent="0.3">
      <c r="A8933" t="s">
        <v>9060</v>
      </c>
      <c r="B8933" s="1">
        <v>45887</v>
      </c>
      <c r="C8933" t="s">
        <v>113</v>
      </c>
      <c r="D8933">
        <v>34</v>
      </c>
      <c r="E8933" t="s">
        <v>39</v>
      </c>
      <c r="F8933" t="s">
        <v>19</v>
      </c>
      <c r="G8933" t="s">
        <v>110</v>
      </c>
      <c r="H8933" t="s">
        <v>133</v>
      </c>
      <c r="I8933">
        <v>37085</v>
      </c>
      <c r="J8933">
        <v>34332</v>
      </c>
    </row>
    <row r="8934" spans="1:10" x14ac:dyDescent="0.3">
      <c r="A8934" t="s">
        <v>9061</v>
      </c>
      <c r="B8934" s="1">
        <v>45933</v>
      </c>
      <c r="C8934" t="s">
        <v>66</v>
      </c>
      <c r="D8934">
        <v>40</v>
      </c>
      <c r="E8934" t="s">
        <v>24</v>
      </c>
      <c r="F8934" t="s">
        <v>46</v>
      </c>
      <c r="G8934" t="s">
        <v>110</v>
      </c>
      <c r="H8934" t="s">
        <v>52</v>
      </c>
      <c r="I8934">
        <v>29786</v>
      </c>
      <c r="J8934">
        <v>33864</v>
      </c>
    </row>
    <row r="8935" spans="1:10" x14ac:dyDescent="0.3">
      <c r="A8935" t="s">
        <v>9062</v>
      </c>
      <c r="B8935" s="1">
        <v>45863</v>
      </c>
      <c r="C8935" t="s">
        <v>11</v>
      </c>
      <c r="D8935">
        <v>30</v>
      </c>
      <c r="E8935" t="s">
        <v>33</v>
      </c>
      <c r="F8935" t="s">
        <v>140</v>
      </c>
      <c r="G8935" t="s">
        <v>118</v>
      </c>
      <c r="H8935" t="s">
        <v>55</v>
      </c>
      <c r="I8935">
        <v>27262</v>
      </c>
      <c r="J8935">
        <v>29221</v>
      </c>
    </row>
    <row r="8936" spans="1:10" x14ac:dyDescent="0.3">
      <c r="A8936" t="s">
        <v>9063</v>
      </c>
      <c r="B8936" s="1">
        <v>45864</v>
      </c>
      <c r="C8936" t="s">
        <v>11</v>
      </c>
      <c r="D8936">
        <v>30</v>
      </c>
      <c r="E8936" t="s">
        <v>33</v>
      </c>
      <c r="F8936" t="s">
        <v>87</v>
      </c>
      <c r="G8936" t="s">
        <v>44</v>
      </c>
      <c r="H8936" t="s">
        <v>111</v>
      </c>
      <c r="I8936">
        <v>23071</v>
      </c>
      <c r="J8936">
        <v>26193</v>
      </c>
    </row>
    <row r="8937" spans="1:10" x14ac:dyDescent="0.3">
      <c r="A8937" t="s">
        <v>9064</v>
      </c>
      <c r="B8937" s="1">
        <v>45960</v>
      </c>
      <c r="C8937" t="s">
        <v>66</v>
      </c>
      <c r="D8937">
        <v>44</v>
      </c>
      <c r="E8937" t="s">
        <v>39</v>
      </c>
      <c r="F8937" t="s">
        <v>50</v>
      </c>
      <c r="G8937" t="s">
        <v>132</v>
      </c>
      <c r="H8937" t="s">
        <v>80</v>
      </c>
      <c r="I8937">
        <v>32863</v>
      </c>
      <c r="J8937">
        <v>36657</v>
      </c>
    </row>
    <row r="8938" spans="1:10" x14ac:dyDescent="0.3">
      <c r="A8938" t="s">
        <v>9065</v>
      </c>
      <c r="B8938" s="1">
        <v>45870</v>
      </c>
      <c r="C8938" t="s">
        <v>113</v>
      </c>
      <c r="D8938">
        <v>31</v>
      </c>
      <c r="E8938" t="s">
        <v>24</v>
      </c>
      <c r="F8938" t="s">
        <v>92</v>
      </c>
      <c r="G8938" t="s">
        <v>199</v>
      </c>
      <c r="H8938" t="s">
        <v>55</v>
      </c>
      <c r="I8938">
        <v>33567</v>
      </c>
      <c r="J8938">
        <v>37364</v>
      </c>
    </row>
    <row r="8939" spans="1:10" x14ac:dyDescent="0.3">
      <c r="A8939" t="s">
        <v>9066</v>
      </c>
      <c r="B8939" s="1">
        <v>45840</v>
      </c>
      <c r="C8939" t="s">
        <v>11</v>
      </c>
      <c r="D8939">
        <v>27</v>
      </c>
      <c r="E8939" t="s">
        <v>18</v>
      </c>
      <c r="F8939" t="s">
        <v>92</v>
      </c>
      <c r="G8939" t="s">
        <v>149</v>
      </c>
      <c r="H8939" t="s">
        <v>48</v>
      </c>
      <c r="I8939">
        <v>27482</v>
      </c>
      <c r="J8939">
        <v>27628</v>
      </c>
    </row>
    <row r="8940" spans="1:10" x14ac:dyDescent="0.3">
      <c r="A8940" t="s">
        <v>9067</v>
      </c>
      <c r="B8940" s="1">
        <v>45948</v>
      </c>
      <c r="C8940" t="s">
        <v>66</v>
      </c>
      <c r="D8940">
        <v>42</v>
      </c>
      <c r="E8940" t="s">
        <v>33</v>
      </c>
      <c r="F8940" t="s">
        <v>50</v>
      </c>
      <c r="G8940" t="s">
        <v>149</v>
      </c>
      <c r="H8940" t="s">
        <v>36</v>
      </c>
      <c r="I8940">
        <v>39381</v>
      </c>
      <c r="J8940">
        <v>29405</v>
      </c>
    </row>
    <row r="8941" spans="1:10" x14ac:dyDescent="0.3">
      <c r="A8941" t="s">
        <v>9068</v>
      </c>
      <c r="B8941" s="1">
        <v>45836</v>
      </c>
      <c r="C8941" t="s">
        <v>74</v>
      </c>
      <c r="D8941">
        <v>26</v>
      </c>
      <c r="E8941" t="s">
        <v>39</v>
      </c>
      <c r="F8941" t="s">
        <v>122</v>
      </c>
      <c r="G8941" t="s">
        <v>118</v>
      </c>
      <c r="H8941" t="s">
        <v>27</v>
      </c>
      <c r="I8941">
        <v>36034</v>
      </c>
      <c r="J8941">
        <v>43848</v>
      </c>
    </row>
    <row r="8942" spans="1:10" x14ac:dyDescent="0.3">
      <c r="A8942" t="s">
        <v>9069</v>
      </c>
      <c r="B8942" s="1">
        <v>45888</v>
      </c>
      <c r="C8942" t="s">
        <v>113</v>
      </c>
      <c r="D8942">
        <v>34</v>
      </c>
      <c r="E8942" t="s">
        <v>70</v>
      </c>
      <c r="F8942" t="s">
        <v>114</v>
      </c>
      <c r="G8942" t="s">
        <v>40</v>
      </c>
      <c r="H8942" t="s">
        <v>157</v>
      </c>
      <c r="I8942">
        <v>17482</v>
      </c>
      <c r="J8942">
        <v>13824</v>
      </c>
    </row>
    <row r="8943" spans="1:10" x14ac:dyDescent="0.3">
      <c r="A8943" t="s">
        <v>9070</v>
      </c>
      <c r="B8943" s="1">
        <v>45744</v>
      </c>
      <c r="C8943" t="s">
        <v>95</v>
      </c>
      <c r="D8943">
        <v>13</v>
      </c>
      <c r="E8943" t="s">
        <v>33</v>
      </c>
      <c r="F8943" t="s">
        <v>114</v>
      </c>
      <c r="G8943" t="s">
        <v>93</v>
      </c>
      <c r="H8943" t="s">
        <v>151</v>
      </c>
      <c r="I8943">
        <v>24195</v>
      </c>
      <c r="J8943">
        <v>22104</v>
      </c>
    </row>
    <row r="8944" spans="1:10" x14ac:dyDescent="0.3">
      <c r="A8944" t="s">
        <v>9071</v>
      </c>
      <c r="B8944" s="1">
        <v>45695</v>
      </c>
      <c r="C8944" t="s">
        <v>82</v>
      </c>
      <c r="D8944">
        <v>6</v>
      </c>
      <c r="E8944" t="s">
        <v>39</v>
      </c>
      <c r="F8944" t="s">
        <v>19</v>
      </c>
      <c r="G8944" t="s">
        <v>63</v>
      </c>
      <c r="H8944" t="s">
        <v>84</v>
      </c>
      <c r="I8944">
        <v>21534</v>
      </c>
      <c r="J8944">
        <v>18886</v>
      </c>
    </row>
    <row r="8945" spans="1:10" x14ac:dyDescent="0.3">
      <c r="A8945" t="s">
        <v>9072</v>
      </c>
      <c r="B8945" s="1">
        <v>45882</v>
      </c>
      <c r="C8945" t="s">
        <v>113</v>
      </c>
      <c r="D8945">
        <v>33</v>
      </c>
      <c r="E8945" t="s">
        <v>70</v>
      </c>
      <c r="F8945" t="s">
        <v>101</v>
      </c>
      <c r="G8945" t="s">
        <v>118</v>
      </c>
      <c r="H8945" t="s">
        <v>59</v>
      </c>
      <c r="I8945">
        <v>17133</v>
      </c>
      <c r="J8945">
        <v>20899</v>
      </c>
    </row>
    <row r="8946" spans="1:10" x14ac:dyDescent="0.3">
      <c r="A8946" t="s">
        <v>9073</v>
      </c>
      <c r="B8946" s="1">
        <v>45801</v>
      </c>
      <c r="C8946" t="s">
        <v>90</v>
      </c>
      <c r="D8946">
        <v>21</v>
      </c>
      <c r="E8946" t="s">
        <v>24</v>
      </c>
      <c r="F8946" t="s">
        <v>114</v>
      </c>
      <c r="G8946" t="s">
        <v>201</v>
      </c>
      <c r="H8946" t="s">
        <v>98</v>
      </c>
      <c r="I8946">
        <v>39774</v>
      </c>
      <c r="J8946">
        <v>32225</v>
      </c>
    </row>
    <row r="8947" spans="1:10" x14ac:dyDescent="0.3">
      <c r="A8947" t="s">
        <v>9074</v>
      </c>
      <c r="B8947" s="1">
        <v>45916</v>
      </c>
      <c r="C8947" t="s">
        <v>38</v>
      </c>
      <c r="D8947">
        <v>38</v>
      </c>
      <c r="E8947" t="s">
        <v>18</v>
      </c>
      <c r="F8947" t="s">
        <v>87</v>
      </c>
      <c r="G8947" t="s">
        <v>201</v>
      </c>
      <c r="H8947" t="s">
        <v>15</v>
      </c>
      <c r="I8947">
        <v>30224</v>
      </c>
      <c r="J8947">
        <v>32810</v>
      </c>
    </row>
    <row r="8948" spans="1:10" x14ac:dyDescent="0.3">
      <c r="A8948" t="s">
        <v>9075</v>
      </c>
      <c r="B8948" s="1">
        <v>45680</v>
      </c>
      <c r="C8948" t="s">
        <v>17</v>
      </c>
      <c r="D8948">
        <v>4</v>
      </c>
      <c r="E8948" t="s">
        <v>18</v>
      </c>
      <c r="F8948" t="s">
        <v>43</v>
      </c>
      <c r="G8948" t="s">
        <v>47</v>
      </c>
      <c r="H8948" t="s">
        <v>96</v>
      </c>
      <c r="I8948">
        <v>17346</v>
      </c>
      <c r="J8948">
        <v>20704</v>
      </c>
    </row>
    <row r="8949" spans="1:10" x14ac:dyDescent="0.3">
      <c r="A8949" t="s">
        <v>9076</v>
      </c>
      <c r="B8949" s="1">
        <v>45806</v>
      </c>
      <c r="C8949" t="s">
        <v>90</v>
      </c>
      <c r="D8949">
        <v>22</v>
      </c>
      <c r="E8949" t="s">
        <v>33</v>
      </c>
      <c r="F8949" t="s">
        <v>19</v>
      </c>
      <c r="G8949" t="s">
        <v>14</v>
      </c>
      <c r="H8949" t="s">
        <v>96</v>
      </c>
      <c r="I8949">
        <v>20131</v>
      </c>
      <c r="J8949">
        <v>15235</v>
      </c>
    </row>
    <row r="8950" spans="1:10" x14ac:dyDescent="0.3">
      <c r="A8950" t="s">
        <v>9077</v>
      </c>
      <c r="B8950" s="1">
        <v>45681</v>
      </c>
      <c r="C8950" t="s">
        <v>17</v>
      </c>
      <c r="D8950">
        <v>4</v>
      </c>
      <c r="E8950" t="s">
        <v>39</v>
      </c>
      <c r="F8950" t="s">
        <v>25</v>
      </c>
      <c r="G8950" t="s">
        <v>240</v>
      </c>
      <c r="H8950" t="s">
        <v>96</v>
      </c>
      <c r="I8950">
        <v>26881</v>
      </c>
      <c r="J8950">
        <v>22798</v>
      </c>
    </row>
    <row r="8951" spans="1:10" x14ac:dyDescent="0.3">
      <c r="A8951" t="s">
        <v>9078</v>
      </c>
      <c r="B8951" s="1">
        <v>45933</v>
      </c>
      <c r="C8951" t="s">
        <v>66</v>
      </c>
      <c r="D8951">
        <v>40</v>
      </c>
      <c r="E8951" t="s">
        <v>12</v>
      </c>
      <c r="F8951" t="s">
        <v>25</v>
      </c>
      <c r="G8951" t="s">
        <v>199</v>
      </c>
      <c r="H8951" t="s">
        <v>68</v>
      </c>
      <c r="I8951">
        <v>28656</v>
      </c>
      <c r="J8951">
        <v>28487</v>
      </c>
    </row>
    <row r="8952" spans="1:10" x14ac:dyDescent="0.3">
      <c r="A8952" t="s">
        <v>9079</v>
      </c>
      <c r="B8952" s="1">
        <v>45964</v>
      </c>
      <c r="C8952" t="s">
        <v>23</v>
      </c>
      <c r="D8952">
        <v>45</v>
      </c>
      <c r="E8952" t="s">
        <v>39</v>
      </c>
      <c r="F8952" t="s">
        <v>43</v>
      </c>
      <c r="G8952" t="s">
        <v>126</v>
      </c>
      <c r="H8952" t="s">
        <v>27</v>
      </c>
      <c r="I8952">
        <v>20028</v>
      </c>
      <c r="J8952">
        <v>19526</v>
      </c>
    </row>
    <row r="8953" spans="1:10" x14ac:dyDescent="0.3">
      <c r="A8953" t="s">
        <v>9080</v>
      </c>
      <c r="B8953" s="1">
        <v>45831</v>
      </c>
      <c r="C8953" t="s">
        <v>74</v>
      </c>
      <c r="D8953">
        <v>26</v>
      </c>
      <c r="E8953" t="s">
        <v>70</v>
      </c>
      <c r="F8953" t="s">
        <v>114</v>
      </c>
      <c r="G8953" t="s">
        <v>137</v>
      </c>
      <c r="H8953" t="s">
        <v>55</v>
      </c>
      <c r="I8953">
        <v>30739</v>
      </c>
      <c r="J8953">
        <v>29540</v>
      </c>
    </row>
    <row r="8954" spans="1:10" x14ac:dyDescent="0.3">
      <c r="A8954" t="s">
        <v>9081</v>
      </c>
      <c r="B8954" s="1">
        <v>45822</v>
      </c>
      <c r="C8954" t="s">
        <v>74</v>
      </c>
      <c r="D8954">
        <v>24</v>
      </c>
      <c r="E8954" t="s">
        <v>24</v>
      </c>
      <c r="F8954" t="s">
        <v>57</v>
      </c>
      <c r="G8954" t="s">
        <v>76</v>
      </c>
      <c r="H8954" t="s">
        <v>188</v>
      </c>
      <c r="I8954">
        <v>22358</v>
      </c>
      <c r="J8954">
        <v>28565</v>
      </c>
    </row>
    <row r="8955" spans="1:10" x14ac:dyDescent="0.3">
      <c r="A8955" t="s">
        <v>9082</v>
      </c>
      <c r="B8955" s="1">
        <v>45841</v>
      </c>
      <c r="C8955" t="s">
        <v>11</v>
      </c>
      <c r="D8955">
        <v>27</v>
      </c>
      <c r="E8955" t="s">
        <v>33</v>
      </c>
      <c r="F8955" t="s">
        <v>43</v>
      </c>
      <c r="G8955" t="s">
        <v>47</v>
      </c>
      <c r="H8955" t="s">
        <v>96</v>
      </c>
      <c r="I8955">
        <v>28363</v>
      </c>
      <c r="J8955">
        <v>33223</v>
      </c>
    </row>
    <row r="8956" spans="1:10" x14ac:dyDescent="0.3">
      <c r="A8956" t="s">
        <v>9083</v>
      </c>
      <c r="B8956" s="1">
        <v>45988</v>
      </c>
      <c r="C8956" t="s">
        <v>23</v>
      </c>
      <c r="D8956">
        <v>48</v>
      </c>
      <c r="E8956" t="s">
        <v>24</v>
      </c>
      <c r="F8956" t="s">
        <v>43</v>
      </c>
      <c r="G8956" t="s">
        <v>191</v>
      </c>
      <c r="H8956" t="s">
        <v>15</v>
      </c>
      <c r="I8956">
        <v>33165</v>
      </c>
      <c r="J8956">
        <v>43113</v>
      </c>
    </row>
    <row r="8957" spans="1:10" x14ac:dyDescent="0.3">
      <c r="A8957" t="s">
        <v>9084</v>
      </c>
      <c r="B8957" s="1">
        <v>45905</v>
      </c>
      <c r="C8957" t="s">
        <v>38</v>
      </c>
      <c r="D8957">
        <v>36</v>
      </c>
      <c r="E8957" t="s">
        <v>33</v>
      </c>
      <c r="F8957" t="s">
        <v>62</v>
      </c>
      <c r="G8957" t="s">
        <v>79</v>
      </c>
      <c r="H8957" t="s">
        <v>155</v>
      </c>
      <c r="I8957">
        <v>30273</v>
      </c>
      <c r="J8957">
        <v>38096</v>
      </c>
    </row>
    <row r="8958" spans="1:10" x14ac:dyDescent="0.3">
      <c r="A8958" t="s">
        <v>9085</v>
      </c>
      <c r="B8958" s="1">
        <v>45902</v>
      </c>
      <c r="C8958" t="s">
        <v>38</v>
      </c>
      <c r="D8958">
        <v>36</v>
      </c>
      <c r="E8958" t="s">
        <v>18</v>
      </c>
      <c r="F8958" t="s">
        <v>34</v>
      </c>
      <c r="G8958" t="s">
        <v>130</v>
      </c>
      <c r="H8958" t="s">
        <v>27</v>
      </c>
      <c r="I8958">
        <v>34959</v>
      </c>
      <c r="J8958">
        <v>43296</v>
      </c>
    </row>
    <row r="8959" spans="1:10" x14ac:dyDescent="0.3">
      <c r="A8959" t="s">
        <v>9086</v>
      </c>
      <c r="B8959" s="1">
        <v>45855</v>
      </c>
      <c r="C8959" t="s">
        <v>11</v>
      </c>
      <c r="D8959">
        <v>29</v>
      </c>
      <c r="E8959" t="s">
        <v>70</v>
      </c>
      <c r="F8959" t="s">
        <v>75</v>
      </c>
      <c r="G8959" t="s">
        <v>135</v>
      </c>
      <c r="H8959" t="s">
        <v>52</v>
      </c>
      <c r="I8959">
        <v>24797</v>
      </c>
      <c r="J8959">
        <v>24545</v>
      </c>
    </row>
    <row r="8960" spans="1:10" x14ac:dyDescent="0.3">
      <c r="A8960" t="s">
        <v>9087</v>
      </c>
      <c r="B8960" s="1">
        <v>46002</v>
      </c>
      <c r="C8960" t="s">
        <v>100</v>
      </c>
      <c r="D8960">
        <v>50</v>
      </c>
      <c r="E8960" t="s">
        <v>70</v>
      </c>
      <c r="F8960" t="s">
        <v>43</v>
      </c>
      <c r="G8960" t="s">
        <v>240</v>
      </c>
      <c r="H8960" t="s">
        <v>84</v>
      </c>
      <c r="I8960">
        <v>15841</v>
      </c>
      <c r="J8960">
        <v>12716</v>
      </c>
    </row>
    <row r="8961" spans="1:10" x14ac:dyDescent="0.3">
      <c r="A8961" t="s">
        <v>9088</v>
      </c>
      <c r="B8961" s="1">
        <v>45779</v>
      </c>
      <c r="C8961" t="s">
        <v>90</v>
      </c>
      <c r="D8961">
        <v>18</v>
      </c>
      <c r="E8961" t="s">
        <v>61</v>
      </c>
      <c r="F8961" t="s">
        <v>62</v>
      </c>
      <c r="G8961" t="s">
        <v>147</v>
      </c>
      <c r="H8961" t="s">
        <v>84</v>
      </c>
      <c r="I8961">
        <v>34131</v>
      </c>
      <c r="J8961">
        <v>41731</v>
      </c>
    </row>
    <row r="8962" spans="1:10" x14ac:dyDescent="0.3">
      <c r="A8962" t="s">
        <v>9089</v>
      </c>
      <c r="B8962" s="1">
        <v>45952</v>
      </c>
      <c r="C8962" t="s">
        <v>66</v>
      </c>
      <c r="D8962">
        <v>43</v>
      </c>
      <c r="E8962" t="s">
        <v>39</v>
      </c>
      <c r="F8962" t="s">
        <v>29</v>
      </c>
      <c r="G8962" t="s">
        <v>110</v>
      </c>
      <c r="H8962" t="s">
        <v>116</v>
      </c>
      <c r="I8962">
        <v>16080</v>
      </c>
      <c r="J8962">
        <v>17030</v>
      </c>
    </row>
    <row r="8963" spans="1:10" x14ac:dyDescent="0.3">
      <c r="A8963" t="s">
        <v>9090</v>
      </c>
      <c r="B8963" s="1">
        <v>45925</v>
      </c>
      <c r="C8963" t="s">
        <v>38</v>
      </c>
      <c r="D8963">
        <v>39</v>
      </c>
      <c r="E8963" t="s">
        <v>61</v>
      </c>
      <c r="F8963" t="s">
        <v>114</v>
      </c>
      <c r="G8963" t="s">
        <v>126</v>
      </c>
      <c r="H8963" t="s">
        <v>36</v>
      </c>
      <c r="I8963">
        <v>22840</v>
      </c>
      <c r="J8963">
        <v>28628</v>
      </c>
    </row>
    <row r="8964" spans="1:10" x14ac:dyDescent="0.3">
      <c r="A8964" t="s">
        <v>9091</v>
      </c>
      <c r="B8964" s="1">
        <v>45958</v>
      </c>
      <c r="C8964" t="s">
        <v>66</v>
      </c>
      <c r="D8964">
        <v>44</v>
      </c>
      <c r="E8964" t="s">
        <v>70</v>
      </c>
      <c r="F8964" t="s">
        <v>101</v>
      </c>
      <c r="G8964" t="s">
        <v>20</v>
      </c>
      <c r="H8964" t="s">
        <v>133</v>
      </c>
      <c r="I8964">
        <v>17317</v>
      </c>
      <c r="J8964">
        <v>12352</v>
      </c>
    </row>
    <row r="8965" spans="1:10" x14ac:dyDescent="0.3">
      <c r="A8965" t="s">
        <v>9092</v>
      </c>
      <c r="B8965" s="1">
        <v>45954</v>
      </c>
      <c r="C8965" t="s">
        <v>66</v>
      </c>
      <c r="D8965">
        <v>43</v>
      </c>
      <c r="E8965" t="s">
        <v>33</v>
      </c>
      <c r="F8965" t="s">
        <v>122</v>
      </c>
      <c r="G8965" t="s">
        <v>191</v>
      </c>
      <c r="H8965" t="s">
        <v>80</v>
      </c>
      <c r="I8965">
        <v>39171</v>
      </c>
      <c r="J8965">
        <v>41387</v>
      </c>
    </row>
    <row r="8966" spans="1:10" x14ac:dyDescent="0.3">
      <c r="A8966" t="s">
        <v>9093</v>
      </c>
      <c r="B8966" s="1">
        <v>45702</v>
      </c>
      <c r="C8966" t="s">
        <v>82</v>
      </c>
      <c r="D8966">
        <v>7</v>
      </c>
      <c r="E8966" t="s">
        <v>70</v>
      </c>
      <c r="F8966" t="s">
        <v>193</v>
      </c>
      <c r="G8966" t="s">
        <v>47</v>
      </c>
      <c r="H8966" t="s">
        <v>15</v>
      </c>
      <c r="I8966">
        <v>15967</v>
      </c>
      <c r="J8966">
        <v>18464</v>
      </c>
    </row>
    <row r="8967" spans="1:10" x14ac:dyDescent="0.3">
      <c r="A8967" t="s">
        <v>9094</v>
      </c>
      <c r="B8967" s="1">
        <v>45768</v>
      </c>
      <c r="C8967" t="s">
        <v>86</v>
      </c>
      <c r="D8967">
        <v>17</v>
      </c>
      <c r="E8967" t="s">
        <v>61</v>
      </c>
      <c r="F8967" t="s">
        <v>87</v>
      </c>
      <c r="G8967" t="s">
        <v>44</v>
      </c>
      <c r="H8967" t="s">
        <v>123</v>
      </c>
      <c r="I8967">
        <v>28979</v>
      </c>
      <c r="J8967">
        <v>35749</v>
      </c>
    </row>
    <row r="8968" spans="1:10" x14ac:dyDescent="0.3">
      <c r="A8968" t="s">
        <v>9095</v>
      </c>
      <c r="B8968" s="1">
        <v>45916</v>
      </c>
      <c r="C8968" t="s">
        <v>38</v>
      </c>
      <c r="D8968">
        <v>38</v>
      </c>
      <c r="E8968" t="s">
        <v>18</v>
      </c>
      <c r="F8968" t="s">
        <v>57</v>
      </c>
      <c r="G8968" t="s">
        <v>326</v>
      </c>
      <c r="H8968" t="s">
        <v>55</v>
      </c>
      <c r="I8968">
        <v>32876</v>
      </c>
      <c r="J8968">
        <v>33587</v>
      </c>
    </row>
    <row r="8969" spans="1:10" x14ac:dyDescent="0.3">
      <c r="A8969" t="s">
        <v>9096</v>
      </c>
      <c r="B8969" s="1">
        <v>45957</v>
      </c>
      <c r="C8969" t="s">
        <v>66</v>
      </c>
      <c r="D8969">
        <v>44</v>
      </c>
      <c r="E8969" t="s">
        <v>24</v>
      </c>
      <c r="F8969" t="s">
        <v>122</v>
      </c>
      <c r="G8969" t="s">
        <v>126</v>
      </c>
      <c r="H8969" t="s">
        <v>52</v>
      </c>
      <c r="I8969">
        <v>39254</v>
      </c>
      <c r="J8969">
        <v>49867</v>
      </c>
    </row>
    <row r="8970" spans="1:10" x14ac:dyDescent="0.3">
      <c r="A8970" t="s">
        <v>9097</v>
      </c>
      <c r="B8970" s="1">
        <v>46017</v>
      </c>
      <c r="C8970" t="s">
        <v>100</v>
      </c>
      <c r="D8970">
        <v>52</v>
      </c>
      <c r="E8970" t="s">
        <v>18</v>
      </c>
      <c r="F8970" t="s">
        <v>101</v>
      </c>
      <c r="G8970" t="s">
        <v>44</v>
      </c>
      <c r="H8970" t="s">
        <v>119</v>
      </c>
      <c r="I8970">
        <v>33901</v>
      </c>
      <c r="J8970">
        <v>40221</v>
      </c>
    </row>
    <row r="8971" spans="1:10" x14ac:dyDescent="0.3">
      <c r="A8971" t="s">
        <v>9098</v>
      </c>
      <c r="B8971" s="1">
        <v>45996</v>
      </c>
      <c r="C8971" t="s">
        <v>100</v>
      </c>
      <c r="D8971">
        <v>49</v>
      </c>
      <c r="E8971" t="s">
        <v>24</v>
      </c>
      <c r="F8971" t="s">
        <v>13</v>
      </c>
      <c r="G8971" t="s">
        <v>93</v>
      </c>
      <c r="H8971" t="s">
        <v>133</v>
      </c>
      <c r="I8971">
        <v>24948</v>
      </c>
      <c r="J8971">
        <v>22265</v>
      </c>
    </row>
    <row r="8972" spans="1:10" x14ac:dyDescent="0.3">
      <c r="A8972" t="s">
        <v>9099</v>
      </c>
      <c r="B8972" s="1">
        <v>45922</v>
      </c>
      <c r="C8972" t="s">
        <v>38</v>
      </c>
      <c r="D8972">
        <v>39</v>
      </c>
      <c r="E8972" t="s">
        <v>12</v>
      </c>
      <c r="F8972" t="s">
        <v>19</v>
      </c>
      <c r="G8972" t="s">
        <v>132</v>
      </c>
      <c r="H8972" t="s">
        <v>211</v>
      </c>
      <c r="I8972">
        <v>35113</v>
      </c>
      <c r="J8972">
        <v>41894</v>
      </c>
    </row>
    <row r="8973" spans="1:10" x14ac:dyDescent="0.3">
      <c r="A8973" t="s">
        <v>9100</v>
      </c>
      <c r="B8973" s="1">
        <v>45982</v>
      </c>
      <c r="C8973" t="s">
        <v>23</v>
      </c>
      <c r="D8973">
        <v>47</v>
      </c>
      <c r="E8973" t="s">
        <v>24</v>
      </c>
      <c r="F8973" t="s">
        <v>101</v>
      </c>
      <c r="G8973" t="s">
        <v>199</v>
      </c>
      <c r="H8973" t="s">
        <v>59</v>
      </c>
      <c r="I8973">
        <v>16102</v>
      </c>
      <c r="J8973">
        <v>16106</v>
      </c>
    </row>
    <row r="8974" spans="1:10" x14ac:dyDescent="0.3">
      <c r="A8974" t="s">
        <v>9101</v>
      </c>
      <c r="B8974" s="1">
        <v>45942</v>
      </c>
      <c r="C8974" t="s">
        <v>66</v>
      </c>
      <c r="D8974">
        <v>41</v>
      </c>
      <c r="E8974" t="s">
        <v>18</v>
      </c>
      <c r="F8974" t="s">
        <v>29</v>
      </c>
      <c r="G8974" t="s">
        <v>291</v>
      </c>
      <c r="H8974" t="s">
        <v>80</v>
      </c>
      <c r="I8974">
        <v>18604</v>
      </c>
      <c r="J8974">
        <v>23971</v>
      </c>
    </row>
    <row r="8975" spans="1:10" x14ac:dyDescent="0.3">
      <c r="A8975" t="s">
        <v>9102</v>
      </c>
      <c r="B8975" s="1">
        <v>45884</v>
      </c>
      <c r="C8975" t="s">
        <v>113</v>
      </c>
      <c r="D8975">
        <v>33</v>
      </c>
      <c r="E8975" t="s">
        <v>61</v>
      </c>
      <c r="F8975" t="s">
        <v>43</v>
      </c>
      <c r="G8975" t="s">
        <v>93</v>
      </c>
      <c r="H8975" t="s">
        <v>133</v>
      </c>
      <c r="I8975">
        <v>20547</v>
      </c>
      <c r="J8975">
        <v>20100</v>
      </c>
    </row>
    <row r="8976" spans="1:10" x14ac:dyDescent="0.3">
      <c r="A8976" t="s">
        <v>9103</v>
      </c>
      <c r="B8976" s="1">
        <v>45686</v>
      </c>
      <c r="C8976" t="s">
        <v>17</v>
      </c>
      <c r="D8976">
        <v>5</v>
      </c>
      <c r="E8976" t="s">
        <v>39</v>
      </c>
      <c r="F8976" t="s">
        <v>109</v>
      </c>
      <c r="G8976" t="s">
        <v>110</v>
      </c>
      <c r="H8976" t="s">
        <v>31</v>
      </c>
      <c r="I8976">
        <v>37107</v>
      </c>
      <c r="J8976">
        <v>33510</v>
      </c>
    </row>
    <row r="8977" spans="1:10" x14ac:dyDescent="0.3">
      <c r="A8977" t="s">
        <v>9104</v>
      </c>
      <c r="B8977" s="1">
        <v>46014</v>
      </c>
      <c r="C8977" t="s">
        <v>100</v>
      </c>
      <c r="D8977">
        <v>52</v>
      </c>
      <c r="E8977" t="s">
        <v>70</v>
      </c>
      <c r="F8977" t="s">
        <v>140</v>
      </c>
      <c r="G8977" t="s">
        <v>182</v>
      </c>
      <c r="H8977" t="s">
        <v>155</v>
      </c>
      <c r="I8977">
        <v>28231</v>
      </c>
      <c r="J8977">
        <v>29120</v>
      </c>
    </row>
    <row r="8978" spans="1:10" x14ac:dyDescent="0.3">
      <c r="A8978" t="s">
        <v>9105</v>
      </c>
      <c r="B8978" s="1">
        <v>45794</v>
      </c>
      <c r="C8978" t="s">
        <v>90</v>
      </c>
      <c r="D8978">
        <v>20</v>
      </c>
      <c r="E8978" t="s">
        <v>33</v>
      </c>
      <c r="F8978" t="s">
        <v>62</v>
      </c>
      <c r="G8978" t="s">
        <v>40</v>
      </c>
      <c r="H8978" t="s">
        <v>27</v>
      </c>
      <c r="I8978">
        <v>37520</v>
      </c>
      <c r="J8978">
        <v>28285</v>
      </c>
    </row>
    <row r="8979" spans="1:10" x14ac:dyDescent="0.3">
      <c r="A8979" t="s">
        <v>9106</v>
      </c>
      <c r="B8979" s="1">
        <v>45821</v>
      </c>
      <c r="C8979" t="s">
        <v>74</v>
      </c>
      <c r="D8979">
        <v>24</v>
      </c>
      <c r="E8979" t="s">
        <v>18</v>
      </c>
      <c r="F8979" t="s">
        <v>75</v>
      </c>
      <c r="G8979" t="s">
        <v>132</v>
      </c>
      <c r="H8979" t="s">
        <v>111</v>
      </c>
      <c r="I8979">
        <v>20966</v>
      </c>
      <c r="J8979">
        <v>17496</v>
      </c>
    </row>
    <row r="8980" spans="1:10" x14ac:dyDescent="0.3">
      <c r="A8980" t="s">
        <v>9107</v>
      </c>
      <c r="B8980" s="1">
        <v>45987</v>
      </c>
      <c r="C8980" t="s">
        <v>23</v>
      </c>
      <c r="D8980">
        <v>48</v>
      </c>
      <c r="E8980" t="s">
        <v>18</v>
      </c>
      <c r="F8980" t="s">
        <v>114</v>
      </c>
      <c r="G8980" t="s">
        <v>76</v>
      </c>
      <c r="H8980" t="s">
        <v>15</v>
      </c>
      <c r="I8980">
        <v>37530</v>
      </c>
      <c r="J8980">
        <v>33553</v>
      </c>
    </row>
    <row r="8981" spans="1:10" x14ac:dyDescent="0.3">
      <c r="A8981" t="s">
        <v>9108</v>
      </c>
      <c r="B8981" s="1">
        <v>45942</v>
      </c>
      <c r="C8981" t="s">
        <v>66</v>
      </c>
      <c r="D8981">
        <v>41</v>
      </c>
      <c r="E8981" t="s">
        <v>39</v>
      </c>
      <c r="F8981" t="s">
        <v>34</v>
      </c>
      <c r="G8981" t="s">
        <v>20</v>
      </c>
      <c r="H8981" t="s">
        <v>27</v>
      </c>
      <c r="I8981">
        <v>38378</v>
      </c>
      <c r="J8981">
        <v>34453</v>
      </c>
    </row>
    <row r="8982" spans="1:10" x14ac:dyDescent="0.3">
      <c r="A8982" t="s">
        <v>9109</v>
      </c>
      <c r="B8982" s="1">
        <v>45697</v>
      </c>
      <c r="C8982" t="s">
        <v>82</v>
      </c>
      <c r="D8982">
        <v>6</v>
      </c>
      <c r="E8982" t="s">
        <v>33</v>
      </c>
      <c r="F8982" t="s">
        <v>62</v>
      </c>
      <c r="G8982" t="s">
        <v>126</v>
      </c>
      <c r="H8982" t="s">
        <v>55</v>
      </c>
      <c r="I8982">
        <v>30382</v>
      </c>
      <c r="J8982">
        <v>30932</v>
      </c>
    </row>
    <row r="8983" spans="1:10" x14ac:dyDescent="0.3">
      <c r="A8983" t="s">
        <v>9110</v>
      </c>
      <c r="B8983" s="1">
        <v>45687</v>
      </c>
      <c r="C8983" t="s">
        <v>17</v>
      </c>
      <c r="D8983">
        <v>5</v>
      </c>
      <c r="E8983" t="s">
        <v>39</v>
      </c>
      <c r="F8983" t="s">
        <v>46</v>
      </c>
      <c r="G8983" t="s">
        <v>30</v>
      </c>
      <c r="H8983" t="s">
        <v>155</v>
      </c>
      <c r="I8983">
        <v>21285</v>
      </c>
      <c r="J8983">
        <v>21053</v>
      </c>
    </row>
    <row r="8984" spans="1:10" x14ac:dyDescent="0.3">
      <c r="A8984" t="s">
        <v>9111</v>
      </c>
      <c r="B8984" s="1">
        <v>45924</v>
      </c>
      <c r="C8984" t="s">
        <v>38</v>
      </c>
      <c r="D8984">
        <v>39</v>
      </c>
      <c r="E8984" t="s">
        <v>61</v>
      </c>
      <c r="F8984" t="s">
        <v>25</v>
      </c>
      <c r="G8984" t="s">
        <v>20</v>
      </c>
      <c r="H8984" t="s">
        <v>163</v>
      </c>
      <c r="I8984">
        <v>35114</v>
      </c>
      <c r="J8984">
        <v>32985</v>
      </c>
    </row>
    <row r="8985" spans="1:10" x14ac:dyDescent="0.3">
      <c r="A8985" t="s">
        <v>9112</v>
      </c>
      <c r="B8985" s="1">
        <v>45668</v>
      </c>
      <c r="C8985" t="s">
        <v>17</v>
      </c>
      <c r="D8985">
        <v>2</v>
      </c>
      <c r="E8985" t="s">
        <v>61</v>
      </c>
      <c r="F8985" t="s">
        <v>92</v>
      </c>
      <c r="G8985" t="s">
        <v>266</v>
      </c>
      <c r="H8985" t="s">
        <v>31</v>
      </c>
      <c r="I8985">
        <v>18714</v>
      </c>
      <c r="J8985">
        <v>20061</v>
      </c>
    </row>
    <row r="8986" spans="1:10" x14ac:dyDescent="0.3">
      <c r="A8986" t="s">
        <v>9113</v>
      </c>
      <c r="B8986" s="1">
        <v>45680</v>
      </c>
      <c r="C8986" t="s">
        <v>17</v>
      </c>
      <c r="D8986">
        <v>4</v>
      </c>
      <c r="E8986" t="s">
        <v>24</v>
      </c>
      <c r="F8986" t="s">
        <v>92</v>
      </c>
      <c r="G8986" t="s">
        <v>88</v>
      </c>
      <c r="H8986" t="s">
        <v>119</v>
      </c>
      <c r="I8986">
        <v>36170</v>
      </c>
      <c r="J8986">
        <v>32374</v>
      </c>
    </row>
    <row r="8987" spans="1:10" x14ac:dyDescent="0.3">
      <c r="A8987" t="s">
        <v>9114</v>
      </c>
      <c r="B8987" s="1">
        <v>45660</v>
      </c>
      <c r="C8987" t="s">
        <v>17</v>
      </c>
      <c r="D8987">
        <v>1</v>
      </c>
      <c r="E8987" t="s">
        <v>12</v>
      </c>
      <c r="F8987" t="s">
        <v>114</v>
      </c>
      <c r="G8987" t="s">
        <v>201</v>
      </c>
      <c r="H8987" t="s">
        <v>133</v>
      </c>
      <c r="I8987">
        <v>39764</v>
      </c>
      <c r="J8987">
        <v>47277</v>
      </c>
    </row>
    <row r="8988" spans="1:10" x14ac:dyDescent="0.3">
      <c r="A8988" t="s">
        <v>9115</v>
      </c>
      <c r="B8988" s="1">
        <v>45691</v>
      </c>
      <c r="C8988" t="s">
        <v>82</v>
      </c>
      <c r="D8988">
        <v>6</v>
      </c>
      <c r="E8988" t="s">
        <v>33</v>
      </c>
      <c r="F8988" t="s">
        <v>62</v>
      </c>
      <c r="G8988" t="s">
        <v>76</v>
      </c>
      <c r="H8988" t="s">
        <v>188</v>
      </c>
      <c r="I8988">
        <v>38281</v>
      </c>
      <c r="J8988">
        <v>29995</v>
      </c>
    </row>
    <row r="8989" spans="1:10" x14ac:dyDescent="0.3">
      <c r="A8989" t="s">
        <v>9116</v>
      </c>
      <c r="B8989" s="1">
        <v>45966</v>
      </c>
      <c r="C8989" t="s">
        <v>23</v>
      </c>
      <c r="D8989">
        <v>45</v>
      </c>
      <c r="E8989" t="s">
        <v>33</v>
      </c>
      <c r="F8989" t="s">
        <v>193</v>
      </c>
      <c r="G8989" t="s">
        <v>291</v>
      </c>
      <c r="H8989" t="s">
        <v>96</v>
      </c>
      <c r="I8989">
        <v>33061</v>
      </c>
      <c r="J8989">
        <v>38464</v>
      </c>
    </row>
    <row r="8990" spans="1:10" x14ac:dyDescent="0.3">
      <c r="A8990" t="s">
        <v>9117</v>
      </c>
      <c r="B8990" s="1">
        <v>45903</v>
      </c>
      <c r="C8990" t="s">
        <v>38</v>
      </c>
      <c r="D8990">
        <v>36</v>
      </c>
      <c r="E8990" t="s">
        <v>12</v>
      </c>
      <c r="F8990" t="s">
        <v>92</v>
      </c>
      <c r="G8990" t="s">
        <v>240</v>
      </c>
      <c r="H8990" t="s">
        <v>133</v>
      </c>
      <c r="I8990">
        <v>32428</v>
      </c>
      <c r="J8990">
        <v>40378</v>
      </c>
    </row>
    <row r="8991" spans="1:10" x14ac:dyDescent="0.3">
      <c r="A8991" t="s">
        <v>9118</v>
      </c>
      <c r="B8991" s="1">
        <v>45783</v>
      </c>
      <c r="C8991" t="s">
        <v>90</v>
      </c>
      <c r="D8991">
        <v>19</v>
      </c>
      <c r="E8991" t="s">
        <v>24</v>
      </c>
      <c r="F8991" t="s">
        <v>29</v>
      </c>
      <c r="G8991" t="s">
        <v>230</v>
      </c>
      <c r="H8991" t="s">
        <v>59</v>
      </c>
      <c r="I8991">
        <v>21154</v>
      </c>
      <c r="J8991">
        <v>24723</v>
      </c>
    </row>
    <row r="8992" spans="1:10" x14ac:dyDescent="0.3">
      <c r="A8992" t="s">
        <v>9119</v>
      </c>
      <c r="B8992" s="1">
        <v>45944</v>
      </c>
      <c r="C8992" t="s">
        <v>66</v>
      </c>
      <c r="D8992">
        <v>42</v>
      </c>
      <c r="E8992" t="s">
        <v>70</v>
      </c>
      <c r="F8992" t="s">
        <v>19</v>
      </c>
      <c r="G8992" t="s">
        <v>253</v>
      </c>
      <c r="H8992" t="s">
        <v>151</v>
      </c>
      <c r="I8992">
        <v>15041</v>
      </c>
      <c r="J8992">
        <v>12959</v>
      </c>
    </row>
    <row r="8993" spans="1:10" x14ac:dyDescent="0.3">
      <c r="A8993" t="s">
        <v>9120</v>
      </c>
      <c r="B8993" s="1">
        <v>46021</v>
      </c>
      <c r="C8993" t="s">
        <v>100</v>
      </c>
      <c r="D8993">
        <v>1</v>
      </c>
      <c r="E8993" t="s">
        <v>61</v>
      </c>
      <c r="F8993" t="s">
        <v>140</v>
      </c>
      <c r="G8993" t="s">
        <v>63</v>
      </c>
      <c r="H8993" t="s">
        <v>151</v>
      </c>
      <c r="I8993">
        <v>18319</v>
      </c>
      <c r="J8993">
        <v>20662</v>
      </c>
    </row>
    <row r="8994" spans="1:10" x14ac:dyDescent="0.3">
      <c r="A8994" t="s">
        <v>9121</v>
      </c>
      <c r="B8994" s="1">
        <v>45802</v>
      </c>
      <c r="C8994" t="s">
        <v>90</v>
      </c>
      <c r="D8994">
        <v>21</v>
      </c>
      <c r="E8994" t="s">
        <v>18</v>
      </c>
      <c r="F8994" t="s">
        <v>57</v>
      </c>
      <c r="G8994" t="s">
        <v>40</v>
      </c>
      <c r="H8994" t="s">
        <v>59</v>
      </c>
      <c r="I8994">
        <v>30393</v>
      </c>
      <c r="J8994">
        <v>35169</v>
      </c>
    </row>
    <row r="8995" spans="1:10" x14ac:dyDescent="0.3">
      <c r="A8995" t="s">
        <v>9122</v>
      </c>
      <c r="B8995" s="1">
        <v>45710</v>
      </c>
      <c r="C8995" t="s">
        <v>82</v>
      </c>
      <c r="D8995">
        <v>8</v>
      </c>
      <c r="E8995" t="s">
        <v>24</v>
      </c>
      <c r="F8995" t="s">
        <v>46</v>
      </c>
      <c r="G8995" t="s">
        <v>110</v>
      </c>
      <c r="H8995" t="s">
        <v>21</v>
      </c>
      <c r="I8995">
        <v>31792</v>
      </c>
      <c r="J8995">
        <v>22810</v>
      </c>
    </row>
    <row r="8996" spans="1:10" x14ac:dyDescent="0.3">
      <c r="A8996" t="s">
        <v>9123</v>
      </c>
      <c r="B8996" s="1">
        <v>45718</v>
      </c>
      <c r="C8996" t="s">
        <v>95</v>
      </c>
      <c r="D8996">
        <v>9</v>
      </c>
      <c r="E8996" t="s">
        <v>39</v>
      </c>
      <c r="F8996" t="s">
        <v>13</v>
      </c>
      <c r="G8996" t="s">
        <v>35</v>
      </c>
      <c r="H8996" t="s">
        <v>165</v>
      </c>
      <c r="I8996">
        <v>38606</v>
      </c>
      <c r="J8996">
        <v>37269</v>
      </c>
    </row>
    <row r="8997" spans="1:10" x14ac:dyDescent="0.3">
      <c r="A8997" t="s">
        <v>9124</v>
      </c>
      <c r="B8997" s="1">
        <v>45911</v>
      </c>
      <c r="C8997" t="s">
        <v>38</v>
      </c>
      <c r="D8997">
        <v>37</v>
      </c>
      <c r="E8997" t="s">
        <v>33</v>
      </c>
      <c r="F8997" t="s">
        <v>29</v>
      </c>
      <c r="G8997" t="s">
        <v>76</v>
      </c>
      <c r="H8997" t="s">
        <v>157</v>
      </c>
      <c r="I8997">
        <v>39907</v>
      </c>
      <c r="J8997">
        <v>40775</v>
      </c>
    </row>
    <row r="8998" spans="1:10" x14ac:dyDescent="0.3">
      <c r="A8998" t="s">
        <v>9125</v>
      </c>
      <c r="B8998" s="1">
        <v>45955</v>
      </c>
      <c r="C8998" t="s">
        <v>66</v>
      </c>
      <c r="D8998">
        <v>43</v>
      </c>
      <c r="E8998" t="s">
        <v>12</v>
      </c>
      <c r="F8998" t="s">
        <v>87</v>
      </c>
      <c r="G8998" t="s">
        <v>14</v>
      </c>
      <c r="H8998" t="s">
        <v>123</v>
      </c>
      <c r="I8998">
        <v>36996</v>
      </c>
      <c r="J8998">
        <v>27358</v>
      </c>
    </row>
    <row r="8999" spans="1:10" x14ac:dyDescent="0.3">
      <c r="A8999" t="s">
        <v>9126</v>
      </c>
      <c r="B8999" s="1">
        <v>45690</v>
      </c>
      <c r="C8999" t="s">
        <v>82</v>
      </c>
      <c r="D8999">
        <v>5</v>
      </c>
      <c r="E8999" t="s">
        <v>18</v>
      </c>
      <c r="F8999" t="s">
        <v>114</v>
      </c>
      <c r="G8999" t="s">
        <v>26</v>
      </c>
      <c r="H8999" t="s">
        <v>116</v>
      </c>
      <c r="I8999">
        <v>17684</v>
      </c>
      <c r="J8999">
        <v>12712</v>
      </c>
    </row>
    <row r="9000" spans="1:10" x14ac:dyDescent="0.3">
      <c r="A9000" t="s">
        <v>9127</v>
      </c>
      <c r="B9000" s="1">
        <v>45939</v>
      </c>
      <c r="C9000" t="s">
        <v>66</v>
      </c>
      <c r="D9000">
        <v>41</v>
      </c>
      <c r="E9000" t="s">
        <v>33</v>
      </c>
      <c r="F9000" t="s">
        <v>140</v>
      </c>
      <c r="G9000" t="s">
        <v>26</v>
      </c>
      <c r="H9000" t="s">
        <v>243</v>
      </c>
      <c r="I9000">
        <v>19671</v>
      </c>
      <c r="J9000">
        <v>20085</v>
      </c>
    </row>
    <row r="9001" spans="1:10" x14ac:dyDescent="0.3">
      <c r="A9001" t="s">
        <v>9128</v>
      </c>
      <c r="B9001" s="1">
        <v>45841</v>
      </c>
      <c r="C9001" t="s">
        <v>11</v>
      </c>
      <c r="D9001">
        <v>27</v>
      </c>
      <c r="E9001" t="s">
        <v>18</v>
      </c>
      <c r="F9001" t="s">
        <v>19</v>
      </c>
      <c r="G9001" t="s">
        <v>182</v>
      </c>
      <c r="H9001" t="s">
        <v>41</v>
      </c>
      <c r="I9001">
        <v>30036</v>
      </c>
      <c r="J9001">
        <v>25228</v>
      </c>
    </row>
    <row r="9002" spans="1:10" x14ac:dyDescent="0.3">
      <c r="A9002" t="s">
        <v>9129</v>
      </c>
      <c r="B9002" s="1">
        <v>45837</v>
      </c>
      <c r="C9002" t="s">
        <v>74</v>
      </c>
      <c r="D9002">
        <v>26</v>
      </c>
      <c r="E9002" t="s">
        <v>24</v>
      </c>
      <c r="F9002" t="s">
        <v>122</v>
      </c>
      <c r="G9002" t="s">
        <v>266</v>
      </c>
      <c r="H9002" t="s">
        <v>103</v>
      </c>
      <c r="I9002">
        <v>29002</v>
      </c>
      <c r="J9002">
        <v>20389</v>
      </c>
    </row>
    <row r="9003" spans="1:10" x14ac:dyDescent="0.3">
      <c r="A9003" t="s">
        <v>9130</v>
      </c>
      <c r="B9003" s="1">
        <v>45868</v>
      </c>
      <c r="C9003" t="s">
        <v>11</v>
      </c>
      <c r="D9003">
        <v>31</v>
      </c>
      <c r="E9003" t="s">
        <v>39</v>
      </c>
      <c r="F9003" t="s">
        <v>101</v>
      </c>
      <c r="G9003" t="s">
        <v>35</v>
      </c>
      <c r="H9003" t="s">
        <v>123</v>
      </c>
      <c r="I9003">
        <v>25161</v>
      </c>
      <c r="J9003">
        <v>23656</v>
      </c>
    </row>
    <row r="9004" spans="1:10" x14ac:dyDescent="0.3">
      <c r="A9004" t="s">
        <v>9131</v>
      </c>
      <c r="B9004" s="1">
        <v>45912</v>
      </c>
      <c r="C9004" t="s">
        <v>38</v>
      </c>
      <c r="D9004">
        <v>37</v>
      </c>
      <c r="E9004" t="s">
        <v>24</v>
      </c>
      <c r="F9004" t="s">
        <v>140</v>
      </c>
      <c r="G9004" t="s">
        <v>201</v>
      </c>
      <c r="H9004" t="s">
        <v>155</v>
      </c>
      <c r="I9004">
        <v>21054</v>
      </c>
      <c r="J9004">
        <v>21805</v>
      </c>
    </row>
    <row r="9005" spans="1:10" x14ac:dyDescent="0.3">
      <c r="A9005" t="s">
        <v>9132</v>
      </c>
      <c r="B9005" s="1">
        <v>45875</v>
      </c>
      <c r="C9005" t="s">
        <v>113</v>
      </c>
      <c r="D9005">
        <v>32</v>
      </c>
      <c r="E9005" t="s">
        <v>24</v>
      </c>
      <c r="F9005" t="s">
        <v>101</v>
      </c>
      <c r="G9005" t="s">
        <v>191</v>
      </c>
      <c r="H9005" t="s">
        <v>48</v>
      </c>
      <c r="I9005">
        <v>23621</v>
      </c>
      <c r="J9005">
        <v>27534</v>
      </c>
    </row>
    <row r="9006" spans="1:10" x14ac:dyDescent="0.3">
      <c r="A9006" t="s">
        <v>9133</v>
      </c>
      <c r="B9006" s="1">
        <v>45695</v>
      </c>
      <c r="C9006" t="s">
        <v>82</v>
      </c>
      <c r="D9006">
        <v>6</v>
      </c>
      <c r="E9006" t="s">
        <v>33</v>
      </c>
      <c r="F9006" t="s">
        <v>62</v>
      </c>
      <c r="G9006" t="s">
        <v>51</v>
      </c>
      <c r="H9006" t="s">
        <v>68</v>
      </c>
      <c r="I9006">
        <v>28135</v>
      </c>
      <c r="J9006">
        <v>28876</v>
      </c>
    </row>
    <row r="9007" spans="1:10" x14ac:dyDescent="0.3">
      <c r="A9007" t="s">
        <v>9134</v>
      </c>
      <c r="B9007" s="1">
        <v>45737</v>
      </c>
      <c r="C9007" t="s">
        <v>95</v>
      </c>
      <c r="D9007">
        <v>12</v>
      </c>
      <c r="E9007" t="s">
        <v>61</v>
      </c>
      <c r="F9007" t="s">
        <v>87</v>
      </c>
      <c r="G9007" t="s">
        <v>20</v>
      </c>
      <c r="H9007" t="s">
        <v>103</v>
      </c>
      <c r="I9007">
        <v>18915</v>
      </c>
      <c r="J9007">
        <v>23046</v>
      </c>
    </row>
    <row r="9008" spans="1:10" x14ac:dyDescent="0.3">
      <c r="A9008" t="s">
        <v>9135</v>
      </c>
      <c r="B9008" s="1">
        <v>45951</v>
      </c>
      <c r="C9008" t="s">
        <v>66</v>
      </c>
      <c r="D9008">
        <v>43</v>
      </c>
      <c r="E9008" t="s">
        <v>61</v>
      </c>
      <c r="F9008" t="s">
        <v>193</v>
      </c>
      <c r="G9008" t="s">
        <v>182</v>
      </c>
      <c r="H9008" t="s">
        <v>188</v>
      </c>
      <c r="I9008">
        <v>20724</v>
      </c>
      <c r="J9008">
        <v>22952</v>
      </c>
    </row>
    <row r="9009" spans="1:10" x14ac:dyDescent="0.3">
      <c r="A9009" t="s">
        <v>9136</v>
      </c>
      <c r="B9009" s="1">
        <v>45869</v>
      </c>
      <c r="C9009" t="s">
        <v>11</v>
      </c>
      <c r="D9009">
        <v>31</v>
      </c>
      <c r="E9009" t="s">
        <v>24</v>
      </c>
      <c r="F9009" t="s">
        <v>25</v>
      </c>
      <c r="G9009" t="s">
        <v>110</v>
      </c>
      <c r="H9009" t="s">
        <v>84</v>
      </c>
      <c r="I9009">
        <v>22390</v>
      </c>
      <c r="J9009">
        <v>26635</v>
      </c>
    </row>
    <row r="9010" spans="1:10" x14ac:dyDescent="0.3">
      <c r="A9010" t="s">
        <v>9137</v>
      </c>
      <c r="B9010" s="1">
        <v>45880</v>
      </c>
      <c r="C9010" t="s">
        <v>113</v>
      </c>
      <c r="D9010">
        <v>33</v>
      </c>
      <c r="E9010" t="s">
        <v>70</v>
      </c>
      <c r="F9010" t="s">
        <v>46</v>
      </c>
      <c r="G9010" t="s">
        <v>67</v>
      </c>
      <c r="H9010" t="s">
        <v>119</v>
      </c>
      <c r="I9010">
        <v>25190</v>
      </c>
      <c r="J9010">
        <v>28636</v>
      </c>
    </row>
    <row r="9011" spans="1:10" x14ac:dyDescent="0.3">
      <c r="A9011" t="s">
        <v>9138</v>
      </c>
      <c r="B9011" s="1">
        <v>45675</v>
      </c>
      <c r="C9011" t="s">
        <v>17</v>
      </c>
      <c r="D9011">
        <v>3</v>
      </c>
      <c r="E9011" t="s">
        <v>18</v>
      </c>
      <c r="F9011" t="s">
        <v>193</v>
      </c>
      <c r="G9011" t="s">
        <v>47</v>
      </c>
      <c r="H9011" t="s">
        <v>84</v>
      </c>
      <c r="I9011">
        <v>38548</v>
      </c>
      <c r="J9011">
        <v>49740</v>
      </c>
    </row>
    <row r="9012" spans="1:10" x14ac:dyDescent="0.3">
      <c r="A9012" t="s">
        <v>9139</v>
      </c>
      <c r="B9012" s="1">
        <v>45918</v>
      </c>
      <c r="C9012" t="s">
        <v>38</v>
      </c>
      <c r="D9012">
        <v>38</v>
      </c>
      <c r="E9012" t="s">
        <v>70</v>
      </c>
      <c r="F9012" t="s">
        <v>50</v>
      </c>
      <c r="G9012" t="s">
        <v>137</v>
      </c>
      <c r="H9012" t="s">
        <v>103</v>
      </c>
      <c r="I9012">
        <v>20819</v>
      </c>
      <c r="J9012">
        <v>23337</v>
      </c>
    </row>
    <row r="9013" spans="1:10" x14ac:dyDescent="0.3">
      <c r="A9013" t="s">
        <v>9140</v>
      </c>
      <c r="B9013" s="1">
        <v>45802</v>
      </c>
      <c r="C9013" t="s">
        <v>90</v>
      </c>
      <c r="D9013">
        <v>21</v>
      </c>
      <c r="E9013" t="s">
        <v>12</v>
      </c>
      <c r="F9013" t="s">
        <v>43</v>
      </c>
      <c r="G9013" t="s">
        <v>135</v>
      </c>
      <c r="H9013" t="s">
        <v>48</v>
      </c>
      <c r="I9013">
        <v>36880</v>
      </c>
      <c r="J9013">
        <v>41003</v>
      </c>
    </row>
    <row r="9014" spans="1:10" x14ac:dyDescent="0.3">
      <c r="A9014" t="s">
        <v>9141</v>
      </c>
      <c r="B9014" s="1">
        <v>45701</v>
      </c>
      <c r="C9014" t="s">
        <v>82</v>
      </c>
      <c r="D9014">
        <v>7</v>
      </c>
      <c r="E9014" t="s">
        <v>61</v>
      </c>
      <c r="F9014" t="s">
        <v>101</v>
      </c>
      <c r="G9014" t="s">
        <v>67</v>
      </c>
      <c r="H9014" t="s">
        <v>98</v>
      </c>
      <c r="I9014">
        <v>25472</v>
      </c>
      <c r="J9014">
        <v>25875</v>
      </c>
    </row>
    <row r="9015" spans="1:10" x14ac:dyDescent="0.3">
      <c r="A9015" t="s">
        <v>9142</v>
      </c>
      <c r="B9015" s="1">
        <v>45835</v>
      </c>
      <c r="C9015" t="s">
        <v>74</v>
      </c>
      <c r="D9015">
        <v>26</v>
      </c>
      <c r="E9015" t="s">
        <v>33</v>
      </c>
      <c r="F9015" t="s">
        <v>19</v>
      </c>
      <c r="G9015" t="s">
        <v>47</v>
      </c>
      <c r="H9015" t="s">
        <v>84</v>
      </c>
      <c r="I9015">
        <v>28232</v>
      </c>
      <c r="J9015">
        <v>31780</v>
      </c>
    </row>
    <row r="9016" spans="1:10" x14ac:dyDescent="0.3">
      <c r="A9016" t="s">
        <v>9143</v>
      </c>
      <c r="B9016" s="1">
        <v>45845</v>
      </c>
      <c r="C9016" t="s">
        <v>11</v>
      </c>
      <c r="D9016">
        <v>28</v>
      </c>
      <c r="E9016" t="s">
        <v>33</v>
      </c>
      <c r="F9016" t="s">
        <v>19</v>
      </c>
      <c r="G9016" t="s">
        <v>72</v>
      </c>
      <c r="H9016" t="s">
        <v>68</v>
      </c>
      <c r="I9016">
        <v>37593</v>
      </c>
      <c r="J9016">
        <v>45432</v>
      </c>
    </row>
    <row r="9017" spans="1:10" x14ac:dyDescent="0.3">
      <c r="A9017" t="s">
        <v>9144</v>
      </c>
      <c r="B9017" s="1">
        <v>45892</v>
      </c>
      <c r="C9017" t="s">
        <v>113</v>
      </c>
      <c r="D9017">
        <v>34</v>
      </c>
      <c r="E9017" t="s">
        <v>61</v>
      </c>
      <c r="F9017" t="s">
        <v>50</v>
      </c>
      <c r="G9017" t="s">
        <v>266</v>
      </c>
      <c r="H9017" t="s">
        <v>188</v>
      </c>
      <c r="I9017">
        <v>22544</v>
      </c>
      <c r="J9017">
        <v>24822</v>
      </c>
    </row>
    <row r="9018" spans="1:10" x14ac:dyDescent="0.3">
      <c r="A9018" t="s">
        <v>9145</v>
      </c>
      <c r="B9018" s="1">
        <v>45851</v>
      </c>
      <c r="C9018" t="s">
        <v>11</v>
      </c>
      <c r="D9018">
        <v>28</v>
      </c>
      <c r="E9018" t="s">
        <v>18</v>
      </c>
      <c r="F9018" t="s">
        <v>34</v>
      </c>
      <c r="G9018" t="s">
        <v>67</v>
      </c>
      <c r="H9018" t="s">
        <v>59</v>
      </c>
      <c r="I9018">
        <v>17259</v>
      </c>
      <c r="J9018">
        <v>19867</v>
      </c>
    </row>
    <row r="9019" spans="1:10" x14ac:dyDescent="0.3">
      <c r="A9019" t="s">
        <v>9146</v>
      </c>
      <c r="B9019" s="1">
        <v>45744</v>
      </c>
      <c r="C9019" t="s">
        <v>95</v>
      </c>
      <c r="D9019">
        <v>13</v>
      </c>
      <c r="E9019" t="s">
        <v>12</v>
      </c>
      <c r="F9019" t="s">
        <v>34</v>
      </c>
      <c r="G9019" t="s">
        <v>201</v>
      </c>
      <c r="H9019" t="s">
        <v>133</v>
      </c>
      <c r="I9019">
        <v>25168</v>
      </c>
      <c r="J9019">
        <v>22459</v>
      </c>
    </row>
    <row r="9020" spans="1:10" x14ac:dyDescent="0.3">
      <c r="A9020" t="s">
        <v>9147</v>
      </c>
      <c r="B9020" s="1">
        <v>45691</v>
      </c>
      <c r="C9020" t="s">
        <v>82</v>
      </c>
      <c r="D9020">
        <v>6</v>
      </c>
      <c r="E9020" t="s">
        <v>61</v>
      </c>
      <c r="F9020" t="s">
        <v>62</v>
      </c>
      <c r="G9020" t="s">
        <v>93</v>
      </c>
      <c r="H9020" t="s">
        <v>155</v>
      </c>
      <c r="I9020">
        <v>33847</v>
      </c>
      <c r="J9020">
        <v>31093</v>
      </c>
    </row>
    <row r="9021" spans="1:10" x14ac:dyDescent="0.3">
      <c r="A9021" t="s">
        <v>9148</v>
      </c>
      <c r="B9021" s="1">
        <v>45737</v>
      </c>
      <c r="C9021" t="s">
        <v>95</v>
      </c>
      <c r="D9021">
        <v>12</v>
      </c>
      <c r="E9021" t="s">
        <v>18</v>
      </c>
      <c r="F9021" t="s">
        <v>19</v>
      </c>
      <c r="G9021" t="s">
        <v>58</v>
      </c>
      <c r="H9021" t="s">
        <v>59</v>
      </c>
      <c r="I9021">
        <v>28998</v>
      </c>
      <c r="J9021">
        <v>21682</v>
      </c>
    </row>
    <row r="9022" spans="1:10" x14ac:dyDescent="0.3">
      <c r="A9022" t="s">
        <v>9149</v>
      </c>
      <c r="B9022" s="1">
        <v>45973</v>
      </c>
      <c r="C9022" t="s">
        <v>23</v>
      </c>
      <c r="D9022">
        <v>46</v>
      </c>
      <c r="E9022" t="s">
        <v>70</v>
      </c>
      <c r="F9022" t="s">
        <v>140</v>
      </c>
      <c r="G9022" t="s">
        <v>145</v>
      </c>
      <c r="H9022" t="s">
        <v>36</v>
      </c>
      <c r="I9022">
        <v>37691</v>
      </c>
      <c r="J9022">
        <v>43192</v>
      </c>
    </row>
    <row r="9023" spans="1:10" x14ac:dyDescent="0.3">
      <c r="A9023" t="s">
        <v>9150</v>
      </c>
      <c r="B9023" s="1">
        <v>45779</v>
      </c>
      <c r="C9023" t="s">
        <v>90</v>
      </c>
      <c r="D9023">
        <v>18</v>
      </c>
      <c r="E9023" t="s">
        <v>70</v>
      </c>
      <c r="F9023" t="s">
        <v>114</v>
      </c>
      <c r="G9023" t="s">
        <v>115</v>
      </c>
      <c r="H9023" t="s">
        <v>98</v>
      </c>
      <c r="I9023">
        <v>32612</v>
      </c>
      <c r="J9023">
        <v>24154</v>
      </c>
    </row>
    <row r="9024" spans="1:10" x14ac:dyDescent="0.3">
      <c r="A9024" t="s">
        <v>9151</v>
      </c>
      <c r="B9024" s="1">
        <v>45806</v>
      </c>
      <c r="C9024" t="s">
        <v>90</v>
      </c>
      <c r="D9024">
        <v>22</v>
      </c>
      <c r="E9024" t="s">
        <v>24</v>
      </c>
      <c r="F9024" t="s">
        <v>43</v>
      </c>
      <c r="G9024" t="s">
        <v>135</v>
      </c>
      <c r="H9024" t="s">
        <v>31</v>
      </c>
      <c r="I9024">
        <v>36106</v>
      </c>
      <c r="J9024">
        <v>27162</v>
      </c>
    </row>
    <row r="9025" spans="1:10" x14ac:dyDescent="0.3">
      <c r="A9025" t="s">
        <v>9152</v>
      </c>
      <c r="B9025" s="1">
        <v>45723</v>
      </c>
      <c r="C9025" t="s">
        <v>95</v>
      </c>
      <c r="D9025">
        <v>10</v>
      </c>
      <c r="E9025" t="s">
        <v>61</v>
      </c>
      <c r="F9025" t="s">
        <v>92</v>
      </c>
      <c r="G9025" t="s">
        <v>102</v>
      </c>
      <c r="H9025" t="s">
        <v>84</v>
      </c>
      <c r="I9025">
        <v>17703</v>
      </c>
      <c r="J9025">
        <v>19348</v>
      </c>
    </row>
    <row r="9026" spans="1:10" x14ac:dyDescent="0.3">
      <c r="A9026" t="s">
        <v>9153</v>
      </c>
      <c r="B9026" s="1">
        <v>45978</v>
      </c>
      <c r="C9026" t="s">
        <v>23</v>
      </c>
      <c r="D9026">
        <v>47</v>
      </c>
      <c r="E9026" t="s">
        <v>12</v>
      </c>
      <c r="F9026" t="s">
        <v>140</v>
      </c>
      <c r="G9026" t="s">
        <v>115</v>
      </c>
      <c r="H9026" t="s">
        <v>48</v>
      </c>
      <c r="I9026">
        <v>32258</v>
      </c>
      <c r="J9026">
        <v>25544</v>
      </c>
    </row>
    <row r="9027" spans="1:10" x14ac:dyDescent="0.3">
      <c r="A9027" t="s">
        <v>9154</v>
      </c>
      <c r="B9027" s="1">
        <v>45898</v>
      </c>
      <c r="C9027" t="s">
        <v>113</v>
      </c>
      <c r="D9027">
        <v>35</v>
      </c>
      <c r="E9027" t="s">
        <v>12</v>
      </c>
      <c r="F9027" t="s">
        <v>43</v>
      </c>
      <c r="G9027" t="s">
        <v>51</v>
      </c>
      <c r="H9027" t="s">
        <v>55</v>
      </c>
      <c r="I9027">
        <v>33608</v>
      </c>
      <c r="J9027">
        <v>28715</v>
      </c>
    </row>
    <row r="9028" spans="1:10" x14ac:dyDescent="0.3">
      <c r="A9028" t="s">
        <v>9155</v>
      </c>
      <c r="B9028" s="1">
        <v>45679</v>
      </c>
      <c r="C9028" t="s">
        <v>17</v>
      </c>
      <c r="D9028">
        <v>4</v>
      </c>
      <c r="E9028" t="s">
        <v>24</v>
      </c>
      <c r="F9028" t="s">
        <v>46</v>
      </c>
      <c r="G9028" t="s">
        <v>88</v>
      </c>
      <c r="H9028" t="s">
        <v>27</v>
      </c>
      <c r="I9028">
        <v>31165</v>
      </c>
      <c r="J9028">
        <v>28027</v>
      </c>
    </row>
    <row r="9029" spans="1:10" x14ac:dyDescent="0.3">
      <c r="A9029" t="s">
        <v>9156</v>
      </c>
      <c r="B9029" s="1">
        <v>45958</v>
      </c>
      <c r="C9029" t="s">
        <v>66</v>
      </c>
      <c r="D9029">
        <v>44</v>
      </c>
      <c r="E9029" t="s">
        <v>70</v>
      </c>
      <c r="F9029" t="s">
        <v>75</v>
      </c>
      <c r="G9029" t="s">
        <v>44</v>
      </c>
      <c r="H9029" t="s">
        <v>155</v>
      </c>
      <c r="I9029">
        <v>26018</v>
      </c>
      <c r="J9029">
        <v>33257</v>
      </c>
    </row>
    <row r="9030" spans="1:10" x14ac:dyDescent="0.3">
      <c r="A9030" t="s">
        <v>9157</v>
      </c>
      <c r="B9030" s="1">
        <v>45770</v>
      </c>
      <c r="C9030" t="s">
        <v>86</v>
      </c>
      <c r="D9030">
        <v>17</v>
      </c>
      <c r="E9030" t="s">
        <v>24</v>
      </c>
      <c r="F9030" t="s">
        <v>193</v>
      </c>
      <c r="G9030" t="s">
        <v>35</v>
      </c>
      <c r="H9030" t="s">
        <v>243</v>
      </c>
      <c r="I9030">
        <v>38473</v>
      </c>
      <c r="J9030">
        <v>33077</v>
      </c>
    </row>
    <row r="9031" spans="1:10" x14ac:dyDescent="0.3">
      <c r="A9031" t="s">
        <v>9158</v>
      </c>
      <c r="B9031" s="1">
        <v>45792</v>
      </c>
      <c r="C9031" t="s">
        <v>90</v>
      </c>
      <c r="D9031">
        <v>20</v>
      </c>
      <c r="E9031" t="s">
        <v>39</v>
      </c>
      <c r="F9031" t="s">
        <v>46</v>
      </c>
      <c r="G9031" t="s">
        <v>93</v>
      </c>
      <c r="H9031" t="s">
        <v>15</v>
      </c>
      <c r="I9031">
        <v>39773</v>
      </c>
      <c r="J9031">
        <v>40555</v>
      </c>
    </row>
    <row r="9032" spans="1:10" x14ac:dyDescent="0.3">
      <c r="A9032" t="s">
        <v>9159</v>
      </c>
      <c r="B9032" s="1">
        <v>46011</v>
      </c>
      <c r="C9032" t="s">
        <v>100</v>
      </c>
      <c r="D9032">
        <v>51</v>
      </c>
      <c r="E9032" t="s">
        <v>12</v>
      </c>
      <c r="F9032" t="s">
        <v>13</v>
      </c>
      <c r="G9032" t="s">
        <v>67</v>
      </c>
      <c r="H9032" t="s">
        <v>59</v>
      </c>
      <c r="I9032">
        <v>29891</v>
      </c>
      <c r="J9032">
        <v>22215</v>
      </c>
    </row>
    <row r="9033" spans="1:10" x14ac:dyDescent="0.3">
      <c r="A9033" t="s">
        <v>9160</v>
      </c>
      <c r="B9033" s="1">
        <v>45823</v>
      </c>
      <c r="C9033" t="s">
        <v>74</v>
      </c>
      <c r="D9033">
        <v>24</v>
      </c>
      <c r="E9033" t="s">
        <v>24</v>
      </c>
      <c r="F9033" t="s">
        <v>50</v>
      </c>
      <c r="G9033" t="s">
        <v>107</v>
      </c>
      <c r="H9033" t="s">
        <v>188</v>
      </c>
      <c r="I9033">
        <v>15515</v>
      </c>
      <c r="J9033">
        <v>18748</v>
      </c>
    </row>
    <row r="9034" spans="1:10" x14ac:dyDescent="0.3">
      <c r="A9034" t="s">
        <v>9161</v>
      </c>
      <c r="B9034" s="1">
        <v>45844</v>
      </c>
      <c r="C9034" t="s">
        <v>11</v>
      </c>
      <c r="D9034">
        <v>27</v>
      </c>
      <c r="E9034" t="s">
        <v>18</v>
      </c>
      <c r="F9034" t="s">
        <v>78</v>
      </c>
      <c r="G9034" t="s">
        <v>199</v>
      </c>
      <c r="H9034" t="s">
        <v>15</v>
      </c>
      <c r="I9034">
        <v>34006</v>
      </c>
      <c r="J9034">
        <v>39145</v>
      </c>
    </row>
    <row r="9035" spans="1:10" x14ac:dyDescent="0.3">
      <c r="A9035" t="s">
        <v>9162</v>
      </c>
      <c r="B9035" s="1">
        <v>45964</v>
      </c>
      <c r="C9035" t="s">
        <v>23</v>
      </c>
      <c r="D9035">
        <v>45</v>
      </c>
      <c r="E9035" t="s">
        <v>33</v>
      </c>
      <c r="F9035" t="s">
        <v>75</v>
      </c>
      <c r="G9035" t="s">
        <v>107</v>
      </c>
      <c r="H9035" t="s">
        <v>27</v>
      </c>
      <c r="I9035">
        <v>32797</v>
      </c>
      <c r="J9035">
        <v>25231</v>
      </c>
    </row>
    <row r="9036" spans="1:10" x14ac:dyDescent="0.3">
      <c r="A9036" t="s">
        <v>9163</v>
      </c>
      <c r="B9036" s="1">
        <v>45927</v>
      </c>
      <c r="C9036" t="s">
        <v>38</v>
      </c>
      <c r="D9036">
        <v>39</v>
      </c>
      <c r="E9036" t="s">
        <v>70</v>
      </c>
      <c r="F9036" t="s">
        <v>62</v>
      </c>
      <c r="G9036" t="s">
        <v>72</v>
      </c>
      <c r="H9036" t="s">
        <v>84</v>
      </c>
      <c r="I9036">
        <v>26546</v>
      </c>
      <c r="J9036">
        <v>25607</v>
      </c>
    </row>
    <row r="9037" spans="1:10" x14ac:dyDescent="0.3">
      <c r="A9037" t="s">
        <v>9164</v>
      </c>
      <c r="B9037" s="1">
        <v>45831</v>
      </c>
      <c r="C9037" t="s">
        <v>74</v>
      </c>
      <c r="D9037">
        <v>26</v>
      </c>
      <c r="E9037" t="s">
        <v>33</v>
      </c>
      <c r="F9037" t="s">
        <v>43</v>
      </c>
      <c r="G9037" t="s">
        <v>324</v>
      </c>
      <c r="H9037" t="s">
        <v>27</v>
      </c>
      <c r="I9037">
        <v>20899</v>
      </c>
      <c r="J9037">
        <v>22937</v>
      </c>
    </row>
    <row r="9038" spans="1:10" x14ac:dyDescent="0.3">
      <c r="A9038" t="s">
        <v>9165</v>
      </c>
      <c r="B9038" s="1">
        <v>45933</v>
      </c>
      <c r="C9038" t="s">
        <v>66</v>
      </c>
      <c r="D9038">
        <v>40</v>
      </c>
      <c r="E9038" t="s">
        <v>39</v>
      </c>
      <c r="F9038" t="s">
        <v>25</v>
      </c>
      <c r="G9038" t="s">
        <v>26</v>
      </c>
      <c r="H9038" t="s">
        <v>123</v>
      </c>
      <c r="I9038">
        <v>16824</v>
      </c>
      <c r="J9038">
        <v>14626</v>
      </c>
    </row>
    <row r="9039" spans="1:10" x14ac:dyDescent="0.3">
      <c r="A9039" t="s">
        <v>9166</v>
      </c>
      <c r="B9039" s="1">
        <v>45999</v>
      </c>
      <c r="C9039" t="s">
        <v>100</v>
      </c>
      <c r="D9039">
        <v>50</v>
      </c>
      <c r="E9039" t="s">
        <v>39</v>
      </c>
      <c r="F9039" t="s">
        <v>140</v>
      </c>
      <c r="G9039" t="s">
        <v>160</v>
      </c>
      <c r="H9039" t="s">
        <v>243</v>
      </c>
      <c r="I9039">
        <v>22203</v>
      </c>
      <c r="J9039">
        <v>28411</v>
      </c>
    </row>
    <row r="9040" spans="1:10" x14ac:dyDescent="0.3">
      <c r="A9040" t="s">
        <v>9167</v>
      </c>
      <c r="B9040" s="1">
        <v>45816</v>
      </c>
      <c r="C9040" t="s">
        <v>74</v>
      </c>
      <c r="D9040">
        <v>23</v>
      </c>
      <c r="E9040" t="s">
        <v>18</v>
      </c>
      <c r="F9040" t="s">
        <v>109</v>
      </c>
      <c r="G9040" t="s">
        <v>201</v>
      </c>
      <c r="H9040" t="s">
        <v>163</v>
      </c>
      <c r="I9040">
        <v>19023</v>
      </c>
      <c r="J9040">
        <v>18978</v>
      </c>
    </row>
    <row r="9041" spans="1:10" x14ac:dyDescent="0.3">
      <c r="A9041" t="s">
        <v>9168</v>
      </c>
      <c r="B9041" s="1">
        <v>45835</v>
      </c>
      <c r="C9041" t="s">
        <v>74</v>
      </c>
      <c r="D9041">
        <v>26</v>
      </c>
      <c r="E9041" t="s">
        <v>39</v>
      </c>
      <c r="F9041" t="s">
        <v>109</v>
      </c>
      <c r="G9041" t="s">
        <v>51</v>
      </c>
      <c r="H9041" t="s">
        <v>27</v>
      </c>
      <c r="I9041">
        <v>17131</v>
      </c>
      <c r="J9041">
        <v>17877</v>
      </c>
    </row>
    <row r="9042" spans="1:10" x14ac:dyDescent="0.3">
      <c r="A9042" t="s">
        <v>9169</v>
      </c>
      <c r="B9042" s="1">
        <v>45965</v>
      </c>
      <c r="C9042" t="s">
        <v>23</v>
      </c>
      <c r="D9042">
        <v>45</v>
      </c>
      <c r="E9042" t="s">
        <v>39</v>
      </c>
      <c r="F9042" t="s">
        <v>34</v>
      </c>
      <c r="G9042" t="s">
        <v>115</v>
      </c>
      <c r="H9042" t="s">
        <v>68</v>
      </c>
      <c r="I9042">
        <v>30351</v>
      </c>
      <c r="J9042">
        <v>31138</v>
      </c>
    </row>
    <row r="9043" spans="1:10" x14ac:dyDescent="0.3">
      <c r="A9043" t="s">
        <v>9170</v>
      </c>
      <c r="B9043" s="1">
        <v>45992</v>
      </c>
      <c r="C9043" t="s">
        <v>100</v>
      </c>
      <c r="D9043">
        <v>49</v>
      </c>
      <c r="E9043" t="s">
        <v>70</v>
      </c>
      <c r="F9043" t="s">
        <v>140</v>
      </c>
      <c r="G9043" t="s">
        <v>58</v>
      </c>
      <c r="H9043" t="s">
        <v>163</v>
      </c>
      <c r="I9043">
        <v>20446</v>
      </c>
      <c r="J9043">
        <v>19331</v>
      </c>
    </row>
    <row r="9044" spans="1:10" x14ac:dyDescent="0.3">
      <c r="A9044" t="s">
        <v>9171</v>
      </c>
      <c r="B9044" s="1">
        <v>45975</v>
      </c>
      <c r="C9044" t="s">
        <v>23</v>
      </c>
      <c r="D9044">
        <v>46</v>
      </c>
      <c r="E9044" t="s">
        <v>61</v>
      </c>
      <c r="F9044" t="s">
        <v>75</v>
      </c>
      <c r="G9044" t="s">
        <v>110</v>
      </c>
      <c r="H9044" t="s">
        <v>116</v>
      </c>
      <c r="I9044">
        <v>33302</v>
      </c>
      <c r="J9044">
        <v>28154</v>
      </c>
    </row>
    <row r="9045" spans="1:10" x14ac:dyDescent="0.3">
      <c r="A9045" t="s">
        <v>9172</v>
      </c>
      <c r="B9045" s="1">
        <v>45726</v>
      </c>
      <c r="C9045" t="s">
        <v>95</v>
      </c>
      <c r="D9045">
        <v>11</v>
      </c>
      <c r="E9045" t="s">
        <v>18</v>
      </c>
      <c r="F9045" t="s">
        <v>13</v>
      </c>
      <c r="G9045" t="s">
        <v>171</v>
      </c>
      <c r="H9045" t="s">
        <v>116</v>
      </c>
      <c r="I9045">
        <v>32431</v>
      </c>
      <c r="J9045">
        <v>31246</v>
      </c>
    </row>
    <row r="9046" spans="1:10" x14ac:dyDescent="0.3">
      <c r="A9046" t="s">
        <v>9173</v>
      </c>
      <c r="B9046" s="1">
        <v>45766</v>
      </c>
      <c r="C9046" t="s">
        <v>86</v>
      </c>
      <c r="D9046">
        <v>16</v>
      </c>
      <c r="E9046" t="s">
        <v>24</v>
      </c>
      <c r="F9046" t="s">
        <v>13</v>
      </c>
      <c r="G9046" t="s">
        <v>141</v>
      </c>
      <c r="H9046" t="s">
        <v>59</v>
      </c>
      <c r="I9046">
        <v>36144</v>
      </c>
      <c r="J9046">
        <v>33472</v>
      </c>
    </row>
    <row r="9047" spans="1:10" x14ac:dyDescent="0.3">
      <c r="A9047" t="s">
        <v>9174</v>
      </c>
      <c r="B9047" s="1">
        <v>45810</v>
      </c>
      <c r="C9047" t="s">
        <v>74</v>
      </c>
      <c r="D9047">
        <v>23</v>
      </c>
      <c r="E9047" t="s">
        <v>24</v>
      </c>
      <c r="F9047" t="s">
        <v>50</v>
      </c>
      <c r="G9047" t="s">
        <v>291</v>
      </c>
      <c r="H9047" t="s">
        <v>21</v>
      </c>
      <c r="I9047">
        <v>36990</v>
      </c>
      <c r="J9047">
        <v>30081</v>
      </c>
    </row>
    <row r="9048" spans="1:10" x14ac:dyDescent="0.3">
      <c r="A9048" t="s">
        <v>9175</v>
      </c>
      <c r="B9048" s="1">
        <v>45790</v>
      </c>
      <c r="C9048" t="s">
        <v>90</v>
      </c>
      <c r="D9048">
        <v>20</v>
      </c>
      <c r="E9048" t="s">
        <v>33</v>
      </c>
      <c r="F9048" t="s">
        <v>122</v>
      </c>
      <c r="G9048" t="s">
        <v>135</v>
      </c>
      <c r="H9048" t="s">
        <v>123</v>
      </c>
      <c r="I9048">
        <v>24918</v>
      </c>
      <c r="J9048">
        <v>26505</v>
      </c>
    </row>
    <row r="9049" spans="1:10" x14ac:dyDescent="0.3">
      <c r="A9049" t="s">
        <v>9176</v>
      </c>
      <c r="B9049" s="1">
        <v>45824</v>
      </c>
      <c r="C9049" t="s">
        <v>74</v>
      </c>
      <c r="D9049">
        <v>25</v>
      </c>
      <c r="E9049" t="s">
        <v>33</v>
      </c>
      <c r="F9049" t="s">
        <v>101</v>
      </c>
      <c r="G9049" t="s">
        <v>44</v>
      </c>
      <c r="H9049" t="s">
        <v>157</v>
      </c>
      <c r="I9049">
        <v>32425</v>
      </c>
      <c r="J9049">
        <v>37781</v>
      </c>
    </row>
    <row r="9050" spans="1:10" x14ac:dyDescent="0.3">
      <c r="A9050" t="s">
        <v>9177</v>
      </c>
      <c r="B9050" s="1">
        <v>45972</v>
      </c>
      <c r="C9050" t="s">
        <v>23</v>
      </c>
      <c r="D9050">
        <v>46</v>
      </c>
      <c r="E9050" t="s">
        <v>12</v>
      </c>
      <c r="F9050" t="s">
        <v>92</v>
      </c>
      <c r="G9050" t="s">
        <v>206</v>
      </c>
      <c r="H9050" t="s">
        <v>64</v>
      </c>
      <c r="I9050">
        <v>28246</v>
      </c>
      <c r="J9050">
        <v>27209</v>
      </c>
    </row>
    <row r="9051" spans="1:10" x14ac:dyDescent="0.3">
      <c r="A9051" t="s">
        <v>9178</v>
      </c>
      <c r="B9051" s="1">
        <v>45816</v>
      </c>
      <c r="C9051" t="s">
        <v>74</v>
      </c>
      <c r="D9051">
        <v>23</v>
      </c>
      <c r="E9051" t="s">
        <v>24</v>
      </c>
      <c r="F9051" t="s">
        <v>29</v>
      </c>
      <c r="G9051" t="s">
        <v>132</v>
      </c>
      <c r="H9051" t="s">
        <v>188</v>
      </c>
      <c r="I9051">
        <v>16678</v>
      </c>
      <c r="J9051">
        <v>12739</v>
      </c>
    </row>
    <row r="9052" spans="1:10" x14ac:dyDescent="0.3">
      <c r="A9052" t="s">
        <v>9179</v>
      </c>
      <c r="B9052" s="1">
        <v>45694</v>
      </c>
      <c r="C9052" t="s">
        <v>82</v>
      </c>
      <c r="D9052">
        <v>6</v>
      </c>
      <c r="E9052" t="s">
        <v>33</v>
      </c>
      <c r="F9052" t="s">
        <v>101</v>
      </c>
      <c r="G9052" t="s">
        <v>128</v>
      </c>
      <c r="H9052" t="s">
        <v>123</v>
      </c>
      <c r="I9052">
        <v>25618</v>
      </c>
      <c r="J9052">
        <v>22603</v>
      </c>
    </row>
    <row r="9053" spans="1:10" x14ac:dyDescent="0.3">
      <c r="A9053" t="s">
        <v>9180</v>
      </c>
      <c r="B9053" s="1">
        <v>45665</v>
      </c>
      <c r="C9053" t="s">
        <v>17</v>
      </c>
      <c r="D9053">
        <v>2</v>
      </c>
      <c r="E9053" t="s">
        <v>39</v>
      </c>
      <c r="F9053" t="s">
        <v>78</v>
      </c>
      <c r="G9053" t="s">
        <v>76</v>
      </c>
      <c r="H9053" t="s">
        <v>27</v>
      </c>
      <c r="I9053">
        <v>26890</v>
      </c>
      <c r="J9053">
        <v>18895</v>
      </c>
    </row>
    <row r="9054" spans="1:10" x14ac:dyDescent="0.3">
      <c r="A9054" t="s">
        <v>9181</v>
      </c>
      <c r="B9054" s="1">
        <v>45827</v>
      </c>
      <c r="C9054" t="s">
        <v>74</v>
      </c>
      <c r="D9054">
        <v>25</v>
      </c>
      <c r="E9054" t="s">
        <v>33</v>
      </c>
      <c r="F9054" t="s">
        <v>140</v>
      </c>
      <c r="G9054" t="s">
        <v>40</v>
      </c>
      <c r="H9054" t="s">
        <v>211</v>
      </c>
      <c r="I9054">
        <v>26418</v>
      </c>
      <c r="J9054">
        <v>29757</v>
      </c>
    </row>
    <row r="9055" spans="1:10" x14ac:dyDescent="0.3">
      <c r="A9055" t="s">
        <v>9182</v>
      </c>
      <c r="B9055" s="1">
        <v>45823</v>
      </c>
      <c r="C9055" t="s">
        <v>74</v>
      </c>
      <c r="D9055">
        <v>24</v>
      </c>
      <c r="E9055" t="s">
        <v>39</v>
      </c>
      <c r="F9055" t="s">
        <v>101</v>
      </c>
      <c r="G9055" t="s">
        <v>79</v>
      </c>
      <c r="H9055" t="s">
        <v>48</v>
      </c>
      <c r="I9055">
        <v>18427</v>
      </c>
      <c r="J9055">
        <v>19680</v>
      </c>
    </row>
    <row r="9056" spans="1:10" x14ac:dyDescent="0.3">
      <c r="A9056" t="s">
        <v>9183</v>
      </c>
      <c r="B9056" s="1">
        <v>45912</v>
      </c>
      <c r="C9056" t="s">
        <v>38</v>
      </c>
      <c r="D9056">
        <v>37</v>
      </c>
      <c r="E9056" t="s">
        <v>70</v>
      </c>
      <c r="F9056" t="s">
        <v>101</v>
      </c>
      <c r="G9056" t="s">
        <v>324</v>
      </c>
      <c r="H9056" t="s">
        <v>157</v>
      </c>
      <c r="I9056">
        <v>31482</v>
      </c>
      <c r="J9056">
        <v>31988</v>
      </c>
    </row>
    <row r="9057" spans="1:10" x14ac:dyDescent="0.3">
      <c r="A9057" t="s">
        <v>9184</v>
      </c>
      <c r="B9057" s="1">
        <v>45796</v>
      </c>
      <c r="C9057" t="s">
        <v>90</v>
      </c>
      <c r="D9057">
        <v>21</v>
      </c>
      <c r="E9057" t="s">
        <v>12</v>
      </c>
      <c r="F9057" t="s">
        <v>140</v>
      </c>
      <c r="G9057" t="s">
        <v>102</v>
      </c>
      <c r="H9057" t="s">
        <v>211</v>
      </c>
      <c r="I9057">
        <v>38839</v>
      </c>
      <c r="J9057">
        <v>48383</v>
      </c>
    </row>
    <row r="9058" spans="1:10" x14ac:dyDescent="0.3">
      <c r="A9058" t="s">
        <v>9185</v>
      </c>
      <c r="B9058" s="1">
        <v>45851</v>
      </c>
      <c r="C9058" t="s">
        <v>11</v>
      </c>
      <c r="D9058">
        <v>28</v>
      </c>
      <c r="E9058" t="s">
        <v>70</v>
      </c>
      <c r="F9058" t="s">
        <v>34</v>
      </c>
      <c r="G9058" t="s">
        <v>20</v>
      </c>
      <c r="H9058" t="s">
        <v>52</v>
      </c>
      <c r="I9058">
        <v>18887</v>
      </c>
      <c r="J9058">
        <v>14428</v>
      </c>
    </row>
    <row r="9059" spans="1:10" x14ac:dyDescent="0.3">
      <c r="A9059" t="s">
        <v>9186</v>
      </c>
      <c r="B9059" s="1">
        <v>45841</v>
      </c>
      <c r="C9059" t="s">
        <v>11</v>
      </c>
      <c r="D9059">
        <v>27</v>
      </c>
      <c r="E9059" t="s">
        <v>39</v>
      </c>
      <c r="F9059" t="s">
        <v>29</v>
      </c>
      <c r="G9059" t="s">
        <v>199</v>
      </c>
      <c r="H9059" t="s">
        <v>157</v>
      </c>
      <c r="I9059">
        <v>37465</v>
      </c>
      <c r="J9059">
        <v>30846</v>
      </c>
    </row>
    <row r="9060" spans="1:10" x14ac:dyDescent="0.3">
      <c r="A9060" t="s">
        <v>9187</v>
      </c>
      <c r="B9060" s="1">
        <v>45943</v>
      </c>
      <c r="C9060" t="s">
        <v>66</v>
      </c>
      <c r="D9060">
        <v>42</v>
      </c>
      <c r="E9060" t="s">
        <v>18</v>
      </c>
      <c r="F9060" t="s">
        <v>43</v>
      </c>
      <c r="G9060" t="s">
        <v>224</v>
      </c>
      <c r="H9060" t="s">
        <v>103</v>
      </c>
      <c r="I9060">
        <v>30720</v>
      </c>
      <c r="J9060">
        <v>22565</v>
      </c>
    </row>
    <row r="9061" spans="1:10" x14ac:dyDescent="0.3">
      <c r="A9061" t="s">
        <v>9188</v>
      </c>
      <c r="B9061" s="1">
        <v>45911</v>
      </c>
      <c r="C9061" t="s">
        <v>38</v>
      </c>
      <c r="D9061">
        <v>37</v>
      </c>
      <c r="E9061" t="s">
        <v>24</v>
      </c>
      <c r="F9061" t="s">
        <v>75</v>
      </c>
      <c r="G9061" t="s">
        <v>141</v>
      </c>
      <c r="H9061" t="s">
        <v>52</v>
      </c>
      <c r="I9061">
        <v>21831</v>
      </c>
      <c r="J9061">
        <v>21823</v>
      </c>
    </row>
    <row r="9062" spans="1:10" x14ac:dyDescent="0.3">
      <c r="A9062" t="s">
        <v>9189</v>
      </c>
      <c r="B9062" s="1">
        <v>45884</v>
      </c>
      <c r="C9062" t="s">
        <v>113</v>
      </c>
      <c r="D9062">
        <v>33</v>
      </c>
      <c r="E9062" t="s">
        <v>70</v>
      </c>
      <c r="F9062" t="s">
        <v>193</v>
      </c>
      <c r="G9062" t="s">
        <v>20</v>
      </c>
      <c r="H9062" t="s">
        <v>243</v>
      </c>
      <c r="I9062">
        <v>31056</v>
      </c>
      <c r="J9062">
        <v>39543</v>
      </c>
    </row>
    <row r="9063" spans="1:10" x14ac:dyDescent="0.3">
      <c r="A9063" t="s">
        <v>9190</v>
      </c>
      <c r="B9063" s="1">
        <v>45830</v>
      </c>
      <c r="C9063" t="s">
        <v>74</v>
      </c>
      <c r="D9063">
        <v>25</v>
      </c>
      <c r="E9063" t="s">
        <v>61</v>
      </c>
      <c r="F9063" t="s">
        <v>29</v>
      </c>
      <c r="G9063" t="s">
        <v>14</v>
      </c>
      <c r="H9063" t="s">
        <v>98</v>
      </c>
      <c r="I9063">
        <v>34302</v>
      </c>
      <c r="J9063">
        <v>27583</v>
      </c>
    </row>
    <row r="9064" spans="1:10" x14ac:dyDescent="0.3">
      <c r="A9064" t="s">
        <v>9191</v>
      </c>
      <c r="B9064" s="1">
        <v>45757</v>
      </c>
      <c r="C9064" t="s">
        <v>86</v>
      </c>
      <c r="D9064">
        <v>15</v>
      </c>
      <c r="E9064" t="s">
        <v>70</v>
      </c>
      <c r="F9064" t="s">
        <v>57</v>
      </c>
      <c r="G9064" t="s">
        <v>224</v>
      </c>
      <c r="H9064" t="s">
        <v>52</v>
      </c>
      <c r="I9064">
        <v>34320</v>
      </c>
      <c r="J9064">
        <v>30504</v>
      </c>
    </row>
    <row r="9065" spans="1:10" x14ac:dyDescent="0.3">
      <c r="A9065" t="s">
        <v>9192</v>
      </c>
      <c r="B9065" s="1">
        <v>45766</v>
      </c>
      <c r="C9065" t="s">
        <v>86</v>
      </c>
      <c r="D9065">
        <v>16</v>
      </c>
      <c r="E9065" t="s">
        <v>39</v>
      </c>
      <c r="F9065" t="s">
        <v>92</v>
      </c>
      <c r="G9065" t="s">
        <v>115</v>
      </c>
      <c r="H9065" t="s">
        <v>188</v>
      </c>
      <c r="I9065">
        <v>19406</v>
      </c>
      <c r="J9065">
        <v>15597</v>
      </c>
    </row>
    <row r="9066" spans="1:10" x14ac:dyDescent="0.3">
      <c r="A9066" t="s">
        <v>9193</v>
      </c>
      <c r="B9066" s="1">
        <v>45681</v>
      </c>
      <c r="C9066" t="s">
        <v>17</v>
      </c>
      <c r="D9066">
        <v>4</v>
      </c>
      <c r="E9066" t="s">
        <v>12</v>
      </c>
      <c r="F9066" t="s">
        <v>101</v>
      </c>
      <c r="G9066" t="s">
        <v>126</v>
      </c>
      <c r="H9066" t="s">
        <v>98</v>
      </c>
      <c r="I9066">
        <v>28082</v>
      </c>
      <c r="J9066">
        <v>28036</v>
      </c>
    </row>
    <row r="9067" spans="1:10" x14ac:dyDescent="0.3">
      <c r="A9067" t="s">
        <v>9194</v>
      </c>
      <c r="B9067" s="1">
        <v>45790</v>
      </c>
      <c r="C9067" t="s">
        <v>90</v>
      </c>
      <c r="D9067">
        <v>20</v>
      </c>
      <c r="E9067" t="s">
        <v>24</v>
      </c>
      <c r="F9067" t="s">
        <v>29</v>
      </c>
      <c r="G9067" t="s">
        <v>147</v>
      </c>
      <c r="H9067" t="s">
        <v>41</v>
      </c>
      <c r="I9067">
        <v>15066</v>
      </c>
      <c r="J9067">
        <v>10830</v>
      </c>
    </row>
    <row r="9068" spans="1:10" x14ac:dyDescent="0.3">
      <c r="A9068" t="s">
        <v>9195</v>
      </c>
      <c r="B9068" s="1">
        <v>45865</v>
      </c>
      <c r="C9068" t="s">
        <v>11</v>
      </c>
      <c r="D9068">
        <v>30</v>
      </c>
      <c r="E9068" t="s">
        <v>70</v>
      </c>
      <c r="F9068" t="s">
        <v>101</v>
      </c>
      <c r="G9068" t="s">
        <v>145</v>
      </c>
      <c r="H9068" t="s">
        <v>52</v>
      </c>
      <c r="I9068">
        <v>31126</v>
      </c>
      <c r="J9068">
        <v>30256</v>
      </c>
    </row>
    <row r="9069" spans="1:10" x14ac:dyDescent="0.3">
      <c r="A9069" t="s">
        <v>9196</v>
      </c>
      <c r="B9069" s="1">
        <v>45892</v>
      </c>
      <c r="C9069" t="s">
        <v>113</v>
      </c>
      <c r="D9069">
        <v>34</v>
      </c>
      <c r="E9069" t="s">
        <v>33</v>
      </c>
      <c r="F9069" t="s">
        <v>75</v>
      </c>
      <c r="G9069" t="s">
        <v>47</v>
      </c>
      <c r="H9069" t="s">
        <v>36</v>
      </c>
      <c r="I9069">
        <v>39082</v>
      </c>
      <c r="J9069">
        <v>30907</v>
      </c>
    </row>
    <row r="9070" spans="1:10" x14ac:dyDescent="0.3">
      <c r="A9070" t="s">
        <v>9197</v>
      </c>
      <c r="B9070" s="1">
        <v>45948</v>
      </c>
      <c r="C9070" t="s">
        <v>66</v>
      </c>
      <c r="D9070">
        <v>42</v>
      </c>
      <c r="E9070" t="s">
        <v>24</v>
      </c>
      <c r="F9070" t="s">
        <v>78</v>
      </c>
      <c r="G9070" t="s">
        <v>83</v>
      </c>
      <c r="H9070" t="s">
        <v>151</v>
      </c>
      <c r="I9070">
        <v>20404</v>
      </c>
      <c r="J9070">
        <v>18629</v>
      </c>
    </row>
    <row r="9071" spans="1:10" x14ac:dyDescent="0.3">
      <c r="A9071" t="s">
        <v>9198</v>
      </c>
      <c r="B9071" s="1">
        <v>45911</v>
      </c>
      <c r="C9071" t="s">
        <v>38</v>
      </c>
      <c r="D9071">
        <v>37</v>
      </c>
      <c r="E9071" t="s">
        <v>70</v>
      </c>
      <c r="F9071" t="s">
        <v>101</v>
      </c>
      <c r="G9071" t="s">
        <v>83</v>
      </c>
      <c r="H9071" t="s">
        <v>41</v>
      </c>
      <c r="I9071">
        <v>35046</v>
      </c>
      <c r="J9071">
        <v>28336</v>
      </c>
    </row>
    <row r="9072" spans="1:10" x14ac:dyDescent="0.3">
      <c r="A9072" t="s">
        <v>9199</v>
      </c>
      <c r="B9072" s="1">
        <v>45923</v>
      </c>
      <c r="C9072" t="s">
        <v>38</v>
      </c>
      <c r="D9072">
        <v>39</v>
      </c>
      <c r="E9072" t="s">
        <v>70</v>
      </c>
      <c r="F9072" t="s">
        <v>13</v>
      </c>
      <c r="G9072" t="s">
        <v>30</v>
      </c>
      <c r="H9072" t="s">
        <v>48</v>
      </c>
      <c r="I9072">
        <v>24909</v>
      </c>
      <c r="J9072">
        <v>23275</v>
      </c>
    </row>
    <row r="9073" spans="1:10" x14ac:dyDescent="0.3">
      <c r="A9073" t="s">
        <v>9200</v>
      </c>
      <c r="B9073" s="1">
        <v>45827</v>
      </c>
      <c r="C9073" t="s">
        <v>74</v>
      </c>
      <c r="D9073">
        <v>25</v>
      </c>
      <c r="E9073" t="s">
        <v>18</v>
      </c>
      <c r="F9073" t="s">
        <v>193</v>
      </c>
      <c r="G9073" t="s">
        <v>128</v>
      </c>
      <c r="H9073" t="s">
        <v>48</v>
      </c>
      <c r="I9073">
        <v>33628</v>
      </c>
      <c r="J9073">
        <v>36378</v>
      </c>
    </row>
    <row r="9074" spans="1:10" x14ac:dyDescent="0.3">
      <c r="A9074" t="s">
        <v>9201</v>
      </c>
      <c r="B9074" s="1">
        <v>45968</v>
      </c>
      <c r="C9074" t="s">
        <v>23</v>
      </c>
      <c r="D9074">
        <v>45</v>
      </c>
      <c r="E9074" t="s">
        <v>70</v>
      </c>
      <c r="F9074" t="s">
        <v>87</v>
      </c>
      <c r="G9074" t="s">
        <v>326</v>
      </c>
      <c r="H9074" t="s">
        <v>52</v>
      </c>
      <c r="I9074">
        <v>23229</v>
      </c>
      <c r="J9074">
        <v>22409</v>
      </c>
    </row>
    <row r="9075" spans="1:10" x14ac:dyDescent="0.3">
      <c r="A9075" t="s">
        <v>9202</v>
      </c>
      <c r="B9075" s="1">
        <v>45894</v>
      </c>
      <c r="C9075" t="s">
        <v>113</v>
      </c>
      <c r="D9075">
        <v>35</v>
      </c>
      <c r="E9075" t="s">
        <v>18</v>
      </c>
      <c r="F9075" t="s">
        <v>193</v>
      </c>
      <c r="G9075" t="s">
        <v>135</v>
      </c>
      <c r="H9075" t="s">
        <v>27</v>
      </c>
      <c r="I9075">
        <v>38292</v>
      </c>
      <c r="J9075">
        <v>33300</v>
      </c>
    </row>
    <row r="9076" spans="1:10" x14ac:dyDescent="0.3">
      <c r="A9076" t="s">
        <v>9203</v>
      </c>
      <c r="B9076" s="1">
        <v>45798</v>
      </c>
      <c r="C9076" t="s">
        <v>90</v>
      </c>
      <c r="D9076">
        <v>21</v>
      </c>
      <c r="E9076" t="s">
        <v>33</v>
      </c>
      <c r="F9076" t="s">
        <v>34</v>
      </c>
      <c r="G9076" t="s">
        <v>118</v>
      </c>
      <c r="H9076" t="s">
        <v>41</v>
      </c>
      <c r="I9076">
        <v>25908</v>
      </c>
      <c r="J9076">
        <v>29849</v>
      </c>
    </row>
    <row r="9077" spans="1:10" x14ac:dyDescent="0.3">
      <c r="A9077" t="s">
        <v>9204</v>
      </c>
      <c r="B9077" s="1">
        <v>45946</v>
      </c>
      <c r="C9077" t="s">
        <v>66</v>
      </c>
      <c r="D9077">
        <v>42</v>
      </c>
      <c r="E9077" t="s">
        <v>61</v>
      </c>
      <c r="F9077" t="s">
        <v>193</v>
      </c>
      <c r="G9077" t="s">
        <v>326</v>
      </c>
      <c r="H9077" t="s">
        <v>41</v>
      </c>
      <c r="I9077">
        <v>17206</v>
      </c>
      <c r="J9077">
        <v>15185</v>
      </c>
    </row>
    <row r="9078" spans="1:10" x14ac:dyDescent="0.3">
      <c r="A9078" t="s">
        <v>9205</v>
      </c>
      <c r="B9078" s="1">
        <v>45927</v>
      </c>
      <c r="C9078" t="s">
        <v>38</v>
      </c>
      <c r="D9078">
        <v>39</v>
      </c>
      <c r="E9078" t="s">
        <v>18</v>
      </c>
      <c r="F9078" t="s">
        <v>25</v>
      </c>
      <c r="G9078" t="s">
        <v>324</v>
      </c>
      <c r="H9078" t="s">
        <v>165</v>
      </c>
      <c r="I9078">
        <v>31178</v>
      </c>
      <c r="J9078">
        <v>31594</v>
      </c>
    </row>
    <row r="9079" spans="1:10" x14ac:dyDescent="0.3">
      <c r="A9079" t="s">
        <v>9206</v>
      </c>
      <c r="B9079" s="1">
        <v>45971</v>
      </c>
      <c r="C9079" t="s">
        <v>23</v>
      </c>
      <c r="D9079">
        <v>46</v>
      </c>
      <c r="E9079" t="s">
        <v>39</v>
      </c>
      <c r="F9079" t="s">
        <v>25</v>
      </c>
      <c r="G9079" t="s">
        <v>199</v>
      </c>
      <c r="H9079" t="s">
        <v>48</v>
      </c>
      <c r="I9079">
        <v>16848</v>
      </c>
      <c r="J9079">
        <v>13051</v>
      </c>
    </row>
    <row r="9080" spans="1:10" x14ac:dyDescent="0.3">
      <c r="A9080" t="s">
        <v>9207</v>
      </c>
      <c r="B9080" s="1">
        <v>45679</v>
      </c>
      <c r="C9080" t="s">
        <v>17</v>
      </c>
      <c r="D9080">
        <v>4</v>
      </c>
      <c r="E9080" t="s">
        <v>24</v>
      </c>
      <c r="F9080" t="s">
        <v>46</v>
      </c>
      <c r="G9080" t="s">
        <v>326</v>
      </c>
      <c r="H9080" t="s">
        <v>188</v>
      </c>
      <c r="I9080">
        <v>34356</v>
      </c>
      <c r="J9080">
        <v>31601</v>
      </c>
    </row>
    <row r="9081" spans="1:10" x14ac:dyDescent="0.3">
      <c r="A9081" t="s">
        <v>9208</v>
      </c>
      <c r="B9081" s="1">
        <v>45925</v>
      </c>
      <c r="C9081" t="s">
        <v>38</v>
      </c>
      <c r="D9081">
        <v>39</v>
      </c>
      <c r="E9081" t="s">
        <v>24</v>
      </c>
      <c r="F9081" t="s">
        <v>140</v>
      </c>
      <c r="G9081" t="s">
        <v>145</v>
      </c>
      <c r="H9081" t="s">
        <v>103</v>
      </c>
      <c r="I9081">
        <v>25276</v>
      </c>
      <c r="J9081">
        <v>20099</v>
      </c>
    </row>
    <row r="9082" spans="1:10" x14ac:dyDescent="0.3">
      <c r="A9082" t="s">
        <v>9209</v>
      </c>
      <c r="B9082" s="1">
        <v>45882</v>
      </c>
      <c r="C9082" t="s">
        <v>113</v>
      </c>
      <c r="D9082">
        <v>33</v>
      </c>
      <c r="E9082" t="s">
        <v>33</v>
      </c>
      <c r="F9082" t="s">
        <v>29</v>
      </c>
      <c r="G9082" t="s">
        <v>201</v>
      </c>
      <c r="H9082" t="s">
        <v>103</v>
      </c>
      <c r="I9082">
        <v>38430</v>
      </c>
      <c r="J9082">
        <v>42011</v>
      </c>
    </row>
    <row r="9083" spans="1:10" x14ac:dyDescent="0.3">
      <c r="A9083" t="s">
        <v>9210</v>
      </c>
      <c r="B9083" s="1">
        <v>45896</v>
      </c>
      <c r="C9083" t="s">
        <v>113</v>
      </c>
      <c r="D9083">
        <v>35</v>
      </c>
      <c r="E9083" t="s">
        <v>61</v>
      </c>
      <c r="F9083" t="s">
        <v>19</v>
      </c>
      <c r="G9083" t="s">
        <v>253</v>
      </c>
      <c r="H9083" t="s">
        <v>27</v>
      </c>
      <c r="I9083">
        <v>36188</v>
      </c>
      <c r="J9083">
        <v>28599</v>
      </c>
    </row>
    <row r="9084" spans="1:10" x14ac:dyDescent="0.3">
      <c r="A9084" t="s">
        <v>9211</v>
      </c>
      <c r="B9084" s="1">
        <v>45875</v>
      </c>
      <c r="C9084" t="s">
        <v>113</v>
      </c>
      <c r="D9084">
        <v>32</v>
      </c>
      <c r="E9084" t="s">
        <v>61</v>
      </c>
      <c r="F9084" t="s">
        <v>92</v>
      </c>
      <c r="G9084" t="s">
        <v>118</v>
      </c>
      <c r="H9084" t="s">
        <v>84</v>
      </c>
      <c r="I9084">
        <v>35916</v>
      </c>
      <c r="J9084">
        <v>26119</v>
      </c>
    </row>
    <row r="9085" spans="1:10" x14ac:dyDescent="0.3">
      <c r="A9085" t="s">
        <v>9212</v>
      </c>
      <c r="B9085" s="1">
        <v>45786</v>
      </c>
      <c r="C9085" t="s">
        <v>90</v>
      </c>
      <c r="D9085">
        <v>19</v>
      </c>
      <c r="E9085" t="s">
        <v>39</v>
      </c>
      <c r="F9085" t="s">
        <v>75</v>
      </c>
      <c r="G9085" t="s">
        <v>137</v>
      </c>
      <c r="H9085" t="s">
        <v>68</v>
      </c>
      <c r="I9085">
        <v>27811</v>
      </c>
      <c r="J9085">
        <v>33286</v>
      </c>
    </row>
    <row r="9086" spans="1:10" x14ac:dyDescent="0.3">
      <c r="A9086" t="s">
        <v>9213</v>
      </c>
      <c r="B9086" s="1">
        <v>45912</v>
      </c>
      <c r="C9086" t="s">
        <v>38</v>
      </c>
      <c r="D9086">
        <v>37</v>
      </c>
      <c r="E9086" t="s">
        <v>70</v>
      </c>
      <c r="F9086" t="s">
        <v>109</v>
      </c>
      <c r="G9086" t="s">
        <v>14</v>
      </c>
      <c r="H9086" t="s">
        <v>116</v>
      </c>
      <c r="I9086">
        <v>29424</v>
      </c>
      <c r="J9086">
        <v>33546</v>
      </c>
    </row>
    <row r="9087" spans="1:10" x14ac:dyDescent="0.3">
      <c r="A9087" t="s">
        <v>9214</v>
      </c>
      <c r="B9087" s="1">
        <v>45723</v>
      </c>
      <c r="C9087" t="s">
        <v>95</v>
      </c>
      <c r="D9087">
        <v>10</v>
      </c>
      <c r="E9087" t="s">
        <v>18</v>
      </c>
      <c r="F9087" t="s">
        <v>87</v>
      </c>
      <c r="G9087" t="s">
        <v>128</v>
      </c>
      <c r="H9087" t="s">
        <v>21</v>
      </c>
      <c r="I9087">
        <v>30391</v>
      </c>
      <c r="J9087">
        <v>37435</v>
      </c>
    </row>
    <row r="9088" spans="1:10" x14ac:dyDescent="0.3">
      <c r="A9088" t="s">
        <v>9215</v>
      </c>
      <c r="B9088" s="1">
        <v>45936</v>
      </c>
      <c r="C9088" t="s">
        <v>66</v>
      </c>
      <c r="D9088">
        <v>41</v>
      </c>
      <c r="E9088" t="s">
        <v>24</v>
      </c>
      <c r="F9088" t="s">
        <v>78</v>
      </c>
      <c r="G9088" t="s">
        <v>40</v>
      </c>
      <c r="H9088" t="s">
        <v>80</v>
      </c>
      <c r="I9088">
        <v>35014</v>
      </c>
      <c r="J9088">
        <v>35247</v>
      </c>
    </row>
    <row r="9089" spans="1:10" x14ac:dyDescent="0.3">
      <c r="A9089" t="s">
        <v>9216</v>
      </c>
      <c r="B9089" s="1">
        <v>45796</v>
      </c>
      <c r="C9089" t="s">
        <v>90</v>
      </c>
      <c r="D9089">
        <v>21</v>
      </c>
      <c r="E9089" t="s">
        <v>18</v>
      </c>
      <c r="F9089" t="s">
        <v>13</v>
      </c>
      <c r="G9089" t="s">
        <v>141</v>
      </c>
      <c r="H9089" t="s">
        <v>211</v>
      </c>
      <c r="I9089">
        <v>34181</v>
      </c>
      <c r="J9089">
        <v>34626</v>
      </c>
    </row>
    <row r="9090" spans="1:10" x14ac:dyDescent="0.3">
      <c r="A9090" t="s">
        <v>9217</v>
      </c>
      <c r="B9090" s="1">
        <v>45921</v>
      </c>
      <c r="C9090" t="s">
        <v>38</v>
      </c>
      <c r="D9090">
        <v>38</v>
      </c>
      <c r="E9090" t="s">
        <v>61</v>
      </c>
      <c r="F9090" t="s">
        <v>114</v>
      </c>
      <c r="G9090" t="s">
        <v>26</v>
      </c>
      <c r="H9090" t="s">
        <v>55</v>
      </c>
      <c r="I9090">
        <v>30611</v>
      </c>
      <c r="J9090">
        <v>23467</v>
      </c>
    </row>
    <row r="9091" spans="1:10" x14ac:dyDescent="0.3">
      <c r="A9091" t="s">
        <v>9218</v>
      </c>
      <c r="B9091" s="1">
        <v>45677</v>
      </c>
      <c r="C9091" t="s">
        <v>17</v>
      </c>
      <c r="D9091">
        <v>4</v>
      </c>
      <c r="E9091" t="s">
        <v>24</v>
      </c>
      <c r="F9091" t="s">
        <v>13</v>
      </c>
      <c r="G9091" t="s">
        <v>40</v>
      </c>
      <c r="H9091" t="s">
        <v>68</v>
      </c>
      <c r="I9091">
        <v>20145</v>
      </c>
      <c r="J9091">
        <v>17435</v>
      </c>
    </row>
    <row r="9092" spans="1:10" x14ac:dyDescent="0.3">
      <c r="A9092" t="s">
        <v>9219</v>
      </c>
      <c r="B9092" s="1">
        <v>46022</v>
      </c>
      <c r="C9092" t="s">
        <v>100</v>
      </c>
      <c r="D9092">
        <v>1</v>
      </c>
      <c r="E9092" t="s">
        <v>12</v>
      </c>
      <c r="F9092" t="s">
        <v>78</v>
      </c>
      <c r="G9092" t="s">
        <v>137</v>
      </c>
      <c r="H9092" t="s">
        <v>133</v>
      </c>
      <c r="I9092">
        <v>23469</v>
      </c>
      <c r="J9092">
        <v>19593</v>
      </c>
    </row>
    <row r="9093" spans="1:10" x14ac:dyDescent="0.3">
      <c r="A9093" t="s">
        <v>9220</v>
      </c>
      <c r="B9093" s="1">
        <v>45694</v>
      </c>
      <c r="C9093" t="s">
        <v>82</v>
      </c>
      <c r="D9093">
        <v>6</v>
      </c>
      <c r="E9093" t="s">
        <v>12</v>
      </c>
      <c r="F9093" t="s">
        <v>78</v>
      </c>
      <c r="G9093" t="s">
        <v>135</v>
      </c>
      <c r="H9093" t="s">
        <v>84</v>
      </c>
      <c r="I9093">
        <v>34553</v>
      </c>
      <c r="J9093">
        <v>40594</v>
      </c>
    </row>
    <row r="9094" spans="1:10" x14ac:dyDescent="0.3">
      <c r="A9094" t="s">
        <v>9221</v>
      </c>
      <c r="B9094" s="1">
        <v>45768</v>
      </c>
      <c r="C9094" t="s">
        <v>86</v>
      </c>
      <c r="D9094">
        <v>17</v>
      </c>
      <c r="E9094" t="s">
        <v>70</v>
      </c>
      <c r="F9094" t="s">
        <v>50</v>
      </c>
      <c r="G9094" t="s">
        <v>132</v>
      </c>
      <c r="H9094" t="s">
        <v>41</v>
      </c>
      <c r="I9094">
        <v>25760</v>
      </c>
      <c r="J9094">
        <v>22075</v>
      </c>
    </row>
    <row r="9095" spans="1:10" x14ac:dyDescent="0.3">
      <c r="A9095" t="s">
        <v>9222</v>
      </c>
      <c r="B9095" s="1">
        <v>45943</v>
      </c>
      <c r="C9095" t="s">
        <v>66</v>
      </c>
      <c r="D9095">
        <v>42</v>
      </c>
      <c r="E9095" t="s">
        <v>61</v>
      </c>
      <c r="F9095" t="s">
        <v>25</v>
      </c>
      <c r="G9095" t="s">
        <v>145</v>
      </c>
      <c r="H9095" t="s">
        <v>15</v>
      </c>
      <c r="I9095">
        <v>26304</v>
      </c>
      <c r="J9095">
        <v>30523</v>
      </c>
    </row>
    <row r="9096" spans="1:10" x14ac:dyDescent="0.3">
      <c r="A9096" t="s">
        <v>9223</v>
      </c>
      <c r="B9096" s="1">
        <v>45983</v>
      </c>
      <c r="C9096" t="s">
        <v>23</v>
      </c>
      <c r="D9096">
        <v>47</v>
      </c>
      <c r="E9096" t="s">
        <v>70</v>
      </c>
      <c r="F9096" t="s">
        <v>101</v>
      </c>
      <c r="G9096" t="s">
        <v>291</v>
      </c>
      <c r="H9096" t="s">
        <v>48</v>
      </c>
      <c r="I9096">
        <v>30854</v>
      </c>
      <c r="J9096">
        <v>33469</v>
      </c>
    </row>
    <row r="9097" spans="1:10" x14ac:dyDescent="0.3">
      <c r="A9097" t="s">
        <v>9224</v>
      </c>
      <c r="B9097" s="1">
        <v>45748</v>
      </c>
      <c r="C9097" t="s">
        <v>86</v>
      </c>
      <c r="D9097">
        <v>14</v>
      </c>
      <c r="E9097" t="s">
        <v>39</v>
      </c>
      <c r="F9097" t="s">
        <v>19</v>
      </c>
      <c r="G9097" t="s">
        <v>118</v>
      </c>
      <c r="H9097" t="s">
        <v>103</v>
      </c>
      <c r="I9097">
        <v>28494</v>
      </c>
      <c r="J9097">
        <v>31170</v>
      </c>
    </row>
    <row r="9098" spans="1:10" x14ac:dyDescent="0.3">
      <c r="A9098" t="s">
        <v>9225</v>
      </c>
      <c r="B9098" s="1">
        <v>45701</v>
      </c>
      <c r="C9098" t="s">
        <v>82</v>
      </c>
      <c r="D9098">
        <v>7</v>
      </c>
      <c r="E9098" t="s">
        <v>70</v>
      </c>
      <c r="F9098" t="s">
        <v>25</v>
      </c>
      <c r="G9098" t="s">
        <v>126</v>
      </c>
      <c r="H9098" t="s">
        <v>157</v>
      </c>
      <c r="I9098">
        <v>23430</v>
      </c>
      <c r="J9098">
        <v>21311</v>
      </c>
    </row>
    <row r="9099" spans="1:10" x14ac:dyDescent="0.3">
      <c r="A9099" t="s">
        <v>9226</v>
      </c>
      <c r="B9099" s="1">
        <v>45716</v>
      </c>
      <c r="C9099" t="s">
        <v>82</v>
      </c>
      <c r="D9099">
        <v>9</v>
      </c>
      <c r="E9099" t="s">
        <v>24</v>
      </c>
      <c r="F9099" t="s">
        <v>13</v>
      </c>
      <c r="G9099" t="s">
        <v>63</v>
      </c>
      <c r="H9099" t="s">
        <v>116</v>
      </c>
      <c r="I9099">
        <v>26644</v>
      </c>
      <c r="J9099">
        <v>33137</v>
      </c>
    </row>
    <row r="9100" spans="1:10" x14ac:dyDescent="0.3">
      <c r="A9100" t="s">
        <v>9227</v>
      </c>
      <c r="B9100" s="1">
        <v>45791</v>
      </c>
      <c r="C9100" t="s">
        <v>90</v>
      </c>
      <c r="D9100">
        <v>20</v>
      </c>
      <c r="E9100" t="s">
        <v>24</v>
      </c>
      <c r="F9100" t="s">
        <v>19</v>
      </c>
      <c r="G9100" t="s">
        <v>20</v>
      </c>
      <c r="H9100" t="s">
        <v>243</v>
      </c>
      <c r="I9100">
        <v>38928</v>
      </c>
      <c r="J9100">
        <v>33197</v>
      </c>
    </row>
    <row r="9101" spans="1:10" x14ac:dyDescent="0.3">
      <c r="A9101" t="s">
        <v>9228</v>
      </c>
      <c r="B9101" s="1">
        <v>45830</v>
      </c>
      <c r="C9101" t="s">
        <v>74</v>
      </c>
      <c r="D9101">
        <v>25</v>
      </c>
      <c r="E9101" t="s">
        <v>24</v>
      </c>
      <c r="F9101" t="s">
        <v>193</v>
      </c>
      <c r="G9101" t="s">
        <v>51</v>
      </c>
      <c r="H9101" t="s">
        <v>211</v>
      </c>
      <c r="I9101">
        <v>21266</v>
      </c>
      <c r="J9101">
        <v>16012</v>
      </c>
    </row>
    <row r="9102" spans="1:10" x14ac:dyDescent="0.3">
      <c r="A9102" t="s">
        <v>9229</v>
      </c>
      <c r="B9102" s="1">
        <v>45868</v>
      </c>
      <c r="C9102" t="s">
        <v>11</v>
      </c>
      <c r="D9102">
        <v>31</v>
      </c>
      <c r="E9102" t="s">
        <v>24</v>
      </c>
      <c r="F9102" t="s">
        <v>101</v>
      </c>
      <c r="G9102" t="s">
        <v>58</v>
      </c>
      <c r="H9102" t="s">
        <v>80</v>
      </c>
      <c r="I9102">
        <v>38106</v>
      </c>
      <c r="J9102">
        <v>30158</v>
      </c>
    </row>
    <row r="9103" spans="1:10" x14ac:dyDescent="0.3">
      <c r="A9103" t="s">
        <v>9230</v>
      </c>
      <c r="B9103" s="1">
        <v>45810</v>
      </c>
      <c r="C9103" t="s">
        <v>74</v>
      </c>
      <c r="D9103">
        <v>23</v>
      </c>
      <c r="E9103" t="s">
        <v>12</v>
      </c>
      <c r="F9103" t="s">
        <v>46</v>
      </c>
      <c r="G9103" t="s">
        <v>324</v>
      </c>
      <c r="H9103" t="s">
        <v>111</v>
      </c>
      <c r="I9103">
        <v>26312</v>
      </c>
      <c r="J9103">
        <v>21796</v>
      </c>
    </row>
    <row r="9104" spans="1:10" x14ac:dyDescent="0.3">
      <c r="A9104" t="s">
        <v>9231</v>
      </c>
      <c r="B9104" s="1">
        <v>45682</v>
      </c>
      <c r="C9104" t="s">
        <v>17</v>
      </c>
      <c r="D9104">
        <v>4</v>
      </c>
      <c r="E9104" t="s">
        <v>61</v>
      </c>
      <c r="F9104" t="s">
        <v>114</v>
      </c>
      <c r="G9104" t="s">
        <v>171</v>
      </c>
      <c r="H9104" t="s">
        <v>48</v>
      </c>
      <c r="I9104">
        <v>35473</v>
      </c>
      <c r="J9104">
        <v>32332</v>
      </c>
    </row>
    <row r="9105" spans="1:10" x14ac:dyDescent="0.3">
      <c r="A9105" t="s">
        <v>9232</v>
      </c>
      <c r="B9105" s="1">
        <v>45950</v>
      </c>
      <c r="C9105" t="s">
        <v>66</v>
      </c>
      <c r="D9105">
        <v>43</v>
      </c>
      <c r="E9105" t="s">
        <v>12</v>
      </c>
      <c r="F9105" t="s">
        <v>43</v>
      </c>
      <c r="G9105" t="s">
        <v>76</v>
      </c>
      <c r="H9105" t="s">
        <v>27</v>
      </c>
      <c r="I9105">
        <v>20888</v>
      </c>
      <c r="J9105">
        <v>21337</v>
      </c>
    </row>
    <row r="9106" spans="1:10" x14ac:dyDescent="0.3">
      <c r="A9106" t="s">
        <v>9233</v>
      </c>
      <c r="B9106" s="1">
        <v>45873</v>
      </c>
      <c r="C9106" t="s">
        <v>113</v>
      </c>
      <c r="D9106">
        <v>32</v>
      </c>
      <c r="E9106" t="s">
        <v>12</v>
      </c>
      <c r="F9106" t="s">
        <v>25</v>
      </c>
      <c r="G9106" t="s">
        <v>115</v>
      </c>
      <c r="H9106" t="s">
        <v>64</v>
      </c>
      <c r="I9106">
        <v>20318</v>
      </c>
      <c r="J9106">
        <v>22686</v>
      </c>
    </row>
    <row r="9107" spans="1:10" x14ac:dyDescent="0.3">
      <c r="A9107" t="s">
        <v>9234</v>
      </c>
      <c r="B9107" s="1">
        <v>45954</v>
      </c>
      <c r="C9107" t="s">
        <v>66</v>
      </c>
      <c r="D9107">
        <v>43</v>
      </c>
      <c r="E9107" t="s">
        <v>61</v>
      </c>
      <c r="F9107" t="s">
        <v>75</v>
      </c>
      <c r="G9107" t="s">
        <v>20</v>
      </c>
      <c r="H9107" t="s">
        <v>211</v>
      </c>
      <c r="I9107">
        <v>24825</v>
      </c>
      <c r="J9107">
        <v>27767</v>
      </c>
    </row>
    <row r="9108" spans="1:10" x14ac:dyDescent="0.3">
      <c r="A9108" t="s">
        <v>9235</v>
      </c>
      <c r="B9108" s="1">
        <v>45882</v>
      </c>
      <c r="C9108" t="s">
        <v>113</v>
      </c>
      <c r="D9108">
        <v>33</v>
      </c>
      <c r="E9108" t="s">
        <v>33</v>
      </c>
      <c r="F9108" t="s">
        <v>29</v>
      </c>
      <c r="G9108" t="s">
        <v>145</v>
      </c>
      <c r="H9108" t="s">
        <v>84</v>
      </c>
      <c r="I9108">
        <v>33553</v>
      </c>
      <c r="J9108">
        <v>32860</v>
      </c>
    </row>
    <row r="9109" spans="1:10" x14ac:dyDescent="0.3">
      <c r="A9109" t="s">
        <v>9236</v>
      </c>
      <c r="B9109" s="1">
        <v>45699</v>
      </c>
      <c r="C9109" t="s">
        <v>82</v>
      </c>
      <c r="D9109">
        <v>7</v>
      </c>
      <c r="E9109" t="s">
        <v>33</v>
      </c>
      <c r="F9109" t="s">
        <v>78</v>
      </c>
      <c r="G9109" t="s">
        <v>102</v>
      </c>
      <c r="H9109" t="s">
        <v>36</v>
      </c>
      <c r="I9109">
        <v>30277</v>
      </c>
      <c r="J9109">
        <v>22986</v>
      </c>
    </row>
    <row r="9110" spans="1:10" x14ac:dyDescent="0.3">
      <c r="A9110" t="s">
        <v>9237</v>
      </c>
      <c r="B9110" s="1">
        <v>45782</v>
      </c>
      <c r="C9110" t="s">
        <v>90</v>
      </c>
      <c r="D9110">
        <v>19</v>
      </c>
      <c r="E9110" t="s">
        <v>18</v>
      </c>
      <c r="F9110" t="s">
        <v>46</v>
      </c>
      <c r="G9110" t="s">
        <v>240</v>
      </c>
      <c r="H9110" t="s">
        <v>80</v>
      </c>
      <c r="I9110">
        <v>31262</v>
      </c>
      <c r="J9110">
        <v>40324</v>
      </c>
    </row>
    <row r="9111" spans="1:10" x14ac:dyDescent="0.3">
      <c r="A9111" t="s">
        <v>9238</v>
      </c>
      <c r="B9111" s="1">
        <v>45961</v>
      </c>
      <c r="C9111" t="s">
        <v>66</v>
      </c>
      <c r="D9111">
        <v>44</v>
      </c>
      <c r="E9111" t="s">
        <v>12</v>
      </c>
      <c r="F9111" t="s">
        <v>46</v>
      </c>
      <c r="G9111" t="s">
        <v>44</v>
      </c>
      <c r="H9111" t="s">
        <v>64</v>
      </c>
      <c r="I9111">
        <v>26883</v>
      </c>
      <c r="J9111">
        <v>28546</v>
      </c>
    </row>
    <row r="9112" spans="1:10" x14ac:dyDescent="0.3">
      <c r="A9112" t="s">
        <v>9239</v>
      </c>
      <c r="B9112" s="1">
        <v>45962</v>
      </c>
      <c r="C9112" t="s">
        <v>23</v>
      </c>
      <c r="D9112">
        <v>44</v>
      </c>
      <c r="E9112" t="s">
        <v>33</v>
      </c>
      <c r="F9112" t="s">
        <v>114</v>
      </c>
      <c r="G9112" t="s">
        <v>291</v>
      </c>
      <c r="H9112" t="s">
        <v>64</v>
      </c>
      <c r="I9112">
        <v>20922</v>
      </c>
      <c r="J9112">
        <v>22693</v>
      </c>
    </row>
    <row r="9113" spans="1:10" x14ac:dyDescent="0.3">
      <c r="A9113" t="s">
        <v>9240</v>
      </c>
      <c r="B9113" s="1">
        <v>45720</v>
      </c>
      <c r="C9113" t="s">
        <v>95</v>
      </c>
      <c r="D9113">
        <v>10</v>
      </c>
      <c r="E9113" t="s">
        <v>18</v>
      </c>
      <c r="F9113" t="s">
        <v>25</v>
      </c>
      <c r="G9113" t="s">
        <v>115</v>
      </c>
      <c r="H9113" t="s">
        <v>31</v>
      </c>
      <c r="I9113">
        <v>17606</v>
      </c>
      <c r="J9113">
        <v>16389</v>
      </c>
    </row>
    <row r="9114" spans="1:10" x14ac:dyDescent="0.3">
      <c r="A9114" t="s">
        <v>9241</v>
      </c>
      <c r="B9114" s="1">
        <v>45706</v>
      </c>
      <c r="C9114" t="s">
        <v>82</v>
      </c>
      <c r="D9114">
        <v>8</v>
      </c>
      <c r="E9114" t="s">
        <v>24</v>
      </c>
      <c r="F9114" t="s">
        <v>46</v>
      </c>
      <c r="G9114" t="s">
        <v>54</v>
      </c>
      <c r="H9114" t="s">
        <v>36</v>
      </c>
      <c r="I9114">
        <v>22007</v>
      </c>
      <c r="J9114">
        <v>26570</v>
      </c>
    </row>
    <row r="9115" spans="1:10" x14ac:dyDescent="0.3">
      <c r="A9115" t="s">
        <v>9242</v>
      </c>
      <c r="B9115" s="1">
        <v>45787</v>
      </c>
      <c r="C9115" t="s">
        <v>90</v>
      </c>
      <c r="D9115">
        <v>19</v>
      </c>
      <c r="E9115" t="s">
        <v>70</v>
      </c>
      <c r="F9115" t="s">
        <v>122</v>
      </c>
      <c r="G9115" t="s">
        <v>191</v>
      </c>
      <c r="H9115" t="s">
        <v>80</v>
      </c>
      <c r="I9115">
        <v>36037</v>
      </c>
      <c r="J9115">
        <v>39299</v>
      </c>
    </row>
    <row r="9116" spans="1:10" x14ac:dyDescent="0.3">
      <c r="A9116" t="s">
        <v>9243</v>
      </c>
      <c r="B9116" s="1">
        <v>45882</v>
      </c>
      <c r="C9116" t="s">
        <v>113</v>
      </c>
      <c r="D9116">
        <v>33</v>
      </c>
      <c r="E9116" t="s">
        <v>12</v>
      </c>
      <c r="F9116" t="s">
        <v>13</v>
      </c>
      <c r="G9116" t="s">
        <v>324</v>
      </c>
      <c r="H9116" t="s">
        <v>116</v>
      </c>
      <c r="I9116">
        <v>28956</v>
      </c>
      <c r="J9116">
        <v>26760</v>
      </c>
    </row>
    <row r="9117" spans="1:10" x14ac:dyDescent="0.3">
      <c r="A9117" t="s">
        <v>9244</v>
      </c>
      <c r="B9117" s="1">
        <v>45897</v>
      </c>
      <c r="C9117" t="s">
        <v>113</v>
      </c>
      <c r="D9117">
        <v>35</v>
      </c>
      <c r="E9117" t="s">
        <v>18</v>
      </c>
      <c r="F9117" t="s">
        <v>92</v>
      </c>
      <c r="G9117" t="s">
        <v>132</v>
      </c>
      <c r="H9117" t="s">
        <v>98</v>
      </c>
      <c r="I9117">
        <v>33026</v>
      </c>
      <c r="J9117">
        <v>34475</v>
      </c>
    </row>
    <row r="9118" spans="1:10" x14ac:dyDescent="0.3">
      <c r="A9118" t="s">
        <v>9245</v>
      </c>
      <c r="B9118" s="1">
        <v>45702</v>
      </c>
      <c r="C9118" t="s">
        <v>82</v>
      </c>
      <c r="D9118">
        <v>7</v>
      </c>
      <c r="E9118" t="s">
        <v>12</v>
      </c>
      <c r="F9118" t="s">
        <v>114</v>
      </c>
      <c r="G9118" t="s">
        <v>206</v>
      </c>
      <c r="H9118" t="s">
        <v>68</v>
      </c>
      <c r="I9118">
        <v>24289</v>
      </c>
      <c r="J9118">
        <v>31141</v>
      </c>
    </row>
    <row r="9119" spans="1:10" x14ac:dyDescent="0.3">
      <c r="A9119" t="s">
        <v>9246</v>
      </c>
      <c r="B9119" s="1">
        <v>45747</v>
      </c>
      <c r="C9119" t="s">
        <v>95</v>
      </c>
      <c r="D9119">
        <v>14</v>
      </c>
      <c r="E9119" t="s">
        <v>61</v>
      </c>
      <c r="F9119" t="s">
        <v>19</v>
      </c>
      <c r="G9119" t="s">
        <v>230</v>
      </c>
      <c r="H9119" t="s">
        <v>15</v>
      </c>
      <c r="I9119">
        <v>39122</v>
      </c>
      <c r="J9119">
        <v>43280</v>
      </c>
    </row>
    <row r="9120" spans="1:10" x14ac:dyDescent="0.3">
      <c r="A9120" t="s">
        <v>9247</v>
      </c>
      <c r="B9120" s="1">
        <v>45981</v>
      </c>
      <c r="C9120" t="s">
        <v>23</v>
      </c>
      <c r="D9120">
        <v>47</v>
      </c>
      <c r="E9120" t="s">
        <v>39</v>
      </c>
      <c r="F9120" t="s">
        <v>25</v>
      </c>
      <c r="G9120" t="s">
        <v>107</v>
      </c>
      <c r="H9120" t="s">
        <v>80</v>
      </c>
      <c r="I9120">
        <v>23719</v>
      </c>
      <c r="J9120">
        <v>18183</v>
      </c>
    </row>
    <row r="9121" spans="1:10" x14ac:dyDescent="0.3">
      <c r="A9121" t="s">
        <v>9248</v>
      </c>
      <c r="B9121" s="1">
        <v>45847</v>
      </c>
      <c r="C9121" t="s">
        <v>11</v>
      </c>
      <c r="D9121">
        <v>28</v>
      </c>
      <c r="E9121" t="s">
        <v>61</v>
      </c>
      <c r="F9121" t="s">
        <v>50</v>
      </c>
      <c r="G9121" t="s">
        <v>47</v>
      </c>
      <c r="H9121" t="s">
        <v>15</v>
      </c>
      <c r="I9121">
        <v>34269</v>
      </c>
      <c r="J9121">
        <v>44089</v>
      </c>
    </row>
    <row r="9122" spans="1:10" x14ac:dyDescent="0.3">
      <c r="A9122" t="s">
        <v>9249</v>
      </c>
      <c r="B9122" s="1">
        <v>45717</v>
      </c>
      <c r="C9122" t="s">
        <v>95</v>
      </c>
      <c r="D9122">
        <v>9</v>
      </c>
      <c r="E9122" t="s">
        <v>18</v>
      </c>
      <c r="F9122" t="s">
        <v>122</v>
      </c>
      <c r="G9122" t="s">
        <v>234</v>
      </c>
      <c r="H9122" t="s">
        <v>211</v>
      </c>
      <c r="I9122">
        <v>15819</v>
      </c>
      <c r="J9122">
        <v>18315</v>
      </c>
    </row>
    <row r="9123" spans="1:10" x14ac:dyDescent="0.3">
      <c r="A9123" t="s">
        <v>9250</v>
      </c>
      <c r="B9123" s="1">
        <v>45885</v>
      </c>
      <c r="C9123" t="s">
        <v>113</v>
      </c>
      <c r="D9123">
        <v>33</v>
      </c>
      <c r="E9123" t="s">
        <v>33</v>
      </c>
      <c r="F9123" t="s">
        <v>101</v>
      </c>
      <c r="G9123" t="s">
        <v>51</v>
      </c>
      <c r="H9123" t="s">
        <v>116</v>
      </c>
      <c r="I9123">
        <v>21525</v>
      </c>
      <c r="J9123">
        <v>23744</v>
      </c>
    </row>
    <row r="9124" spans="1:10" x14ac:dyDescent="0.3">
      <c r="A9124" t="s">
        <v>9251</v>
      </c>
      <c r="B9124" s="1">
        <v>45668</v>
      </c>
      <c r="C9124" t="s">
        <v>17</v>
      </c>
      <c r="D9124">
        <v>2</v>
      </c>
      <c r="E9124" t="s">
        <v>33</v>
      </c>
      <c r="F9124" t="s">
        <v>78</v>
      </c>
      <c r="G9124" t="s">
        <v>230</v>
      </c>
      <c r="H9124" t="s">
        <v>80</v>
      </c>
      <c r="I9124">
        <v>35228</v>
      </c>
      <c r="J9124">
        <v>32205</v>
      </c>
    </row>
    <row r="9125" spans="1:10" x14ac:dyDescent="0.3">
      <c r="A9125" t="s">
        <v>9252</v>
      </c>
      <c r="B9125" s="1">
        <v>45934</v>
      </c>
      <c r="C9125" t="s">
        <v>66</v>
      </c>
      <c r="D9125">
        <v>40</v>
      </c>
      <c r="E9125" t="s">
        <v>33</v>
      </c>
      <c r="F9125" t="s">
        <v>114</v>
      </c>
      <c r="G9125" t="s">
        <v>35</v>
      </c>
      <c r="H9125" t="s">
        <v>157</v>
      </c>
      <c r="I9125">
        <v>15366</v>
      </c>
      <c r="J9125">
        <v>15263</v>
      </c>
    </row>
    <row r="9126" spans="1:10" x14ac:dyDescent="0.3">
      <c r="A9126" t="s">
        <v>9253</v>
      </c>
      <c r="B9126" s="1">
        <v>45698</v>
      </c>
      <c r="C9126" t="s">
        <v>82</v>
      </c>
      <c r="D9126">
        <v>7</v>
      </c>
      <c r="E9126" t="s">
        <v>33</v>
      </c>
      <c r="F9126" t="s">
        <v>92</v>
      </c>
      <c r="G9126" t="s">
        <v>147</v>
      </c>
      <c r="H9126" t="s">
        <v>133</v>
      </c>
      <c r="I9126">
        <v>16985</v>
      </c>
      <c r="J9126">
        <v>13710</v>
      </c>
    </row>
    <row r="9127" spans="1:10" x14ac:dyDescent="0.3">
      <c r="A9127" t="s">
        <v>9254</v>
      </c>
      <c r="B9127" s="1">
        <v>45778</v>
      </c>
      <c r="C9127" t="s">
        <v>90</v>
      </c>
      <c r="D9127">
        <v>18</v>
      </c>
      <c r="E9127" t="s">
        <v>61</v>
      </c>
      <c r="F9127" t="s">
        <v>25</v>
      </c>
      <c r="G9127" t="s">
        <v>141</v>
      </c>
      <c r="H9127" t="s">
        <v>15</v>
      </c>
      <c r="I9127">
        <v>33388</v>
      </c>
      <c r="J9127">
        <v>37607</v>
      </c>
    </row>
    <row r="9128" spans="1:10" x14ac:dyDescent="0.3">
      <c r="A9128" t="s">
        <v>9255</v>
      </c>
      <c r="B9128" s="1">
        <v>45886</v>
      </c>
      <c r="C9128" t="s">
        <v>113</v>
      </c>
      <c r="D9128">
        <v>33</v>
      </c>
      <c r="E9128" t="s">
        <v>39</v>
      </c>
      <c r="F9128" t="s">
        <v>78</v>
      </c>
      <c r="G9128" t="s">
        <v>88</v>
      </c>
      <c r="H9128" t="s">
        <v>157</v>
      </c>
      <c r="I9128">
        <v>35115</v>
      </c>
      <c r="J9128">
        <v>38666</v>
      </c>
    </row>
    <row r="9129" spans="1:10" x14ac:dyDescent="0.3">
      <c r="A9129" t="s">
        <v>9256</v>
      </c>
      <c r="B9129" s="1">
        <v>45708</v>
      </c>
      <c r="C9129" t="s">
        <v>82</v>
      </c>
      <c r="D9129">
        <v>8</v>
      </c>
      <c r="E9129" t="s">
        <v>12</v>
      </c>
      <c r="F9129" t="s">
        <v>19</v>
      </c>
      <c r="G9129" t="s">
        <v>130</v>
      </c>
      <c r="H9129" t="s">
        <v>188</v>
      </c>
      <c r="I9129">
        <v>22016</v>
      </c>
      <c r="J9129">
        <v>22777</v>
      </c>
    </row>
    <row r="9130" spans="1:10" x14ac:dyDescent="0.3">
      <c r="A9130" t="s">
        <v>9257</v>
      </c>
      <c r="B9130" s="1">
        <v>46021</v>
      </c>
      <c r="C9130" t="s">
        <v>100</v>
      </c>
      <c r="D9130">
        <v>1</v>
      </c>
      <c r="E9130" t="s">
        <v>33</v>
      </c>
      <c r="F9130" t="s">
        <v>101</v>
      </c>
      <c r="G9130" t="s">
        <v>47</v>
      </c>
      <c r="H9130" t="s">
        <v>15</v>
      </c>
      <c r="I9130">
        <v>15862</v>
      </c>
      <c r="J9130">
        <v>17301</v>
      </c>
    </row>
    <row r="9131" spans="1:10" x14ac:dyDescent="0.3">
      <c r="A9131" t="s">
        <v>9258</v>
      </c>
      <c r="B9131" s="1">
        <v>45686</v>
      </c>
      <c r="C9131" t="s">
        <v>17</v>
      </c>
      <c r="D9131">
        <v>5</v>
      </c>
      <c r="E9131" t="s">
        <v>61</v>
      </c>
      <c r="F9131" t="s">
        <v>92</v>
      </c>
      <c r="G9131" t="s">
        <v>141</v>
      </c>
      <c r="H9131" t="s">
        <v>116</v>
      </c>
      <c r="I9131">
        <v>17330</v>
      </c>
      <c r="J9131">
        <v>22176</v>
      </c>
    </row>
    <row r="9132" spans="1:10" x14ac:dyDescent="0.3">
      <c r="A9132" t="s">
        <v>9259</v>
      </c>
      <c r="B9132" s="1">
        <v>45776</v>
      </c>
      <c r="C9132" t="s">
        <v>86</v>
      </c>
      <c r="D9132">
        <v>18</v>
      </c>
      <c r="E9132" t="s">
        <v>70</v>
      </c>
      <c r="F9132" t="s">
        <v>87</v>
      </c>
      <c r="G9132" t="s">
        <v>51</v>
      </c>
      <c r="H9132" t="s">
        <v>64</v>
      </c>
      <c r="I9132">
        <v>20951</v>
      </c>
      <c r="J9132">
        <v>23061</v>
      </c>
    </row>
    <row r="9133" spans="1:10" x14ac:dyDescent="0.3">
      <c r="A9133" t="s">
        <v>9260</v>
      </c>
      <c r="B9133" s="1">
        <v>45954</v>
      </c>
      <c r="C9133" t="s">
        <v>66</v>
      </c>
      <c r="D9133">
        <v>43</v>
      </c>
      <c r="E9133" t="s">
        <v>18</v>
      </c>
      <c r="F9133" t="s">
        <v>62</v>
      </c>
      <c r="G9133" t="s">
        <v>14</v>
      </c>
      <c r="H9133" t="s">
        <v>84</v>
      </c>
      <c r="I9133">
        <v>35749</v>
      </c>
      <c r="J9133">
        <v>43632</v>
      </c>
    </row>
    <row r="9134" spans="1:10" x14ac:dyDescent="0.3">
      <c r="A9134" t="s">
        <v>9261</v>
      </c>
      <c r="B9134" s="1">
        <v>45798</v>
      </c>
      <c r="C9134" t="s">
        <v>90</v>
      </c>
      <c r="D9134">
        <v>21</v>
      </c>
      <c r="E9134" t="s">
        <v>33</v>
      </c>
      <c r="F9134" t="s">
        <v>140</v>
      </c>
      <c r="G9134" t="s">
        <v>135</v>
      </c>
      <c r="H9134" t="s">
        <v>48</v>
      </c>
      <c r="I9134">
        <v>34522</v>
      </c>
      <c r="J9134">
        <v>31196</v>
      </c>
    </row>
    <row r="9135" spans="1:10" x14ac:dyDescent="0.3">
      <c r="A9135" t="s">
        <v>9262</v>
      </c>
      <c r="B9135" s="1">
        <v>45887</v>
      </c>
      <c r="C9135" t="s">
        <v>113</v>
      </c>
      <c r="D9135">
        <v>34</v>
      </c>
      <c r="E9135" t="s">
        <v>70</v>
      </c>
      <c r="F9135" t="s">
        <v>46</v>
      </c>
      <c r="G9135" t="s">
        <v>266</v>
      </c>
      <c r="H9135" t="s">
        <v>188</v>
      </c>
      <c r="I9135">
        <v>33258</v>
      </c>
      <c r="J9135">
        <v>35112</v>
      </c>
    </row>
    <row r="9136" spans="1:10" x14ac:dyDescent="0.3">
      <c r="A9136" t="s">
        <v>9263</v>
      </c>
      <c r="B9136" s="1">
        <v>46006</v>
      </c>
      <c r="C9136" t="s">
        <v>100</v>
      </c>
      <c r="D9136">
        <v>51</v>
      </c>
      <c r="E9136" t="s">
        <v>24</v>
      </c>
      <c r="F9136" t="s">
        <v>122</v>
      </c>
      <c r="G9136" t="s">
        <v>149</v>
      </c>
      <c r="H9136" t="s">
        <v>157</v>
      </c>
      <c r="I9136">
        <v>31401</v>
      </c>
      <c r="J9136">
        <v>27141</v>
      </c>
    </row>
    <row r="9137" spans="1:10" x14ac:dyDescent="0.3">
      <c r="A9137" t="s">
        <v>9264</v>
      </c>
      <c r="B9137" s="1">
        <v>45747</v>
      </c>
      <c r="C9137" t="s">
        <v>95</v>
      </c>
      <c r="D9137">
        <v>14</v>
      </c>
      <c r="E9137" t="s">
        <v>33</v>
      </c>
      <c r="F9137" t="s">
        <v>75</v>
      </c>
      <c r="G9137" t="s">
        <v>135</v>
      </c>
      <c r="H9137" t="s">
        <v>119</v>
      </c>
      <c r="I9137">
        <v>38282</v>
      </c>
      <c r="J9137">
        <v>33525</v>
      </c>
    </row>
    <row r="9138" spans="1:10" x14ac:dyDescent="0.3">
      <c r="A9138" t="s">
        <v>9265</v>
      </c>
      <c r="B9138" s="1">
        <v>46010</v>
      </c>
      <c r="C9138" t="s">
        <v>100</v>
      </c>
      <c r="D9138">
        <v>51</v>
      </c>
      <c r="E9138" t="s">
        <v>24</v>
      </c>
      <c r="F9138" t="s">
        <v>101</v>
      </c>
      <c r="G9138" t="s">
        <v>115</v>
      </c>
      <c r="H9138" t="s">
        <v>98</v>
      </c>
      <c r="I9138">
        <v>19784</v>
      </c>
      <c r="J9138">
        <v>13890</v>
      </c>
    </row>
    <row r="9139" spans="1:10" x14ac:dyDescent="0.3">
      <c r="A9139" t="s">
        <v>9266</v>
      </c>
      <c r="B9139" s="1">
        <v>45788</v>
      </c>
      <c r="C9139" t="s">
        <v>90</v>
      </c>
      <c r="D9139">
        <v>19</v>
      </c>
      <c r="E9139" t="s">
        <v>70</v>
      </c>
      <c r="F9139" t="s">
        <v>122</v>
      </c>
      <c r="G9139" t="s">
        <v>67</v>
      </c>
      <c r="H9139" t="s">
        <v>15</v>
      </c>
      <c r="I9139">
        <v>18646</v>
      </c>
      <c r="J9139">
        <v>21740</v>
      </c>
    </row>
    <row r="9140" spans="1:10" x14ac:dyDescent="0.3">
      <c r="A9140" t="s">
        <v>9267</v>
      </c>
      <c r="B9140" s="1">
        <v>45745</v>
      </c>
      <c r="C9140" t="s">
        <v>95</v>
      </c>
      <c r="D9140">
        <v>13</v>
      </c>
      <c r="E9140" t="s">
        <v>61</v>
      </c>
      <c r="F9140" t="s">
        <v>13</v>
      </c>
      <c r="G9140" t="s">
        <v>145</v>
      </c>
      <c r="H9140" t="s">
        <v>21</v>
      </c>
      <c r="I9140">
        <v>25947</v>
      </c>
      <c r="J9140">
        <v>21654</v>
      </c>
    </row>
    <row r="9141" spans="1:10" x14ac:dyDescent="0.3">
      <c r="A9141" t="s">
        <v>9268</v>
      </c>
      <c r="B9141" s="1">
        <v>45679</v>
      </c>
      <c r="C9141" t="s">
        <v>17</v>
      </c>
      <c r="D9141">
        <v>4</v>
      </c>
      <c r="E9141" t="s">
        <v>18</v>
      </c>
      <c r="F9141" t="s">
        <v>78</v>
      </c>
      <c r="G9141" t="s">
        <v>206</v>
      </c>
      <c r="H9141" t="s">
        <v>55</v>
      </c>
      <c r="I9141">
        <v>17352</v>
      </c>
      <c r="J9141">
        <v>18522</v>
      </c>
    </row>
    <row r="9142" spans="1:10" x14ac:dyDescent="0.3">
      <c r="A9142" t="s">
        <v>9269</v>
      </c>
      <c r="B9142" s="1">
        <v>45737</v>
      </c>
      <c r="C9142" t="s">
        <v>95</v>
      </c>
      <c r="D9142">
        <v>12</v>
      </c>
      <c r="E9142" t="s">
        <v>18</v>
      </c>
      <c r="F9142" t="s">
        <v>87</v>
      </c>
      <c r="G9142" t="s">
        <v>88</v>
      </c>
      <c r="H9142" t="s">
        <v>41</v>
      </c>
      <c r="I9142">
        <v>29667</v>
      </c>
      <c r="J9142">
        <v>21238</v>
      </c>
    </row>
    <row r="9143" spans="1:10" x14ac:dyDescent="0.3">
      <c r="A9143" t="s">
        <v>9270</v>
      </c>
      <c r="B9143" s="1">
        <v>45819</v>
      </c>
      <c r="C9143" t="s">
        <v>74</v>
      </c>
      <c r="D9143">
        <v>24</v>
      </c>
      <c r="E9143" t="s">
        <v>18</v>
      </c>
      <c r="F9143" t="s">
        <v>43</v>
      </c>
      <c r="G9143" t="s">
        <v>126</v>
      </c>
      <c r="H9143" t="s">
        <v>123</v>
      </c>
      <c r="I9143">
        <v>33132</v>
      </c>
      <c r="J9143">
        <v>42477</v>
      </c>
    </row>
    <row r="9144" spans="1:10" x14ac:dyDescent="0.3">
      <c r="A9144" t="s">
        <v>9271</v>
      </c>
      <c r="B9144" s="1">
        <v>45734</v>
      </c>
      <c r="C9144" t="s">
        <v>95</v>
      </c>
      <c r="D9144">
        <v>12</v>
      </c>
      <c r="E9144" t="s">
        <v>24</v>
      </c>
      <c r="F9144" t="s">
        <v>57</v>
      </c>
      <c r="G9144" t="s">
        <v>118</v>
      </c>
      <c r="H9144" t="s">
        <v>111</v>
      </c>
      <c r="I9144">
        <v>37158</v>
      </c>
      <c r="J9144">
        <v>30188</v>
      </c>
    </row>
    <row r="9145" spans="1:10" x14ac:dyDescent="0.3">
      <c r="A9145" t="s">
        <v>9272</v>
      </c>
      <c r="B9145" s="1">
        <v>45799</v>
      </c>
      <c r="C9145" t="s">
        <v>90</v>
      </c>
      <c r="D9145">
        <v>21</v>
      </c>
      <c r="E9145" t="s">
        <v>61</v>
      </c>
      <c r="F9145" t="s">
        <v>25</v>
      </c>
      <c r="G9145" t="s">
        <v>128</v>
      </c>
      <c r="H9145" t="s">
        <v>98</v>
      </c>
      <c r="I9145">
        <v>31152</v>
      </c>
      <c r="J9145">
        <v>22187</v>
      </c>
    </row>
    <row r="9146" spans="1:10" x14ac:dyDescent="0.3">
      <c r="A9146" t="s">
        <v>9273</v>
      </c>
      <c r="B9146" s="1">
        <v>45940</v>
      </c>
      <c r="C9146" t="s">
        <v>66</v>
      </c>
      <c r="D9146">
        <v>41</v>
      </c>
      <c r="E9146" t="s">
        <v>33</v>
      </c>
      <c r="F9146" t="s">
        <v>34</v>
      </c>
      <c r="G9146" t="s">
        <v>14</v>
      </c>
      <c r="H9146" t="s">
        <v>31</v>
      </c>
      <c r="I9146">
        <v>29743</v>
      </c>
      <c r="J9146">
        <v>30215</v>
      </c>
    </row>
    <row r="9147" spans="1:10" x14ac:dyDescent="0.3">
      <c r="A9147" t="s">
        <v>9274</v>
      </c>
      <c r="B9147" s="1">
        <v>45927</v>
      </c>
      <c r="C9147" t="s">
        <v>38</v>
      </c>
      <c r="D9147">
        <v>39</v>
      </c>
      <c r="E9147" t="s">
        <v>12</v>
      </c>
      <c r="F9147" t="s">
        <v>75</v>
      </c>
      <c r="G9147" t="s">
        <v>30</v>
      </c>
      <c r="H9147" t="s">
        <v>151</v>
      </c>
      <c r="I9147">
        <v>24691</v>
      </c>
      <c r="J9147">
        <v>30858</v>
      </c>
    </row>
    <row r="9148" spans="1:10" x14ac:dyDescent="0.3">
      <c r="A9148" t="s">
        <v>9275</v>
      </c>
      <c r="B9148" s="1">
        <v>45864</v>
      </c>
      <c r="C9148" t="s">
        <v>11</v>
      </c>
      <c r="D9148">
        <v>30</v>
      </c>
      <c r="E9148" t="s">
        <v>12</v>
      </c>
      <c r="F9148" t="s">
        <v>50</v>
      </c>
      <c r="G9148" t="s">
        <v>230</v>
      </c>
      <c r="H9148" t="s">
        <v>98</v>
      </c>
      <c r="I9148">
        <v>33055</v>
      </c>
      <c r="J9148">
        <v>34451</v>
      </c>
    </row>
    <row r="9149" spans="1:10" x14ac:dyDescent="0.3">
      <c r="A9149" t="s">
        <v>9276</v>
      </c>
      <c r="B9149" s="1">
        <v>45970</v>
      </c>
      <c r="C9149" t="s">
        <v>23</v>
      </c>
      <c r="D9149">
        <v>45</v>
      </c>
      <c r="E9149" t="s">
        <v>61</v>
      </c>
      <c r="F9149" t="s">
        <v>57</v>
      </c>
      <c r="G9149" t="s">
        <v>20</v>
      </c>
      <c r="H9149" t="s">
        <v>48</v>
      </c>
      <c r="I9149">
        <v>17228</v>
      </c>
      <c r="J9149">
        <v>13996</v>
      </c>
    </row>
    <row r="9150" spans="1:10" x14ac:dyDescent="0.3">
      <c r="A9150" t="s">
        <v>9277</v>
      </c>
      <c r="B9150" s="1">
        <v>45749</v>
      </c>
      <c r="C9150" t="s">
        <v>86</v>
      </c>
      <c r="D9150">
        <v>14</v>
      </c>
      <c r="E9150" t="s">
        <v>33</v>
      </c>
      <c r="F9150" t="s">
        <v>29</v>
      </c>
      <c r="G9150" t="s">
        <v>253</v>
      </c>
      <c r="H9150" t="s">
        <v>27</v>
      </c>
      <c r="I9150">
        <v>28126</v>
      </c>
      <c r="J9150">
        <v>30372</v>
      </c>
    </row>
    <row r="9151" spans="1:10" x14ac:dyDescent="0.3">
      <c r="A9151" t="s">
        <v>9278</v>
      </c>
      <c r="B9151" s="1">
        <v>45665</v>
      </c>
      <c r="C9151" t="s">
        <v>17</v>
      </c>
      <c r="D9151">
        <v>2</v>
      </c>
      <c r="E9151" t="s">
        <v>61</v>
      </c>
      <c r="F9151" t="s">
        <v>140</v>
      </c>
      <c r="G9151" t="s">
        <v>234</v>
      </c>
      <c r="H9151" t="s">
        <v>133</v>
      </c>
      <c r="I9151">
        <v>33670</v>
      </c>
      <c r="J9151">
        <v>37898</v>
      </c>
    </row>
    <row r="9152" spans="1:10" x14ac:dyDescent="0.3">
      <c r="A9152" t="s">
        <v>9279</v>
      </c>
      <c r="B9152" s="1">
        <v>45811</v>
      </c>
      <c r="C9152" t="s">
        <v>74</v>
      </c>
      <c r="D9152">
        <v>23</v>
      </c>
      <c r="E9152" t="s">
        <v>61</v>
      </c>
      <c r="F9152" t="s">
        <v>75</v>
      </c>
      <c r="G9152" t="s">
        <v>149</v>
      </c>
      <c r="H9152" t="s">
        <v>163</v>
      </c>
      <c r="I9152">
        <v>18985</v>
      </c>
      <c r="J9152">
        <v>24679</v>
      </c>
    </row>
    <row r="9153" spans="1:10" x14ac:dyDescent="0.3">
      <c r="A9153" t="s">
        <v>9280</v>
      </c>
      <c r="B9153" s="1">
        <v>45831</v>
      </c>
      <c r="C9153" t="s">
        <v>74</v>
      </c>
      <c r="D9153">
        <v>26</v>
      </c>
      <c r="E9153" t="s">
        <v>39</v>
      </c>
      <c r="F9153" t="s">
        <v>29</v>
      </c>
      <c r="G9153" t="s">
        <v>54</v>
      </c>
      <c r="H9153" t="s">
        <v>21</v>
      </c>
      <c r="I9153">
        <v>35865</v>
      </c>
      <c r="J9153">
        <v>40535</v>
      </c>
    </row>
    <row r="9154" spans="1:10" x14ac:dyDescent="0.3">
      <c r="A9154" t="s">
        <v>9281</v>
      </c>
      <c r="B9154" s="1">
        <v>45955</v>
      </c>
      <c r="C9154" t="s">
        <v>66</v>
      </c>
      <c r="D9154">
        <v>43</v>
      </c>
      <c r="E9154" t="s">
        <v>24</v>
      </c>
      <c r="F9154" t="s">
        <v>43</v>
      </c>
      <c r="G9154" t="s">
        <v>26</v>
      </c>
      <c r="H9154" t="s">
        <v>36</v>
      </c>
      <c r="I9154">
        <v>15152</v>
      </c>
      <c r="J9154">
        <v>17369</v>
      </c>
    </row>
    <row r="9155" spans="1:10" x14ac:dyDescent="0.3">
      <c r="A9155" t="s">
        <v>9282</v>
      </c>
      <c r="B9155" s="1">
        <v>46020</v>
      </c>
      <c r="C9155" t="s">
        <v>100</v>
      </c>
      <c r="D9155">
        <v>1</v>
      </c>
      <c r="E9155" t="s">
        <v>33</v>
      </c>
      <c r="F9155" t="s">
        <v>57</v>
      </c>
      <c r="G9155" t="s">
        <v>191</v>
      </c>
      <c r="H9155" t="s">
        <v>48</v>
      </c>
      <c r="I9155">
        <v>36270</v>
      </c>
      <c r="J9155">
        <v>30476</v>
      </c>
    </row>
    <row r="9156" spans="1:10" x14ac:dyDescent="0.3">
      <c r="A9156" t="s">
        <v>9283</v>
      </c>
      <c r="B9156" s="1">
        <v>45710</v>
      </c>
      <c r="C9156" t="s">
        <v>82</v>
      </c>
      <c r="D9156">
        <v>8</v>
      </c>
      <c r="E9156" t="s">
        <v>61</v>
      </c>
      <c r="F9156" t="s">
        <v>122</v>
      </c>
      <c r="G9156" t="s">
        <v>79</v>
      </c>
      <c r="H9156" t="s">
        <v>165</v>
      </c>
      <c r="I9156">
        <v>16402</v>
      </c>
      <c r="J9156">
        <v>14555</v>
      </c>
    </row>
    <row r="9157" spans="1:10" x14ac:dyDescent="0.3">
      <c r="A9157" t="s">
        <v>9284</v>
      </c>
      <c r="B9157" s="1">
        <v>45966</v>
      </c>
      <c r="C9157" t="s">
        <v>23</v>
      </c>
      <c r="D9157">
        <v>45</v>
      </c>
      <c r="E9157" t="s">
        <v>24</v>
      </c>
      <c r="F9157" t="s">
        <v>78</v>
      </c>
      <c r="G9157" t="s">
        <v>201</v>
      </c>
      <c r="H9157" t="s">
        <v>116</v>
      </c>
      <c r="I9157">
        <v>36198</v>
      </c>
      <c r="J9157">
        <v>25723</v>
      </c>
    </row>
    <row r="9158" spans="1:10" x14ac:dyDescent="0.3">
      <c r="A9158" t="s">
        <v>9285</v>
      </c>
      <c r="B9158" s="1">
        <v>45942</v>
      </c>
      <c r="C9158" t="s">
        <v>66</v>
      </c>
      <c r="D9158">
        <v>41</v>
      </c>
      <c r="E9158" t="s">
        <v>61</v>
      </c>
      <c r="F9158" t="s">
        <v>101</v>
      </c>
      <c r="G9158" t="s">
        <v>47</v>
      </c>
      <c r="H9158" t="s">
        <v>15</v>
      </c>
      <c r="I9158">
        <v>34835</v>
      </c>
      <c r="J9158">
        <v>44757</v>
      </c>
    </row>
    <row r="9159" spans="1:10" x14ac:dyDescent="0.3">
      <c r="A9159" t="s">
        <v>9286</v>
      </c>
      <c r="B9159" s="1">
        <v>45779</v>
      </c>
      <c r="C9159" t="s">
        <v>90</v>
      </c>
      <c r="D9159">
        <v>18</v>
      </c>
      <c r="E9159" t="s">
        <v>61</v>
      </c>
      <c r="F9159" t="s">
        <v>78</v>
      </c>
      <c r="G9159" t="s">
        <v>83</v>
      </c>
      <c r="H9159" t="s">
        <v>48</v>
      </c>
      <c r="I9159">
        <v>32163</v>
      </c>
      <c r="J9159">
        <v>40151</v>
      </c>
    </row>
    <row r="9160" spans="1:10" x14ac:dyDescent="0.3">
      <c r="A9160" t="s">
        <v>9287</v>
      </c>
      <c r="B9160" s="1">
        <v>45715</v>
      </c>
      <c r="C9160" t="s">
        <v>82</v>
      </c>
      <c r="D9160">
        <v>9</v>
      </c>
      <c r="E9160" t="s">
        <v>39</v>
      </c>
      <c r="F9160" t="s">
        <v>193</v>
      </c>
      <c r="G9160" t="s">
        <v>20</v>
      </c>
      <c r="H9160" t="s">
        <v>55</v>
      </c>
      <c r="I9160">
        <v>24551</v>
      </c>
      <c r="J9160">
        <v>30521</v>
      </c>
    </row>
    <row r="9161" spans="1:10" x14ac:dyDescent="0.3">
      <c r="A9161" t="s">
        <v>9288</v>
      </c>
      <c r="B9161" s="1">
        <v>45908</v>
      </c>
      <c r="C9161" t="s">
        <v>38</v>
      </c>
      <c r="D9161">
        <v>37</v>
      </c>
      <c r="E9161" t="s">
        <v>70</v>
      </c>
      <c r="F9161" t="s">
        <v>19</v>
      </c>
      <c r="G9161" t="s">
        <v>76</v>
      </c>
      <c r="H9161" t="s">
        <v>155</v>
      </c>
      <c r="I9161">
        <v>22289</v>
      </c>
      <c r="J9161">
        <v>23995</v>
      </c>
    </row>
    <row r="9162" spans="1:10" x14ac:dyDescent="0.3">
      <c r="A9162" t="s">
        <v>9289</v>
      </c>
      <c r="B9162" s="1">
        <v>45837</v>
      </c>
      <c r="C9162" t="s">
        <v>74</v>
      </c>
      <c r="D9162">
        <v>26</v>
      </c>
      <c r="E9162" t="s">
        <v>61</v>
      </c>
      <c r="F9162" t="s">
        <v>114</v>
      </c>
      <c r="G9162" t="s">
        <v>63</v>
      </c>
      <c r="H9162" t="s">
        <v>21</v>
      </c>
      <c r="I9162">
        <v>19800</v>
      </c>
      <c r="J9162">
        <v>23172</v>
      </c>
    </row>
    <row r="9163" spans="1:10" x14ac:dyDescent="0.3">
      <c r="A9163" t="s">
        <v>9290</v>
      </c>
      <c r="B9163" s="1">
        <v>45780</v>
      </c>
      <c r="C9163" t="s">
        <v>90</v>
      </c>
      <c r="D9163">
        <v>18</v>
      </c>
      <c r="E9163" t="s">
        <v>18</v>
      </c>
      <c r="F9163" t="s">
        <v>78</v>
      </c>
      <c r="G9163" t="s">
        <v>110</v>
      </c>
      <c r="H9163" t="s">
        <v>55</v>
      </c>
      <c r="I9163">
        <v>30919</v>
      </c>
      <c r="J9163">
        <v>34783</v>
      </c>
    </row>
    <row r="9164" spans="1:10" x14ac:dyDescent="0.3">
      <c r="A9164" t="s">
        <v>9291</v>
      </c>
      <c r="B9164" s="1">
        <v>45712</v>
      </c>
      <c r="C9164" t="s">
        <v>82</v>
      </c>
      <c r="D9164">
        <v>9</v>
      </c>
      <c r="E9164" t="s">
        <v>39</v>
      </c>
      <c r="F9164" t="s">
        <v>62</v>
      </c>
      <c r="G9164" t="s">
        <v>102</v>
      </c>
      <c r="H9164" t="s">
        <v>211</v>
      </c>
      <c r="I9164">
        <v>27897</v>
      </c>
      <c r="J9164">
        <v>35674</v>
      </c>
    </row>
    <row r="9165" spans="1:10" x14ac:dyDescent="0.3">
      <c r="A9165" t="s">
        <v>9292</v>
      </c>
      <c r="B9165" s="1">
        <v>46006</v>
      </c>
      <c r="C9165" t="s">
        <v>100</v>
      </c>
      <c r="D9165">
        <v>51</v>
      </c>
      <c r="E9165" t="s">
        <v>33</v>
      </c>
      <c r="F9165" t="s">
        <v>114</v>
      </c>
      <c r="G9165" t="s">
        <v>83</v>
      </c>
      <c r="H9165" t="s">
        <v>116</v>
      </c>
      <c r="I9165">
        <v>26787</v>
      </c>
      <c r="J9165">
        <v>27800</v>
      </c>
    </row>
    <row r="9166" spans="1:10" x14ac:dyDescent="0.3">
      <c r="A9166" t="s">
        <v>9293</v>
      </c>
      <c r="B9166" s="1">
        <v>45821</v>
      </c>
      <c r="C9166" t="s">
        <v>74</v>
      </c>
      <c r="D9166">
        <v>24</v>
      </c>
      <c r="E9166" t="s">
        <v>70</v>
      </c>
      <c r="F9166" t="s">
        <v>75</v>
      </c>
      <c r="G9166" t="s">
        <v>40</v>
      </c>
      <c r="H9166" t="s">
        <v>36</v>
      </c>
      <c r="I9166">
        <v>17104</v>
      </c>
      <c r="J9166">
        <v>13237</v>
      </c>
    </row>
    <row r="9167" spans="1:10" x14ac:dyDescent="0.3">
      <c r="A9167" t="s">
        <v>9294</v>
      </c>
      <c r="B9167" s="1">
        <v>45801</v>
      </c>
      <c r="C9167" t="s">
        <v>90</v>
      </c>
      <c r="D9167">
        <v>21</v>
      </c>
      <c r="E9167" t="s">
        <v>24</v>
      </c>
      <c r="F9167" t="s">
        <v>57</v>
      </c>
      <c r="G9167" t="s">
        <v>147</v>
      </c>
      <c r="H9167" t="s">
        <v>27</v>
      </c>
      <c r="I9167">
        <v>36208</v>
      </c>
      <c r="J9167">
        <v>40654</v>
      </c>
    </row>
    <row r="9168" spans="1:10" x14ac:dyDescent="0.3">
      <c r="A9168" t="s">
        <v>9295</v>
      </c>
      <c r="B9168" s="1">
        <v>45905</v>
      </c>
      <c r="C9168" t="s">
        <v>38</v>
      </c>
      <c r="D9168">
        <v>36</v>
      </c>
      <c r="E9168" t="s">
        <v>61</v>
      </c>
      <c r="F9168" t="s">
        <v>62</v>
      </c>
      <c r="G9168" t="s">
        <v>132</v>
      </c>
      <c r="H9168" t="s">
        <v>15</v>
      </c>
      <c r="I9168">
        <v>23801</v>
      </c>
      <c r="J9168">
        <v>30398</v>
      </c>
    </row>
    <row r="9169" spans="1:10" x14ac:dyDescent="0.3">
      <c r="A9169" t="s">
        <v>9296</v>
      </c>
      <c r="B9169" s="1">
        <v>45740</v>
      </c>
      <c r="C9169" t="s">
        <v>95</v>
      </c>
      <c r="D9169">
        <v>13</v>
      </c>
      <c r="E9169" t="s">
        <v>18</v>
      </c>
      <c r="F9169" t="s">
        <v>87</v>
      </c>
      <c r="G9169" t="s">
        <v>230</v>
      </c>
      <c r="H9169" t="s">
        <v>155</v>
      </c>
      <c r="I9169">
        <v>18269</v>
      </c>
      <c r="J9169">
        <v>14026</v>
      </c>
    </row>
    <row r="9170" spans="1:10" x14ac:dyDescent="0.3">
      <c r="A9170" t="s">
        <v>9297</v>
      </c>
      <c r="B9170" s="1">
        <v>45901</v>
      </c>
      <c r="C9170" t="s">
        <v>38</v>
      </c>
      <c r="D9170">
        <v>36</v>
      </c>
      <c r="E9170" t="s">
        <v>70</v>
      </c>
      <c r="F9170" t="s">
        <v>43</v>
      </c>
      <c r="G9170" t="s">
        <v>160</v>
      </c>
      <c r="H9170" t="s">
        <v>27</v>
      </c>
      <c r="I9170">
        <v>39032</v>
      </c>
      <c r="J9170">
        <v>27727</v>
      </c>
    </row>
    <row r="9171" spans="1:10" x14ac:dyDescent="0.3">
      <c r="A9171" t="s">
        <v>9298</v>
      </c>
      <c r="B9171" s="1">
        <v>45759</v>
      </c>
      <c r="C9171" t="s">
        <v>86</v>
      </c>
      <c r="D9171">
        <v>15</v>
      </c>
      <c r="E9171" t="s">
        <v>70</v>
      </c>
      <c r="F9171" t="s">
        <v>109</v>
      </c>
      <c r="G9171" t="s">
        <v>14</v>
      </c>
      <c r="H9171" t="s">
        <v>133</v>
      </c>
      <c r="I9171">
        <v>18237</v>
      </c>
      <c r="J9171">
        <v>20474</v>
      </c>
    </row>
    <row r="9172" spans="1:10" x14ac:dyDescent="0.3">
      <c r="A9172" t="s">
        <v>9299</v>
      </c>
      <c r="B9172" s="1">
        <v>45807</v>
      </c>
      <c r="C9172" t="s">
        <v>90</v>
      </c>
      <c r="D9172">
        <v>22</v>
      </c>
      <c r="E9172" t="s">
        <v>70</v>
      </c>
      <c r="F9172" t="s">
        <v>19</v>
      </c>
      <c r="G9172" t="s">
        <v>137</v>
      </c>
      <c r="H9172" t="s">
        <v>15</v>
      </c>
      <c r="I9172">
        <v>30785</v>
      </c>
      <c r="J9172">
        <v>32437</v>
      </c>
    </row>
    <row r="9173" spans="1:10" x14ac:dyDescent="0.3">
      <c r="A9173" t="s">
        <v>9300</v>
      </c>
      <c r="B9173" s="1">
        <v>45781</v>
      </c>
      <c r="C9173" t="s">
        <v>90</v>
      </c>
      <c r="D9173">
        <v>18</v>
      </c>
      <c r="E9173" t="s">
        <v>24</v>
      </c>
      <c r="F9173" t="s">
        <v>34</v>
      </c>
      <c r="G9173" t="s">
        <v>171</v>
      </c>
      <c r="H9173" t="s">
        <v>59</v>
      </c>
      <c r="I9173">
        <v>37804</v>
      </c>
      <c r="J9173">
        <v>26640</v>
      </c>
    </row>
    <row r="9174" spans="1:10" x14ac:dyDescent="0.3">
      <c r="A9174" t="s">
        <v>9301</v>
      </c>
      <c r="B9174" s="1">
        <v>45971</v>
      </c>
      <c r="C9174" t="s">
        <v>23</v>
      </c>
      <c r="D9174">
        <v>46</v>
      </c>
      <c r="E9174" t="s">
        <v>39</v>
      </c>
      <c r="F9174" t="s">
        <v>19</v>
      </c>
      <c r="G9174" t="s">
        <v>88</v>
      </c>
      <c r="H9174" t="s">
        <v>68</v>
      </c>
      <c r="I9174">
        <v>38609</v>
      </c>
      <c r="J9174">
        <v>44493</v>
      </c>
    </row>
    <row r="9175" spans="1:10" x14ac:dyDescent="0.3">
      <c r="A9175" t="s">
        <v>9302</v>
      </c>
      <c r="B9175" s="1">
        <v>45766</v>
      </c>
      <c r="C9175" t="s">
        <v>86</v>
      </c>
      <c r="D9175">
        <v>16</v>
      </c>
      <c r="E9175" t="s">
        <v>39</v>
      </c>
      <c r="F9175" t="s">
        <v>78</v>
      </c>
      <c r="G9175" t="s">
        <v>63</v>
      </c>
      <c r="H9175" t="s">
        <v>151</v>
      </c>
      <c r="I9175">
        <v>39699</v>
      </c>
      <c r="J9175">
        <v>45763</v>
      </c>
    </row>
    <row r="9176" spans="1:10" x14ac:dyDescent="0.3">
      <c r="A9176" t="s">
        <v>9303</v>
      </c>
      <c r="B9176" s="1">
        <v>45786</v>
      </c>
      <c r="C9176" t="s">
        <v>90</v>
      </c>
      <c r="D9176">
        <v>19</v>
      </c>
      <c r="E9176" t="s">
        <v>61</v>
      </c>
      <c r="F9176" t="s">
        <v>50</v>
      </c>
      <c r="G9176" t="s">
        <v>137</v>
      </c>
      <c r="H9176" t="s">
        <v>52</v>
      </c>
      <c r="I9176">
        <v>30471</v>
      </c>
      <c r="J9176">
        <v>25646</v>
      </c>
    </row>
    <row r="9177" spans="1:10" x14ac:dyDescent="0.3">
      <c r="A9177" t="s">
        <v>9304</v>
      </c>
      <c r="B9177" s="1">
        <v>45797</v>
      </c>
      <c r="C9177" t="s">
        <v>90</v>
      </c>
      <c r="D9177">
        <v>21</v>
      </c>
      <c r="E9177" t="s">
        <v>33</v>
      </c>
      <c r="F9177" t="s">
        <v>140</v>
      </c>
      <c r="G9177" t="s">
        <v>30</v>
      </c>
      <c r="H9177" t="s">
        <v>52</v>
      </c>
      <c r="I9177">
        <v>15823</v>
      </c>
      <c r="J9177">
        <v>18895</v>
      </c>
    </row>
    <row r="9178" spans="1:10" x14ac:dyDescent="0.3">
      <c r="A9178" t="s">
        <v>9305</v>
      </c>
      <c r="B9178" s="1">
        <v>45750</v>
      </c>
      <c r="C9178" t="s">
        <v>86</v>
      </c>
      <c r="D9178">
        <v>14</v>
      </c>
      <c r="E9178" t="s">
        <v>12</v>
      </c>
      <c r="F9178" t="s">
        <v>62</v>
      </c>
      <c r="G9178" t="s">
        <v>141</v>
      </c>
      <c r="H9178" t="s">
        <v>84</v>
      </c>
      <c r="I9178">
        <v>22626</v>
      </c>
      <c r="J9178">
        <v>25462</v>
      </c>
    </row>
    <row r="9179" spans="1:10" x14ac:dyDescent="0.3">
      <c r="A9179" t="s">
        <v>9306</v>
      </c>
      <c r="B9179" s="1">
        <v>45797</v>
      </c>
      <c r="C9179" t="s">
        <v>90</v>
      </c>
      <c r="D9179">
        <v>21</v>
      </c>
      <c r="E9179" t="s">
        <v>24</v>
      </c>
      <c r="F9179" t="s">
        <v>25</v>
      </c>
      <c r="G9179" t="s">
        <v>132</v>
      </c>
      <c r="H9179" t="s">
        <v>68</v>
      </c>
      <c r="I9179">
        <v>36742</v>
      </c>
      <c r="J9179">
        <v>42425</v>
      </c>
    </row>
    <row r="9180" spans="1:10" x14ac:dyDescent="0.3">
      <c r="A9180" t="s">
        <v>9307</v>
      </c>
      <c r="B9180" s="1">
        <v>45931</v>
      </c>
      <c r="C9180" t="s">
        <v>66</v>
      </c>
      <c r="D9180">
        <v>40</v>
      </c>
      <c r="E9180" t="s">
        <v>12</v>
      </c>
      <c r="F9180" t="s">
        <v>193</v>
      </c>
      <c r="G9180" t="s">
        <v>171</v>
      </c>
      <c r="H9180" t="s">
        <v>27</v>
      </c>
      <c r="I9180">
        <v>20683</v>
      </c>
      <c r="J9180">
        <v>25763</v>
      </c>
    </row>
    <row r="9181" spans="1:10" x14ac:dyDescent="0.3">
      <c r="A9181" t="s">
        <v>9308</v>
      </c>
      <c r="B9181" s="1">
        <v>45869</v>
      </c>
      <c r="C9181" t="s">
        <v>11</v>
      </c>
      <c r="D9181">
        <v>31</v>
      </c>
      <c r="E9181" t="s">
        <v>18</v>
      </c>
      <c r="F9181" t="s">
        <v>34</v>
      </c>
      <c r="G9181" t="s">
        <v>130</v>
      </c>
      <c r="H9181" t="s">
        <v>123</v>
      </c>
      <c r="I9181">
        <v>24494</v>
      </c>
      <c r="J9181">
        <v>24652</v>
      </c>
    </row>
    <row r="9182" spans="1:10" x14ac:dyDescent="0.3">
      <c r="A9182" t="s">
        <v>9309</v>
      </c>
      <c r="B9182" s="1">
        <v>45970</v>
      </c>
      <c r="C9182" t="s">
        <v>23</v>
      </c>
      <c r="D9182">
        <v>45</v>
      </c>
      <c r="E9182" t="s">
        <v>70</v>
      </c>
      <c r="F9182" t="s">
        <v>87</v>
      </c>
      <c r="G9182" t="s">
        <v>76</v>
      </c>
      <c r="H9182" t="s">
        <v>36</v>
      </c>
      <c r="I9182">
        <v>20766</v>
      </c>
      <c r="J9182">
        <v>22984</v>
      </c>
    </row>
    <row r="9183" spans="1:10" x14ac:dyDescent="0.3">
      <c r="A9183" t="s">
        <v>9310</v>
      </c>
      <c r="B9183" s="1">
        <v>45729</v>
      </c>
      <c r="C9183" t="s">
        <v>95</v>
      </c>
      <c r="D9183">
        <v>11</v>
      </c>
      <c r="E9183" t="s">
        <v>39</v>
      </c>
      <c r="F9183" t="s">
        <v>62</v>
      </c>
      <c r="G9183" t="s">
        <v>83</v>
      </c>
      <c r="H9183" t="s">
        <v>123</v>
      </c>
      <c r="I9183">
        <v>38748</v>
      </c>
      <c r="J9183">
        <v>39583</v>
      </c>
    </row>
    <row r="9184" spans="1:10" x14ac:dyDescent="0.3">
      <c r="A9184" t="s">
        <v>9311</v>
      </c>
      <c r="B9184" s="1">
        <v>45685</v>
      </c>
      <c r="C9184" t="s">
        <v>17</v>
      </c>
      <c r="D9184">
        <v>5</v>
      </c>
      <c r="E9184" t="s">
        <v>33</v>
      </c>
      <c r="F9184" t="s">
        <v>92</v>
      </c>
      <c r="G9184" t="s">
        <v>47</v>
      </c>
      <c r="H9184" t="s">
        <v>31</v>
      </c>
      <c r="I9184">
        <v>30510</v>
      </c>
      <c r="J9184">
        <v>24346</v>
      </c>
    </row>
    <row r="9185" spans="1:10" x14ac:dyDescent="0.3">
      <c r="A9185" t="s">
        <v>9312</v>
      </c>
      <c r="B9185" s="1">
        <v>45806</v>
      </c>
      <c r="C9185" t="s">
        <v>90</v>
      </c>
      <c r="D9185">
        <v>22</v>
      </c>
      <c r="E9185" t="s">
        <v>61</v>
      </c>
      <c r="F9185" t="s">
        <v>122</v>
      </c>
      <c r="G9185" t="s">
        <v>47</v>
      </c>
      <c r="H9185" t="s">
        <v>52</v>
      </c>
      <c r="I9185">
        <v>18511</v>
      </c>
      <c r="J9185">
        <v>18354</v>
      </c>
    </row>
    <row r="9186" spans="1:10" x14ac:dyDescent="0.3">
      <c r="A9186" t="s">
        <v>9313</v>
      </c>
      <c r="B9186" s="1">
        <v>45931</v>
      </c>
      <c r="C9186" t="s">
        <v>66</v>
      </c>
      <c r="D9186">
        <v>40</v>
      </c>
      <c r="E9186" t="s">
        <v>12</v>
      </c>
      <c r="F9186" t="s">
        <v>92</v>
      </c>
      <c r="G9186" t="s">
        <v>88</v>
      </c>
      <c r="H9186" t="s">
        <v>119</v>
      </c>
      <c r="I9186">
        <v>27511</v>
      </c>
      <c r="J9186">
        <v>30852</v>
      </c>
    </row>
    <row r="9187" spans="1:10" x14ac:dyDescent="0.3">
      <c r="A9187" t="s">
        <v>9314</v>
      </c>
      <c r="B9187" s="1">
        <v>45812</v>
      </c>
      <c r="C9187" t="s">
        <v>74</v>
      </c>
      <c r="D9187">
        <v>23</v>
      </c>
      <c r="E9187" t="s">
        <v>12</v>
      </c>
      <c r="F9187" t="s">
        <v>140</v>
      </c>
      <c r="G9187" t="s">
        <v>182</v>
      </c>
      <c r="H9187" t="s">
        <v>103</v>
      </c>
      <c r="I9187">
        <v>38619</v>
      </c>
      <c r="J9187">
        <v>39428</v>
      </c>
    </row>
    <row r="9188" spans="1:10" x14ac:dyDescent="0.3">
      <c r="A9188" t="s">
        <v>9315</v>
      </c>
      <c r="B9188" s="1">
        <v>45970</v>
      </c>
      <c r="C9188" t="s">
        <v>23</v>
      </c>
      <c r="D9188">
        <v>45</v>
      </c>
      <c r="E9188" t="s">
        <v>70</v>
      </c>
      <c r="F9188" t="s">
        <v>78</v>
      </c>
      <c r="G9188" t="s">
        <v>118</v>
      </c>
      <c r="H9188" t="s">
        <v>133</v>
      </c>
      <c r="I9188">
        <v>33113</v>
      </c>
      <c r="J9188">
        <v>41264</v>
      </c>
    </row>
    <row r="9189" spans="1:10" x14ac:dyDescent="0.3">
      <c r="A9189" t="s">
        <v>9316</v>
      </c>
      <c r="B9189" s="1">
        <v>45896</v>
      </c>
      <c r="C9189" t="s">
        <v>113</v>
      </c>
      <c r="D9189">
        <v>35</v>
      </c>
      <c r="E9189" t="s">
        <v>18</v>
      </c>
      <c r="F9189" t="s">
        <v>78</v>
      </c>
      <c r="G9189" t="s">
        <v>72</v>
      </c>
      <c r="H9189" t="s">
        <v>133</v>
      </c>
      <c r="I9189">
        <v>26898</v>
      </c>
      <c r="J9189">
        <v>33362</v>
      </c>
    </row>
    <row r="9190" spans="1:10" x14ac:dyDescent="0.3">
      <c r="A9190" t="s">
        <v>9317</v>
      </c>
      <c r="B9190" s="1">
        <v>45872</v>
      </c>
      <c r="C9190" t="s">
        <v>113</v>
      </c>
      <c r="D9190">
        <v>31</v>
      </c>
      <c r="E9190" t="s">
        <v>24</v>
      </c>
      <c r="F9190" t="s">
        <v>34</v>
      </c>
      <c r="G9190" t="s">
        <v>58</v>
      </c>
      <c r="H9190" t="s">
        <v>98</v>
      </c>
      <c r="I9190">
        <v>37825</v>
      </c>
      <c r="J9190">
        <v>37203</v>
      </c>
    </row>
    <row r="9191" spans="1:10" x14ac:dyDescent="0.3">
      <c r="A9191" t="s">
        <v>9318</v>
      </c>
      <c r="B9191" s="1">
        <v>45861</v>
      </c>
      <c r="C9191" t="s">
        <v>11</v>
      </c>
      <c r="D9191">
        <v>30</v>
      </c>
      <c r="E9191" t="s">
        <v>24</v>
      </c>
      <c r="F9191" t="s">
        <v>57</v>
      </c>
      <c r="G9191" t="s">
        <v>201</v>
      </c>
      <c r="H9191" t="s">
        <v>165</v>
      </c>
      <c r="I9191">
        <v>26442</v>
      </c>
      <c r="J9191">
        <v>27135</v>
      </c>
    </row>
    <row r="9192" spans="1:10" x14ac:dyDescent="0.3">
      <c r="A9192" t="s">
        <v>9319</v>
      </c>
      <c r="B9192" s="1">
        <v>45696</v>
      </c>
      <c r="C9192" t="s">
        <v>82</v>
      </c>
      <c r="D9192">
        <v>6</v>
      </c>
      <c r="E9192" t="s">
        <v>33</v>
      </c>
      <c r="F9192" t="s">
        <v>50</v>
      </c>
      <c r="G9192" t="s">
        <v>132</v>
      </c>
      <c r="H9192" t="s">
        <v>188</v>
      </c>
      <c r="I9192">
        <v>33652</v>
      </c>
      <c r="J9192">
        <v>38839</v>
      </c>
    </row>
    <row r="9193" spans="1:10" x14ac:dyDescent="0.3">
      <c r="A9193" t="s">
        <v>9320</v>
      </c>
      <c r="B9193" s="1">
        <v>45862</v>
      </c>
      <c r="C9193" t="s">
        <v>11</v>
      </c>
      <c r="D9193">
        <v>30</v>
      </c>
      <c r="E9193" t="s">
        <v>70</v>
      </c>
      <c r="F9193" t="s">
        <v>92</v>
      </c>
      <c r="G9193" t="s">
        <v>83</v>
      </c>
      <c r="H9193" t="s">
        <v>188</v>
      </c>
      <c r="I9193">
        <v>23428</v>
      </c>
      <c r="J9193">
        <v>21777</v>
      </c>
    </row>
    <row r="9194" spans="1:10" x14ac:dyDescent="0.3">
      <c r="A9194" t="s">
        <v>9321</v>
      </c>
      <c r="B9194" s="1">
        <v>45728</v>
      </c>
      <c r="C9194" t="s">
        <v>95</v>
      </c>
      <c r="D9194">
        <v>11</v>
      </c>
      <c r="E9194" t="s">
        <v>33</v>
      </c>
      <c r="F9194" t="s">
        <v>29</v>
      </c>
      <c r="G9194" t="s">
        <v>58</v>
      </c>
      <c r="H9194" t="s">
        <v>55</v>
      </c>
      <c r="I9194">
        <v>22945</v>
      </c>
      <c r="J9194">
        <v>16612</v>
      </c>
    </row>
    <row r="9195" spans="1:10" x14ac:dyDescent="0.3">
      <c r="A9195" t="s">
        <v>9322</v>
      </c>
      <c r="B9195" s="1">
        <v>45750</v>
      </c>
      <c r="C9195" t="s">
        <v>86</v>
      </c>
      <c r="D9195">
        <v>14</v>
      </c>
      <c r="E9195" t="s">
        <v>61</v>
      </c>
      <c r="F9195" t="s">
        <v>25</v>
      </c>
      <c r="G9195" t="s">
        <v>130</v>
      </c>
      <c r="H9195" t="s">
        <v>116</v>
      </c>
      <c r="I9195">
        <v>33772</v>
      </c>
      <c r="J9195">
        <v>40539</v>
      </c>
    </row>
    <row r="9196" spans="1:10" x14ac:dyDescent="0.3">
      <c r="A9196" t="s">
        <v>9323</v>
      </c>
      <c r="B9196" s="1">
        <v>45673</v>
      </c>
      <c r="C9196" t="s">
        <v>17</v>
      </c>
      <c r="D9196">
        <v>3</v>
      </c>
      <c r="E9196" t="s">
        <v>12</v>
      </c>
      <c r="F9196" t="s">
        <v>50</v>
      </c>
      <c r="G9196" t="s">
        <v>206</v>
      </c>
      <c r="H9196" t="s">
        <v>133</v>
      </c>
      <c r="I9196">
        <v>27900</v>
      </c>
      <c r="J9196">
        <v>20604</v>
      </c>
    </row>
    <row r="9197" spans="1:10" x14ac:dyDescent="0.3">
      <c r="A9197" t="s">
        <v>9324</v>
      </c>
      <c r="B9197" s="1">
        <v>45689</v>
      </c>
      <c r="C9197" t="s">
        <v>82</v>
      </c>
      <c r="D9197">
        <v>5</v>
      </c>
      <c r="E9197" t="s">
        <v>18</v>
      </c>
      <c r="F9197" t="s">
        <v>25</v>
      </c>
      <c r="G9197" t="s">
        <v>47</v>
      </c>
      <c r="H9197" t="s">
        <v>55</v>
      </c>
      <c r="I9197">
        <v>34269</v>
      </c>
      <c r="J9197">
        <v>33417</v>
      </c>
    </row>
    <row r="9198" spans="1:10" x14ac:dyDescent="0.3">
      <c r="A9198" t="s">
        <v>9325</v>
      </c>
      <c r="B9198" s="1">
        <v>45810</v>
      </c>
      <c r="C9198" t="s">
        <v>74</v>
      </c>
      <c r="D9198">
        <v>23</v>
      </c>
      <c r="E9198" t="s">
        <v>12</v>
      </c>
      <c r="F9198" t="s">
        <v>50</v>
      </c>
      <c r="G9198" t="s">
        <v>201</v>
      </c>
      <c r="H9198" t="s">
        <v>188</v>
      </c>
      <c r="I9198">
        <v>27275</v>
      </c>
      <c r="J9198">
        <v>24269</v>
      </c>
    </row>
    <row r="9199" spans="1:10" x14ac:dyDescent="0.3">
      <c r="A9199" t="s">
        <v>9326</v>
      </c>
      <c r="B9199" s="1">
        <v>45876</v>
      </c>
      <c r="C9199" t="s">
        <v>113</v>
      </c>
      <c r="D9199">
        <v>32</v>
      </c>
      <c r="E9199" t="s">
        <v>24</v>
      </c>
      <c r="F9199" t="s">
        <v>193</v>
      </c>
      <c r="G9199" t="s">
        <v>206</v>
      </c>
      <c r="H9199" t="s">
        <v>157</v>
      </c>
      <c r="I9199">
        <v>17778</v>
      </c>
      <c r="J9199">
        <v>12823</v>
      </c>
    </row>
    <row r="9200" spans="1:10" x14ac:dyDescent="0.3">
      <c r="A9200" t="s">
        <v>9327</v>
      </c>
      <c r="B9200" s="1">
        <v>45709</v>
      </c>
      <c r="C9200" t="s">
        <v>82</v>
      </c>
      <c r="D9200">
        <v>8</v>
      </c>
      <c r="E9200" t="s">
        <v>18</v>
      </c>
      <c r="F9200" t="s">
        <v>101</v>
      </c>
      <c r="G9200" t="s">
        <v>147</v>
      </c>
      <c r="H9200" t="s">
        <v>59</v>
      </c>
      <c r="I9200">
        <v>25385</v>
      </c>
      <c r="J9200">
        <v>21079</v>
      </c>
    </row>
    <row r="9201" spans="1:10" x14ac:dyDescent="0.3">
      <c r="A9201" t="s">
        <v>9328</v>
      </c>
      <c r="B9201" s="1">
        <v>45828</v>
      </c>
      <c r="C9201" t="s">
        <v>74</v>
      </c>
      <c r="D9201">
        <v>25</v>
      </c>
      <c r="E9201" t="s">
        <v>33</v>
      </c>
      <c r="F9201" t="s">
        <v>193</v>
      </c>
      <c r="G9201" t="s">
        <v>141</v>
      </c>
      <c r="H9201" t="s">
        <v>15</v>
      </c>
      <c r="I9201">
        <v>33735</v>
      </c>
      <c r="J9201">
        <v>40563</v>
      </c>
    </row>
    <row r="9202" spans="1:10" x14ac:dyDescent="0.3">
      <c r="A9202" t="s">
        <v>9329</v>
      </c>
      <c r="B9202" s="1">
        <v>45680</v>
      </c>
      <c r="C9202" t="s">
        <v>17</v>
      </c>
      <c r="D9202">
        <v>4</v>
      </c>
      <c r="E9202" t="s">
        <v>61</v>
      </c>
      <c r="F9202" t="s">
        <v>34</v>
      </c>
      <c r="G9202" t="s">
        <v>201</v>
      </c>
      <c r="H9202" t="s">
        <v>31</v>
      </c>
      <c r="I9202">
        <v>35233</v>
      </c>
      <c r="J9202">
        <v>43865</v>
      </c>
    </row>
    <row r="9203" spans="1:10" x14ac:dyDescent="0.3">
      <c r="A9203" t="s">
        <v>9330</v>
      </c>
      <c r="B9203" s="1">
        <v>45819</v>
      </c>
      <c r="C9203" t="s">
        <v>74</v>
      </c>
      <c r="D9203">
        <v>24</v>
      </c>
      <c r="E9203" t="s">
        <v>33</v>
      </c>
      <c r="F9203" t="s">
        <v>46</v>
      </c>
      <c r="G9203" t="s">
        <v>240</v>
      </c>
      <c r="H9203" t="s">
        <v>188</v>
      </c>
      <c r="I9203">
        <v>27870</v>
      </c>
      <c r="J9203">
        <v>20004</v>
      </c>
    </row>
    <row r="9204" spans="1:10" x14ac:dyDescent="0.3">
      <c r="A9204" t="s">
        <v>9331</v>
      </c>
      <c r="B9204" s="1">
        <v>45987</v>
      </c>
      <c r="C9204" t="s">
        <v>23</v>
      </c>
      <c r="D9204">
        <v>48</v>
      </c>
      <c r="E9204" t="s">
        <v>12</v>
      </c>
      <c r="F9204" t="s">
        <v>101</v>
      </c>
      <c r="G9204" t="s">
        <v>141</v>
      </c>
      <c r="H9204" t="s">
        <v>157</v>
      </c>
      <c r="I9204">
        <v>29306</v>
      </c>
      <c r="J9204">
        <v>34252</v>
      </c>
    </row>
    <row r="9205" spans="1:10" x14ac:dyDescent="0.3">
      <c r="A9205" t="s">
        <v>9332</v>
      </c>
      <c r="B9205" s="1">
        <v>46014</v>
      </c>
      <c r="C9205" t="s">
        <v>100</v>
      </c>
      <c r="D9205">
        <v>52</v>
      </c>
      <c r="E9205" t="s">
        <v>33</v>
      </c>
      <c r="F9205" t="s">
        <v>34</v>
      </c>
      <c r="G9205" t="s">
        <v>141</v>
      </c>
      <c r="H9205" t="s">
        <v>52</v>
      </c>
      <c r="I9205">
        <v>22282</v>
      </c>
      <c r="J9205">
        <v>26614</v>
      </c>
    </row>
    <row r="9206" spans="1:10" x14ac:dyDescent="0.3">
      <c r="A9206" t="s">
        <v>9333</v>
      </c>
      <c r="B9206" s="1">
        <v>45985</v>
      </c>
      <c r="C9206" t="s">
        <v>23</v>
      </c>
      <c r="D9206">
        <v>48</v>
      </c>
      <c r="E9206" t="s">
        <v>61</v>
      </c>
      <c r="F9206" t="s">
        <v>57</v>
      </c>
      <c r="G9206" t="s">
        <v>20</v>
      </c>
      <c r="H9206" t="s">
        <v>41</v>
      </c>
      <c r="I9206">
        <v>17242</v>
      </c>
      <c r="J9206">
        <v>21771</v>
      </c>
    </row>
    <row r="9207" spans="1:10" x14ac:dyDescent="0.3">
      <c r="A9207" t="s">
        <v>9334</v>
      </c>
      <c r="B9207" s="1">
        <v>45669</v>
      </c>
      <c r="C9207" t="s">
        <v>17</v>
      </c>
      <c r="D9207">
        <v>2</v>
      </c>
      <c r="E9207" t="s">
        <v>24</v>
      </c>
      <c r="F9207" t="s">
        <v>50</v>
      </c>
      <c r="G9207" t="s">
        <v>141</v>
      </c>
      <c r="H9207" t="s">
        <v>243</v>
      </c>
      <c r="I9207">
        <v>38958</v>
      </c>
      <c r="J9207">
        <v>48559</v>
      </c>
    </row>
    <row r="9208" spans="1:10" x14ac:dyDescent="0.3">
      <c r="A9208" t="s">
        <v>9335</v>
      </c>
      <c r="B9208" s="1">
        <v>45721</v>
      </c>
      <c r="C9208" t="s">
        <v>95</v>
      </c>
      <c r="D9208">
        <v>10</v>
      </c>
      <c r="E9208" t="s">
        <v>61</v>
      </c>
      <c r="F9208" t="s">
        <v>101</v>
      </c>
      <c r="G9208" t="s">
        <v>26</v>
      </c>
      <c r="H9208" t="s">
        <v>98</v>
      </c>
      <c r="I9208">
        <v>25258</v>
      </c>
      <c r="J9208">
        <v>26391</v>
      </c>
    </row>
    <row r="9209" spans="1:10" x14ac:dyDescent="0.3">
      <c r="A9209" t="s">
        <v>9336</v>
      </c>
      <c r="B9209" s="1">
        <v>45821</v>
      </c>
      <c r="C9209" t="s">
        <v>74</v>
      </c>
      <c r="D9209">
        <v>24</v>
      </c>
      <c r="E9209" t="s">
        <v>24</v>
      </c>
      <c r="F9209" t="s">
        <v>92</v>
      </c>
      <c r="G9209" t="s">
        <v>137</v>
      </c>
      <c r="H9209" t="s">
        <v>188</v>
      </c>
      <c r="I9209">
        <v>38129</v>
      </c>
      <c r="J9209">
        <v>36863</v>
      </c>
    </row>
    <row r="9210" spans="1:10" x14ac:dyDescent="0.3">
      <c r="A9210" t="s">
        <v>9337</v>
      </c>
      <c r="B9210" s="1">
        <v>45982</v>
      </c>
      <c r="C9210" t="s">
        <v>23</v>
      </c>
      <c r="D9210">
        <v>47</v>
      </c>
      <c r="E9210" t="s">
        <v>24</v>
      </c>
      <c r="F9210" t="s">
        <v>25</v>
      </c>
      <c r="G9210" t="s">
        <v>35</v>
      </c>
      <c r="H9210" t="s">
        <v>119</v>
      </c>
      <c r="I9210">
        <v>30757</v>
      </c>
      <c r="J9210">
        <v>29342</v>
      </c>
    </row>
    <row r="9211" spans="1:10" x14ac:dyDescent="0.3">
      <c r="A9211" t="s">
        <v>9338</v>
      </c>
      <c r="B9211" s="1">
        <v>45932</v>
      </c>
      <c r="C9211" t="s">
        <v>66</v>
      </c>
      <c r="D9211">
        <v>40</v>
      </c>
      <c r="E9211" t="s">
        <v>70</v>
      </c>
      <c r="F9211" t="s">
        <v>75</v>
      </c>
      <c r="G9211" t="s">
        <v>93</v>
      </c>
      <c r="H9211" t="s">
        <v>64</v>
      </c>
      <c r="I9211">
        <v>38515</v>
      </c>
      <c r="J9211">
        <v>32125</v>
      </c>
    </row>
    <row r="9212" spans="1:10" x14ac:dyDescent="0.3">
      <c r="A9212" t="s">
        <v>9339</v>
      </c>
      <c r="B9212" s="1">
        <v>45773</v>
      </c>
      <c r="C9212" t="s">
        <v>86</v>
      </c>
      <c r="D9212">
        <v>17</v>
      </c>
      <c r="E9212" t="s">
        <v>33</v>
      </c>
      <c r="F9212" t="s">
        <v>87</v>
      </c>
      <c r="G9212" t="s">
        <v>83</v>
      </c>
      <c r="H9212" t="s">
        <v>96</v>
      </c>
      <c r="I9212">
        <v>25531</v>
      </c>
      <c r="J9212">
        <v>22925</v>
      </c>
    </row>
    <row r="9213" spans="1:10" x14ac:dyDescent="0.3">
      <c r="A9213" t="s">
        <v>9340</v>
      </c>
      <c r="B9213" s="1">
        <v>46012</v>
      </c>
      <c r="C9213" t="s">
        <v>100</v>
      </c>
      <c r="D9213">
        <v>51</v>
      </c>
      <c r="E9213" t="s">
        <v>61</v>
      </c>
      <c r="F9213" t="s">
        <v>43</v>
      </c>
      <c r="G9213" t="s">
        <v>118</v>
      </c>
      <c r="H9213" t="s">
        <v>111</v>
      </c>
      <c r="I9213">
        <v>27972</v>
      </c>
      <c r="J9213">
        <v>20304</v>
      </c>
    </row>
    <row r="9214" spans="1:10" x14ac:dyDescent="0.3">
      <c r="A9214" t="s">
        <v>9341</v>
      </c>
      <c r="B9214" s="1">
        <v>45916</v>
      </c>
      <c r="C9214" t="s">
        <v>38</v>
      </c>
      <c r="D9214">
        <v>38</v>
      </c>
      <c r="E9214" t="s">
        <v>61</v>
      </c>
      <c r="F9214" t="s">
        <v>87</v>
      </c>
      <c r="G9214" t="s">
        <v>201</v>
      </c>
      <c r="H9214" t="s">
        <v>119</v>
      </c>
      <c r="I9214">
        <v>16103</v>
      </c>
      <c r="J9214">
        <v>15069</v>
      </c>
    </row>
    <row r="9215" spans="1:10" x14ac:dyDescent="0.3">
      <c r="A9215" t="s">
        <v>9342</v>
      </c>
      <c r="B9215" s="1">
        <v>45896</v>
      </c>
      <c r="C9215" t="s">
        <v>113</v>
      </c>
      <c r="D9215">
        <v>35</v>
      </c>
      <c r="E9215" t="s">
        <v>70</v>
      </c>
      <c r="F9215" t="s">
        <v>193</v>
      </c>
      <c r="G9215" t="s">
        <v>83</v>
      </c>
      <c r="H9215" t="s">
        <v>119</v>
      </c>
      <c r="I9215">
        <v>23237</v>
      </c>
      <c r="J9215">
        <v>23332</v>
      </c>
    </row>
    <row r="9216" spans="1:10" x14ac:dyDescent="0.3">
      <c r="A9216" t="s">
        <v>9343</v>
      </c>
      <c r="B9216" s="1">
        <v>45932</v>
      </c>
      <c r="C9216" t="s">
        <v>66</v>
      </c>
      <c r="D9216">
        <v>40</v>
      </c>
      <c r="E9216" t="s">
        <v>70</v>
      </c>
      <c r="F9216" t="s">
        <v>101</v>
      </c>
      <c r="G9216" t="s">
        <v>40</v>
      </c>
      <c r="H9216" t="s">
        <v>36</v>
      </c>
      <c r="I9216">
        <v>37412</v>
      </c>
      <c r="J9216">
        <v>40356</v>
      </c>
    </row>
    <row r="9217" spans="1:10" x14ac:dyDescent="0.3">
      <c r="A9217" t="s">
        <v>9344</v>
      </c>
      <c r="B9217" s="1">
        <v>45976</v>
      </c>
      <c r="C9217" t="s">
        <v>23</v>
      </c>
      <c r="D9217">
        <v>46</v>
      </c>
      <c r="E9217" t="s">
        <v>18</v>
      </c>
      <c r="F9217" t="s">
        <v>109</v>
      </c>
      <c r="G9217" t="s">
        <v>102</v>
      </c>
      <c r="H9217" t="s">
        <v>84</v>
      </c>
      <c r="I9217">
        <v>25264</v>
      </c>
      <c r="J9217">
        <v>30076</v>
      </c>
    </row>
    <row r="9218" spans="1:10" x14ac:dyDescent="0.3">
      <c r="A9218" t="s">
        <v>9345</v>
      </c>
      <c r="B9218" s="1">
        <v>45955</v>
      </c>
      <c r="C9218" t="s">
        <v>66</v>
      </c>
      <c r="D9218">
        <v>43</v>
      </c>
      <c r="E9218" t="s">
        <v>70</v>
      </c>
      <c r="F9218" t="s">
        <v>43</v>
      </c>
      <c r="G9218" t="s">
        <v>44</v>
      </c>
      <c r="H9218" t="s">
        <v>96</v>
      </c>
      <c r="I9218">
        <v>26037</v>
      </c>
      <c r="J9218">
        <v>27029</v>
      </c>
    </row>
    <row r="9219" spans="1:10" x14ac:dyDescent="0.3">
      <c r="A9219" t="s">
        <v>9346</v>
      </c>
      <c r="B9219" s="1">
        <v>45722</v>
      </c>
      <c r="C9219" t="s">
        <v>95</v>
      </c>
      <c r="D9219">
        <v>10</v>
      </c>
      <c r="E9219" t="s">
        <v>61</v>
      </c>
      <c r="F9219" t="s">
        <v>75</v>
      </c>
      <c r="G9219" t="s">
        <v>93</v>
      </c>
      <c r="H9219" t="s">
        <v>15</v>
      </c>
      <c r="I9219">
        <v>31118</v>
      </c>
      <c r="J9219">
        <v>30539</v>
      </c>
    </row>
    <row r="9220" spans="1:10" x14ac:dyDescent="0.3">
      <c r="A9220" t="s">
        <v>9347</v>
      </c>
      <c r="B9220" s="1">
        <v>45961</v>
      </c>
      <c r="C9220" t="s">
        <v>66</v>
      </c>
      <c r="D9220">
        <v>44</v>
      </c>
      <c r="E9220" t="s">
        <v>12</v>
      </c>
      <c r="F9220" t="s">
        <v>19</v>
      </c>
      <c r="G9220" t="s">
        <v>30</v>
      </c>
      <c r="H9220" t="s">
        <v>55</v>
      </c>
      <c r="I9220">
        <v>17887</v>
      </c>
      <c r="J9220">
        <v>17699</v>
      </c>
    </row>
    <row r="9221" spans="1:10" x14ac:dyDescent="0.3">
      <c r="A9221" t="s">
        <v>9348</v>
      </c>
      <c r="B9221" s="1">
        <v>45983</v>
      </c>
      <c r="C9221" t="s">
        <v>23</v>
      </c>
      <c r="D9221">
        <v>47</v>
      </c>
      <c r="E9221" t="s">
        <v>12</v>
      </c>
      <c r="F9221" t="s">
        <v>78</v>
      </c>
      <c r="G9221" t="s">
        <v>141</v>
      </c>
      <c r="H9221" t="s">
        <v>163</v>
      </c>
      <c r="I9221">
        <v>34941</v>
      </c>
      <c r="J9221">
        <v>40680</v>
      </c>
    </row>
    <row r="9222" spans="1:10" x14ac:dyDescent="0.3">
      <c r="A9222" t="s">
        <v>9349</v>
      </c>
      <c r="B9222" s="1">
        <v>45942</v>
      </c>
      <c r="C9222" t="s">
        <v>66</v>
      </c>
      <c r="D9222">
        <v>41</v>
      </c>
      <c r="E9222" t="s">
        <v>12</v>
      </c>
      <c r="F9222" t="s">
        <v>19</v>
      </c>
      <c r="G9222" t="s">
        <v>147</v>
      </c>
      <c r="H9222" t="s">
        <v>15</v>
      </c>
      <c r="I9222">
        <v>34330</v>
      </c>
      <c r="J9222">
        <v>33802</v>
      </c>
    </row>
    <row r="9223" spans="1:10" x14ac:dyDescent="0.3">
      <c r="A9223" t="s">
        <v>9350</v>
      </c>
      <c r="B9223" s="1">
        <v>45937</v>
      </c>
      <c r="C9223" t="s">
        <v>66</v>
      </c>
      <c r="D9223">
        <v>41</v>
      </c>
      <c r="E9223" t="s">
        <v>61</v>
      </c>
      <c r="F9223" t="s">
        <v>25</v>
      </c>
      <c r="G9223" t="s">
        <v>135</v>
      </c>
      <c r="H9223" t="s">
        <v>188</v>
      </c>
      <c r="I9223">
        <v>22085</v>
      </c>
      <c r="J9223">
        <v>23994</v>
      </c>
    </row>
    <row r="9224" spans="1:10" x14ac:dyDescent="0.3">
      <c r="A9224" t="s">
        <v>9351</v>
      </c>
      <c r="B9224" s="1">
        <v>45806</v>
      </c>
      <c r="C9224" t="s">
        <v>90</v>
      </c>
      <c r="D9224">
        <v>22</v>
      </c>
      <c r="E9224" t="s">
        <v>18</v>
      </c>
      <c r="F9224" t="s">
        <v>13</v>
      </c>
      <c r="G9224" t="s">
        <v>47</v>
      </c>
      <c r="H9224" t="s">
        <v>151</v>
      </c>
      <c r="I9224">
        <v>29774</v>
      </c>
      <c r="J9224">
        <v>28851</v>
      </c>
    </row>
    <row r="9225" spans="1:10" x14ac:dyDescent="0.3">
      <c r="A9225" t="s">
        <v>9352</v>
      </c>
      <c r="B9225" s="1">
        <v>45856</v>
      </c>
      <c r="C9225" t="s">
        <v>11</v>
      </c>
      <c r="D9225">
        <v>29</v>
      </c>
      <c r="E9225" t="s">
        <v>39</v>
      </c>
      <c r="F9225" t="s">
        <v>114</v>
      </c>
      <c r="G9225" t="s">
        <v>201</v>
      </c>
      <c r="H9225" t="s">
        <v>116</v>
      </c>
      <c r="I9225">
        <v>18317</v>
      </c>
      <c r="J9225">
        <v>17285</v>
      </c>
    </row>
    <row r="9226" spans="1:10" x14ac:dyDescent="0.3">
      <c r="A9226" t="s">
        <v>9353</v>
      </c>
      <c r="B9226" s="1">
        <v>45769</v>
      </c>
      <c r="C9226" t="s">
        <v>86</v>
      </c>
      <c r="D9226">
        <v>17</v>
      </c>
      <c r="E9226" t="s">
        <v>33</v>
      </c>
      <c r="F9226" t="s">
        <v>78</v>
      </c>
      <c r="G9226" t="s">
        <v>79</v>
      </c>
      <c r="H9226" t="s">
        <v>133</v>
      </c>
      <c r="I9226">
        <v>38245</v>
      </c>
      <c r="J9226">
        <v>36530</v>
      </c>
    </row>
    <row r="9227" spans="1:10" x14ac:dyDescent="0.3">
      <c r="A9227" t="s">
        <v>9354</v>
      </c>
      <c r="B9227" s="1">
        <v>45885</v>
      </c>
      <c r="C9227" t="s">
        <v>113</v>
      </c>
      <c r="D9227">
        <v>33</v>
      </c>
      <c r="E9227" t="s">
        <v>70</v>
      </c>
      <c r="F9227" t="s">
        <v>75</v>
      </c>
      <c r="G9227" t="s">
        <v>30</v>
      </c>
      <c r="H9227" t="s">
        <v>133</v>
      </c>
      <c r="I9227">
        <v>32816</v>
      </c>
      <c r="J9227">
        <v>31223</v>
      </c>
    </row>
    <row r="9228" spans="1:10" x14ac:dyDescent="0.3">
      <c r="A9228" t="s">
        <v>9355</v>
      </c>
      <c r="B9228" s="1">
        <v>45697</v>
      </c>
      <c r="C9228" t="s">
        <v>82</v>
      </c>
      <c r="D9228">
        <v>6</v>
      </c>
      <c r="E9228" t="s">
        <v>33</v>
      </c>
      <c r="F9228" t="s">
        <v>87</v>
      </c>
      <c r="G9228" t="s">
        <v>224</v>
      </c>
      <c r="H9228" t="s">
        <v>52</v>
      </c>
      <c r="I9228">
        <v>25298</v>
      </c>
      <c r="J9228">
        <v>17856</v>
      </c>
    </row>
    <row r="9229" spans="1:10" x14ac:dyDescent="0.3">
      <c r="A9229" t="s">
        <v>9356</v>
      </c>
      <c r="B9229" s="1">
        <v>45960</v>
      </c>
      <c r="C9229" t="s">
        <v>66</v>
      </c>
      <c r="D9229">
        <v>44</v>
      </c>
      <c r="E9229" t="s">
        <v>18</v>
      </c>
      <c r="F9229" t="s">
        <v>29</v>
      </c>
      <c r="G9229" t="s">
        <v>54</v>
      </c>
      <c r="H9229" t="s">
        <v>15</v>
      </c>
      <c r="I9229">
        <v>37508</v>
      </c>
      <c r="J9229">
        <v>39354</v>
      </c>
    </row>
    <row r="9230" spans="1:10" x14ac:dyDescent="0.3">
      <c r="A9230" t="s">
        <v>9357</v>
      </c>
      <c r="B9230" s="1">
        <v>45984</v>
      </c>
      <c r="C9230" t="s">
        <v>23</v>
      </c>
      <c r="D9230">
        <v>47</v>
      </c>
      <c r="E9230" t="s">
        <v>70</v>
      </c>
      <c r="F9230" t="s">
        <v>25</v>
      </c>
      <c r="G9230" t="s">
        <v>326</v>
      </c>
      <c r="H9230" t="s">
        <v>98</v>
      </c>
      <c r="I9230">
        <v>21716</v>
      </c>
      <c r="J9230">
        <v>17996</v>
      </c>
    </row>
    <row r="9231" spans="1:10" x14ac:dyDescent="0.3">
      <c r="A9231" t="s">
        <v>9358</v>
      </c>
      <c r="B9231" s="1">
        <v>45998</v>
      </c>
      <c r="C9231" t="s">
        <v>100</v>
      </c>
      <c r="D9231">
        <v>49</v>
      </c>
      <c r="E9231" t="s">
        <v>24</v>
      </c>
      <c r="F9231" t="s">
        <v>29</v>
      </c>
      <c r="G9231" t="s">
        <v>40</v>
      </c>
      <c r="H9231" t="s">
        <v>68</v>
      </c>
      <c r="I9231">
        <v>22711</v>
      </c>
      <c r="J9231">
        <v>24750</v>
      </c>
    </row>
    <row r="9232" spans="1:10" x14ac:dyDescent="0.3">
      <c r="A9232" t="s">
        <v>9359</v>
      </c>
      <c r="B9232" s="1">
        <v>45783</v>
      </c>
      <c r="C9232" t="s">
        <v>90</v>
      </c>
      <c r="D9232">
        <v>19</v>
      </c>
      <c r="E9232" t="s">
        <v>33</v>
      </c>
      <c r="F9232" t="s">
        <v>25</v>
      </c>
      <c r="G9232" t="s">
        <v>171</v>
      </c>
      <c r="H9232" t="s">
        <v>116</v>
      </c>
      <c r="I9232">
        <v>21904</v>
      </c>
      <c r="J9232">
        <v>23130</v>
      </c>
    </row>
    <row r="9233" spans="1:10" x14ac:dyDescent="0.3">
      <c r="A9233" t="s">
        <v>9360</v>
      </c>
      <c r="B9233" s="1">
        <v>45984</v>
      </c>
      <c r="C9233" t="s">
        <v>23</v>
      </c>
      <c r="D9233">
        <v>47</v>
      </c>
      <c r="E9233" t="s">
        <v>70</v>
      </c>
      <c r="F9233" t="s">
        <v>25</v>
      </c>
      <c r="G9233" t="s">
        <v>201</v>
      </c>
      <c r="H9233" t="s">
        <v>21</v>
      </c>
      <c r="I9233">
        <v>20239</v>
      </c>
      <c r="J9233">
        <v>24050</v>
      </c>
    </row>
    <row r="9234" spans="1:10" x14ac:dyDescent="0.3">
      <c r="A9234" t="s">
        <v>9361</v>
      </c>
      <c r="B9234" s="1">
        <v>45702</v>
      </c>
      <c r="C9234" t="s">
        <v>82</v>
      </c>
      <c r="D9234">
        <v>7</v>
      </c>
      <c r="E9234" t="s">
        <v>33</v>
      </c>
      <c r="F9234" t="s">
        <v>101</v>
      </c>
      <c r="G9234" t="s">
        <v>128</v>
      </c>
      <c r="H9234" t="s">
        <v>163</v>
      </c>
      <c r="I9234">
        <v>38965</v>
      </c>
      <c r="J9234">
        <v>48370</v>
      </c>
    </row>
    <row r="9235" spans="1:10" x14ac:dyDescent="0.3">
      <c r="A9235" t="s">
        <v>9362</v>
      </c>
      <c r="B9235" s="1">
        <v>45891</v>
      </c>
      <c r="C9235" t="s">
        <v>113</v>
      </c>
      <c r="D9235">
        <v>34</v>
      </c>
      <c r="E9235" t="s">
        <v>61</v>
      </c>
      <c r="F9235" t="s">
        <v>34</v>
      </c>
      <c r="G9235" t="s">
        <v>30</v>
      </c>
      <c r="H9235" t="s">
        <v>188</v>
      </c>
      <c r="I9235">
        <v>35004</v>
      </c>
      <c r="J9235">
        <v>31391</v>
      </c>
    </row>
    <row r="9236" spans="1:10" x14ac:dyDescent="0.3">
      <c r="A9236" t="s">
        <v>9363</v>
      </c>
      <c r="B9236" s="1">
        <v>45840</v>
      </c>
      <c r="C9236" t="s">
        <v>11</v>
      </c>
      <c r="D9236">
        <v>27</v>
      </c>
      <c r="E9236" t="s">
        <v>70</v>
      </c>
      <c r="F9236" t="s">
        <v>114</v>
      </c>
      <c r="G9236" t="s">
        <v>240</v>
      </c>
      <c r="H9236" t="s">
        <v>41</v>
      </c>
      <c r="I9236">
        <v>26433</v>
      </c>
      <c r="J9236">
        <v>21956</v>
      </c>
    </row>
    <row r="9237" spans="1:10" x14ac:dyDescent="0.3">
      <c r="A9237" t="s">
        <v>9364</v>
      </c>
      <c r="B9237" s="1">
        <v>45825</v>
      </c>
      <c r="C9237" t="s">
        <v>74</v>
      </c>
      <c r="D9237">
        <v>25</v>
      </c>
      <c r="E9237" t="s">
        <v>39</v>
      </c>
      <c r="F9237" t="s">
        <v>46</v>
      </c>
      <c r="G9237" t="s">
        <v>40</v>
      </c>
      <c r="H9237" t="s">
        <v>116</v>
      </c>
      <c r="I9237">
        <v>31965</v>
      </c>
      <c r="J9237">
        <v>40964</v>
      </c>
    </row>
    <row r="9238" spans="1:10" x14ac:dyDescent="0.3">
      <c r="A9238" t="s">
        <v>9365</v>
      </c>
      <c r="B9238" s="1">
        <v>45834</v>
      </c>
      <c r="C9238" t="s">
        <v>74</v>
      </c>
      <c r="D9238">
        <v>26</v>
      </c>
      <c r="E9238" t="s">
        <v>61</v>
      </c>
      <c r="F9238" t="s">
        <v>19</v>
      </c>
      <c r="G9238" t="s">
        <v>63</v>
      </c>
      <c r="H9238" t="s">
        <v>36</v>
      </c>
      <c r="I9238">
        <v>17333</v>
      </c>
      <c r="J9238">
        <v>17751</v>
      </c>
    </row>
    <row r="9239" spans="1:10" x14ac:dyDescent="0.3">
      <c r="A9239" t="s">
        <v>9366</v>
      </c>
      <c r="B9239" s="1">
        <v>45931</v>
      </c>
      <c r="C9239" t="s">
        <v>66</v>
      </c>
      <c r="D9239">
        <v>40</v>
      </c>
      <c r="E9239" t="s">
        <v>33</v>
      </c>
      <c r="F9239" t="s">
        <v>92</v>
      </c>
      <c r="G9239" t="s">
        <v>107</v>
      </c>
      <c r="H9239" t="s">
        <v>36</v>
      </c>
      <c r="I9239">
        <v>25753</v>
      </c>
      <c r="J9239">
        <v>27743</v>
      </c>
    </row>
    <row r="9240" spans="1:10" x14ac:dyDescent="0.3">
      <c r="A9240" t="s">
        <v>9367</v>
      </c>
      <c r="B9240" s="1">
        <v>45855</v>
      </c>
      <c r="C9240" t="s">
        <v>11</v>
      </c>
      <c r="D9240">
        <v>29</v>
      </c>
      <c r="E9240" t="s">
        <v>18</v>
      </c>
      <c r="F9240" t="s">
        <v>43</v>
      </c>
      <c r="G9240" t="s">
        <v>107</v>
      </c>
      <c r="H9240" t="s">
        <v>155</v>
      </c>
      <c r="I9240">
        <v>37514</v>
      </c>
      <c r="J9240">
        <v>43920</v>
      </c>
    </row>
    <row r="9241" spans="1:10" x14ac:dyDescent="0.3">
      <c r="A9241" t="s">
        <v>9368</v>
      </c>
      <c r="B9241" s="1">
        <v>45835</v>
      </c>
      <c r="C9241" t="s">
        <v>74</v>
      </c>
      <c r="D9241">
        <v>26</v>
      </c>
      <c r="E9241" t="s">
        <v>18</v>
      </c>
      <c r="F9241" t="s">
        <v>29</v>
      </c>
      <c r="G9241" t="s">
        <v>44</v>
      </c>
      <c r="H9241" t="s">
        <v>165</v>
      </c>
      <c r="I9241">
        <v>29144</v>
      </c>
      <c r="J9241">
        <v>32842</v>
      </c>
    </row>
    <row r="9242" spans="1:10" x14ac:dyDescent="0.3">
      <c r="A9242" t="s">
        <v>9369</v>
      </c>
      <c r="B9242" s="1">
        <v>45887</v>
      </c>
      <c r="C9242" t="s">
        <v>113</v>
      </c>
      <c r="D9242">
        <v>34</v>
      </c>
      <c r="E9242" t="s">
        <v>12</v>
      </c>
      <c r="F9242" t="s">
        <v>46</v>
      </c>
      <c r="G9242" t="s">
        <v>63</v>
      </c>
      <c r="H9242" t="s">
        <v>96</v>
      </c>
      <c r="I9242">
        <v>26626</v>
      </c>
      <c r="J9242">
        <v>24610</v>
      </c>
    </row>
    <row r="9243" spans="1:10" x14ac:dyDescent="0.3">
      <c r="A9243" t="s">
        <v>9370</v>
      </c>
      <c r="B9243" s="1">
        <v>45806</v>
      </c>
      <c r="C9243" t="s">
        <v>90</v>
      </c>
      <c r="D9243">
        <v>22</v>
      </c>
      <c r="E9243" t="s">
        <v>33</v>
      </c>
      <c r="F9243" t="s">
        <v>19</v>
      </c>
      <c r="G9243" t="s">
        <v>126</v>
      </c>
      <c r="H9243" t="s">
        <v>41</v>
      </c>
      <c r="I9243">
        <v>15545</v>
      </c>
      <c r="J9243">
        <v>17708</v>
      </c>
    </row>
    <row r="9244" spans="1:10" x14ac:dyDescent="0.3">
      <c r="A9244" t="s">
        <v>9371</v>
      </c>
      <c r="B9244" s="1">
        <v>45957</v>
      </c>
      <c r="C9244" t="s">
        <v>66</v>
      </c>
      <c r="D9244">
        <v>44</v>
      </c>
      <c r="E9244" t="s">
        <v>61</v>
      </c>
      <c r="F9244" t="s">
        <v>109</v>
      </c>
      <c r="G9244" t="s">
        <v>171</v>
      </c>
      <c r="H9244" t="s">
        <v>84</v>
      </c>
      <c r="I9244">
        <v>33857</v>
      </c>
      <c r="J9244">
        <v>41465</v>
      </c>
    </row>
    <row r="9245" spans="1:10" x14ac:dyDescent="0.3">
      <c r="A9245" t="s">
        <v>9372</v>
      </c>
      <c r="B9245" s="1">
        <v>45691</v>
      </c>
      <c r="C9245" t="s">
        <v>82</v>
      </c>
      <c r="D9245">
        <v>6</v>
      </c>
      <c r="E9245" t="s">
        <v>24</v>
      </c>
      <c r="F9245" t="s">
        <v>46</v>
      </c>
      <c r="G9245" t="s">
        <v>26</v>
      </c>
      <c r="H9245" t="s">
        <v>119</v>
      </c>
      <c r="I9245">
        <v>38413</v>
      </c>
      <c r="J9245">
        <v>40666</v>
      </c>
    </row>
    <row r="9246" spans="1:10" x14ac:dyDescent="0.3">
      <c r="A9246" t="s">
        <v>9373</v>
      </c>
      <c r="B9246" s="1">
        <v>45772</v>
      </c>
      <c r="C9246" t="s">
        <v>86</v>
      </c>
      <c r="D9246">
        <v>17</v>
      </c>
      <c r="E9246" t="s">
        <v>12</v>
      </c>
      <c r="F9246" t="s">
        <v>34</v>
      </c>
      <c r="G9246" t="s">
        <v>253</v>
      </c>
      <c r="H9246" t="s">
        <v>52</v>
      </c>
      <c r="I9246">
        <v>35306</v>
      </c>
      <c r="J9246">
        <v>45231</v>
      </c>
    </row>
    <row r="9247" spans="1:10" x14ac:dyDescent="0.3">
      <c r="A9247" t="s">
        <v>9374</v>
      </c>
      <c r="B9247" s="1">
        <v>45933</v>
      </c>
      <c r="C9247" t="s">
        <v>66</v>
      </c>
      <c r="D9247">
        <v>40</v>
      </c>
      <c r="E9247" t="s">
        <v>24</v>
      </c>
      <c r="F9247" t="s">
        <v>87</v>
      </c>
      <c r="G9247" t="s">
        <v>44</v>
      </c>
      <c r="H9247" t="s">
        <v>59</v>
      </c>
      <c r="I9247">
        <v>21908</v>
      </c>
      <c r="J9247">
        <v>19561</v>
      </c>
    </row>
    <row r="9248" spans="1:10" x14ac:dyDescent="0.3">
      <c r="A9248" t="s">
        <v>9375</v>
      </c>
      <c r="B9248" s="1">
        <v>45667</v>
      </c>
      <c r="C9248" t="s">
        <v>17</v>
      </c>
      <c r="D9248">
        <v>2</v>
      </c>
      <c r="E9248" t="s">
        <v>12</v>
      </c>
      <c r="F9248" t="s">
        <v>25</v>
      </c>
      <c r="G9248" t="s">
        <v>135</v>
      </c>
      <c r="H9248" t="s">
        <v>211</v>
      </c>
      <c r="I9248">
        <v>37406</v>
      </c>
      <c r="J9248">
        <v>38651</v>
      </c>
    </row>
    <row r="9249" spans="1:10" x14ac:dyDescent="0.3">
      <c r="A9249" t="s">
        <v>9376</v>
      </c>
      <c r="B9249" s="1">
        <v>45894</v>
      </c>
      <c r="C9249" t="s">
        <v>113</v>
      </c>
      <c r="D9249">
        <v>35</v>
      </c>
      <c r="E9249" t="s">
        <v>39</v>
      </c>
      <c r="F9249" t="s">
        <v>87</v>
      </c>
      <c r="G9249" t="s">
        <v>253</v>
      </c>
      <c r="H9249" t="s">
        <v>155</v>
      </c>
      <c r="I9249">
        <v>27825</v>
      </c>
      <c r="J9249">
        <v>23562</v>
      </c>
    </row>
    <row r="9250" spans="1:10" x14ac:dyDescent="0.3">
      <c r="A9250" t="s">
        <v>9377</v>
      </c>
      <c r="B9250" s="1">
        <v>45690</v>
      </c>
      <c r="C9250" t="s">
        <v>82</v>
      </c>
      <c r="D9250">
        <v>5</v>
      </c>
      <c r="E9250" t="s">
        <v>33</v>
      </c>
      <c r="F9250" t="s">
        <v>87</v>
      </c>
      <c r="G9250" t="s">
        <v>230</v>
      </c>
      <c r="H9250" t="s">
        <v>119</v>
      </c>
      <c r="I9250">
        <v>38864</v>
      </c>
      <c r="J9250">
        <v>42407</v>
      </c>
    </row>
    <row r="9251" spans="1:10" x14ac:dyDescent="0.3">
      <c r="A9251" t="s">
        <v>9378</v>
      </c>
      <c r="B9251" s="1">
        <v>45852</v>
      </c>
      <c r="C9251" t="s">
        <v>11</v>
      </c>
      <c r="D9251">
        <v>29</v>
      </c>
      <c r="E9251" t="s">
        <v>12</v>
      </c>
      <c r="F9251" t="s">
        <v>46</v>
      </c>
      <c r="G9251" t="s">
        <v>182</v>
      </c>
      <c r="H9251" t="s">
        <v>27</v>
      </c>
      <c r="I9251">
        <v>20148</v>
      </c>
      <c r="J9251">
        <v>21337</v>
      </c>
    </row>
    <row r="9252" spans="1:10" x14ac:dyDescent="0.3">
      <c r="A9252" t="s">
        <v>9379</v>
      </c>
      <c r="B9252" s="1">
        <v>45894</v>
      </c>
      <c r="C9252" t="s">
        <v>113</v>
      </c>
      <c r="D9252">
        <v>35</v>
      </c>
      <c r="E9252" t="s">
        <v>12</v>
      </c>
      <c r="F9252" t="s">
        <v>13</v>
      </c>
      <c r="G9252" t="s">
        <v>110</v>
      </c>
      <c r="H9252" t="s">
        <v>157</v>
      </c>
      <c r="I9252">
        <v>25176</v>
      </c>
      <c r="J9252">
        <v>20598</v>
      </c>
    </row>
    <row r="9253" spans="1:10" x14ac:dyDescent="0.3">
      <c r="A9253" t="s">
        <v>9380</v>
      </c>
      <c r="B9253" s="1">
        <v>45839</v>
      </c>
      <c r="C9253" t="s">
        <v>11</v>
      </c>
      <c r="D9253">
        <v>27</v>
      </c>
      <c r="E9253" t="s">
        <v>24</v>
      </c>
      <c r="F9253" t="s">
        <v>114</v>
      </c>
      <c r="G9253" t="s">
        <v>54</v>
      </c>
      <c r="H9253" t="s">
        <v>21</v>
      </c>
      <c r="I9253">
        <v>18145</v>
      </c>
      <c r="J9253">
        <v>18488</v>
      </c>
    </row>
    <row r="9254" spans="1:10" x14ac:dyDescent="0.3">
      <c r="A9254" t="s">
        <v>9381</v>
      </c>
      <c r="B9254" s="1">
        <v>45831</v>
      </c>
      <c r="C9254" t="s">
        <v>74</v>
      </c>
      <c r="D9254">
        <v>26</v>
      </c>
      <c r="E9254" t="s">
        <v>39</v>
      </c>
      <c r="F9254" t="s">
        <v>46</v>
      </c>
      <c r="G9254" t="s">
        <v>126</v>
      </c>
      <c r="H9254" t="s">
        <v>36</v>
      </c>
      <c r="I9254">
        <v>20267</v>
      </c>
      <c r="J9254">
        <v>20541</v>
      </c>
    </row>
    <row r="9255" spans="1:10" x14ac:dyDescent="0.3">
      <c r="A9255" t="s">
        <v>9382</v>
      </c>
      <c r="B9255" s="1">
        <v>45979</v>
      </c>
      <c r="C9255" t="s">
        <v>23</v>
      </c>
      <c r="D9255">
        <v>47</v>
      </c>
      <c r="E9255" t="s">
        <v>33</v>
      </c>
      <c r="F9255" t="s">
        <v>75</v>
      </c>
      <c r="G9255" t="s">
        <v>253</v>
      </c>
      <c r="H9255" t="s">
        <v>116</v>
      </c>
      <c r="I9255">
        <v>23906</v>
      </c>
      <c r="J9255">
        <v>22532</v>
      </c>
    </row>
    <row r="9256" spans="1:10" x14ac:dyDescent="0.3">
      <c r="A9256" t="s">
        <v>9383</v>
      </c>
      <c r="B9256" s="1">
        <v>45851</v>
      </c>
      <c r="C9256" t="s">
        <v>11</v>
      </c>
      <c r="D9256">
        <v>28</v>
      </c>
      <c r="E9256" t="s">
        <v>70</v>
      </c>
      <c r="F9256" t="s">
        <v>25</v>
      </c>
      <c r="G9256" t="s">
        <v>102</v>
      </c>
      <c r="H9256" t="s">
        <v>21</v>
      </c>
      <c r="I9256">
        <v>39495</v>
      </c>
      <c r="J9256">
        <v>27895</v>
      </c>
    </row>
    <row r="9257" spans="1:10" x14ac:dyDescent="0.3">
      <c r="A9257" t="s">
        <v>9384</v>
      </c>
      <c r="B9257" s="1">
        <v>45794</v>
      </c>
      <c r="C9257" t="s">
        <v>90</v>
      </c>
      <c r="D9257">
        <v>20</v>
      </c>
      <c r="E9257" t="s">
        <v>39</v>
      </c>
      <c r="F9257" t="s">
        <v>87</v>
      </c>
      <c r="G9257" t="s">
        <v>160</v>
      </c>
      <c r="H9257" t="s">
        <v>155</v>
      </c>
      <c r="I9257">
        <v>38782</v>
      </c>
      <c r="J9257">
        <v>48374</v>
      </c>
    </row>
    <row r="9258" spans="1:10" x14ac:dyDescent="0.3">
      <c r="A9258" t="s">
        <v>9385</v>
      </c>
      <c r="B9258" s="1">
        <v>45978</v>
      </c>
      <c r="C9258" t="s">
        <v>23</v>
      </c>
      <c r="D9258">
        <v>47</v>
      </c>
      <c r="E9258" t="s">
        <v>12</v>
      </c>
      <c r="F9258" t="s">
        <v>46</v>
      </c>
      <c r="G9258" t="s">
        <v>149</v>
      </c>
      <c r="H9258" t="s">
        <v>119</v>
      </c>
      <c r="I9258">
        <v>26547</v>
      </c>
      <c r="J9258">
        <v>21747</v>
      </c>
    </row>
    <row r="9259" spans="1:10" x14ac:dyDescent="0.3">
      <c r="A9259" t="s">
        <v>9386</v>
      </c>
      <c r="B9259" s="1">
        <v>45842</v>
      </c>
      <c r="C9259" t="s">
        <v>11</v>
      </c>
      <c r="D9259">
        <v>27</v>
      </c>
      <c r="E9259" t="s">
        <v>24</v>
      </c>
      <c r="F9259" t="s">
        <v>29</v>
      </c>
      <c r="G9259" t="s">
        <v>147</v>
      </c>
      <c r="H9259" t="s">
        <v>59</v>
      </c>
      <c r="I9259">
        <v>24882</v>
      </c>
      <c r="J9259">
        <v>28260</v>
      </c>
    </row>
    <row r="9260" spans="1:10" x14ac:dyDescent="0.3">
      <c r="A9260" t="s">
        <v>9387</v>
      </c>
      <c r="B9260" s="1">
        <v>45716</v>
      </c>
      <c r="C9260" t="s">
        <v>82</v>
      </c>
      <c r="D9260">
        <v>9</v>
      </c>
      <c r="E9260" t="s">
        <v>18</v>
      </c>
      <c r="F9260" t="s">
        <v>114</v>
      </c>
      <c r="G9260" t="s">
        <v>145</v>
      </c>
      <c r="H9260" t="s">
        <v>103</v>
      </c>
      <c r="I9260">
        <v>34215</v>
      </c>
      <c r="J9260">
        <v>43787</v>
      </c>
    </row>
    <row r="9261" spans="1:10" x14ac:dyDescent="0.3">
      <c r="A9261" t="s">
        <v>9388</v>
      </c>
      <c r="B9261" s="1">
        <v>45829</v>
      </c>
      <c r="C9261" t="s">
        <v>74</v>
      </c>
      <c r="D9261">
        <v>25</v>
      </c>
      <c r="E9261" t="s">
        <v>24</v>
      </c>
      <c r="F9261" t="s">
        <v>114</v>
      </c>
      <c r="G9261" t="s">
        <v>253</v>
      </c>
      <c r="H9261" t="s">
        <v>36</v>
      </c>
      <c r="I9261">
        <v>17200</v>
      </c>
      <c r="J9261">
        <v>21063</v>
      </c>
    </row>
    <row r="9262" spans="1:10" x14ac:dyDescent="0.3">
      <c r="A9262" t="s">
        <v>9389</v>
      </c>
      <c r="B9262" s="1">
        <v>45732</v>
      </c>
      <c r="C9262" t="s">
        <v>95</v>
      </c>
      <c r="D9262">
        <v>11</v>
      </c>
      <c r="E9262" t="s">
        <v>18</v>
      </c>
      <c r="F9262" t="s">
        <v>101</v>
      </c>
      <c r="G9262" t="s">
        <v>132</v>
      </c>
      <c r="H9262" t="s">
        <v>211</v>
      </c>
      <c r="I9262">
        <v>26569</v>
      </c>
      <c r="J9262">
        <v>31596</v>
      </c>
    </row>
    <row r="9263" spans="1:10" x14ac:dyDescent="0.3">
      <c r="A9263" t="s">
        <v>9390</v>
      </c>
      <c r="B9263" s="1">
        <v>45706</v>
      </c>
      <c r="C9263" t="s">
        <v>82</v>
      </c>
      <c r="D9263">
        <v>8</v>
      </c>
      <c r="E9263" t="s">
        <v>33</v>
      </c>
      <c r="F9263" t="s">
        <v>78</v>
      </c>
      <c r="G9263" t="s">
        <v>54</v>
      </c>
      <c r="H9263" t="s">
        <v>21</v>
      </c>
      <c r="I9263">
        <v>34296</v>
      </c>
      <c r="J9263">
        <v>26431</v>
      </c>
    </row>
    <row r="9264" spans="1:10" x14ac:dyDescent="0.3">
      <c r="A9264" t="s">
        <v>9391</v>
      </c>
      <c r="B9264" s="1">
        <v>45869</v>
      </c>
      <c r="C9264" t="s">
        <v>11</v>
      </c>
      <c r="D9264">
        <v>31</v>
      </c>
      <c r="E9264" t="s">
        <v>33</v>
      </c>
      <c r="F9264" t="s">
        <v>25</v>
      </c>
      <c r="G9264" t="s">
        <v>20</v>
      </c>
      <c r="H9264" t="s">
        <v>41</v>
      </c>
      <c r="I9264">
        <v>31976</v>
      </c>
      <c r="J9264">
        <v>33978</v>
      </c>
    </row>
    <row r="9265" spans="1:10" x14ac:dyDescent="0.3">
      <c r="A9265" t="s">
        <v>9392</v>
      </c>
      <c r="B9265" s="1">
        <v>45874</v>
      </c>
      <c r="C9265" t="s">
        <v>113</v>
      </c>
      <c r="D9265">
        <v>32</v>
      </c>
      <c r="E9265" t="s">
        <v>18</v>
      </c>
      <c r="F9265" t="s">
        <v>57</v>
      </c>
      <c r="G9265" t="s">
        <v>93</v>
      </c>
      <c r="H9265" t="s">
        <v>188</v>
      </c>
      <c r="I9265">
        <v>34689</v>
      </c>
      <c r="J9265">
        <v>26263</v>
      </c>
    </row>
    <row r="9266" spans="1:10" x14ac:dyDescent="0.3">
      <c r="A9266" t="s">
        <v>9393</v>
      </c>
      <c r="B9266" s="1">
        <v>45697</v>
      </c>
      <c r="C9266" t="s">
        <v>82</v>
      </c>
      <c r="D9266">
        <v>6</v>
      </c>
      <c r="E9266" t="s">
        <v>61</v>
      </c>
      <c r="F9266" t="s">
        <v>46</v>
      </c>
      <c r="G9266" t="s">
        <v>58</v>
      </c>
      <c r="H9266" t="s">
        <v>133</v>
      </c>
      <c r="I9266">
        <v>26248</v>
      </c>
      <c r="J9266">
        <v>33515</v>
      </c>
    </row>
    <row r="9267" spans="1:10" x14ac:dyDescent="0.3">
      <c r="A9267" t="s">
        <v>9394</v>
      </c>
      <c r="B9267" s="1">
        <v>45880</v>
      </c>
      <c r="C9267" t="s">
        <v>113</v>
      </c>
      <c r="D9267">
        <v>33</v>
      </c>
      <c r="E9267" t="s">
        <v>33</v>
      </c>
      <c r="F9267" t="s">
        <v>25</v>
      </c>
      <c r="G9267" t="s">
        <v>58</v>
      </c>
      <c r="H9267" t="s">
        <v>36</v>
      </c>
      <c r="I9267">
        <v>37660</v>
      </c>
      <c r="J9267">
        <v>26817</v>
      </c>
    </row>
    <row r="9268" spans="1:10" x14ac:dyDescent="0.3">
      <c r="A9268" t="s">
        <v>9395</v>
      </c>
      <c r="B9268" s="1">
        <v>45846</v>
      </c>
      <c r="C9268" t="s">
        <v>11</v>
      </c>
      <c r="D9268">
        <v>28</v>
      </c>
      <c r="E9268" t="s">
        <v>39</v>
      </c>
      <c r="F9268" t="s">
        <v>19</v>
      </c>
      <c r="G9268" t="s">
        <v>137</v>
      </c>
      <c r="H9268" t="s">
        <v>123</v>
      </c>
      <c r="I9268">
        <v>27078</v>
      </c>
      <c r="J9268">
        <v>23317</v>
      </c>
    </row>
    <row r="9269" spans="1:10" x14ac:dyDescent="0.3">
      <c r="A9269" t="s">
        <v>9396</v>
      </c>
      <c r="B9269" s="1">
        <v>45774</v>
      </c>
      <c r="C9269" t="s">
        <v>86</v>
      </c>
      <c r="D9269">
        <v>17</v>
      </c>
      <c r="E9269" t="s">
        <v>24</v>
      </c>
      <c r="F9269" t="s">
        <v>34</v>
      </c>
      <c r="G9269" t="s">
        <v>135</v>
      </c>
      <c r="H9269" t="s">
        <v>103</v>
      </c>
      <c r="I9269">
        <v>18418</v>
      </c>
      <c r="J9269">
        <v>16484</v>
      </c>
    </row>
    <row r="9270" spans="1:10" x14ac:dyDescent="0.3">
      <c r="A9270" t="s">
        <v>9397</v>
      </c>
      <c r="B9270" s="1">
        <v>45717</v>
      </c>
      <c r="C9270" t="s">
        <v>95</v>
      </c>
      <c r="D9270">
        <v>9</v>
      </c>
      <c r="E9270" t="s">
        <v>70</v>
      </c>
      <c r="F9270" t="s">
        <v>13</v>
      </c>
      <c r="G9270" t="s">
        <v>128</v>
      </c>
      <c r="H9270" t="s">
        <v>103</v>
      </c>
      <c r="I9270">
        <v>27806</v>
      </c>
      <c r="J9270">
        <v>25511</v>
      </c>
    </row>
    <row r="9271" spans="1:10" x14ac:dyDescent="0.3">
      <c r="A9271" t="s">
        <v>9398</v>
      </c>
      <c r="B9271" s="1">
        <v>45782</v>
      </c>
      <c r="C9271" t="s">
        <v>90</v>
      </c>
      <c r="D9271">
        <v>19</v>
      </c>
      <c r="E9271" t="s">
        <v>39</v>
      </c>
      <c r="F9271" t="s">
        <v>75</v>
      </c>
      <c r="G9271" t="s">
        <v>54</v>
      </c>
      <c r="H9271" t="s">
        <v>64</v>
      </c>
      <c r="I9271">
        <v>20386</v>
      </c>
      <c r="J9271">
        <v>21915</v>
      </c>
    </row>
    <row r="9272" spans="1:10" x14ac:dyDescent="0.3">
      <c r="A9272" t="s">
        <v>9399</v>
      </c>
      <c r="B9272" s="1">
        <v>45817</v>
      </c>
      <c r="C9272" t="s">
        <v>74</v>
      </c>
      <c r="D9272">
        <v>24</v>
      </c>
      <c r="E9272" t="s">
        <v>18</v>
      </c>
      <c r="F9272" t="s">
        <v>101</v>
      </c>
      <c r="G9272" t="s">
        <v>291</v>
      </c>
      <c r="H9272" t="s">
        <v>123</v>
      </c>
      <c r="I9272">
        <v>38489</v>
      </c>
      <c r="J9272">
        <v>49801</v>
      </c>
    </row>
    <row r="9273" spans="1:10" x14ac:dyDescent="0.3">
      <c r="A9273" t="s">
        <v>9400</v>
      </c>
      <c r="B9273" s="1">
        <v>45852</v>
      </c>
      <c r="C9273" t="s">
        <v>11</v>
      </c>
      <c r="D9273">
        <v>29</v>
      </c>
      <c r="E9273" t="s">
        <v>61</v>
      </c>
      <c r="F9273" t="s">
        <v>19</v>
      </c>
      <c r="G9273" t="s">
        <v>44</v>
      </c>
      <c r="H9273" t="s">
        <v>64</v>
      </c>
      <c r="I9273">
        <v>32620</v>
      </c>
      <c r="J9273">
        <v>29871</v>
      </c>
    </row>
    <row r="9274" spans="1:10" x14ac:dyDescent="0.3">
      <c r="A9274" t="s">
        <v>9401</v>
      </c>
      <c r="B9274" s="1">
        <v>45873</v>
      </c>
      <c r="C9274" t="s">
        <v>113</v>
      </c>
      <c r="D9274">
        <v>32</v>
      </c>
      <c r="E9274" t="s">
        <v>61</v>
      </c>
      <c r="F9274" t="s">
        <v>43</v>
      </c>
      <c r="G9274" t="s">
        <v>83</v>
      </c>
      <c r="H9274" t="s">
        <v>55</v>
      </c>
      <c r="I9274">
        <v>27949</v>
      </c>
      <c r="J9274">
        <v>34283</v>
      </c>
    </row>
    <row r="9275" spans="1:10" x14ac:dyDescent="0.3">
      <c r="A9275" t="s">
        <v>9402</v>
      </c>
      <c r="B9275" s="1">
        <v>45938</v>
      </c>
      <c r="C9275" t="s">
        <v>66</v>
      </c>
      <c r="D9275">
        <v>41</v>
      </c>
      <c r="E9275" t="s">
        <v>70</v>
      </c>
      <c r="F9275" t="s">
        <v>109</v>
      </c>
      <c r="G9275" t="s">
        <v>54</v>
      </c>
      <c r="H9275" t="s">
        <v>103</v>
      </c>
      <c r="I9275">
        <v>35056</v>
      </c>
      <c r="J9275">
        <v>35770</v>
      </c>
    </row>
    <row r="9276" spans="1:10" x14ac:dyDescent="0.3">
      <c r="A9276" t="s">
        <v>9403</v>
      </c>
      <c r="B9276" s="1">
        <v>45888</v>
      </c>
      <c r="C9276" t="s">
        <v>113</v>
      </c>
      <c r="D9276">
        <v>34</v>
      </c>
      <c r="E9276" t="s">
        <v>33</v>
      </c>
      <c r="F9276" t="s">
        <v>114</v>
      </c>
      <c r="G9276" t="s">
        <v>141</v>
      </c>
      <c r="H9276" t="s">
        <v>59</v>
      </c>
      <c r="I9276">
        <v>30828</v>
      </c>
      <c r="J9276">
        <v>31597</v>
      </c>
    </row>
    <row r="9277" spans="1:10" x14ac:dyDescent="0.3">
      <c r="A9277" t="s">
        <v>9404</v>
      </c>
      <c r="B9277" s="1">
        <v>46020</v>
      </c>
      <c r="C9277" t="s">
        <v>100</v>
      </c>
      <c r="D9277">
        <v>1</v>
      </c>
      <c r="E9277" t="s">
        <v>24</v>
      </c>
      <c r="F9277" t="s">
        <v>109</v>
      </c>
      <c r="G9277" t="s">
        <v>20</v>
      </c>
      <c r="H9277" t="s">
        <v>157</v>
      </c>
      <c r="I9277">
        <v>22459</v>
      </c>
      <c r="J9277">
        <v>19779</v>
      </c>
    </row>
    <row r="9278" spans="1:10" x14ac:dyDescent="0.3">
      <c r="A9278" t="s">
        <v>9405</v>
      </c>
      <c r="B9278" s="1">
        <v>45901</v>
      </c>
      <c r="C9278" t="s">
        <v>38</v>
      </c>
      <c r="D9278">
        <v>36</v>
      </c>
      <c r="E9278" t="s">
        <v>18</v>
      </c>
      <c r="F9278" t="s">
        <v>19</v>
      </c>
      <c r="G9278" t="s">
        <v>224</v>
      </c>
      <c r="H9278" t="s">
        <v>123</v>
      </c>
      <c r="I9278">
        <v>38029</v>
      </c>
      <c r="J9278">
        <v>33122</v>
      </c>
    </row>
    <row r="9279" spans="1:10" x14ac:dyDescent="0.3">
      <c r="A9279" t="s">
        <v>9406</v>
      </c>
      <c r="B9279" s="1">
        <v>45920</v>
      </c>
      <c r="C9279" t="s">
        <v>38</v>
      </c>
      <c r="D9279">
        <v>38</v>
      </c>
      <c r="E9279" t="s">
        <v>18</v>
      </c>
      <c r="F9279" t="s">
        <v>43</v>
      </c>
      <c r="G9279" t="s">
        <v>199</v>
      </c>
      <c r="H9279" t="s">
        <v>243</v>
      </c>
      <c r="I9279">
        <v>21219</v>
      </c>
      <c r="J9279">
        <v>22831</v>
      </c>
    </row>
    <row r="9280" spans="1:10" x14ac:dyDescent="0.3">
      <c r="A9280" t="s">
        <v>9407</v>
      </c>
      <c r="B9280" s="1">
        <v>45689</v>
      </c>
      <c r="C9280" t="s">
        <v>82</v>
      </c>
      <c r="D9280">
        <v>5</v>
      </c>
      <c r="E9280" t="s">
        <v>24</v>
      </c>
      <c r="F9280" t="s">
        <v>43</v>
      </c>
      <c r="G9280" t="s">
        <v>88</v>
      </c>
      <c r="H9280" t="s">
        <v>98</v>
      </c>
      <c r="I9280">
        <v>33429</v>
      </c>
      <c r="J9280">
        <v>28532</v>
      </c>
    </row>
    <row r="9281" spans="1:10" x14ac:dyDescent="0.3">
      <c r="A9281" t="s">
        <v>9408</v>
      </c>
      <c r="B9281" s="1">
        <v>45917</v>
      </c>
      <c r="C9281" t="s">
        <v>38</v>
      </c>
      <c r="D9281">
        <v>38</v>
      </c>
      <c r="E9281" t="s">
        <v>12</v>
      </c>
      <c r="F9281" t="s">
        <v>13</v>
      </c>
      <c r="G9281" t="s">
        <v>88</v>
      </c>
      <c r="H9281" t="s">
        <v>188</v>
      </c>
      <c r="I9281">
        <v>27844</v>
      </c>
      <c r="J9281">
        <v>28896</v>
      </c>
    </row>
    <row r="9282" spans="1:10" x14ac:dyDescent="0.3">
      <c r="A9282" t="s">
        <v>9409</v>
      </c>
      <c r="B9282" s="1">
        <v>45746</v>
      </c>
      <c r="C9282" t="s">
        <v>95</v>
      </c>
      <c r="D9282">
        <v>13</v>
      </c>
      <c r="E9282" t="s">
        <v>12</v>
      </c>
      <c r="F9282" t="s">
        <v>34</v>
      </c>
      <c r="G9282" t="s">
        <v>51</v>
      </c>
      <c r="H9282" t="s">
        <v>163</v>
      </c>
      <c r="I9282">
        <v>17365</v>
      </c>
      <c r="J9282">
        <v>22166</v>
      </c>
    </row>
    <row r="9283" spans="1:10" x14ac:dyDescent="0.3">
      <c r="A9283" t="s">
        <v>9410</v>
      </c>
      <c r="B9283" s="1">
        <v>45785</v>
      </c>
      <c r="C9283" t="s">
        <v>90</v>
      </c>
      <c r="D9283">
        <v>19</v>
      </c>
      <c r="E9283" t="s">
        <v>12</v>
      </c>
      <c r="F9283" t="s">
        <v>46</v>
      </c>
      <c r="G9283" t="s">
        <v>171</v>
      </c>
      <c r="H9283" t="s">
        <v>59</v>
      </c>
      <c r="I9283">
        <v>21294</v>
      </c>
      <c r="J9283">
        <v>22545</v>
      </c>
    </row>
    <row r="9284" spans="1:10" x14ac:dyDescent="0.3">
      <c r="A9284" t="s">
        <v>9411</v>
      </c>
      <c r="B9284" s="1">
        <v>45812</v>
      </c>
      <c r="C9284" t="s">
        <v>74</v>
      </c>
      <c r="D9284">
        <v>23</v>
      </c>
      <c r="E9284" t="s">
        <v>33</v>
      </c>
      <c r="F9284" t="s">
        <v>114</v>
      </c>
      <c r="G9284" t="s">
        <v>132</v>
      </c>
      <c r="H9284" t="s">
        <v>64</v>
      </c>
      <c r="I9284">
        <v>25486</v>
      </c>
      <c r="J9284">
        <v>31106</v>
      </c>
    </row>
    <row r="9285" spans="1:10" x14ac:dyDescent="0.3">
      <c r="A9285" t="s">
        <v>9412</v>
      </c>
      <c r="B9285" s="1">
        <v>45888</v>
      </c>
      <c r="C9285" t="s">
        <v>113</v>
      </c>
      <c r="D9285">
        <v>34</v>
      </c>
      <c r="E9285" t="s">
        <v>24</v>
      </c>
      <c r="F9285" t="s">
        <v>193</v>
      </c>
      <c r="G9285" t="s">
        <v>266</v>
      </c>
      <c r="H9285" t="s">
        <v>211</v>
      </c>
      <c r="I9285">
        <v>27936</v>
      </c>
      <c r="J9285">
        <v>34922</v>
      </c>
    </row>
    <row r="9286" spans="1:10" x14ac:dyDescent="0.3">
      <c r="A9286" t="s">
        <v>9413</v>
      </c>
      <c r="B9286" s="1">
        <v>45722</v>
      </c>
      <c r="C9286" t="s">
        <v>95</v>
      </c>
      <c r="D9286">
        <v>10</v>
      </c>
      <c r="E9286" t="s">
        <v>39</v>
      </c>
      <c r="F9286" t="s">
        <v>43</v>
      </c>
      <c r="G9286" t="s">
        <v>230</v>
      </c>
      <c r="H9286" t="s">
        <v>103</v>
      </c>
      <c r="I9286">
        <v>34426</v>
      </c>
      <c r="J9286">
        <v>32560</v>
      </c>
    </row>
    <row r="9287" spans="1:10" x14ac:dyDescent="0.3">
      <c r="A9287" t="s">
        <v>9414</v>
      </c>
      <c r="B9287" s="1">
        <v>45827</v>
      </c>
      <c r="C9287" t="s">
        <v>74</v>
      </c>
      <c r="D9287">
        <v>25</v>
      </c>
      <c r="E9287" t="s">
        <v>12</v>
      </c>
      <c r="F9287" t="s">
        <v>193</v>
      </c>
      <c r="G9287" t="s">
        <v>126</v>
      </c>
      <c r="H9287" t="s">
        <v>98</v>
      </c>
      <c r="I9287">
        <v>36441</v>
      </c>
      <c r="J9287">
        <v>37051</v>
      </c>
    </row>
    <row r="9288" spans="1:10" x14ac:dyDescent="0.3">
      <c r="A9288" t="s">
        <v>9415</v>
      </c>
      <c r="B9288" s="1">
        <v>45725</v>
      </c>
      <c r="C9288" t="s">
        <v>95</v>
      </c>
      <c r="D9288">
        <v>10</v>
      </c>
      <c r="E9288" t="s">
        <v>39</v>
      </c>
      <c r="F9288" t="s">
        <v>109</v>
      </c>
      <c r="G9288" t="s">
        <v>147</v>
      </c>
      <c r="H9288" t="s">
        <v>80</v>
      </c>
      <c r="I9288">
        <v>36818</v>
      </c>
      <c r="J9288">
        <v>29386</v>
      </c>
    </row>
    <row r="9289" spans="1:10" x14ac:dyDescent="0.3">
      <c r="A9289" t="s">
        <v>9416</v>
      </c>
      <c r="B9289" s="1">
        <v>45868</v>
      </c>
      <c r="C9289" t="s">
        <v>11</v>
      </c>
      <c r="D9289">
        <v>31</v>
      </c>
      <c r="E9289" t="s">
        <v>39</v>
      </c>
      <c r="F9289" t="s">
        <v>50</v>
      </c>
      <c r="G9289" t="s">
        <v>206</v>
      </c>
      <c r="H9289" t="s">
        <v>133</v>
      </c>
      <c r="I9289">
        <v>32000</v>
      </c>
      <c r="J9289">
        <v>30681</v>
      </c>
    </row>
    <row r="9290" spans="1:10" x14ac:dyDescent="0.3">
      <c r="A9290" t="s">
        <v>9417</v>
      </c>
      <c r="B9290" s="1">
        <v>45743</v>
      </c>
      <c r="C9290" t="s">
        <v>95</v>
      </c>
      <c r="D9290">
        <v>13</v>
      </c>
      <c r="E9290" t="s">
        <v>12</v>
      </c>
      <c r="F9290" t="s">
        <v>122</v>
      </c>
      <c r="G9290" t="s">
        <v>67</v>
      </c>
      <c r="H9290" t="s">
        <v>98</v>
      </c>
      <c r="I9290">
        <v>34948</v>
      </c>
      <c r="J9290">
        <v>38210</v>
      </c>
    </row>
    <row r="9291" spans="1:10" x14ac:dyDescent="0.3">
      <c r="A9291" t="s">
        <v>9418</v>
      </c>
      <c r="B9291" s="1">
        <v>45953</v>
      </c>
      <c r="C9291" t="s">
        <v>66</v>
      </c>
      <c r="D9291">
        <v>43</v>
      </c>
      <c r="E9291" t="s">
        <v>12</v>
      </c>
      <c r="F9291" t="s">
        <v>25</v>
      </c>
      <c r="G9291" t="s">
        <v>171</v>
      </c>
      <c r="H9291" t="s">
        <v>123</v>
      </c>
      <c r="I9291">
        <v>18399</v>
      </c>
      <c r="J9291">
        <v>13325</v>
      </c>
    </row>
    <row r="9292" spans="1:10" x14ac:dyDescent="0.3">
      <c r="A9292" t="s">
        <v>9419</v>
      </c>
      <c r="B9292" s="1">
        <v>45785</v>
      </c>
      <c r="C9292" t="s">
        <v>90</v>
      </c>
      <c r="D9292">
        <v>19</v>
      </c>
      <c r="E9292" t="s">
        <v>39</v>
      </c>
      <c r="F9292" t="s">
        <v>62</v>
      </c>
      <c r="G9292" t="s">
        <v>76</v>
      </c>
      <c r="H9292" t="s">
        <v>98</v>
      </c>
      <c r="I9292">
        <v>32048</v>
      </c>
      <c r="J9292">
        <v>33070</v>
      </c>
    </row>
    <row r="9293" spans="1:10" x14ac:dyDescent="0.3">
      <c r="A9293" t="s">
        <v>9420</v>
      </c>
      <c r="B9293" s="1">
        <v>45938</v>
      </c>
      <c r="C9293" t="s">
        <v>66</v>
      </c>
      <c r="D9293">
        <v>41</v>
      </c>
      <c r="E9293" t="s">
        <v>12</v>
      </c>
      <c r="F9293" t="s">
        <v>34</v>
      </c>
      <c r="G9293" t="s">
        <v>40</v>
      </c>
      <c r="H9293" t="s">
        <v>59</v>
      </c>
      <c r="I9293">
        <v>26820</v>
      </c>
      <c r="J9293">
        <v>20701</v>
      </c>
    </row>
    <row r="9294" spans="1:10" x14ac:dyDescent="0.3">
      <c r="A9294" t="s">
        <v>9421</v>
      </c>
      <c r="B9294" s="1">
        <v>45787</v>
      </c>
      <c r="C9294" t="s">
        <v>90</v>
      </c>
      <c r="D9294">
        <v>19</v>
      </c>
      <c r="E9294" t="s">
        <v>61</v>
      </c>
      <c r="F9294" t="s">
        <v>75</v>
      </c>
      <c r="G9294" t="s">
        <v>35</v>
      </c>
      <c r="H9294" t="s">
        <v>84</v>
      </c>
      <c r="I9294">
        <v>22299</v>
      </c>
      <c r="J9294">
        <v>23044</v>
      </c>
    </row>
    <row r="9295" spans="1:10" x14ac:dyDescent="0.3">
      <c r="A9295" t="s">
        <v>9422</v>
      </c>
      <c r="B9295" s="1">
        <v>45893</v>
      </c>
      <c r="C9295" t="s">
        <v>113</v>
      </c>
      <c r="D9295">
        <v>34</v>
      </c>
      <c r="E9295" t="s">
        <v>33</v>
      </c>
      <c r="F9295" t="s">
        <v>114</v>
      </c>
      <c r="G9295" t="s">
        <v>230</v>
      </c>
      <c r="H9295" t="s">
        <v>96</v>
      </c>
      <c r="I9295">
        <v>38887</v>
      </c>
      <c r="J9295">
        <v>45801</v>
      </c>
    </row>
    <row r="9296" spans="1:10" x14ac:dyDescent="0.3">
      <c r="A9296" t="s">
        <v>9423</v>
      </c>
      <c r="B9296" s="1">
        <v>45958</v>
      </c>
      <c r="C9296" t="s">
        <v>66</v>
      </c>
      <c r="D9296">
        <v>44</v>
      </c>
      <c r="E9296" t="s">
        <v>12</v>
      </c>
      <c r="F9296" t="s">
        <v>34</v>
      </c>
      <c r="G9296" t="s">
        <v>135</v>
      </c>
      <c r="H9296" t="s">
        <v>84</v>
      </c>
      <c r="I9296">
        <v>39824</v>
      </c>
      <c r="J9296">
        <v>40681</v>
      </c>
    </row>
    <row r="9297" spans="1:10" x14ac:dyDescent="0.3">
      <c r="A9297" t="s">
        <v>9424</v>
      </c>
      <c r="B9297" s="1">
        <v>45932</v>
      </c>
      <c r="C9297" t="s">
        <v>66</v>
      </c>
      <c r="D9297">
        <v>40</v>
      </c>
      <c r="E9297" t="s">
        <v>70</v>
      </c>
      <c r="F9297" t="s">
        <v>19</v>
      </c>
      <c r="G9297" t="s">
        <v>76</v>
      </c>
      <c r="H9297" t="s">
        <v>68</v>
      </c>
      <c r="I9297">
        <v>34962</v>
      </c>
      <c r="J9297">
        <v>44462</v>
      </c>
    </row>
    <row r="9298" spans="1:10" x14ac:dyDescent="0.3">
      <c r="A9298" t="s">
        <v>9425</v>
      </c>
      <c r="B9298" s="1">
        <v>45692</v>
      </c>
      <c r="C9298" t="s">
        <v>82</v>
      </c>
      <c r="D9298">
        <v>6</v>
      </c>
      <c r="E9298" t="s">
        <v>18</v>
      </c>
      <c r="F9298" t="s">
        <v>122</v>
      </c>
      <c r="G9298" t="s">
        <v>26</v>
      </c>
      <c r="H9298" t="s">
        <v>27</v>
      </c>
      <c r="I9298">
        <v>36010</v>
      </c>
      <c r="J9298">
        <v>33545</v>
      </c>
    </row>
    <row r="9299" spans="1:10" x14ac:dyDescent="0.3">
      <c r="A9299" t="s">
        <v>9426</v>
      </c>
      <c r="B9299" s="1">
        <v>45880</v>
      </c>
      <c r="C9299" t="s">
        <v>113</v>
      </c>
      <c r="D9299">
        <v>33</v>
      </c>
      <c r="E9299" t="s">
        <v>18</v>
      </c>
      <c r="F9299" t="s">
        <v>92</v>
      </c>
      <c r="G9299" t="s">
        <v>107</v>
      </c>
      <c r="H9299" t="s">
        <v>165</v>
      </c>
      <c r="I9299">
        <v>29135</v>
      </c>
      <c r="J9299">
        <v>23708</v>
      </c>
    </row>
    <row r="9300" spans="1:10" x14ac:dyDescent="0.3">
      <c r="A9300" t="s">
        <v>9427</v>
      </c>
      <c r="B9300" s="1">
        <v>45784</v>
      </c>
      <c r="C9300" t="s">
        <v>90</v>
      </c>
      <c r="D9300">
        <v>19</v>
      </c>
      <c r="E9300" t="s">
        <v>39</v>
      </c>
      <c r="F9300" t="s">
        <v>29</v>
      </c>
      <c r="G9300" t="s">
        <v>191</v>
      </c>
      <c r="H9300" t="s">
        <v>55</v>
      </c>
      <c r="I9300">
        <v>21058</v>
      </c>
      <c r="J9300">
        <v>22364</v>
      </c>
    </row>
    <row r="9301" spans="1:10" x14ac:dyDescent="0.3">
      <c r="A9301" t="s">
        <v>9428</v>
      </c>
      <c r="B9301" s="1">
        <v>45710</v>
      </c>
      <c r="C9301" t="s">
        <v>82</v>
      </c>
      <c r="D9301">
        <v>8</v>
      </c>
      <c r="E9301" t="s">
        <v>61</v>
      </c>
      <c r="F9301" t="s">
        <v>87</v>
      </c>
      <c r="G9301" t="s">
        <v>199</v>
      </c>
      <c r="H9301" t="s">
        <v>52</v>
      </c>
      <c r="I9301">
        <v>16325</v>
      </c>
      <c r="J9301">
        <v>18439</v>
      </c>
    </row>
    <row r="9302" spans="1:10" x14ac:dyDescent="0.3">
      <c r="A9302" t="s">
        <v>9429</v>
      </c>
      <c r="B9302" s="1">
        <v>45740</v>
      </c>
      <c r="C9302" t="s">
        <v>95</v>
      </c>
      <c r="D9302">
        <v>13</v>
      </c>
      <c r="E9302" t="s">
        <v>61</v>
      </c>
      <c r="F9302" t="s">
        <v>122</v>
      </c>
      <c r="G9302" t="s">
        <v>40</v>
      </c>
      <c r="H9302" t="s">
        <v>59</v>
      </c>
      <c r="I9302">
        <v>28603</v>
      </c>
      <c r="J9302">
        <v>35391</v>
      </c>
    </row>
    <row r="9303" spans="1:10" x14ac:dyDescent="0.3">
      <c r="A9303" t="s">
        <v>9430</v>
      </c>
      <c r="B9303" s="1">
        <v>45954</v>
      </c>
      <c r="C9303" t="s">
        <v>66</v>
      </c>
      <c r="D9303">
        <v>43</v>
      </c>
      <c r="E9303" t="s">
        <v>33</v>
      </c>
      <c r="F9303" t="s">
        <v>13</v>
      </c>
      <c r="G9303" t="s">
        <v>76</v>
      </c>
      <c r="H9303" t="s">
        <v>55</v>
      </c>
      <c r="I9303">
        <v>24996</v>
      </c>
      <c r="J9303">
        <v>26673</v>
      </c>
    </row>
    <row r="9304" spans="1:10" x14ac:dyDescent="0.3">
      <c r="A9304" t="s">
        <v>9431</v>
      </c>
      <c r="B9304" s="1">
        <v>45718</v>
      </c>
      <c r="C9304" t="s">
        <v>95</v>
      </c>
      <c r="D9304">
        <v>9</v>
      </c>
      <c r="E9304" t="s">
        <v>61</v>
      </c>
      <c r="F9304" t="s">
        <v>114</v>
      </c>
      <c r="G9304" t="s">
        <v>14</v>
      </c>
      <c r="H9304" t="s">
        <v>64</v>
      </c>
      <c r="I9304">
        <v>35885</v>
      </c>
      <c r="J9304">
        <v>37373</v>
      </c>
    </row>
    <row r="9305" spans="1:10" x14ac:dyDescent="0.3">
      <c r="A9305" t="s">
        <v>9432</v>
      </c>
      <c r="B9305" s="1">
        <v>46011</v>
      </c>
      <c r="C9305" t="s">
        <v>100</v>
      </c>
      <c r="D9305">
        <v>51</v>
      </c>
      <c r="E9305" t="s">
        <v>61</v>
      </c>
      <c r="F9305" t="s">
        <v>122</v>
      </c>
      <c r="G9305" t="s">
        <v>30</v>
      </c>
      <c r="H9305" t="s">
        <v>103</v>
      </c>
      <c r="I9305">
        <v>18597</v>
      </c>
      <c r="J9305">
        <v>17105</v>
      </c>
    </row>
    <row r="9306" spans="1:10" x14ac:dyDescent="0.3">
      <c r="A9306" t="s">
        <v>9433</v>
      </c>
      <c r="B9306" s="1">
        <v>46014</v>
      </c>
      <c r="C9306" t="s">
        <v>100</v>
      </c>
      <c r="D9306">
        <v>52</v>
      </c>
      <c r="E9306" t="s">
        <v>70</v>
      </c>
      <c r="F9306" t="s">
        <v>122</v>
      </c>
      <c r="G9306" t="s">
        <v>47</v>
      </c>
      <c r="H9306" t="s">
        <v>84</v>
      </c>
      <c r="I9306">
        <v>16723</v>
      </c>
      <c r="J9306">
        <v>14166</v>
      </c>
    </row>
    <row r="9307" spans="1:10" x14ac:dyDescent="0.3">
      <c r="A9307" t="s">
        <v>9434</v>
      </c>
      <c r="B9307" s="1">
        <v>45877</v>
      </c>
      <c r="C9307" t="s">
        <v>113</v>
      </c>
      <c r="D9307">
        <v>32</v>
      </c>
      <c r="E9307" t="s">
        <v>18</v>
      </c>
      <c r="F9307" t="s">
        <v>78</v>
      </c>
      <c r="G9307" t="s">
        <v>141</v>
      </c>
      <c r="H9307" t="s">
        <v>157</v>
      </c>
      <c r="I9307">
        <v>23150</v>
      </c>
      <c r="J9307">
        <v>20907</v>
      </c>
    </row>
    <row r="9308" spans="1:10" x14ac:dyDescent="0.3">
      <c r="A9308" t="s">
        <v>9435</v>
      </c>
      <c r="B9308" s="1">
        <v>46020</v>
      </c>
      <c r="C9308" t="s">
        <v>100</v>
      </c>
      <c r="D9308">
        <v>1</v>
      </c>
      <c r="E9308" t="s">
        <v>18</v>
      </c>
      <c r="F9308" t="s">
        <v>13</v>
      </c>
      <c r="G9308" t="s">
        <v>118</v>
      </c>
      <c r="H9308" t="s">
        <v>119</v>
      </c>
      <c r="I9308">
        <v>31640</v>
      </c>
      <c r="J9308">
        <v>24159</v>
      </c>
    </row>
    <row r="9309" spans="1:10" x14ac:dyDescent="0.3">
      <c r="A9309" t="s">
        <v>9436</v>
      </c>
      <c r="B9309" s="1">
        <v>45835</v>
      </c>
      <c r="C9309" t="s">
        <v>74</v>
      </c>
      <c r="D9309">
        <v>26</v>
      </c>
      <c r="E9309" t="s">
        <v>24</v>
      </c>
      <c r="F9309" t="s">
        <v>57</v>
      </c>
      <c r="G9309" t="s">
        <v>160</v>
      </c>
      <c r="H9309" t="s">
        <v>243</v>
      </c>
      <c r="I9309">
        <v>28586</v>
      </c>
      <c r="J9309">
        <v>29261</v>
      </c>
    </row>
    <row r="9310" spans="1:10" x14ac:dyDescent="0.3">
      <c r="A9310" t="s">
        <v>9437</v>
      </c>
      <c r="B9310" s="1">
        <v>45840</v>
      </c>
      <c r="C9310" t="s">
        <v>11</v>
      </c>
      <c r="D9310">
        <v>27</v>
      </c>
      <c r="E9310" t="s">
        <v>12</v>
      </c>
      <c r="F9310" t="s">
        <v>19</v>
      </c>
      <c r="G9310" t="s">
        <v>83</v>
      </c>
      <c r="H9310" t="s">
        <v>123</v>
      </c>
      <c r="I9310">
        <v>32880</v>
      </c>
      <c r="J9310">
        <v>41936</v>
      </c>
    </row>
    <row r="9311" spans="1:10" x14ac:dyDescent="0.3">
      <c r="A9311" t="s">
        <v>9438</v>
      </c>
      <c r="B9311" s="1">
        <v>45916</v>
      </c>
      <c r="C9311" t="s">
        <v>38</v>
      </c>
      <c r="D9311">
        <v>38</v>
      </c>
      <c r="E9311" t="s">
        <v>39</v>
      </c>
      <c r="F9311" t="s">
        <v>75</v>
      </c>
      <c r="G9311" t="s">
        <v>234</v>
      </c>
      <c r="H9311" t="s">
        <v>55</v>
      </c>
      <c r="I9311">
        <v>20580</v>
      </c>
      <c r="J9311">
        <v>20164</v>
      </c>
    </row>
    <row r="9312" spans="1:10" x14ac:dyDescent="0.3">
      <c r="A9312" t="s">
        <v>9439</v>
      </c>
      <c r="B9312" s="1">
        <v>45774</v>
      </c>
      <c r="C9312" t="s">
        <v>86</v>
      </c>
      <c r="D9312">
        <v>17</v>
      </c>
      <c r="E9312" t="s">
        <v>33</v>
      </c>
      <c r="F9312" t="s">
        <v>50</v>
      </c>
      <c r="G9312" t="s">
        <v>102</v>
      </c>
      <c r="H9312" t="s">
        <v>55</v>
      </c>
      <c r="I9312">
        <v>28200</v>
      </c>
      <c r="J9312">
        <v>21402</v>
      </c>
    </row>
    <row r="9313" spans="1:10" x14ac:dyDescent="0.3">
      <c r="A9313" t="s">
        <v>9440</v>
      </c>
      <c r="B9313" s="1">
        <v>45837</v>
      </c>
      <c r="C9313" t="s">
        <v>74</v>
      </c>
      <c r="D9313">
        <v>26</v>
      </c>
      <c r="E9313" t="s">
        <v>70</v>
      </c>
      <c r="F9313" t="s">
        <v>50</v>
      </c>
      <c r="G9313" t="s">
        <v>30</v>
      </c>
      <c r="H9313" t="s">
        <v>27</v>
      </c>
      <c r="I9313">
        <v>15801</v>
      </c>
      <c r="J9313">
        <v>20437</v>
      </c>
    </row>
    <row r="9314" spans="1:10" x14ac:dyDescent="0.3">
      <c r="A9314" t="s">
        <v>9441</v>
      </c>
      <c r="B9314" s="1">
        <v>45912</v>
      </c>
      <c r="C9314" t="s">
        <v>38</v>
      </c>
      <c r="D9314">
        <v>37</v>
      </c>
      <c r="E9314" t="s">
        <v>70</v>
      </c>
      <c r="F9314" t="s">
        <v>46</v>
      </c>
      <c r="G9314" t="s">
        <v>191</v>
      </c>
      <c r="H9314" t="s">
        <v>68</v>
      </c>
      <c r="I9314">
        <v>19881</v>
      </c>
      <c r="J9314">
        <v>22107</v>
      </c>
    </row>
    <row r="9315" spans="1:10" x14ac:dyDescent="0.3">
      <c r="A9315" t="s">
        <v>9442</v>
      </c>
      <c r="B9315" s="1">
        <v>45736</v>
      </c>
      <c r="C9315" t="s">
        <v>95</v>
      </c>
      <c r="D9315">
        <v>12</v>
      </c>
      <c r="E9315" t="s">
        <v>70</v>
      </c>
      <c r="F9315" t="s">
        <v>92</v>
      </c>
      <c r="G9315" t="s">
        <v>132</v>
      </c>
      <c r="H9315" t="s">
        <v>155</v>
      </c>
      <c r="I9315">
        <v>24167</v>
      </c>
      <c r="J9315">
        <v>18276</v>
      </c>
    </row>
    <row r="9316" spans="1:10" x14ac:dyDescent="0.3">
      <c r="A9316" t="s">
        <v>9443</v>
      </c>
      <c r="B9316" s="1">
        <v>45768</v>
      </c>
      <c r="C9316" t="s">
        <v>86</v>
      </c>
      <c r="D9316">
        <v>17</v>
      </c>
      <c r="E9316" t="s">
        <v>24</v>
      </c>
      <c r="F9316" t="s">
        <v>25</v>
      </c>
      <c r="G9316" t="s">
        <v>115</v>
      </c>
      <c r="H9316" t="s">
        <v>36</v>
      </c>
      <c r="I9316">
        <v>15596</v>
      </c>
      <c r="J9316">
        <v>16214</v>
      </c>
    </row>
    <row r="9317" spans="1:10" x14ac:dyDescent="0.3">
      <c r="A9317" t="s">
        <v>9444</v>
      </c>
      <c r="B9317" s="1">
        <v>45686</v>
      </c>
      <c r="C9317" t="s">
        <v>17</v>
      </c>
      <c r="D9317">
        <v>5</v>
      </c>
      <c r="E9317" t="s">
        <v>18</v>
      </c>
      <c r="F9317" t="s">
        <v>92</v>
      </c>
      <c r="G9317" t="s">
        <v>206</v>
      </c>
      <c r="H9317" t="s">
        <v>96</v>
      </c>
      <c r="I9317">
        <v>35036</v>
      </c>
      <c r="J9317">
        <v>39525</v>
      </c>
    </row>
    <row r="9318" spans="1:10" x14ac:dyDescent="0.3">
      <c r="A9318" t="s">
        <v>9445</v>
      </c>
      <c r="B9318" s="1">
        <v>45930</v>
      </c>
      <c r="C9318" t="s">
        <v>38</v>
      </c>
      <c r="D9318">
        <v>40</v>
      </c>
      <c r="E9318" t="s">
        <v>33</v>
      </c>
      <c r="F9318" t="s">
        <v>140</v>
      </c>
      <c r="G9318" t="s">
        <v>135</v>
      </c>
      <c r="H9318" t="s">
        <v>27</v>
      </c>
      <c r="I9318">
        <v>31372</v>
      </c>
      <c r="J9318">
        <v>28139</v>
      </c>
    </row>
    <row r="9319" spans="1:10" x14ac:dyDescent="0.3">
      <c r="A9319" t="s">
        <v>9446</v>
      </c>
      <c r="B9319" s="1">
        <v>45826</v>
      </c>
      <c r="C9319" t="s">
        <v>74</v>
      </c>
      <c r="D9319">
        <v>25</v>
      </c>
      <c r="E9319" t="s">
        <v>12</v>
      </c>
      <c r="F9319" t="s">
        <v>140</v>
      </c>
      <c r="G9319" t="s">
        <v>224</v>
      </c>
      <c r="H9319" t="s">
        <v>243</v>
      </c>
      <c r="I9319">
        <v>24177</v>
      </c>
      <c r="J9319">
        <v>24978</v>
      </c>
    </row>
    <row r="9320" spans="1:10" x14ac:dyDescent="0.3">
      <c r="A9320" t="s">
        <v>9447</v>
      </c>
      <c r="B9320" s="1">
        <v>45779</v>
      </c>
      <c r="C9320" t="s">
        <v>90</v>
      </c>
      <c r="D9320">
        <v>18</v>
      </c>
      <c r="E9320" t="s">
        <v>33</v>
      </c>
      <c r="F9320" t="s">
        <v>25</v>
      </c>
      <c r="G9320" t="s">
        <v>79</v>
      </c>
      <c r="H9320" t="s">
        <v>165</v>
      </c>
      <c r="I9320">
        <v>24729</v>
      </c>
      <c r="J9320">
        <v>25674</v>
      </c>
    </row>
    <row r="9321" spans="1:10" x14ac:dyDescent="0.3">
      <c r="A9321" t="s">
        <v>9448</v>
      </c>
      <c r="B9321" s="1">
        <v>45741</v>
      </c>
      <c r="C9321" t="s">
        <v>95</v>
      </c>
      <c r="D9321">
        <v>13</v>
      </c>
      <c r="E9321" t="s">
        <v>70</v>
      </c>
      <c r="F9321" t="s">
        <v>101</v>
      </c>
      <c r="G9321" t="s">
        <v>79</v>
      </c>
      <c r="H9321" t="s">
        <v>188</v>
      </c>
      <c r="I9321">
        <v>34046</v>
      </c>
      <c r="J9321">
        <v>41041</v>
      </c>
    </row>
    <row r="9322" spans="1:10" x14ac:dyDescent="0.3">
      <c r="A9322" t="s">
        <v>9449</v>
      </c>
      <c r="B9322" s="1">
        <v>45837</v>
      </c>
      <c r="C9322" t="s">
        <v>74</v>
      </c>
      <c r="D9322">
        <v>26</v>
      </c>
      <c r="E9322" t="s">
        <v>33</v>
      </c>
      <c r="F9322" t="s">
        <v>25</v>
      </c>
      <c r="G9322" t="s">
        <v>83</v>
      </c>
      <c r="H9322" t="s">
        <v>27</v>
      </c>
      <c r="I9322">
        <v>26068</v>
      </c>
      <c r="J9322">
        <v>27480</v>
      </c>
    </row>
    <row r="9323" spans="1:10" x14ac:dyDescent="0.3">
      <c r="A9323" t="s">
        <v>9450</v>
      </c>
      <c r="B9323" s="1">
        <v>45882</v>
      </c>
      <c r="C9323" t="s">
        <v>113</v>
      </c>
      <c r="D9323">
        <v>33</v>
      </c>
      <c r="E9323" t="s">
        <v>61</v>
      </c>
      <c r="F9323" t="s">
        <v>57</v>
      </c>
      <c r="G9323" t="s">
        <v>230</v>
      </c>
      <c r="H9323" t="s">
        <v>31</v>
      </c>
      <c r="I9323">
        <v>18043</v>
      </c>
      <c r="J9323">
        <v>20489</v>
      </c>
    </row>
    <row r="9324" spans="1:10" x14ac:dyDescent="0.3">
      <c r="A9324" t="s">
        <v>9451</v>
      </c>
      <c r="B9324" s="1">
        <v>45743</v>
      </c>
      <c r="C9324" t="s">
        <v>95</v>
      </c>
      <c r="D9324">
        <v>13</v>
      </c>
      <c r="E9324" t="s">
        <v>70</v>
      </c>
      <c r="F9324" t="s">
        <v>92</v>
      </c>
      <c r="G9324" t="s">
        <v>47</v>
      </c>
      <c r="H9324" t="s">
        <v>64</v>
      </c>
      <c r="I9324">
        <v>36971</v>
      </c>
      <c r="J9324">
        <v>45018</v>
      </c>
    </row>
    <row r="9325" spans="1:10" x14ac:dyDescent="0.3">
      <c r="A9325" t="s">
        <v>9452</v>
      </c>
      <c r="B9325" s="1">
        <v>45677</v>
      </c>
      <c r="C9325" t="s">
        <v>17</v>
      </c>
      <c r="D9325">
        <v>4</v>
      </c>
      <c r="E9325" t="s">
        <v>12</v>
      </c>
      <c r="F9325" t="s">
        <v>50</v>
      </c>
      <c r="G9325" t="s">
        <v>147</v>
      </c>
      <c r="H9325" t="s">
        <v>133</v>
      </c>
      <c r="I9325">
        <v>37674</v>
      </c>
      <c r="J9325">
        <v>35752</v>
      </c>
    </row>
    <row r="9326" spans="1:10" x14ac:dyDescent="0.3">
      <c r="A9326" t="s">
        <v>9453</v>
      </c>
      <c r="B9326" s="1">
        <v>45775</v>
      </c>
      <c r="C9326" t="s">
        <v>86</v>
      </c>
      <c r="D9326">
        <v>18</v>
      </c>
      <c r="E9326" t="s">
        <v>70</v>
      </c>
      <c r="F9326" t="s">
        <v>57</v>
      </c>
      <c r="G9326" t="s">
        <v>51</v>
      </c>
      <c r="H9326" t="s">
        <v>41</v>
      </c>
      <c r="I9326">
        <v>38788</v>
      </c>
      <c r="J9326">
        <v>44759</v>
      </c>
    </row>
    <row r="9327" spans="1:10" x14ac:dyDescent="0.3">
      <c r="A9327" t="s">
        <v>9454</v>
      </c>
      <c r="B9327" s="1">
        <v>45705</v>
      </c>
      <c r="C9327" t="s">
        <v>82</v>
      </c>
      <c r="D9327">
        <v>8</v>
      </c>
      <c r="E9327" t="s">
        <v>12</v>
      </c>
      <c r="F9327" t="s">
        <v>57</v>
      </c>
      <c r="G9327" t="s">
        <v>54</v>
      </c>
      <c r="H9327" t="s">
        <v>68</v>
      </c>
      <c r="I9327">
        <v>33440</v>
      </c>
      <c r="J9327">
        <v>36212</v>
      </c>
    </row>
    <row r="9328" spans="1:10" x14ac:dyDescent="0.3">
      <c r="A9328" t="s">
        <v>9455</v>
      </c>
      <c r="B9328" s="1">
        <v>45692</v>
      </c>
      <c r="C9328" t="s">
        <v>82</v>
      </c>
      <c r="D9328">
        <v>6</v>
      </c>
      <c r="E9328" t="s">
        <v>61</v>
      </c>
      <c r="F9328" t="s">
        <v>43</v>
      </c>
      <c r="G9328" t="s">
        <v>324</v>
      </c>
      <c r="H9328" t="s">
        <v>84</v>
      </c>
      <c r="I9328">
        <v>31357</v>
      </c>
      <c r="J9328">
        <v>37656</v>
      </c>
    </row>
    <row r="9329" spans="1:10" x14ac:dyDescent="0.3">
      <c r="A9329" t="s">
        <v>9456</v>
      </c>
      <c r="B9329" s="1">
        <v>45829</v>
      </c>
      <c r="C9329" t="s">
        <v>74</v>
      </c>
      <c r="D9329">
        <v>25</v>
      </c>
      <c r="E9329" t="s">
        <v>12</v>
      </c>
      <c r="F9329" t="s">
        <v>140</v>
      </c>
      <c r="G9329" t="s">
        <v>88</v>
      </c>
      <c r="H9329" t="s">
        <v>111</v>
      </c>
      <c r="I9329">
        <v>18976</v>
      </c>
      <c r="J9329">
        <v>22545</v>
      </c>
    </row>
    <row r="9330" spans="1:10" x14ac:dyDescent="0.3">
      <c r="A9330" t="s">
        <v>9457</v>
      </c>
      <c r="B9330" s="1">
        <v>45707</v>
      </c>
      <c r="C9330" t="s">
        <v>82</v>
      </c>
      <c r="D9330">
        <v>8</v>
      </c>
      <c r="E9330" t="s">
        <v>61</v>
      </c>
      <c r="F9330" t="s">
        <v>122</v>
      </c>
      <c r="G9330" t="s">
        <v>130</v>
      </c>
      <c r="H9330" t="s">
        <v>64</v>
      </c>
      <c r="I9330">
        <v>18889</v>
      </c>
      <c r="J9330">
        <v>15026</v>
      </c>
    </row>
    <row r="9331" spans="1:10" x14ac:dyDescent="0.3">
      <c r="A9331" t="s">
        <v>9458</v>
      </c>
      <c r="B9331" s="1">
        <v>45866</v>
      </c>
      <c r="C9331" t="s">
        <v>11</v>
      </c>
      <c r="D9331">
        <v>31</v>
      </c>
      <c r="E9331" t="s">
        <v>18</v>
      </c>
      <c r="F9331" t="s">
        <v>101</v>
      </c>
      <c r="G9331" t="s">
        <v>79</v>
      </c>
      <c r="H9331" t="s">
        <v>64</v>
      </c>
      <c r="I9331">
        <v>30033</v>
      </c>
      <c r="J9331">
        <v>29482</v>
      </c>
    </row>
    <row r="9332" spans="1:10" x14ac:dyDescent="0.3">
      <c r="A9332" t="s">
        <v>9459</v>
      </c>
      <c r="B9332" s="1">
        <v>45941</v>
      </c>
      <c r="C9332" t="s">
        <v>66</v>
      </c>
      <c r="D9332">
        <v>41</v>
      </c>
      <c r="E9332" t="s">
        <v>18</v>
      </c>
      <c r="F9332" t="s">
        <v>19</v>
      </c>
      <c r="G9332" t="s">
        <v>149</v>
      </c>
      <c r="H9332" t="s">
        <v>48</v>
      </c>
      <c r="I9332">
        <v>31957</v>
      </c>
      <c r="J9332">
        <v>40449</v>
      </c>
    </row>
    <row r="9333" spans="1:10" x14ac:dyDescent="0.3">
      <c r="A9333" t="s">
        <v>9460</v>
      </c>
      <c r="B9333" s="1">
        <v>46002</v>
      </c>
      <c r="C9333" t="s">
        <v>100</v>
      </c>
      <c r="D9333">
        <v>50</v>
      </c>
      <c r="E9333" t="s">
        <v>39</v>
      </c>
      <c r="F9333" t="s">
        <v>87</v>
      </c>
      <c r="G9333" t="s">
        <v>30</v>
      </c>
      <c r="H9333" t="s">
        <v>15</v>
      </c>
      <c r="I9333">
        <v>20030</v>
      </c>
      <c r="J9333">
        <v>17716</v>
      </c>
    </row>
    <row r="9334" spans="1:10" x14ac:dyDescent="0.3">
      <c r="A9334" t="s">
        <v>9461</v>
      </c>
      <c r="B9334" s="1">
        <v>45898</v>
      </c>
      <c r="C9334" t="s">
        <v>113</v>
      </c>
      <c r="D9334">
        <v>35</v>
      </c>
      <c r="E9334" t="s">
        <v>24</v>
      </c>
      <c r="F9334" t="s">
        <v>114</v>
      </c>
      <c r="G9334" t="s">
        <v>54</v>
      </c>
      <c r="H9334" t="s">
        <v>116</v>
      </c>
      <c r="I9334">
        <v>31528</v>
      </c>
      <c r="J9334">
        <v>39765</v>
      </c>
    </row>
    <row r="9335" spans="1:10" x14ac:dyDescent="0.3">
      <c r="A9335" t="s">
        <v>9462</v>
      </c>
      <c r="B9335" s="1">
        <v>45771</v>
      </c>
      <c r="C9335" t="s">
        <v>86</v>
      </c>
      <c r="D9335">
        <v>17</v>
      </c>
      <c r="E9335" t="s">
        <v>18</v>
      </c>
      <c r="F9335" t="s">
        <v>122</v>
      </c>
      <c r="G9335" t="s">
        <v>88</v>
      </c>
      <c r="H9335" t="s">
        <v>84</v>
      </c>
      <c r="I9335">
        <v>24606</v>
      </c>
      <c r="J9335">
        <v>19099</v>
      </c>
    </row>
    <row r="9336" spans="1:10" x14ac:dyDescent="0.3">
      <c r="A9336" t="s">
        <v>9463</v>
      </c>
      <c r="B9336" s="1">
        <v>46000</v>
      </c>
      <c r="C9336" t="s">
        <v>100</v>
      </c>
      <c r="D9336">
        <v>50</v>
      </c>
      <c r="E9336" t="s">
        <v>18</v>
      </c>
      <c r="F9336" t="s">
        <v>43</v>
      </c>
      <c r="G9336" t="s">
        <v>135</v>
      </c>
      <c r="H9336" t="s">
        <v>55</v>
      </c>
      <c r="I9336">
        <v>27189</v>
      </c>
      <c r="J9336">
        <v>27279</v>
      </c>
    </row>
    <row r="9337" spans="1:10" x14ac:dyDescent="0.3">
      <c r="A9337" t="s">
        <v>9464</v>
      </c>
      <c r="B9337" s="1">
        <v>45789</v>
      </c>
      <c r="C9337" t="s">
        <v>90</v>
      </c>
      <c r="D9337">
        <v>20</v>
      </c>
      <c r="E9337" t="s">
        <v>12</v>
      </c>
      <c r="F9337" t="s">
        <v>193</v>
      </c>
      <c r="G9337" t="s">
        <v>191</v>
      </c>
      <c r="H9337" t="s">
        <v>52</v>
      </c>
      <c r="I9337">
        <v>39237</v>
      </c>
      <c r="J9337">
        <v>29622</v>
      </c>
    </row>
    <row r="9338" spans="1:10" x14ac:dyDescent="0.3">
      <c r="A9338" t="s">
        <v>9465</v>
      </c>
      <c r="B9338" s="1">
        <v>45851</v>
      </c>
      <c r="C9338" t="s">
        <v>11</v>
      </c>
      <c r="D9338">
        <v>28</v>
      </c>
      <c r="E9338" t="s">
        <v>33</v>
      </c>
      <c r="F9338" t="s">
        <v>46</v>
      </c>
      <c r="G9338" t="s">
        <v>72</v>
      </c>
      <c r="H9338" t="s">
        <v>36</v>
      </c>
      <c r="I9338">
        <v>18769</v>
      </c>
      <c r="J9338">
        <v>21414</v>
      </c>
    </row>
    <row r="9339" spans="1:10" x14ac:dyDescent="0.3">
      <c r="A9339" t="s">
        <v>9466</v>
      </c>
      <c r="B9339" s="1">
        <v>45874</v>
      </c>
      <c r="C9339" t="s">
        <v>113</v>
      </c>
      <c r="D9339">
        <v>32</v>
      </c>
      <c r="E9339" t="s">
        <v>70</v>
      </c>
      <c r="F9339" t="s">
        <v>101</v>
      </c>
      <c r="G9339" t="s">
        <v>135</v>
      </c>
      <c r="H9339" t="s">
        <v>36</v>
      </c>
      <c r="I9339">
        <v>32550</v>
      </c>
      <c r="J9339">
        <v>27383</v>
      </c>
    </row>
    <row r="9340" spans="1:10" x14ac:dyDescent="0.3">
      <c r="A9340" t="s">
        <v>9467</v>
      </c>
      <c r="B9340" s="1">
        <v>45982</v>
      </c>
      <c r="C9340" t="s">
        <v>23</v>
      </c>
      <c r="D9340">
        <v>47</v>
      </c>
      <c r="E9340" t="s">
        <v>18</v>
      </c>
      <c r="F9340" t="s">
        <v>19</v>
      </c>
      <c r="G9340" t="s">
        <v>128</v>
      </c>
      <c r="H9340" t="s">
        <v>15</v>
      </c>
      <c r="I9340">
        <v>30291</v>
      </c>
      <c r="J9340">
        <v>26953</v>
      </c>
    </row>
    <row r="9341" spans="1:10" x14ac:dyDescent="0.3">
      <c r="A9341" t="s">
        <v>9468</v>
      </c>
      <c r="B9341" s="1">
        <v>46019</v>
      </c>
      <c r="C9341" t="s">
        <v>100</v>
      </c>
      <c r="D9341">
        <v>52</v>
      </c>
      <c r="E9341" t="s">
        <v>33</v>
      </c>
      <c r="F9341" t="s">
        <v>34</v>
      </c>
      <c r="G9341" t="s">
        <v>141</v>
      </c>
      <c r="H9341" t="s">
        <v>41</v>
      </c>
      <c r="I9341">
        <v>36733</v>
      </c>
      <c r="J9341">
        <v>40176</v>
      </c>
    </row>
    <row r="9342" spans="1:10" x14ac:dyDescent="0.3">
      <c r="A9342" t="s">
        <v>9469</v>
      </c>
      <c r="B9342" s="1">
        <v>45874</v>
      </c>
      <c r="C9342" t="s">
        <v>113</v>
      </c>
      <c r="D9342">
        <v>32</v>
      </c>
      <c r="E9342" t="s">
        <v>24</v>
      </c>
      <c r="F9342" t="s">
        <v>87</v>
      </c>
      <c r="G9342" t="s">
        <v>83</v>
      </c>
      <c r="H9342" t="s">
        <v>157</v>
      </c>
      <c r="I9342">
        <v>21488</v>
      </c>
      <c r="J9342">
        <v>22560</v>
      </c>
    </row>
    <row r="9343" spans="1:10" x14ac:dyDescent="0.3">
      <c r="A9343" t="s">
        <v>9470</v>
      </c>
      <c r="B9343" s="1">
        <v>45959</v>
      </c>
      <c r="C9343" t="s">
        <v>66</v>
      </c>
      <c r="D9343">
        <v>44</v>
      </c>
      <c r="E9343" t="s">
        <v>33</v>
      </c>
      <c r="F9343" t="s">
        <v>114</v>
      </c>
      <c r="G9343" t="s">
        <v>79</v>
      </c>
      <c r="H9343" t="s">
        <v>96</v>
      </c>
      <c r="I9343">
        <v>30820</v>
      </c>
      <c r="J9343">
        <v>23387</v>
      </c>
    </row>
    <row r="9344" spans="1:10" x14ac:dyDescent="0.3">
      <c r="A9344" t="s">
        <v>9471</v>
      </c>
      <c r="B9344" s="1">
        <v>45681</v>
      </c>
      <c r="C9344" t="s">
        <v>17</v>
      </c>
      <c r="D9344">
        <v>4</v>
      </c>
      <c r="E9344" t="s">
        <v>33</v>
      </c>
      <c r="F9344" t="s">
        <v>43</v>
      </c>
      <c r="G9344" t="s">
        <v>118</v>
      </c>
      <c r="H9344" t="s">
        <v>165</v>
      </c>
      <c r="I9344">
        <v>26737</v>
      </c>
      <c r="J9344">
        <v>26698</v>
      </c>
    </row>
    <row r="9345" spans="1:10" x14ac:dyDescent="0.3">
      <c r="A9345" t="s">
        <v>9472</v>
      </c>
      <c r="B9345" s="1">
        <v>46003</v>
      </c>
      <c r="C9345" t="s">
        <v>100</v>
      </c>
      <c r="D9345">
        <v>50</v>
      </c>
      <c r="E9345" t="s">
        <v>24</v>
      </c>
      <c r="F9345" t="s">
        <v>50</v>
      </c>
      <c r="G9345" t="s">
        <v>72</v>
      </c>
      <c r="H9345" t="s">
        <v>55</v>
      </c>
      <c r="I9345">
        <v>25248</v>
      </c>
      <c r="J9345">
        <v>25317</v>
      </c>
    </row>
    <row r="9346" spans="1:10" x14ac:dyDescent="0.3">
      <c r="A9346" t="s">
        <v>9473</v>
      </c>
      <c r="B9346" s="1">
        <v>45944</v>
      </c>
      <c r="C9346" t="s">
        <v>66</v>
      </c>
      <c r="D9346">
        <v>42</v>
      </c>
      <c r="E9346" t="s">
        <v>18</v>
      </c>
      <c r="F9346" t="s">
        <v>75</v>
      </c>
      <c r="G9346" t="s">
        <v>54</v>
      </c>
      <c r="H9346" t="s">
        <v>163</v>
      </c>
      <c r="I9346">
        <v>39334</v>
      </c>
      <c r="J9346">
        <v>43715</v>
      </c>
    </row>
    <row r="9347" spans="1:10" x14ac:dyDescent="0.3">
      <c r="A9347" t="s">
        <v>9474</v>
      </c>
      <c r="B9347" s="1">
        <v>45905</v>
      </c>
      <c r="C9347" t="s">
        <v>38</v>
      </c>
      <c r="D9347">
        <v>36</v>
      </c>
      <c r="E9347" t="s">
        <v>33</v>
      </c>
      <c r="F9347" t="s">
        <v>25</v>
      </c>
      <c r="G9347" t="s">
        <v>326</v>
      </c>
      <c r="H9347" t="s">
        <v>116</v>
      </c>
      <c r="I9347">
        <v>38468</v>
      </c>
      <c r="J9347">
        <v>48152</v>
      </c>
    </row>
    <row r="9348" spans="1:10" x14ac:dyDescent="0.3">
      <c r="A9348" t="s">
        <v>9475</v>
      </c>
      <c r="B9348" s="1">
        <v>45709</v>
      </c>
      <c r="C9348" t="s">
        <v>82</v>
      </c>
      <c r="D9348">
        <v>8</v>
      </c>
      <c r="E9348" t="s">
        <v>61</v>
      </c>
      <c r="F9348" t="s">
        <v>87</v>
      </c>
      <c r="G9348" t="s">
        <v>130</v>
      </c>
      <c r="H9348" t="s">
        <v>80</v>
      </c>
      <c r="I9348">
        <v>35312</v>
      </c>
      <c r="J9348">
        <v>43585</v>
      </c>
    </row>
    <row r="9349" spans="1:10" x14ac:dyDescent="0.3">
      <c r="A9349" t="s">
        <v>9476</v>
      </c>
      <c r="B9349" s="1">
        <v>45722</v>
      </c>
      <c r="C9349" t="s">
        <v>95</v>
      </c>
      <c r="D9349">
        <v>10</v>
      </c>
      <c r="E9349" t="s">
        <v>39</v>
      </c>
      <c r="F9349" t="s">
        <v>19</v>
      </c>
      <c r="G9349" t="s">
        <v>107</v>
      </c>
      <c r="H9349" t="s">
        <v>84</v>
      </c>
      <c r="I9349">
        <v>17546</v>
      </c>
      <c r="J9349">
        <v>21957</v>
      </c>
    </row>
    <row r="9350" spans="1:10" x14ac:dyDescent="0.3">
      <c r="A9350" t="s">
        <v>9477</v>
      </c>
      <c r="B9350" s="1">
        <v>45812</v>
      </c>
      <c r="C9350" t="s">
        <v>74</v>
      </c>
      <c r="D9350">
        <v>23</v>
      </c>
      <c r="E9350" t="s">
        <v>18</v>
      </c>
      <c r="F9350" t="s">
        <v>122</v>
      </c>
      <c r="G9350" t="s">
        <v>40</v>
      </c>
      <c r="H9350" t="s">
        <v>41</v>
      </c>
      <c r="I9350">
        <v>17671</v>
      </c>
      <c r="J9350">
        <v>22554</v>
      </c>
    </row>
    <row r="9351" spans="1:10" x14ac:dyDescent="0.3">
      <c r="A9351" t="s">
        <v>9478</v>
      </c>
      <c r="B9351" s="1">
        <v>45789</v>
      </c>
      <c r="C9351" t="s">
        <v>90</v>
      </c>
      <c r="D9351">
        <v>20</v>
      </c>
      <c r="E9351" t="s">
        <v>61</v>
      </c>
      <c r="F9351" t="s">
        <v>140</v>
      </c>
      <c r="G9351" t="s">
        <v>224</v>
      </c>
      <c r="H9351" t="s">
        <v>27</v>
      </c>
      <c r="I9351">
        <v>33800</v>
      </c>
      <c r="J9351">
        <v>24689</v>
      </c>
    </row>
    <row r="9352" spans="1:10" x14ac:dyDescent="0.3">
      <c r="A9352" t="s">
        <v>9479</v>
      </c>
      <c r="B9352" s="1">
        <v>45952</v>
      </c>
      <c r="C9352" t="s">
        <v>66</v>
      </c>
      <c r="D9352">
        <v>43</v>
      </c>
      <c r="E9352" t="s">
        <v>39</v>
      </c>
      <c r="F9352" t="s">
        <v>43</v>
      </c>
      <c r="G9352" t="s">
        <v>40</v>
      </c>
      <c r="H9352" t="s">
        <v>111</v>
      </c>
      <c r="I9352">
        <v>32898</v>
      </c>
      <c r="J9352">
        <v>29660</v>
      </c>
    </row>
    <row r="9353" spans="1:10" x14ac:dyDescent="0.3">
      <c r="A9353" t="s">
        <v>9480</v>
      </c>
      <c r="B9353" s="1">
        <v>45738</v>
      </c>
      <c r="C9353" t="s">
        <v>95</v>
      </c>
      <c r="D9353">
        <v>12</v>
      </c>
      <c r="E9353" t="s">
        <v>61</v>
      </c>
      <c r="F9353" t="s">
        <v>78</v>
      </c>
      <c r="G9353" t="s">
        <v>83</v>
      </c>
      <c r="H9353" t="s">
        <v>41</v>
      </c>
      <c r="I9353">
        <v>39135</v>
      </c>
      <c r="J9353">
        <v>28409</v>
      </c>
    </row>
    <row r="9354" spans="1:10" x14ac:dyDescent="0.3">
      <c r="A9354" t="s">
        <v>9481</v>
      </c>
      <c r="B9354" s="1">
        <v>45849</v>
      </c>
      <c r="C9354" t="s">
        <v>11</v>
      </c>
      <c r="D9354">
        <v>28</v>
      </c>
      <c r="E9354" t="s">
        <v>61</v>
      </c>
      <c r="F9354" t="s">
        <v>193</v>
      </c>
      <c r="G9354" t="s">
        <v>54</v>
      </c>
      <c r="H9354" t="s">
        <v>55</v>
      </c>
      <c r="I9354">
        <v>20593</v>
      </c>
      <c r="J9354">
        <v>23435</v>
      </c>
    </row>
    <row r="9355" spans="1:10" x14ac:dyDescent="0.3">
      <c r="A9355" t="s">
        <v>9482</v>
      </c>
      <c r="B9355" s="1">
        <v>46010</v>
      </c>
      <c r="C9355" t="s">
        <v>100</v>
      </c>
      <c r="D9355">
        <v>51</v>
      </c>
      <c r="E9355" t="s">
        <v>24</v>
      </c>
      <c r="F9355" t="s">
        <v>34</v>
      </c>
      <c r="G9355" t="s">
        <v>182</v>
      </c>
      <c r="H9355" t="s">
        <v>41</v>
      </c>
      <c r="I9355">
        <v>16893</v>
      </c>
      <c r="J9355">
        <v>13352</v>
      </c>
    </row>
    <row r="9356" spans="1:10" x14ac:dyDescent="0.3">
      <c r="A9356" t="s">
        <v>9483</v>
      </c>
      <c r="B9356" s="1">
        <v>45747</v>
      </c>
      <c r="C9356" t="s">
        <v>95</v>
      </c>
      <c r="D9356">
        <v>14</v>
      </c>
      <c r="E9356" t="s">
        <v>33</v>
      </c>
      <c r="F9356" t="s">
        <v>19</v>
      </c>
      <c r="G9356" t="s">
        <v>160</v>
      </c>
      <c r="H9356" t="s">
        <v>111</v>
      </c>
      <c r="I9356">
        <v>19027</v>
      </c>
      <c r="J9356">
        <v>17890</v>
      </c>
    </row>
    <row r="9357" spans="1:10" x14ac:dyDescent="0.3">
      <c r="A9357" t="s">
        <v>9484</v>
      </c>
      <c r="B9357" s="1">
        <v>45863</v>
      </c>
      <c r="C9357" t="s">
        <v>11</v>
      </c>
      <c r="D9357">
        <v>30</v>
      </c>
      <c r="E9357" t="s">
        <v>70</v>
      </c>
      <c r="F9357" t="s">
        <v>140</v>
      </c>
      <c r="G9357" t="s">
        <v>72</v>
      </c>
      <c r="H9357" t="s">
        <v>55</v>
      </c>
      <c r="I9357">
        <v>33984</v>
      </c>
      <c r="J9357">
        <v>42846</v>
      </c>
    </row>
    <row r="9358" spans="1:10" x14ac:dyDescent="0.3">
      <c r="A9358" t="s">
        <v>9485</v>
      </c>
      <c r="B9358" s="1">
        <v>45866</v>
      </c>
      <c r="C9358" t="s">
        <v>11</v>
      </c>
      <c r="D9358">
        <v>31</v>
      </c>
      <c r="E9358" t="s">
        <v>33</v>
      </c>
      <c r="F9358" t="s">
        <v>25</v>
      </c>
      <c r="G9358" t="s">
        <v>201</v>
      </c>
      <c r="H9358" t="s">
        <v>163</v>
      </c>
      <c r="I9358">
        <v>16350</v>
      </c>
      <c r="J9358">
        <v>14943</v>
      </c>
    </row>
    <row r="9359" spans="1:10" x14ac:dyDescent="0.3">
      <c r="A9359" t="s">
        <v>9486</v>
      </c>
      <c r="B9359" s="1">
        <v>45836</v>
      </c>
      <c r="C9359" t="s">
        <v>74</v>
      </c>
      <c r="D9359">
        <v>26</v>
      </c>
      <c r="E9359" t="s">
        <v>24</v>
      </c>
      <c r="F9359" t="s">
        <v>101</v>
      </c>
      <c r="G9359" t="s">
        <v>147</v>
      </c>
      <c r="H9359" t="s">
        <v>41</v>
      </c>
      <c r="I9359">
        <v>23120</v>
      </c>
      <c r="J9359">
        <v>23651</v>
      </c>
    </row>
    <row r="9360" spans="1:10" x14ac:dyDescent="0.3">
      <c r="A9360" t="s">
        <v>9487</v>
      </c>
      <c r="B9360" s="1">
        <v>45987</v>
      </c>
      <c r="C9360" t="s">
        <v>23</v>
      </c>
      <c r="D9360">
        <v>48</v>
      </c>
      <c r="E9360" t="s">
        <v>18</v>
      </c>
      <c r="F9360" t="s">
        <v>29</v>
      </c>
      <c r="G9360" t="s">
        <v>128</v>
      </c>
      <c r="H9360" t="s">
        <v>116</v>
      </c>
      <c r="I9360">
        <v>29866</v>
      </c>
      <c r="J9360">
        <v>30239</v>
      </c>
    </row>
    <row r="9361" spans="1:10" x14ac:dyDescent="0.3">
      <c r="A9361" t="s">
        <v>9488</v>
      </c>
      <c r="B9361" s="1">
        <v>45826</v>
      </c>
      <c r="C9361" t="s">
        <v>74</v>
      </c>
      <c r="D9361">
        <v>25</v>
      </c>
      <c r="E9361" t="s">
        <v>39</v>
      </c>
      <c r="F9361" t="s">
        <v>62</v>
      </c>
      <c r="G9361" t="s">
        <v>14</v>
      </c>
      <c r="H9361" t="s">
        <v>116</v>
      </c>
      <c r="I9361">
        <v>39755</v>
      </c>
      <c r="J9361">
        <v>47992</v>
      </c>
    </row>
    <row r="9362" spans="1:10" x14ac:dyDescent="0.3">
      <c r="A9362" t="s">
        <v>9489</v>
      </c>
      <c r="B9362" s="1">
        <v>45914</v>
      </c>
      <c r="C9362" t="s">
        <v>38</v>
      </c>
      <c r="D9362">
        <v>37</v>
      </c>
      <c r="E9362" t="s">
        <v>70</v>
      </c>
      <c r="F9362" t="s">
        <v>62</v>
      </c>
      <c r="G9362" t="s">
        <v>54</v>
      </c>
      <c r="H9362" t="s">
        <v>103</v>
      </c>
      <c r="I9362">
        <v>19606</v>
      </c>
      <c r="J9362">
        <v>16717</v>
      </c>
    </row>
    <row r="9363" spans="1:10" x14ac:dyDescent="0.3">
      <c r="A9363" t="s">
        <v>9490</v>
      </c>
      <c r="B9363" s="1">
        <v>45691</v>
      </c>
      <c r="C9363" t="s">
        <v>82</v>
      </c>
      <c r="D9363">
        <v>6</v>
      </c>
      <c r="E9363" t="s">
        <v>70</v>
      </c>
      <c r="F9363" t="s">
        <v>50</v>
      </c>
      <c r="G9363" t="s">
        <v>324</v>
      </c>
      <c r="H9363" t="s">
        <v>21</v>
      </c>
      <c r="I9363">
        <v>31571</v>
      </c>
      <c r="J9363">
        <v>29835</v>
      </c>
    </row>
    <row r="9364" spans="1:10" x14ac:dyDescent="0.3">
      <c r="A9364" t="s">
        <v>9491</v>
      </c>
      <c r="B9364" s="1">
        <v>45943</v>
      </c>
      <c r="C9364" t="s">
        <v>66</v>
      </c>
      <c r="D9364">
        <v>42</v>
      </c>
      <c r="E9364" t="s">
        <v>61</v>
      </c>
      <c r="F9364" t="s">
        <v>57</v>
      </c>
      <c r="G9364" t="s">
        <v>26</v>
      </c>
      <c r="H9364" t="s">
        <v>48</v>
      </c>
      <c r="I9364">
        <v>37946</v>
      </c>
      <c r="J9364">
        <v>40218</v>
      </c>
    </row>
    <row r="9365" spans="1:10" x14ac:dyDescent="0.3">
      <c r="A9365" t="s">
        <v>9492</v>
      </c>
      <c r="B9365" s="1">
        <v>45862</v>
      </c>
      <c r="C9365" t="s">
        <v>11</v>
      </c>
      <c r="D9365">
        <v>30</v>
      </c>
      <c r="E9365" t="s">
        <v>24</v>
      </c>
      <c r="F9365" t="s">
        <v>75</v>
      </c>
      <c r="G9365" t="s">
        <v>30</v>
      </c>
      <c r="H9365" t="s">
        <v>116</v>
      </c>
      <c r="I9365">
        <v>30250</v>
      </c>
      <c r="J9365">
        <v>29233</v>
      </c>
    </row>
    <row r="9366" spans="1:10" x14ac:dyDescent="0.3">
      <c r="A9366" t="s">
        <v>9493</v>
      </c>
      <c r="B9366" s="1">
        <v>45961</v>
      </c>
      <c r="C9366" t="s">
        <v>66</v>
      </c>
      <c r="D9366">
        <v>44</v>
      </c>
      <c r="E9366" t="s">
        <v>18</v>
      </c>
      <c r="F9366" t="s">
        <v>50</v>
      </c>
      <c r="G9366" t="s">
        <v>128</v>
      </c>
      <c r="H9366" t="s">
        <v>211</v>
      </c>
      <c r="I9366">
        <v>18290</v>
      </c>
      <c r="J9366">
        <v>20333</v>
      </c>
    </row>
    <row r="9367" spans="1:10" x14ac:dyDescent="0.3">
      <c r="A9367" t="s">
        <v>9494</v>
      </c>
      <c r="B9367" s="1">
        <v>45707</v>
      </c>
      <c r="C9367" t="s">
        <v>82</v>
      </c>
      <c r="D9367">
        <v>8</v>
      </c>
      <c r="E9367" t="s">
        <v>33</v>
      </c>
      <c r="F9367" t="s">
        <v>92</v>
      </c>
      <c r="G9367" t="s">
        <v>130</v>
      </c>
      <c r="H9367" t="s">
        <v>59</v>
      </c>
      <c r="I9367">
        <v>26775</v>
      </c>
      <c r="J9367">
        <v>24697</v>
      </c>
    </row>
    <row r="9368" spans="1:10" x14ac:dyDescent="0.3">
      <c r="A9368" t="s">
        <v>9495</v>
      </c>
      <c r="B9368" s="1">
        <v>45981</v>
      </c>
      <c r="C9368" t="s">
        <v>23</v>
      </c>
      <c r="D9368">
        <v>47</v>
      </c>
      <c r="E9368" t="s">
        <v>39</v>
      </c>
      <c r="F9368" t="s">
        <v>75</v>
      </c>
      <c r="G9368" t="s">
        <v>14</v>
      </c>
      <c r="H9368" t="s">
        <v>55</v>
      </c>
      <c r="I9368">
        <v>39191</v>
      </c>
      <c r="J9368">
        <v>46138</v>
      </c>
    </row>
    <row r="9369" spans="1:10" x14ac:dyDescent="0.3">
      <c r="A9369" t="s">
        <v>9496</v>
      </c>
      <c r="B9369" s="1">
        <v>45873</v>
      </c>
      <c r="C9369" t="s">
        <v>113</v>
      </c>
      <c r="D9369">
        <v>32</v>
      </c>
      <c r="E9369" t="s">
        <v>12</v>
      </c>
      <c r="F9369" t="s">
        <v>50</v>
      </c>
      <c r="G9369" t="s">
        <v>171</v>
      </c>
      <c r="H9369" t="s">
        <v>211</v>
      </c>
      <c r="I9369">
        <v>21660</v>
      </c>
      <c r="J9369">
        <v>17998</v>
      </c>
    </row>
    <row r="9370" spans="1:10" x14ac:dyDescent="0.3">
      <c r="A9370" t="s">
        <v>9497</v>
      </c>
      <c r="B9370" s="1">
        <v>45968</v>
      </c>
      <c r="C9370" t="s">
        <v>23</v>
      </c>
      <c r="D9370">
        <v>45</v>
      </c>
      <c r="E9370" t="s">
        <v>12</v>
      </c>
      <c r="F9370" t="s">
        <v>92</v>
      </c>
      <c r="G9370" t="s">
        <v>266</v>
      </c>
      <c r="H9370" t="s">
        <v>80</v>
      </c>
      <c r="I9370">
        <v>23154</v>
      </c>
      <c r="J9370">
        <v>18717</v>
      </c>
    </row>
    <row r="9371" spans="1:10" x14ac:dyDescent="0.3">
      <c r="A9371" t="s">
        <v>9498</v>
      </c>
      <c r="B9371" s="1">
        <v>45963</v>
      </c>
      <c r="C9371" t="s">
        <v>23</v>
      </c>
      <c r="D9371">
        <v>44</v>
      </c>
      <c r="E9371" t="s">
        <v>70</v>
      </c>
      <c r="F9371" t="s">
        <v>19</v>
      </c>
      <c r="G9371" t="s">
        <v>79</v>
      </c>
      <c r="H9371" t="s">
        <v>151</v>
      </c>
      <c r="I9371">
        <v>28308</v>
      </c>
      <c r="J9371">
        <v>29647</v>
      </c>
    </row>
    <row r="9372" spans="1:10" x14ac:dyDescent="0.3">
      <c r="A9372" t="s">
        <v>9499</v>
      </c>
      <c r="B9372" s="1">
        <v>45759</v>
      </c>
      <c r="C9372" t="s">
        <v>86</v>
      </c>
      <c r="D9372">
        <v>15</v>
      </c>
      <c r="E9372" t="s">
        <v>39</v>
      </c>
      <c r="F9372" t="s">
        <v>78</v>
      </c>
      <c r="G9372" t="s">
        <v>102</v>
      </c>
      <c r="H9372" t="s">
        <v>52</v>
      </c>
      <c r="I9372">
        <v>16041</v>
      </c>
      <c r="J9372">
        <v>12618</v>
      </c>
    </row>
    <row r="9373" spans="1:10" x14ac:dyDescent="0.3">
      <c r="A9373" t="s">
        <v>9500</v>
      </c>
      <c r="B9373" s="1">
        <v>45970</v>
      </c>
      <c r="C9373" t="s">
        <v>23</v>
      </c>
      <c r="D9373">
        <v>45</v>
      </c>
      <c r="E9373" t="s">
        <v>70</v>
      </c>
      <c r="F9373" t="s">
        <v>13</v>
      </c>
      <c r="G9373" t="s">
        <v>137</v>
      </c>
      <c r="H9373" t="s">
        <v>59</v>
      </c>
      <c r="I9373">
        <v>37837</v>
      </c>
      <c r="J9373">
        <v>39254</v>
      </c>
    </row>
    <row r="9374" spans="1:10" x14ac:dyDescent="0.3">
      <c r="A9374" t="s">
        <v>9501</v>
      </c>
      <c r="B9374" s="1">
        <v>45899</v>
      </c>
      <c r="C9374" t="s">
        <v>113</v>
      </c>
      <c r="D9374">
        <v>35</v>
      </c>
      <c r="E9374" t="s">
        <v>18</v>
      </c>
      <c r="F9374" t="s">
        <v>78</v>
      </c>
      <c r="G9374" t="s">
        <v>199</v>
      </c>
      <c r="H9374" t="s">
        <v>123</v>
      </c>
      <c r="I9374">
        <v>20364</v>
      </c>
      <c r="J9374">
        <v>22190</v>
      </c>
    </row>
    <row r="9375" spans="1:10" x14ac:dyDescent="0.3">
      <c r="A9375" t="s">
        <v>9502</v>
      </c>
      <c r="B9375" s="1">
        <v>45948</v>
      </c>
      <c r="C9375" t="s">
        <v>66</v>
      </c>
      <c r="D9375">
        <v>42</v>
      </c>
      <c r="E9375" t="s">
        <v>24</v>
      </c>
      <c r="F9375" t="s">
        <v>193</v>
      </c>
      <c r="G9375" t="s">
        <v>199</v>
      </c>
      <c r="H9375" t="s">
        <v>31</v>
      </c>
      <c r="I9375">
        <v>38171</v>
      </c>
      <c r="J9375">
        <v>36317</v>
      </c>
    </row>
    <row r="9376" spans="1:10" x14ac:dyDescent="0.3">
      <c r="A9376" t="s">
        <v>9503</v>
      </c>
      <c r="B9376" s="1">
        <v>45811</v>
      </c>
      <c r="C9376" t="s">
        <v>74</v>
      </c>
      <c r="D9376">
        <v>23</v>
      </c>
      <c r="E9376" t="s">
        <v>18</v>
      </c>
      <c r="F9376" t="s">
        <v>29</v>
      </c>
      <c r="G9376" t="s">
        <v>326</v>
      </c>
      <c r="H9376" t="s">
        <v>243</v>
      </c>
      <c r="I9376">
        <v>30770</v>
      </c>
      <c r="J9376">
        <v>38418</v>
      </c>
    </row>
    <row r="9377" spans="1:10" x14ac:dyDescent="0.3">
      <c r="A9377" t="s">
        <v>9504</v>
      </c>
      <c r="B9377" s="1">
        <v>45815</v>
      </c>
      <c r="C9377" t="s">
        <v>74</v>
      </c>
      <c r="D9377">
        <v>23</v>
      </c>
      <c r="E9377" t="s">
        <v>39</v>
      </c>
      <c r="F9377" t="s">
        <v>78</v>
      </c>
      <c r="G9377" t="s">
        <v>76</v>
      </c>
      <c r="H9377" t="s">
        <v>96</v>
      </c>
      <c r="I9377">
        <v>28278</v>
      </c>
      <c r="J9377">
        <v>21453</v>
      </c>
    </row>
    <row r="9378" spans="1:10" x14ac:dyDescent="0.3">
      <c r="A9378" t="s">
        <v>9505</v>
      </c>
      <c r="B9378" s="1">
        <v>45876</v>
      </c>
      <c r="C9378" t="s">
        <v>113</v>
      </c>
      <c r="D9378">
        <v>32</v>
      </c>
      <c r="E9378" t="s">
        <v>12</v>
      </c>
      <c r="F9378" t="s">
        <v>140</v>
      </c>
      <c r="G9378" t="s">
        <v>72</v>
      </c>
      <c r="H9378" t="s">
        <v>211</v>
      </c>
      <c r="I9378">
        <v>15118</v>
      </c>
      <c r="J9378">
        <v>14311</v>
      </c>
    </row>
    <row r="9379" spans="1:10" x14ac:dyDescent="0.3">
      <c r="A9379" t="s">
        <v>9506</v>
      </c>
      <c r="B9379" s="1">
        <v>45952</v>
      </c>
      <c r="C9379" t="s">
        <v>66</v>
      </c>
      <c r="D9379">
        <v>43</v>
      </c>
      <c r="E9379" t="s">
        <v>12</v>
      </c>
      <c r="F9379" t="s">
        <v>109</v>
      </c>
      <c r="G9379" t="s">
        <v>234</v>
      </c>
      <c r="H9379" t="s">
        <v>133</v>
      </c>
      <c r="I9379">
        <v>33406</v>
      </c>
      <c r="J9379">
        <v>36651</v>
      </c>
    </row>
    <row r="9380" spans="1:10" x14ac:dyDescent="0.3">
      <c r="A9380" t="s">
        <v>9507</v>
      </c>
      <c r="B9380" s="1">
        <v>45810</v>
      </c>
      <c r="C9380" t="s">
        <v>74</v>
      </c>
      <c r="D9380">
        <v>23</v>
      </c>
      <c r="E9380" t="s">
        <v>24</v>
      </c>
      <c r="F9380" t="s">
        <v>62</v>
      </c>
      <c r="G9380" t="s">
        <v>240</v>
      </c>
      <c r="H9380" t="s">
        <v>211</v>
      </c>
      <c r="I9380">
        <v>25627</v>
      </c>
      <c r="J9380">
        <v>27754</v>
      </c>
    </row>
    <row r="9381" spans="1:10" x14ac:dyDescent="0.3">
      <c r="A9381" t="s">
        <v>9508</v>
      </c>
      <c r="B9381" s="1">
        <v>45786</v>
      </c>
      <c r="C9381" t="s">
        <v>90</v>
      </c>
      <c r="D9381">
        <v>19</v>
      </c>
      <c r="E9381" t="s">
        <v>70</v>
      </c>
      <c r="F9381" t="s">
        <v>78</v>
      </c>
      <c r="G9381" t="s">
        <v>141</v>
      </c>
      <c r="H9381" t="s">
        <v>165</v>
      </c>
      <c r="I9381">
        <v>27417</v>
      </c>
      <c r="J9381">
        <v>24549</v>
      </c>
    </row>
    <row r="9382" spans="1:10" x14ac:dyDescent="0.3">
      <c r="A9382" t="s">
        <v>9509</v>
      </c>
      <c r="B9382" s="1">
        <v>45658</v>
      </c>
      <c r="C9382" t="s">
        <v>17</v>
      </c>
      <c r="D9382">
        <v>1</v>
      </c>
      <c r="E9382" t="s">
        <v>33</v>
      </c>
      <c r="F9382" t="s">
        <v>75</v>
      </c>
      <c r="G9382" t="s">
        <v>35</v>
      </c>
      <c r="H9382" t="s">
        <v>80</v>
      </c>
      <c r="I9382">
        <v>17758</v>
      </c>
      <c r="J9382">
        <v>12769</v>
      </c>
    </row>
    <row r="9383" spans="1:10" x14ac:dyDescent="0.3">
      <c r="A9383" t="s">
        <v>9510</v>
      </c>
      <c r="B9383" s="1">
        <v>45734</v>
      </c>
      <c r="C9383" t="s">
        <v>95</v>
      </c>
      <c r="D9383">
        <v>12</v>
      </c>
      <c r="E9383" t="s">
        <v>61</v>
      </c>
      <c r="F9383" t="s">
        <v>122</v>
      </c>
      <c r="G9383" t="s">
        <v>132</v>
      </c>
      <c r="H9383" t="s">
        <v>123</v>
      </c>
      <c r="I9383">
        <v>21407</v>
      </c>
      <c r="J9383">
        <v>22199</v>
      </c>
    </row>
    <row r="9384" spans="1:10" x14ac:dyDescent="0.3">
      <c r="A9384" t="s">
        <v>9511</v>
      </c>
      <c r="B9384" s="1">
        <v>45753</v>
      </c>
      <c r="C9384" t="s">
        <v>86</v>
      </c>
      <c r="D9384">
        <v>14</v>
      </c>
      <c r="E9384" t="s">
        <v>24</v>
      </c>
      <c r="F9384" t="s">
        <v>78</v>
      </c>
      <c r="G9384" t="s">
        <v>72</v>
      </c>
      <c r="H9384" t="s">
        <v>157</v>
      </c>
      <c r="I9384">
        <v>35801</v>
      </c>
      <c r="J9384">
        <v>27852</v>
      </c>
    </row>
    <row r="9385" spans="1:10" x14ac:dyDescent="0.3">
      <c r="A9385" t="s">
        <v>9512</v>
      </c>
      <c r="B9385" s="1">
        <v>45744</v>
      </c>
      <c r="C9385" t="s">
        <v>95</v>
      </c>
      <c r="D9385">
        <v>13</v>
      </c>
      <c r="E9385" t="s">
        <v>39</v>
      </c>
      <c r="F9385" t="s">
        <v>114</v>
      </c>
      <c r="G9385" t="s">
        <v>20</v>
      </c>
      <c r="H9385" t="s">
        <v>188</v>
      </c>
      <c r="I9385">
        <v>17918</v>
      </c>
      <c r="J9385">
        <v>19132</v>
      </c>
    </row>
    <row r="9386" spans="1:10" x14ac:dyDescent="0.3">
      <c r="A9386" t="s">
        <v>9513</v>
      </c>
      <c r="B9386" s="1">
        <v>45859</v>
      </c>
      <c r="C9386" t="s">
        <v>11</v>
      </c>
      <c r="D9386">
        <v>30</v>
      </c>
      <c r="E9386" t="s">
        <v>70</v>
      </c>
      <c r="F9386" t="s">
        <v>19</v>
      </c>
      <c r="G9386" t="s">
        <v>230</v>
      </c>
      <c r="H9386" t="s">
        <v>111</v>
      </c>
      <c r="I9386">
        <v>39435</v>
      </c>
      <c r="J9386">
        <v>32221</v>
      </c>
    </row>
    <row r="9387" spans="1:10" x14ac:dyDescent="0.3">
      <c r="A9387" t="s">
        <v>9514</v>
      </c>
      <c r="B9387" s="1">
        <v>45686</v>
      </c>
      <c r="C9387" t="s">
        <v>17</v>
      </c>
      <c r="D9387">
        <v>5</v>
      </c>
      <c r="E9387" t="s">
        <v>24</v>
      </c>
      <c r="F9387" t="s">
        <v>62</v>
      </c>
      <c r="G9387" t="s">
        <v>63</v>
      </c>
      <c r="H9387" t="s">
        <v>84</v>
      </c>
      <c r="I9387">
        <v>32977</v>
      </c>
      <c r="J9387">
        <v>23262</v>
      </c>
    </row>
    <row r="9388" spans="1:10" x14ac:dyDescent="0.3">
      <c r="A9388" t="s">
        <v>9515</v>
      </c>
      <c r="B9388" s="1">
        <v>45923</v>
      </c>
      <c r="C9388" t="s">
        <v>38</v>
      </c>
      <c r="D9388">
        <v>39</v>
      </c>
      <c r="E9388" t="s">
        <v>33</v>
      </c>
      <c r="F9388" t="s">
        <v>140</v>
      </c>
      <c r="G9388" t="s">
        <v>14</v>
      </c>
      <c r="H9388" t="s">
        <v>84</v>
      </c>
      <c r="I9388">
        <v>37653</v>
      </c>
      <c r="J9388">
        <v>35550</v>
      </c>
    </row>
    <row r="9389" spans="1:10" x14ac:dyDescent="0.3">
      <c r="A9389" t="s">
        <v>9516</v>
      </c>
      <c r="B9389" s="1">
        <v>45772</v>
      </c>
      <c r="C9389" t="s">
        <v>86</v>
      </c>
      <c r="D9389">
        <v>17</v>
      </c>
      <c r="E9389" t="s">
        <v>61</v>
      </c>
      <c r="F9389" t="s">
        <v>87</v>
      </c>
      <c r="G9389" t="s">
        <v>266</v>
      </c>
      <c r="H9389" t="s">
        <v>163</v>
      </c>
      <c r="I9389">
        <v>32600</v>
      </c>
      <c r="J9389">
        <v>30401</v>
      </c>
    </row>
    <row r="9390" spans="1:10" x14ac:dyDescent="0.3">
      <c r="A9390" t="s">
        <v>9517</v>
      </c>
      <c r="B9390" s="1">
        <v>45844</v>
      </c>
      <c r="C9390" t="s">
        <v>11</v>
      </c>
      <c r="D9390">
        <v>27</v>
      </c>
      <c r="E9390" t="s">
        <v>18</v>
      </c>
      <c r="F9390" t="s">
        <v>34</v>
      </c>
      <c r="G9390" t="s">
        <v>51</v>
      </c>
      <c r="H9390" t="s">
        <v>119</v>
      </c>
      <c r="I9390">
        <v>25163</v>
      </c>
      <c r="J9390">
        <v>27958</v>
      </c>
    </row>
    <row r="9391" spans="1:10" x14ac:dyDescent="0.3">
      <c r="A9391" t="s">
        <v>9518</v>
      </c>
      <c r="B9391" s="1">
        <v>46020</v>
      </c>
      <c r="C9391" t="s">
        <v>100</v>
      </c>
      <c r="D9391">
        <v>1</v>
      </c>
      <c r="E9391" t="s">
        <v>70</v>
      </c>
      <c r="F9391" t="s">
        <v>46</v>
      </c>
      <c r="G9391" t="s">
        <v>253</v>
      </c>
      <c r="H9391" t="s">
        <v>15</v>
      </c>
      <c r="I9391">
        <v>38572</v>
      </c>
      <c r="J9391">
        <v>46426</v>
      </c>
    </row>
    <row r="9392" spans="1:10" x14ac:dyDescent="0.3">
      <c r="A9392" t="s">
        <v>9519</v>
      </c>
      <c r="B9392" s="1">
        <v>45810</v>
      </c>
      <c r="C9392" t="s">
        <v>74</v>
      </c>
      <c r="D9392">
        <v>23</v>
      </c>
      <c r="E9392" t="s">
        <v>33</v>
      </c>
      <c r="F9392" t="s">
        <v>62</v>
      </c>
      <c r="G9392" t="s">
        <v>266</v>
      </c>
      <c r="H9392" t="s">
        <v>165</v>
      </c>
      <c r="I9392">
        <v>36105</v>
      </c>
      <c r="J9392">
        <v>30776</v>
      </c>
    </row>
    <row r="9393" spans="1:10" x14ac:dyDescent="0.3">
      <c r="A9393" t="s">
        <v>9520</v>
      </c>
      <c r="B9393" s="1">
        <v>45713</v>
      </c>
      <c r="C9393" t="s">
        <v>82</v>
      </c>
      <c r="D9393">
        <v>9</v>
      </c>
      <c r="E9393" t="s">
        <v>39</v>
      </c>
      <c r="F9393" t="s">
        <v>101</v>
      </c>
      <c r="G9393" t="s">
        <v>67</v>
      </c>
      <c r="H9393" t="s">
        <v>111</v>
      </c>
      <c r="I9393">
        <v>17955</v>
      </c>
      <c r="J9393">
        <v>18787</v>
      </c>
    </row>
    <row r="9394" spans="1:10" x14ac:dyDescent="0.3">
      <c r="A9394" t="s">
        <v>9521</v>
      </c>
      <c r="B9394" s="1">
        <v>45873</v>
      </c>
      <c r="C9394" t="s">
        <v>113</v>
      </c>
      <c r="D9394">
        <v>32</v>
      </c>
      <c r="E9394" t="s">
        <v>61</v>
      </c>
      <c r="F9394" t="s">
        <v>29</v>
      </c>
      <c r="G9394" t="s">
        <v>149</v>
      </c>
      <c r="H9394" t="s">
        <v>133</v>
      </c>
      <c r="I9394">
        <v>22066</v>
      </c>
      <c r="J9394">
        <v>16129</v>
      </c>
    </row>
    <row r="9395" spans="1:10" x14ac:dyDescent="0.3">
      <c r="A9395" t="s">
        <v>9522</v>
      </c>
      <c r="B9395" s="1">
        <v>45698</v>
      </c>
      <c r="C9395" t="s">
        <v>82</v>
      </c>
      <c r="D9395">
        <v>7</v>
      </c>
      <c r="E9395" t="s">
        <v>18</v>
      </c>
      <c r="F9395" t="s">
        <v>92</v>
      </c>
      <c r="G9395" t="s">
        <v>206</v>
      </c>
      <c r="H9395" t="s">
        <v>80</v>
      </c>
      <c r="I9395">
        <v>24232</v>
      </c>
      <c r="J9395">
        <v>29396</v>
      </c>
    </row>
    <row r="9396" spans="1:10" x14ac:dyDescent="0.3">
      <c r="A9396" t="s">
        <v>9523</v>
      </c>
      <c r="B9396" s="1">
        <v>45837</v>
      </c>
      <c r="C9396" t="s">
        <v>74</v>
      </c>
      <c r="D9396">
        <v>26</v>
      </c>
      <c r="E9396" t="s">
        <v>61</v>
      </c>
      <c r="F9396" t="s">
        <v>75</v>
      </c>
      <c r="G9396" t="s">
        <v>47</v>
      </c>
      <c r="H9396" t="s">
        <v>211</v>
      </c>
      <c r="I9396">
        <v>18638</v>
      </c>
      <c r="J9396">
        <v>23127</v>
      </c>
    </row>
    <row r="9397" spans="1:10" x14ac:dyDescent="0.3">
      <c r="A9397" t="s">
        <v>9524</v>
      </c>
      <c r="B9397" s="1">
        <v>45811</v>
      </c>
      <c r="C9397" t="s">
        <v>74</v>
      </c>
      <c r="D9397">
        <v>23</v>
      </c>
      <c r="E9397" t="s">
        <v>33</v>
      </c>
      <c r="F9397" t="s">
        <v>43</v>
      </c>
      <c r="G9397" t="s">
        <v>253</v>
      </c>
      <c r="H9397" t="s">
        <v>157</v>
      </c>
      <c r="I9397">
        <v>29512</v>
      </c>
      <c r="J9397">
        <v>37285</v>
      </c>
    </row>
    <row r="9398" spans="1:10" x14ac:dyDescent="0.3">
      <c r="A9398" t="s">
        <v>9525</v>
      </c>
      <c r="B9398" s="1">
        <v>45774</v>
      </c>
      <c r="C9398" t="s">
        <v>86</v>
      </c>
      <c r="D9398">
        <v>17</v>
      </c>
      <c r="E9398" t="s">
        <v>70</v>
      </c>
      <c r="F9398" t="s">
        <v>19</v>
      </c>
      <c r="G9398" t="s">
        <v>67</v>
      </c>
      <c r="H9398" t="s">
        <v>80</v>
      </c>
      <c r="I9398">
        <v>34329</v>
      </c>
      <c r="J9398">
        <v>39077</v>
      </c>
    </row>
    <row r="9399" spans="1:10" x14ac:dyDescent="0.3">
      <c r="A9399" t="s">
        <v>9526</v>
      </c>
      <c r="B9399" s="1">
        <v>45772</v>
      </c>
      <c r="C9399" t="s">
        <v>86</v>
      </c>
      <c r="D9399">
        <v>17</v>
      </c>
      <c r="E9399" t="s">
        <v>18</v>
      </c>
      <c r="F9399" t="s">
        <v>87</v>
      </c>
      <c r="G9399" t="s">
        <v>201</v>
      </c>
      <c r="H9399" t="s">
        <v>59</v>
      </c>
      <c r="I9399">
        <v>28526</v>
      </c>
      <c r="J9399">
        <v>24120</v>
      </c>
    </row>
    <row r="9400" spans="1:10" x14ac:dyDescent="0.3">
      <c r="A9400" t="s">
        <v>9527</v>
      </c>
      <c r="B9400" s="1">
        <v>45754</v>
      </c>
      <c r="C9400" t="s">
        <v>86</v>
      </c>
      <c r="D9400">
        <v>15</v>
      </c>
      <c r="E9400" t="s">
        <v>61</v>
      </c>
      <c r="F9400" t="s">
        <v>122</v>
      </c>
      <c r="G9400" t="s">
        <v>149</v>
      </c>
      <c r="H9400" t="s">
        <v>165</v>
      </c>
      <c r="I9400">
        <v>36487</v>
      </c>
      <c r="J9400">
        <v>44610</v>
      </c>
    </row>
    <row r="9401" spans="1:10" x14ac:dyDescent="0.3">
      <c r="A9401" t="s">
        <v>9528</v>
      </c>
      <c r="B9401" s="1">
        <v>46005</v>
      </c>
      <c r="C9401" t="s">
        <v>100</v>
      </c>
      <c r="D9401">
        <v>50</v>
      </c>
      <c r="E9401" t="s">
        <v>33</v>
      </c>
      <c r="F9401" t="s">
        <v>114</v>
      </c>
      <c r="G9401" t="s">
        <v>115</v>
      </c>
      <c r="H9401" t="s">
        <v>55</v>
      </c>
      <c r="I9401">
        <v>21707</v>
      </c>
      <c r="J9401">
        <v>22624</v>
      </c>
    </row>
    <row r="9402" spans="1:10" x14ac:dyDescent="0.3">
      <c r="A9402" t="s">
        <v>9529</v>
      </c>
      <c r="B9402" s="1">
        <v>45684</v>
      </c>
      <c r="C9402" t="s">
        <v>17</v>
      </c>
      <c r="D9402">
        <v>5</v>
      </c>
      <c r="E9402" t="s">
        <v>39</v>
      </c>
      <c r="F9402" t="s">
        <v>114</v>
      </c>
      <c r="G9402" t="s">
        <v>137</v>
      </c>
      <c r="H9402" t="s">
        <v>59</v>
      </c>
      <c r="I9402">
        <v>29521</v>
      </c>
      <c r="J9402">
        <v>29784</v>
      </c>
    </row>
    <row r="9403" spans="1:10" x14ac:dyDescent="0.3">
      <c r="A9403" t="s">
        <v>9530</v>
      </c>
      <c r="B9403" s="1">
        <v>45730</v>
      </c>
      <c r="C9403" t="s">
        <v>95</v>
      </c>
      <c r="D9403">
        <v>11</v>
      </c>
      <c r="E9403" t="s">
        <v>24</v>
      </c>
      <c r="F9403" t="s">
        <v>25</v>
      </c>
      <c r="G9403" t="s">
        <v>240</v>
      </c>
      <c r="H9403" t="s">
        <v>80</v>
      </c>
      <c r="I9403">
        <v>29347</v>
      </c>
      <c r="J9403">
        <v>37072</v>
      </c>
    </row>
    <row r="9404" spans="1:10" x14ac:dyDescent="0.3">
      <c r="A9404" t="s">
        <v>9531</v>
      </c>
      <c r="B9404" s="1">
        <v>45662</v>
      </c>
      <c r="C9404" t="s">
        <v>17</v>
      </c>
      <c r="D9404">
        <v>1</v>
      </c>
      <c r="E9404" t="s">
        <v>33</v>
      </c>
      <c r="F9404" t="s">
        <v>92</v>
      </c>
      <c r="G9404" t="s">
        <v>126</v>
      </c>
      <c r="H9404" t="s">
        <v>163</v>
      </c>
      <c r="I9404">
        <v>23437</v>
      </c>
      <c r="J9404">
        <v>19675</v>
      </c>
    </row>
    <row r="9405" spans="1:10" x14ac:dyDescent="0.3">
      <c r="A9405" t="s">
        <v>9532</v>
      </c>
      <c r="B9405" s="1">
        <v>45922</v>
      </c>
      <c r="C9405" t="s">
        <v>38</v>
      </c>
      <c r="D9405">
        <v>39</v>
      </c>
      <c r="E9405" t="s">
        <v>18</v>
      </c>
      <c r="F9405" t="s">
        <v>19</v>
      </c>
      <c r="G9405" t="s">
        <v>147</v>
      </c>
      <c r="H9405" t="s">
        <v>96</v>
      </c>
      <c r="I9405">
        <v>32421</v>
      </c>
      <c r="J9405">
        <v>41842</v>
      </c>
    </row>
    <row r="9406" spans="1:10" x14ac:dyDescent="0.3">
      <c r="A9406" t="s">
        <v>9533</v>
      </c>
      <c r="B9406" s="1">
        <v>45687</v>
      </c>
      <c r="C9406" t="s">
        <v>17</v>
      </c>
      <c r="D9406">
        <v>5</v>
      </c>
      <c r="E9406" t="s">
        <v>61</v>
      </c>
      <c r="F9406" t="s">
        <v>29</v>
      </c>
      <c r="G9406" t="s">
        <v>266</v>
      </c>
      <c r="H9406" t="s">
        <v>157</v>
      </c>
      <c r="I9406">
        <v>17839</v>
      </c>
      <c r="J9406">
        <v>16578</v>
      </c>
    </row>
    <row r="9407" spans="1:10" x14ac:dyDescent="0.3">
      <c r="A9407" t="s">
        <v>9534</v>
      </c>
      <c r="B9407" s="1">
        <v>45874</v>
      </c>
      <c r="C9407" t="s">
        <v>113</v>
      </c>
      <c r="D9407">
        <v>32</v>
      </c>
      <c r="E9407" t="s">
        <v>18</v>
      </c>
      <c r="F9407" t="s">
        <v>57</v>
      </c>
      <c r="G9407" t="s">
        <v>44</v>
      </c>
      <c r="H9407" t="s">
        <v>133</v>
      </c>
      <c r="I9407">
        <v>15417</v>
      </c>
      <c r="J9407">
        <v>19040</v>
      </c>
    </row>
    <row r="9408" spans="1:10" x14ac:dyDescent="0.3">
      <c r="A9408" t="s">
        <v>9535</v>
      </c>
      <c r="B9408" s="1">
        <v>45831</v>
      </c>
      <c r="C9408" t="s">
        <v>74</v>
      </c>
      <c r="D9408">
        <v>26</v>
      </c>
      <c r="E9408" t="s">
        <v>12</v>
      </c>
      <c r="F9408" t="s">
        <v>13</v>
      </c>
      <c r="G9408" t="s">
        <v>137</v>
      </c>
      <c r="H9408" t="s">
        <v>27</v>
      </c>
      <c r="I9408">
        <v>15942</v>
      </c>
      <c r="J9408">
        <v>12886</v>
      </c>
    </row>
    <row r="9409" spans="1:10" x14ac:dyDescent="0.3">
      <c r="A9409" t="s">
        <v>9536</v>
      </c>
      <c r="B9409" s="1">
        <v>45849</v>
      </c>
      <c r="C9409" t="s">
        <v>11</v>
      </c>
      <c r="D9409">
        <v>28</v>
      </c>
      <c r="E9409" t="s">
        <v>24</v>
      </c>
      <c r="F9409" t="s">
        <v>57</v>
      </c>
      <c r="G9409" t="s">
        <v>224</v>
      </c>
      <c r="H9409" t="s">
        <v>27</v>
      </c>
      <c r="I9409">
        <v>36814</v>
      </c>
      <c r="J9409">
        <v>42080</v>
      </c>
    </row>
    <row r="9410" spans="1:10" x14ac:dyDescent="0.3">
      <c r="A9410" t="s">
        <v>9537</v>
      </c>
      <c r="B9410" s="1">
        <v>45709</v>
      </c>
      <c r="C9410" t="s">
        <v>82</v>
      </c>
      <c r="D9410">
        <v>8</v>
      </c>
      <c r="E9410" t="s">
        <v>70</v>
      </c>
      <c r="F9410" t="s">
        <v>34</v>
      </c>
      <c r="G9410" t="s">
        <v>63</v>
      </c>
      <c r="H9410" t="s">
        <v>84</v>
      </c>
      <c r="I9410">
        <v>22528</v>
      </c>
      <c r="J9410">
        <v>23898</v>
      </c>
    </row>
    <row r="9411" spans="1:10" x14ac:dyDescent="0.3">
      <c r="A9411" t="s">
        <v>9538</v>
      </c>
      <c r="B9411" s="1">
        <v>45914</v>
      </c>
      <c r="C9411" t="s">
        <v>38</v>
      </c>
      <c r="D9411">
        <v>37</v>
      </c>
      <c r="E9411" t="s">
        <v>24</v>
      </c>
      <c r="F9411" t="s">
        <v>92</v>
      </c>
      <c r="G9411" t="s">
        <v>128</v>
      </c>
      <c r="H9411" t="s">
        <v>163</v>
      </c>
      <c r="I9411">
        <v>31121</v>
      </c>
      <c r="J9411">
        <v>23980</v>
      </c>
    </row>
    <row r="9412" spans="1:10" x14ac:dyDescent="0.3">
      <c r="A9412" t="s">
        <v>9539</v>
      </c>
      <c r="B9412" s="1">
        <v>45889</v>
      </c>
      <c r="C9412" t="s">
        <v>113</v>
      </c>
      <c r="D9412">
        <v>34</v>
      </c>
      <c r="E9412" t="s">
        <v>39</v>
      </c>
      <c r="F9412" t="s">
        <v>92</v>
      </c>
      <c r="G9412" t="s">
        <v>14</v>
      </c>
      <c r="H9412" t="s">
        <v>188</v>
      </c>
      <c r="I9412">
        <v>28228</v>
      </c>
      <c r="J9412">
        <v>21049</v>
      </c>
    </row>
    <row r="9413" spans="1:10" x14ac:dyDescent="0.3">
      <c r="A9413" t="s">
        <v>9540</v>
      </c>
      <c r="B9413" s="1">
        <v>45693</v>
      </c>
      <c r="C9413" t="s">
        <v>82</v>
      </c>
      <c r="D9413">
        <v>6</v>
      </c>
      <c r="E9413" t="s">
        <v>12</v>
      </c>
      <c r="F9413" t="s">
        <v>62</v>
      </c>
      <c r="G9413" t="s">
        <v>93</v>
      </c>
      <c r="H9413" t="s">
        <v>55</v>
      </c>
      <c r="I9413">
        <v>38629</v>
      </c>
      <c r="J9413">
        <v>33328</v>
      </c>
    </row>
    <row r="9414" spans="1:10" x14ac:dyDescent="0.3">
      <c r="A9414" t="s">
        <v>9541</v>
      </c>
      <c r="B9414" s="1">
        <v>45769</v>
      </c>
      <c r="C9414" t="s">
        <v>86</v>
      </c>
      <c r="D9414">
        <v>17</v>
      </c>
      <c r="E9414" t="s">
        <v>12</v>
      </c>
      <c r="F9414" t="s">
        <v>57</v>
      </c>
      <c r="G9414" t="s">
        <v>201</v>
      </c>
      <c r="H9414" t="s">
        <v>163</v>
      </c>
      <c r="I9414">
        <v>15025</v>
      </c>
      <c r="J9414">
        <v>11771</v>
      </c>
    </row>
    <row r="9415" spans="1:10" x14ac:dyDescent="0.3">
      <c r="A9415" t="s">
        <v>9542</v>
      </c>
      <c r="B9415" s="1">
        <v>45899</v>
      </c>
      <c r="C9415" t="s">
        <v>113</v>
      </c>
      <c r="D9415">
        <v>35</v>
      </c>
      <c r="E9415" t="s">
        <v>33</v>
      </c>
      <c r="F9415" t="s">
        <v>19</v>
      </c>
      <c r="G9415" t="s">
        <v>51</v>
      </c>
      <c r="H9415" t="s">
        <v>98</v>
      </c>
      <c r="I9415">
        <v>27727</v>
      </c>
      <c r="J9415">
        <v>19819</v>
      </c>
    </row>
    <row r="9416" spans="1:10" x14ac:dyDescent="0.3">
      <c r="A9416" t="s">
        <v>9543</v>
      </c>
      <c r="B9416" s="1">
        <v>45824</v>
      </c>
      <c r="C9416" t="s">
        <v>74</v>
      </c>
      <c r="D9416">
        <v>25</v>
      </c>
      <c r="E9416" t="s">
        <v>18</v>
      </c>
      <c r="F9416" t="s">
        <v>140</v>
      </c>
      <c r="G9416" t="s">
        <v>54</v>
      </c>
      <c r="H9416" t="s">
        <v>55</v>
      </c>
      <c r="I9416">
        <v>35492</v>
      </c>
      <c r="J9416">
        <v>38076</v>
      </c>
    </row>
    <row r="9417" spans="1:10" x14ac:dyDescent="0.3">
      <c r="A9417" t="s">
        <v>9544</v>
      </c>
      <c r="B9417" s="1">
        <v>45757</v>
      </c>
      <c r="C9417" t="s">
        <v>86</v>
      </c>
      <c r="D9417">
        <v>15</v>
      </c>
      <c r="E9417" t="s">
        <v>61</v>
      </c>
      <c r="F9417" t="s">
        <v>193</v>
      </c>
      <c r="G9417" t="s">
        <v>88</v>
      </c>
      <c r="H9417" t="s">
        <v>151</v>
      </c>
      <c r="I9417">
        <v>21213</v>
      </c>
      <c r="J9417">
        <v>23662</v>
      </c>
    </row>
    <row r="9418" spans="1:10" x14ac:dyDescent="0.3">
      <c r="A9418" t="s">
        <v>9545</v>
      </c>
      <c r="B9418" s="1">
        <v>45955</v>
      </c>
      <c r="C9418" t="s">
        <v>66</v>
      </c>
      <c r="D9418">
        <v>43</v>
      </c>
      <c r="E9418" t="s">
        <v>33</v>
      </c>
      <c r="F9418" t="s">
        <v>50</v>
      </c>
      <c r="G9418" t="s">
        <v>240</v>
      </c>
      <c r="H9418" t="s">
        <v>59</v>
      </c>
      <c r="I9418">
        <v>32329</v>
      </c>
      <c r="J9418">
        <v>36364</v>
      </c>
    </row>
    <row r="9419" spans="1:10" x14ac:dyDescent="0.3">
      <c r="A9419" t="s">
        <v>9546</v>
      </c>
      <c r="B9419" s="1">
        <v>45728</v>
      </c>
      <c r="C9419" t="s">
        <v>95</v>
      </c>
      <c r="D9419">
        <v>11</v>
      </c>
      <c r="E9419" t="s">
        <v>33</v>
      </c>
      <c r="F9419" t="s">
        <v>57</v>
      </c>
      <c r="G9419" t="s">
        <v>14</v>
      </c>
      <c r="H9419" t="s">
        <v>84</v>
      </c>
      <c r="I9419">
        <v>38362</v>
      </c>
      <c r="J9419">
        <v>31779</v>
      </c>
    </row>
    <row r="9420" spans="1:10" x14ac:dyDescent="0.3">
      <c r="A9420" t="s">
        <v>9547</v>
      </c>
      <c r="B9420" s="1">
        <v>45955</v>
      </c>
      <c r="C9420" t="s">
        <v>66</v>
      </c>
      <c r="D9420">
        <v>43</v>
      </c>
      <c r="E9420" t="s">
        <v>33</v>
      </c>
      <c r="F9420" t="s">
        <v>122</v>
      </c>
      <c r="G9420" t="s">
        <v>171</v>
      </c>
      <c r="H9420" t="s">
        <v>36</v>
      </c>
      <c r="I9420">
        <v>34498</v>
      </c>
      <c r="J9420">
        <v>29311</v>
      </c>
    </row>
    <row r="9421" spans="1:10" x14ac:dyDescent="0.3">
      <c r="A9421" t="s">
        <v>9548</v>
      </c>
      <c r="B9421" s="1">
        <v>45922</v>
      </c>
      <c r="C9421" t="s">
        <v>38</v>
      </c>
      <c r="D9421">
        <v>39</v>
      </c>
      <c r="E9421" t="s">
        <v>61</v>
      </c>
      <c r="F9421" t="s">
        <v>46</v>
      </c>
      <c r="G9421" t="s">
        <v>145</v>
      </c>
      <c r="H9421" t="s">
        <v>41</v>
      </c>
      <c r="I9421">
        <v>31712</v>
      </c>
      <c r="J9421">
        <v>29366</v>
      </c>
    </row>
    <row r="9422" spans="1:10" x14ac:dyDescent="0.3">
      <c r="A9422" t="s">
        <v>9549</v>
      </c>
      <c r="B9422" s="1">
        <v>45891</v>
      </c>
      <c r="C9422" t="s">
        <v>113</v>
      </c>
      <c r="D9422">
        <v>34</v>
      </c>
      <c r="E9422" t="s">
        <v>61</v>
      </c>
      <c r="F9422" t="s">
        <v>57</v>
      </c>
      <c r="G9422" t="s">
        <v>324</v>
      </c>
      <c r="H9422" t="s">
        <v>103</v>
      </c>
      <c r="I9422">
        <v>27938</v>
      </c>
      <c r="J9422">
        <v>26285</v>
      </c>
    </row>
    <row r="9423" spans="1:10" x14ac:dyDescent="0.3">
      <c r="A9423" t="s">
        <v>9550</v>
      </c>
      <c r="B9423" s="1">
        <v>45856</v>
      </c>
      <c r="C9423" t="s">
        <v>11</v>
      </c>
      <c r="D9423">
        <v>29</v>
      </c>
      <c r="E9423" t="s">
        <v>39</v>
      </c>
      <c r="F9423" t="s">
        <v>43</v>
      </c>
      <c r="G9423" t="s">
        <v>182</v>
      </c>
      <c r="H9423" t="s">
        <v>116</v>
      </c>
      <c r="I9423">
        <v>33069</v>
      </c>
      <c r="J9423">
        <v>23450</v>
      </c>
    </row>
    <row r="9424" spans="1:10" x14ac:dyDescent="0.3">
      <c r="A9424" t="s">
        <v>9551</v>
      </c>
      <c r="B9424" s="1">
        <v>45948</v>
      </c>
      <c r="C9424" t="s">
        <v>66</v>
      </c>
      <c r="D9424">
        <v>42</v>
      </c>
      <c r="E9424" t="s">
        <v>61</v>
      </c>
      <c r="F9424" t="s">
        <v>122</v>
      </c>
      <c r="G9424" t="s">
        <v>199</v>
      </c>
      <c r="H9424" t="s">
        <v>96</v>
      </c>
      <c r="I9424">
        <v>21469</v>
      </c>
      <c r="J9424">
        <v>19856</v>
      </c>
    </row>
    <row r="9425" spans="1:10" x14ac:dyDescent="0.3">
      <c r="A9425" t="s">
        <v>9552</v>
      </c>
      <c r="B9425" s="1">
        <v>45694</v>
      </c>
      <c r="C9425" t="s">
        <v>82</v>
      </c>
      <c r="D9425">
        <v>6</v>
      </c>
      <c r="E9425" t="s">
        <v>39</v>
      </c>
      <c r="F9425" t="s">
        <v>92</v>
      </c>
      <c r="G9425" t="s">
        <v>191</v>
      </c>
      <c r="H9425" t="s">
        <v>84</v>
      </c>
      <c r="I9425">
        <v>18267</v>
      </c>
      <c r="J9425">
        <v>18293</v>
      </c>
    </row>
    <row r="9426" spans="1:10" x14ac:dyDescent="0.3">
      <c r="A9426" t="s">
        <v>9553</v>
      </c>
      <c r="B9426" s="1">
        <v>45762</v>
      </c>
      <c r="C9426" t="s">
        <v>86</v>
      </c>
      <c r="D9426">
        <v>16</v>
      </c>
      <c r="E9426" t="s">
        <v>61</v>
      </c>
      <c r="F9426" t="s">
        <v>19</v>
      </c>
      <c r="G9426" t="s">
        <v>107</v>
      </c>
      <c r="H9426" t="s">
        <v>27</v>
      </c>
      <c r="I9426">
        <v>17238</v>
      </c>
      <c r="J9426">
        <v>19165</v>
      </c>
    </row>
    <row r="9427" spans="1:10" x14ac:dyDescent="0.3">
      <c r="A9427" t="s">
        <v>9554</v>
      </c>
      <c r="B9427" s="1">
        <v>45814</v>
      </c>
      <c r="C9427" t="s">
        <v>74</v>
      </c>
      <c r="D9427">
        <v>23</v>
      </c>
      <c r="E9427" t="s">
        <v>24</v>
      </c>
      <c r="F9427" t="s">
        <v>92</v>
      </c>
      <c r="G9427" t="s">
        <v>40</v>
      </c>
      <c r="H9427" t="s">
        <v>21</v>
      </c>
      <c r="I9427">
        <v>22602</v>
      </c>
      <c r="J9427">
        <v>24018</v>
      </c>
    </row>
    <row r="9428" spans="1:10" x14ac:dyDescent="0.3">
      <c r="A9428" t="s">
        <v>9555</v>
      </c>
      <c r="B9428" s="1">
        <v>45827</v>
      </c>
      <c r="C9428" t="s">
        <v>74</v>
      </c>
      <c r="D9428">
        <v>25</v>
      </c>
      <c r="E9428" t="s">
        <v>33</v>
      </c>
      <c r="F9428" t="s">
        <v>19</v>
      </c>
      <c r="G9428" t="s">
        <v>253</v>
      </c>
      <c r="H9428" t="s">
        <v>119</v>
      </c>
      <c r="I9428">
        <v>23738</v>
      </c>
      <c r="J9428">
        <v>29924</v>
      </c>
    </row>
    <row r="9429" spans="1:10" x14ac:dyDescent="0.3">
      <c r="A9429" t="s">
        <v>9556</v>
      </c>
      <c r="B9429" s="1">
        <v>45951</v>
      </c>
      <c r="C9429" t="s">
        <v>66</v>
      </c>
      <c r="D9429">
        <v>43</v>
      </c>
      <c r="E9429" t="s">
        <v>24</v>
      </c>
      <c r="F9429" t="s">
        <v>50</v>
      </c>
      <c r="G9429" t="s">
        <v>72</v>
      </c>
      <c r="H9429" t="s">
        <v>52</v>
      </c>
      <c r="I9429">
        <v>28891</v>
      </c>
      <c r="J9429">
        <v>22938</v>
      </c>
    </row>
    <row r="9430" spans="1:10" x14ac:dyDescent="0.3">
      <c r="A9430" t="s">
        <v>9557</v>
      </c>
      <c r="B9430" s="1">
        <v>45933</v>
      </c>
      <c r="C9430" t="s">
        <v>66</v>
      </c>
      <c r="D9430">
        <v>40</v>
      </c>
      <c r="E9430" t="s">
        <v>18</v>
      </c>
      <c r="F9430" t="s">
        <v>87</v>
      </c>
      <c r="G9430" t="s">
        <v>234</v>
      </c>
      <c r="H9430" t="s">
        <v>48</v>
      </c>
      <c r="I9430">
        <v>24964</v>
      </c>
      <c r="J9430">
        <v>26091</v>
      </c>
    </row>
    <row r="9431" spans="1:10" x14ac:dyDescent="0.3">
      <c r="A9431" t="s">
        <v>9558</v>
      </c>
      <c r="B9431" s="1">
        <v>46003</v>
      </c>
      <c r="C9431" t="s">
        <v>100</v>
      </c>
      <c r="D9431">
        <v>50</v>
      </c>
      <c r="E9431" t="s">
        <v>24</v>
      </c>
      <c r="F9431" t="s">
        <v>46</v>
      </c>
      <c r="G9431" t="s">
        <v>63</v>
      </c>
      <c r="H9431" t="s">
        <v>155</v>
      </c>
      <c r="I9431">
        <v>25553</v>
      </c>
      <c r="J9431">
        <v>21502</v>
      </c>
    </row>
    <row r="9432" spans="1:10" x14ac:dyDescent="0.3">
      <c r="A9432" t="s">
        <v>9559</v>
      </c>
      <c r="B9432" s="1">
        <v>45951</v>
      </c>
      <c r="C9432" t="s">
        <v>66</v>
      </c>
      <c r="D9432">
        <v>43</v>
      </c>
      <c r="E9432" t="s">
        <v>12</v>
      </c>
      <c r="F9432" t="s">
        <v>140</v>
      </c>
      <c r="G9432" t="s">
        <v>79</v>
      </c>
      <c r="H9432" t="s">
        <v>27</v>
      </c>
      <c r="I9432">
        <v>28250</v>
      </c>
      <c r="J9432">
        <v>33000</v>
      </c>
    </row>
    <row r="9433" spans="1:10" x14ac:dyDescent="0.3">
      <c r="A9433" t="s">
        <v>9560</v>
      </c>
      <c r="B9433" s="1">
        <v>45882</v>
      </c>
      <c r="C9433" t="s">
        <v>113</v>
      </c>
      <c r="D9433">
        <v>33</v>
      </c>
      <c r="E9433" t="s">
        <v>33</v>
      </c>
      <c r="F9433" t="s">
        <v>46</v>
      </c>
      <c r="G9433" t="s">
        <v>126</v>
      </c>
      <c r="H9433" t="s">
        <v>151</v>
      </c>
      <c r="I9433">
        <v>21791</v>
      </c>
      <c r="J9433">
        <v>26303</v>
      </c>
    </row>
    <row r="9434" spans="1:10" x14ac:dyDescent="0.3">
      <c r="A9434" t="s">
        <v>9561</v>
      </c>
      <c r="B9434" s="1">
        <v>45671</v>
      </c>
      <c r="C9434" t="s">
        <v>17</v>
      </c>
      <c r="D9434">
        <v>3</v>
      </c>
      <c r="E9434" t="s">
        <v>61</v>
      </c>
      <c r="F9434" t="s">
        <v>193</v>
      </c>
      <c r="G9434" t="s">
        <v>72</v>
      </c>
      <c r="H9434" t="s">
        <v>163</v>
      </c>
      <c r="I9434">
        <v>34154</v>
      </c>
      <c r="J9434">
        <v>36453</v>
      </c>
    </row>
    <row r="9435" spans="1:10" x14ac:dyDescent="0.3">
      <c r="A9435" t="s">
        <v>9562</v>
      </c>
      <c r="B9435" s="1">
        <v>45884</v>
      </c>
      <c r="C9435" t="s">
        <v>113</v>
      </c>
      <c r="D9435">
        <v>33</v>
      </c>
      <c r="E9435" t="s">
        <v>61</v>
      </c>
      <c r="F9435" t="s">
        <v>57</v>
      </c>
      <c r="G9435" t="s">
        <v>79</v>
      </c>
      <c r="H9435" t="s">
        <v>64</v>
      </c>
      <c r="I9435">
        <v>38973</v>
      </c>
      <c r="J9435">
        <v>27398</v>
      </c>
    </row>
    <row r="9436" spans="1:10" x14ac:dyDescent="0.3">
      <c r="A9436" t="s">
        <v>9563</v>
      </c>
      <c r="B9436" s="1">
        <v>45969</v>
      </c>
      <c r="C9436" t="s">
        <v>23</v>
      </c>
      <c r="D9436">
        <v>45</v>
      </c>
      <c r="E9436" t="s">
        <v>18</v>
      </c>
      <c r="F9436" t="s">
        <v>57</v>
      </c>
      <c r="G9436" t="s">
        <v>132</v>
      </c>
      <c r="H9436" t="s">
        <v>36</v>
      </c>
      <c r="I9436">
        <v>38157</v>
      </c>
      <c r="J9436">
        <v>28784</v>
      </c>
    </row>
    <row r="9437" spans="1:10" x14ac:dyDescent="0.3">
      <c r="A9437" t="s">
        <v>9564</v>
      </c>
      <c r="B9437" s="1">
        <v>45758</v>
      </c>
      <c r="C9437" t="s">
        <v>86</v>
      </c>
      <c r="D9437">
        <v>15</v>
      </c>
      <c r="E9437" t="s">
        <v>24</v>
      </c>
      <c r="F9437" t="s">
        <v>101</v>
      </c>
      <c r="G9437" t="s">
        <v>147</v>
      </c>
      <c r="H9437" t="s">
        <v>21</v>
      </c>
      <c r="I9437">
        <v>20581</v>
      </c>
      <c r="J9437">
        <v>24383</v>
      </c>
    </row>
    <row r="9438" spans="1:10" x14ac:dyDescent="0.3">
      <c r="A9438" t="s">
        <v>9565</v>
      </c>
      <c r="B9438" s="1">
        <v>45741</v>
      </c>
      <c r="C9438" t="s">
        <v>95</v>
      </c>
      <c r="D9438">
        <v>13</v>
      </c>
      <c r="E9438" t="s">
        <v>12</v>
      </c>
      <c r="F9438" t="s">
        <v>75</v>
      </c>
      <c r="G9438" t="s">
        <v>147</v>
      </c>
      <c r="H9438" t="s">
        <v>211</v>
      </c>
      <c r="I9438">
        <v>19530</v>
      </c>
      <c r="J9438">
        <v>18072</v>
      </c>
    </row>
    <row r="9439" spans="1:10" x14ac:dyDescent="0.3">
      <c r="A9439" t="s">
        <v>9566</v>
      </c>
      <c r="B9439" s="1">
        <v>45748</v>
      </c>
      <c r="C9439" t="s">
        <v>86</v>
      </c>
      <c r="D9439">
        <v>14</v>
      </c>
      <c r="E9439" t="s">
        <v>61</v>
      </c>
      <c r="F9439" t="s">
        <v>140</v>
      </c>
      <c r="G9439" t="s">
        <v>20</v>
      </c>
      <c r="H9439" t="s">
        <v>111</v>
      </c>
      <c r="I9439">
        <v>24043</v>
      </c>
      <c r="J9439">
        <v>17870</v>
      </c>
    </row>
    <row r="9440" spans="1:10" x14ac:dyDescent="0.3">
      <c r="A9440" t="s">
        <v>9567</v>
      </c>
      <c r="B9440" s="1">
        <v>45893</v>
      </c>
      <c r="C9440" t="s">
        <v>113</v>
      </c>
      <c r="D9440">
        <v>34</v>
      </c>
      <c r="E9440" t="s">
        <v>61</v>
      </c>
      <c r="F9440" t="s">
        <v>114</v>
      </c>
      <c r="G9440" t="s">
        <v>147</v>
      </c>
      <c r="H9440" t="s">
        <v>155</v>
      </c>
      <c r="I9440">
        <v>34182</v>
      </c>
      <c r="J9440">
        <v>31489</v>
      </c>
    </row>
    <row r="9441" spans="1:10" x14ac:dyDescent="0.3">
      <c r="A9441" t="s">
        <v>9568</v>
      </c>
      <c r="B9441" s="1">
        <v>45928</v>
      </c>
      <c r="C9441" t="s">
        <v>38</v>
      </c>
      <c r="D9441">
        <v>39</v>
      </c>
      <c r="E9441" t="s">
        <v>33</v>
      </c>
      <c r="F9441" t="s">
        <v>109</v>
      </c>
      <c r="G9441" t="s">
        <v>118</v>
      </c>
      <c r="H9441" t="s">
        <v>243</v>
      </c>
      <c r="I9441">
        <v>26997</v>
      </c>
      <c r="J9441">
        <v>25245</v>
      </c>
    </row>
    <row r="9442" spans="1:10" x14ac:dyDescent="0.3">
      <c r="A9442" t="s">
        <v>9569</v>
      </c>
      <c r="B9442" s="1">
        <v>45962</v>
      </c>
      <c r="C9442" t="s">
        <v>23</v>
      </c>
      <c r="D9442">
        <v>44</v>
      </c>
      <c r="E9442" t="s">
        <v>24</v>
      </c>
      <c r="F9442" t="s">
        <v>78</v>
      </c>
      <c r="G9442" t="s">
        <v>191</v>
      </c>
      <c r="H9442" t="s">
        <v>68</v>
      </c>
      <c r="I9442">
        <v>25400</v>
      </c>
      <c r="J9442">
        <v>19559</v>
      </c>
    </row>
    <row r="9443" spans="1:10" x14ac:dyDescent="0.3">
      <c r="A9443" t="s">
        <v>9570</v>
      </c>
      <c r="B9443" s="1">
        <v>45714</v>
      </c>
      <c r="C9443" t="s">
        <v>82</v>
      </c>
      <c r="D9443">
        <v>9</v>
      </c>
      <c r="E9443" t="s">
        <v>33</v>
      </c>
      <c r="F9443" t="s">
        <v>62</v>
      </c>
      <c r="G9443" t="s">
        <v>26</v>
      </c>
      <c r="H9443" t="s">
        <v>36</v>
      </c>
      <c r="I9443">
        <v>24529</v>
      </c>
      <c r="J9443">
        <v>21848</v>
      </c>
    </row>
    <row r="9444" spans="1:10" x14ac:dyDescent="0.3">
      <c r="A9444" t="s">
        <v>9571</v>
      </c>
      <c r="B9444" s="1">
        <v>45940</v>
      </c>
      <c r="C9444" t="s">
        <v>66</v>
      </c>
      <c r="D9444">
        <v>41</v>
      </c>
      <c r="E9444" t="s">
        <v>39</v>
      </c>
      <c r="F9444" t="s">
        <v>140</v>
      </c>
      <c r="G9444" t="s">
        <v>147</v>
      </c>
      <c r="H9444" t="s">
        <v>27</v>
      </c>
      <c r="I9444">
        <v>16812</v>
      </c>
      <c r="J9444">
        <v>15360</v>
      </c>
    </row>
    <row r="9445" spans="1:10" x14ac:dyDescent="0.3">
      <c r="A9445" t="s">
        <v>9572</v>
      </c>
      <c r="B9445" s="1">
        <v>45663</v>
      </c>
      <c r="C9445" t="s">
        <v>17</v>
      </c>
      <c r="D9445">
        <v>2</v>
      </c>
      <c r="E9445" t="s">
        <v>39</v>
      </c>
      <c r="F9445" t="s">
        <v>13</v>
      </c>
      <c r="G9445" t="s">
        <v>26</v>
      </c>
      <c r="H9445" t="s">
        <v>111</v>
      </c>
      <c r="I9445">
        <v>21215</v>
      </c>
      <c r="J9445">
        <v>20710</v>
      </c>
    </row>
    <row r="9446" spans="1:10" x14ac:dyDescent="0.3">
      <c r="A9446" t="s">
        <v>9573</v>
      </c>
      <c r="B9446" s="1">
        <v>45771</v>
      </c>
      <c r="C9446" t="s">
        <v>86</v>
      </c>
      <c r="D9446">
        <v>17</v>
      </c>
      <c r="E9446" t="s">
        <v>24</v>
      </c>
      <c r="F9446" t="s">
        <v>78</v>
      </c>
      <c r="G9446" t="s">
        <v>141</v>
      </c>
      <c r="H9446" t="s">
        <v>123</v>
      </c>
      <c r="I9446">
        <v>30518</v>
      </c>
      <c r="J9446">
        <v>25932</v>
      </c>
    </row>
    <row r="9447" spans="1:10" x14ac:dyDescent="0.3">
      <c r="A9447" t="s">
        <v>9574</v>
      </c>
      <c r="B9447" s="1">
        <v>45811</v>
      </c>
      <c r="C9447" t="s">
        <v>74</v>
      </c>
      <c r="D9447">
        <v>23</v>
      </c>
      <c r="E9447" t="s">
        <v>33</v>
      </c>
      <c r="F9447" t="s">
        <v>114</v>
      </c>
      <c r="G9447" t="s">
        <v>107</v>
      </c>
      <c r="H9447" t="s">
        <v>103</v>
      </c>
      <c r="I9447">
        <v>26186</v>
      </c>
      <c r="J9447">
        <v>31581</v>
      </c>
    </row>
    <row r="9448" spans="1:10" x14ac:dyDescent="0.3">
      <c r="A9448" t="s">
        <v>9575</v>
      </c>
      <c r="B9448" s="1">
        <v>46018</v>
      </c>
      <c r="C9448" t="s">
        <v>100</v>
      </c>
      <c r="D9448">
        <v>52</v>
      </c>
      <c r="E9448" t="s">
        <v>70</v>
      </c>
      <c r="F9448" t="s">
        <v>50</v>
      </c>
      <c r="G9448" t="s">
        <v>132</v>
      </c>
      <c r="H9448" t="s">
        <v>15</v>
      </c>
      <c r="I9448">
        <v>23402</v>
      </c>
      <c r="J9448">
        <v>23721</v>
      </c>
    </row>
    <row r="9449" spans="1:10" x14ac:dyDescent="0.3">
      <c r="A9449" t="s">
        <v>9576</v>
      </c>
      <c r="B9449" s="1">
        <v>45884</v>
      </c>
      <c r="C9449" t="s">
        <v>113</v>
      </c>
      <c r="D9449">
        <v>33</v>
      </c>
      <c r="E9449" t="s">
        <v>39</v>
      </c>
      <c r="F9449" t="s">
        <v>34</v>
      </c>
      <c r="G9449" t="s">
        <v>67</v>
      </c>
      <c r="H9449" t="s">
        <v>111</v>
      </c>
      <c r="I9449">
        <v>20967</v>
      </c>
      <c r="J9449">
        <v>17116</v>
      </c>
    </row>
    <row r="9450" spans="1:10" x14ac:dyDescent="0.3">
      <c r="A9450" t="s">
        <v>9577</v>
      </c>
      <c r="B9450" s="1">
        <v>45828</v>
      </c>
      <c r="C9450" t="s">
        <v>74</v>
      </c>
      <c r="D9450">
        <v>25</v>
      </c>
      <c r="E9450" t="s">
        <v>33</v>
      </c>
      <c r="F9450" t="s">
        <v>87</v>
      </c>
      <c r="G9450" t="s">
        <v>118</v>
      </c>
      <c r="H9450" t="s">
        <v>133</v>
      </c>
      <c r="I9450">
        <v>15252</v>
      </c>
      <c r="J9450">
        <v>12282</v>
      </c>
    </row>
    <row r="9451" spans="1:10" x14ac:dyDescent="0.3">
      <c r="A9451" t="s">
        <v>9578</v>
      </c>
      <c r="B9451" s="1">
        <v>45809</v>
      </c>
      <c r="C9451" t="s">
        <v>74</v>
      </c>
      <c r="D9451">
        <v>22</v>
      </c>
      <c r="E9451" t="s">
        <v>18</v>
      </c>
      <c r="F9451" t="s">
        <v>109</v>
      </c>
      <c r="G9451" t="s">
        <v>110</v>
      </c>
      <c r="H9451" t="s">
        <v>151</v>
      </c>
      <c r="I9451">
        <v>20596</v>
      </c>
      <c r="J9451">
        <v>25532</v>
      </c>
    </row>
    <row r="9452" spans="1:10" x14ac:dyDescent="0.3">
      <c r="A9452" t="s">
        <v>9579</v>
      </c>
      <c r="B9452" s="1">
        <v>45712</v>
      </c>
      <c r="C9452" t="s">
        <v>82</v>
      </c>
      <c r="D9452">
        <v>9</v>
      </c>
      <c r="E9452" t="s">
        <v>33</v>
      </c>
      <c r="F9452" t="s">
        <v>109</v>
      </c>
      <c r="G9452" t="s">
        <v>83</v>
      </c>
      <c r="H9452" t="s">
        <v>133</v>
      </c>
      <c r="I9452">
        <v>35840</v>
      </c>
      <c r="J9452">
        <v>27144</v>
      </c>
    </row>
    <row r="9453" spans="1:10" x14ac:dyDescent="0.3">
      <c r="A9453" t="s">
        <v>9580</v>
      </c>
      <c r="B9453" s="1">
        <v>45902</v>
      </c>
      <c r="C9453" t="s">
        <v>38</v>
      </c>
      <c r="D9453">
        <v>36</v>
      </c>
      <c r="E9453" t="s">
        <v>70</v>
      </c>
      <c r="F9453" t="s">
        <v>87</v>
      </c>
      <c r="G9453" t="s">
        <v>324</v>
      </c>
      <c r="H9453" t="s">
        <v>27</v>
      </c>
      <c r="I9453">
        <v>35221</v>
      </c>
      <c r="J9453">
        <v>31215</v>
      </c>
    </row>
    <row r="9454" spans="1:10" x14ac:dyDescent="0.3">
      <c r="A9454" t="s">
        <v>9581</v>
      </c>
      <c r="B9454" s="1">
        <v>45896</v>
      </c>
      <c r="C9454" t="s">
        <v>113</v>
      </c>
      <c r="D9454">
        <v>35</v>
      </c>
      <c r="E9454" t="s">
        <v>70</v>
      </c>
      <c r="F9454" t="s">
        <v>92</v>
      </c>
      <c r="G9454" t="s">
        <v>266</v>
      </c>
      <c r="H9454" t="s">
        <v>151</v>
      </c>
      <c r="I9454">
        <v>39164</v>
      </c>
      <c r="J9454">
        <v>31813</v>
      </c>
    </row>
    <row r="9455" spans="1:10" x14ac:dyDescent="0.3">
      <c r="A9455" t="s">
        <v>9582</v>
      </c>
      <c r="B9455" s="1">
        <v>45962</v>
      </c>
      <c r="C9455" t="s">
        <v>23</v>
      </c>
      <c r="D9455">
        <v>44</v>
      </c>
      <c r="E9455" t="s">
        <v>12</v>
      </c>
      <c r="F9455" t="s">
        <v>78</v>
      </c>
      <c r="G9455" t="s">
        <v>253</v>
      </c>
      <c r="H9455" t="s">
        <v>36</v>
      </c>
      <c r="I9455">
        <v>33309</v>
      </c>
      <c r="J9455">
        <v>36192</v>
      </c>
    </row>
    <row r="9456" spans="1:10" x14ac:dyDescent="0.3">
      <c r="A9456" t="s">
        <v>9583</v>
      </c>
      <c r="B9456" s="1">
        <v>45716</v>
      </c>
      <c r="C9456" t="s">
        <v>82</v>
      </c>
      <c r="D9456">
        <v>9</v>
      </c>
      <c r="E9456" t="s">
        <v>61</v>
      </c>
      <c r="F9456" t="s">
        <v>46</v>
      </c>
      <c r="G9456" t="s">
        <v>128</v>
      </c>
      <c r="H9456" t="s">
        <v>151</v>
      </c>
      <c r="I9456">
        <v>17382</v>
      </c>
      <c r="J9456">
        <v>13331</v>
      </c>
    </row>
    <row r="9457" spans="1:10" x14ac:dyDescent="0.3">
      <c r="A9457" t="s">
        <v>9584</v>
      </c>
      <c r="B9457" s="1">
        <v>45780</v>
      </c>
      <c r="C9457" t="s">
        <v>90</v>
      </c>
      <c r="D9457">
        <v>18</v>
      </c>
      <c r="E9457" t="s">
        <v>33</v>
      </c>
      <c r="F9457" t="s">
        <v>87</v>
      </c>
      <c r="G9457" t="s">
        <v>132</v>
      </c>
      <c r="H9457" t="s">
        <v>64</v>
      </c>
      <c r="I9457">
        <v>22403</v>
      </c>
      <c r="J9457">
        <v>22464</v>
      </c>
    </row>
    <row r="9458" spans="1:10" x14ac:dyDescent="0.3">
      <c r="A9458" t="s">
        <v>9585</v>
      </c>
      <c r="B9458" s="1">
        <v>45977</v>
      </c>
      <c r="C9458" t="s">
        <v>23</v>
      </c>
      <c r="D9458">
        <v>46</v>
      </c>
      <c r="E9458" t="s">
        <v>18</v>
      </c>
      <c r="F9458" t="s">
        <v>92</v>
      </c>
      <c r="G9458" t="s">
        <v>224</v>
      </c>
      <c r="H9458" t="s">
        <v>84</v>
      </c>
      <c r="I9458">
        <v>39646</v>
      </c>
      <c r="J9458">
        <v>38849</v>
      </c>
    </row>
    <row r="9459" spans="1:10" x14ac:dyDescent="0.3">
      <c r="A9459" t="s">
        <v>9586</v>
      </c>
      <c r="B9459" s="1">
        <v>45842</v>
      </c>
      <c r="C9459" t="s">
        <v>11</v>
      </c>
      <c r="D9459">
        <v>27</v>
      </c>
      <c r="E9459" t="s">
        <v>33</v>
      </c>
      <c r="F9459" t="s">
        <v>29</v>
      </c>
      <c r="G9459" t="s">
        <v>30</v>
      </c>
      <c r="H9459" t="s">
        <v>41</v>
      </c>
      <c r="I9459">
        <v>37163</v>
      </c>
      <c r="J9459">
        <v>28785</v>
      </c>
    </row>
    <row r="9460" spans="1:10" x14ac:dyDescent="0.3">
      <c r="A9460" t="s">
        <v>9587</v>
      </c>
      <c r="B9460" s="1">
        <v>45707</v>
      </c>
      <c r="C9460" t="s">
        <v>82</v>
      </c>
      <c r="D9460">
        <v>8</v>
      </c>
      <c r="E9460" t="s">
        <v>39</v>
      </c>
      <c r="F9460" t="s">
        <v>92</v>
      </c>
      <c r="G9460" t="s">
        <v>79</v>
      </c>
      <c r="H9460" t="s">
        <v>133</v>
      </c>
      <c r="I9460">
        <v>16614</v>
      </c>
      <c r="J9460">
        <v>14382</v>
      </c>
    </row>
    <row r="9461" spans="1:10" x14ac:dyDescent="0.3">
      <c r="A9461" t="s">
        <v>9588</v>
      </c>
      <c r="B9461" s="1">
        <v>45967</v>
      </c>
      <c r="C9461" t="s">
        <v>23</v>
      </c>
      <c r="D9461">
        <v>45</v>
      </c>
      <c r="E9461" t="s">
        <v>18</v>
      </c>
      <c r="F9461" t="s">
        <v>50</v>
      </c>
      <c r="G9461" t="s">
        <v>20</v>
      </c>
      <c r="H9461" t="s">
        <v>151</v>
      </c>
      <c r="I9461">
        <v>39409</v>
      </c>
      <c r="J9461">
        <v>45899</v>
      </c>
    </row>
    <row r="9462" spans="1:10" x14ac:dyDescent="0.3">
      <c r="A9462" t="s">
        <v>9589</v>
      </c>
      <c r="B9462" s="1">
        <v>45799</v>
      </c>
      <c r="C9462" t="s">
        <v>90</v>
      </c>
      <c r="D9462">
        <v>21</v>
      </c>
      <c r="E9462" t="s">
        <v>24</v>
      </c>
      <c r="F9462" t="s">
        <v>50</v>
      </c>
      <c r="G9462" t="s">
        <v>240</v>
      </c>
      <c r="H9462" t="s">
        <v>80</v>
      </c>
      <c r="I9462">
        <v>23483</v>
      </c>
      <c r="J9462">
        <v>22634</v>
      </c>
    </row>
    <row r="9463" spans="1:10" x14ac:dyDescent="0.3">
      <c r="A9463" t="s">
        <v>9590</v>
      </c>
      <c r="B9463" s="1">
        <v>45682</v>
      </c>
      <c r="C9463" t="s">
        <v>17</v>
      </c>
      <c r="D9463">
        <v>4</v>
      </c>
      <c r="E9463" t="s">
        <v>12</v>
      </c>
      <c r="F9463" t="s">
        <v>87</v>
      </c>
      <c r="G9463" t="s">
        <v>141</v>
      </c>
      <c r="H9463" t="s">
        <v>119</v>
      </c>
      <c r="I9463">
        <v>27761</v>
      </c>
      <c r="J9463">
        <v>30716</v>
      </c>
    </row>
    <row r="9464" spans="1:10" x14ac:dyDescent="0.3">
      <c r="A9464" t="s">
        <v>9591</v>
      </c>
      <c r="B9464" s="1">
        <v>45775</v>
      </c>
      <c r="C9464" t="s">
        <v>86</v>
      </c>
      <c r="D9464">
        <v>18</v>
      </c>
      <c r="E9464" t="s">
        <v>12</v>
      </c>
      <c r="F9464" t="s">
        <v>19</v>
      </c>
      <c r="G9464" t="s">
        <v>135</v>
      </c>
      <c r="H9464" t="s">
        <v>163</v>
      </c>
      <c r="I9464">
        <v>22734</v>
      </c>
      <c r="J9464">
        <v>16147</v>
      </c>
    </row>
    <row r="9465" spans="1:10" x14ac:dyDescent="0.3">
      <c r="A9465" t="s">
        <v>9592</v>
      </c>
      <c r="B9465" s="1">
        <v>45835</v>
      </c>
      <c r="C9465" t="s">
        <v>74</v>
      </c>
      <c r="D9465">
        <v>26</v>
      </c>
      <c r="E9465" t="s">
        <v>33</v>
      </c>
      <c r="F9465" t="s">
        <v>92</v>
      </c>
      <c r="G9465" t="s">
        <v>58</v>
      </c>
      <c r="H9465" t="s">
        <v>163</v>
      </c>
      <c r="I9465">
        <v>15521</v>
      </c>
      <c r="J9465">
        <v>17147</v>
      </c>
    </row>
    <row r="9466" spans="1:10" x14ac:dyDescent="0.3">
      <c r="A9466" t="s">
        <v>9593</v>
      </c>
      <c r="B9466" s="1">
        <v>45952</v>
      </c>
      <c r="C9466" t="s">
        <v>66</v>
      </c>
      <c r="D9466">
        <v>43</v>
      </c>
      <c r="E9466" t="s">
        <v>70</v>
      </c>
      <c r="F9466" t="s">
        <v>87</v>
      </c>
      <c r="G9466" t="s">
        <v>93</v>
      </c>
      <c r="H9466" t="s">
        <v>188</v>
      </c>
      <c r="I9466">
        <v>37017</v>
      </c>
      <c r="J9466">
        <v>28630</v>
      </c>
    </row>
    <row r="9467" spans="1:10" x14ac:dyDescent="0.3">
      <c r="A9467" t="s">
        <v>9594</v>
      </c>
      <c r="B9467" s="1">
        <v>45789</v>
      </c>
      <c r="C9467" t="s">
        <v>90</v>
      </c>
      <c r="D9467">
        <v>20</v>
      </c>
      <c r="E9467" t="s">
        <v>33</v>
      </c>
      <c r="F9467" t="s">
        <v>78</v>
      </c>
      <c r="G9467" t="s">
        <v>30</v>
      </c>
      <c r="H9467" t="s">
        <v>157</v>
      </c>
      <c r="I9467">
        <v>27540</v>
      </c>
      <c r="J9467">
        <v>23439</v>
      </c>
    </row>
    <row r="9468" spans="1:10" x14ac:dyDescent="0.3">
      <c r="A9468" t="s">
        <v>9595</v>
      </c>
      <c r="B9468" s="1">
        <v>45867</v>
      </c>
      <c r="C9468" t="s">
        <v>11</v>
      </c>
      <c r="D9468">
        <v>31</v>
      </c>
      <c r="E9468" t="s">
        <v>24</v>
      </c>
      <c r="F9468" t="s">
        <v>75</v>
      </c>
      <c r="G9468" t="s">
        <v>191</v>
      </c>
      <c r="H9468" t="s">
        <v>36</v>
      </c>
      <c r="I9468">
        <v>29758</v>
      </c>
      <c r="J9468">
        <v>26472</v>
      </c>
    </row>
    <row r="9469" spans="1:10" x14ac:dyDescent="0.3">
      <c r="A9469" t="s">
        <v>9596</v>
      </c>
      <c r="B9469" s="1">
        <v>45921</v>
      </c>
      <c r="C9469" t="s">
        <v>38</v>
      </c>
      <c r="D9469">
        <v>38</v>
      </c>
      <c r="E9469" t="s">
        <v>33</v>
      </c>
      <c r="F9469" t="s">
        <v>193</v>
      </c>
      <c r="G9469" t="s">
        <v>14</v>
      </c>
      <c r="H9469" t="s">
        <v>123</v>
      </c>
      <c r="I9469">
        <v>33254</v>
      </c>
      <c r="J9469">
        <v>41722</v>
      </c>
    </row>
    <row r="9470" spans="1:10" x14ac:dyDescent="0.3">
      <c r="A9470" t="s">
        <v>9597</v>
      </c>
      <c r="B9470" s="1">
        <v>45815</v>
      </c>
      <c r="C9470" t="s">
        <v>74</v>
      </c>
      <c r="D9470">
        <v>23</v>
      </c>
      <c r="E9470" t="s">
        <v>33</v>
      </c>
      <c r="F9470" t="s">
        <v>34</v>
      </c>
      <c r="G9470" t="s">
        <v>141</v>
      </c>
      <c r="H9470" t="s">
        <v>68</v>
      </c>
      <c r="I9470">
        <v>35879</v>
      </c>
      <c r="J9470">
        <v>42575</v>
      </c>
    </row>
    <row r="9471" spans="1:10" x14ac:dyDescent="0.3">
      <c r="A9471" t="s">
        <v>9598</v>
      </c>
      <c r="B9471" s="1">
        <v>45827</v>
      </c>
      <c r="C9471" t="s">
        <v>74</v>
      </c>
      <c r="D9471">
        <v>25</v>
      </c>
      <c r="E9471" t="s">
        <v>70</v>
      </c>
      <c r="F9471" t="s">
        <v>19</v>
      </c>
      <c r="G9471" t="s">
        <v>107</v>
      </c>
      <c r="H9471" t="s">
        <v>31</v>
      </c>
      <c r="I9471">
        <v>37048</v>
      </c>
      <c r="J9471">
        <v>25957</v>
      </c>
    </row>
    <row r="9472" spans="1:10" x14ac:dyDescent="0.3">
      <c r="A9472" t="s">
        <v>9599</v>
      </c>
      <c r="B9472" s="1">
        <v>45715</v>
      </c>
      <c r="C9472" t="s">
        <v>82</v>
      </c>
      <c r="D9472">
        <v>9</v>
      </c>
      <c r="E9472" t="s">
        <v>33</v>
      </c>
      <c r="F9472" t="s">
        <v>78</v>
      </c>
      <c r="G9472" t="s">
        <v>58</v>
      </c>
      <c r="H9472" t="s">
        <v>98</v>
      </c>
      <c r="I9472">
        <v>31009</v>
      </c>
      <c r="J9472">
        <v>35846</v>
      </c>
    </row>
    <row r="9473" spans="1:10" x14ac:dyDescent="0.3">
      <c r="A9473" t="s">
        <v>9600</v>
      </c>
      <c r="B9473" s="1">
        <v>46000</v>
      </c>
      <c r="C9473" t="s">
        <v>100</v>
      </c>
      <c r="D9473">
        <v>50</v>
      </c>
      <c r="E9473" t="s">
        <v>18</v>
      </c>
      <c r="F9473" t="s">
        <v>92</v>
      </c>
      <c r="G9473" t="s">
        <v>291</v>
      </c>
      <c r="H9473" t="s">
        <v>119</v>
      </c>
      <c r="I9473">
        <v>26933</v>
      </c>
      <c r="J9473">
        <v>30681</v>
      </c>
    </row>
    <row r="9474" spans="1:10" x14ac:dyDescent="0.3">
      <c r="A9474" t="s">
        <v>9601</v>
      </c>
      <c r="B9474" s="1">
        <v>45988</v>
      </c>
      <c r="C9474" t="s">
        <v>23</v>
      </c>
      <c r="D9474">
        <v>48</v>
      </c>
      <c r="E9474" t="s">
        <v>61</v>
      </c>
      <c r="F9474" t="s">
        <v>101</v>
      </c>
      <c r="G9474" t="s">
        <v>72</v>
      </c>
      <c r="H9474" t="s">
        <v>21</v>
      </c>
      <c r="I9474">
        <v>22443</v>
      </c>
      <c r="J9474">
        <v>22261</v>
      </c>
    </row>
    <row r="9475" spans="1:10" x14ac:dyDescent="0.3">
      <c r="A9475" t="s">
        <v>9602</v>
      </c>
      <c r="B9475" s="1">
        <v>45870</v>
      </c>
      <c r="C9475" t="s">
        <v>113</v>
      </c>
      <c r="D9475">
        <v>31</v>
      </c>
      <c r="E9475" t="s">
        <v>24</v>
      </c>
      <c r="F9475" t="s">
        <v>92</v>
      </c>
      <c r="G9475" t="s">
        <v>76</v>
      </c>
      <c r="H9475" t="s">
        <v>123</v>
      </c>
      <c r="I9475">
        <v>21510</v>
      </c>
      <c r="J9475">
        <v>23893</v>
      </c>
    </row>
    <row r="9476" spans="1:10" x14ac:dyDescent="0.3">
      <c r="A9476" t="s">
        <v>9603</v>
      </c>
      <c r="B9476" s="1">
        <v>45839</v>
      </c>
      <c r="C9476" t="s">
        <v>11</v>
      </c>
      <c r="D9476">
        <v>27</v>
      </c>
      <c r="E9476" t="s">
        <v>70</v>
      </c>
      <c r="F9476" t="s">
        <v>46</v>
      </c>
      <c r="G9476" t="s">
        <v>79</v>
      </c>
      <c r="H9476" t="s">
        <v>111</v>
      </c>
      <c r="I9476">
        <v>16417</v>
      </c>
      <c r="J9476">
        <v>14995</v>
      </c>
    </row>
    <row r="9477" spans="1:10" x14ac:dyDescent="0.3">
      <c r="A9477" t="s">
        <v>9604</v>
      </c>
      <c r="B9477" s="1">
        <v>45668</v>
      </c>
      <c r="C9477" t="s">
        <v>17</v>
      </c>
      <c r="D9477">
        <v>2</v>
      </c>
      <c r="E9477" t="s">
        <v>18</v>
      </c>
      <c r="F9477" t="s">
        <v>29</v>
      </c>
      <c r="G9477" t="s">
        <v>206</v>
      </c>
      <c r="H9477" t="s">
        <v>103</v>
      </c>
      <c r="I9477">
        <v>29556</v>
      </c>
      <c r="J9477">
        <v>28471</v>
      </c>
    </row>
    <row r="9478" spans="1:10" x14ac:dyDescent="0.3">
      <c r="A9478" t="s">
        <v>9605</v>
      </c>
      <c r="B9478" s="1">
        <v>45971</v>
      </c>
      <c r="C9478" t="s">
        <v>23</v>
      </c>
      <c r="D9478">
        <v>46</v>
      </c>
      <c r="E9478" t="s">
        <v>24</v>
      </c>
      <c r="F9478" t="s">
        <v>19</v>
      </c>
      <c r="G9478" t="s">
        <v>58</v>
      </c>
      <c r="H9478" t="s">
        <v>41</v>
      </c>
      <c r="I9478">
        <v>29863</v>
      </c>
      <c r="J9478">
        <v>31217</v>
      </c>
    </row>
    <row r="9479" spans="1:10" x14ac:dyDescent="0.3">
      <c r="A9479" t="s">
        <v>9606</v>
      </c>
      <c r="B9479" s="1">
        <v>45756</v>
      </c>
      <c r="C9479" t="s">
        <v>86</v>
      </c>
      <c r="D9479">
        <v>15</v>
      </c>
      <c r="E9479" t="s">
        <v>61</v>
      </c>
      <c r="F9479" t="s">
        <v>34</v>
      </c>
      <c r="G9479" t="s">
        <v>132</v>
      </c>
      <c r="H9479" t="s">
        <v>27</v>
      </c>
      <c r="I9479">
        <v>35669</v>
      </c>
      <c r="J9479">
        <v>37780</v>
      </c>
    </row>
    <row r="9480" spans="1:10" x14ac:dyDescent="0.3">
      <c r="A9480" t="s">
        <v>9607</v>
      </c>
      <c r="B9480" s="1">
        <v>45914</v>
      </c>
      <c r="C9480" t="s">
        <v>38</v>
      </c>
      <c r="D9480">
        <v>37</v>
      </c>
      <c r="E9480" t="s">
        <v>12</v>
      </c>
      <c r="F9480" t="s">
        <v>114</v>
      </c>
      <c r="G9480" t="s">
        <v>324</v>
      </c>
      <c r="H9480" t="s">
        <v>31</v>
      </c>
      <c r="I9480">
        <v>19341</v>
      </c>
      <c r="J9480">
        <v>17602</v>
      </c>
    </row>
    <row r="9481" spans="1:10" x14ac:dyDescent="0.3">
      <c r="A9481" t="s">
        <v>9608</v>
      </c>
      <c r="B9481" s="1">
        <v>46010</v>
      </c>
      <c r="C9481" t="s">
        <v>100</v>
      </c>
      <c r="D9481">
        <v>51</v>
      </c>
      <c r="E9481" t="s">
        <v>18</v>
      </c>
      <c r="F9481" t="s">
        <v>29</v>
      </c>
      <c r="G9481" t="s">
        <v>224</v>
      </c>
      <c r="H9481" t="s">
        <v>68</v>
      </c>
      <c r="I9481">
        <v>25363</v>
      </c>
      <c r="J9481">
        <v>28546</v>
      </c>
    </row>
    <row r="9482" spans="1:10" x14ac:dyDescent="0.3">
      <c r="A9482" t="s">
        <v>9609</v>
      </c>
      <c r="B9482" s="1">
        <v>45702</v>
      </c>
      <c r="C9482" t="s">
        <v>82</v>
      </c>
      <c r="D9482">
        <v>7</v>
      </c>
      <c r="E9482" t="s">
        <v>39</v>
      </c>
      <c r="F9482" t="s">
        <v>122</v>
      </c>
      <c r="G9482" t="s">
        <v>137</v>
      </c>
      <c r="H9482" t="s">
        <v>96</v>
      </c>
      <c r="I9482">
        <v>31174</v>
      </c>
      <c r="J9482">
        <v>22742</v>
      </c>
    </row>
    <row r="9483" spans="1:10" x14ac:dyDescent="0.3">
      <c r="A9483" t="s">
        <v>9610</v>
      </c>
      <c r="B9483" s="1">
        <v>45878</v>
      </c>
      <c r="C9483" t="s">
        <v>113</v>
      </c>
      <c r="D9483">
        <v>32</v>
      </c>
      <c r="E9483" t="s">
        <v>39</v>
      </c>
      <c r="F9483" t="s">
        <v>92</v>
      </c>
      <c r="G9483" t="s">
        <v>126</v>
      </c>
      <c r="H9483" t="s">
        <v>123</v>
      </c>
      <c r="I9483">
        <v>30430</v>
      </c>
      <c r="J9483">
        <v>25529</v>
      </c>
    </row>
    <row r="9484" spans="1:10" x14ac:dyDescent="0.3">
      <c r="A9484" t="s">
        <v>9611</v>
      </c>
      <c r="B9484" s="1">
        <v>45941</v>
      </c>
      <c r="C9484" t="s">
        <v>66</v>
      </c>
      <c r="D9484">
        <v>41</v>
      </c>
      <c r="E9484" t="s">
        <v>70</v>
      </c>
      <c r="F9484" t="s">
        <v>92</v>
      </c>
      <c r="G9484" t="s">
        <v>326</v>
      </c>
      <c r="H9484" t="s">
        <v>36</v>
      </c>
      <c r="I9484">
        <v>34976</v>
      </c>
      <c r="J9484">
        <v>42511</v>
      </c>
    </row>
    <row r="9485" spans="1:10" x14ac:dyDescent="0.3">
      <c r="A9485" t="s">
        <v>9612</v>
      </c>
      <c r="B9485" s="1">
        <v>45665</v>
      </c>
      <c r="C9485" t="s">
        <v>17</v>
      </c>
      <c r="D9485">
        <v>2</v>
      </c>
      <c r="E9485" t="s">
        <v>24</v>
      </c>
      <c r="F9485" t="s">
        <v>193</v>
      </c>
      <c r="G9485" t="s">
        <v>135</v>
      </c>
      <c r="H9485" t="s">
        <v>111</v>
      </c>
      <c r="I9485">
        <v>31328</v>
      </c>
      <c r="J9485">
        <v>24553</v>
      </c>
    </row>
    <row r="9486" spans="1:10" x14ac:dyDescent="0.3">
      <c r="A9486" t="s">
        <v>9613</v>
      </c>
      <c r="B9486" s="1">
        <v>45944</v>
      </c>
      <c r="C9486" t="s">
        <v>66</v>
      </c>
      <c r="D9486">
        <v>42</v>
      </c>
      <c r="E9486" t="s">
        <v>70</v>
      </c>
      <c r="F9486" t="s">
        <v>87</v>
      </c>
      <c r="G9486" t="s">
        <v>58</v>
      </c>
      <c r="H9486" t="s">
        <v>55</v>
      </c>
      <c r="I9486">
        <v>24113</v>
      </c>
      <c r="J9486">
        <v>23026</v>
      </c>
    </row>
    <row r="9487" spans="1:10" x14ac:dyDescent="0.3">
      <c r="A9487" t="s">
        <v>9614</v>
      </c>
      <c r="B9487" s="1">
        <v>45761</v>
      </c>
      <c r="C9487" t="s">
        <v>86</v>
      </c>
      <c r="D9487">
        <v>16</v>
      </c>
      <c r="E9487" t="s">
        <v>61</v>
      </c>
      <c r="F9487" t="s">
        <v>29</v>
      </c>
      <c r="G9487" t="s">
        <v>26</v>
      </c>
      <c r="H9487" t="s">
        <v>188</v>
      </c>
      <c r="I9487">
        <v>37267</v>
      </c>
      <c r="J9487">
        <v>33769</v>
      </c>
    </row>
    <row r="9488" spans="1:10" x14ac:dyDescent="0.3">
      <c r="A9488" t="s">
        <v>9615</v>
      </c>
      <c r="B9488" s="1">
        <v>45849</v>
      </c>
      <c r="C9488" t="s">
        <v>11</v>
      </c>
      <c r="D9488">
        <v>28</v>
      </c>
      <c r="E9488" t="s">
        <v>18</v>
      </c>
      <c r="F9488" t="s">
        <v>101</v>
      </c>
      <c r="G9488" t="s">
        <v>72</v>
      </c>
      <c r="H9488" t="s">
        <v>27</v>
      </c>
      <c r="I9488">
        <v>32004</v>
      </c>
      <c r="J9488">
        <v>24797</v>
      </c>
    </row>
    <row r="9489" spans="1:10" x14ac:dyDescent="0.3">
      <c r="A9489" t="s">
        <v>9616</v>
      </c>
      <c r="B9489" s="1">
        <v>45874</v>
      </c>
      <c r="C9489" t="s">
        <v>113</v>
      </c>
      <c r="D9489">
        <v>32</v>
      </c>
      <c r="E9489" t="s">
        <v>24</v>
      </c>
      <c r="F9489" t="s">
        <v>19</v>
      </c>
      <c r="G9489" t="s">
        <v>230</v>
      </c>
      <c r="H9489" t="s">
        <v>188</v>
      </c>
      <c r="I9489">
        <v>39685</v>
      </c>
      <c r="J9489">
        <v>28352</v>
      </c>
    </row>
    <row r="9490" spans="1:10" x14ac:dyDescent="0.3">
      <c r="A9490" t="s">
        <v>9617</v>
      </c>
      <c r="B9490" s="1">
        <v>45907</v>
      </c>
      <c r="C9490" t="s">
        <v>38</v>
      </c>
      <c r="D9490">
        <v>36</v>
      </c>
      <c r="E9490" t="s">
        <v>39</v>
      </c>
      <c r="F9490" t="s">
        <v>25</v>
      </c>
      <c r="G9490" t="s">
        <v>135</v>
      </c>
      <c r="H9490" t="s">
        <v>15</v>
      </c>
      <c r="I9490">
        <v>28165</v>
      </c>
      <c r="J9490">
        <v>33715</v>
      </c>
    </row>
    <row r="9491" spans="1:10" x14ac:dyDescent="0.3">
      <c r="A9491" t="s">
        <v>9618</v>
      </c>
      <c r="B9491" s="1">
        <v>45843</v>
      </c>
      <c r="C9491" t="s">
        <v>11</v>
      </c>
      <c r="D9491">
        <v>27</v>
      </c>
      <c r="E9491" t="s">
        <v>39</v>
      </c>
      <c r="F9491" t="s">
        <v>78</v>
      </c>
      <c r="G9491" t="s">
        <v>118</v>
      </c>
      <c r="H9491" t="s">
        <v>36</v>
      </c>
      <c r="I9491">
        <v>24708</v>
      </c>
      <c r="J9491">
        <v>23081</v>
      </c>
    </row>
    <row r="9492" spans="1:10" x14ac:dyDescent="0.3">
      <c r="A9492" t="s">
        <v>9619</v>
      </c>
      <c r="B9492" s="1">
        <v>45840</v>
      </c>
      <c r="C9492" t="s">
        <v>11</v>
      </c>
      <c r="D9492">
        <v>27</v>
      </c>
      <c r="E9492" t="s">
        <v>33</v>
      </c>
      <c r="F9492" t="s">
        <v>193</v>
      </c>
      <c r="G9492" t="s">
        <v>44</v>
      </c>
      <c r="H9492" t="s">
        <v>52</v>
      </c>
      <c r="I9492">
        <v>28035</v>
      </c>
      <c r="J9492">
        <v>33039</v>
      </c>
    </row>
    <row r="9493" spans="1:10" x14ac:dyDescent="0.3">
      <c r="A9493" t="s">
        <v>9620</v>
      </c>
      <c r="B9493" s="1">
        <v>45902</v>
      </c>
      <c r="C9493" t="s">
        <v>38</v>
      </c>
      <c r="D9493">
        <v>36</v>
      </c>
      <c r="E9493" t="s">
        <v>61</v>
      </c>
      <c r="F9493" t="s">
        <v>34</v>
      </c>
      <c r="G9493" t="s">
        <v>20</v>
      </c>
      <c r="H9493" t="s">
        <v>98</v>
      </c>
      <c r="I9493">
        <v>39267</v>
      </c>
      <c r="J9493">
        <v>44284</v>
      </c>
    </row>
    <row r="9494" spans="1:10" x14ac:dyDescent="0.3">
      <c r="A9494" t="s">
        <v>9621</v>
      </c>
      <c r="B9494" s="1">
        <v>45953</v>
      </c>
      <c r="C9494" t="s">
        <v>66</v>
      </c>
      <c r="D9494">
        <v>43</v>
      </c>
      <c r="E9494" t="s">
        <v>61</v>
      </c>
      <c r="F9494" t="s">
        <v>193</v>
      </c>
      <c r="G9494" t="s">
        <v>93</v>
      </c>
      <c r="H9494" t="s">
        <v>165</v>
      </c>
      <c r="I9494">
        <v>28027</v>
      </c>
      <c r="J9494">
        <v>26110</v>
      </c>
    </row>
    <row r="9495" spans="1:10" x14ac:dyDescent="0.3">
      <c r="A9495" t="s">
        <v>9622</v>
      </c>
      <c r="B9495" s="1">
        <v>45918</v>
      </c>
      <c r="C9495" t="s">
        <v>38</v>
      </c>
      <c r="D9495">
        <v>38</v>
      </c>
      <c r="E9495" t="s">
        <v>33</v>
      </c>
      <c r="F9495" t="s">
        <v>140</v>
      </c>
      <c r="G9495" t="s">
        <v>126</v>
      </c>
      <c r="H9495" t="s">
        <v>133</v>
      </c>
      <c r="I9495">
        <v>15334</v>
      </c>
      <c r="J9495">
        <v>15343</v>
      </c>
    </row>
    <row r="9496" spans="1:10" x14ac:dyDescent="0.3">
      <c r="A9496" t="s">
        <v>9623</v>
      </c>
      <c r="B9496" s="1">
        <v>45812</v>
      </c>
      <c r="C9496" t="s">
        <v>74</v>
      </c>
      <c r="D9496">
        <v>23</v>
      </c>
      <c r="E9496" t="s">
        <v>18</v>
      </c>
      <c r="F9496" t="s">
        <v>75</v>
      </c>
      <c r="G9496" t="s">
        <v>135</v>
      </c>
      <c r="H9496" t="s">
        <v>96</v>
      </c>
      <c r="I9496">
        <v>29817</v>
      </c>
      <c r="J9496">
        <v>31017</v>
      </c>
    </row>
    <row r="9497" spans="1:10" x14ac:dyDescent="0.3">
      <c r="A9497" t="s">
        <v>9624</v>
      </c>
      <c r="B9497" s="1">
        <v>46016</v>
      </c>
      <c r="C9497" t="s">
        <v>100</v>
      </c>
      <c r="D9497">
        <v>52</v>
      </c>
      <c r="E9497" t="s">
        <v>24</v>
      </c>
      <c r="F9497" t="s">
        <v>29</v>
      </c>
      <c r="G9497" t="s">
        <v>126</v>
      </c>
      <c r="H9497" t="s">
        <v>155</v>
      </c>
      <c r="I9497">
        <v>28491</v>
      </c>
      <c r="J9497">
        <v>21183</v>
      </c>
    </row>
    <row r="9498" spans="1:10" x14ac:dyDescent="0.3">
      <c r="A9498" t="s">
        <v>9625</v>
      </c>
      <c r="B9498" s="1">
        <v>45939</v>
      </c>
      <c r="C9498" t="s">
        <v>66</v>
      </c>
      <c r="D9498">
        <v>41</v>
      </c>
      <c r="E9498" t="s">
        <v>70</v>
      </c>
      <c r="F9498" t="s">
        <v>13</v>
      </c>
      <c r="G9498" t="s">
        <v>83</v>
      </c>
      <c r="H9498" t="s">
        <v>155</v>
      </c>
      <c r="I9498">
        <v>32037</v>
      </c>
      <c r="J9498">
        <v>35218</v>
      </c>
    </row>
    <row r="9499" spans="1:10" x14ac:dyDescent="0.3">
      <c r="A9499" t="s">
        <v>9626</v>
      </c>
      <c r="B9499" s="1">
        <v>45921</v>
      </c>
      <c r="C9499" t="s">
        <v>38</v>
      </c>
      <c r="D9499">
        <v>38</v>
      </c>
      <c r="E9499" t="s">
        <v>24</v>
      </c>
      <c r="F9499" t="s">
        <v>43</v>
      </c>
      <c r="G9499" t="s">
        <v>107</v>
      </c>
      <c r="H9499" t="s">
        <v>15</v>
      </c>
      <c r="I9499">
        <v>24721</v>
      </c>
      <c r="J9499">
        <v>18579</v>
      </c>
    </row>
    <row r="9500" spans="1:10" x14ac:dyDescent="0.3">
      <c r="A9500" t="s">
        <v>9627</v>
      </c>
      <c r="B9500" s="1">
        <v>45683</v>
      </c>
      <c r="C9500" t="s">
        <v>17</v>
      </c>
      <c r="D9500">
        <v>4</v>
      </c>
      <c r="E9500" t="s">
        <v>70</v>
      </c>
      <c r="F9500" t="s">
        <v>62</v>
      </c>
      <c r="G9500" t="s">
        <v>20</v>
      </c>
      <c r="H9500" t="s">
        <v>52</v>
      </c>
      <c r="I9500">
        <v>31291</v>
      </c>
      <c r="J9500">
        <v>40077</v>
      </c>
    </row>
    <row r="9501" spans="1:10" x14ac:dyDescent="0.3">
      <c r="A9501" t="s">
        <v>9628</v>
      </c>
      <c r="B9501" s="1">
        <v>45819</v>
      </c>
      <c r="C9501" t="s">
        <v>74</v>
      </c>
      <c r="D9501">
        <v>24</v>
      </c>
      <c r="E9501" t="s">
        <v>12</v>
      </c>
      <c r="F9501" t="s">
        <v>57</v>
      </c>
      <c r="G9501" t="s">
        <v>115</v>
      </c>
      <c r="H9501" t="s">
        <v>27</v>
      </c>
      <c r="I9501">
        <v>25084</v>
      </c>
      <c r="J9501">
        <v>31386</v>
      </c>
    </row>
    <row r="9502" spans="1:10" x14ac:dyDescent="0.3">
      <c r="A9502" t="s">
        <v>9629</v>
      </c>
      <c r="B9502" s="1">
        <v>45676</v>
      </c>
      <c r="C9502" t="s">
        <v>17</v>
      </c>
      <c r="D9502">
        <v>3</v>
      </c>
      <c r="E9502" t="s">
        <v>33</v>
      </c>
      <c r="F9502" t="s">
        <v>122</v>
      </c>
      <c r="G9502" t="s">
        <v>206</v>
      </c>
      <c r="H9502" t="s">
        <v>48</v>
      </c>
      <c r="I9502">
        <v>22348</v>
      </c>
      <c r="J9502">
        <v>23109</v>
      </c>
    </row>
    <row r="9503" spans="1:10" x14ac:dyDescent="0.3">
      <c r="A9503" t="s">
        <v>9630</v>
      </c>
      <c r="B9503" s="1">
        <v>45793</v>
      </c>
      <c r="C9503" t="s">
        <v>90</v>
      </c>
      <c r="D9503">
        <v>20</v>
      </c>
      <c r="E9503" t="s">
        <v>24</v>
      </c>
      <c r="F9503" t="s">
        <v>78</v>
      </c>
      <c r="G9503" t="s">
        <v>107</v>
      </c>
      <c r="H9503" t="s">
        <v>155</v>
      </c>
      <c r="I9503">
        <v>28862</v>
      </c>
      <c r="J9503">
        <v>25524</v>
      </c>
    </row>
    <row r="9504" spans="1:10" x14ac:dyDescent="0.3">
      <c r="A9504" t="s">
        <v>9631</v>
      </c>
      <c r="B9504" s="1">
        <v>45837</v>
      </c>
      <c r="C9504" t="s">
        <v>74</v>
      </c>
      <c r="D9504">
        <v>26</v>
      </c>
      <c r="E9504" t="s">
        <v>70</v>
      </c>
      <c r="F9504" t="s">
        <v>140</v>
      </c>
      <c r="G9504" t="s">
        <v>230</v>
      </c>
      <c r="H9504" t="s">
        <v>96</v>
      </c>
      <c r="I9504">
        <v>26087</v>
      </c>
      <c r="J9504">
        <v>30593</v>
      </c>
    </row>
    <row r="9505" spans="1:10" x14ac:dyDescent="0.3">
      <c r="A9505" t="s">
        <v>9632</v>
      </c>
      <c r="B9505" s="1">
        <v>45984</v>
      </c>
      <c r="C9505" t="s">
        <v>23</v>
      </c>
      <c r="D9505">
        <v>47</v>
      </c>
      <c r="E9505" t="s">
        <v>61</v>
      </c>
      <c r="F9505" t="s">
        <v>92</v>
      </c>
      <c r="G9505" t="s">
        <v>20</v>
      </c>
      <c r="H9505" t="s">
        <v>48</v>
      </c>
      <c r="I9505">
        <v>21786</v>
      </c>
      <c r="J9505">
        <v>15501</v>
      </c>
    </row>
    <row r="9506" spans="1:10" x14ac:dyDescent="0.3">
      <c r="A9506" t="s">
        <v>9633</v>
      </c>
      <c r="B9506" s="1">
        <v>45696</v>
      </c>
      <c r="C9506" t="s">
        <v>82</v>
      </c>
      <c r="D9506">
        <v>6</v>
      </c>
      <c r="E9506" t="s">
        <v>39</v>
      </c>
      <c r="F9506" t="s">
        <v>43</v>
      </c>
      <c r="G9506" t="s">
        <v>324</v>
      </c>
      <c r="H9506" t="s">
        <v>52</v>
      </c>
      <c r="I9506">
        <v>19786</v>
      </c>
      <c r="J9506">
        <v>22634</v>
      </c>
    </row>
    <row r="9507" spans="1:10" x14ac:dyDescent="0.3">
      <c r="A9507" t="s">
        <v>9634</v>
      </c>
      <c r="B9507" s="1">
        <v>45960</v>
      </c>
      <c r="C9507" t="s">
        <v>66</v>
      </c>
      <c r="D9507">
        <v>44</v>
      </c>
      <c r="E9507" t="s">
        <v>70</v>
      </c>
      <c r="F9507" t="s">
        <v>122</v>
      </c>
      <c r="G9507" t="s">
        <v>206</v>
      </c>
      <c r="H9507" t="s">
        <v>188</v>
      </c>
      <c r="I9507">
        <v>35146</v>
      </c>
      <c r="J9507">
        <v>38957</v>
      </c>
    </row>
    <row r="9508" spans="1:10" x14ac:dyDescent="0.3">
      <c r="A9508" t="s">
        <v>9635</v>
      </c>
      <c r="B9508" s="1">
        <v>45843</v>
      </c>
      <c r="C9508" t="s">
        <v>11</v>
      </c>
      <c r="D9508">
        <v>27</v>
      </c>
      <c r="E9508" t="s">
        <v>24</v>
      </c>
      <c r="F9508" t="s">
        <v>75</v>
      </c>
      <c r="G9508" t="s">
        <v>291</v>
      </c>
      <c r="H9508" t="s">
        <v>111</v>
      </c>
      <c r="I9508">
        <v>39194</v>
      </c>
      <c r="J9508">
        <v>50032</v>
      </c>
    </row>
    <row r="9509" spans="1:10" x14ac:dyDescent="0.3">
      <c r="A9509" t="s">
        <v>9636</v>
      </c>
      <c r="B9509" s="1">
        <v>45954</v>
      </c>
      <c r="C9509" t="s">
        <v>66</v>
      </c>
      <c r="D9509">
        <v>43</v>
      </c>
      <c r="E9509" t="s">
        <v>39</v>
      </c>
      <c r="F9509" t="s">
        <v>75</v>
      </c>
      <c r="G9509" t="s">
        <v>40</v>
      </c>
      <c r="H9509" t="s">
        <v>41</v>
      </c>
      <c r="I9509">
        <v>15699</v>
      </c>
      <c r="J9509">
        <v>13576</v>
      </c>
    </row>
    <row r="9510" spans="1:10" x14ac:dyDescent="0.3">
      <c r="A9510" t="s">
        <v>9637</v>
      </c>
      <c r="B9510" s="1">
        <v>45820</v>
      </c>
      <c r="C9510" t="s">
        <v>74</v>
      </c>
      <c r="D9510">
        <v>24</v>
      </c>
      <c r="E9510" t="s">
        <v>12</v>
      </c>
      <c r="F9510" t="s">
        <v>25</v>
      </c>
      <c r="G9510" t="s">
        <v>102</v>
      </c>
      <c r="H9510" t="s">
        <v>64</v>
      </c>
      <c r="I9510">
        <v>33140</v>
      </c>
      <c r="J9510">
        <v>43067</v>
      </c>
    </row>
    <row r="9511" spans="1:10" x14ac:dyDescent="0.3">
      <c r="A9511" t="s">
        <v>9638</v>
      </c>
      <c r="B9511" s="1">
        <v>45777</v>
      </c>
      <c r="C9511" t="s">
        <v>86</v>
      </c>
      <c r="D9511">
        <v>18</v>
      </c>
      <c r="E9511" t="s">
        <v>61</v>
      </c>
      <c r="F9511" t="s">
        <v>87</v>
      </c>
      <c r="G9511" t="s">
        <v>191</v>
      </c>
      <c r="H9511" t="s">
        <v>68</v>
      </c>
      <c r="I9511">
        <v>25206</v>
      </c>
      <c r="J9511">
        <v>26255</v>
      </c>
    </row>
    <row r="9512" spans="1:10" x14ac:dyDescent="0.3">
      <c r="A9512" t="s">
        <v>9639</v>
      </c>
      <c r="B9512" s="1">
        <v>45682</v>
      </c>
      <c r="C9512" t="s">
        <v>17</v>
      </c>
      <c r="D9512">
        <v>4</v>
      </c>
      <c r="E9512" t="s">
        <v>33</v>
      </c>
      <c r="F9512" t="s">
        <v>78</v>
      </c>
      <c r="G9512" t="s">
        <v>107</v>
      </c>
      <c r="H9512" t="s">
        <v>98</v>
      </c>
      <c r="I9512">
        <v>22107</v>
      </c>
      <c r="J9512">
        <v>18016</v>
      </c>
    </row>
    <row r="9513" spans="1:10" x14ac:dyDescent="0.3">
      <c r="A9513" t="s">
        <v>9640</v>
      </c>
      <c r="B9513" s="1">
        <v>45804</v>
      </c>
      <c r="C9513" t="s">
        <v>90</v>
      </c>
      <c r="D9513">
        <v>22</v>
      </c>
      <c r="E9513" t="s">
        <v>12</v>
      </c>
      <c r="F9513" t="s">
        <v>29</v>
      </c>
      <c r="G9513" t="s">
        <v>160</v>
      </c>
      <c r="H9513" t="s">
        <v>21</v>
      </c>
      <c r="I9513">
        <v>29024</v>
      </c>
      <c r="J9513">
        <v>28622</v>
      </c>
    </row>
    <row r="9514" spans="1:10" x14ac:dyDescent="0.3">
      <c r="A9514" t="s">
        <v>9641</v>
      </c>
      <c r="B9514" s="1">
        <v>45820</v>
      </c>
      <c r="C9514" t="s">
        <v>74</v>
      </c>
      <c r="D9514">
        <v>24</v>
      </c>
      <c r="E9514" t="s">
        <v>18</v>
      </c>
      <c r="F9514" t="s">
        <v>29</v>
      </c>
      <c r="G9514" t="s">
        <v>20</v>
      </c>
      <c r="H9514" t="s">
        <v>15</v>
      </c>
      <c r="I9514">
        <v>38720</v>
      </c>
      <c r="J9514">
        <v>34168</v>
      </c>
    </row>
    <row r="9515" spans="1:10" x14ac:dyDescent="0.3">
      <c r="A9515" t="s">
        <v>9642</v>
      </c>
      <c r="B9515" s="1">
        <v>46014</v>
      </c>
      <c r="C9515" t="s">
        <v>100</v>
      </c>
      <c r="D9515">
        <v>52</v>
      </c>
      <c r="E9515" t="s">
        <v>24</v>
      </c>
      <c r="F9515" t="s">
        <v>43</v>
      </c>
      <c r="G9515" t="s">
        <v>160</v>
      </c>
      <c r="H9515" t="s">
        <v>15</v>
      </c>
      <c r="I9515">
        <v>27193</v>
      </c>
      <c r="J9515">
        <v>26713</v>
      </c>
    </row>
    <row r="9516" spans="1:10" x14ac:dyDescent="0.3">
      <c r="A9516" t="s">
        <v>9643</v>
      </c>
      <c r="B9516" s="1">
        <v>45854</v>
      </c>
      <c r="C9516" t="s">
        <v>11</v>
      </c>
      <c r="D9516">
        <v>29</v>
      </c>
      <c r="E9516" t="s">
        <v>24</v>
      </c>
      <c r="F9516" t="s">
        <v>46</v>
      </c>
      <c r="G9516" t="s">
        <v>141</v>
      </c>
      <c r="H9516" t="s">
        <v>243</v>
      </c>
      <c r="I9516">
        <v>18721</v>
      </c>
      <c r="J9516">
        <v>15895</v>
      </c>
    </row>
    <row r="9517" spans="1:10" x14ac:dyDescent="0.3">
      <c r="A9517" t="s">
        <v>9644</v>
      </c>
      <c r="B9517" s="1">
        <v>45900</v>
      </c>
      <c r="C9517" t="s">
        <v>113</v>
      </c>
      <c r="D9517">
        <v>35</v>
      </c>
      <c r="E9517" t="s">
        <v>24</v>
      </c>
      <c r="F9517" t="s">
        <v>62</v>
      </c>
      <c r="G9517" t="s">
        <v>128</v>
      </c>
      <c r="H9517" t="s">
        <v>21</v>
      </c>
      <c r="I9517">
        <v>31314</v>
      </c>
      <c r="J9517">
        <v>31509</v>
      </c>
    </row>
    <row r="9518" spans="1:10" x14ac:dyDescent="0.3">
      <c r="A9518" t="s">
        <v>9645</v>
      </c>
      <c r="B9518" s="1">
        <v>45658</v>
      </c>
      <c r="C9518" t="s">
        <v>17</v>
      </c>
      <c r="D9518">
        <v>1</v>
      </c>
      <c r="E9518" t="s">
        <v>18</v>
      </c>
      <c r="F9518" t="s">
        <v>50</v>
      </c>
      <c r="G9518" t="s">
        <v>72</v>
      </c>
      <c r="H9518" t="s">
        <v>21</v>
      </c>
      <c r="I9518">
        <v>23212</v>
      </c>
      <c r="J9518">
        <v>21691</v>
      </c>
    </row>
    <row r="9519" spans="1:10" x14ac:dyDescent="0.3">
      <c r="A9519" t="s">
        <v>9646</v>
      </c>
      <c r="B9519" s="1">
        <v>45872</v>
      </c>
      <c r="C9519" t="s">
        <v>113</v>
      </c>
      <c r="D9519">
        <v>31</v>
      </c>
      <c r="E9519" t="s">
        <v>24</v>
      </c>
      <c r="F9519" t="s">
        <v>13</v>
      </c>
      <c r="G9519" t="s">
        <v>145</v>
      </c>
      <c r="H9519" t="s">
        <v>96</v>
      </c>
      <c r="I9519">
        <v>31725</v>
      </c>
      <c r="J9519">
        <v>31646</v>
      </c>
    </row>
    <row r="9520" spans="1:10" x14ac:dyDescent="0.3">
      <c r="A9520" t="s">
        <v>9647</v>
      </c>
      <c r="B9520" s="1">
        <v>45768</v>
      </c>
      <c r="C9520" t="s">
        <v>86</v>
      </c>
      <c r="D9520">
        <v>17</v>
      </c>
      <c r="E9520" t="s">
        <v>18</v>
      </c>
      <c r="F9520" t="s">
        <v>193</v>
      </c>
      <c r="G9520" t="s">
        <v>266</v>
      </c>
      <c r="H9520" t="s">
        <v>155</v>
      </c>
      <c r="I9520">
        <v>25829</v>
      </c>
      <c r="J9520">
        <v>31755</v>
      </c>
    </row>
    <row r="9521" spans="1:10" x14ac:dyDescent="0.3">
      <c r="A9521" t="s">
        <v>9648</v>
      </c>
      <c r="B9521" s="1">
        <v>45713</v>
      </c>
      <c r="C9521" t="s">
        <v>82</v>
      </c>
      <c r="D9521">
        <v>9</v>
      </c>
      <c r="E9521" t="s">
        <v>61</v>
      </c>
      <c r="F9521" t="s">
        <v>101</v>
      </c>
      <c r="G9521" t="s">
        <v>240</v>
      </c>
      <c r="H9521" t="s">
        <v>59</v>
      </c>
      <c r="I9521">
        <v>19335</v>
      </c>
      <c r="J9521">
        <v>14660</v>
      </c>
    </row>
    <row r="9522" spans="1:10" x14ac:dyDescent="0.3">
      <c r="A9522" t="s">
        <v>9649</v>
      </c>
      <c r="B9522" s="1">
        <v>45716</v>
      </c>
      <c r="C9522" t="s">
        <v>82</v>
      </c>
      <c r="D9522">
        <v>9</v>
      </c>
      <c r="E9522" t="s">
        <v>24</v>
      </c>
      <c r="F9522" t="s">
        <v>29</v>
      </c>
      <c r="G9522" t="s">
        <v>147</v>
      </c>
      <c r="H9522" t="s">
        <v>64</v>
      </c>
      <c r="I9522">
        <v>35339</v>
      </c>
      <c r="J9522">
        <v>38407</v>
      </c>
    </row>
    <row r="9523" spans="1:10" x14ac:dyDescent="0.3">
      <c r="A9523" t="s">
        <v>9650</v>
      </c>
      <c r="B9523" s="1">
        <v>45875</v>
      </c>
      <c r="C9523" t="s">
        <v>113</v>
      </c>
      <c r="D9523">
        <v>32</v>
      </c>
      <c r="E9523" t="s">
        <v>70</v>
      </c>
      <c r="F9523" t="s">
        <v>46</v>
      </c>
      <c r="G9523" t="s">
        <v>224</v>
      </c>
      <c r="H9523" t="s">
        <v>55</v>
      </c>
      <c r="I9523">
        <v>23399</v>
      </c>
      <c r="J9523">
        <v>23913</v>
      </c>
    </row>
    <row r="9524" spans="1:10" x14ac:dyDescent="0.3">
      <c r="A9524" t="s">
        <v>9651</v>
      </c>
      <c r="B9524" s="1">
        <v>45902</v>
      </c>
      <c r="C9524" t="s">
        <v>38</v>
      </c>
      <c r="D9524">
        <v>36</v>
      </c>
      <c r="E9524" t="s">
        <v>18</v>
      </c>
      <c r="F9524" t="s">
        <v>13</v>
      </c>
      <c r="G9524" t="s">
        <v>201</v>
      </c>
      <c r="H9524" t="s">
        <v>27</v>
      </c>
      <c r="I9524">
        <v>31751</v>
      </c>
      <c r="J9524">
        <v>40026</v>
      </c>
    </row>
    <row r="9525" spans="1:10" x14ac:dyDescent="0.3">
      <c r="A9525" t="s">
        <v>9652</v>
      </c>
      <c r="B9525" s="1">
        <v>45775</v>
      </c>
      <c r="C9525" t="s">
        <v>86</v>
      </c>
      <c r="D9525">
        <v>18</v>
      </c>
      <c r="E9525" t="s">
        <v>12</v>
      </c>
      <c r="F9525" t="s">
        <v>19</v>
      </c>
      <c r="G9525" t="s">
        <v>51</v>
      </c>
      <c r="H9525" t="s">
        <v>80</v>
      </c>
      <c r="I9525">
        <v>31772</v>
      </c>
      <c r="J9525">
        <v>31073</v>
      </c>
    </row>
    <row r="9526" spans="1:10" x14ac:dyDescent="0.3">
      <c r="A9526" t="s">
        <v>9653</v>
      </c>
      <c r="B9526" s="1">
        <v>45817</v>
      </c>
      <c r="C9526" t="s">
        <v>74</v>
      </c>
      <c r="D9526">
        <v>24</v>
      </c>
      <c r="E9526" t="s">
        <v>70</v>
      </c>
      <c r="F9526" t="s">
        <v>114</v>
      </c>
      <c r="G9526" t="s">
        <v>35</v>
      </c>
      <c r="H9526" t="s">
        <v>21</v>
      </c>
      <c r="I9526">
        <v>38572</v>
      </c>
      <c r="J9526">
        <v>35924</v>
      </c>
    </row>
    <row r="9527" spans="1:10" x14ac:dyDescent="0.3">
      <c r="A9527" t="s">
        <v>9654</v>
      </c>
      <c r="B9527" s="1">
        <v>45877</v>
      </c>
      <c r="C9527" t="s">
        <v>113</v>
      </c>
      <c r="D9527">
        <v>32</v>
      </c>
      <c r="E9527" t="s">
        <v>39</v>
      </c>
      <c r="F9527" t="s">
        <v>75</v>
      </c>
      <c r="G9527" t="s">
        <v>47</v>
      </c>
      <c r="H9527" t="s">
        <v>80</v>
      </c>
      <c r="I9527">
        <v>35630</v>
      </c>
      <c r="J9527">
        <v>32100</v>
      </c>
    </row>
    <row r="9528" spans="1:10" x14ac:dyDescent="0.3">
      <c r="A9528" t="s">
        <v>9655</v>
      </c>
      <c r="B9528" s="1">
        <v>45717</v>
      </c>
      <c r="C9528" t="s">
        <v>95</v>
      </c>
      <c r="D9528">
        <v>9</v>
      </c>
      <c r="E9528" t="s">
        <v>18</v>
      </c>
      <c r="F9528" t="s">
        <v>78</v>
      </c>
      <c r="G9528" t="s">
        <v>147</v>
      </c>
      <c r="H9528" t="s">
        <v>15</v>
      </c>
      <c r="I9528">
        <v>18135</v>
      </c>
      <c r="J9528">
        <v>21925</v>
      </c>
    </row>
    <row r="9529" spans="1:10" x14ac:dyDescent="0.3">
      <c r="A9529" t="s">
        <v>9656</v>
      </c>
      <c r="B9529" s="1">
        <v>45662</v>
      </c>
      <c r="C9529" t="s">
        <v>17</v>
      </c>
      <c r="D9529">
        <v>1</v>
      </c>
      <c r="E9529" t="s">
        <v>33</v>
      </c>
      <c r="F9529" t="s">
        <v>140</v>
      </c>
      <c r="G9529" t="s">
        <v>83</v>
      </c>
      <c r="H9529" t="s">
        <v>52</v>
      </c>
      <c r="I9529">
        <v>28153</v>
      </c>
      <c r="J9529">
        <v>21231</v>
      </c>
    </row>
    <row r="9530" spans="1:10" x14ac:dyDescent="0.3">
      <c r="A9530" t="s">
        <v>9657</v>
      </c>
      <c r="B9530" s="1">
        <v>45810</v>
      </c>
      <c r="C9530" t="s">
        <v>74</v>
      </c>
      <c r="D9530">
        <v>23</v>
      </c>
      <c r="E9530" t="s">
        <v>70</v>
      </c>
      <c r="F9530" t="s">
        <v>75</v>
      </c>
      <c r="G9530" t="s">
        <v>135</v>
      </c>
      <c r="H9530" t="s">
        <v>243</v>
      </c>
      <c r="I9530">
        <v>19330</v>
      </c>
      <c r="J9530">
        <v>15285</v>
      </c>
    </row>
    <row r="9531" spans="1:10" x14ac:dyDescent="0.3">
      <c r="A9531" t="s">
        <v>9658</v>
      </c>
      <c r="B9531" s="1">
        <v>45715</v>
      </c>
      <c r="C9531" t="s">
        <v>82</v>
      </c>
      <c r="D9531">
        <v>9</v>
      </c>
      <c r="E9531" t="s">
        <v>61</v>
      </c>
      <c r="F9531" t="s">
        <v>46</v>
      </c>
      <c r="G9531" t="s">
        <v>135</v>
      </c>
      <c r="H9531" t="s">
        <v>21</v>
      </c>
      <c r="I9531">
        <v>26789</v>
      </c>
      <c r="J9531">
        <v>32975</v>
      </c>
    </row>
    <row r="9532" spans="1:10" x14ac:dyDescent="0.3">
      <c r="A9532" t="s">
        <v>9659</v>
      </c>
      <c r="B9532" s="1">
        <v>45869</v>
      </c>
      <c r="C9532" t="s">
        <v>11</v>
      </c>
      <c r="D9532">
        <v>31</v>
      </c>
      <c r="E9532" t="s">
        <v>18</v>
      </c>
      <c r="F9532" t="s">
        <v>34</v>
      </c>
      <c r="G9532" t="s">
        <v>58</v>
      </c>
      <c r="H9532" t="s">
        <v>64</v>
      </c>
      <c r="I9532">
        <v>22929</v>
      </c>
      <c r="J9532">
        <v>20865</v>
      </c>
    </row>
    <row r="9533" spans="1:10" x14ac:dyDescent="0.3">
      <c r="A9533" t="s">
        <v>9660</v>
      </c>
      <c r="B9533" s="1">
        <v>45766</v>
      </c>
      <c r="C9533" t="s">
        <v>86</v>
      </c>
      <c r="D9533">
        <v>16</v>
      </c>
      <c r="E9533" t="s">
        <v>24</v>
      </c>
      <c r="F9533" t="s">
        <v>50</v>
      </c>
      <c r="G9533" t="s">
        <v>110</v>
      </c>
      <c r="H9533" t="s">
        <v>68</v>
      </c>
      <c r="I9533">
        <v>29303</v>
      </c>
      <c r="J9533">
        <v>33041</v>
      </c>
    </row>
    <row r="9534" spans="1:10" x14ac:dyDescent="0.3">
      <c r="A9534" t="s">
        <v>9661</v>
      </c>
      <c r="B9534" s="1">
        <v>45821</v>
      </c>
      <c r="C9534" t="s">
        <v>74</v>
      </c>
      <c r="D9534">
        <v>24</v>
      </c>
      <c r="E9534" t="s">
        <v>24</v>
      </c>
      <c r="F9534" t="s">
        <v>122</v>
      </c>
      <c r="G9534" t="s">
        <v>63</v>
      </c>
      <c r="H9534" t="s">
        <v>116</v>
      </c>
      <c r="I9534">
        <v>26220</v>
      </c>
      <c r="J9534">
        <v>30814</v>
      </c>
    </row>
    <row r="9535" spans="1:10" x14ac:dyDescent="0.3">
      <c r="A9535" t="s">
        <v>9662</v>
      </c>
      <c r="B9535" s="1">
        <v>45684</v>
      </c>
      <c r="C9535" t="s">
        <v>17</v>
      </c>
      <c r="D9535">
        <v>5</v>
      </c>
      <c r="E9535" t="s">
        <v>24</v>
      </c>
      <c r="F9535" t="s">
        <v>101</v>
      </c>
      <c r="G9535" t="s">
        <v>135</v>
      </c>
      <c r="H9535" t="s">
        <v>119</v>
      </c>
      <c r="I9535">
        <v>39393</v>
      </c>
      <c r="J9535">
        <v>42602</v>
      </c>
    </row>
    <row r="9536" spans="1:10" x14ac:dyDescent="0.3">
      <c r="A9536" t="s">
        <v>9663</v>
      </c>
      <c r="B9536" s="1">
        <v>45834</v>
      </c>
      <c r="C9536" t="s">
        <v>74</v>
      </c>
      <c r="D9536">
        <v>26</v>
      </c>
      <c r="E9536" t="s">
        <v>39</v>
      </c>
      <c r="F9536" t="s">
        <v>109</v>
      </c>
      <c r="G9536" t="s">
        <v>141</v>
      </c>
      <c r="H9536" t="s">
        <v>163</v>
      </c>
      <c r="I9536">
        <v>23137</v>
      </c>
      <c r="J9536">
        <v>28789</v>
      </c>
    </row>
    <row r="9537" spans="1:10" x14ac:dyDescent="0.3">
      <c r="A9537" t="s">
        <v>9664</v>
      </c>
      <c r="B9537" s="1">
        <v>45731</v>
      </c>
      <c r="C9537" t="s">
        <v>95</v>
      </c>
      <c r="D9537">
        <v>11</v>
      </c>
      <c r="E9537" t="s">
        <v>61</v>
      </c>
      <c r="F9537" t="s">
        <v>62</v>
      </c>
      <c r="G9537" t="s">
        <v>240</v>
      </c>
      <c r="H9537" t="s">
        <v>27</v>
      </c>
      <c r="I9537">
        <v>37409</v>
      </c>
      <c r="J9537">
        <v>37944</v>
      </c>
    </row>
    <row r="9538" spans="1:10" x14ac:dyDescent="0.3">
      <c r="A9538" t="s">
        <v>9665</v>
      </c>
      <c r="B9538" s="1">
        <v>45857</v>
      </c>
      <c r="C9538" t="s">
        <v>11</v>
      </c>
      <c r="D9538">
        <v>29</v>
      </c>
      <c r="E9538" t="s">
        <v>70</v>
      </c>
      <c r="F9538" t="s">
        <v>46</v>
      </c>
      <c r="G9538" t="s">
        <v>182</v>
      </c>
      <c r="H9538" t="s">
        <v>15</v>
      </c>
      <c r="I9538">
        <v>18953</v>
      </c>
      <c r="J9538">
        <v>19859</v>
      </c>
    </row>
    <row r="9539" spans="1:10" x14ac:dyDescent="0.3">
      <c r="A9539" t="s">
        <v>9666</v>
      </c>
      <c r="B9539" s="1">
        <v>45738</v>
      </c>
      <c r="C9539" t="s">
        <v>95</v>
      </c>
      <c r="D9539">
        <v>12</v>
      </c>
      <c r="E9539" t="s">
        <v>61</v>
      </c>
      <c r="F9539" t="s">
        <v>19</v>
      </c>
      <c r="G9539" t="s">
        <v>76</v>
      </c>
      <c r="H9539" t="s">
        <v>98</v>
      </c>
      <c r="I9539">
        <v>27153</v>
      </c>
      <c r="J9539">
        <v>31287</v>
      </c>
    </row>
    <row r="9540" spans="1:10" x14ac:dyDescent="0.3">
      <c r="A9540" t="s">
        <v>9667</v>
      </c>
      <c r="B9540" s="1">
        <v>45986</v>
      </c>
      <c r="C9540" t="s">
        <v>23</v>
      </c>
      <c r="D9540">
        <v>48</v>
      </c>
      <c r="E9540" t="s">
        <v>39</v>
      </c>
      <c r="F9540" t="s">
        <v>19</v>
      </c>
      <c r="G9540" t="s">
        <v>110</v>
      </c>
      <c r="H9540" t="s">
        <v>103</v>
      </c>
      <c r="I9540">
        <v>37569</v>
      </c>
      <c r="J9540">
        <v>28324</v>
      </c>
    </row>
    <row r="9541" spans="1:10" x14ac:dyDescent="0.3">
      <c r="A9541" t="s">
        <v>9668</v>
      </c>
      <c r="B9541" s="1">
        <v>45790</v>
      </c>
      <c r="C9541" t="s">
        <v>90</v>
      </c>
      <c r="D9541">
        <v>20</v>
      </c>
      <c r="E9541" t="s">
        <v>18</v>
      </c>
      <c r="F9541" t="s">
        <v>87</v>
      </c>
      <c r="G9541" t="s">
        <v>26</v>
      </c>
      <c r="H9541" t="s">
        <v>165</v>
      </c>
      <c r="I9541">
        <v>15850</v>
      </c>
      <c r="J9541">
        <v>11560</v>
      </c>
    </row>
    <row r="9542" spans="1:10" x14ac:dyDescent="0.3">
      <c r="A9542" t="s">
        <v>9669</v>
      </c>
      <c r="B9542" s="1">
        <v>45659</v>
      </c>
      <c r="C9542" t="s">
        <v>17</v>
      </c>
      <c r="D9542">
        <v>1</v>
      </c>
      <c r="E9542" t="s">
        <v>18</v>
      </c>
      <c r="F9542" t="s">
        <v>92</v>
      </c>
      <c r="G9542" t="s">
        <v>88</v>
      </c>
      <c r="H9542" t="s">
        <v>157</v>
      </c>
      <c r="I9542">
        <v>39116</v>
      </c>
      <c r="J9542">
        <v>28754</v>
      </c>
    </row>
    <row r="9543" spans="1:10" x14ac:dyDescent="0.3">
      <c r="A9543" t="s">
        <v>9670</v>
      </c>
      <c r="B9543" s="1">
        <v>45854</v>
      </c>
      <c r="C9543" t="s">
        <v>11</v>
      </c>
      <c r="D9543">
        <v>29</v>
      </c>
      <c r="E9543" t="s">
        <v>18</v>
      </c>
      <c r="F9543" t="s">
        <v>19</v>
      </c>
      <c r="G9543" t="s">
        <v>234</v>
      </c>
      <c r="H9543" t="s">
        <v>163</v>
      </c>
      <c r="I9543">
        <v>38927</v>
      </c>
      <c r="J9543">
        <v>43346</v>
      </c>
    </row>
    <row r="9544" spans="1:10" x14ac:dyDescent="0.3">
      <c r="A9544" t="s">
        <v>9671</v>
      </c>
      <c r="B9544" s="1">
        <v>45810</v>
      </c>
      <c r="C9544" t="s">
        <v>74</v>
      </c>
      <c r="D9544">
        <v>23</v>
      </c>
      <c r="E9544" t="s">
        <v>24</v>
      </c>
      <c r="F9544" t="s">
        <v>57</v>
      </c>
      <c r="G9544" t="s">
        <v>102</v>
      </c>
      <c r="H9544" t="s">
        <v>211</v>
      </c>
      <c r="I9544">
        <v>28639</v>
      </c>
      <c r="J9544">
        <v>23188</v>
      </c>
    </row>
    <row r="9545" spans="1:10" x14ac:dyDescent="0.3">
      <c r="A9545" t="s">
        <v>9672</v>
      </c>
      <c r="B9545" s="1">
        <v>45987</v>
      </c>
      <c r="C9545" t="s">
        <v>23</v>
      </c>
      <c r="D9545">
        <v>48</v>
      </c>
      <c r="E9545" t="s">
        <v>39</v>
      </c>
      <c r="F9545" t="s">
        <v>29</v>
      </c>
      <c r="G9545" t="s">
        <v>63</v>
      </c>
      <c r="H9545" t="s">
        <v>119</v>
      </c>
      <c r="I9545">
        <v>35022</v>
      </c>
      <c r="J9545">
        <v>29050</v>
      </c>
    </row>
    <row r="9546" spans="1:10" x14ac:dyDescent="0.3">
      <c r="A9546" t="s">
        <v>9673</v>
      </c>
      <c r="B9546" s="1">
        <v>45752</v>
      </c>
      <c r="C9546" t="s">
        <v>86</v>
      </c>
      <c r="D9546">
        <v>14</v>
      </c>
      <c r="E9546" t="s">
        <v>18</v>
      </c>
      <c r="F9546" t="s">
        <v>50</v>
      </c>
      <c r="G9546" t="s">
        <v>171</v>
      </c>
      <c r="H9546" t="s">
        <v>119</v>
      </c>
      <c r="I9546">
        <v>23712</v>
      </c>
      <c r="J9546">
        <v>28634</v>
      </c>
    </row>
    <row r="9547" spans="1:10" x14ac:dyDescent="0.3">
      <c r="A9547" t="s">
        <v>9674</v>
      </c>
      <c r="B9547" s="1">
        <v>45798</v>
      </c>
      <c r="C9547" t="s">
        <v>90</v>
      </c>
      <c r="D9547">
        <v>21</v>
      </c>
      <c r="E9547" t="s">
        <v>24</v>
      </c>
      <c r="F9547" t="s">
        <v>122</v>
      </c>
      <c r="G9547" t="s">
        <v>224</v>
      </c>
      <c r="H9547" t="s">
        <v>111</v>
      </c>
      <c r="I9547">
        <v>28576</v>
      </c>
      <c r="J9547">
        <v>27126</v>
      </c>
    </row>
    <row r="9548" spans="1:10" x14ac:dyDescent="0.3">
      <c r="A9548" t="s">
        <v>9675</v>
      </c>
      <c r="B9548" s="1">
        <v>45918</v>
      </c>
      <c r="C9548" t="s">
        <v>38</v>
      </c>
      <c r="D9548">
        <v>38</v>
      </c>
      <c r="E9548" t="s">
        <v>24</v>
      </c>
      <c r="F9548" t="s">
        <v>92</v>
      </c>
      <c r="G9548" t="s">
        <v>54</v>
      </c>
      <c r="H9548" t="s">
        <v>157</v>
      </c>
      <c r="I9548">
        <v>21736</v>
      </c>
      <c r="J9548">
        <v>22080</v>
      </c>
    </row>
    <row r="9549" spans="1:10" x14ac:dyDescent="0.3">
      <c r="A9549" t="s">
        <v>9676</v>
      </c>
      <c r="B9549" s="1">
        <v>45897</v>
      </c>
      <c r="C9549" t="s">
        <v>113</v>
      </c>
      <c r="D9549">
        <v>35</v>
      </c>
      <c r="E9549" t="s">
        <v>18</v>
      </c>
      <c r="F9549" t="s">
        <v>19</v>
      </c>
      <c r="G9549" t="s">
        <v>30</v>
      </c>
      <c r="H9549" t="s">
        <v>27</v>
      </c>
      <c r="I9549">
        <v>25500</v>
      </c>
      <c r="J9549">
        <v>25312</v>
      </c>
    </row>
    <row r="9550" spans="1:10" x14ac:dyDescent="0.3">
      <c r="A9550" t="s">
        <v>9677</v>
      </c>
      <c r="B9550" s="1">
        <v>45929</v>
      </c>
      <c r="C9550" t="s">
        <v>38</v>
      </c>
      <c r="D9550">
        <v>40</v>
      </c>
      <c r="E9550" t="s">
        <v>70</v>
      </c>
      <c r="F9550" t="s">
        <v>19</v>
      </c>
      <c r="G9550" t="s">
        <v>147</v>
      </c>
      <c r="H9550" t="s">
        <v>84</v>
      </c>
      <c r="I9550">
        <v>23298</v>
      </c>
      <c r="J9550">
        <v>20731</v>
      </c>
    </row>
    <row r="9551" spans="1:10" x14ac:dyDescent="0.3">
      <c r="A9551" t="s">
        <v>9678</v>
      </c>
      <c r="B9551" s="1">
        <v>45977</v>
      </c>
      <c r="C9551" t="s">
        <v>23</v>
      </c>
      <c r="D9551">
        <v>46</v>
      </c>
      <c r="E9551" t="s">
        <v>18</v>
      </c>
      <c r="F9551" t="s">
        <v>29</v>
      </c>
      <c r="G9551" t="s">
        <v>35</v>
      </c>
      <c r="H9551" t="s">
        <v>59</v>
      </c>
      <c r="I9551">
        <v>18064</v>
      </c>
      <c r="J9551">
        <v>21831</v>
      </c>
    </row>
    <row r="9552" spans="1:10" x14ac:dyDescent="0.3">
      <c r="A9552" t="s">
        <v>9679</v>
      </c>
      <c r="B9552" s="1">
        <v>46011</v>
      </c>
      <c r="C9552" t="s">
        <v>100</v>
      </c>
      <c r="D9552">
        <v>51</v>
      </c>
      <c r="E9552" t="s">
        <v>24</v>
      </c>
      <c r="F9552" t="s">
        <v>34</v>
      </c>
      <c r="G9552" t="s">
        <v>88</v>
      </c>
      <c r="H9552" t="s">
        <v>151</v>
      </c>
      <c r="I9552">
        <v>27985</v>
      </c>
      <c r="J9552">
        <v>22073</v>
      </c>
    </row>
    <row r="9553" spans="1:10" x14ac:dyDescent="0.3">
      <c r="A9553" t="s">
        <v>9680</v>
      </c>
      <c r="B9553" s="1">
        <v>45717</v>
      </c>
      <c r="C9553" t="s">
        <v>95</v>
      </c>
      <c r="D9553">
        <v>9</v>
      </c>
      <c r="E9553" t="s">
        <v>24</v>
      </c>
      <c r="F9553" t="s">
        <v>109</v>
      </c>
      <c r="G9553" t="s">
        <v>171</v>
      </c>
      <c r="H9553" t="s">
        <v>123</v>
      </c>
      <c r="I9553">
        <v>18682</v>
      </c>
      <c r="J9553">
        <v>15207</v>
      </c>
    </row>
    <row r="9554" spans="1:10" x14ac:dyDescent="0.3">
      <c r="A9554" t="s">
        <v>9681</v>
      </c>
      <c r="B9554" s="1">
        <v>45820</v>
      </c>
      <c r="C9554" t="s">
        <v>74</v>
      </c>
      <c r="D9554">
        <v>24</v>
      </c>
      <c r="E9554" t="s">
        <v>12</v>
      </c>
      <c r="F9554" t="s">
        <v>122</v>
      </c>
      <c r="G9554" t="s">
        <v>102</v>
      </c>
      <c r="H9554" t="s">
        <v>103</v>
      </c>
      <c r="I9554">
        <v>19994</v>
      </c>
      <c r="J9554">
        <v>19158</v>
      </c>
    </row>
    <row r="9555" spans="1:10" x14ac:dyDescent="0.3">
      <c r="A9555" t="s">
        <v>9682</v>
      </c>
      <c r="B9555" s="1">
        <v>45972</v>
      </c>
      <c r="C9555" t="s">
        <v>23</v>
      </c>
      <c r="D9555">
        <v>46</v>
      </c>
      <c r="E9555" t="s">
        <v>39</v>
      </c>
      <c r="F9555" t="s">
        <v>75</v>
      </c>
      <c r="G9555" t="s">
        <v>14</v>
      </c>
      <c r="H9555" t="s">
        <v>188</v>
      </c>
      <c r="I9555">
        <v>19826</v>
      </c>
      <c r="J9555">
        <v>17420</v>
      </c>
    </row>
    <row r="9556" spans="1:10" x14ac:dyDescent="0.3">
      <c r="A9556" t="s">
        <v>9683</v>
      </c>
      <c r="B9556" s="1">
        <v>45897</v>
      </c>
      <c r="C9556" t="s">
        <v>113</v>
      </c>
      <c r="D9556">
        <v>35</v>
      </c>
      <c r="E9556" t="s">
        <v>12</v>
      </c>
      <c r="F9556" t="s">
        <v>101</v>
      </c>
      <c r="G9556" t="s">
        <v>76</v>
      </c>
      <c r="H9556" t="s">
        <v>84</v>
      </c>
      <c r="I9556">
        <v>33520</v>
      </c>
      <c r="J9556">
        <v>31693</v>
      </c>
    </row>
    <row r="9557" spans="1:10" x14ac:dyDescent="0.3">
      <c r="A9557" t="s">
        <v>9684</v>
      </c>
      <c r="B9557" s="1">
        <v>45665</v>
      </c>
      <c r="C9557" t="s">
        <v>17</v>
      </c>
      <c r="D9557">
        <v>2</v>
      </c>
      <c r="E9557" t="s">
        <v>18</v>
      </c>
      <c r="F9557" t="s">
        <v>122</v>
      </c>
      <c r="G9557" t="s">
        <v>93</v>
      </c>
      <c r="H9557" t="s">
        <v>31</v>
      </c>
      <c r="I9557">
        <v>17487</v>
      </c>
      <c r="J9557">
        <v>21466</v>
      </c>
    </row>
    <row r="9558" spans="1:10" x14ac:dyDescent="0.3">
      <c r="A9558" t="s">
        <v>9685</v>
      </c>
      <c r="B9558" s="1">
        <v>45745</v>
      </c>
      <c r="C9558" t="s">
        <v>95</v>
      </c>
      <c r="D9558">
        <v>13</v>
      </c>
      <c r="E9558" t="s">
        <v>39</v>
      </c>
      <c r="F9558" t="s">
        <v>34</v>
      </c>
      <c r="G9558" t="s">
        <v>149</v>
      </c>
      <c r="H9558" t="s">
        <v>163</v>
      </c>
      <c r="I9558">
        <v>20202</v>
      </c>
      <c r="J9558">
        <v>25030</v>
      </c>
    </row>
    <row r="9559" spans="1:10" x14ac:dyDescent="0.3">
      <c r="A9559" t="s">
        <v>9686</v>
      </c>
      <c r="B9559" s="1">
        <v>46010</v>
      </c>
      <c r="C9559" t="s">
        <v>100</v>
      </c>
      <c r="D9559">
        <v>51</v>
      </c>
      <c r="E9559" t="s">
        <v>33</v>
      </c>
      <c r="F9559" t="s">
        <v>13</v>
      </c>
      <c r="G9559" t="s">
        <v>171</v>
      </c>
      <c r="H9559" t="s">
        <v>55</v>
      </c>
      <c r="I9559">
        <v>26677</v>
      </c>
      <c r="J9559">
        <v>21025</v>
      </c>
    </row>
    <row r="9560" spans="1:10" x14ac:dyDescent="0.3">
      <c r="A9560" t="s">
        <v>9687</v>
      </c>
      <c r="B9560" s="1">
        <v>45951</v>
      </c>
      <c r="C9560" t="s">
        <v>66</v>
      </c>
      <c r="D9560">
        <v>43</v>
      </c>
      <c r="E9560" t="s">
        <v>12</v>
      </c>
      <c r="F9560" t="s">
        <v>25</v>
      </c>
      <c r="G9560" t="s">
        <v>191</v>
      </c>
      <c r="H9560" t="s">
        <v>98</v>
      </c>
      <c r="I9560">
        <v>29929</v>
      </c>
      <c r="J9560">
        <v>33850</v>
      </c>
    </row>
    <row r="9561" spans="1:10" x14ac:dyDescent="0.3">
      <c r="A9561" t="s">
        <v>9688</v>
      </c>
      <c r="B9561" s="1">
        <v>45983</v>
      </c>
      <c r="C9561" t="s">
        <v>23</v>
      </c>
      <c r="D9561">
        <v>47</v>
      </c>
      <c r="E9561" t="s">
        <v>12</v>
      </c>
      <c r="F9561" t="s">
        <v>109</v>
      </c>
      <c r="G9561" t="s">
        <v>253</v>
      </c>
      <c r="H9561" t="s">
        <v>41</v>
      </c>
      <c r="I9561">
        <v>37868</v>
      </c>
      <c r="J9561">
        <v>36070</v>
      </c>
    </row>
    <row r="9562" spans="1:10" x14ac:dyDescent="0.3">
      <c r="A9562" t="s">
        <v>9689</v>
      </c>
      <c r="B9562" s="1">
        <v>46003</v>
      </c>
      <c r="C9562" t="s">
        <v>100</v>
      </c>
      <c r="D9562">
        <v>50</v>
      </c>
      <c r="E9562" t="s">
        <v>70</v>
      </c>
      <c r="F9562" t="s">
        <v>109</v>
      </c>
      <c r="G9562" t="s">
        <v>135</v>
      </c>
      <c r="H9562" t="s">
        <v>21</v>
      </c>
      <c r="I9562">
        <v>35068</v>
      </c>
      <c r="J9562">
        <v>38533</v>
      </c>
    </row>
    <row r="9563" spans="1:10" x14ac:dyDescent="0.3">
      <c r="A9563" t="s">
        <v>9690</v>
      </c>
      <c r="B9563" s="1">
        <v>45946</v>
      </c>
      <c r="C9563" t="s">
        <v>66</v>
      </c>
      <c r="D9563">
        <v>42</v>
      </c>
      <c r="E9563" t="s">
        <v>12</v>
      </c>
      <c r="F9563" t="s">
        <v>140</v>
      </c>
      <c r="G9563" t="s">
        <v>128</v>
      </c>
      <c r="H9563" t="s">
        <v>165</v>
      </c>
      <c r="I9563">
        <v>16544</v>
      </c>
      <c r="J9563">
        <v>13296</v>
      </c>
    </row>
    <row r="9564" spans="1:10" x14ac:dyDescent="0.3">
      <c r="A9564" t="s">
        <v>9691</v>
      </c>
      <c r="B9564" s="1">
        <v>45675</v>
      </c>
      <c r="C9564" t="s">
        <v>17</v>
      </c>
      <c r="D9564">
        <v>3</v>
      </c>
      <c r="E9564" t="s">
        <v>18</v>
      </c>
      <c r="F9564" t="s">
        <v>75</v>
      </c>
      <c r="G9564" t="s">
        <v>35</v>
      </c>
      <c r="H9564" t="s">
        <v>41</v>
      </c>
      <c r="I9564">
        <v>31236</v>
      </c>
      <c r="J9564">
        <v>22649</v>
      </c>
    </row>
    <row r="9565" spans="1:10" x14ac:dyDescent="0.3">
      <c r="A9565" t="s">
        <v>9692</v>
      </c>
      <c r="B9565" s="1">
        <v>45715</v>
      </c>
      <c r="C9565" t="s">
        <v>82</v>
      </c>
      <c r="D9565">
        <v>9</v>
      </c>
      <c r="E9565" t="s">
        <v>70</v>
      </c>
      <c r="F9565" t="s">
        <v>29</v>
      </c>
      <c r="G9565" t="s">
        <v>58</v>
      </c>
      <c r="H9565" t="s">
        <v>133</v>
      </c>
      <c r="I9565">
        <v>31327</v>
      </c>
      <c r="J9565">
        <v>31736</v>
      </c>
    </row>
    <row r="9566" spans="1:10" x14ac:dyDescent="0.3">
      <c r="A9566" t="s">
        <v>9693</v>
      </c>
      <c r="B9566" s="1">
        <v>45937</v>
      </c>
      <c r="C9566" t="s">
        <v>66</v>
      </c>
      <c r="D9566">
        <v>41</v>
      </c>
      <c r="E9566" t="s">
        <v>61</v>
      </c>
      <c r="F9566" t="s">
        <v>122</v>
      </c>
      <c r="G9566" t="s">
        <v>63</v>
      </c>
      <c r="H9566" t="s">
        <v>84</v>
      </c>
      <c r="I9566">
        <v>29168</v>
      </c>
      <c r="J9566">
        <v>23469</v>
      </c>
    </row>
    <row r="9567" spans="1:10" x14ac:dyDescent="0.3">
      <c r="A9567" t="s">
        <v>9694</v>
      </c>
      <c r="B9567" s="1">
        <v>45778</v>
      </c>
      <c r="C9567" t="s">
        <v>90</v>
      </c>
      <c r="D9567">
        <v>18</v>
      </c>
      <c r="E9567" t="s">
        <v>61</v>
      </c>
      <c r="F9567" t="s">
        <v>13</v>
      </c>
      <c r="G9567" t="s">
        <v>132</v>
      </c>
      <c r="H9567" t="s">
        <v>119</v>
      </c>
      <c r="I9567">
        <v>34375</v>
      </c>
      <c r="J9567">
        <v>43743</v>
      </c>
    </row>
    <row r="9568" spans="1:10" x14ac:dyDescent="0.3">
      <c r="A9568" t="s">
        <v>9695</v>
      </c>
      <c r="B9568" s="1">
        <v>45795</v>
      </c>
      <c r="C9568" t="s">
        <v>90</v>
      </c>
      <c r="D9568">
        <v>20</v>
      </c>
      <c r="E9568" t="s">
        <v>24</v>
      </c>
      <c r="F9568" t="s">
        <v>101</v>
      </c>
      <c r="G9568" t="s">
        <v>126</v>
      </c>
      <c r="H9568" t="s">
        <v>123</v>
      </c>
      <c r="I9568">
        <v>38558</v>
      </c>
      <c r="J9568">
        <v>37419</v>
      </c>
    </row>
    <row r="9569" spans="1:10" x14ac:dyDescent="0.3">
      <c r="A9569" t="s">
        <v>9696</v>
      </c>
      <c r="B9569" s="1">
        <v>45968</v>
      </c>
      <c r="C9569" t="s">
        <v>23</v>
      </c>
      <c r="D9569">
        <v>45</v>
      </c>
      <c r="E9569" t="s">
        <v>33</v>
      </c>
      <c r="F9569" t="s">
        <v>92</v>
      </c>
      <c r="G9569" t="s">
        <v>182</v>
      </c>
      <c r="H9569" t="s">
        <v>111</v>
      </c>
      <c r="I9569">
        <v>30785</v>
      </c>
      <c r="J9569">
        <v>37169</v>
      </c>
    </row>
    <row r="9570" spans="1:10" x14ac:dyDescent="0.3">
      <c r="A9570" t="s">
        <v>9697</v>
      </c>
      <c r="B9570" s="1">
        <v>45769</v>
      </c>
      <c r="C9570" t="s">
        <v>86</v>
      </c>
      <c r="D9570">
        <v>17</v>
      </c>
      <c r="E9570" t="s">
        <v>39</v>
      </c>
      <c r="F9570" t="s">
        <v>25</v>
      </c>
      <c r="G9570" t="s">
        <v>63</v>
      </c>
      <c r="H9570" t="s">
        <v>123</v>
      </c>
      <c r="I9570">
        <v>21344</v>
      </c>
      <c r="J9570">
        <v>19020</v>
      </c>
    </row>
    <row r="9571" spans="1:10" x14ac:dyDescent="0.3">
      <c r="A9571" t="s">
        <v>9698</v>
      </c>
      <c r="B9571" s="1">
        <v>45882</v>
      </c>
      <c r="C9571" t="s">
        <v>113</v>
      </c>
      <c r="D9571">
        <v>33</v>
      </c>
      <c r="E9571" t="s">
        <v>70</v>
      </c>
      <c r="F9571" t="s">
        <v>50</v>
      </c>
      <c r="G9571" t="s">
        <v>63</v>
      </c>
      <c r="H9571" t="s">
        <v>98</v>
      </c>
      <c r="I9571">
        <v>30611</v>
      </c>
      <c r="J9571">
        <v>34694</v>
      </c>
    </row>
    <row r="9572" spans="1:10" x14ac:dyDescent="0.3">
      <c r="A9572" t="s">
        <v>9699</v>
      </c>
      <c r="B9572" s="1">
        <v>45902</v>
      </c>
      <c r="C9572" t="s">
        <v>38</v>
      </c>
      <c r="D9572">
        <v>36</v>
      </c>
      <c r="E9572" t="s">
        <v>33</v>
      </c>
      <c r="F9572" t="s">
        <v>25</v>
      </c>
      <c r="G9572" t="s">
        <v>135</v>
      </c>
      <c r="H9572" t="s">
        <v>27</v>
      </c>
      <c r="I9572">
        <v>24633</v>
      </c>
      <c r="J9572">
        <v>28297</v>
      </c>
    </row>
    <row r="9573" spans="1:10" x14ac:dyDescent="0.3">
      <c r="A9573" t="s">
        <v>9700</v>
      </c>
      <c r="B9573" s="1">
        <v>45699</v>
      </c>
      <c r="C9573" t="s">
        <v>82</v>
      </c>
      <c r="D9573">
        <v>7</v>
      </c>
      <c r="E9573" t="s">
        <v>33</v>
      </c>
      <c r="F9573" t="s">
        <v>34</v>
      </c>
      <c r="G9573" t="s">
        <v>126</v>
      </c>
      <c r="H9573" t="s">
        <v>84</v>
      </c>
      <c r="I9573">
        <v>27354</v>
      </c>
      <c r="J9573">
        <v>24541</v>
      </c>
    </row>
    <row r="9574" spans="1:10" x14ac:dyDescent="0.3">
      <c r="A9574" t="s">
        <v>9701</v>
      </c>
      <c r="B9574" s="1">
        <v>46021</v>
      </c>
      <c r="C9574" t="s">
        <v>100</v>
      </c>
      <c r="D9574">
        <v>1</v>
      </c>
      <c r="E9574" t="s">
        <v>12</v>
      </c>
      <c r="F9574" t="s">
        <v>114</v>
      </c>
      <c r="G9574" t="s">
        <v>326</v>
      </c>
      <c r="H9574" t="s">
        <v>165</v>
      </c>
      <c r="I9574">
        <v>38627</v>
      </c>
      <c r="J9574">
        <v>34336</v>
      </c>
    </row>
    <row r="9575" spans="1:10" x14ac:dyDescent="0.3">
      <c r="A9575" t="s">
        <v>9702</v>
      </c>
      <c r="B9575" s="1">
        <v>45813</v>
      </c>
      <c r="C9575" t="s">
        <v>74</v>
      </c>
      <c r="D9575">
        <v>23</v>
      </c>
      <c r="E9575" t="s">
        <v>33</v>
      </c>
      <c r="F9575" t="s">
        <v>92</v>
      </c>
      <c r="G9575" t="s">
        <v>88</v>
      </c>
      <c r="H9575" t="s">
        <v>188</v>
      </c>
      <c r="I9575">
        <v>30013</v>
      </c>
      <c r="J9575">
        <v>34471</v>
      </c>
    </row>
    <row r="9576" spans="1:10" x14ac:dyDescent="0.3">
      <c r="A9576" t="s">
        <v>9703</v>
      </c>
      <c r="B9576" s="1">
        <v>45903</v>
      </c>
      <c r="C9576" t="s">
        <v>38</v>
      </c>
      <c r="D9576">
        <v>36</v>
      </c>
      <c r="E9576" t="s">
        <v>12</v>
      </c>
      <c r="F9576" t="s">
        <v>193</v>
      </c>
      <c r="G9576" t="s">
        <v>253</v>
      </c>
      <c r="H9576" t="s">
        <v>15</v>
      </c>
      <c r="I9576">
        <v>37376</v>
      </c>
      <c r="J9576">
        <v>40614</v>
      </c>
    </row>
    <row r="9577" spans="1:10" x14ac:dyDescent="0.3">
      <c r="A9577" t="s">
        <v>9704</v>
      </c>
      <c r="B9577" s="1">
        <v>45758</v>
      </c>
      <c r="C9577" t="s">
        <v>86</v>
      </c>
      <c r="D9577">
        <v>15</v>
      </c>
      <c r="E9577" t="s">
        <v>39</v>
      </c>
      <c r="F9577" t="s">
        <v>140</v>
      </c>
      <c r="G9577" t="s">
        <v>141</v>
      </c>
      <c r="H9577" t="s">
        <v>59</v>
      </c>
      <c r="I9577">
        <v>17619</v>
      </c>
      <c r="J9577">
        <v>15066</v>
      </c>
    </row>
    <row r="9578" spans="1:10" x14ac:dyDescent="0.3">
      <c r="A9578" t="s">
        <v>9705</v>
      </c>
      <c r="B9578" s="1">
        <v>45701</v>
      </c>
      <c r="C9578" t="s">
        <v>82</v>
      </c>
      <c r="D9578">
        <v>7</v>
      </c>
      <c r="E9578" t="s">
        <v>24</v>
      </c>
      <c r="F9578" t="s">
        <v>62</v>
      </c>
      <c r="G9578" t="s">
        <v>324</v>
      </c>
      <c r="H9578" t="s">
        <v>157</v>
      </c>
      <c r="I9578">
        <v>15620</v>
      </c>
      <c r="J9578">
        <v>14070</v>
      </c>
    </row>
    <row r="9579" spans="1:10" x14ac:dyDescent="0.3">
      <c r="A9579" t="s">
        <v>9706</v>
      </c>
      <c r="B9579" s="1">
        <v>45861</v>
      </c>
      <c r="C9579" t="s">
        <v>11</v>
      </c>
      <c r="D9579">
        <v>30</v>
      </c>
      <c r="E9579" t="s">
        <v>24</v>
      </c>
      <c r="F9579" t="s">
        <v>101</v>
      </c>
      <c r="G9579" t="s">
        <v>128</v>
      </c>
      <c r="H9579" t="s">
        <v>116</v>
      </c>
      <c r="I9579">
        <v>18721</v>
      </c>
      <c r="J9579">
        <v>17080</v>
      </c>
    </row>
    <row r="9580" spans="1:10" x14ac:dyDescent="0.3">
      <c r="A9580" t="s">
        <v>9707</v>
      </c>
      <c r="B9580" s="1">
        <v>45824</v>
      </c>
      <c r="C9580" t="s">
        <v>74</v>
      </c>
      <c r="D9580">
        <v>25</v>
      </c>
      <c r="E9580" t="s">
        <v>18</v>
      </c>
      <c r="F9580" t="s">
        <v>78</v>
      </c>
      <c r="G9580" t="s">
        <v>115</v>
      </c>
      <c r="H9580" t="s">
        <v>64</v>
      </c>
      <c r="I9580">
        <v>36605</v>
      </c>
      <c r="J9580">
        <v>32992</v>
      </c>
    </row>
    <row r="9581" spans="1:10" x14ac:dyDescent="0.3">
      <c r="A9581" t="s">
        <v>9708</v>
      </c>
      <c r="B9581" s="1">
        <v>45877</v>
      </c>
      <c r="C9581" t="s">
        <v>113</v>
      </c>
      <c r="D9581">
        <v>32</v>
      </c>
      <c r="E9581" t="s">
        <v>18</v>
      </c>
      <c r="F9581" t="s">
        <v>13</v>
      </c>
      <c r="G9581" t="s">
        <v>291</v>
      </c>
      <c r="H9581" t="s">
        <v>116</v>
      </c>
      <c r="I9581">
        <v>27228</v>
      </c>
      <c r="J9581">
        <v>26264</v>
      </c>
    </row>
    <row r="9582" spans="1:10" x14ac:dyDescent="0.3">
      <c r="A9582" t="s">
        <v>9709</v>
      </c>
      <c r="B9582" s="1">
        <v>45881</v>
      </c>
      <c r="C9582" t="s">
        <v>113</v>
      </c>
      <c r="D9582">
        <v>33</v>
      </c>
      <c r="E9582" t="s">
        <v>18</v>
      </c>
      <c r="F9582" t="s">
        <v>193</v>
      </c>
      <c r="G9582" t="s">
        <v>141</v>
      </c>
      <c r="H9582" t="s">
        <v>64</v>
      </c>
      <c r="I9582">
        <v>38844</v>
      </c>
      <c r="J9582">
        <v>32686</v>
      </c>
    </row>
    <row r="9583" spans="1:10" x14ac:dyDescent="0.3">
      <c r="A9583" t="s">
        <v>9710</v>
      </c>
      <c r="B9583" s="1">
        <v>45707</v>
      </c>
      <c r="C9583" t="s">
        <v>82</v>
      </c>
      <c r="D9583">
        <v>8</v>
      </c>
      <c r="E9583" t="s">
        <v>39</v>
      </c>
      <c r="F9583" t="s">
        <v>109</v>
      </c>
      <c r="G9583" t="s">
        <v>234</v>
      </c>
      <c r="H9583" t="s">
        <v>98</v>
      </c>
      <c r="I9583">
        <v>32452</v>
      </c>
      <c r="J9583">
        <v>25384</v>
      </c>
    </row>
    <row r="9584" spans="1:10" x14ac:dyDescent="0.3">
      <c r="A9584" t="s">
        <v>9711</v>
      </c>
      <c r="B9584" s="1">
        <v>45812</v>
      </c>
      <c r="C9584" t="s">
        <v>74</v>
      </c>
      <c r="D9584">
        <v>23</v>
      </c>
      <c r="E9584" t="s">
        <v>12</v>
      </c>
      <c r="F9584" t="s">
        <v>114</v>
      </c>
      <c r="G9584" t="s">
        <v>130</v>
      </c>
      <c r="H9584" t="s">
        <v>27</v>
      </c>
      <c r="I9584">
        <v>15852</v>
      </c>
      <c r="J9584">
        <v>13144</v>
      </c>
    </row>
    <row r="9585" spans="1:10" x14ac:dyDescent="0.3">
      <c r="A9585" t="s">
        <v>9712</v>
      </c>
      <c r="B9585" s="1">
        <v>45911</v>
      </c>
      <c r="C9585" t="s">
        <v>38</v>
      </c>
      <c r="D9585">
        <v>37</v>
      </c>
      <c r="E9585" t="s">
        <v>24</v>
      </c>
      <c r="F9585" t="s">
        <v>57</v>
      </c>
      <c r="G9585" t="s">
        <v>35</v>
      </c>
      <c r="H9585" t="s">
        <v>151</v>
      </c>
      <c r="I9585">
        <v>18376</v>
      </c>
      <c r="J9585">
        <v>13060</v>
      </c>
    </row>
    <row r="9586" spans="1:10" x14ac:dyDescent="0.3">
      <c r="A9586" t="s">
        <v>9713</v>
      </c>
      <c r="B9586" s="1">
        <v>45895</v>
      </c>
      <c r="C9586" t="s">
        <v>113</v>
      </c>
      <c r="D9586">
        <v>35</v>
      </c>
      <c r="E9586" t="s">
        <v>39</v>
      </c>
      <c r="F9586" t="s">
        <v>19</v>
      </c>
      <c r="G9586" t="s">
        <v>58</v>
      </c>
      <c r="H9586" t="s">
        <v>151</v>
      </c>
      <c r="I9586">
        <v>29131</v>
      </c>
      <c r="J9586">
        <v>35806</v>
      </c>
    </row>
    <row r="9587" spans="1:10" x14ac:dyDescent="0.3">
      <c r="A9587" t="s">
        <v>9714</v>
      </c>
      <c r="B9587" s="1">
        <v>45815</v>
      </c>
      <c r="C9587" t="s">
        <v>74</v>
      </c>
      <c r="D9587">
        <v>23</v>
      </c>
      <c r="E9587" t="s">
        <v>61</v>
      </c>
      <c r="F9587" t="s">
        <v>13</v>
      </c>
      <c r="G9587" t="s">
        <v>266</v>
      </c>
      <c r="H9587" t="s">
        <v>163</v>
      </c>
      <c r="I9587">
        <v>19799</v>
      </c>
      <c r="J9587">
        <v>23128</v>
      </c>
    </row>
    <row r="9588" spans="1:10" x14ac:dyDescent="0.3">
      <c r="A9588" t="s">
        <v>9715</v>
      </c>
      <c r="B9588" s="1">
        <v>45671</v>
      </c>
      <c r="C9588" t="s">
        <v>17</v>
      </c>
      <c r="D9588">
        <v>3</v>
      </c>
      <c r="E9588" t="s">
        <v>18</v>
      </c>
      <c r="F9588" t="s">
        <v>75</v>
      </c>
      <c r="G9588" t="s">
        <v>135</v>
      </c>
      <c r="H9588" t="s">
        <v>96</v>
      </c>
      <c r="I9588">
        <v>26911</v>
      </c>
      <c r="J9588">
        <v>23910</v>
      </c>
    </row>
    <row r="9589" spans="1:10" x14ac:dyDescent="0.3">
      <c r="A9589" t="s">
        <v>9716</v>
      </c>
      <c r="B9589" s="1">
        <v>45667</v>
      </c>
      <c r="C9589" t="s">
        <v>17</v>
      </c>
      <c r="D9589">
        <v>2</v>
      </c>
      <c r="E9589" t="s">
        <v>61</v>
      </c>
      <c r="F9589" t="s">
        <v>46</v>
      </c>
      <c r="G9589" t="s">
        <v>51</v>
      </c>
      <c r="H9589" t="s">
        <v>165</v>
      </c>
      <c r="I9589">
        <v>25494</v>
      </c>
      <c r="J9589">
        <v>30036</v>
      </c>
    </row>
    <row r="9590" spans="1:10" x14ac:dyDescent="0.3">
      <c r="A9590" t="s">
        <v>9717</v>
      </c>
      <c r="B9590" s="1">
        <v>45817</v>
      </c>
      <c r="C9590" t="s">
        <v>74</v>
      </c>
      <c r="D9590">
        <v>24</v>
      </c>
      <c r="E9590" t="s">
        <v>70</v>
      </c>
      <c r="F9590" t="s">
        <v>25</v>
      </c>
      <c r="G9590" t="s">
        <v>147</v>
      </c>
      <c r="H9590" t="s">
        <v>133</v>
      </c>
      <c r="I9590">
        <v>32576</v>
      </c>
      <c r="J9590">
        <v>27198</v>
      </c>
    </row>
    <row r="9591" spans="1:10" x14ac:dyDescent="0.3">
      <c r="A9591" t="s">
        <v>9718</v>
      </c>
      <c r="B9591" s="1">
        <v>45806</v>
      </c>
      <c r="C9591" t="s">
        <v>90</v>
      </c>
      <c r="D9591">
        <v>22</v>
      </c>
      <c r="E9591" t="s">
        <v>61</v>
      </c>
      <c r="F9591" t="s">
        <v>34</v>
      </c>
      <c r="G9591" t="s">
        <v>291</v>
      </c>
      <c r="H9591" t="s">
        <v>163</v>
      </c>
      <c r="I9591">
        <v>33017</v>
      </c>
      <c r="J9591">
        <v>30775</v>
      </c>
    </row>
    <row r="9592" spans="1:10" x14ac:dyDescent="0.3">
      <c r="A9592" t="s">
        <v>9719</v>
      </c>
      <c r="B9592" s="1">
        <v>45680</v>
      </c>
      <c r="C9592" t="s">
        <v>17</v>
      </c>
      <c r="D9592">
        <v>4</v>
      </c>
      <c r="E9592" t="s">
        <v>39</v>
      </c>
      <c r="F9592" t="s">
        <v>43</v>
      </c>
      <c r="G9592" t="s">
        <v>266</v>
      </c>
      <c r="H9592" t="s">
        <v>31</v>
      </c>
      <c r="I9592">
        <v>36905</v>
      </c>
      <c r="J9592">
        <v>31354</v>
      </c>
    </row>
    <row r="9593" spans="1:10" x14ac:dyDescent="0.3">
      <c r="A9593" t="s">
        <v>9720</v>
      </c>
      <c r="B9593" s="1">
        <v>45887</v>
      </c>
      <c r="C9593" t="s">
        <v>113</v>
      </c>
      <c r="D9593">
        <v>34</v>
      </c>
      <c r="E9593" t="s">
        <v>39</v>
      </c>
      <c r="F9593" t="s">
        <v>78</v>
      </c>
      <c r="G9593" t="s">
        <v>132</v>
      </c>
      <c r="H9593" t="s">
        <v>21</v>
      </c>
      <c r="I9593">
        <v>23573</v>
      </c>
      <c r="J9593">
        <v>29968</v>
      </c>
    </row>
    <row r="9594" spans="1:10" x14ac:dyDescent="0.3">
      <c r="A9594" t="s">
        <v>9721</v>
      </c>
      <c r="B9594" s="1">
        <v>45892</v>
      </c>
      <c r="C9594" t="s">
        <v>113</v>
      </c>
      <c r="D9594">
        <v>34</v>
      </c>
      <c r="E9594" t="s">
        <v>61</v>
      </c>
      <c r="F9594" t="s">
        <v>62</v>
      </c>
      <c r="G9594" t="s">
        <v>93</v>
      </c>
      <c r="H9594" t="s">
        <v>52</v>
      </c>
      <c r="I9594">
        <v>16446</v>
      </c>
      <c r="J9594">
        <v>20644</v>
      </c>
    </row>
    <row r="9595" spans="1:10" x14ac:dyDescent="0.3">
      <c r="A9595" t="s">
        <v>9722</v>
      </c>
      <c r="B9595" s="1">
        <v>45972</v>
      </c>
      <c r="C9595" t="s">
        <v>23</v>
      </c>
      <c r="D9595">
        <v>46</v>
      </c>
      <c r="E9595" t="s">
        <v>33</v>
      </c>
      <c r="F9595" t="s">
        <v>13</v>
      </c>
      <c r="G9595" t="s">
        <v>182</v>
      </c>
      <c r="H9595" t="s">
        <v>116</v>
      </c>
      <c r="I9595">
        <v>30833</v>
      </c>
      <c r="J9595">
        <v>28074</v>
      </c>
    </row>
    <row r="9596" spans="1:10" x14ac:dyDescent="0.3">
      <c r="A9596" t="s">
        <v>9723</v>
      </c>
      <c r="B9596" s="1">
        <v>45806</v>
      </c>
      <c r="C9596" t="s">
        <v>90</v>
      </c>
      <c r="D9596">
        <v>22</v>
      </c>
      <c r="E9596" t="s">
        <v>61</v>
      </c>
      <c r="F9596" t="s">
        <v>57</v>
      </c>
      <c r="G9596" t="s">
        <v>141</v>
      </c>
      <c r="H9596" t="s">
        <v>103</v>
      </c>
      <c r="I9596">
        <v>25549</v>
      </c>
      <c r="J9596">
        <v>26521</v>
      </c>
    </row>
    <row r="9597" spans="1:10" x14ac:dyDescent="0.3">
      <c r="A9597" t="s">
        <v>9724</v>
      </c>
      <c r="B9597" s="1">
        <v>45729</v>
      </c>
      <c r="C9597" t="s">
        <v>95</v>
      </c>
      <c r="D9597">
        <v>11</v>
      </c>
      <c r="E9597" t="s">
        <v>39</v>
      </c>
      <c r="F9597" t="s">
        <v>78</v>
      </c>
      <c r="G9597" t="s">
        <v>240</v>
      </c>
      <c r="H9597" t="s">
        <v>52</v>
      </c>
      <c r="I9597">
        <v>34860</v>
      </c>
      <c r="J9597">
        <v>40987</v>
      </c>
    </row>
    <row r="9598" spans="1:10" x14ac:dyDescent="0.3">
      <c r="A9598" t="s">
        <v>9725</v>
      </c>
      <c r="B9598" s="1">
        <v>45895</v>
      </c>
      <c r="C9598" t="s">
        <v>113</v>
      </c>
      <c r="D9598">
        <v>35</v>
      </c>
      <c r="E9598" t="s">
        <v>33</v>
      </c>
      <c r="F9598" t="s">
        <v>19</v>
      </c>
      <c r="G9598" t="s">
        <v>324</v>
      </c>
      <c r="H9598" t="s">
        <v>84</v>
      </c>
      <c r="I9598">
        <v>17059</v>
      </c>
      <c r="J9598">
        <v>12230</v>
      </c>
    </row>
    <row r="9599" spans="1:10" x14ac:dyDescent="0.3">
      <c r="A9599" t="s">
        <v>9726</v>
      </c>
      <c r="B9599" s="1">
        <v>45778</v>
      </c>
      <c r="C9599" t="s">
        <v>90</v>
      </c>
      <c r="D9599">
        <v>18</v>
      </c>
      <c r="E9599" t="s">
        <v>70</v>
      </c>
      <c r="F9599" t="s">
        <v>109</v>
      </c>
      <c r="G9599" t="s">
        <v>51</v>
      </c>
      <c r="H9599" t="s">
        <v>243</v>
      </c>
      <c r="I9599">
        <v>38134</v>
      </c>
      <c r="J9599">
        <v>47415</v>
      </c>
    </row>
    <row r="9600" spans="1:10" x14ac:dyDescent="0.3">
      <c r="A9600" t="s">
        <v>9727</v>
      </c>
      <c r="B9600" s="1">
        <v>45758</v>
      </c>
      <c r="C9600" t="s">
        <v>86</v>
      </c>
      <c r="D9600">
        <v>15</v>
      </c>
      <c r="E9600" t="s">
        <v>70</v>
      </c>
      <c r="F9600" t="s">
        <v>57</v>
      </c>
      <c r="G9600" t="s">
        <v>253</v>
      </c>
      <c r="H9600" t="s">
        <v>15</v>
      </c>
      <c r="I9600">
        <v>18460</v>
      </c>
      <c r="J9600">
        <v>14622</v>
      </c>
    </row>
    <row r="9601" spans="1:10" x14ac:dyDescent="0.3">
      <c r="A9601" t="s">
        <v>9728</v>
      </c>
      <c r="B9601" s="1">
        <v>45862</v>
      </c>
      <c r="C9601" t="s">
        <v>11</v>
      </c>
      <c r="D9601">
        <v>30</v>
      </c>
      <c r="E9601" t="s">
        <v>18</v>
      </c>
      <c r="F9601" t="s">
        <v>75</v>
      </c>
      <c r="G9601" t="s">
        <v>44</v>
      </c>
      <c r="H9601" t="s">
        <v>64</v>
      </c>
      <c r="I9601">
        <v>24223</v>
      </c>
      <c r="J9601">
        <v>24601</v>
      </c>
    </row>
    <row r="9602" spans="1:10" x14ac:dyDescent="0.3">
      <c r="A9602" t="s">
        <v>9729</v>
      </c>
      <c r="B9602" s="1">
        <v>46014</v>
      </c>
      <c r="C9602" t="s">
        <v>100</v>
      </c>
      <c r="D9602">
        <v>52</v>
      </c>
      <c r="E9602" t="s">
        <v>39</v>
      </c>
      <c r="F9602" t="s">
        <v>29</v>
      </c>
      <c r="G9602" t="s">
        <v>135</v>
      </c>
      <c r="H9602" t="s">
        <v>151</v>
      </c>
      <c r="I9602">
        <v>26923</v>
      </c>
      <c r="J9602">
        <v>22701</v>
      </c>
    </row>
    <row r="9603" spans="1:10" x14ac:dyDescent="0.3">
      <c r="A9603" t="s">
        <v>9730</v>
      </c>
      <c r="B9603" s="1">
        <v>45812</v>
      </c>
      <c r="C9603" t="s">
        <v>74</v>
      </c>
      <c r="D9603">
        <v>23</v>
      </c>
      <c r="E9603" t="s">
        <v>18</v>
      </c>
      <c r="F9603" t="s">
        <v>57</v>
      </c>
      <c r="G9603" t="s">
        <v>72</v>
      </c>
      <c r="H9603" t="s">
        <v>64</v>
      </c>
      <c r="I9603">
        <v>37494</v>
      </c>
      <c r="J9603">
        <v>27500</v>
      </c>
    </row>
    <row r="9604" spans="1:10" x14ac:dyDescent="0.3">
      <c r="A9604" t="s">
        <v>9731</v>
      </c>
      <c r="B9604" s="1">
        <v>45681</v>
      </c>
      <c r="C9604" t="s">
        <v>17</v>
      </c>
      <c r="D9604">
        <v>4</v>
      </c>
      <c r="E9604" t="s">
        <v>33</v>
      </c>
      <c r="F9604" t="s">
        <v>43</v>
      </c>
      <c r="G9604" t="s">
        <v>224</v>
      </c>
      <c r="H9604" t="s">
        <v>111</v>
      </c>
      <c r="I9604">
        <v>20420</v>
      </c>
      <c r="J9604">
        <v>20251</v>
      </c>
    </row>
    <row r="9605" spans="1:10" x14ac:dyDescent="0.3">
      <c r="A9605" t="s">
        <v>9732</v>
      </c>
      <c r="B9605" s="1">
        <v>45911</v>
      </c>
      <c r="C9605" t="s">
        <v>38</v>
      </c>
      <c r="D9605">
        <v>37</v>
      </c>
      <c r="E9605" t="s">
        <v>24</v>
      </c>
      <c r="F9605" t="s">
        <v>114</v>
      </c>
      <c r="G9605" t="s">
        <v>115</v>
      </c>
      <c r="H9605" t="s">
        <v>119</v>
      </c>
      <c r="I9605">
        <v>21553</v>
      </c>
      <c r="J9605">
        <v>18900</v>
      </c>
    </row>
    <row r="9606" spans="1:10" x14ac:dyDescent="0.3">
      <c r="A9606" t="s">
        <v>9733</v>
      </c>
      <c r="B9606" s="1">
        <v>45744</v>
      </c>
      <c r="C9606" t="s">
        <v>95</v>
      </c>
      <c r="D9606">
        <v>13</v>
      </c>
      <c r="E9606" t="s">
        <v>33</v>
      </c>
      <c r="F9606" t="s">
        <v>13</v>
      </c>
      <c r="G9606" t="s">
        <v>93</v>
      </c>
      <c r="H9606" t="s">
        <v>55</v>
      </c>
      <c r="I9606">
        <v>30784</v>
      </c>
      <c r="J9606">
        <v>37171</v>
      </c>
    </row>
    <row r="9607" spans="1:10" x14ac:dyDescent="0.3">
      <c r="A9607" t="s">
        <v>9734</v>
      </c>
      <c r="B9607" s="1">
        <v>45767</v>
      </c>
      <c r="C9607" t="s">
        <v>86</v>
      </c>
      <c r="D9607">
        <v>16</v>
      </c>
      <c r="E9607" t="s">
        <v>70</v>
      </c>
      <c r="F9607" t="s">
        <v>78</v>
      </c>
      <c r="G9607" t="s">
        <v>54</v>
      </c>
      <c r="H9607" t="s">
        <v>98</v>
      </c>
      <c r="I9607">
        <v>31619</v>
      </c>
      <c r="J9607">
        <v>39801</v>
      </c>
    </row>
    <row r="9608" spans="1:10" x14ac:dyDescent="0.3">
      <c r="A9608" t="s">
        <v>9735</v>
      </c>
      <c r="B9608" s="1">
        <v>45995</v>
      </c>
      <c r="C9608" t="s">
        <v>100</v>
      </c>
      <c r="D9608">
        <v>49</v>
      </c>
      <c r="E9608" t="s">
        <v>12</v>
      </c>
      <c r="F9608" t="s">
        <v>78</v>
      </c>
      <c r="G9608" t="s">
        <v>40</v>
      </c>
      <c r="H9608" t="s">
        <v>243</v>
      </c>
      <c r="I9608">
        <v>20526</v>
      </c>
      <c r="J9608">
        <v>24387</v>
      </c>
    </row>
    <row r="9609" spans="1:10" x14ac:dyDescent="0.3">
      <c r="A9609" t="s">
        <v>9736</v>
      </c>
      <c r="B9609" s="1">
        <v>45879</v>
      </c>
      <c r="C9609" t="s">
        <v>113</v>
      </c>
      <c r="D9609">
        <v>32</v>
      </c>
      <c r="E9609" t="s">
        <v>12</v>
      </c>
      <c r="F9609" t="s">
        <v>101</v>
      </c>
      <c r="G9609" t="s">
        <v>206</v>
      </c>
      <c r="H9609" t="s">
        <v>48</v>
      </c>
      <c r="I9609">
        <v>25732</v>
      </c>
      <c r="J9609">
        <v>28741</v>
      </c>
    </row>
    <row r="9610" spans="1:10" x14ac:dyDescent="0.3">
      <c r="A9610" t="s">
        <v>9737</v>
      </c>
      <c r="B9610" s="1">
        <v>45972</v>
      </c>
      <c r="C9610" t="s">
        <v>23</v>
      </c>
      <c r="D9610">
        <v>46</v>
      </c>
      <c r="E9610" t="s">
        <v>61</v>
      </c>
      <c r="F9610" t="s">
        <v>140</v>
      </c>
      <c r="G9610" t="s">
        <v>324</v>
      </c>
      <c r="H9610" t="s">
        <v>188</v>
      </c>
      <c r="I9610">
        <v>38384</v>
      </c>
      <c r="J9610">
        <v>35757</v>
      </c>
    </row>
    <row r="9611" spans="1:10" x14ac:dyDescent="0.3">
      <c r="A9611" t="s">
        <v>9738</v>
      </c>
      <c r="B9611" s="1">
        <v>45945</v>
      </c>
      <c r="C9611" t="s">
        <v>66</v>
      </c>
      <c r="D9611">
        <v>42</v>
      </c>
      <c r="E9611" t="s">
        <v>39</v>
      </c>
      <c r="F9611" t="s">
        <v>19</v>
      </c>
      <c r="G9611" t="s">
        <v>14</v>
      </c>
      <c r="H9611" t="s">
        <v>36</v>
      </c>
      <c r="I9611">
        <v>37998</v>
      </c>
      <c r="J9611">
        <v>37839</v>
      </c>
    </row>
    <row r="9612" spans="1:10" x14ac:dyDescent="0.3">
      <c r="A9612" t="s">
        <v>9739</v>
      </c>
      <c r="B9612" s="1">
        <v>45797</v>
      </c>
      <c r="C9612" t="s">
        <v>90</v>
      </c>
      <c r="D9612">
        <v>21</v>
      </c>
      <c r="E9612" t="s">
        <v>61</v>
      </c>
      <c r="F9612" t="s">
        <v>50</v>
      </c>
      <c r="G9612" t="s">
        <v>126</v>
      </c>
      <c r="H9612" t="s">
        <v>31</v>
      </c>
      <c r="I9612">
        <v>38633</v>
      </c>
      <c r="J9612">
        <v>35747</v>
      </c>
    </row>
    <row r="9613" spans="1:10" x14ac:dyDescent="0.3">
      <c r="A9613" t="s">
        <v>9740</v>
      </c>
      <c r="B9613" s="1">
        <v>45690</v>
      </c>
      <c r="C9613" t="s">
        <v>82</v>
      </c>
      <c r="D9613">
        <v>5</v>
      </c>
      <c r="E9613" t="s">
        <v>24</v>
      </c>
      <c r="F9613" t="s">
        <v>101</v>
      </c>
      <c r="G9613" t="s">
        <v>199</v>
      </c>
      <c r="H9613" t="s">
        <v>48</v>
      </c>
      <c r="I9613">
        <v>28351</v>
      </c>
      <c r="J9613">
        <v>29620</v>
      </c>
    </row>
    <row r="9614" spans="1:10" x14ac:dyDescent="0.3">
      <c r="A9614" t="s">
        <v>9741</v>
      </c>
      <c r="B9614" s="1">
        <v>45784</v>
      </c>
      <c r="C9614" t="s">
        <v>90</v>
      </c>
      <c r="D9614">
        <v>19</v>
      </c>
      <c r="E9614" t="s">
        <v>12</v>
      </c>
      <c r="F9614" t="s">
        <v>75</v>
      </c>
      <c r="G9614" t="s">
        <v>230</v>
      </c>
      <c r="H9614" t="s">
        <v>41</v>
      </c>
      <c r="I9614">
        <v>19444</v>
      </c>
      <c r="J9614">
        <v>17862</v>
      </c>
    </row>
    <row r="9615" spans="1:10" x14ac:dyDescent="0.3">
      <c r="A9615" t="s">
        <v>9742</v>
      </c>
      <c r="B9615" s="1">
        <v>45927</v>
      </c>
      <c r="C9615" t="s">
        <v>38</v>
      </c>
      <c r="D9615">
        <v>39</v>
      </c>
      <c r="E9615" t="s">
        <v>61</v>
      </c>
      <c r="F9615" t="s">
        <v>75</v>
      </c>
      <c r="G9615" t="s">
        <v>147</v>
      </c>
      <c r="H9615" t="s">
        <v>48</v>
      </c>
      <c r="I9615">
        <v>34225</v>
      </c>
      <c r="J9615">
        <v>42724</v>
      </c>
    </row>
    <row r="9616" spans="1:10" x14ac:dyDescent="0.3">
      <c r="A9616" t="s">
        <v>9743</v>
      </c>
      <c r="B9616" s="1">
        <v>45876</v>
      </c>
      <c r="C9616" t="s">
        <v>113</v>
      </c>
      <c r="D9616">
        <v>32</v>
      </c>
      <c r="E9616" t="s">
        <v>33</v>
      </c>
      <c r="F9616" t="s">
        <v>122</v>
      </c>
      <c r="G9616" t="s">
        <v>253</v>
      </c>
      <c r="H9616" t="s">
        <v>96</v>
      </c>
      <c r="I9616">
        <v>39425</v>
      </c>
      <c r="J9616">
        <v>38802</v>
      </c>
    </row>
    <row r="9617" spans="1:10" x14ac:dyDescent="0.3">
      <c r="A9617" t="s">
        <v>9744</v>
      </c>
      <c r="B9617" s="1">
        <v>45777</v>
      </c>
      <c r="C9617" t="s">
        <v>86</v>
      </c>
      <c r="D9617">
        <v>18</v>
      </c>
      <c r="E9617" t="s">
        <v>12</v>
      </c>
      <c r="F9617" t="s">
        <v>109</v>
      </c>
      <c r="G9617" t="s">
        <v>137</v>
      </c>
      <c r="H9617" t="s">
        <v>165</v>
      </c>
      <c r="I9617">
        <v>25446</v>
      </c>
      <c r="J9617">
        <v>20583</v>
      </c>
    </row>
    <row r="9618" spans="1:10" x14ac:dyDescent="0.3">
      <c r="A9618" t="s">
        <v>9745</v>
      </c>
      <c r="B9618" s="1">
        <v>45920</v>
      </c>
      <c r="C9618" t="s">
        <v>38</v>
      </c>
      <c r="D9618">
        <v>38</v>
      </c>
      <c r="E9618" t="s">
        <v>24</v>
      </c>
      <c r="F9618" t="s">
        <v>78</v>
      </c>
      <c r="G9618" t="s">
        <v>253</v>
      </c>
      <c r="H9618" t="s">
        <v>211</v>
      </c>
      <c r="I9618">
        <v>27651</v>
      </c>
      <c r="J9618">
        <v>28717</v>
      </c>
    </row>
    <row r="9619" spans="1:10" x14ac:dyDescent="0.3">
      <c r="A9619" t="s">
        <v>9746</v>
      </c>
      <c r="B9619" s="1">
        <v>45973</v>
      </c>
      <c r="C9619" t="s">
        <v>23</v>
      </c>
      <c r="D9619">
        <v>46</v>
      </c>
      <c r="E9619" t="s">
        <v>18</v>
      </c>
      <c r="F9619" t="s">
        <v>92</v>
      </c>
      <c r="G9619" t="s">
        <v>54</v>
      </c>
      <c r="H9619" t="s">
        <v>64</v>
      </c>
      <c r="I9619">
        <v>31808</v>
      </c>
      <c r="J9619">
        <v>29912</v>
      </c>
    </row>
    <row r="9620" spans="1:10" x14ac:dyDescent="0.3">
      <c r="A9620" t="s">
        <v>9747</v>
      </c>
      <c r="B9620" s="1">
        <v>45974</v>
      </c>
      <c r="C9620" t="s">
        <v>23</v>
      </c>
      <c r="D9620">
        <v>46</v>
      </c>
      <c r="E9620" t="s">
        <v>39</v>
      </c>
      <c r="F9620" t="s">
        <v>114</v>
      </c>
      <c r="G9620" t="s">
        <v>326</v>
      </c>
      <c r="H9620" t="s">
        <v>165</v>
      </c>
      <c r="I9620">
        <v>16408</v>
      </c>
      <c r="J9620">
        <v>20038</v>
      </c>
    </row>
    <row r="9621" spans="1:10" x14ac:dyDescent="0.3">
      <c r="A9621" t="s">
        <v>9748</v>
      </c>
      <c r="B9621" s="1">
        <v>45945</v>
      </c>
      <c r="C9621" t="s">
        <v>66</v>
      </c>
      <c r="D9621">
        <v>42</v>
      </c>
      <c r="E9621" t="s">
        <v>33</v>
      </c>
      <c r="F9621" t="s">
        <v>46</v>
      </c>
      <c r="G9621" t="s">
        <v>206</v>
      </c>
      <c r="H9621" t="s">
        <v>21</v>
      </c>
      <c r="I9621">
        <v>36409</v>
      </c>
      <c r="J9621">
        <v>28174</v>
      </c>
    </row>
    <row r="9622" spans="1:10" x14ac:dyDescent="0.3">
      <c r="A9622" t="s">
        <v>9749</v>
      </c>
      <c r="B9622" s="1">
        <v>45948</v>
      </c>
      <c r="C9622" t="s">
        <v>66</v>
      </c>
      <c r="D9622">
        <v>42</v>
      </c>
      <c r="E9622" t="s">
        <v>70</v>
      </c>
      <c r="F9622" t="s">
        <v>29</v>
      </c>
      <c r="G9622" t="s">
        <v>182</v>
      </c>
      <c r="H9622" t="s">
        <v>68</v>
      </c>
      <c r="I9622">
        <v>35581</v>
      </c>
      <c r="J9622">
        <v>38678</v>
      </c>
    </row>
    <row r="9623" spans="1:10" x14ac:dyDescent="0.3">
      <c r="A9623" t="s">
        <v>9750</v>
      </c>
      <c r="B9623" s="1">
        <v>45846</v>
      </c>
      <c r="C9623" t="s">
        <v>11</v>
      </c>
      <c r="D9623">
        <v>28</v>
      </c>
      <c r="E9623" t="s">
        <v>24</v>
      </c>
      <c r="F9623" t="s">
        <v>29</v>
      </c>
      <c r="G9623" t="s">
        <v>93</v>
      </c>
      <c r="H9623" t="s">
        <v>59</v>
      </c>
      <c r="I9623">
        <v>37968</v>
      </c>
      <c r="J9623">
        <v>37779</v>
      </c>
    </row>
    <row r="9624" spans="1:10" x14ac:dyDescent="0.3">
      <c r="A9624" t="s">
        <v>9751</v>
      </c>
      <c r="B9624" s="1">
        <v>45695</v>
      </c>
      <c r="C9624" t="s">
        <v>82</v>
      </c>
      <c r="D9624">
        <v>6</v>
      </c>
      <c r="E9624" t="s">
        <v>61</v>
      </c>
      <c r="F9624" t="s">
        <v>109</v>
      </c>
      <c r="G9624" t="s">
        <v>171</v>
      </c>
      <c r="H9624" t="s">
        <v>41</v>
      </c>
      <c r="I9624">
        <v>33303</v>
      </c>
      <c r="J9624">
        <v>25466</v>
      </c>
    </row>
    <row r="9625" spans="1:10" x14ac:dyDescent="0.3">
      <c r="A9625" t="s">
        <v>9752</v>
      </c>
      <c r="B9625" s="1">
        <v>45802</v>
      </c>
      <c r="C9625" t="s">
        <v>90</v>
      </c>
      <c r="D9625">
        <v>21</v>
      </c>
      <c r="E9625" t="s">
        <v>61</v>
      </c>
      <c r="F9625" t="s">
        <v>57</v>
      </c>
      <c r="G9625" t="s">
        <v>201</v>
      </c>
      <c r="H9625" t="s">
        <v>163</v>
      </c>
      <c r="I9625">
        <v>29008</v>
      </c>
      <c r="J9625">
        <v>34670</v>
      </c>
    </row>
    <row r="9626" spans="1:10" x14ac:dyDescent="0.3">
      <c r="A9626" t="s">
        <v>9753</v>
      </c>
      <c r="B9626" s="1">
        <v>45838</v>
      </c>
      <c r="C9626" t="s">
        <v>74</v>
      </c>
      <c r="D9626">
        <v>27</v>
      </c>
      <c r="E9626" t="s">
        <v>39</v>
      </c>
      <c r="F9626" t="s">
        <v>34</v>
      </c>
      <c r="G9626" t="s">
        <v>132</v>
      </c>
      <c r="H9626" t="s">
        <v>165</v>
      </c>
      <c r="I9626">
        <v>32520</v>
      </c>
      <c r="J9626">
        <v>31855</v>
      </c>
    </row>
    <row r="9627" spans="1:10" x14ac:dyDescent="0.3">
      <c r="A9627" t="s">
        <v>9754</v>
      </c>
      <c r="B9627" s="1">
        <v>45746</v>
      </c>
      <c r="C9627" t="s">
        <v>95</v>
      </c>
      <c r="D9627">
        <v>13</v>
      </c>
      <c r="E9627" t="s">
        <v>24</v>
      </c>
      <c r="F9627" t="s">
        <v>57</v>
      </c>
      <c r="G9627" t="s">
        <v>145</v>
      </c>
      <c r="H9627" t="s">
        <v>64</v>
      </c>
      <c r="I9627">
        <v>20830</v>
      </c>
      <c r="J9627">
        <v>23680</v>
      </c>
    </row>
    <row r="9628" spans="1:10" x14ac:dyDescent="0.3">
      <c r="A9628" t="s">
        <v>9755</v>
      </c>
      <c r="B9628" s="1">
        <v>45684</v>
      </c>
      <c r="C9628" t="s">
        <v>17</v>
      </c>
      <c r="D9628">
        <v>5</v>
      </c>
      <c r="E9628" t="s">
        <v>33</v>
      </c>
      <c r="F9628" t="s">
        <v>109</v>
      </c>
      <c r="G9628" t="s">
        <v>102</v>
      </c>
      <c r="H9628" t="s">
        <v>36</v>
      </c>
      <c r="I9628">
        <v>28650</v>
      </c>
      <c r="J9628">
        <v>21118</v>
      </c>
    </row>
    <row r="9629" spans="1:10" x14ac:dyDescent="0.3">
      <c r="A9629" t="s">
        <v>9756</v>
      </c>
      <c r="B9629" s="1">
        <v>45826</v>
      </c>
      <c r="C9629" t="s">
        <v>74</v>
      </c>
      <c r="D9629">
        <v>25</v>
      </c>
      <c r="E9629" t="s">
        <v>24</v>
      </c>
      <c r="F9629" t="s">
        <v>193</v>
      </c>
      <c r="G9629" t="s">
        <v>26</v>
      </c>
      <c r="H9629" t="s">
        <v>31</v>
      </c>
      <c r="I9629">
        <v>17235</v>
      </c>
      <c r="J9629">
        <v>21294</v>
      </c>
    </row>
    <row r="9630" spans="1:10" x14ac:dyDescent="0.3">
      <c r="A9630" t="s">
        <v>9757</v>
      </c>
      <c r="B9630" s="1">
        <v>45680</v>
      </c>
      <c r="C9630" t="s">
        <v>17</v>
      </c>
      <c r="D9630">
        <v>4</v>
      </c>
      <c r="E9630" t="s">
        <v>39</v>
      </c>
      <c r="F9630" t="s">
        <v>25</v>
      </c>
      <c r="G9630" t="s">
        <v>145</v>
      </c>
      <c r="H9630" t="s">
        <v>52</v>
      </c>
      <c r="I9630">
        <v>23694</v>
      </c>
      <c r="J9630">
        <v>22064</v>
      </c>
    </row>
    <row r="9631" spans="1:10" x14ac:dyDescent="0.3">
      <c r="A9631" t="s">
        <v>9758</v>
      </c>
      <c r="B9631" s="1">
        <v>45787</v>
      </c>
      <c r="C9631" t="s">
        <v>90</v>
      </c>
      <c r="D9631">
        <v>19</v>
      </c>
      <c r="E9631" t="s">
        <v>18</v>
      </c>
      <c r="F9631" t="s">
        <v>62</v>
      </c>
      <c r="G9631" t="s">
        <v>30</v>
      </c>
      <c r="H9631" t="s">
        <v>41</v>
      </c>
      <c r="I9631">
        <v>19675</v>
      </c>
      <c r="J9631">
        <v>14070</v>
      </c>
    </row>
    <row r="9632" spans="1:10" x14ac:dyDescent="0.3">
      <c r="A9632" t="s">
        <v>9759</v>
      </c>
      <c r="B9632" s="1">
        <v>45827</v>
      </c>
      <c r="C9632" t="s">
        <v>74</v>
      </c>
      <c r="D9632">
        <v>25</v>
      </c>
      <c r="E9632" t="s">
        <v>70</v>
      </c>
      <c r="F9632" t="s">
        <v>46</v>
      </c>
      <c r="G9632" t="s">
        <v>35</v>
      </c>
      <c r="H9632" t="s">
        <v>211</v>
      </c>
      <c r="I9632">
        <v>39321</v>
      </c>
      <c r="J9632">
        <v>43711</v>
      </c>
    </row>
    <row r="9633" spans="1:10" x14ac:dyDescent="0.3">
      <c r="A9633" t="s">
        <v>9760</v>
      </c>
      <c r="B9633" s="1">
        <v>45793</v>
      </c>
      <c r="C9633" t="s">
        <v>90</v>
      </c>
      <c r="D9633">
        <v>20</v>
      </c>
      <c r="E9633" t="s">
        <v>70</v>
      </c>
      <c r="F9633" t="s">
        <v>75</v>
      </c>
      <c r="G9633" t="s">
        <v>26</v>
      </c>
      <c r="H9633" t="s">
        <v>48</v>
      </c>
      <c r="I9633">
        <v>17129</v>
      </c>
      <c r="J9633">
        <v>21529</v>
      </c>
    </row>
    <row r="9634" spans="1:10" x14ac:dyDescent="0.3">
      <c r="A9634" t="s">
        <v>9761</v>
      </c>
      <c r="B9634" s="1">
        <v>45790</v>
      </c>
      <c r="C9634" t="s">
        <v>90</v>
      </c>
      <c r="D9634">
        <v>20</v>
      </c>
      <c r="E9634" t="s">
        <v>12</v>
      </c>
      <c r="F9634" t="s">
        <v>78</v>
      </c>
      <c r="G9634" t="s">
        <v>126</v>
      </c>
      <c r="H9634" t="s">
        <v>165</v>
      </c>
      <c r="I9634">
        <v>17515</v>
      </c>
      <c r="J9634">
        <v>19602</v>
      </c>
    </row>
    <row r="9635" spans="1:10" x14ac:dyDescent="0.3">
      <c r="A9635" t="s">
        <v>9762</v>
      </c>
      <c r="B9635" s="1">
        <v>45767</v>
      </c>
      <c r="C9635" t="s">
        <v>86</v>
      </c>
      <c r="D9635">
        <v>16</v>
      </c>
      <c r="E9635" t="s">
        <v>61</v>
      </c>
      <c r="F9635" t="s">
        <v>193</v>
      </c>
      <c r="G9635" t="s">
        <v>182</v>
      </c>
      <c r="H9635" t="s">
        <v>27</v>
      </c>
      <c r="I9635">
        <v>17752</v>
      </c>
      <c r="J9635">
        <v>12829</v>
      </c>
    </row>
    <row r="9636" spans="1:10" x14ac:dyDescent="0.3">
      <c r="A9636" t="s">
        <v>9763</v>
      </c>
      <c r="B9636" s="1">
        <v>45832</v>
      </c>
      <c r="C9636" t="s">
        <v>74</v>
      </c>
      <c r="D9636">
        <v>26</v>
      </c>
      <c r="E9636" t="s">
        <v>24</v>
      </c>
      <c r="F9636" t="s">
        <v>92</v>
      </c>
      <c r="G9636" t="s">
        <v>20</v>
      </c>
      <c r="H9636" t="s">
        <v>163</v>
      </c>
      <c r="I9636">
        <v>21894</v>
      </c>
      <c r="J9636">
        <v>16156</v>
      </c>
    </row>
    <row r="9637" spans="1:10" x14ac:dyDescent="0.3">
      <c r="A9637" t="s">
        <v>9764</v>
      </c>
      <c r="B9637" s="1">
        <v>45972</v>
      </c>
      <c r="C9637" t="s">
        <v>23</v>
      </c>
      <c r="D9637">
        <v>46</v>
      </c>
      <c r="E9637" t="s">
        <v>24</v>
      </c>
      <c r="F9637" t="s">
        <v>109</v>
      </c>
      <c r="G9637" t="s">
        <v>160</v>
      </c>
      <c r="H9637" t="s">
        <v>163</v>
      </c>
      <c r="I9637">
        <v>18197</v>
      </c>
      <c r="J9637">
        <v>18546</v>
      </c>
    </row>
    <row r="9638" spans="1:10" x14ac:dyDescent="0.3">
      <c r="A9638" t="s">
        <v>9765</v>
      </c>
      <c r="B9638" s="1">
        <v>45745</v>
      </c>
      <c r="C9638" t="s">
        <v>95</v>
      </c>
      <c r="D9638">
        <v>13</v>
      </c>
      <c r="E9638" t="s">
        <v>61</v>
      </c>
      <c r="F9638" t="s">
        <v>50</v>
      </c>
      <c r="G9638" t="s">
        <v>93</v>
      </c>
      <c r="H9638" t="s">
        <v>15</v>
      </c>
      <c r="I9638">
        <v>28380</v>
      </c>
      <c r="J9638">
        <v>28474</v>
      </c>
    </row>
    <row r="9639" spans="1:10" x14ac:dyDescent="0.3">
      <c r="A9639" t="s">
        <v>9766</v>
      </c>
      <c r="B9639" s="1">
        <v>45977</v>
      </c>
      <c r="C9639" t="s">
        <v>23</v>
      </c>
      <c r="D9639">
        <v>46</v>
      </c>
      <c r="E9639" t="s">
        <v>12</v>
      </c>
      <c r="F9639" t="s">
        <v>140</v>
      </c>
      <c r="G9639" t="s">
        <v>160</v>
      </c>
      <c r="H9639" t="s">
        <v>64</v>
      </c>
      <c r="I9639">
        <v>17284</v>
      </c>
      <c r="J9639">
        <v>20817</v>
      </c>
    </row>
    <row r="9640" spans="1:10" x14ac:dyDescent="0.3">
      <c r="A9640" t="s">
        <v>9767</v>
      </c>
      <c r="B9640" s="1">
        <v>45946</v>
      </c>
      <c r="C9640" t="s">
        <v>66</v>
      </c>
      <c r="D9640">
        <v>42</v>
      </c>
      <c r="E9640" t="s">
        <v>39</v>
      </c>
      <c r="F9640" t="s">
        <v>75</v>
      </c>
      <c r="G9640" t="s">
        <v>171</v>
      </c>
      <c r="H9640" t="s">
        <v>163</v>
      </c>
      <c r="I9640">
        <v>15395</v>
      </c>
      <c r="J9640">
        <v>12195</v>
      </c>
    </row>
    <row r="9641" spans="1:10" x14ac:dyDescent="0.3">
      <c r="A9641" t="s">
        <v>9768</v>
      </c>
      <c r="B9641" s="1">
        <v>45765</v>
      </c>
      <c r="C9641" t="s">
        <v>86</v>
      </c>
      <c r="D9641">
        <v>16</v>
      </c>
      <c r="E9641" t="s">
        <v>18</v>
      </c>
      <c r="F9641" t="s">
        <v>46</v>
      </c>
      <c r="G9641" t="s">
        <v>58</v>
      </c>
      <c r="H9641" t="s">
        <v>64</v>
      </c>
      <c r="I9641">
        <v>19460</v>
      </c>
      <c r="J9641">
        <v>19876</v>
      </c>
    </row>
    <row r="9642" spans="1:10" x14ac:dyDescent="0.3">
      <c r="A9642" t="s">
        <v>9769</v>
      </c>
      <c r="B9642" s="1">
        <v>45808</v>
      </c>
      <c r="C9642" t="s">
        <v>90</v>
      </c>
      <c r="D9642">
        <v>22</v>
      </c>
      <c r="E9642" t="s">
        <v>39</v>
      </c>
      <c r="F9642" t="s">
        <v>29</v>
      </c>
      <c r="G9642" t="s">
        <v>199</v>
      </c>
      <c r="H9642" t="s">
        <v>243</v>
      </c>
      <c r="I9642">
        <v>19951</v>
      </c>
      <c r="J9642">
        <v>20837</v>
      </c>
    </row>
    <row r="9643" spans="1:10" x14ac:dyDescent="0.3">
      <c r="A9643" t="s">
        <v>9770</v>
      </c>
      <c r="B9643" s="1">
        <v>45945</v>
      </c>
      <c r="C9643" t="s">
        <v>66</v>
      </c>
      <c r="D9643">
        <v>42</v>
      </c>
      <c r="E9643" t="s">
        <v>70</v>
      </c>
      <c r="F9643" t="s">
        <v>92</v>
      </c>
      <c r="G9643" t="s">
        <v>40</v>
      </c>
      <c r="H9643" t="s">
        <v>157</v>
      </c>
      <c r="I9643">
        <v>22721</v>
      </c>
      <c r="J9643">
        <v>20379</v>
      </c>
    </row>
    <row r="9644" spans="1:10" x14ac:dyDescent="0.3">
      <c r="A9644" t="s">
        <v>9771</v>
      </c>
      <c r="B9644" s="1">
        <v>46005</v>
      </c>
      <c r="C9644" t="s">
        <v>100</v>
      </c>
      <c r="D9644">
        <v>50</v>
      </c>
      <c r="E9644" t="s">
        <v>12</v>
      </c>
      <c r="F9644" t="s">
        <v>13</v>
      </c>
      <c r="G9644" t="s">
        <v>149</v>
      </c>
      <c r="H9644" t="s">
        <v>211</v>
      </c>
      <c r="I9644">
        <v>32314</v>
      </c>
      <c r="J9644">
        <v>39236</v>
      </c>
    </row>
    <row r="9645" spans="1:10" x14ac:dyDescent="0.3">
      <c r="A9645" t="s">
        <v>9772</v>
      </c>
      <c r="B9645" s="1">
        <v>45771</v>
      </c>
      <c r="C9645" t="s">
        <v>86</v>
      </c>
      <c r="D9645">
        <v>17</v>
      </c>
      <c r="E9645" t="s">
        <v>12</v>
      </c>
      <c r="F9645" t="s">
        <v>19</v>
      </c>
      <c r="G9645" t="s">
        <v>132</v>
      </c>
      <c r="H9645" t="s">
        <v>68</v>
      </c>
      <c r="I9645">
        <v>34400</v>
      </c>
      <c r="J9645">
        <v>27892</v>
      </c>
    </row>
    <row r="9646" spans="1:10" x14ac:dyDescent="0.3">
      <c r="A9646" t="s">
        <v>9773</v>
      </c>
      <c r="B9646" s="1">
        <v>45835</v>
      </c>
      <c r="C9646" t="s">
        <v>74</v>
      </c>
      <c r="D9646">
        <v>26</v>
      </c>
      <c r="E9646" t="s">
        <v>33</v>
      </c>
      <c r="F9646" t="s">
        <v>46</v>
      </c>
      <c r="G9646" t="s">
        <v>102</v>
      </c>
      <c r="H9646" t="s">
        <v>55</v>
      </c>
      <c r="I9646">
        <v>17203</v>
      </c>
      <c r="J9646">
        <v>17226</v>
      </c>
    </row>
    <row r="9647" spans="1:10" x14ac:dyDescent="0.3">
      <c r="A9647" t="s">
        <v>9774</v>
      </c>
      <c r="B9647" s="1">
        <v>45785</v>
      </c>
      <c r="C9647" t="s">
        <v>90</v>
      </c>
      <c r="D9647">
        <v>19</v>
      </c>
      <c r="E9647" t="s">
        <v>24</v>
      </c>
      <c r="F9647" t="s">
        <v>193</v>
      </c>
      <c r="G9647" t="s">
        <v>145</v>
      </c>
      <c r="H9647" t="s">
        <v>15</v>
      </c>
      <c r="I9647">
        <v>20624</v>
      </c>
      <c r="J9647">
        <v>17420</v>
      </c>
    </row>
    <row r="9648" spans="1:10" x14ac:dyDescent="0.3">
      <c r="A9648" t="s">
        <v>9775</v>
      </c>
      <c r="B9648" s="1">
        <v>45760</v>
      </c>
      <c r="C9648" t="s">
        <v>86</v>
      </c>
      <c r="D9648">
        <v>15</v>
      </c>
      <c r="E9648" t="s">
        <v>70</v>
      </c>
      <c r="F9648" t="s">
        <v>109</v>
      </c>
      <c r="G9648" t="s">
        <v>149</v>
      </c>
      <c r="H9648" t="s">
        <v>123</v>
      </c>
      <c r="I9648">
        <v>28994</v>
      </c>
      <c r="J9648">
        <v>32010</v>
      </c>
    </row>
    <row r="9649" spans="1:10" x14ac:dyDescent="0.3">
      <c r="A9649" t="s">
        <v>9776</v>
      </c>
      <c r="B9649" s="1">
        <v>45887</v>
      </c>
      <c r="C9649" t="s">
        <v>113</v>
      </c>
      <c r="D9649">
        <v>34</v>
      </c>
      <c r="E9649" t="s">
        <v>33</v>
      </c>
      <c r="F9649" t="s">
        <v>122</v>
      </c>
      <c r="G9649" t="s">
        <v>107</v>
      </c>
      <c r="H9649" t="s">
        <v>123</v>
      </c>
      <c r="I9649">
        <v>20326</v>
      </c>
      <c r="J9649">
        <v>23511</v>
      </c>
    </row>
    <row r="9650" spans="1:10" x14ac:dyDescent="0.3">
      <c r="A9650" t="s">
        <v>9777</v>
      </c>
      <c r="B9650" s="1">
        <v>45890</v>
      </c>
      <c r="C9650" t="s">
        <v>113</v>
      </c>
      <c r="D9650">
        <v>34</v>
      </c>
      <c r="E9650" t="s">
        <v>33</v>
      </c>
      <c r="F9650" t="s">
        <v>43</v>
      </c>
      <c r="G9650" t="s">
        <v>137</v>
      </c>
      <c r="H9650" t="s">
        <v>111</v>
      </c>
      <c r="I9650">
        <v>26703</v>
      </c>
      <c r="J9650">
        <v>22433</v>
      </c>
    </row>
    <row r="9651" spans="1:10" x14ac:dyDescent="0.3">
      <c r="A9651" t="s">
        <v>9778</v>
      </c>
      <c r="B9651" s="1">
        <v>45958</v>
      </c>
      <c r="C9651" t="s">
        <v>66</v>
      </c>
      <c r="D9651">
        <v>44</v>
      </c>
      <c r="E9651" t="s">
        <v>24</v>
      </c>
      <c r="F9651" t="s">
        <v>25</v>
      </c>
      <c r="G9651" t="s">
        <v>83</v>
      </c>
      <c r="H9651" t="s">
        <v>80</v>
      </c>
      <c r="I9651">
        <v>38107</v>
      </c>
      <c r="J9651">
        <v>44204</v>
      </c>
    </row>
    <row r="9652" spans="1:10" x14ac:dyDescent="0.3">
      <c r="A9652" t="s">
        <v>9779</v>
      </c>
      <c r="B9652" s="1">
        <v>45960</v>
      </c>
      <c r="C9652" t="s">
        <v>66</v>
      </c>
      <c r="D9652">
        <v>44</v>
      </c>
      <c r="E9652" t="s">
        <v>18</v>
      </c>
      <c r="F9652" t="s">
        <v>43</v>
      </c>
      <c r="G9652" t="s">
        <v>110</v>
      </c>
      <c r="H9652" t="s">
        <v>52</v>
      </c>
      <c r="I9652">
        <v>35351</v>
      </c>
      <c r="J9652">
        <v>27636</v>
      </c>
    </row>
    <row r="9653" spans="1:10" x14ac:dyDescent="0.3">
      <c r="A9653" t="s">
        <v>9780</v>
      </c>
      <c r="B9653" s="1">
        <v>45983</v>
      </c>
      <c r="C9653" t="s">
        <v>23</v>
      </c>
      <c r="D9653">
        <v>47</v>
      </c>
      <c r="E9653" t="s">
        <v>33</v>
      </c>
      <c r="F9653" t="s">
        <v>75</v>
      </c>
      <c r="G9653" t="s">
        <v>115</v>
      </c>
      <c r="H9653" t="s">
        <v>27</v>
      </c>
      <c r="I9653">
        <v>24239</v>
      </c>
      <c r="J9653">
        <v>24561</v>
      </c>
    </row>
    <row r="9654" spans="1:10" x14ac:dyDescent="0.3">
      <c r="A9654" t="s">
        <v>9781</v>
      </c>
      <c r="B9654" s="1">
        <v>45706</v>
      </c>
      <c r="C9654" t="s">
        <v>82</v>
      </c>
      <c r="D9654">
        <v>8</v>
      </c>
      <c r="E9654" t="s">
        <v>18</v>
      </c>
      <c r="F9654" t="s">
        <v>13</v>
      </c>
      <c r="G9654" t="s">
        <v>199</v>
      </c>
      <c r="H9654" t="s">
        <v>84</v>
      </c>
      <c r="I9654">
        <v>39384</v>
      </c>
      <c r="J9654">
        <v>32599</v>
      </c>
    </row>
    <row r="9655" spans="1:10" x14ac:dyDescent="0.3">
      <c r="A9655" t="s">
        <v>9782</v>
      </c>
      <c r="B9655" s="1">
        <v>45992</v>
      </c>
      <c r="C9655" t="s">
        <v>100</v>
      </c>
      <c r="D9655">
        <v>49</v>
      </c>
      <c r="E9655" t="s">
        <v>33</v>
      </c>
      <c r="F9655" t="s">
        <v>13</v>
      </c>
      <c r="G9655" t="s">
        <v>137</v>
      </c>
      <c r="H9655" t="s">
        <v>151</v>
      </c>
      <c r="I9655">
        <v>33645</v>
      </c>
      <c r="J9655">
        <v>41438</v>
      </c>
    </row>
    <row r="9656" spans="1:10" x14ac:dyDescent="0.3">
      <c r="A9656" t="s">
        <v>9783</v>
      </c>
      <c r="B9656" s="1">
        <v>46000</v>
      </c>
      <c r="C9656" t="s">
        <v>100</v>
      </c>
      <c r="D9656">
        <v>50</v>
      </c>
      <c r="E9656" t="s">
        <v>12</v>
      </c>
      <c r="F9656" t="s">
        <v>62</v>
      </c>
      <c r="G9656" t="s">
        <v>51</v>
      </c>
      <c r="H9656" t="s">
        <v>41</v>
      </c>
      <c r="I9656">
        <v>35671</v>
      </c>
      <c r="J9656">
        <v>25561</v>
      </c>
    </row>
    <row r="9657" spans="1:10" x14ac:dyDescent="0.3">
      <c r="A9657" t="s">
        <v>9784</v>
      </c>
      <c r="B9657" s="1">
        <v>45976</v>
      </c>
      <c r="C9657" t="s">
        <v>23</v>
      </c>
      <c r="D9657">
        <v>46</v>
      </c>
      <c r="E9657" t="s">
        <v>70</v>
      </c>
      <c r="F9657" t="s">
        <v>109</v>
      </c>
      <c r="G9657" t="s">
        <v>291</v>
      </c>
      <c r="H9657" t="s">
        <v>52</v>
      </c>
      <c r="I9657">
        <v>16058</v>
      </c>
      <c r="J9657">
        <v>20624</v>
      </c>
    </row>
    <row r="9658" spans="1:10" x14ac:dyDescent="0.3">
      <c r="A9658" t="s">
        <v>9785</v>
      </c>
      <c r="B9658" s="1">
        <v>45973</v>
      </c>
      <c r="C9658" t="s">
        <v>23</v>
      </c>
      <c r="D9658">
        <v>46</v>
      </c>
      <c r="E9658" t="s">
        <v>39</v>
      </c>
      <c r="F9658" t="s">
        <v>92</v>
      </c>
      <c r="G9658" t="s">
        <v>54</v>
      </c>
      <c r="H9658" t="s">
        <v>188</v>
      </c>
      <c r="I9658">
        <v>24474</v>
      </c>
      <c r="J9658">
        <v>30921</v>
      </c>
    </row>
    <row r="9659" spans="1:10" x14ac:dyDescent="0.3">
      <c r="A9659" t="s">
        <v>9786</v>
      </c>
      <c r="B9659" s="1">
        <v>45914</v>
      </c>
      <c r="C9659" t="s">
        <v>38</v>
      </c>
      <c r="D9659">
        <v>37</v>
      </c>
      <c r="E9659" t="s">
        <v>39</v>
      </c>
      <c r="F9659" t="s">
        <v>13</v>
      </c>
      <c r="G9659" t="s">
        <v>171</v>
      </c>
      <c r="H9659" t="s">
        <v>21</v>
      </c>
      <c r="I9659">
        <v>24364</v>
      </c>
      <c r="J9659">
        <v>30108</v>
      </c>
    </row>
    <row r="9660" spans="1:10" x14ac:dyDescent="0.3">
      <c r="A9660" t="s">
        <v>9787</v>
      </c>
      <c r="B9660" s="1">
        <v>45659</v>
      </c>
      <c r="C9660" t="s">
        <v>17</v>
      </c>
      <c r="D9660">
        <v>1</v>
      </c>
      <c r="E9660" t="s">
        <v>12</v>
      </c>
      <c r="F9660" t="s">
        <v>122</v>
      </c>
      <c r="G9660" t="s">
        <v>160</v>
      </c>
      <c r="H9660" t="s">
        <v>52</v>
      </c>
      <c r="I9660">
        <v>22764</v>
      </c>
      <c r="J9660">
        <v>21392</v>
      </c>
    </row>
    <row r="9661" spans="1:10" x14ac:dyDescent="0.3">
      <c r="A9661" t="s">
        <v>9788</v>
      </c>
      <c r="B9661" s="1">
        <v>45809</v>
      </c>
      <c r="C9661" t="s">
        <v>74</v>
      </c>
      <c r="D9661">
        <v>22</v>
      </c>
      <c r="E9661" t="s">
        <v>12</v>
      </c>
      <c r="F9661" t="s">
        <v>109</v>
      </c>
      <c r="G9661" t="s">
        <v>88</v>
      </c>
      <c r="H9661" t="s">
        <v>243</v>
      </c>
      <c r="I9661">
        <v>24511</v>
      </c>
      <c r="J9661">
        <v>20938</v>
      </c>
    </row>
    <row r="9662" spans="1:10" x14ac:dyDescent="0.3">
      <c r="A9662" t="s">
        <v>9789</v>
      </c>
      <c r="B9662" s="1">
        <v>45665</v>
      </c>
      <c r="C9662" t="s">
        <v>17</v>
      </c>
      <c r="D9662">
        <v>2</v>
      </c>
      <c r="E9662" t="s">
        <v>24</v>
      </c>
      <c r="F9662" t="s">
        <v>193</v>
      </c>
      <c r="G9662" t="s">
        <v>30</v>
      </c>
      <c r="H9662" t="s">
        <v>211</v>
      </c>
      <c r="I9662">
        <v>36754</v>
      </c>
      <c r="J9662">
        <v>30948</v>
      </c>
    </row>
    <row r="9663" spans="1:10" x14ac:dyDescent="0.3">
      <c r="A9663" t="s">
        <v>9790</v>
      </c>
      <c r="B9663" s="1">
        <v>45720</v>
      </c>
      <c r="C9663" t="s">
        <v>95</v>
      </c>
      <c r="D9663">
        <v>10</v>
      </c>
      <c r="E9663" t="s">
        <v>70</v>
      </c>
      <c r="F9663" t="s">
        <v>29</v>
      </c>
      <c r="G9663" t="s">
        <v>130</v>
      </c>
      <c r="H9663" t="s">
        <v>151</v>
      </c>
      <c r="I9663">
        <v>26952</v>
      </c>
      <c r="J9663">
        <v>27752</v>
      </c>
    </row>
    <row r="9664" spans="1:10" x14ac:dyDescent="0.3">
      <c r="A9664" t="s">
        <v>9791</v>
      </c>
      <c r="B9664" s="1">
        <v>45758</v>
      </c>
      <c r="C9664" t="s">
        <v>86</v>
      </c>
      <c r="D9664">
        <v>15</v>
      </c>
      <c r="E9664" t="s">
        <v>12</v>
      </c>
      <c r="F9664" t="s">
        <v>13</v>
      </c>
      <c r="G9664" t="s">
        <v>58</v>
      </c>
      <c r="H9664" t="s">
        <v>163</v>
      </c>
      <c r="I9664">
        <v>19789</v>
      </c>
      <c r="J9664">
        <v>19789</v>
      </c>
    </row>
    <row r="9665" spans="1:10" x14ac:dyDescent="0.3">
      <c r="A9665" t="s">
        <v>9792</v>
      </c>
      <c r="B9665" s="1">
        <v>45934</v>
      </c>
      <c r="C9665" t="s">
        <v>66</v>
      </c>
      <c r="D9665">
        <v>40</v>
      </c>
      <c r="E9665" t="s">
        <v>18</v>
      </c>
      <c r="F9665" t="s">
        <v>78</v>
      </c>
      <c r="G9665" t="s">
        <v>132</v>
      </c>
      <c r="H9665" t="s">
        <v>96</v>
      </c>
      <c r="I9665">
        <v>15176</v>
      </c>
      <c r="J9665">
        <v>13947</v>
      </c>
    </row>
    <row r="9666" spans="1:10" x14ac:dyDescent="0.3">
      <c r="A9666" t="s">
        <v>9793</v>
      </c>
      <c r="B9666" s="1">
        <v>45923</v>
      </c>
      <c r="C9666" t="s">
        <v>38</v>
      </c>
      <c r="D9666">
        <v>39</v>
      </c>
      <c r="E9666" t="s">
        <v>70</v>
      </c>
      <c r="F9666" t="s">
        <v>122</v>
      </c>
      <c r="G9666" t="s">
        <v>182</v>
      </c>
      <c r="H9666" t="s">
        <v>155</v>
      </c>
      <c r="I9666">
        <v>15983</v>
      </c>
      <c r="J9666">
        <v>18692</v>
      </c>
    </row>
    <row r="9667" spans="1:10" x14ac:dyDescent="0.3">
      <c r="A9667" t="s">
        <v>9794</v>
      </c>
      <c r="B9667" s="1">
        <v>45940</v>
      </c>
      <c r="C9667" t="s">
        <v>66</v>
      </c>
      <c r="D9667">
        <v>41</v>
      </c>
      <c r="E9667" t="s">
        <v>61</v>
      </c>
      <c r="F9667" t="s">
        <v>101</v>
      </c>
      <c r="G9667" t="s">
        <v>149</v>
      </c>
      <c r="H9667" t="s">
        <v>133</v>
      </c>
      <c r="I9667">
        <v>24520</v>
      </c>
      <c r="J9667">
        <v>22050</v>
      </c>
    </row>
    <row r="9668" spans="1:10" x14ac:dyDescent="0.3">
      <c r="A9668" t="s">
        <v>9795</v>
      </c>
      <c r="B9668" s="1">
        <v>45960</v>
      </c>
      <c r="C9668" t="s">
        <v>66</v>
      </c>
      <c r="D9668">
        <v>44</v>
      </c>
      <c r="E9668" t="s">
        <v>18</v>
      </c>
      <c r="F9668" t="s">
        <v>109</v>
      </c>
      <c r="G9668" t="s">
        <v>54</v>
      </c>
      <c r="H9668" t="s">
        <v>68</v>
      </c>
      <c r="I9668">
        <v>33381</v>
      </c>
      <c r="J9668">
        <v>35909</v>
      </c>
    </row>
    <row r="9669" spans="1:10" x14ac:dyDescent="0.3">
      <c r="A9669" t="s">
        <v>9796</v>
      </c>
      <c r="B9669" s="1">
        <v>45841</v>
      </c>
      <c r="C9669" t="s">
        <v>11</v>
      </c>
      <c r="D9669">
        <v>27</v>
      </c>
      <c r="E9669" t="s">
        <v>70</v>
      </c>
      <c r="F9669" t="s">
        <v>19</v>
      </c>
      <c r="G9669" t="s">
        <v>102</v>
      </c>
      <c r="H9669" t="s">
        <v>80</v>
      </c>
      <c r="I9669">
        <v>22611</v>
      </c>
      <c r="J9669">
        <v>25889</v>
      </c>
    </row>
    <row r="9670" spans="1:10" x14ac:dyDescent="0.3">
      <c r="A9670" t="s">
        <v>9797</v>
      </c>
      <c r="B9670" s="1">
        <v>45820</v>
      </c>
      <c r="C9670" t="s">
        <v>74</v>
      </c>
      <c r="D9670">
        <v>24</v>
      </c>
      <c r="E9670" t="s">
        <v>24</v>
      </c>
      <c r="F9670" t="s">
        <v>62</v>
      </c>
      <c r="G9670" t="s">
        <v>118</v>
      </c>
      <c r="H9670" t="s">
        <v>188</v>
      </c>
      <c r="I9670">
        <v>20247</v>
      </c>
      <c r="J9670">
        <v>23567</v>
      </c>
    </row>
    <row r="9671" spans="1:10" x14ac:dyDescent="0.3">
      <c r="A9671" t="s">
        <v>9798</v>
      </c>
      <c r="B9671" s="1">
        <v>45905</v>
      </c>
      <c r="C9671" t="s">
        <v>38</v>
      </c>
      <c r="D9671">
        <v>36</v>
      </c>
      <c r="E9671" t="s">
        <v>18</v>
      </c>
      <c r="F9671" t="s">
        <v>25</v>
      </c>
      <c r="G9671" t="s">
        <v>115</v>
      </c>
      <c r="H9671" t="s">
        <v>165</v>
      </c>
      <c r="I9671">
        <v>27960</v>
      </c>
      <c r="J9671">
        <v>28652</v>
      </c>
    </row>
    <row r="9672" spans="1:10" x14ac:dyDescent="0.3">
      <c r="A9672" t="s">
        <v>9799</v>
      </c>
      <c r="B9672" s="1">
        <v>45717</v>
      </c>
      <c r="C9672" t="s">
        <v>95</v>
      </c>
      <c r="D9672">
        <v>9</v>
      </c>
      <c r="E9672" t="s">
        <v>33</v>
      </c>
      <c r="F9672" t="s">
        <v>34</v>
      </c>
      <c r="G9672" t="s">
        <v>93</v>
      </c>
      <c r="H9672" t="s">
        <v>55</v>
      </c>
      <c r="I9672">
        <v>31600</v>
      </c>
      <c r="J9672">
        <v>40300</v>
      </c>
    </row>
    <row r="9673" spans="1:10" x14ac:dyDescent="0.3">
      <c r="A9673" t="s">
        <v>9800</v>
      </c>
      <c r="B9673" s="1">
        <v>45717</v>
      </c>
      <c r="C9673" t="s">
        <v>95</v>
      </c>
      <c r="D9673">
        <v>9</v>
      </c>
      <c r="E9673" t="s">
        <v>24</v>
      </c>
      <c r="F9673" t="s">
        <v>25</v>
      </c>
      <c r="G9673" t="s">
        <v>135</v>
      </c>
      <c r="H9673" t="s">
        <v>64</v>
      </c>
      <c r="I9673">
        <v>19293</v>
      </c>
      <c r="J9673">
        <v>13877</v>
      </c>
    </row>
    <row r="9674" spans="1:10" x14ac:dyDescent="0.3">
      <c r="A9674" t="s">
        <v>9801</v>
      </c>
      <c r="B9674" s="1">
        <v>46019</v>
      </c>
      <c r="C9674" t="s">
        <v>100</v>
      </c>
      <c r="D9674">
        <v>52</v>
      </c>
      <c r="E9674" t="s">
        <v>12</v>
      </c>
      <c r="F9674" t="s">
        <v>29</v>
      </c>
      <c r="G9674" t="s">
        <v>326</v>
      </c>
      <c r="H9674" t="s">
        <v>15</v>
      </c>
      <c r="I9674">
        <v>32230</v>
      </c>
      <c r="J9674">
        <v>26063</v>
      </c>
    </row>
    <row r="9675" spans="1:10" x14ac:dyDescent="0.3">
      <c r="A9675" t="s">
        <v>9802</v>
      </c>
      <c r="B9675" s="1">
        <v>46012</v>
      </c>
      <c r="C9675" t="s">
        <v>100</v>
      </c>
      <c r="D9675">
        <v>51</v>
      </c>
      <c r="E9675" t="s">
        <v>24</v>
      </c>
      <c r="F9675" t="s">
        <v>78</v>
      </c>
      <c r="G9675" t="s">
        <v>79</v>
      </c>
      <c r="H9675" t="s">
        <v>211</v>
      </c>
      <c r="I9675">
        <v>31955</v>
      </c>
      <c r="J9675">
        <v>33630</v>
      </c>
    </row>
    <row r="9676" spans="1:10" x14ac:dyDescent="0.3">
      <c r="A9676" t="s">
        <v>9803</v>
      </c>
      <c r="B9676" s="1">
        <v>46007</v>
      </c>
      <c r="C9676" t="s">
        <v>100</v>
      </c>
      <c r="D9676">
        <v>51</v>
      </c>
      <c r="E9676" t="s">
        <v>70</v>
      </c>
      <c r="F9676" t="s">
        <v>57</v>
      </c>
      <c r="G9676" t="s">
        <v>145</v>
      </c>
      <c r="H9676" t="s">
        <v>96</v>
      </c>
      <c r="I9676">
        <v>39952</v>
      </c>
      <c r="J9676">
        <v>34570</v>
      </c>
    </row>
    <row r="9677" spans="1:10" x14ac:dyDescent="0.3">
      <c r="A9677" t="s">
        <v>9804</v>
      </c>
      <c r="B9677" s="1">
        <v>45721</v>
      </c>
      <c r="C9677" t="s">
        <v>95</v>
      </c>
      <c r="D9677">
        <v>10</v>
      </c>
      <c r="E9677" t="s">
        <v>24</v>
      </c>
      <c r="F9677" t="s">
        <v>46</v>
      </c>
      <c r="G9677" t="s">
        <v>35</v>
      </c>
      <c r="H9677" t="s">
        <v>31</v>
      </c>
      <c r="I9677">
        <v>29581</v>
      </c>
      <c r="J9677">
        <v>31760</v>
      </c>
    </row>
    <row r="9678" spans="1:10" x14ac:dyDescent="0.3">
      <c r="A9678" t="s">
        <v>9805</v>
      </c>
      <c r="B9678" s="1">
        <v>45914</v>
      </c>
      <c r="C9678" t="s">
        <v>38</v>
      </c>
      <c r="D9678">
        <v>37</v>
      </c>
      <c r="E9678" t="s">
        <v>18</v>
      </c>
      <c r="F9678" t="s">
        <v>13</v>
      </c>
      <c r="G9678" t="s">
        <v>126</v>
      </c>
      <c r="H9678" t="s">
        <v>211</v>
      </c>
      <c r="I9678">
        <v>15115</v>
      </c>
      <c r="J9678">
        <v>17294</v>
      </c>
    </row>
    <row r="9679" spans="1:10" x14ac:dyDescent="0.3">
      <c r="A9679" t="s">
        <v>9806</v>
      </c>
      <c r="B9679" s="1">
        <v>45849</v>
      </c>
      <c r="C9679" t="s">
        <v>11</v>
      </c>
      <c r="D9679">
        <v>28</v>
      </c>
      <c r="E9679" t="s">
        <v>24</v>
      </c>
      <c r="F9679" t="s">
        <v>78</v>
      </c>
      <c r="G9679" t="s">
        <v>291</v>
      </c>
      <c r="H9679" t="s">
        <v>64</v>
      </c>
      <c r="I9679">
        <v>20206</v>
      </c>
      <c r="J9679">
        <v>16367</v>
      </c>
    </row>
    <row r="9680" spans="1:10" x14ac:dyDescent="0.3">
      <c r="A9680" t="s">
        <v>9807</v>
      </c>
      <c r="B9680" s="1">
        <v>46014</v>
      </c>
      <c r="C9680" t="s">
        <v>100</v>
      </c>
      <c r="D9680">
        <v>52</v>
      </c>
      <c r="E9680" t="s">
        <v>70</v>
      </c>
      <c r="F9680" t="s">
        <v>75</v>
      </c>
      <c r="G9680" t="s">
        <v>182</v>
      </c>
      <c r="H9680" t="s">
        <v>41</v>
      </c>
      <c r="I9680">
        <v>37481</v>
      </c>
      <c r="J9680">
        <v>32565</v>
      </c>
    </row>
    <row r="9681" spans="1:10" x14ac:dyDescent="0.3">
      <c r="A9681" t="s">
        <v>9808</v>
      </c>
      <c r="B9681" s="1">
        <v>45717</v>
      </c>
      <c r="C9681" t="s">
        <v>95</v>
      </c>
      <c r="D9681">
        <v>9</v>
      </c>
      <c r="E9681" t="s">
        <v>18</v>
      </c>
      <c r="F9681" t="s">
        <v>50</v>
      </c>
      <c r="G9681" t="s">
        <v>147</v>
      </c>
      <c r="H9681" t="s">
        <v>64</v>
      </c>
      <c r="I9681">
        <v>32717</v>
      </c>
      <c r="J9681">
        <v>42398</v>
      </c>
    </row>
    <row r="9682" spans="1:10" x14ac:dyDescent="0.3">
      <c r="A9682" t="s">
        <v>9809</v>
      </c>
      <c r="B9682" s="1">
        <v>45664</v>
      </c>
      <c r="C9682" t="s">
        <v>17</v>
      </c>
      <c r="D9682">
        <v>2</v>
      </c>
      <c r="E9682" t="s">
        <v>70</v>
      </c>
      <c r="F9682" t="s">
        <v>13</v>
      </c>
      <c r="G9682" t="s">
        <v>234</v>
      </c>
      <c r="H9682" t="s">
        <v>21</v>
      </c>
      <c r="I9682">
        <v>24518</v>
      </c>
      <c r="J9682">
        <v>28605</v>
      </c>
    </row>
    <row r="9683" spans="1:10" x14ac:dyDescent="0.3">
      <c r="A9683" t="s">
        <v>9810</v>
      </c>
      <c r="B9683" s="1">
        <v>45823</v>
      </c>
      <c r="C9683" t="s">
        <v>74</v>
      </c>
      <c r="D9683">
        <v>24</v>
      </c>
      <c r="E9683" t="s">
        <v>33</v>
      </c>
      <c r="F9683" t="s">
        <v>43</v>
      </c>
      <c r="G9683" t="s">
        <v>230</v>
      </c>
      <c r="H9683" t="s">
        <v>36</v>
      </c>
      <c r="I9683">
        <v>15536</v>
      </c>
      <c r="J9683">
        <v>12245</v>
      </c>
    </row>
    <row r="9684" spans="1:10" x14ac:dyDescent="0.3">
      <c r="A9684" t="s">
        <v>9811</v>
      </c>
      <c r="B9684" s="1">
        <v>45728</v>
      </c>
      <c r="C9684" t="s">
        <v>95</v>
      </c>
      <c r="D9684">
        <v>11</v>
      </c>
      <c r="E9684" t="s">
        <v>18</v>
      </c>
      <c r="F9684" t="s">
        <v>50</v>
      </c>
      <c r="G9684" t="s">
        <v>54</v>
      </c>
      <c r="H9684" t="s">
        <v>243</v>
      </c>
      <c r="I9684">
        <v>33515</v>
      </c>
      <c r="J9684">
        <v>35509</v>
      </c>
    </row>
    <row r="9685" spans="1:10" x14ac:dyDescent="0.3">
      <c r="A9685" t="s">
        <v>9812</v>
      </c>
      <c r="B9685" s="1">
        <v>45887</v>
      </c>
      <c r="C9685" t="s">
        <v>113</v>
      </c>
      <c r="D9685">
        <v>34</v>
      </c>
      <c r="E9685" t="s">
        <v>24</v>
      </c>
      <c r="F9685" t="s">
        <v>13</v>
      </c>
      <c r="G9685" t="s">
        <v>160</v>
      </c>
      <c r="H9685" t="s">
        <v>52</v>
      </c>
      <c r="I9685">
        <v>21780</v>
      </c>
      <c r="J9685">
        <v>16998</v>
      </c>
    </row>
    <row r="9686" spans="1:10" x14ac:dyDescent="0.3">
      <c r="A9686" t="s">
        <v>9813</v>
      </c>
      <c r="B9686" s="1">
        <v>45940</v>
      </c>
      <c r="C9686" t="s">
        <v>66</v>
      </c>
      <c r="D9686">
        <v>41</v>
      </c>
      <c r="E9686" t="s">
        <v>39</v>
      </c>
      <c r="F9686" t="s">
        <v>13</v>
      </c>
      <c r="G9686" t="s">
        <v>201</v>
      </c>
      <c r="H9686" t="s">
        <v>157</v>
      </c>
      <c r="I9686">
        <v>30222</v>
      </c>
      <c r="J9686">
        <v>28100</v>
      </c>
    </row>
    <row r="9687" spans="1:10" x14ac:dyDescent="0.3">
      <c r="A9687" t="s">
        <v>9814</v>
      </c>
      <c r="B9687" s="1">
        <v>45927</v>
      </c>
      <c r="C9687" t="s">
        <v>38</v>
      </c>
      <c r="D9687">
        <v>39</v>
      </c>
      <c r="E9687" t="s">
        <v>39</v>
      </c>
      <c r="F9687" t="s">
        <v>122</v>
      </c>
      <c r="G9687" t="s">
        <v>67</v>
      </c>
      <c r="H9687" t="s">
        <v>157</v>
      </c>
      <c r="I9687">
        <v>29186</v>
      </c>
      <c r="J9687">
        <v>28435</v>
      </c>
    </row>
    <row r="9688" spans="1:10" x14ac:dyDescent="0.3">
      <c r="A9688" t="s">
        <v>9815</v>
      </c>
      <c r="B9688" s="1">
        <v>45798</v>
      </c>
      <c r="C9688" t="s">
        <v>90</v>
      </c>
      <c r="D9688">
        <v>21</v>
      </c>
      <c r="E9688" t="s">
        <v>70</v>
      </c>
      <c r="F9688" t="s">
        <v>34</v>
      </c>
      <c r="G9688" t="s">
        <v>102</v>
      </c>
      <c r="H9688" t="s">
        <v>151</v>
      </c>
      <c r="I9688">
        <v>37362</v>
      </c>
      <c r="J9688">
        <v>29865</v>
      </c>
    </row>
    <row r="9689" spans="1:10" x14ac:dyDescent="0.3">
      <c r="A9689" t="s">
        <v>9816</v>
      </c>
      <c r="B9689" s="1">
        <v>45739</v>
      </c>
      <c r="C9689" t="s">
        <v>95</v>
      </c>
      <c r="D9689">
        <v>12</v>
      </c>
      <c r="E9689" t="s">
        <v>70</v>
      </c>
      <c r="F9689" t="s">
        <v>140</v>
      </c>
      <c r="G9689" t="s">
        <v>201</v>
      </c>
      <c r="H9689" t="s">
        <v>48</v>
      </c>
      <c r="I9689">
        <v>17391</v>
      </c>
      <c r="J9689">
        <v>17531</v>
      </c>
    </row>
    <row r="9690" spans="1:10" x14ac:dyDescent="0.3">
      <c r="A9690" t="s">
        <v>9817</v>
      </c>
      <c r="B9690" s="1">
        <v>45798</v>
      </c>
      <c r="C9690" t="s">
        <v>90</v>
      </c>
      <c r="D9690">
        <v>21</v>
      </c>
      <c r="E9690" t="s">
        <v>18</v>
      </c>
      <c r="F9690" t="s">
        <v>109</v>
      </c>
      <c r="G9690" t="s">
        <v>83</v>
      </c>
      <c r="H9690" t="s">
        <v>103</v>
      </c>
      <c r="I9690">
        <v>18584</v>
      </c>
      <c r="J9690">
        <v>18293</v>
      </c>
    </row>
    <row r="9691" spans="1:10" x14ac:dyDescent="0.3">
      <c r="A9691" t="s">
        <v>9818</v>
      </c>
      <c r="B9691" s="1">
        <v>45739</v>
      </c>
      <c r="C9691" t="s">
        <v>95</v>
      </c>
      <c r="D9691">
        <v>12</v>
      </c>
      <c r="E9691" t="s">
        <v>24</v>
      </c>
      <c r="F9691" t="s">
        <v>140</v>
      </c>
      <c r="G9691" t="s">
        <v>76</v>
      </c>
      <c r="H9691" t="s">
        <v>21</v>
      </c>
      <c r="I9691">
        <v>18611</v>
      </c>
      <c r="J9691">
        <v>23853</v>
      </c>
    </row>
    <row r="9692" spans="1:10" x14ac:dyDescent="0.3">
      <c r="A9692" t="s">
        <v>9819</v>
      </c>
      <c r="B9692" s="1">
        <v>45962</v>
      </c>
      <c r="C9692" t="s">
        <v>23</v>
      </c>
      <c r="D9692">
        <v>44</v>
      </c>
      <c r="E9692" t="s">
        <v>24</v>
      </c>
      <c r="F9692" t="s">
        <v>25</v>
      </c>
      <c r="G9692" t="s">
        <v>102</v>
      </c>
      <c r="H9692" t="s">
        <v>80</v>
      </c>
      <c r="I9692">
        <v>35442</v>
      </c>
      <c r="J9692">
        <v>30979</v>
      </c>
    </row>
    <row r="9693" spans="1:10" x14ac:dyDescent="0.3">
      <c r="A9693" t="s">
        <v>9820</v>
      </c>
      <c r="B9693" s="1">
        <v>45908</v>
      </c>
      <c r="C9693" t="s">
        <v>38</v>
      </c>
      <c r="D9693">
        <v>37</v>
      </c>
      <c r="E9693" t="s">
        <v>70</v>
      </c>
      <c r="F9693" t="s">
        <v>101</v>
      </c>
      <c r="G9693" t="s">
        <v>40</v>
      </c>
      <c r="H9693" t="s">
        <v>15</v>
      </c>
      <c r="I9693">
        <v>30698</v>
      </c>
      <c r="J9693">
        <v>22807</v>
      </c>
    </row>
    <row r="9694" spans="1:10" x14ac:dyDescent="0.3">
      <c r="A9694" t="s">
        <v>9821</v>
      </c>
      <c r="B9694" s="1">
        <v>45681</v>
      </c>
      <c r="C9694" t="s">
        <v>17</v>
      </c>
      <c r="D9694">
        <v>4</v>
      </c>
      <c r="E9694" t="s">
        <v>24</v>
      </c>
      <c r="F9694" t="s">
        <v>57</v>
      </c>
      <c r="G9694" t="s">
        <v>110</v>
      </c>
      <c r="H9694" t="s">
        <v>116</v>
      </c>
      <c r="I9694">
        <v>37094</v>
      </c>
      <c r="J9694">
        <v>45888</v>
      </c>
    </row>
    <row r="9695" spans="1:10" x14ac:dyDescent="0.3">
      <c r="A9695" t="s">
        <v>9822</v>
      </c>
      <c r="B9695" s="1">
        <v>45783</v>
      </c>
      <c r="C9695" t="s">
        <v>90</v>
      </c>
      <c r="D9695">
        <v>19</v>
      </c>
      <c r="E9695" t="s">
        <v>39</v>
      </c>
      <c r="F9695" t="s">
        <v>43</v>
      </c>
      <c r="G9695" t="s">
        <v>51</v>
      </c>
      <c r="H9695" t="s">
        <v>52</v>
      </c>
      <c r="I9695">
        <v>30058</v>
      </c>
      <c r="J9695">
        <v>38393</v>
      </c>
    </row>
    <row r="9696" spans="1:10" x14ac:dyDescent="0.3">
      <c r="A9696" t="s">
        <v>9823</v>
      </c>
      <c r="B9696" s="1">
        <v>45788</v>
      </c>
      <c r="C9696" t="s">
        <v>90</v>
      </c>
      <c r="D9696">
        <v>19</v>
      </c>
      <c r="E9696" t="s">
        <v>12</v>
      </c>
      <c r="F9696" t="s">
        <v>92</v>
      </c>
      <c r="G9696" t="s">
        <v>224</v>
      </c>
      <c r="H9696" t="s">
        <v>15</v>
      </c>
      <c r="I9696">
        <v>17994</v>
      </c>
      <c r="J9696">
        <v>21329</v>
      </c>
    </row>
    <row r="9697" spans="1:10" x14ac:dyDescent="0.3">
      <c r="A9697" t="s">
        <v>9824</v>
      </c>
      <c r="B9697" s="1">
        <v>45776</v>
      </c>
      <c r="C9697" t="s">
        <v>86</v>
      </c>
      <c r="D9697">
        <v>18</v>
      </c>
      <c r="E9697" t="s">
        <v>39</v>
      </c>
      <c r="F9697" t="s">
        <v>43</v>
      </c>
      <c r="G9697" t="s">
        <v>324</v>
      </c>
      <c r="H9697" t="s">
        <v>80</v>
      </c>
      <c r="I9697">
        <v>31395</v>
      </c>
      <c r="J9697">
        <v>40133</v>
      </c>
    </row>
    <row r="9698" spans="1:10" x14ac:dyDescent="0.3">
      <c r="A9698" t="s">
        <v>9825</v>
      </c>
      <c r="B9698" s="1">
        <v>45798</v>
      </c>
      <c r="C9698" t="s">
        <v>90</v>
      </c>
      <c r="D9698">
        <v>21</v>
      </c>
      <c r="E9698" t="s">
        <v>61</v>
      </c>
      <c r="F9698" t="s">
        <v>140</v>
      </c>
      <c r="G9698" t="s">
        <v>20</v>
      </c>
      <c r="H9698" t="s">
        <v>188</v>
      </c>
      <c r="I9698">
        <v>19853</v>
      </c>
      <c r="J9698">
        <v>14280</v>
      </c>
    </row>
    <row r="9699" spans="1:10" x14ac:dyDescent="0.3">
      <c r="A9699" t="s">
        <v>9826</v>
      </c>
      <c r="B9699" s="1">
        <v>46009</v>
      </c>
      <c r="C9699" t="s">
        <v>100</v>
      </c>
      <c r="D9699">
        <v>51</v>
      </c>
      <c r="E9699" t="s">
        <v>24</v>
      </c>
      <c r="F9699" t="s">
        <v>25</v>
      </c>
      <c r="G9699" t="s">
        <v>47</v>
      </c>
      <c r="H9699" t="s">
        <v>52</v>
      </c>
      <c r="I9699">
        <v>39540</v>
      </c>
      <c r="J9699">
        <v>43227</v>
      </c>
    </row>
    <row r="9700" spans="1:10" x14ac:dyDescent="0.3">
      <c r="A9700" t="s">
        <v>9827</v>
      </c>
      <c r="B9700" s="1">
        <v>45973</v>
      </c>
      <c r="C9700" t="s">
        <v>23</v>
      </c>
      <c r="D9700">
        <v>46</v>
      </c>
      <c r="E9700" t="s">
        <v>24</v>
      </c>
      <c r="F9700" t="s">
        <v>114</v>
      </c>
      <c r="G9700" t="s">
        <v>26</v>
      </c>
      <c r="H9700" t="s">
        <v>155</v>
      </c>
      <c r="I9700">
        <v>18591</v>
      </c>
      <c r="J9700">
        <v>21285</v>
      </c>
    </row>
    <row r="9701" spans="1:10" x14ac:dyDescent="0.3">
      <c r="A9701" t="s">
        <v>9828</v>
      </c>
      <c r="B9701" s="1">
        <v>45999</v>
      </c>
      <c r="C9701" t="s">
        <v>100</v>
      </c>
      <c r="D9701">
        <v>50</v>
      </c>
      <c r="E9701" t="s">
        <v>70</v>
      </c>
      <c r="F9701" t="s">
        <v>46</v>
      </c>
      <c r="G9701" t="s">
        <v>40</v>
      </c>
      <c r="H9701" t="s">
        <v>151</v>
      </c>
      <c r="I9701">
        <v>20935</v>
      </c>
      <c r="J9701">
        <v>20713</v>
      </c>
    </row>
    <row r="9702" spans="1:10" x14ac:dyDescent="0.3">
      <c r="A9702" t="s">
        <v>9829</v>
      </c>
      <c r="B9702" s="1">
        <v>45777</v>
      </c>
      <c r="C9702" t="s">
        <v>86</v>
      </c>
      <c r="D9702">
        <v>18</v>
      </c>
      <c r="E9702" t="s">
        <v>70</v>
      </c>
      <c r="F9702" t="s">
        <v>43</v>
      </c>
      <c r="G9702" t="s">
        <v>14</v>
      </c>
      <c r="H9702" t="s">
        <v>52</v>
      </c>
      <c r="I9702">
        <v>30425</v>
      </c>
      <c r="J9702">
        <v>31759</v>
      </c>
    </row>
    <row r="9703" spans="1:10" x14ac:dyDescent="0.3">
      <c r="A9703" t="s">
        <v>9830</v>
      </c>
      <c r="B9703" s="1">
        <v>45748</v>
      </c>
      <c r="C9703" t="s">
        <v>86</v>
      </c>
      <c r="D9703">
        <v>14</v>
      </c>
      <c r="E9703" t="s">
        <v>12</v>
      </c>
      <c r="F9703" t="s">
        <v>46</v>
      </c>
      <c r="G9703" t="s">
        <v>326</v>
      </c>
      <c r="H9703" t="s">
        <v>211</v>
      </c>
      <c r="I9703">
        <v>18422</v>
      </c>
      <c r="J9703">
        <v>16404</v>
      </c>
    </row>
    <row r="9704" spans="1:10" x14ac:dyDescent="0.3">
      <c r="A9704" t="s">
        <v>9831</v>
      </c>
      <c r="B9704" s="1">
        <v>45975</v>
      </c>
      <c r="C9704" t="s">
        <v>23</v>
      </c>
      <c r="D9704">
        <v>46</v>
      </c>
      <c r="E9704" t="s">
        <v>39</v>
      </c>
      <c r="F9704" t="s">
        <v>101</v>
      </c>
      <c r="G9704" t="s">
        <v>324</v>
      </c>
      <c r="H9704" t="s">
        <v>123</v>
      </c>
      <c r="I9704">
        <v>35779</v>
      </c>
      <c r="J9704">
        <v>37503</v>
      </c>
    </row>
    <row r="9705" spans="1:10" x14ac:dyDescent="0.3">
      <c r="A9705" t="s">
        <v>9832</v>
      </c>
      <c r="B9705" s="1">
        <v>45837</v>
      </c>
      <c r="C9705" t="s">
        <v>74</v>
      </c>
      <c r="D9705">
        <v>26</v>
      </c>
      <c r="E9705" t="s">
        <v>24</v>
      </c>
      <c r="F9705" t="s">
        <v>193</v>
      </c>
      <c r="G9705" t="s">
        <v>76</v>
      </c>
      <c r="H9705" t="s">
        <v>96</v>
      </c>
      <c r="I9705">
        <v>39073</v>
      </c>
      <c r="J9705">
        <v>28483</v>
      </c>
    </row>
    <row r="9706" spans="1:10" x14ac:dyDescent="0.3">
      <c r="A9706" t="s">
        <v>9833</v>
      </c>
      <c r="B9706" s="1">
        <v>45724</v>
      </c>
      <c r="C9706" t="s">
        <v>95</v>
      </c>
      <c r="D9706">
        <v>10</v>
      </c>
      <c r="E9706" t="s">
        <v>70</v>
      </c>
      <c r="F9706" t="s">
        <v>101</v>
      </c>
      <c r="G9706" t="s">
        <v>132</v>
      </c>
      <c r="H9706" t="s">
        <v>243</v>
      </c>
      <c r="I9706">
        <v>23275</v>
      </c>
      <c r="J9706">
        <v>22376</v>
      </c>
    </row>
    <row r="9707" spans="1:10" x14ac:dyDescent="0.3">
      <c r="A9707" t="s">
        <v>9834</v>
      </c>
      <c r="B9707" s="1">
        <v>45960</v>
      </c>
      <c r="C9707" t="s">
        <v>66</v>
      </c>
      <c r="D9707">
        <v>44</v>
      </c>
      <c r="E9707" t="s">
        <v>18</v>
      </c>
      <c r="F9707" t="s">
        <v>19</v>
      </c>
      <c r="G9707" t="s">
        <v>291</v>
      </c>
      <c r="H9707" t="s">
        <v>123</v>
      </c>
      <c r="I9707">
        <v>23697</v>
      </c>
      <c r="J9707">
        <v>20426</v>
      </c>
    </row>
    <row r="9708" spans="1:10" x14ac:dyDescent="0.3">
      <c r="A9708" t="s">
        <v>9835</v>
      </c>
      <c r="B9708" s="1">
        <v>45927</v>
      </c>
      <c r="C9708" t="s">
        <v>38</v>
      </c>
      <c r="D9708">
        <v>39</v>
      </c>
      <c r="E9708" t="s">
        <v>12</v>
      </c>
      <c r="F9708" t="s">
        <v>25</v>
      </c>
      <c r="G9708" t="s">
        <v>130</v>
      </c>
      <c r="H9708" t="s">
        <v>151</v>
      </c>
      <c r="I9708">
        <v>39658</v>
      </c>
      <c r="J9708">
        <v>50085</v>
      </c>
    </row>
    <row r="9709" spans="1:10" x14ac:dyDescent="0.3">
      <c r="A9709" t="s">
        <v>9836</v>
      </c>
      <c r="B9709" s="1">
        <v>45964</v>
      </c>
      <c r="C9709" t="s">
        <v>23</v>
      </c>
      <c r="D9709">
        <v>45</v>
      </c>
      <c r="E9709" t="s">
        <v>33</v>
      </c>
      <c r="F9709" t="s">
        <v>46</v>
      </c>
      <c r="G9709" t="s">
        <v>253</v>
      </c>
      <c r="H9709" t="s">
        <v>103</v>
      </c>
      <c r="I9709">
        <v>39824</v>
      </c>
      <c r="J9709">
        <v>47545</v>
      </c>
    </row>
    <row r="9710" spans="1:10" x14ac:dyDescent="0.3">
      <c r="A9710" t="s">
        <v>9837</v>
      </c>
      <c r="B9710" s="1">
        <v>45829</v>
      </c>
      <c r="C9710" t="s">
        <v>74</v>
      </c>
      <c r="D9710">
        <v>25</v>
      </c>
      <c r="E9710" t="s">
        <v>61</v>
      </c>
      <c r="F9710" t="s">
        <v>75</v>
      </c>
      <c r="G9710" t="s">
        <v>72</v>
      </c>
      <c r="H9710" t="s">
        <v>157</v>
      </c>
      <c r="I9710">
        <v>27493</v>
      </c>
      <c r="J9710">
        <v>22074</v>
      </c>
    </row>
    <row r="9711" spans="1:10" x14ac:dyDescent="0.3">
      <c r="A9711" t="s">
        <v>9838</v>
      </c>
      <c r="B9711" s="1">
        <v>45834</v>
      </c>
      <c r="C9711" t="s">
        <v>74</v>
      </c>
      <c r="D9711">
        <v>26</v>
      </c>
      <c r="E9711" t="s">
        <v>61</v>
      </c>
      <c r="F9711" t="s">
        <v>87</v>
      </c>
      <c r="G9711" t="s">
        <v>145</v>
      </c>
      <c r="H9711" t="s">
        <v>98</v>
      </c>
      <c r="I9711">
        <v>17742</v>
      </c>
      <c r="J9711">
        <v>16389</v>
      </c>
    </row>
    <row r="9712" spans="1:10" x14ac:dyDescent="0.3">
      <c r="A9712" t="s">
        <v>9839</v>
      </c>
      <c r="B9712" s="1">
        <v>45674</v>
      </c>
      <c r="C9712" t="s">
        <v>17</v>
      </c>
      <c r="D9712">
        <v>3</v>
      </c>
      <c r="E9712" t="s">
        <v>24</v>
      </c>
      <c r="F9712" t="s">
        <v>78</v>
      </c>
      <c r="G9712" t="s">
        <v>51</v>
      </c>
      <c r="H9712" t="s">
        <v>64</v>
      </c>
      <c r="I9712">
        <v>28117</v>
      </c>
      <c r="J9712">
        <v>24866</v>
      </c>
    </row>
    <row r="9713" spans="1:10" x14ac:dyDescent="0.3">
      <c r="A9713" t="s">
        <v>9840</v>
      </c>
      <c r="B9713" s="1">
        <v>45940</v>
      </c>
      <c r="C9713" t="s">
        <v>66</v>
      </c>
      <c r="D9713">
        <v>41</v>
      </c>
      <c r="E9713" t="s">
        <v>33</v>
      </c>
      <c r="F9713" t="s">
        <v>19</v>
      </c>
      <c r="G9713" t="s">
        <v>132</v>
      </c>
      <c r="H9713" t="s">
        <v>48</v>
      </c>
      <c r="I9713">
        <v>37625</v>
      </c>
      <c r="J9713">
        <v>33534</v>
      </c>
    </row>
    <row r="9714" spans="1:10" x14ac:dyDescent="0.3">
      <c r="A9714" t="s">
        <v>9841</v>
      </c>
      <c r="B9714" s="1">
        <v>45671</v>
      </c>
      <c r="C9714" t="s">
        <v>17</v>
      </c>
      <c r="D9714">
        <v>3</v>
      </c>
      <c r="E9714" t="s">
        <v>12</v>
      </c>
      <c r="F9714" t="s">
        <v>193</v>
      </c>
      <c r="G9714" t="s">
        <v>58</v>
      </c>
      <c r="H9714" t="s">
        <v>133</v>
      </c>
      <c r="I9714">
        <v>31617</v>
      </c>
      <c r="J9714">
        <v>22249</v>
      </c>
    </row>
    <row r="9715" spans="1:10" x14ac:dyDescent="0.3">
      <c r="A9715" t="s">
        <v>9842</v>
      </c>
      <c r="B9715" s="1">
        <v>45932</v>
      </c>
      <c r="C9715" t="s">
        <v>66</v>
      </c>
      <c r="D9715">
        <v>40</v>
      </c>
      <c r="E9715" t="s">
        <v>61</v>
      </c>
      <c r="F9715" t="s">
        <v>78</v>
      </c>
      <c r="G9715" t="s">
        <v>266</v>
      </c>
      <c r="H9715" t="s">
        <v>151</v>
      </c>
      <c r="I9715">
        <v>24029</v>
      </c>
      <c r="J9715">
        <v>22157</v>
      </c>
    </row>
    <row r="9716" spans="1:10" x14ac:dyDescent="0.3">
      <c r="A9716" t="s">
        <v>9843</v>
      </c>
      <c r="B9716" s="1">
        <v>45686</v>
      </c>
      <c r="C9716" t="s">
        <v>17</v>
      </c>
      <c r="D9716">
        <v>5</v>
      </c>
      <c r="E9716" t="s">
        <v>12</v>
      </c>
      <c r="F9716" t="s">
        <v>140</v>
      </c>
      <c r="G9716" t="s">
        <v>171</v>
      </c>
      <c r="H9716" t="s">
        <v>96</v>
      </c>
      <c r="I9716">
        <v>25504</v>
      </c>
      <c r="J9716">
        <v>30354</v>
      </c>
    </row>
    <row r="9717" spans="1:10" x14ac:dyDescent="0.3">
      <c r="A9717" t="s">
        <v>9844</v>
      </c>
      <c r="B9717" s="1">
        <v>45864</v>
      </c>
      <c r="C9717" t="s">
        <v>11</v>
      </c>
      <c r="D9717">
        <v>30</v>
      </c>
      <c r="E9717" t="s">
        <v>33</v>
      </c>
      <c r="F9717" t="s">
        <v>43</v>
      </c>
      <c r="G9717" t="s">
        <v>128</v>
      </c>
      <c r="H9717" t="s">
        <v>15</v>
      </c>
      <c r="I9717">
        <v>26086</v>
      </c>
      <c r="J9717">
        <v>29434</v>
      </c>
    </row>
    <row r="9718" spans="1:10" x14ac:dyDescent="0.3">
      <c r="A9718" t="s">
        <v>9845</v>
      </c>
      <c r="B9718" s="1">
        <v>45757</v>
      </c>
      <c r="C9718" t="s">
        <v>86</v>
      </c>
      <c r="D9718">
        <v>15</v>
      </c>
      <c r="E9718" t="s">
        <v>12</v>
      </c>
      <c r="F9718" t="s">
        <v>92</v>
      </c>
      <c r="G9718" t="s">
        <v>191</v>
      </c>
      <c r="H9718" t="s">
        <v>27</v>
      </c>
      <c r="I9718">
        <v>27046</v>
      </c>
      <c r="J9718">
        <v>21430</v>
      </c>
    </row>
    <row r="9719" spans="1:10" x14ac:dyDescent="0.3">
      <c r="A9719" t="s">
        <v>9846</v>
      </c>
      <c r="B9719" s="1">
        <v>45805</v>
      </c>
      <c r="C9719" t="s">
        <v>90</v>
      </c>
      <c r="D9719">
        <v>22</v>
      </c>
      <c r="E9719" t="s">
        <v>70</v>
      </c>
      <c r="F9719" t="s">
        <v>75</v>
      </c>
      <c r="G9719" t="s">
        <v>182</v>
      </c>
      <c r="H9719" t="s">
        <v>211</v>
      </c>
      <c r="I9719">
        <v>22518</v>
      </c>
      <c r="J9719">
        <v>20744</v>
      </c>
    </row>
    <row r="9720" spans="1:10" x14ac:dyDescent="0.3">
      <c r="A9720" t="s">
        <v>9847</v>
      </c>
      <c r="B9720" s="1">
        <v>46016</v>
      </c>
      <c r="C9720" t="s">
        <v>100</v>
      </c>
      <c r="D9720">
        <v>52</v>
      </c>
      <c r="E9720" t="s">
        <v>33</v>
      </c>
      <c r="F9720" t="s">
        <v>101</v>
      </c>
      <c r="G9720" t="s">
        <v>40</v>
      </c>
      <c r="H9720" t="s">
        <v>68</v>
      </c>
      <c r="I9720">
        <v>21307</v>
      </c>
      <c r="J9720">
        <v>15964</v>
      </c>
    </row>
    <row r="9721" spans="1:10" x14ac:dyDescent="0.3">
      <c r="A9721" t="s">
        <v>9848</v>
      </c>
      <c r="B9721" s="1">
        <v>45755</v>
      </c>
      <c r="C9721" t="s">
        <v>86</v>
      </c>
      <c r="D9721">
        <v>15</v>
      </c>
      <c r="E9721" t="s">
        <v>61</v>
      </c>
      <c r="F9721" t="s">
        <v>34</v>
      </c>
      <c r="G9721" t="s">
        <v>160</v>
      </c>
      <c r="H9721" t="s">
        <v>123</v>
      </c>
      <c r="I9721">
        <v>38452</v>
      </c>
      <c r="J9721">
        <v>33119</v>
      </c>
    </row>
    <row r="9722" spans="1:10" x14ac:dyDescent="0.3">
      <c r="A9722" t="s">
        <v>9849</v>
      </c>
      <c r="B9722" s="1">
        <v>45941</v>
      </c>
      <c r="C9722" t="s">
        <v>66</v>
      </c>
      <c r="D9722">
        <v>41</v>
      </c>
      <c r="E9722" t="s">
        <v>39</v>
      </c>
      <c r="F9722" t="s">
        <v>87</v>
      </c>
      <c r="G9722" t="s">
        <v>118</v>
      </c>
      <c r="H9722" t="s">
        <v>27</v>
      </c>
      <c r="I9722">
        <v>24253</v>
      </c>
      <c r="J9722">
        <v>24718</v>
      </c>
    </row>
    <row r="9723" spans="1:10" x14ac:dyDescent="0.3">
      <c r="A9723" t="s">
        <v>9850</v>
      </c>
      <c r="B9723" s="1">
        <v>45899</v>
      </c>
      <c r="C9723" t="s">
        <v>113</v>
      </c>
      <c r="D9723">
        <v>35</v>
      </c>
      <c r="E9723" t="s">
        <v>12</v>
      </c>
      <c r="F9723" t="s">
        <v>34</v>
      </c>
      <c r="G9723" t="s">
        <v>160</v>
      </c>
      <c r="H9723" t="s">
        <v>80</v>
      </c>
      <c r="I9723">
        <v>25383</v>
      </c>
      <c r="J9723">
        <v>20633</v>
      </c>
    </row>
    <row r="9724" spans="1:10" x14ac:dyDescent="0.3">
      <c r="A9724" t="s">
        <v>9851</v>
      </c>
      <c r="B9724" s="1">
        <v>46006</v>
      </c>
      <c r="C9724" t="s">
        <v>100</v>
      </c>
      <c r="D9724">
        <v>51</v>
      </c>
      <c r="E9724" t="s">
        <v>24</v>
      </c>
      <c r="F9724" t="s">
        <v>50</v>
      </c>
      <c r="G9724" t="s">
        <v>63</v>
      </c>
      <c r="H9724" t="s">
        <v>103</v>
      </c>
      <c r="I9724">
        <v>15528</v>
      </c>
      <c r="J9724">
        <v>18993</v>
      </c>
    </row>
    <row r="9725" spans="1:10" x14ac:dyDescent="0.3">
      <c r="A9725" t="s">
        <v>9852</v>
      </c>
      <c r="B9725" s="1">
        <v>45974</v>
      </c>
      <c r="C9725" t="s">
        <v>23</v>
      </c>
      <c r="D9725">
        <v>46</v>
      </c>
      <c r="E9725" t="s">
        <v>39</v>
      </c>
      <c r="F9725" t="s">
        <v>34</v>
      </c>
      <c r="G9725" t="s">
        <v>102</v>
      </c>
      <c r="H9725" t="s">
        <v>64</v>
      </c>
      <c r="I9725">
        <v>27101</v>
      </c>
      <c r="J9725">
        <v>34412</v>
      </c>
    </row>
    <row r="9726" spans="1:10" x14ac:dyDescent="0.3">
      <c r="A9726" t="s">
        <v>9853</v>
      </c>
      <c r="B9726" s="1">
        <v>46001</v>
      </c>
      <c r="C9726" t="s">
        <v>100</v>
      </c>
      <c r="D9726">
        <v>50</v>
      </c>
      <c r="E9726" t="s">
        <v>24</v>
      </c>
      <c r="F9726" t="s">
        <v>50</v>
      </c>
      <c r="G9726" t="s">
        <v>266</v>
      </c>
      <c r="H9726" t="s">
        <v>103</v>
      </c>
      <c r="I9726">
        <v>38131</v>
      </c>
      <c r="J9726">
        <v>33560</v>
      </c>
    </row>
    <row r="9727" spans="1:10" x14ac:dyDescent="0.3">
      <c r="A9727" t="s">
        <v>9854</v>
      </c>
      <c r="B9727" s="1">
        <v>45790</v>
      </c>
      <c r="C9727" t="s">
        <v>90</v>
      </c>
      <c r="D9727">
        <v>20</v>
      </c>
      <c r="E9727" t="s">
        <v>70</v>
      </c>
      <c r="F9727" t="s">
        <v>43</v>
      </c>
      <c r="G9727" t="s">
        <v>88</v>
      </c>
      <c r="H9727" t="s">
        <v>188</v>
      </c>
      <c r="I9727">
        <v>28410</v>
      </c>
      <c r="J9727">
        <v>27423</v>
      </c>
    </row>
    <row r="9728" spans="1:10" x14ac:dyDescent="0.3">
      <c r="A9728" t="s">
        <v>9855</v>
      </c>
      <c r="B9728" s="1">
        <v>45738</v>
      </c>
      <c r="C9728" t="s">
        <v>95</v>
      </c>
      <c r="D9728">
        <v>12</v>
      </c>
      <c r="E9728" t="s">
        <v>12</v>
      </c>
      <c r="F9728" t="s">
        <v>29</v>
      </c>
      <c r="G9728" t="s">
        <v>324</v>
      </c>
      <c r="H9728" t="s">
        <v>151</v>
      </c>
      <c r="I9728">
        <v>17821</v>
      </c>
      <c r="J9728">
        <v>19122</v>
      </c>
    </row>
    <row r="9729" spans="1:10" x14ac:dyDescent="0.3">
      <c r="A9729" t="s">
        <v>9856</v>
      </c>
      <c r="B9729" s="1">
        <v>45685</v>
      </c>
      <c r="C9729" t="s">
        <v>17</v>
      </c>
      <c r="D9729">
        <v>5</v>
      </c>
      <c r="E9729" t="s">
        <v>33</v>
      </c>
      <c r="F9729" t="s">
        <v>50</v>
      </c>
      <c r="G9729" t="s">
        <v>324</v>
      </c>
      <c r="H9729" t="s">
        <v>188</v>
      </c>
      <c r="I9729">
        <v>38672</v>
      </c>
      <c r="J9729">
        <v>37005</v>
      </c>
    </row>
    <row r="9730" spans="1:10" x14ac:dyDescent="0.3">
      <c r="A9730" t="s">
        <v>9857</v>
      </c>
      <c r="B9730" s="1">
        <v>45705</v>
      </c>
      <c r="C9730" t="s">
        <v>82</v>
      </c>
      <c r="D9730">
        <v>8</v>
      </c>
      <c r="E9730" t="s">
        <v>33</v>
      </c>
      <c r="F9730" t="s">
        <v>109</v>
      </c>
      <c r="G9730" t="s">
        <v>145</v>
      </c>
      <c r="H9730" t="s">
        <v>133</v>
      </c>
      <c r="I9730">
        <v>35009</v>
      </c>
      <c r="J9730">
        <v>32673</v>
      </c>
    </row>
    <row r="9731" spans="1:10" x14ac:dyDescent="0.3">
      <c r="A9731" t="s">
        <v>9858</v>
      </c>
      <c r="B9731" s="1">
        <v>45963</v>
      </c>
      <c r="C9731" t="s">
        <v>23</v>
      </c>
      <c r="D9731">
        <v>44</v>
      </c>
      <c r="E9731" t="s">
        <v>33</v>
      </c>
      <c r="F9731" t="s">
        <v>50</v>
      </c>
      <c r="G9731" t="s">
        <v>20</v>
      </c>
      <c r="H9731" t="s">
        <v>21</v>
      </c>
      <c r="I9731">
        <v>25607</v>
      </c>
      <c r="J9731">
        <v>17998</v>
      </c>
    </row>
    <row r="9732" spans="1:10" x14ac:dyDescent="0.3">
      <c r="A9732" t="s">
        <v>9859</v>
      </c>
      <c r="B9732" s="1">
        <v>45823</v>
      </c>
      <c r="C9732" t="s">
        <v>74</v>
      </c>
      <c r="D9732">
        <v>24</v>
      </c>
      <c r="E9732" t="s">
        <v>24</v>
      </c>
      <c r="F9732" t="s">
        <v>101</v>
      </c>
      <c r="G9732" t="s">
        <v>63</v>
      </c>
      <c r="H9732" t="s">
        <v>68</v>
      </c>
      <c r="I9732">
        <v>34741</v>
      </c>
      <c r="J9732">
        <v>26158</v>
      </c>
    </row>
    <row r="9733" spans="1:10" x14ac:dyDescent="0.3">
      <c r="A9733" t="s">
        <v>9860</v>
      </c>
      <c r="B9733" s="1">
        <v>45748</v>
      </c>
      <c r="C9733" t="s">
        <v>86</v>
      </c>
      <c r="D9733">
        <v>14</v>
      </c>
      <c r="E9733" t="s">
        <v>24</v>
      </c>
      <c r="F9733" t="s">
        <v>78</v>
      </c>
      <c r="G9733" t="s">
        <v>14</v>
      </c>
      <c r="H9733" t="s">
        <v>155</v>
      </c>
      <c r="I9733">
        <v>32028</v>
      </c>
      <c r="J9733">
        <v>39759</v>
      </c>
    </row>
    <row r="9734" spans="1:10" x14ac:dyDescent="0.3">
      <c r="A9734" t="s">
        <v>9861</v>
      </c>
      <c r="B9734" s="1">
        <v>45974</v>
      </c>
      <c r="C9734" t="s">
        <v>23</v>
      </c>
      <c r="D9734">
        <v>46</v>
      </c>
      <c r="E9734" t="s">
        <v>61</v>
      </c>
      <c r="F9734" t="s">
        <v>75</v>
      </c>
      <c r="G9734" t="s">
        <v>128</v>
      </c>
      <c r="H9734" t="s">
        <v>98</v>
      </c>
      <c r="I9734">
        <v>31502</v>
      </c>
      <c r="J9734">
        <v>26765</v>
      </c>
    </row>
    <row r="9735" spans="1:10" x14ac:dyDescent="0.3">
      <c r="A9735" t="s">
        <v>9862</v>
      </c>
      <c r="B9735" s="1">
        <v>45983</v>
      </c>
      <c r="C9735" t="s">
        <v>23</v>
      </c>
      <c r="D9735">
        <v>47</v>
      </c>
      <c r="E9735" t="s">
        <v>12</v>
      </c>
      <c r="F9735" t="s">
        <v>57</v>
      </c>
      <c r="G9735" t="s">
        <v>63</v>
      </c>
      <c r="H9735" t="s">
        <v>36</v>
      </c>
      <c r="I9735">
        <v>21641</v>
      </c>
      <c r="J9735">
        <v>22747</v>
      </c>
    </row>
    <row r="9736" spans="1:10" x14ac:dyDescent="0.3">
      <c r="A9736" t="s">
        <v>9863</v>
      </c>
      <c r="B9736" s="1">
        <v>45980</v>
      </c>
      <c r="C9736" t="s">
        <v>23</v>
      </c>
      <c r="D9736">
        <v>47</v>
      </c>
      <c r="E9736" t="s">
        <v>39</v>
      </c>
      <c r="F9736" t="s">
        <v>25</v>
      </c>
      <c r="G9736" t="s">
        <v>76</v>
      </c>
      <c r="H9736" t="s">
        <v>52</v>
      </c>
      <c r="I9736">
        <v>24786</v>
      </c>
      <c r="J9736">
        <v>29262</v>
      </c>
    </row>
    <row r="9737" spans="1:10" x14ac:dyDescent="0.3">
      <c r="A9737" t="s">
        <v>9864</v>
      </c>
      <c r="B9737" s="1">
        <v>45680</v>
      </c>
      <c r="C9737" t="s">
        <v>17</v>
      </c>
      <c r="D9737">
        <v>4</v>
      </c>
      <c r="E9737" t="s">
        <v>70</v>
      </c>
      <c r="F9737" t="s">
        <v>13</v>
      </c>
      <c r="G9737" t="s">
        <v>128</v>
      </c>
      <c r="H9737" t="s">
        <v>243</v>
      </c>
      <c r="I9737">
        <v>37930</v>
      </c>
      <c r="J9737">
        <v>43638</v>
      </c>
    </row>
    <row r="9738" spans="1:10" x14ac:dyDescent="0.3">
      <c r="A9738" t="s">
        <v>9865</v>
      </c>
      <c r="B9738" s="1">
        <v>45888</v>
      </c>
      <c r="C9738" t="s">
        <v>113</v>
      </c>
      <c r="D9738">
        <v>34</v>
      </c>
      <c r="E9738" t="s">
        <v>12</v>
      </c>
      <c r="F9738" t="s">
        <v>62</v>
      </c>
      <c r="G9738" t="s">
        <v>20</v>
      </c>
      <c r="H9738" t="s">
        <v>96</v>
      </c>
      <c r="I9738">
        <v>16022</v>
      </c>
      <c r="J9738">
        <v>19112</v>
      </c>
    </row>
    <row r="9739" spans="1:10" x14ac:dyDescent="0.3">
      <c r="A9739" t="s">
        <v>9866</v>
      </c>
      <c r="B9739" s="1">
        <v>45849</v>
      </c>
      <c r="C9739" t="s">
        <v>11</v>
      </c>
      <c r="D9739">
        <v>28</v>
      </c>
      <c r="E9739" t="s">
        <v>33</v>
      </c>
      <c r="F9739" t="s">
        <v>57</v>
      </c>
      <c r="G9739" t="s">
        <v>130</v>
      </c>
      <c r="H9739" t="s">
        <v>21</v>
      </c>
      <c r="I9739">
        <v>37869</v>
      </c>
      <c r="J9739">
        <v>34122</v>
      </c>
    </row>
    <row r="9740" spans="1:10" x14ac:dyDescent="0.3">
      <c r="A9740" t="s">
        <v>9867</v>
      </c>
      <c r="B9740" s="1">
        <v>45994</v>
      </c>
      <c r="C9740" t="s">
        <v>100</v>
      </c>
      <c r="D9740">
        <v>49</v>
      </c>
      <c r="E9740" t="s">
        <v>39</v>
      </c>
      <c r="F9740" t="s">
        <v>43</v>
      </c>
      <c r="G9740" t="s">
        <v>40</v>
      </c>
      <c r="H9740" t="s">
        <v>155</v>
      </c>
      <c r="I9740">
        <v>19073</v>
      </c>
      <c r="J9740">
        <v>18754</v>
      </c>
    </row>
    <row r="9741" spans="1:10" x14ac:dyDescent="0.3">
      <c r="A9741" t="s">
        <v>9868</v>
      </c>
      <c r="B9741" s="1">
        <v>45751</v>
      </c>
      <c r="C9741" t="s">
        <v>86</v>
      </c>
      <c r="D9741">
        <v>14</v>
      </c>
      <c r="E9741" t="s">
        <v>39</v>
      </c>
      <c r="F9741" t="s">
        <v>78</v>
      </c>
      <c r="G9741" t="s">
        <v>26</v>
      </c>
      <c r="H9741" t="s">
        <v>64</v>
      </c>
      <c r="I9741">
        <v>22059</v>
      </c>
      <c r="J9741">
        <v>15926</v>
      </c>
    </row>
    <row r="9742" spans="1:10" x14ac:dyDescent="0.3">
      <c r="A9742" t="s">
        <v>9869</v>
      </c>
      <c r="B9742" s="1">
        <v>45865</v>
      </c>
      <c r="C9742" t="s">
        <v>11</v>
      </c>
      <c r="D9742">
        <v>30</v>
      </c>
      <c r="E9742" t="s">
        <v>33</v>
      </c>
      <c r="F9742" t="s">
        <v>57</v>
      </c>
      <c r="G9742" t="s">
        <v>40</v>
      </c>
      <c r="H9742" t="s">
        <v>15</v>
      </c>
      <c r="I9742">
        <v>38832</v>
      </c>
      <c r="J9742">
        <v>30624</v>
      </c>
    </row>
    <row r="9743" spans="1:10" x14ac:dyDescent="0.3">
      <c r="A9743" t="s">
        <v>9870</v>
      </c>
      <c r="B9743" s="1">
        <v>45660</v>
      </c>
      <c r="C9743" t="s">
        <v>17</v>
      </c>
      <c r="D9743">
        <v>1</v>
      </c>
      <c r="E9743" t="s">
        <v>12</v>
      </c>
      <c r="F9743" t="s">
        <v>62</v>
      </c>
      <c r="G9743" t="s">
        <v>110</v>
      </c>
      <c r="H9743" t="s">
        <v>52</v>
      </c>
      <c r="I9743">
        <v>22469</v>
      </c>
      <c r="J9743">
        <v>26629</v>
      </c>
    </row>
    <row r="9744" spans="1:10" x14ac:dyDescent="0.3">
      <c r="A9744" t="s">
        <v>9871</v>
      </c>
      <c r="B9744" s="1">
        <v>45864</v>
      </c>
      <c r="C9744" t="s">
        <v>11</v>
      </c>
      <c r="D9744">
        <v>30</v>
      </c>
      <c r="E9744" t="s">
        <v>70</v>
      </c>
      <c r="F9744" t="s">
        <v>43</v>
      </c>
      <c r="G9744" t="s">
        <v>83</v>
      </c>
      <c r="H9744" t="s">
        <v>116</v>
      </c>
      <c r="I9744">
        <v>32193</v>
      </c>
      <c r="J9744">
        <v>41816</v>
      </c>
    </row>
    <row r="9745" spans="1:10" x14ac:dyDescent="0.3">
      <c r="A9745" t="s">
        <v>9872</v>
      </c>
      <c r="B9745" s="1">
        <v>45676</v>
      </c>
      <c r="C9745" t="s">
        <v>17</v>
      </c>
      <c r="D9745">
        <v>3</v>
      </c>
      <c r="E9745" t="s">
        <v>24</v>
      </c>
      <c r="F9745" t="s">
        <v>62</v>
      </c>
      <c r="G9745" t="s">
        <v>54</v>
      </c>
      <c r="H9745" t="s">
        <v>64</v>
      </c>
      <c r="I9745">
        <v>15995</v>
      </c>
      <c r="J9745">
        <v>18477</v>
      </c>
    </row>
    <row r="9746" spans="1:10" x14ac:dyDescent="0.3">
      <c r="A9746" t="s">
        <v>9873</v>
      </c>
      <c r="B9746" s="1">
        <v>45854</v>
      </c>
      <c r="C9746" t="s">
        <v>11</v>
      </c>
      <c r="D9746">
        <v>29</v>
      </c>
      <c r="E9746" t="s">
        <v>61</v>
      </c>
      <c r="F9746" t="s">
        <v>92</v>
      </c>
      <c r="G9746" t="s">
        <v>14</v>
      </c>
      <c r="H9746" t="s">
        <v>133</v>
      </c>
      <c r="I9746">
        <v>35567</v>
      </c>
      <c r="J9746">
        <v>37012</v>
      </c>
    </row>
    <row r="9747" spans="1:10" x14ac:dyDescent="0.3">
      <c r="A9747" t="s">
        <v>9874</v>
      </c>
      <c r="B9747" s="1">
        <v>45955</v>
      </c>
      <c r="C9747" t="s">
        <v>66</v>
      </c>
      <c r="D9747">
        <v>43</v>
      </c>
      <c r="E9747" t="s">
        <v>39</v>
      </c>
      <c r="F9747" t="s">
        <v>92</v>
      </c>
      <c r="G9747" t="s">
        <v>147</v>
      </c>
      <c r="H9747" t="s">
        <v>103</v>
      </c>
      <c r="I9747">
        <v>29760</v>
      </c>
      <c r="J9747">
        <v>34592</v>
      </c>
    </row>
    <row r="9748" spans="1:10" x14ac:dyDescent="0.3">
      <c r="A9748" t="s">
        <v>9875</v>
      </c>
      <c r="B9748" s="1">
        <v>45966</v>
      </c>
      <c r="C9748" t="s">
        <v>23</v>
      </c>
      <c r="D9748">
        <v>45</v>
      </c>
      <c r="E9748" t="s">
        <v>18</v>
      </c>
      <c r="F9748" t="s">
        <v>109</v>
      </c>
      <c r="G9748" t="s">
        <v>230</v>
      </c>
      <c r="H9748" t="s">
        <v>243</v>
      </c>
      <c r="I9748">
        <v>35874</v>
      </c>
      <c r="J9748">
        <v>36802</v>
      </c>
    </row>
    <row r="9749" spans="1:10" x14ac:dyDescent="0.3">
      <c r="A9749" t="s">
        <v>9876</v>
      </c>
      <c r="B9749" s="1">
        <v>45984</v>
      </c>
      <c r="C9749" t="s">
        <v>23</v>
      </c>
      <c r="D9749">
        <v>47</v>
      </c>
      <c r="E9749" t="s">
        <v>18</v>
      </c>
      <c r="F9749" t="s">
        <v>50</v>
      </c>
      <c r="G9749" t="s">
        <v>83</v>
      </c>
      <c r="H9749" t="s">
        <v>21</v>
      </c>
      <c r="I9749">
        <v>31095</v>
      </c>
      <c r="J9749">
        <v>39464</v>
      </c>
    </row>
    <row r="9750" spans="1:10" x14ac:dyDescent="0.3">
      <c r="A9750" t="s">
        <v>9877</v>
      </c>
      <c r="B9750" s="1">
        <v>45756</v>
      </c>
      <c r="C9750" t="s">
        <v>86</v>
      </c>
      <c r="D9750">
        <v>15</v>
      </c>
      <c r="E9750" t="s">
        <v>18</v>
      </c>
      <c r="F9750" t="s">
        <v>92</v>
      </c>
      <c r="G9750" t="s">
        <v>44</v>
      </c>
      <c r="H9750" t="s">
        <v>96</v>
      </c>
      <c r="I9750">
        <v>29479</v>
      </c>
      <c r="J9750">
        <v>32324</v>
      </c>
    </row>
    <row r="9751" spans="1:10" x14ac:dyDescent="0.3">
      <c r="A9751" t="s">
        <v>9878</v>
      </c>
      <c r="B9751" s="1">
        <v>45684</v>
      </c>
      <c r="C9751" t="s">
        <v>17</v>
      </c>
      <c r="D9751">
        <v>5</v>
      </c>
      <c r="E9751" t="s">
        <v>70</v>
      </c>
      <c r="F9751" t="s">
        <v>29</v>
      </c>
      <c r="G9751" t="s">
        <v>182</v>
      </c>
      <c r="H9751" t="s">
        <v>48</v>
      </c>
      <c r="I9751">
        <v>24735</v>
      </c>
      <c r="J9751">
        <v>18291</v>
      </c>
    </row>
    <row r="9752" spans="1:10" x14ac:dyDescent="0.3">
      <c r="A9752" t="s">
        <v>9879</v>
      </c>
      <c r="B9752" s="1">
        <v>45823</v>
      </c>
      <c r="C9752" t="s">
        <v>74</v>
      </c>
      <c r="D9752">
        <v>24</v>
      </c>
      <c r="E9752" t="s">
        <v>33</v>
      </c>
      <c r="F9752" t="s">
        <v>75</v>
      </c>
      <c r="G9752" t="s">
        <v>182</v>
      </c>
      <c r="H9752" t="s">
        <v>59</v>
      </c>
      <c r="I9752">
        <v>15190</v>
      </c>
      <c r="J9752">
        <v>13333</v>
      </c>
    </row>
    <row r="9753" spans="1:10" x14ac:dyDescent="0.3">
      <c r="A9753" t="s">
        <v>9880</v>
      </c>
      <c r="B9753" s="1">
        <v>45897</v>
      </c>
      <c r="C9753" t="s">
        <v>113</v>
      </c>
      <c r="D9753">
        <v>35</v>
      </c>
      <c r="E9753" t="s">
        <v>39</v>
      </c>
      <c r="F9753" t="s">
        <v>87</v>
      </c>
      <c r="G9753" t="s">
        <v>63</v>
      </c>
      <c r="H9753" t="s">
        <v>84</v>
      </c>
      <c r="I9753">
        <v>31818</v>
      </c>
      <c r="J9753">
        <v>30320</v>
      </c>
    </row>
    <row r="9754" spans="1:10" x14ac:dyDescent="0.3">
      <c r="A9754" t="s">
        <v>9881</v>
      </c>
      <c r="B9754" s="1">
        <v>45974</v>
      </c>
      <c r="C9754" t="s">
        <v>23</v>
      </c>
      <c r="D9754">
        <v>46</v>
      </c>
      <c r="E9754" t="s">
        <v>18</v>
      </c>
      <c r="F9754" t="s">
        <v>78</v>
      </c>
      <c r="G9754" t="s">
        <v>160</v>
      </c>
      <c r="H9754" t="s">
        <v>133</v>
      </c>
      <c r="I9754">
        <v>30082</v>
      </c>
      <c r="J9754">
        <v>38233</v>
      </c>
    </row>
    <row r="9755" spans="1:10" x14ac:dyDescent="0.3">
      <c r="A9755" t="s">
        <v>9882</v>
      </c>
      <c r="B9755" s="1">
        <v>45676</v>
      </c>
      <c r="C9755" t="s">
        <v>17</v>
      </c>
      <c r="D9755">
        <v>3</v>
      </c>
      <c r="E9755" t="s">
        <v>61</v>
      </c>
      <c r="F9755" t="s">
        <v>101</v>
      </c>
      <c r="G9755" t="s">
        <v>44</v>
      </c>
      <c r="H9755" t="s">
        <v>80</v>
      </c>
      <c r="I9755">
        <v>19821</v>
      </c>
      <c r="J9755">
        <v>22558</v>
      </c>
    </row>
    <row r="9756" spans="1:10" x14ac:dyDescent="0.3">
      <c r="A9756" t="s">
        <v>9883</v>
      </c>
      <c r="B9756" s="1">
        <v>45795</v>
      </c>
      <c r="C9756" t="s">
        <v>90</v>
      </c>
      <c r="D9756">
        <v>20</v>
      </c>
      <c r="E9756" t="s">
        <v>70</v>
      </c>
      <c r="F9756" t="s">
        <v>109</v>
      </c>
      <c r="G9756" t="s">
        <v>72</v>
      </c>
      <c r="H9756" t="s">
        <v>64</v>
      </c>
      <c r="I9756">
        <v>32536</v>
      </c>
      <c r="J9756">
        <v>27449</v>
      </c>
    </row>
    <row r="9757" spans="1:10" x14ac:dyDescent="0.3">
      <c r="A9757" t="s">
        <v>9884</v>
      </c>
      <c r="B9757" s="1">
        <v>45783</v>
      </c>
      <c r="C9757" t="s">
        <v>90</v>
      </c>
      <c r="D9757">
        <v>19</v>
      </c>
      <c r="E9757" t="s">
        <v>12</v>
      </c>
      <c r="F9757" t="s">
        <v>122</v>
      </c>
      <c r="G9757" t="s">
        <v>51</v>
      </c>
      <c r="H9757" t="s">
        <v>103</v>
      </c>
      <c r="I9757">
        <v>20758</v>
      </c>
      <c r="J9757">
        <v>26761</v>
      </c>
    </row>
    <row r="9758" spans="1:10" x14ac:dyDescent="0.3">
      <c r="A9758" t="s">
        <v>9885</v>
      </c>
      <c r="B9758" s="1">
        <v>45901</v>
      </c>
      <c r="C9758" t="s">
        <v>38</v>
      </c>
      <c r="D9758">
        <v>36</v>
      </c>
      <c r="E9758" t="s">
        <v>33</v>
      </c>
      <c r="F9758" t="s">
        <v>29</v>
      </c>
      <c r="G9758" t="s">
        <v>20</v>
      </c>
      <c r="H9758" t="s">
        <v>211</v>
      </c>
      <c r="I9758">
        <v>37477</v>
      </c>
      <c r="J9758">
        <v>42131</v>
      </c>
    </row>
    <row r="9759" spans="1:10" x14ac:dyDescent="0.3">
      <c r="A9759" t="s">
        <v>9886</v>
      </c>
      <c r="B9759" s="1">
        <v>45694</v>
      </c>
      <c r="C9759" t="s">
        <v>82</v>
      </c>
      <c r="D9759">
        <v>6</v>
      </c>
      <c r="E9759" t="s">
        <v>39</v>
      </c>
      <c r="F9759" t="s">
        <v>87</v>
      </c>
      <c r="G9759" t="s">
        <v>63</v>
      </c>
      <c r="H9759" t="s">
        <v>111</v>
      </c>
      <c r="I9759">
        <v>18903</v>
      </c>
      <c r="J9759">
        <v>21099</v>
      </c>
    </row>
    <row r="9760" spans="1:10" x14ac:dyDescent="0.3">
      <c r="A9760" t="s">
        <v>9887</v>
      </c>
      <c r="B9760" s="1">
        <v>45684</v>
      </c>
      <c r="C9760" t="s">
        <v>17</v>
      </c>
      <c r="D9760">
        <v>5</v>
      </c>
      <c r="E9760" t="s">
        <v>18</v>
      </c>
      <c r="F9760" t="s">
        <v>50</v>
      </c>
      <c r="G9760" t="s">
        <v>199</v>
      </c>
      <c r="H9760" t="s">
        <v>188</v>
      </c>
      <c r="I9760">
        <v>37855</v>
      </c>
      <c r="J9760">
        <v>40784</v>
      </c>
    </row>
    <row r="9761" spans="1:10" x14ac:dyDescent="0.3">
      <c r="A9761" t="s">
        <v>9888</v>
      </c>
      <c r="B9761" s="1">
        <v>45881</v>
      </c>
      <c r="C9761" t="s">
        <v>113</v>
      </c>
      <c r="D9761">
        <v>33</v>
      </c>
      <c r="E9761" t="s">
        <v>24</v>
      </c>
      <c r="F9761" t="s">
        <v>50</v>
      </c>
      <c r="G9761" t="s">
        <v>234</v>
      </c>
      <c r="H9761" t="s">
        <v>68</v>
      </c>
      <c r="I9761">
        <v>39884</v>
      </c>
      <c r="J9761">
        <v>35217</v>
      </c>
    </row>
    <row r="9762" spans="1:10" x14ac:dyDescent="0.3">
      <c r="A9762" t="s">
        <v>9889</v>
      </c>
      <c r="B9762" s="1">
        <v>45768</v>
      </c>
      <c r="C9762" t="s">
        <v>86</v>
      </c>
      <c r="D9762">
        <v>17</v>
      </c>
      <c r="E9762" t="s">
        <v>61</v>
      </c>
      <c r="F9762" t="s">
        <v>122</v>
      </c>
      <c r="G9762" t="s">
        <v>145</v>
      </c>
      <c r="H9762" t="s">
        <v>27</v>
      </c>
      <c r="I9762">
        <v>17451</v>
      </c>
      <c r="J9762">
        <v>20598</v>
      </c>
    </row>
    <row r="9763" spans="1:10" x14ac:dyDescent="0.3">
      <c r="A9763" t="s">
        <v>9890</v>
      </c>
      <c r="B9763" s="1">
        <v>45708</v>
      </c>
      <c r="C9763" t="s">
        <v>82</v>
      </c>
      <c r="D9763">
        <v>8</v>
      </c>
      <c r="E9763" t="s">
        <v>70</v>
      </c>
      <c r="F9763" t="s">
        <v>13</v>
      </c>
      <c r="G9763" t="s">
        <v>67</v>
      </c>
      <c r="H9763" t="s">
        <v>84</v>
      </c>
      <c r="I9763">
        <v>23136</v>
      </c>
      <c r="J9763">
        <v>20441</v>
      </c>
    </row>
    <row r="9764" spans="1:10" x14ac:dyDescent="0.3">
      <c r="A9764" t="s">
        <v>9891</v>
      </c>
      <c r="B9764" s="1">
        <v>45682</v>
      </c>
      <c r="C9764" t="s">
        <v>17</v>
      </c>
      <c r="D9764">
        <v>4</v>
      </c>
      <c r="E9764" t="s">
        <v>24</v>
      </c>
      <c r="F9764" t="s">
        <v>92</v>
      </c>
      <c r="G9764" t="s">
        <v>206</v>
      </c>
      <c r="H9764" t="s">
        <v>133</v>
      </c>
      <c r="I9764">
        <v>36727</v>
      </c>
      <c r="J9764">
        <v>33491</v>
      </c>
    </row>
    <row r="9765" spans="1:10" x14ac:dyDescent="0.3">
      <c r="A9765" t="s">
        <v>9892</v>
      </c>
      <c r="B9765" s="1">
        <v>45934</v>
      </c>
      <c r="C9765" t="s">
        <v>66</v>
      </c>
      <c r="D9765">
        <v>40</v>
      </c>
      <c r="E9765" t="s">
        <v>39</v>
      </c>
      <c r="F9765" t="s">
        <v>75</v>
      </c>
      <c r="G9765" t="s">
        <v>54</v>
      </c>
      <c r="H9765" t="s">
        <v>36</v>
      </c>
      <c r="I9765">
        <v>32231</v>
      </c>
      <c r="J9765">
        <v>34965</v>
      </c>
    </row>
    <row r="9766" spans="1:10" x14ac:dyDescent="0.3">
      <c r="A9766" t="s">
        <v>9893</v>
      </c>
      <c r="B9766" s="1">
        <v>45849</v>
      </c>
      <c r="C9766" t="s">
        <v>11</v>
      </c>
      <c r="D9766">
        <v>28</v>
      </c>
      <c r="E9766" t="s">
        <v>70</v>
      </c>
      <c r="F9766" t="s">
        <v>25</v>
      </c>
      <c r="G9766" t="s">
        <v>93</v>
      </c>
      <c r="H9766" t="s">
        <v>41</v>
      </c>
      <c r="I9766">
        <v>21721</v>
      </c>
      <c r="J9766">
        <v>18730</v>
      </c>
    </row>
    <row r="9767" spans="1:10" x14ac:dyDescent="0.3">
      <c r="A9767" t="s">
        <v>9894</v>
      </c>
      <c r="B9767" s="1">
        <v>45971</v>
      </c>
      <c r="C9767" t="s">
        <v>23</v>
      </c>
      <c r="D9767">
        <v>46</v>
      </c>
      <c r="E9767" t="s">
        <v>61</v>
      </c>
      <c r="F9767" t="s">
        <v>29</v>
      </c>
      <c r="G9767" t="s">
        <v>266</v>
      </c>
      <c r="H9767" t="s">
        <v>84</v>
      </c>
      <c r="I9767">
        <v>28419</v>
      </c>
      <c r="J9767">
        <v>29348</v>
      </c>
    </row>
    <row r="9768" spans="1:10" x14ac:dyDescent="0.3">
      <c r="A9768" t="s">
        <v>9895</v>
      </c>
      <c r="B9768" s="1">
        <v>45733</v>
      </c>
      <c r="C9768" t="s">
        <v>95</v>
      </c>
      <c r="D9768">
        <v>12</v>
      </c>
      <c r="E9768" t="s">
        <v>61</v>
      </c>
      <c r="F9768" t="s">
        <v>46</v>
      </c>
      <c r="G9768" t="s">
        <v>40</v>
      </c>
      <c r="H9768" t="s">
        <v>188</v>
      </c>
      <c r="I9768">
        <v>26891</v>
      </c>
      <c r="J9768">
        <v>28019</v>
      </c>
    </row>
    <row r="9769" spans="1:10" x14ac:dyDescent="0.3">
      <c r="A9769" t="s">
        <v>9896</v>
      </c>
      <c r="B9769" s="1">
        <v>45746</v>
      </c>
      <c r="C9769" t="s">
        <v>95</v>
      </c>
      <c r="D9769">
        <v>13</v>
      </c>
      <c r="E9769" t="s">
        <v>24</v>
      </c>
      <c r="F9769" t="s">
        <v>62</v>
      </c>
      <c r="G9769" t="s">
        <v>224</v>
      </c>
      <c r="H9769" t="s">
        <v>155</v>
      </c>
      <c r="I9769">
        <v>17153</v>
      </c>
      <c r="J9769">
        <v>18243</v>
      </c>
    </row>
    <row r="9770" spans="1:10" x14ac:dyDescent="0.3">
      <c r="A9770" t="s">
        <v>9897</v>
      </c>
      <c r="B9770" s="1">
        <v>45972</v>
      </c>
      <c r="C9770" t="s">
        <v>23</v>
      </c>
      <c r="D9770">
        <v>46</v>
      </c>
      <c r="E9770" t="s">
        <v>39</v>
      </c>
      <c r="F9770" t="s">
        <v>50</v>
      </c>
      <c r="G9770" t="s">
        <v>201</v>
      </c>
      <c r="H9770" t="s">
        <v>68</v>
      </c>
      <c r="I9770">
        <v>30114</v>
      </c>
      <c r="J9770">
        <v>31369</v>
      </c>
    </row>
    <row r="9771" spans="1:10" x14ac:dyDescent="0.3">
      <c r="A9771" t="s">
        <v>9898</v>
      </c>
      <c r="B9771" s="1">
        <v>45932</v>
      </c>
      <c r="C9771" t="s">
        <v>66</v>
      </c>
      <c r="D9771">
        <v>40</v>
      </c>
      <c r="E9771" t="s">
        <v>39</v>
      </c>
      <c r="F9771" t="s">
        <v>50</v>
      </c>
      <c r="G9771" t="s">
        <v>137</v>
      </c>
      <c r="H9771" t="s">
        <v>55</v>
      </c>
      <c r="I9771">
        <v>34956</v>
      </c>
      <c r="J9771">
        <v>31340</v>
      </c>
    </row>
    <row r="9772" spans="1:10" x14ac:dyDescent="0.3">
      <c r="A9772" t="s">
        <v>9899</v>
      </c>
      <c r="B9772" s="1">
        <v>45922</v>
      </c>
      <c r="C9772" t="s">
        <v>38</v>
      </c>
      <c r="D9772">
        <v>39</v>
      </c>
      <c r="E9772" t="s">
        <v>12</v>
      </c>
      <c r="F9772" t="s">
        <v>78</v>
      </c>
      <c r="G9772" t="s">
        <v>160</v>
      </c>
      <c r="H9772" t="s">
        <v>48</v>
      </c>
      <c r="I9772">
        <v>26001</v>
      </c>
      <c r="J9772">
        <v>21086</v>
      </c>
    </row>
    <row r="9773" spans="1:10" x14ac:dyDescent="0.3">
      <c r="A9773" t="s">
        <v>9900</v>
      </c>
      <c r="B9773" s="1">
        <v>45785</v>
      </c>
      <c r="C9773" t="s">
        <v>90</v>
      </c>
      <c r="D9773">
        <v>19</v>
      </c>
      <c r="E9773" t="s">
        <v>24</v>
      </c>
      <c r="F9773" t="s">
        <v>57</v>
      </c>
      <c r="G9773" t="s">
        <v>141</v>
      </c>
      <c r="H9773" t="s">
        <v>116</v>
      </c>
      <c r="I9773">
        <v>21775</v>
      </c>
      <c r="J9773">
        <v>26706</v>
      </c>
    </row>
    <row r="9774" spans="1:10" x14ac:dyDescent="0.3">
      <c r="A9774" t="s">
        <v>9901</v>
      </c>
      <c r="B9774" s="1">
        <v>45849</v>
      </c>
      <c r="C9774" t="s">
        <v>11</v>
      </c>
      <c r="D9774">
        <v>28</v>
      </c>
      <c r="E9774" t="s">
        <v>24</v>
      </c>
      <c r="F9774" t="s">
        <v>78</v>
      </c>
      <c r="G9774" t="s">
        <v>44</v>
      </c>
      <c r="H9774" t="s">
        <v>52</v>
      </c>
      <c r="I9774">
        <v>25973</v>
      </c>
      <c r="J9774">
        <v>30999</v>
      </c>
    </row>
    <row r="9775" spans="1:10" x14ac:dyDescent="0.3">
      <c r="A9775" t="s">
        <v>9902</v>
      </c>
      <c r="B9775" s="1">
        <v>45935</v>
      </c>
      <c r="C9775" t="s">
        <v>66</v>
      </c>
      <c r="D9775">
        <v>40</v>
      </c>
      <c r="E9775" t="s">
        <v>24</v>
      </c>
      <c r="F9775" t="s">
        <v>92</v>
      </c>
      <c r="G9775" t="s">
        <v>324</v>
      </c>
      <c r="H9775" t="s">
        <v>55</v>
      </c>
      <c r="I9775">
        <v>29484</v>
      </c>
      <c r="J9775">
        <v>33773</v>
      </c>
    </row>
    <row r="9776" spans="1:10" x14ac:dyDescent="0.3">
      <c r="A9776" t="s">
        <v>9903</v>
      </c>
      <c r="B9776" s="1">
        <v>45984</v>
      </c>
      <c r="C9776" t="s">
        <v>23</v>
      </c>
      <c r="D9776">
        <v>47</v>
      </c>
      <c r="E9776" t="s">
        <v>33</v>
      </c>
      <c r="F9776" t="s">
        <v>114</v>
      </c>
      <c r="G9776" t="s">
        <v>199</v>
      </c>
      <c r="H9776" t="s">
        <v>41</v>
      </c>
      <c r="I9776">
        <v>28775</v>
      </c>
      <c r="J9776">
        <v>31587</v>
      </c>
    </row>
    <row r="9777" spans="1:10" x14ac:dyDescent="0.3">
      <c r="A9777" t="s">
        <v>9904</v>
      </c>
      <c r="B9777" s="1">
        <v>45967</v>
      </c>
      <c r="C9777" t="s">
        <v>23</v>
      </c>
      <c r="D9777">
        <v>45</v>
      </c>
      <c r="E9777" t="s">
        <v>24</v>
      </c>
      <c r="F9777" t="s">
        <v>114</v>
      </c>
      <c r="G9777" t="s">
        <v>234</v>
      </c>
      <c r="H9777" t="s">
        <v>151</v>
      </c>
      <c r="I9777">
        <v>18519</v>
      </c>
      <c r="J9777">
        <v>17356</v>
      </c>
    </row>
    <row r="9778" spans="1:10" x14ac:dyDescent="0.3">
      <c r="A9778" t="s">
        <v>9905</v>
      </c>
      <c r="B9778" s="1">
        <v>45838</v>
      </c>
      <c r="C9778" t="s">
        <v>74</v>
      </c>
      <c r="D9778">
        <v>27</v>
      </c>
      <c r="E9778" t="s">
        <v>39</v>
      </c>
      <c r="F9778" t="s">
        <v>43</v>
      </c>
      <c r="G9778" t="s">
        <v>35</v>
      </c>
      <c r="H9778" t="s">
        <v>116</v>
      </c>
      <c r="I9778">
        <v>32089</v>
      </c>
      <c r="J9778">
        <v>39520</v>
      </c>
    </row>
    <row r="9779" spans="1:10" x14ac:dyDescent="0.3">
      <c r="A9779" t="s">
        <v>9906</v>
      </c>
      <c r="B9779" s="1">
        <v>45959</v>
      </c>
      <c r="C9779" t="s">
        <v>66</v>
      </c>
      <c r="D9779">
        <v>44</v>
      </c>
      <c r="E9779" t="s">
        <v>18</v>
      </c>
      <c r="F9779" t="s">
        <v>75</v>
      </c>
      <c r="G9779" t="s">
        <v>54</v>
      </c>
      <c r="H9779" t="s">
        <v>96</v>
      </c>
      <c r="I9779">
        <v>15148</v>
      </c>
      <c r="J9779">
        <v>17121</v>
      </c>
    </row>
    <row r="9780" spans="1:10" x14ac:dyDescent="0.3">
      <c r="A9780" t="s">
        <v>9907</v>
      </c>
      <c r="B9780" s="1">
        <v>45814</v>
      </c>
      <c r="C9780" t="s">
        <v>74</v>
      </c>
      <c r="D9780">
        <v>23</v>
      </c>
      <c r="E9780" t="s">
        <v>39</v>
      </c>
      <c r="F9780" t="s">
        <v>78</v>
      </c>
      <c r="G9780" t="s">
        <v>40</v>
      </c>
      <c r="H9780" t="s">
        <v>80</v>
      </c>
      <c r="I9780">
        <v>23207</v>
      </c>
      <c r="J9780">
        <v>28392</v>
      </c>
    </row>
    <row r="9781" spans="1:10" x14ac:dyDescent="0.3">
      <c r="A9781" t="s">
        <v>9908</v>
      </c>
      <c r="B9781" s="1">
        <v>45985</v>
      </c>
      <c r="C9781" t="s">
        <v>23</v>
      </c>
      <c r="D9781">
        <v>48</v>
      </c>
      <c r="E9781" t="s">
        <v>12</v>
      </c>
      <c r="F9781" t="s">
        <v>122</v>
      </c>
      <c r="G9781" t="s">
        <v>51</v>
      </c>
      <c r="H9781" t="s">
        <v>111</v>
      </c>
      <c r="I9781">
        <v>34055</v>
      </c>
      <c r="J9781">
        <v>38498</v>
      </c>
    </row>
    <row r="9782" spans="1:10" x14ac:dyDescent="0.3">
      <c r="A9782" t="s">
        <v>9909</v>
      </c>
      <c r="B9782" s="1">
        <v>45740</v>
      </c>
      <c r="C9782" t="s">
        <v>95</v>
      </c>
      <c r="D9782">
        <v>13</v>
      </c>
      <c r="E9782" t="s">
        <v>70</v>
      </c>
      <c r="F9782" t="s">
        <v>140</v>
      </c>
      <c r="G9782" t="s">
        <v>47</v>
      </c>
      <c r="H9782" t="s">
        <v>41</v>
      </c>
      <c r="I9782">
        <v>26292</v>
      </c>
      <c r="J9782">
        <v>31187</v>
      </c>
    </row>
    <row r="9783" spans="1:10" x14ac:dyDescent="0.3">
      <c r="A9783" t="s">
        <v>9910</v>
      </c>
      <c r="B9783" s="1">
        <v>45982</v>
      </c>
      <c r="C9783" t="s">
        <v>23</v>
      </c>
      <c r="D9783">
        <v>47</v>
      </c>
      <c r="E9783" t="s">
        <v>24</v>
      </c>
      <c r="F9783" t="s">
        <v>19</v>
      </c>
      <c r="G9783" t="s">
        <v>93</v>
      </c>
      <c r="H9783" t="s">
        <v>80</v>
      </c>
      <c r="I9783">
        <v>17550</v>
      </c>
      <c r="J9783">
        <v>19489</v>
      </c>
    </row>
    <row r="9784" spans="1:10" x14ac:dyDescent="0.3">
      <c r="A9784" t="s">
        <v>9911</v>
      </c>
      <c r="B9784" s="1">
        <v>45889</v>
      </c>
      <c r="C9784" t="s">
        <v>113</v>
      </c>
      <c r="D9784">
        <v>34</v>
      </c>
      <c r="E9784" t="s">
        <v>24</v>
      </c>
      <c r="F9784" t="s">
        <v>92</v>
      </c>
      <c r="G9784" t="s">
        <v>182</v>
      </c>
      <c r="H9784" t="s">
        <v>27</v>
      </c>
      <c r="I9784">
        <v>22622</v>
      </c>
      <c r="J9784">
        <v>18069</v>
      </c>
    </row>
    <row r="9785" spans="1:10" x14ac:dyDescent="0.3">
      <c r="A9785" t="s">
        <v>9912</v>
      </c>
      <c r="B9785" s="1">
        <v>45676</v>
      </c>
      <c r="C9785" t="s">
        <v>17</v>
      </c>
      <c r="D9785">
        <v>3</v>
      </c>
      <c r="E9785" t="s">
        <v>12</v>
      </c>
      <c r="F9785" t="s">
        <v>92</v>
      </c>
      <c r="G9785" t="s">
        <v>137</v>
      </c>
      <c r="H9785" t="s">
        <v>55</v>
      </c>
      <c r="I9785">
        <v>36306</v>
      </c>
      <c r="J9785">
        <v>46851</v>
      </c>
    </row>
    <row r="9786" spans="1:10" x14ac:dyDescent="0.3">
      <c r="A9786" t="s">
        <v>9913</v>
      </c>
      <c r="B9786" s="1">
        <v>45887</v>
      </c>
      <c r="C9786" t="s">
        <v>113</v>
      </c>
      <c r="D9786">
        <v>34</v>
      </c>
      <c r="E9786" t="s">
        <v>18</v>
      </c>
      <c r="F9786" t="s">
        <v>78</v>
      </c>
      <c r="G9786" t="s">
        <v>30</v>
      </c>
      <c r="H9786" t="s">
        <v>36</v>
      </c>
      <c r="I9786">
        <v>18548</v>
      </c>
      <c r="J9786">
        <v>16253</v>
      </c>
    </row>
    <row r="9787" spans="1:10" x14ac:dyDescent="0.3">
      <c r="A9787" t="s">
        <v>9914</v>
      </c>
      <c r="B9787" s="1">
        <v>45676</v>
      </c>
      <c r="C9787" t="s">
        <v>17</v>
      </c>
      <c r="D9787">
        <v>3</v>
      </c>
      <c r="E9787" t="s">
        <v>12</v>
      </c>
      <c r="F9787" t="s">
        <v>140</v>
      </c>
      <c r="G9787" t="s">
        <v>35</v>
      </c>
      <c r="H9787" t="s">
        <v>157</v>
      </c>
      <c r="I9787">
        <v>21128</v>
      </c>
      <c r="J9787">
        <v>18104</v>
      </c>
    </row>
    <row r="9788" spans="1:10" x14ac:dyDescent="0.3">
      <c r="A9788" t="s">
        <v>9915</v>
      </c>
      <c r="B9788" s="1">
        <v>45921</v>
      </c>
      <c r="C9788" t="s">
        <v>38</v>
      </c>
      <c r="D9788">
        <v>38</v>
      </c>
      <c r="E9788" t="s">
        <v>24</v>
      </c>
      <c r="F9788" t="s">
        <v>122</v>
      </c>
      <c r="G9788" t="s">
        <v>72</v>
      </c>
      <c r="H9788" t="s">
        <v>15</v>
      </c>
      <c r="I9788">
        <v>22769</v>
      </c>
      <c r="J9788">
        <v>23023</v>
      </c>
    </row>
    <row r="9789" spans="1:10" x14ac:dyDescent="0.3">
      <c r="A9789" t="s">
        <v>9916</v>
      </c>
      <c r="B9789" s="1">
        <v>45693</v>
      </c>
      <c r="C9789" t="s">
        <v>82</v>
      </c>
      <c r="D9789">
        <v>6</v>
      </c>
      <c r="E9789" t="s">
        <v>39</v>
      </c>
      <c r="F9789" t="s">
        <v>34</v>
      </c>
      <c r="G9789" t="s">
        <v>51</v>
      </c>
      <c r="H9789" t="s">
        <v>151</v>
      </c>
      <c r="I9789">
        <v>33558</v>
      </c>
      <c r="J9789">
        <v>34926</v>
      </c>
    </row>
    <row r="9790" spans="1:10" x14ac:dyDescent="0.3">
      <c r="A9790" t="s">
        <v>9917</v>
      </c>
      <c r="B9790" s="1">
        <v>45869</v>
      </c>
      <c r="C9790" t="s">
        <v>11</v>
      </c>
      <c r="D9790">
        <v>31</v>
      </c>
      <c r="E9790" t="s">
        <v>61</v>
      </c>
      <c r="F9790" t="s">
        <v>34</v>
      </c>
      <c r="G9790" t="s">
        <v>191</v>
      </c>
      <c r="H9790" t="s">
        <v>243</v>
      </c>
      <c r="I9790">
        <v>16026</v>
      </c>
      <c r="J9790">
        <v>16869</v>
      </c>
    </row>
    <row r="9791" spans="1:10" x14ac:dyDescent="0.3">
      <c r="A9791" t="s">
        <v>9918</v>
      </c>
      <c r="B9791" s="1">
        <v>45906</v>
      </c>
      <c r="C9791" t="s">
        <v>38</v>
      </c>
      <c r="D9791">
        <v>36</v>
      </c>
      <c r="E9791" t="s">
        <v>12</v>
      </c>
      <c r="F9791" t="s">
        <v>13</v>
      </c>
      <c r="G9791" t="s">
        <v>93</v>
      </c>
      <c r="H9791" t="s">
        <v>211</v>
      </c>
      <c r="I9791">
        <v>36006</v>
      </c>
      <c r="J9791">
        <v>46218</v>
      </c>
    </row>
    <row r="9792" spans="1:10" x14ac:dyDescent="0.3">
      <c r="A9792" t="s">
        <v>9919</v>
      </c>
      <c r="B9792" s="1">
        <v>45692</v>
      </c>
      <c r="C9792" t="s">
        <v>82</v>
      </c>
      <c r="D9792">
        <v>6</v>
      </c>
      <c r="E9792" t="s">
        <v>39</v>
      </c>
      <c r="F9792" t="s">
        <v>62</v>
      </c>
      <c r="G9792" t="s">
        <v>26</v>
      </c>
      <c r="H9792" t="s">
        <v>41</v>
      </c>
      <c r="I9792">
        <v>33562</v>
      </c>
      <c r="J9792">
        <v>34832</v>
      </c>
    </row>
    <row r="9793" spans="1:10" x14ac:dyDescent="0.3">
      <c r="A9793" t="s">
        <v>9920</v>
      </c>
      <c r="B9793" s="1">
        <v>45851</v>
      </c>
      <c r="C9793" t="s">
        <v>11</v>
      </c>
      <c r="D9793">
        <v>28</v>
      </c>
      <c r="E9793" t="s">
        <v>18</v>
      </c>
      <c r="F9793" t="s">
        <v>29</v>
      </c>
      <c r="G9793" t="s">
        <v>40</v>
      </c>
      <c r="H9793" t="s">
        <v>103</v>
      </c>
      <c r="I9793">
        <v>17370</v>
      </c>
      <c r="J9793">
        <v>18514</v>
      </c>
    </row>
    <row r="9794" spans="1:10" x14ac:dyDescent="0.3">
      <c r="A9794" t="s">
        <v>9921</v>
      </c>
      <c r="B9794" s="1">
        <v>45804</v>
      </c>
      <c r="C9794" t="s">
        <v>90</v>
      </c>
      <c r="D9794">
        <v>22</v>
      </c>
      <c r="E9794" t="s">
        <v>33</v>
      </c>
      <c r="F9794" t="s">
        <v>109</v>
      </c>
      <c r="G9794" t="s">
        <v>67</v>
      </c>
      <c r="H9794" t="s">
        <v>98</v>
      </c>
      <c r="I9794">
        <v>19129</v>
      </c>
      <c r="J9794">
        <v>15972</v>
      </c>
    </row>
    <row r="9795" spans="1:10" x14ac:dyDescent="0.3">
      <c r="A9795" t="s">
        <v>9922</v>
      </c>
      <c r="B9795" s="1">
        <v>45918</v>
      </c>
      <c r="C9795" t="s">
        <v>38</v>
      </c>
      <c r="D9795">
        <v>38</v>
      </c>
      <c r="E9795" t="s">
        <v>70</v>
      </c>
      <c r="F9795" t="s">
        <v>87</v>
      </c>
      <c r="G9795" t="s">
        <v>191</v>
      </c>
      <c r="H9795" t="s">
        <v>98</v>
      </c>
      <c r="I9795">
        <v>35976</v>
      </c>
      <c r="J9795">
        <v>26780</v>
      </c>
    </row>
    <row r="9796" spans="1:10" x14ac:dyDescent="0.3">
      <c r="A9796" t="s">
        <v>9923</v>
      </c>
      <c r="B9796" s="1">
        <v>46016</v>
      </c>
      <c r="C9796" t="s">
        <v>100</v>
      </c>
      <c r="D9796">
        <v>52</v>
      </c>
      <c r="E9796" t="s">
        <v>39</v>
      </c>
      <c r="F9796" t="s">
        <v>101</v>
      </c>
      <c r="G9796" t="s">
        <v>145</v>
      </c>
      <c r="H9796" t="s">
        <v>27</v>
      </c>
      <c r="I9796">
        <v>20158</v>
      </c>
      <c r="J9796">
        <v>21581</v>
      </c>
    </row>
    <row r="9797" spans="1:10" x14ac:dyDescent="0.3">
      <c r="A9797" t="s">
        <v>9924</v>
      </c>
      <c r="B9797" s="1">
        <v>45712</v>
      </c>
      <c r="C9797" t="s">
        <v>82</v>
      </c>
      <c r="D9797">
        <v>9</v>
      </c>
      <c r="E9797" t="s">
        <v>70</v>
      </c>
      <c r="F9797" t="s">
        <v>92</v>
      </c>
      <c r="G9797" t="s">
        <v>201</v>
      </c>
      <c r="H9797" t="s">
        <v>55</v>
      </c>
      <c r="I9797">
        <v>18175</v>
      </c>
      <c r="J9797">
        <v>13206</v>
      </c>
    </row>
    <row r="9798" spans="1:10" x14ac:dyDescent="0.3">
      <c r="A9798" t="s">
        <v>9925</v>
      </c>
      <c r="B9798" s="1">
        <v>45876</v>
      </c>
      <c r="C9798" t="s">
        <v>113</v>
      </c>
      <c r="D9798">
        <v>32</v>
      </c>
      <c r="E9798" t="s">
        <v>61</v>
      </c>
      <c r="F9798" t="s">
        <v>43</v>
      </c>
      <c r="G9798" t="s">
        <v>234</v>
      </c>
      <c r="H9798" t="s">
        <v>155</v>
      </c>
      <c r="I9798">
        <v>22117</v>
      </c>
      <c r="J9798">
        <v>25652</v>
      </c>
    </row>
    <row r="9799" spans="1:10" x14ac:dyDescent="0.3">
      <c r="A9799" t="s">
        <v>9926</v>
      </c>
      <c r="B9799" s="1">
        <v>46015</v>
      </c>
      <c r="C9799" t="s">
        <v>100</v>
      </c>
      <c r="D9799">
        <v>52</v>
      </c>
      <c r="E9799" t="s">
        <v>24</v>
      </c>
      <c r="F9799" t="s">
        <v>78</v>
      </c>
      <c r="G9799" t="s">
        <v>137</v>
      </c>
      <c r="H9799" t="s">
        <v>188</v>
      </c>
      <c r="I9799">
        <v>28052</v>
      </c>
      <c r="J9799">
        <v>33173</v>
      </c>
    </row>
    <row r="9800" spans="1:10" x14ac:dyDescent="0.3">
      <c r="A9800" t="s">
        <v>9927</v>
      </c>
      <c r="B9800" s="1">
        <v>45992</v>
      </c>
      <c r="C9800" t="s">
        <v>100</v>
      </c>
      <c r="D9800">
        <v>49</v>
      </c>
      <c r="E9800" t="s">
        <v>24</v>
      </c>
      <c r="F9800" t="s">
        <v>29</v>
      </c>
      <c r="G9800" t="s">
        <v>54</v>
      </c>
      <c r="H9800" t="s">
        <v>21</v>
      </c>
      <c r="I9800">
        <v>17673</v>
      </c>
      <c r="J9800">
        <v>14792</v>
      </c>
    </row>
    <row r="9801" spans="1:10" x14ac:dyDescent="0.3">
      <c r="A9801" t="s">
        <v>9928</v>
      </c>
      <c r="B9801" s="1">
        <v>45714</v>
      </c>
      <c r="C9801" t="s">
        <v>82</v>
      </c>
      <c r="D9801">
        <v>9</v>
      </c>
      <c r="E9801" t="s">
        <v>61</v>
      </c>
      <c r="F9801" t="s">
        <v>43</v>
      </c>
      <c r="G9801" t="s">
        <v>171</v>
      </c>
      <c r="H9801" t="s">
        <v>103</v>
      </c>
      <c r="I9801">
        <v>20068</v>
      </c>
      <c r="J9801">
        <v>16790</v>
      </c>
    </row>
    <row r="9802" spans="1:10" x14ac:dyDescent="0.3">
      <c r="A9802" t="s">
        <v>9929</v>
      </c>
      <c r="B9802" s="1">
        <v>45671</v>
      </c>
      <c r="C9802" t="s">
        <v>17</v>
      </c>
      <c r="D9802">
        <v>3</v>
      </c>
      <c r="E9802" t="s">
        <v>24</v>
      </c>
      <c r="F9802" t="s">
        <v>50</v>
      </c>
      <c r="G9802" t="s">
        <v>72</v>
      </c>
      <c r="H9802" t="s">
        <v>163</v>
      </c>
      <c r="I9802">
        <v>36361</v>
      </c>
      <c r="J9802">
        <v>41435</v>
      </c>
    </row>
    <row r="9803" spans="1:10" x14ac:dyDescent="0.3">
      <c r="A9803" t="s">
        <v>9930</v>
      </c>
      <c r="B9803" s="1">
        <v>45863</v>
      </c>
      <c r="C9803" t="s">
        <v>11</v>
      </c>
      <c r="D9803">
        <v>30</v>
      </c>
      <c r="E9803" t="s">
        <v>24</v>
      </c>
      <c r="F9803" t="s">
        <v>34</v>
      </c>
      <c r="G9803" t="s">
        <v>76</v>
      </c>
      <c r="H9803" t="s">
        <v>15</v>
      </c>
      <c r="I9803">
        <v>20783</v>
      </c>
      <c r="J9803">
        <v>21654</v>
      </c>
    </row>
    <row r="9804" spans="1:10" x14ac:dyDescent="0.3">
      <c r="A9804" t="s">
        <v>9931</v>
      </c>
      <c r="B9804" s="1">
        <v>45674</v>
      </c>
      <c r="C9804" t="s">
        <v>17</v>
      </c>
      <c r="D9804">
        <v>3</v>
      </c>
      <c r="E9804" t="s">
        <v>61</v>
      </c>
      <c r="F9804" t="s">
        <v>122</v>
      </c>
      <c r="G9804" t="s">
        <v>224</v>
      </c>
      <c r="H9804" t="s">
        <v>157</v>
      </c>
      <c r="I9804">
        <v>36121</v>
      </c>
      <c r="J9804">
        <v>42225</v>
      </c>
    </row>
    <row r="9805" spans="1:10" x14ac:dyDescent="0.3">
      <c r="A9805" t="s">
        <v>9932</v>
      </c>
      <c r="B9805" s="1">
        <v>45822</v>
      </c>
      <c r="C9805" t="s">
        <v>74</v>
      </c>
      <c r="D9805">
        <v>24</v>
      </c>
      <c r="E9805" t="s">
        <v>18</v>
      </c>
      <c r="F9805" t="s">
        <v>13</v>
      </c>
      <c r="G9805" t="s">
        <v>240</v>
      </c>
      <c r="H9805" t="s">
        <v>36</v>
      </c>
      <c r="I9805">
        <v>32641</v>
      </c>
      <c r="J9805">
        <v>30566</v>
      </c>
    </row>
    <row r="9806" spans="1:10" x14ac:dyDescent="0.3">
      <c r="A9806" t="s">
        <v>9933</v>
      </c>
      <c r="B9806" s="1">
        <v>45763</v>
      </c>
      <c r="C9806" t="s">
        <v>86</v>
      </c>
      <c r="D9806">
        <v>16</v>
      </c>
      <c r="E9806" t="s">
        <v>39</v>
      </c>
      <c r="F9806" t="s">
        <v>78</v>
      </c>
      <c r="G9806" t="s">
        <v>149</v>
      </c>
      <c r="H9806" t="s">
        <v>27</v>
      </c>
      <c r="I9806">
        <v>25826</v>
      </c>
      <c r="J9806">
        <v>20617</v>
      </c>
    </row>
    <row r="9807" spans="1:10" x14ac:dyDescent="0.3">
      <c r="A9807" t="s">
        <v>9934</v>
      </c>
      <c r="B9807" s="1">
        <v>45875</v>
      </c>
      <c r="C9807" t="s">
        <v>113</v>
      </c>
      <c r="D9807">
        <v>32</v>
      </c>
      <c r="E9807" t="s">
        <v>18</v>
      </c>
      <c r="F9807" t="s">
        <v>193</v>
      </c>
      <c r="G9807" t="s">
        <v>324</v>
      </c>
      <c r="H9807" t="s">
        <v>116</v>
      </c>
      <c r="I9807">
        <v>24638</v>
      </c>
      <c r="J9807">
        <v>23593</v>
      </c>
    </row>
    <row r="9808" spans="1:10" x14ac:dyDescent="0.3">
      <c r="A9808" t="s">
        <v>9935</v>
      </c>
      <c r="B9808" s="1">
        <v>45932</v>
      </c>
      <c r="C9808" t="s">
        <v>66</v>
      </c>
      <c r="D9808">
        <v>40</v>
      </c>
      <c r="E9808" t="s">
        <v>39</v>
      </c>
      <c r="F9808" t="s">
        <v>92</v>
      </c>
      <c r="G9808" t="s">
        <v>26</v>
      </c>
      <c r="H9808" t="s">
        <v>27</v>
      </c>
      <c r="I9808">
        <v>27301</v>
      </c>
      <c r="J9808">
        <v>30262</v>
      </c>
    </row>
    <row r="9809" spans="1:10" x14ac:dyDescent="0.3">
      <c r="A9809" t="s">
        <v>9936</v>
      </c>
      <c r="B9809" s="1">
        <v>45706</v>
      </c>
      <c r="C9809" t="s">
        <v>82</v>
      </c>
      <c r="D9809">
        <v>8</v>
      </c>
      <c r="E9809" t="s">
        <v>12</v>
      </c>
      <c r="F9809" t="s">
        <v>140</v>
      </c>
      <c r="G9809" t="s">
        <v>83</v>
      </c>
      <c r="H9809" t="s">
        <v>84</v>
      </c>
      <c r="I9809">
        <v>25953</v>
      </c>
      <c r="J9809">
        <v>33198</v>
      </c>
    </row>
    <row r="9810" spans="1:10" x14ac:dyDescent="0.3">
      <c r="A9810" t="s">
        <v>9937</v>
      </c>
      <c r="B9810" s="1">
        <v>45916</v>
      </c>
      <c r="C9810" t="s">
        <v>38</v>
      </c>
      <c r="D9810">
        <v>38</v>
      </c>
      <c r="E9810" t="s">
        <v>61</v>
      </c>
      <c r="F9810" t="s">
        <v>78</v>
      </c>
      <c r="G9810" t="s">
        <v>230</v>
      </c>
      <c r="H9810" t="s">
        <v>21</v>
      </c>
      <c r="I9810">
        <v>26184</v>
      </c>
      <c r="J9810">
        <v>22981</v>
      </c>
    </row>
    <row r="9811" spans="1:10" x14ac:dyDescent="0.3">
      <c r="A9811" t="s">
        <v>9938</v>
      </c>
      <c r="B9811" s="1">
        <v>45922</v>
      </c>
      <c r="C9811" t="s">
        <v>38</v>
      </c>
      <c r="D9811">
        <v>39</v>
      </c>
      <c r="E9811" t="s">
        <v>12</v>
      </c>
      <c r="F9811" t="s">
        <v>50</v>
      </c>
      <c r="G9811" t="s">
        <v>93</v>
      </c>
      <c r="H9811" t="s">
        <v>48</v>
      </c>
      <c r="I9811">
        <v>21017</v>
      </c>
      <c r="J9811">
        <v>18680</v>
      </c>
    </row>
    <row r="9812" spans="1:10" x14ac:dyDescent="0.3">
      <c r="A9812" t="s">
        <v>9939</v>
      </c>
      <c r="B9812" s="1">
        <v>45850</v>
      </c>
      <c r="C9812" t="s">
        <v>11</v>
      </c>
      <c r="D9812">
        <v>28</v>
      </c>
      <c r="E9812" t="s">
        <v>18</v>
      </c>
      <c r="F9812" t="s">
        <v>57</v>
      </c>
      <c r="G9812" t="s">
        <v>40</v>
      </c>
      <c r="H9812" t="s">
        <v>48</v>
      </c>
      <c r="I9812">
        <v>18845</v>
      </c>
      <c r="J9812">
        <v>14017</v>
      </c>
    </row>
    <row r="9813" spans="1:10" x14ac:dyDescent="0.3">
      <c r="A9813" t="s">
        <v>9940</v>
      </c>
      <c r="B9813" s="1">
        <v>45908</v>
      </c>
      <c r="C9813" t="s">
        <v>38</v>
      </c>
      <c r="D9813">
        <v>37</v>
      </c>
      <c r="E9813" t="s">
        <v>70</v>
      </c>
      <c r="F9813" t="s">
        <v>25</v>
      </c>
      <c r="G9813" t="s">
        <v>266</v>
      </c>
      <c r="H9813" t="s">
        <v>123</v>
      </c>
      <c r="I9813">
        <v>17867</v>
      </c>
      <c r="J9813">
        <v>18208</v>
      </c>
    </row>
    <row r="9814" spans="1:10" x14ac:dyDescent="0.3">
      <c r="A9814" t="s">
        <v>9941</v>
      </c>
      <c r="B9814" s="1">
        <v>45689</v>
      </c>
      <c r="C9814" t="s">
        <v>82</v>
      </c>
      <c r="D9814">
        <v>5</v>
      </c>
      <c r="E9814" t="s">
        <v>61</v>
      </c>
      <c r="F9814" t="s">
        <v>75</v>
      </c>
      <c r="G9814" t="s">
        <v>128</v>
      </c>
      <c r="H9814" t="s">
        <v>15</v>
      </c>
      <c r="I9814">
        <v>15707</v>
      </c>
      <c r="J9814">
        <v>12093</v>
      </c>
    </row>
    <row r="9815" spans="1:10" x14ac:dyDescent="0.3">
      <c r="A9815" t="s">
        <v>9942</v>
      </c>
      <c r="B9815" s="1">
        <v>45835</v>
      </c>
      <c r="C9815" t="s">
        <v>74</v>
      </c>
      <c r="D9815">
        <v>26</v>
      </c>
      <c r="E9815" t="s">
        <v>24</v>
      </c>
      <c r="F9815" t="s">
        <v>57</v>
      </c>
      <c r="G9815" t="s">
        <v>253</v>
      </c>
      <c r="H9815" t="s">
        <v>243</v>
      </c>
      <c r="I9815">
        <v>37533</v>
      </c>
      <c r="J9815">
        <v>26556</v>
      </c>
    </row>
    <row r="9816" spans="1:10" x14ac:dyDescent="0.3">
      <c r="A9816" t="s">
        <v>9943</v>
      </c>
      <c r="B9816" s="1">
        <v>45969</v>
      </c>
      <c r="C9816" t="s">
        <v>23</v>
      </c>
      <c r="D9816">
        <v>45</v>
      </c>
      <c r="E9816" t="s">
        <v>12</v>
      </c>
      <c r="F9816" t="s">
        <v>19</v>
      </c>
      <c r="G9816" t="s">
        <v>79</v>
      </c>
      <c r="H9816" t="s">
        <v>96</v>
      </c>
      <c r="I9816">
        <v>36081</v>
      </c>
      <c r="J9816">
        <v>26589</v>
      </c>
    </row>
    <row r="9817" spans="1:10" x14ac:dyDescent="0.3">
      <c r="A9817" t="s">
        <v>9944</v>
      </c>
      <c r="B9817" s="1">
        <v>45757</v>
      </c>
      <c r="C9817" t="s">
        <v>86</v>
      </c>
      <c r="D9817">
        <v>15</v>
      </c>
      <c r="E9817" t="s">
        <v>39</v>
      </c>
      <c r="F9817" t="s">
        <v>122</v>
      </c>
      <c r="G9817" t="s">
        <v>240</v>
      </c>
      <c r="H9817" t="s">
        <v>211</v>
      </c>
      <c r="I9817">
        <v>16721</v>
      </c>
      <c r="J9817">
        <v>15482</v>
      </c>
    </row>
    <row r="9818" spans="1:10" x14ac:dyDescent="0.3">
      <c r="A9818" t="s">
        <v>9945</v>
      </c>
      <c r="B9818" s="1">
        <v>45849</v>
      </c>
      <c r="C9818" t="s">
        <v>11</v>
      </c>
      <c r="D9818">
        <v>28</v>
      </c>
      <c r="E9818" t="s">
        <v>39</v>
      </c>
      <c r="F9818" t="s">
        <v>50</v>
      </c>
      <c r="G9818" t="s">
        <v>76</v>
      </c>
      <c r="H9818" t="s">
        <v>103</v>
      </c>
      <c r="I9818">
        <v>20511</v>
      </c>
      <c r="J9818">
        <v>21169</v>
      </c>
    </row>
    <row r="9819" spans="1:10" x14ac:dyDescent="0.3">
      <c r="A9819" t="s">
        <v>9946</v>
      </c>
      <c r="B9819" s="1">
        <v>45852</v>
      </c>
      <c r="C9819" t="s">
        <v>11</v>
      </c>
      <c r="D9819">
        <v>29</v>
      </c>
      <c r="E9819" t="s">
        <v>18</v>
      </c>
      <c r="F9819" t="s">
        <v>50</v>
      </c>
      <c r="G9819" t="s">
        <v>26</v>
      </c>
      <c r="H9819" t="s">
        <v>15</v>
      </c>
      <c r="I9819">
        <v>39258</v>
      </c>
      <c r="J9819">
        <v>44574</v>
      </c>
    </row>
    <row r="9820" spans="1:10" x14ac:dyDescent="0.3">
      <c r="A9820" t="s">
        <v>9947</v>
      </c>
      <c r="B9820" s="1">
        <v>45796</v>
      </c>
      <c r="C9820" t="s">
        <v>90</v>
      </c>
      <c r="D9820">
        <v>21</v>
      </c>
      <c r="E9820" t="s">
        <v>12</v>
      </c>
      <c r="F9820" t="s">
        <v>29</v>
      </c>
      <c r="G9820" t="s">
        <v>132</v>
      </c>
      <c r="H9820" t="s">
        <v>119</v>
      </c>
      <c r="I9820">
        <v>38097</v>
      </c>
      <c r="J9820">
        <v>39193</v>
      </c>
    </row>
    <row r="9821" spans="1:10" x14ac:dyDescent="0.3">
      <c r="A9821" t="s">
        <v>9948</v>
      </c>
      <c r="B9821" s="1">
        <v>45990</v>
      </c>
      <c r="C9821" t="s">
        <v>23</v>
      </c>
      <c r="D9821">
        <v>48</v>
      </c>
      <c r="E9821" t="s">
        <v>24</v>
      </c>
      <c r="F9821" t="s">
        <v>114</v>
      </c>
      <c r="G9821" t="s">
        <v>67</v>
      </c>
      <c r="H9821" t="s">
        <v>96</v>
      </c>
      <c r="I9821">
        <v>20545</v>
      </c>
      <c r="J9821">
        <v>23698</v>
      </c>
    </row>
    <row r="9822" spans="1:10" x14ac:dyDescent="0.3">
      <c r="A9822" t="s">
        <v>9949</v>
      </c>
      <c r="B9822" s="1">
        <v>45802</v>
      </c>
      <c r="C9822" t="s">
        <v>90</v>
      </c>
      <c r="D9822">
        <v>21</v>
      </c>
      <c r="E9822" t="s">
        <v>24</v>
      </c>
      <c r="F9822" t="s">
        <v>122</v>
      </c>
      <c r="G9822" t="s">
        <v>141</v>
      </c>
      <c r="H9822" t="s">
        <v>36</v>
      </c>
      <c r="I9822">
        <v>31626</v>
      </c>
      <c r="J9822">
        <v>23511</v>
      </c>
    </row>
    <row r="9823" spans="1:10" x14ac:dyDescent="0.3">
      <c r="A9823" t="s">
        <v>9950</v>
      </c>
      <c r="B9823" s="1">
        <v>45736</v>
      </c>
      <c r="C9823" t="s">
        <v>95</v>
      </c>
      <c r="D9823">
        <v>12</v>
      </c>
      <c r="E9823" t="s">
        <v>39</v>
      </c>
      <c r="F9823" t="s">
        <v>25</v>
      </c>
      <c r="G9823" t="s">
        <v>102</v>
      </c>
      <c r="H9823" t="s">
        <v>119</v>
      </c>
      <c r="I9823">
        <v>28074</v>
      </c>
      <c r="J9823">
        <v>25028</v>
      </c>
    </row>
    <row r="9824" spans="1:10" x14ac:dyDescent="0.3">
      <c r="A9824" t="s">
        <v>9951</v>
      </c>
      <c r="B9824" s="1">
        <v>45950</v>
      </c>
      <c r="C9824" t="s">
        <v>66</v>
      </c>
      <c r="D9824">
        <v>43</v>
      </c>
      <c r="E9824" t="s">
        <v>24</v>
      </c>
      <c r="F9824" t="s">
        <v>57</v>
      </c>
      <c r="G9824" t="s">
        <v>30</v>
      </c>
      <c r="H9824" t="s">
        <v>21</v>
      </c>
      <c r="I9824">
        <v>17585</v>
      </c>
      <c r="J9824">
        <v>19365</v>
      </c>
    </row>
    <row r="9825" spans="1:10" x14ac:dyDescent="0.3">
      <c r="A9825" t="s">
        <v>9952</v>
      </c>
      <c r="B9825" s="1">
        <v>45851</v>
      </c>
      <c r="C9825" t="s">
        <v>11</v>
      </c>
      <c r="D9825">
        <v>28</v>
      </c>
      <c r="E9825" t="s">
        <v>33</v>
      </c>
      <c r="F9825" t="s">
        <v>13</v>
      </c>
      <c r="G9825" t="s">
        <v>160</v>
      </c>
      <c r="H9825" t="s">
        <v>80</v>
      </c>
      <c r="I9825">
        <v>39171</v>
      </c>
      <c r="J9825">
        <v>44600</v>
      </c>
    </row>
    <row r="9826" spans="1:10" x14ac:dyDescent="0.3">
      <c r="A9826" t="s">
        <v>9953</v>
      </c>
      <c r="B9826" s="1">
        <v>45780</v>
      </c>
      <c r="C9826" t="s">
        <v>90</v>
      </c>
      <c r="D9826">
        <v>18</v>
      </c>
      <c r="E9826" t="s">
        <v>39</v>
      </c>
      <c r="F9826" t="s">
        <v>62</v>
      </c>
      <c r="G9826" t="s">
        <v>30</v>
      </c>
      <c r="H9826" t="s">
        <v>133</v>
      </c>
      <c r="I9826">
        <v>27268</v>
      </c>
      <c r="J9826">
        <v>27362</v>
      </c>
    </row>
    <row r="9827" spans="1:10" x14ac:dyDescent="0.3">
      <c r="A9827" t="s">
        <v>9954</v>
      </c>
      <c r="B9827" s="1">
        <v>45808</v>
      </c>
      <c r="C9827" t="s">
        <v>90</v>
      </c>
      <c r="D9827">
        <v>22</v>
      </c>
      <c r="E9827" t="s">
        <v>70</v>
      </c>
      <c r="F9827" t="s">
        <v>29</v>
      </c>
      <c r="G9827" t="s">
        <v>102</v>
      </c>
      <c r="H9827" t="s">
        <v>165</v>
      </c>
      <c r="I9827">
        <v>33705</v>
      </c>
      <c r="J9827">
        <v>40702</v>
      </c>
    </row>
    <row r="9828" spans="1:10" x14ac:dyDescent="0.3">
      <c r="A9828" t="s">
        <v>9955</v>
      </c>
      <c r="B9828" s="1">
        <v>45953</v>
      </c>
      <c r="C9828" t="s">
        <v>66</v>
      </c>
      <c r="D9828">
        <v>43</v>
      </c>
      <c r="E9828" t="s">
        <v>70</v>
      </c>
      <c r="F9828" t="s">
        <v>43</v>
      </c>
      <c r="G9828" t="s">
        <v>58</v>
      </c>
      <c r="H9828" t="s">
        <v>80</v>
      </c>
      <c r="I9828">
        <v>35723</v>
      </c>
      <c r="J9828">
        <v>25513</v>
      </c>
    </row>
    <row r="9829" spans="1:10" x14ac:dyDescent="0.3">
      <c r="A9829" t="s">
        <v>9956</v>
      </c>
      <c r="B9829" s="1">
        <v>45916</v>
      </c>
      <c r="C9829" t="s">
        <v>38</v>
      </c>
      <c r="D9829">
        <v>38</v>
      </c>
      <c r="E9829" t="s">
        <v>12</v>
      </c>
      <c r="F9829" t="s">
        <v>92</v>
      </c>
      <c r="G9829" t="s">
        <v>230</v>
      </c>
      <c r="H9829" t="s">
        <v>123</v>
      </c>
      <c r="I9829">
        <v>31358</v>
      </c>
      <c r="J9829">
        <v>26379</v>
      </c>
    </row>
    <row r="9830" spans="1:10" x14ac:dyDescent="0.3">
      <c r="A9830" t="s">
        <v>9957</v>
      </c>
      <c r="B9830" s="1">
        <v>46013</v>
      </c>
      <c r="C9830" t="s">
        <v>100</v>
      </c>
      <c r="D9830">
        <v>52</v>
      </c>
      <c r="E9830" t="s">
        <v>61</v>
      </c>
      <c r="F9830" t="s">
        <v>87</v>
      </c>
      <c r="G9830" t="s">
        <v>145</v>
      </c>
      <c r="H9830" t="s">
        <v>243</v>
      </c>
      <c r="I9830">
        <v>15498</v>
      </c>
      <c r="J9830">
        <v>13122</v>
      </c>
    </row>
    <row r="9831" spans="1:10" x14ac:dyDescent="0.3">
      <c r="A9831" t="s">
        <v>9958</v>
      </c>
      <c r="B9831" s="1">
        <v>45781</v>
      </c>
      <c r="C9831" t="s">
        <v>90</v>
      </c>
      <c r="D9831">
        <v>18</v>
      </c>
      <c r="E9831" t="s">
        <v>39</v>
      </c>
      <c r="F9831" t="s">
        <v>78</v>
      </c>
      <c r="G9831" t="s">
        <v>115</v>
      </c>
      <c r="H9831" t="s">
        <v>155</v>
      </c>
      <c r="I9831">
        <v>29042</v>
      </c>
      <c r="J9831">
        <v>22023</v>
      </c>
    </row>
    <row r="9832" spans="1:10" x14ac:dyDescent="0.3">
      <c r="A9832" t="s">
        <v>9959</v>
      </c>
      <c r="B9832" s="1">
        <v>45759</v>
      </c>
      <c r="C9832" t="s">
        <v>86</v>
      </c>
      <c r="D9832">
        <v>15</v>
      </c>
      <c r="E9832" t="s">
        <v>33</v>
      </c>
      <c r="F9832" t="s">
        <v>46</v>
      </c>
      <c r="G9832" t="s">
        <v>291</v>
      </c>
      <c r="H9832" t="s">
        <v>84</v>
      </c>
      <c r="I9832">
        <v>25363</v>
      </c>
      <c r="J9832">
        <v>27809</v>
      </c>
    </row>
    <row r="9833" spans="1:10" x14ac:dyDescent="0.3">
      <c r="A9833" t="s">
        <v>9960</v>
      </c>
      <c r="B9833" s="1">
        <v>45879</v>
      </c>
      <c r="C9833" t="s">
        <v>113</v>
      </c>
      <c r="D9833">
        <v>32</v>
      </c>
      <c r="E9833" t="s">
        <v>33</v>
      </c>
      <c r="F9833" t="s">
        <v>87</v>
      </c>
      <c r="G9833" t="s">
        <v>14</v>
      </c>
      <c r="H9833" t="s">
        <v>155</v>
      </c>
      <c r="I9833">
        <v>35641</v>
      </c>
      <c r="J9833">
        <v>42479</v>
      </c>
    </row>
    <row r="9834" spans="1:10" x14ac:dyDescent="0.3">
      <c r="A9834" t="s">
        <v>9961</v>
      </c>
      <c r="B9834" s="1">
        <v>45692</v>
      </c>
      <c r="C9834" t="s">
        <v>82</v>
      </c>
      <c r="D9834">
        <v>6</v>
      </c>
      <c r="E9834" t="s">
        <v>61</v>
      </c>
      <c r="F9834" t="s">
        <v>13</v>
      </c>
      <c r="G9834" t="s">
        <v>63</v>
      </c>
      <c r="H9834" t="s">
        <v>211</v>
      </c>
      <c r="I9834">
        <v>16608</v>
      </c>
      <c r="J9834">
        <v>20359</v>
      </c>
    </row>
    <row r="9835" spans="1:10" x14ac:dyDescent="0.3">
      <c r="A9835" t="s">
        <v>9962</v>
      </c>
      <c r="B9835" s="1">
        <v>45959</v>
      </c>
      <c r="C9835" t="s">
        <v>66</v>
      </c>
      <c r="D9835">
        <v>44</v>
      </c>
      <c r="E9835" t="s">
        <v>61</v>
      </c>
      <c r="F9835" t="s">
        <v>13</v>
      </c>
      <c r="G9835" t="s">
        <v>72</v>
      </c>
      <c r="H9835" t="s">
        <v>133</v>
      </c>
      <c r="I9835">
        <v>20640</v>
      </c>
      <c r="J9835">
        <v>26100</v>
      </c>
    </row>
    <row r="9836" spans="1:10" x14ac:dyDescent="0.3">
      <c r="A9836" t="s">
        <v>9963</v>
      </c>
      <c r="B9836" s="1">
        <v>45865</v>
      </c>
      <c r="C9836" t="s">
        <v>11</v>
      </c>
      <c r="D9836">
        <v>30</v>
      </c>
      <c r="E9836" t="s">
        <v>39</v>
      </c>
      <c r="F9836" t="s">
        <v>19</v>
      </c>
      <c r="G9836" t="s">
        <v>206</v>
      </c>
      <c r="H9836" t="s">
        <v>21</v>
      </c>
      <c r="I9836">
        <v>24921</v>
      </c>
      <c r="J9836">
        <v>27011</v>
      </c>
    </row>
    <row r="9837" spans="1:10" x14ac:dyDescent="0.3">
      <c r="A9837" t="s">
        <v>9964</v>
      </c>
      <c r="B9837" s="1">
        <v>45930</v>
      </c>
      <c r="C9837" t="s">
        <v>38</v>
      </c>
      <c r="D9837">
        <v>40</v>
      </c>
      <c r="E9837" t="s">
        <v>61</v>
      </c>
      <c r="F9837" t="s">
        <v>57</v>
      </c>
      <c r="G9837" t="s">
        <v>26</v>
      </c>
      <c r="H9837" t="s">
        <v>15</v>
      </c>
      <c r="I9837">
        <v>33871</v>
      </c>
      <c r="J9837">
        <v>29656</v>
      </c>
    </row>
    <row r="9838" spans="1:10" x14ac:dyDescent="0.3">
      <c r="A9838" t="s">
        <v>9965</v>
      </c>
      <c r="B9838" s="1">
        <v>45952</v>
      </c>
      <c r="C9838" t="s">
        <v>66</v>
      </c>
      <c r="D9838">
        <v>43</v>
      </c>
      <c r="E9838" t="s">
        <v>61</v>
      </c>
      <c r="F9838" t="s">
        <v>75</v>
      </c>
      <c r="G9838" t="s">
        <v>135</v>
      </c>
      <c r="H9838" t="s">
        <v>59</v>
      </c>
      <c r="I9838">
        <v>21240</v>
      </c>
      <c r="J9838">
        <v>17011</v>
      </c>
    </row>
    <row r="9839" spans="1:10" x14ac:dyDescent="0.3">
      <c r="A9839" t="s">
        <v>9966</v>
      </c>
      <c r="B9839" s="1">
        <v>45948</v>
      </c>
      <c r="C9839" t="s">
        <v>66</v>
      </c>
      <c r="D9839">
        <v>42</v>
      </c>
      <c r="E9839" t="s">
        <v>24</v>
      </c>
      <c r="F9839" t="s">
        <v>29</v>
      </c>
      <c r="G9839" t="s">
        <v>326</v>
      </c>
      <c r="H9839" t="s">
        <v>96</v>
      </c>
      <c r="I9839">
        <v>39747</v>
      </c>
      <c r="J9839">
        <v>28804</v>
      </c>
    </row>
    <row r="9840" spans="1:10" x14ac:dyDescent="0.3">
      <c r="A9840" t="s">
        <v>9967</v>
      </c>
      <c r="B9840" s="1">
        <v>45712</v>
      </c>
      <c r="C9840" t="s">
        <v>82</v>
      </c>
      <c r="D9840">
        <v>9</v>
      </c>
      <c r="E9840" t="s">
        <v>33</v>
      </c>
      <c r="F9840" t="s">
        <v>193</v>
      </c>
      <c r="G9840" t="s">
        <v>224</v>
      </c>
      <c r="H9840" t="s">
        <v>15</v>
      </c>
      <c r="I9840">
        <v>31037</v>
      </c>
      <c r="J9840">
        <v>36315</v>
      </c>
    </row>
    <row r="9841" spans="1:10" x14ac:dyDescent="0.3">
      <c r="A9841" t="s">
        <v>9968</v>
      </c>
      <c r="B9841" s="1">
        <v>45965</v>
      </c>
      <c r="C9841" t="s">
        <v>23</v>
      </c>
      <c r="D9841">
        <v>45</v>
      </c>
      <c r="E9841" t="s">
        <v>39</v>
      </c>
      <c r="F9841" t="s">
        <v>46</v>
      </c>
      <c r="G9841" t="s">
        <v>44</v>
      </c>
      <c r="H9841" t="s">
        <v>96</v>
      </c>
      <c r="I9841">
        <v>29918</v>
      </c>
      <c r="J9841">
        <v>22575</v>
      </c>
    </row>
    <row r="9842" spans="1:10" x14ac:dyDescent="0.3">
      <c r="A9842" t="s">
        <v>9969</v>
      </c>
      <c r="B9842" s="1">
        <v>45892</v>
      </c>
      <c r="C9842" t="s">
        <v>113</v>
      </c>
      <c r="D9842">
        <v>34</v>
      </c>
      <c r="E9842" t="s">
        <v>39</v>
      </c>
      <c r="F9842" t="s">
        <v>140</v>
      </c>
      <c r="G9842" t="s">
        <v>135</v>
      </c>
      <c r="H9842" t="s">
        <v>123</v>
      </c>
      <c r="I9842">
        <v>16319</v>
      </c>
      <c r="J9842">
        <v>15158</v>
      </c>
    </row>
    <row r="9843" spans="1:10" x14ac:dyDescent="0.3">
      <c r="A9843" t="s">
        <v>9970</v>
      </c>
      <c r="B9843" s="1">
        <v>45911</v>
      </c>
      <c r="C9843" t="s">
        <v>38</v>
      </c>
      <c r="D9843">
        <v>37</v>
      </c>
      <c r="E9843" t="s">
        <v>12</v>
      </c>
      <c r="F9843" t="s">
        <v>19</v>
      </c>
      <c r="G9843" t="s">
        <v>118</v>
      </c>
      <c r="H9843" t="s">
        <v>116</v>
      </c>
      <c r="I9843">
        <v>17637</v>
      </c>
      <c r="J9843">
        <v>20613</v>
      </c>
    </row>
    <row r="9844" spans="1:10" x14ac:dyDescent="0.3">
      <c r="A9844" t="s">
        <v>9971</v>
      </c>
      <c r="B9844" s="1">
        <v>45944</v>
      </c>
      <c r="C9844" t="s">
        <v>66</v>
      </c>
      <c r="D9844">
        <v>42</v>
      </c>
      <c r="E9844" t="s">
        <v>18</v>
      </c>
      <c r="F9844" t="s">
        <v>13</v>
      </c>
      <c r="G9844" t="s">
        <v>88</v>
      </c>
      <c r="H9844" t="s">
        <v>116</v>
      </c>
      <c r="I9844">
        <v>33316</v>
      </c>
      <c r="J9844">
        <v>27033</v>
      </c>
    </row>
    <row r="9845" spans="1:10" x14ac:dyDescent="0.3">
      <c r="A9845" t="s">
        <v>9972</v>
      </c>
      <c r="B9845" s="1">
        <v>45836</v>
      </c>
      <c r="C9845" t="s">
        <v>74</v>
      </c>
      <c r="D9845">
        <v>26</v>
      </c>
      <c r="E9845" t="s">
        <v>39</v>
      </c>
      <c r="F9845" t="s">
        <v>13</v>
      </c>
      <c r="G9845" t="s">
        <v>135</v>
      </c>
      <c r="H9845" t="s">
        <v>123</v>
      </c>
      <c r="I9845">
        <v>36155</v>
      </c>
      <c r="J9845">
        <v>33010</v>
      </c>
    </row>
    <row r="9846" spans="1:10" x14ac:dyDescent="0.3">
      <c r="A9846" t="s">
        <v>9973</v>
      </c>
      <c r="B9846" s="1">
        <v>45758</v>
      </c>
      <c r="C9846" t="s">
        <v>86</v>
      </c>
      <c r="D9846">
        <v>15</v>
      </c>
      <c r="E9846" t="s">
        <v>39</v>
      </c>
      <c r="F9846" t="s">
        <v>46</v>
      </c>
      <c r="G9846" t="s">
        <v>266</v>
      </c>
      <c r="H9846" t="s">
        <v>163</v>
      </c>
      <c r="I9846">
        <v>30554</v>
      </c>
      <c r="J9846">
        <v>24687</v>
      </c>
    </row>
    <row r="9847" spans="1:10" x14ac:dyDescent="0.3">
      <c r="A9847" t="s">
        <v>9974</v>
      </c>
      <c r="B9847" s="1">
        <v>45931</v>
      </c>
      <c r="C9847" t="s">
        <v>66</v>
      </c>
      <c r="D9847">
        <v>40</v>
      </c>
      <c r="E9847" t="s">
        <v>33</v>
      </c>
      <c r="F9847" t="s">
        <v>140</v>
      </c>
      <c r="G9847" t="s">
        <v>137</v>
      </c>
      <c r="H9847" t="s">
        <v>123</v>
      </c>
      <c r="I9847">
        <v>18770</v>
      </c>
      <c r="J9847">
        <v>17338</v>
      </c>
    </row>
    <row r="9848" spans="1:10" x14ac:dyDescent="0.3">
      <c r="A9848" t="s">
        <v>9975</v>
      </c>
      <c r="B9848" s="1">
        <v>45942</v>
      </c>
      <c r="C9848" t="s">
        <v>66</v>
      </c>
      <c r="D9848">
        <v>41</v>
      </c>
      <c r="E9848" t="s">
        <v>33</v>
      </c>
      <c r="F9848" t="s">
        <v>13</v>
      </c>
      <c r="G9848" t="s">
        <v>76</v>
      </c>
      <c r="H9848" t="s">
        <v>151</v>
      </c>
      <c r="I9848">
        <v>23477</v>
      </c>
      <c r="J9848">
        <v>21838</v>
      </c>
    </row>
    <row r="9849" spans="1:10" x14ac:dyDescent="0.3">
      <c r="A9849" t="s">
        <v>9976</v>
      </c>
      <c r="B9849" s="1">
        <v>45822</v>
      </c>
      <c r="C9849" t="s">
        <v>74</v>
      </c>
      <c r="D9849">
        <v>24</v>
      </c>
      <c r="E9849" t="s">
        <v>18</v>
      </c>
      <c r="F9849" t="s">
        <v>29</v>
      </c>
      <c r="G9849" t="s">
        <v>201</v>
      </c>
      <c r="H9849" t="s">
        <v>123</v>
      </c>
      <c r="I9849">
        <v>16804</v>
      </c>
      <c r="J9849">
        <v>18832</v>
      </c>
    </row>
    <row r="9850" spans="1:10" x14ac:dyDescent="0.3">
      <c r="A9850" t="s">
        <v>9977</v>
      </c>
      <c r="B9850" s="1">
        <v>45997</v>
      </c>
      <c r="C9850" t="s">
        <v>100</v>
      </c>
      <c r="D9850">
        <v>49</v>
      </c>
      <c r="E9850" t="s">
        <v>24</v>
      </c>
      <c r="F9850" t="s">
        <v>140</v>
      </c>
      <c r="G9850" t="s">
        <v>253</v>
      </c>
      <c r="H9850" t="s">
        <v>111</v>
      </c>
      <c r="I9850">
        <v>38338</v>
      </c>
      <c r="J9850">
        <v>42959</v>
      </c>
    </row>
    <row r="9851" spans="1:10" x14ac:dyDescent="0.3">
      <c r="A9851" t="s">
        <v>9978</v>
      </c>
      <c r="B9851" s="1">
        <v>45962</v>
      </c>
      <c r="C9851" t="s">
        <v>23</v>
      </c>
      <c r="D9851">
        <v>44</v>
      </c>
      <c r="E9851" t="s">
        <v>70</v>
      </c>
      <c r="F9851" t="s">
        <v>29</v>
      </c>
      <c r="G9851" t="s">
        <v>149</v>
      </c>
      <c r="H9851" t="s">
        <v>59</v>
      </c>
      <c r="I9851">
        <v>25270</v>
      </c>
      <c r="J9851">
        <v>20221</v>
      </c>
    </row>
    <row r="9852" spans="1:10" x14ac:dyDescent="0.3">
      <c r="A9852" t="s">
        <v>9979</v>
      </c>
      <c r="B9852" s="1">
        <v>45957</v>
      </c>
      <c r="C9852" t="s">
        <v>66</v>
      </c>
      <c r="D9852">
        <v>44</v>
      </c>
      <c r="E9852" t="s">
        <v>12</v>
      </c>
      <c r="F9852" t="s">
        <v>29</v>
      </c>
      <c r="G9852" t="s">
        <v>76</v>
      </c>
      <c r="H9852" t="s">
        <v>111</v>
      </c>
      <c r="I9852">
        <v>33626</v>
      </c>
      <c r="J9852">
        <v>28951</v>
      </c>
    </row>
    <row r="9853" spans="1:10" x14ac:dyDescent="0.3">
      <c r="A9853" t="s">
        <v>9980</v>
      </c>
      <c r="B9853" s="1">
        <v>45833</v>
      </c>
      <c r="C9853" t="s">
        <v>74</v>
      </c>
      <c r="D9853">
        <v>26</v>
      </c>
      <c r="E9853" t="s">
        <v>33</v>
      </c>
      <c r="F9853" t="s">
        <v>92</v>
      </c>
      <c r="G9853" t="s">
        <v>224</v>
      </c>
      <c r="H9853" t="s">
        <v>15</v>
      </c>
      <c r="I9853">
        <v>18427</v>
      </c>
      <c r="J9853">
        <v>14746</v>
      </c>
    </row>
    <row r="9854" spans="1:10" x14ac:dyDescent="0.3">
      <c r="A9854" t="s">
        <v>9981</v>
      </c>
      <c r="B9854" s="1">
        <v>45842</v>
      </c>
      <c r="C9854" t="s">
        <v>11</v>
      </c>
      <c r="D9854">
        <v>27</v>
      </c>
      <c r="E9854" t="s">
        <v>24</v>
      </c>
      <c r="F9854" t="s">
        <v>78</v>
      </c>
      <c r="G9854" t="s">
        <v>35</v>
      </c>
      <c r="H9854" t="s">
        <v>59</v>
      </c>
      <c r="I9854">
        <v>27986</v>
      </c>
      <c r="J9854">
        <v>34806</v>
      </c>
    </row>
    <row r="9855" spans="1:10" x14ac:dyDescent="0.3">
      <c r="A9855" t="s">
        <v>9982</v>
      </c>
      <c r="B9855" s="1">
        <v>45710</v>
      </c>
      <c r="C9855" t="s">
        <v>82</v>
      </c>
      <c r="D9855">
        <v>8</v>
      </c>
      <c r="E9855" t="s">
        <v>70</v>
      </c>
      <c r="F9855" t="s">
        <v>92</v>
      </c>
      <c r="G9855" t="s">
        <v>83</v>
      </c>
      <c r="H9855" t="s">
        <v>157</v>
      </c>
      <c r="I9855">
        <v>20260</v>
      </c>
      <c r="J9855">
        <v>21961</v>
      </c>
    </row>
    <row r="9856" spans="1:10" x14ac:dyDescent="0.3">
      <c r="A9856" t="s">
        <v>9983</v>
      </c>
      <c r="B9856" s="1">
        <v>45911</v>
      </c>
      <c r="C9856" t="s">
        <v>38</v>
      </c>
      <c r="D9856">
        <v>37</v>
      </c>
      <c r="E9856" t="s">
        <v>18</v>
      </c>
      <c r="F9856" t="s">
        <v>101</v>
      </c>
      <c r="G9856" t="s">
        <v>30</v>
      </c>
      <c r="H9856" t="s">
        <v>98</v>
      </c>
      <c r="I9856">
        <v>25766</v>
      </c>
      <c r="J9856">
        <v>32431</v>
      </c>
    </row>
    <row r="9857" spans="1:10" x14ac:dyDescent="0.3">
      <c r="A9857" t="s">
        <v>9984</v>
      </c>
      <c r="B9857" s="1">
        <v>45703</v>
      </c>
      <c r="C9857" t="s">
        <v>82</v>
      </c>
      <c r="D9857">
        <v>7</v>
      </c>
      <c r="E9857" t="s">
        <v>18</v>
      </c>
      <c r="F9857" t="s">
        <v>109</v>
      </c>
      <c r="G9857" t="s">
        <v>115</v>
      </c>
      <c r="H9857" t="s">
        <v>103</v>
      </c>
      <c r="I9857">
        <v>34490</v>
      </c>
      <c r="J9857">
        <v>36906</v>
      </c>
    </row>
    <row r="9858" spans="1:10" x14ac:dyDescent="0.3">
      <c r="A9858" t="s">
        <v>9985</v>
      </c>
      <c r="B9858" s="1">
        <v>45929</v>
      </c>
      <c r="C9858" t="s">
        <v>38</v>
      </c>
      <c r="D9858">
        <v>40</v>
      </c>
      <c r="E9858" t="s">
        <v>24</v>
      </c>
      <c r="F9858" t="s">
        <v>50</v>
      </c>
      <c r="G9858" t="s">
        <v>230</v>
      </c>
      <c r="H9858" t="s">
        <v>123</v>
      </c>
      <c r="I9858">
        <v>27696</v>
      </c>
      <c r="J9858">
        <v>22889</v>
      </c>
    </row>
    <row r="9859" spans="1:10" x14ac:dyDescent="0.3">
      <c r="A9859" t="s">
        <v>9986</v>
      </c>
      <c r="B9859" s="1">
        <v>45803</v>
      </c>
      <c r="C9859" t="s">
        <v>90</v>
      </c>
      <c r="D9859">
        <v>22</v>
      </c>
      <c r="E9859" t="s">
        <v>61</v>
      </c>
      <c r="F9859" t="s">
        <v>43</v>
      </c>
      <c r="G9859" t="s">
        <v>63</v>
      </c>
      <c r="H9859" t="s">
        <v>48</v>
      </c>
      <c r="I9859">
        <v>31384</v>
      </c>
      <c r="J9859">
        <v>36348</v>
      </c>
    </row>
    <row r="9860" spans="1:10" x14ac:dyDescent="0.3">
      <c r="A9860" t="s">
        <v>9987</v>
      </c>
      <c r="B9860" s="1">
        <v>45822</v>
      </c>
      <c r="C9860" t="s">
        <v>74</v>
      </c>
      <c r="D9860">
        <v>24</v>
      </c>
      <c r="E9860" t="s">
        <v>61</v>
      </c>
      <c r="F9860" t="s">
        <v>75</v>
      </c>
      <c r="G9860" t="s">
        <v>51</v>
      </c>
      <c r="H9860" t="s">
        <v>31</v>
      </c>
      <c r="I9860">
        <v>38590</v>
      </c>
      <c r="J9860">
        <v>33453</v>
      </c>
    </row>
    <row r="9861" spans="1:10" x14ac:dyDescent="0.3">
      <c r="A9861" t="s">
        <v>9988</v>
      </c>
      <c r="B9861" s="1">
        <v>45726</v>
      </c>
      <c r="C9861" t="s">
        <v>95</v>
      </c>
      <c r="D9861">
        <v>11</v>
      </c>
      <c r="E9861" t="s">
        <v>39</v>
      </c>
      <c r="F9861" t="s">
        <v>101</v>
      </c>
      <c r="G9861" t="s">
        <v>118</v>
      </c>
      <c r="H9861" t="s">
        <v>133</v>
      </c>
      <c r="I9861">
        <v>21115</v>
      </c>
      <c r="J9861">
        <v>14799</v>
      </c>
    </row>
    <row r="9862" spans="1:10" x14ac:dyDescent="0.3">
      <c r="A9862" t="s">
        <v>9989</v>
      </c>
      <c r="B9862" s="1">
        <v>45926</v>
      </c>
      <c r="C9862" t="s">
        <v>38</v>
      </c>
      <c r="D9862">
        <v>39</v>
      </c>
      <c r="E9862" t="s">
        <v>70</v>
      </c>
      <c r="F9862" t="s">
        <v>43</v>
      </c>
      <c r="G9862" t="s">
        <v>230</v>
      </c>
      <c r="H9862" t="s">
        <v>119</v>
      </c>
      <c r="I9862">
        <v>25423</v>
      </c>
      <c r="J9862">
        <v>19423</v>
      </c>
    </row>
    <row r="9863" spans="1:10" x14ac:dyDescent="0.3">
      <c r="A9863" t="s">
        <v>9990</v>
      </c>
      <c r="B9863" s="1">
        <v>45966</v>
      </c>
      <c r="C9863" t="s">
        <v>23</v>
      </c>
      <c r="D9863">
        <v>45</v>
      </c>
      <c r="E9863" t="s">
        <v>33</v>
      </c>
      <c r="F9863" t="s">
        <v>43</v>
      </c>
      <c r="G9863" t="s">
        <v>118</v>
      </c>
      <c r="H9863" t="s">
        <v>123</v>
      </c>
      <c r="I9863">
        <v>19835</v>
      </c>
      <c r="J9863">
        <v>14712</v>
      </c>
    </row>
    <row r="9864" spans="1:10" x14ac:dyDescent="0.3">
      <c r="A9864" t="s">
        <v>9991</v>
      </c>
      <c r="B9864" s="1">
        <v>45688</v>
      </c>
      <c r="C9864" t="s">
        <v>17</v>
      </c>
      <c r="D9864">
        <v>5</v>
      </c>
      <c r="E9864" t="s">
        <v>70</v>
      </c>
      <c r="F9864" t="s">
        <v>34</v>
      </c>
      <c r="G9864" t="s">
        <v>171</v>
      </c>
      <c r="H9864" t="s">
        <v>103</v>
      </c>
      <c r="I9864">
        <v>21209</v>
      </c>
      <c r="J9864">
        <v>22469</v>
      </c>
    </row>
    <row r="9865" spans="1:10" x14ac:dyDescent="0.3">
      <c r="A9865" t="s">
        <v>9992</v>
      </c>
      <c r="B9865" s="1">
        <v>45997</v>
      </c>
      <c r="C9865" t="s">
        <v>100</v>
      </c>
      <c r="D9865">
        <v>49</v>
      </c>
      <c r="E9865" t="s">
        <v>24</v>
      </c>
      <c r="F9865" t="s">
        <v>75</v>
      </c>
      <c r="G9865" t="s">
        <v>79</v>
      </c>
      <c r="H9865" t="s">
        <v>64</v>
      </c>
      <c r="I9865">
        <v>15384</v>
      </c>
      <c r="J9865">
        <v>18490</v>
      </c>
    </row>
    <row r="9866" spans="1:10" x14ac:dyDescent="0.3">
      <c r="A9866" t="s">
        <v>9993</v>
      </c>
      <c r="B9866" s="1">
        <v>45687</v>
      </c>
      <c r="C9866" t="s">
        <v>17</v>
      </c>
      <c r="D9866">
        <v>5</v>
      </c>
      <c r="E9866" t="s">
        <v>18</v>
      </c>
      <c r="F9866" t="s">
        <v>43</v>
      </c>
      <c r="G9866" t="s">
        <v>102</v>
      </c>
      <c r="H9866" t="s">
        <v>98</v>
      </c>
      <c r="I9866">
        <v>37853</v>
      </c>
      <c r="J9866">
        <v>44891</v>
      </c>
    </row>
    <row r="9867" spans="1:10" x14ac:dyDescent="0.3">
      <c r="A9867" t="s">
        <v>9994</v>
      </c>
      <c r="B9867" s="1">
        <v>45731</v>
      </c>
      <c r="C9867" t="s">
        <v>95</v>
      </c>
      <c r="D9867">
        <v>11</v>
      </c>
      <c r="E9867" t="s">
        <v>33</v>
      </c>
      <c r="F9867" t="s">
        <v>101</v>
      </c>
      <c r="G9867" t="s">
        <v>54</v>
      </c>
      <c r="H9867" t="s">
        <v>27</v>
      </c>
      <c r="I9867">
        <v>25272</v>
      </c>
      <c r="J9867">
        <v>18227</v>
      </c>
    </row>
    <row r="9868" spans="1:10" x14ac:dyDescent="0.3">
      <c r="A9868" t="s">
        <v>9995</v>
      </c>
      <c r="B9868" s="1">
        <v>45666</v>
      </c>
      <c r="C9868" t="s">
        <v>17</v>
      </c>
      <c r="D9868">
        <v>2</v>
      </c>
      <c r="E9868" t="s">
        <v>33</v>
      </c>
      <c r="F9868" t="s">
        <v>114</v>
      </c>
      <c r="G9868" t="s">
        <v>20</v>
      </c>
      <c r="H9868" t="s">
        <v>133</v>
      </c>
      <c r="I9868">
        <v>31631</v>
      </c>
      <c r="J9868">
        <v>23166</v>
      </c>
    </row>
    <row r="9869" spans="1:10" x14ac:dyDescent="0.3">
      <c r="A9869" t="s">
        <v>9996</v>
      </c>
      <c r="B9869" s="1">
        <v>45917</v>
      </c>
      <c r="C9869" t="s">
        <v>38</v>
      </c>
      <c r="D9869">
        <v>38</v>
      </c>
      <c r="E9869" t="s">
        <v>61</v>
      </c>
      <c r="F9869" t="s">
        <v>140</v>
      </c>
      <c r="G9869" t="s">
        <v>266</v>
      </c>
      <c r="H9869" t="s">
        <v>98</v>
      </c>
      <c r="I9869">
        <v>18140</v>
      </c>
      <c r="J9869">
        <v>21243</v>
      </c>
    </row>
    <row r="9870" spans="1:10" x14ac:dyDescent="0.3">
      <c r="A9870" t="s">
        <v>9997</v>
      </c>
      <c r="B9870" s="1">
        <v>45892</v>
      </c>
      <c r="C9870" t="s">
        <v>113</v>
      </c>
      <c r="D9870">
        <v>34</v>
      </c>
      <c r="E9870" t="s">
        <v>24</v>
      </c>
      <c r="F9870" t="s">
        <v>19</v>
      </c>
      <c r="G9870" t="s">
        <v>76</v>
      </c>
      <c r="H9870" t="s">
        <v>52</v>
      </c>
      <c r="I9870">
        <v>19358</v>
      </c>
      <c r="J9870">
        <v>19521</v>
      </c>
    </row>
    <row r="9871" spans="1:10" x14ac:dyDescent="0.3">
      <c r="A9871" t="s">
        <v>9998</v>
      </c>
      <c r="B9871" s="1">
        <v>45849</v>
      </c>
      <c r="C9871" t="s">
        <v>11</v>
      </c>
      <c r="D9871">
        <v>28</v>
      </c>
      <c r="E9871" t="s">
        <v>12</v>
      </c>
      <c r="F9871" t="s">
        <v>19</v>
      </c>
      <c r="G9871" t="s">
        <v>107</v>
      </c>
      <c r="H9871" t="s">
        <v>111</v>
      </c>
      <c r="I9871">
        <v>17961</v>
      </c>
      <c r="J9871">
        <v>16495</v>
      </c>
    </row>
    <row r="9872" spans="1:10" x14ac:dyDescent="0.3">
      <c r="A9872" t="s">
        <v>9999</v>
      </c>
      <c r="B9872" s="1">
        <v>45835</v>
      </c>
      <c r="C9872" t="s">
        <v>74</v>
      </c>
      <c r="D9872">
        <v>26</v>
      </c>
      <c r="E9872" t="s">
        <v>39</v>
      </c>
      <c r="F9872" t="s">
        <v>122</v>
      </c>
      <c r="G9872" t="s">
        <v>234</v>
      </c>
      <c r="H9872" t="s">
        <v>41</v>
      </c>
      <c r="I9872">
        <v>26042</v>
      </c>
      <c r="J9872">
        <v>22673</v>
      </c>
    </row>
    <row r="9873" spans="1:10" x14ac:dyDescent="0.3">
      <c r="A9873" t="s">
        <v>10000</v>
      </c>
      <c r="B9873" s="1">
        <v>45973</v>
      </c>
      <c r="C9873" t="s">
        <v>23</v>
      </c>
      <c r="D9873">
        <v>46</v>
      </c>
      <c r="E9873" t="s">
        <v>12</v>
      </c>
      <c r="F9873" t="s">
        <v>87</v>
      </c>
      <c r="G9873" t="s">
        <v>126</v>
      </c>
      <c r="H9873" t="s">
        <v>48</v>
      </c>
      <c r="I9873">
        <v>16227</v>
      </c>
      <c r="J9873">
        <v>17237</v>
      </c>
    </row>
    <row r="9874" spans="1:10" x14ac:dyDescent="0.3">
      <c r="A9874" t="s">
        <v>10001</v>
      </c>
      <c r="B9874" s="1">
        <v>45758</v>
      </c>
      <c r="C9874" t="s">
        <v>86</v>
      </c>
      <c r="D9874">
        <v>15</v>
      </c>
      <c r="E9874" t="s">
        <v>24</v>
      </c>
      <c r="F9874" t="s">
        <v>29</v>
      </c>
      <c r="G9874" t="s">
        <v>137</v>
      </c>
      <c r="H9874" t="s">
        <v>59</v>
      </c>
      <c r="I9874">
        <v>16607</v>
      </c>
      <c r="J9874">
        <v>16688</v>
      </c>
    </row>
    <row r="9875" spans="1:10" x14ac:dyDescent="0.3">
      <c r="A9875" t="s">
        <v>10002</v>
      </c>
      <c r="B9875" s="1">
        <v>46015</v>
      </c>
      <c r="C9875" t="s">
        <v>100</v>
      </c>
      <c r="D9875">
        <v>52</v>
      </c>
      <c r="E9875" t="s">
        <v>61</v>
      </c>
      <c r="F9875" t="s">
        <v>109</v>
      </c>
      <c r="G9875" t="s">
        <v>20</v>
      </c>
      <c r="H9875" t="s">
        <v>243</v>
      </c>
      <c r="I9875">
        <v>19056</v>
      </c>
      <c r="J9875">
        <v>13424</v>
      </c>
    </row>
    <row r="9876" spans="1:10" x14ac:dyDescent="0.3">
      <c r="A9876" t="s">
        <v>10003</v>
      </c>
      <c r="B9876" s="1">
        <v>45971</v>
      </c>
      <c r="C9876" t="s">
        <v>23</v>
      </c>
      <c r="D9876">
        <v>46</v>
      </c>
      <c r="E9876" t="s">
        <v>18</v>
      </c>
      <c r="F9876" t="s">
        <v>57</v>
      </c>
      <c r="G9876" t="s">
        <v>107</v>
      </c>
      <c r="H9876" t="s">
        <v>15</v>
      </c>
      <c r="I9876">
        <v>17613</v>
      </c>
      <c r="J9876">
        <v>15296</v>
      </c>
    </row>
    <row r="9877" spans="1:10" x14ac:dyDescent="0.3">
      <c r="A9877" t="s">
        <v>10004</v>
      </c>
      <c r="B9877" s="1">
        <v>46011</v>
      </c>
      <c r="C9877" t="s">
        <v>100</v>
      </c>
      <c r="D9877">
        <v>51</v>
      </c>
      <c r="E9877" t="s">
        <v>18</v>
      </c>
      <c r="F9877" t="s">
        <v>50</v>
      </c>
      <c r="G9877" t="s">
        <v>102</v>
      </c>
      <c r="H9877" t="s">
        <v>41</v>
      </c>
      <c r="I9877">
        <v>26411</v>
      </c>
      <c r="J9877">
        <v>26003</v>
      </c>
    </row>
    <row r="9878" spans="1:10" x14ac:dyDescent="0.3">
      <c r="A9878" t="s">
        <v>10005</v>
      </c>
      <c r="B9878" s="1">
        <v>45839</v>
      </c>
      <c r="C9878" t="s">
        <v>11</v>
      </c>
      <c r="D9878">
        <v>27</v>
      </c>
      <c r="E9878" t="s">
        <v>61</v>
      </c>
      <c r="F9878" t="s">
        <v>87</v>
      </c>
      <c r="G9878" t="s">
        <v>149</v>
      </c>
      <c r="H9878" t="s">
        <v>243</v>
      </c>
      <c r="I9878">
        <v>30450</v>
      </c>
      <c r="J9878">
        <v>29388</v>
      </c>
    </row>
    <row r="9879" spans="1:10" x14ac:dyDescent="0.3">
      <c r="A9879" t="s">
        <v>10006</v>
      </c>
      <c r="B9879" s="1">
        <v>45774</v>
      </c>
      <c r="C9879" t="s">
        <v>86</v>
      </c>
      <c r="D9879">
        <v>17</v>
      </c>
      <c r="E9879" t="s">
        <v>18</v>
      </c>
      <c r="F9879" t="s">
        <v>109</v>
      </c>
      <c r="G9879" t="s">
        <v>20</v>
      </c>
      <c r="H9879" t="s">
        <v>155</v>
      </c>
      <c r="I9879">
        <v>18522</v>
      </c>
      <c r="J9879">
        <v>15529</v>
      </c>
    </row>
    <row r="9880" spans="1:10" x14ac:dyDescent="0.3">
      <c r="A9880" t="s">
        <v>10007</v>
      </c>
      <c r="B9880" s="1">
        <v>46011</v>
      </c>
      <c r="C9880" t="s">
        <v>100</v>
      </c>
      <c r="D9880">
        <v>51</v>
      </c>
      <c r="E9880" t="s">
        <v>61</v>
      </c>
      <c r="F9880" t="s">
        <v>62</v>
      </c>
      <c r="G9880" t="s">
        <v>147</v>
      </c>
      <c r="H9880" t="s">
        <v>36</v>
      </c>
      <c r="I9880">
        <v>19405</v>
      </c>
      <c r="J9880">
        <v>22407</v>
      </c>
    </row>
    <row r="9881" spans="1:10" x14ac:dyDescent="0.3">
      <c r="A9881" t="s">
        <v>10008</v>
      </c>
      <c r="B9881" s="1">
        <v>45866</v>
      </c>
      <c r="C9881" t="s">
        <v>11</v>
      </c>
      <c r="D9881">
        <v>31</v>
      </c>
      <c r="E9881" t="s">
        <v>24</v>
      </c>
      <c r="F9881" t="s">
        <v>92</v>
      </c>
      <c r="G9881" t="s">
        <v>30</v>
      </c>
      <c r="H9881" t="s">
        <v>157</v>
      </c>
      <c r="I9881">
        <v>36998</v>
      </c>
      <c r="J9881">
        <v>39268</v>
      </c>
    </row>
    <row r="9882" spans="1:10" x14ac:dyDescent="0.3">
      <c r="A9882" t="s">
        <v>10009</v>
      </c>
      <c r="B9882" s="1">
        <v>45919</v>
      </c>
      <c r="C9882" t="s">
        <v>38</v>
      </c>
      <c r="D9882">
        <v>38</v>
      </c>
      <c r="E9882" t="s">
        <v>39</v>
      </c>
      <c r="F9882" t="s">
        <v>101</v>
      </c>
      <c r="G9882" t="s">
        <v>147</v>
      </c>
      <c r="H9882" t="s">
        <v>31</v>
      </c>
      <c r="I9882">
        <v>32903</v>
      </c>
      <c r="J9882">
        <v>24882</v>
      </c>
    </row>
    <row r="9883" spans="1:10" x14ac:dyDescent="0.3">
      <c r="A9883" t="s">
        <v>10010</v>
      </c>
      <c r="B9883" s="1">
        <v>45672</v>
      </c>
      <c r="C9883" t="s">
        <v>17</v>
      </c>
      <c r="D9883">
        <v>3</v>
      </c>
      <c r="E9883" t="s">
        <v>33</v>
      </c>
      <c r="F9883" t="s">
        <v>34</v>
      </c>
      <c r="G9883" t="s">
        <v>115</v>
      </c>
      <c r="H9883" t="s">
        <v>96</v>
      </c>
      <c r="I9883">
        <v>28348</v>
      </c>
      <c r="J9883">
        <v>28373</v>
      </c>
    </row>
    <row r="9884" spans="1:10" x14ac:dyDescent="0.3">
      <c r="A9884" t="s">
        <v>10011</v>
      </c>
      <c r="B9884" s="1">
        <v>45798</v>
      </c>
      <c r="C9884" t="s">
        <v>90</v>
      </c>
      <c r="D9884">
        <v>21</v>
      </c>
      <c r="E9884" t="s">
        <v>33</v>
      </c>
      <c r="F9884" t="s">
        <v>114</v>
      </c>
      <c r="G9884" t="s">
        <v>63</v>
      </c>
      <c r="H9884" t="s">
        <v>243</v>
      </c>
      <c r="I9884">
        <v>19205</v>
      </c>
      <c r="J9884">
        <v>20068</v>
      </c>
    </row>
    <row r="9885" spans="1:10" x14ac:dyDescent="0.3">
      <c r="A9885" t="s">
        <v>10012</v>
      </c>
      <c r="B9885" s="1">
        <v>45839</v>
      </c>
      <c r="C9885" t="s">
        <v>11</v>
      </c>
      <c r="D9885">
        <v>27</v>
      </c>
      <c r="E9885" t="s">
        <v>61</v>
      </c>
      <c r="F9885" t="s">
        <v>193</v>
      </c>
      <c r="G9885" t="s">
        <v>182</v>
      </c>
      <c r="H9885" t="s">
        <v>21</v>
      </c>
      <c r="I9885">
        <v>32105</v>
      </c>
      <c r="J9885">
        <v>35397</v>
      </c>
    </row>
    <row r="9886" spans="1:10" x14ac:dyDescent="0.3">
      <c r="A9886" t="s">
        <v>10013</v>
      </c>
      <c r="B9886" s="1">
        <v>45659</v>
      </c>
      <c r="C9886" t="s">
        <v>17</v>
      </c>
      <c r="D9886">
        <v>1</v>
      </c>
      <c r="E9886" t="s">
        <v>18</v>
      </c>
      <c r="F9886" t="s">
        <v>109</v>
      </c>
      <c r="G9886" t="s">
        <v>44</v>
      </c>
      <c r="H9886" t="s">
        <v>155</v>
      </c>
      <c r="I9886">
        <v>16338</v>
      </c>
      <c r="J9886">
        <v>16459</v>
      </c>
    </row>
    <row r="9887" spans="1:10" x14ac:dyDescent="0.3">
      <c r="A9887" t="s">
        <v>10014</v>
      </c>
      <c r="B9887" s="1">
        <v>45713</v>
      </c>
      <c r="C9887" t="s">
        <v>82</v>
      </c>
      <c r="D9887">
        <v>9</v>
      </c>
      <c r="E9887" t="s">
        <v>12</v>
      </c>
      <c r="F9887" t="s">
        <v>140</v>
      </c>
      <c r="G9887" t="s">
        <v>79</v>
      </c>
      <c r="H9887" t="s">
        <v>155</v>
      </c>
      <c r="I9887">
        <v>25423</v>
      </c>
      <c r="J9887">
        <v>18326</v>
      </c>
    </row>
    <row r="9888" spans="1:10" x14ac:dyDescent="0.3">
      <c r="A9888" t="s">
        <v>10015</v>
      </c>
      <c r="B9888" s="1">
        <v>45713</v>
      </c>
      <c r="C9888" t="s">
        <v>82</v>
      </c>
      <c r="D9888">
        <v>9</v>
      </c>
      <c r="E9888" t="s">
        <v>70</v>
      </c>
      <c r="F9888" t="s">
        <v>13</v>
      </c>
      <c r="G9888" t="s">
        <v>160</v>
      </c>
      <c r="H9888" t="s">
        <v>165</v>
      </c>
      <c r="I9888">
        <v>29304</v>
      </c>
      <c r="J9888">
        <v>28090</v>
      </c>
    </row>
    <row r="9889" spans="1:10" x14ac:dyDescent="0.3">
      <c r="A9889" t="s">
        <v>10016</v>
      </c>
      <c r="B9889" s="1">
        <v>45801</v>
      </c>
      <c r="C9889" t="s">
        <v>90</v>
      </c>
      <c r="D9889">
        <v>21</v>
      </c>
      <c r="E9889" t="s">
        <v>12</v>
      </c>
      <c r="F9889" t="s">
        <v>43</v>
      </c>
      <c r="G9889" t="s">
        <v>102</v>
      </c>
      <c r="H9889" t="s">
        <v>96</v>
      </c>
      <c r="I9889">
        <v>26899</v>
      </c>
      <c r="J9889">
        <v>19746</v>
      </c>
    </row>
    <row r="9890" spans="1:10" x14ac:dyDescent="0.3">
      <c r="A9890" t="s">
        <v>10017</v>
      </c>
      <c r="B9890" s="1">
        <v>45834</v>
      </c>
      <c r="C9890" t="s">
        <v>74</v>
      </c>
      <c r="D9890">
        <v>26</v>
      </c>
      <c r="E9890" t="s">
        <v>33</v>
      </c>
      <c r="F9890" t="s">
        <v>46</v>
      </c>
      <c r="G9890" t="s">
        <v>141</v>
      </c>
      <c r="H9890" t="s">
        <v>48</v>
      </c>
      <c r="I9890">
        <v>38568</v>
      </c>
      <c r="J9890">
        <v>49627</v>
      </c>
    </row>
    <row r="9891" spans="1:10" x14ac:dyDescent="0.3">
      <c r="A9891" t="s">
        <v>10018</v>
      </c>
      <c r="B9891" s="1">
        <v>45943</v>
      </c>
      <c r="C9891" t="s">
        <v>66</v>
      </c>
      <c r="D9891">
        <v>42</v>
      </c>
      <c r="E9891" t="s">
        <v>12</v>
      </c>
      <c r="F9891" t="s">
        <v>193</v>
      </c>
      <c r="G9891" t="s">
        <v>240</v>
      </c>
      <c r="H9891" t="s">
        <v>119</v>
      </c>
      <c r="I9891">
        <v>17429</v>
      </c>
      <c r="J9891">
        <v>13830</v>
      </c>
    </row>
    <row r="9892" spans="1:10" x14ac:dyDescent="0.3">
      <c r="A9892" t="s">
        <v>10019</v>
      </c>
      <c r="B9892" s="1">
        <v>45988</v>
      </c>
      <c r="C9892" t="s">
        <v>23</v>
      </c>
      <c r="D9892">
        <v>48</v>
      </c>
      <c r="E9892" t="s">
        <v>24</v>
      </c>
      <c r="F9892" t="s">
        <v>13</v>
      </c>
      <c r="G9892" t="s">
        <v>191</v>
      </c>
      <c r="H9892" t="s">
        <v>59</v>
      </c>
      <c r="I9892">
        <v>20067</v>
      </c>
      <c r="J9892">
        <v>16402</v>
      </c>
    </row>
    <row r="9893" spans="1:10" x14ac:dyDescent="0.3">
      <c r="A9893" t="s">
        <v>10020</v>
      </c>
      <c r="B9893" s="1">
        <v>45953</v>
      </c>
      <c r="C9893" t="s">
        <v>66</v>
      </c>
      <c r="D9893">
        <v>43</v>
      </c>
      <c r="E9893" t="s">
        <v>61</v>
      </c>
      <c r="F9893" t="s">
        <v>114</v>
      </c>
      <c r="G9893" t="s">
        <v>132</v>
      </c>
      <c r="H9893" t="s">
        <v>59</v>
      </c>
      <c r="I9893">
        <v>25992</v>
      </c>
      <c r="J9893">
        <v>32246</v>
      </c>
    </row>
    <row r="9894" spans="1:10" x14ac:dyDescent="0.3">
      <c r="A9894" t="s">
        <v>10021</v>
      </c>
      <c r="B9894" s="1">
        <v>45907</v>
      </c>
      <c r="C9894" t="s">
        <v>38</v>
      </c>
      <c r="D9894">
        <v>36</v>
      </c>
      <c r="E9894" t="s">
        <v>12</v>
      </c>
      <c r="F9894" t="s">
        <v>114</v>
      </c>
      <c r="G9894" t="s">
        <v>266</v>
      </c>
      <c r="H9894" t="s">
        <v>188</v>
      </c>
      <c r="I9894">
        <v>37451</v>
      </c>
      <c r="J9894">
        <v>40184</v>
      </c>
    </row>
    <row r="9895" spans="1:10" x14ac:dyDescent="0.3">
      <c r="A9895" t="s">
        <v>10022</v>
      </c>
      <c r="B9895" s="1">
        <v>45769</v>
      </c>
      <c r="C9895" t="s">
        <v>86</v>
      </c>
      <c r="D9895">
        <v>17</v>
      </c>
      <c r="E9895" t="s">
        <v>18</v>
      </c>
      <c r="F9895" t="s">
        <v>87</v>
      </c>
      <c r="G9895" t="s">
        <v>51</v>
      </c>
      <c r="H9895" t="s">
        <v>151</v>
      </c>
      <c r="I9895">
        <v>16342</v>
      </c>
      <c r="J9895">
        <v>17900</v>
      </c>
    </row>
    <row r="9896" spans="1:10" x14ac:dyDescent="0.3">
      <c r="A9896" t="s">
        <v>10023</v>
      </c>
      <c r="B9896" s="1">
        <v>45967</v>
      </c>
      <c r="C9896" t="s">
        <v>23</v>
      </c>
      <c r="D9896">
        <v>45</v>
      </c>
      <c r="E9896" t="s">
        <v>70</v>
      </c>
      <c r="F9896" t="s">
        <v>92</v>
      </c>
      <c r="G9896" t="s">
        <v>224</v>
      </c>
      <c r="H9896" t="s">
        <v>31</v>
      </c>
      <c r="I9896">
        <v>27063</v>
      </c>
      <c r="J9896">
        <v>29307</v>
      </c>
    </row>
    <row r="9897" spans="1:10" x14ac:dyDescent="0.3">
      <c r="A9897" t="s">
        <v>10024</v>
      </c>
      <c r="B9897" s="1">
        <v>46018</v>
      </c>
      <c r="C9897" t="s">
        <v>100</v>
      </c>
      <c r="D9897">
        <v>52</v>
      </c>
      <c r="E9897" t="s">
        <v>39</v>
      </c>
      <c r="F9897" t="s">
        <v>122</v>
      </c>
      <c r="G9897" t="s">
        <v>201</v>
      </c>
      <c r="H9897" t="s">
        <v>163</v>
      </c>
      <c r="I9897">
        <v>19667</v>
      </c>
      <c r="J9897">
        <v>25085</v>
      </c>
    </row>
    <row r="9898" spans="1:10" x14ac:dyDescent="0.3">
      <c r="A9898" t="s">
        <v>10025</v>
      </c>
      <c r="B9898" s="1">
        <v>45680</v>
      </c>
      <c r="C9898" t="s">
        <v>17</v>
      </c>
      <c r="D9898">
        <v>4</v>
      </c>
      <c r="E9898" t="s">
        <v>18</v>
      </c>
      <c r="F9898" t="s">
        <v>29</v>
      </c>
      <c r="G9898" t="s">
        <v>149</v>
      </c>
      <c r="H9898" t="s">
        <v>163</v>
      </c>
      <c r="I9898">
        <v>19338</v>
      </c>
      <c r="J9898">
        <v>22202</v>
      </c>
    </row>
    <row r="9899" spans="1:10" x14ac:dyDescent="0.3">
      <c r="A9899" t="s">
        <v>10026</v>
      </c>
      <c r="B9899" s="1">
        <v>45795</v>
      </c>
      <c r="C9899" t="s">
        <v>90</v>
      </c>
      <c r="D9899">
        <v>20</v>
      </c>
      <c r="E9899" t="s">
        <v>70</v>
      </c>
      <c r="F9899" t="s">
        <v>34</v>
      </c>
      <c r="G9899" t="s">
        <v>160</v>
      </c>
      <c r="H9899" t="s">
        <v>31</v>
      </c>
      <c r="I9899">
        <v>31417</v>
      </c>
      <c r="J9899">
        <v>25886</v>
      </c>
    </row>
    <row r="9900" spans="1:10" x14ac:dyDescent="0.3">
      <c r="A9900" t="s">
        <v>10027</v>
      </c>
      <c r="B9900" s="1">
        <v>45948</v>
      </c>
      <c r="C9900" t="s">
        <v>66</v>
      </c>
      <c r="D9900">
        <v>42</v>
      </c>
      <c r="E9900" t="s">
        <v>33</v>
      </c>
      <c r="F9900" t="s">
        <v>140</v>
      </c>
      <c r="G9900" t="s">
        <v>14</v>
      </c>
      <c r="H9900" t="s">
        <v>41</v>
      </c>
      <c r="I9900">
        <v>30734</v>
      </c>
      <c r="J9900">
        <v>28545</v>
      </c>
    </row>
    <row r="9901" spans="1:10" x14ac:dyDescent="0.3">
      <c r="A9901" t="s">
        <v>10028</v>
      </c>
      <c r="B9901" s="1">
        <v>45712</v>
      </c>
      <c r="C9901" t="s">
        <v>82</v>
      </c>
      <c r="D9901">
        <v>9</v>
      </c>
      <c r="E9901" t="s">
        <v>12</v>
      </c>
      <c r="F9901" t="s">
        <v>140</v>
      </c>
      <c r="G9901" t="s">
        <v>128</v>
      </c>
      <c r="H9901" t="s">
        <v>27</v>
      </c>
      <c r="I9901">
        <v>15663</v>
      </c>
      <c r="J9901">
        <v>13148</v>
      </c>
    </row>
    <row r="9902" spans="1:10" x14ac:dyDescent="0.3">
      <c r="A9902" t="s">
        <v>10029</v>
      </c>
      <c r="B9902" s="1">
        <v>45895</v>
      </c>
      <c r="C9902" t="s">
        <v>113</v>
      </c>
      <c r="D9902">
        <v>35</v>
      </c>
      <c r="E9902" t="s">
        <v>39</v>
      </c>
      <c r="F9902" t="s">
        <v>122</v>
      </c>
      <c r="G9902" t="s">
        <v>35</v>
      </c>
      <c r="H9902" t="s">
        <v>243</v>
      </c>
      <c r="I9902">
        <v>35040</v>
      </c>
      <c r="J9902">
        <v>31256</v>
      </c>
    </row>
    <row r="9903" spans="1:10" x14ac:dyDescent="0.3">
      <c r="A9903" t="s">
        <v>10030</v>
      </c>
      <c r="B9903" s="1">
        <v>45796</v>
      </c>
      <c r="C9903" t="s">
        <v>90</v>
      </c>
      <c r="D9903">
        <v>21</v>
      </c>
      <c r="E9903" t="s">
        <v>61</v>
      </c>
      <c r="F9903" t="s">
        <v>193</v>
      </c>
      <c r="G9903" t="s">
        <v>63</v>
      </c>
      <c r="H9903" t="s">
        <v>151</v>
      </c>
      <c r="I9903">
        <v>39373</v>
      </c>
      <c r="J9903">
        <v>31718</v>
      </c>
    </row>
    <row r="9904" spans="1:10" x14ac:dyDescent="0.3">
      <c r="A9904" t="s">
        <v>10031</v>
      </c>
      <c r="B9904" s="1">
        <v>45754</v>
      </c>
      <c r="C9904" t="s">
        <v>86</v>
      </c>
      <c r="D9904">
        <v>15</v>
      </c>
      <c r="E9904" t="s">
        <v>70</v>
      </c>
      <c r="F9904" t="s">
        <v>92</v>
      </c>
      <c r="G9904" t="s">
        <v>266</v>
      </c>
      <c r="H9904" t="s">
        <v>64</v>
      </c>
      <c r="I9904">
        <v>33328</v>
      </c>
      <c r="J9904">
        <v>29167</v>
      </c>
    </row>
    <row r="9905" spans="1:10" x14ac:dyDescent="0.3">
      <c r="A9905" t="s">
        <v>10032</v>
      </c>
      <c r="B9905" s="1">
        <v>45909</v>
      </c>
      <c r="C9905" t="s">
        <v>38</v>
      </c>
      <c r="D9905">
        <v>37</v>
      </c>
      <c r="E9905" t="s">
        <v>18</v>
      </c>
      <c r="F9905" t="s">
        <v>75</v>
      </c>
      <c r="G9905" t="s">
        <v>26</v>
      </c>
      <c r="H9905" t="s">
        <v>27</v>
      </c>
      <c r="I9905">
        <v>25986</v>
      </c>
      <c r="J9905">
        <v>28984</v>
      </c>
    </row>
    <row r="9906" spans="1:10" x14ac:dyDescent="0.3">
      <c r="A9906" t="s">
        <v>10033</v>
      </c>
      <c r="B9906" s="1">
        <v>45774</v>
      </c>
      <c r="C9906" t="s">
        <v>86</v>
      </c>
      <c r="D9906">
        <v>17</v>
      </c>
      <c r="E9906" t="s">
        <v>39</v>
      </c>
      <c r="F9906" t="s">
        <v>25</v>
      </c>
      <c r="G9906" t="s">
        <v>147</v>
      </c>
      <c r="H9906" t="s">
        <v>68</v>
      </c>
      <c r="I9906">
        <v>17442</v>
      </c>
      <c r="J9906">
        <v>14261</v>
      </c>
    </row>
    <row r="9907" spans="1:10" x14ac:dyDescent="0.3">
      <c r="A9907" t="s">
        <v>10034</v>
      </c>
      <c r="B9907" s="1">
        <v>45674</v>
      </c>
      <c r="C9907" t="s">
        <v>17</v>
      </c>
      <c r="D9907">
        <v>3</v>
      </c>
      <c r="E9907" t="s">
        <v>61</v>
      </c>
      <c r="F9907" t="s">
        <v>13</v>
      </c>
      <c r="G9907" t="s">
        <v>118</v>
      </c>
      <c r="H9907" t="s">
        <v>211</v>
      </c>
      <c r="I9907">
        <v>23311</v>
      </c>
      <c r="J9907">
        <v>24666</v>
      </c>
    </row>
    <row r="9908" spans="1:10" x14ac:dyDescent="0.3">
      <c r="A9908" t="s">
        <v>10035</v>
      </c>
      <c r="B9908" s="1">
        <v>45684</v>
      </c>
      <c r="C9908" t="s">
        <v>17</v>
      </c>
      <c r="D9908">
        <v>5</v>
      </c>
      <c r="E9908" t="s">
        <v>61</v>
      </c>
      <c r="F9908" t="s">
        <v>29</v>
      </c>
      <c r="G9908" t="s">
        <v>30</v>
      </c>
      <c r="H9908" t="s">
        <v>36</v>
      </c>
      <c r="I9908">
        <v>21298</v>
      </c>
      <c r="J9908">
        <v>18092</v>
      </c>
    </row>
    <row r="9909" spans="1:10" x14ac:dyDescent="0.3">
      <c r="A9909" t="s">
        <v>10036</v>
      </c>
      <c r="B9909" s="1">
        <v>45803</v>
      </c>
      <c r="C9909" t="s">
        <v>90</v>
      </c>
      <c r="D9909">
        <v>22</v>
      </c>
      <c r="E9909" t="s">
        <v>18</v>
      </c>
      <c r="F9909" t="s">
        <v>122</v>
      </c>
      <c r="G9909" t="s">
        <v>149</v>
      </c>
      <c r="H9909" t="s">
        <v>243</v>
      </c>
      <c r="I9909">
        <v>23534</v>
      </c>
      <c r="J9909">
        <v>28544</v>
      </c>
    </row>
    <row r="9910" spans="1:10" x14ac:dyDescent="0.3">
      <c r="A9910" t="s">
        <v>10037</v>
      </c>
      <c r="B9910" s="1">
        <v>45774</v>
      </c>
      <c r="C9910" t="s">
        <v>86</v>
      </c>
      <c r="D9910">
        <v>17</v>
      </c>
      <c r="E9910" t="s">
        <v>70</v>
      </c>
      <c r="F9910" t="s">
        <v>13</v>
      </c>
      <c r="G9910" t="s">
        <v>102</v>
      </c>
      <c r="H9910" t="s">
        <v>27</v>
      </c>
      <c r="I9910">
        <v>19473</v>
      </c>
      <c r="J9910">
        <v>24592</v>
      </c>
    </row>
    <row r="9911" spans="1:10" x14ac:dyDescent="0.3">
      <c r="A9911" t="s">
        <v>10038</v>
      </c>
      <c r="B9911" s="1">
        <v>45682</v>
      </c>
      <c r="C9911" t="s">
        <v>17</v>
      </c>
      <c r="D9911">
        <v>4</v>
      </c>
      <c r="E9911" t="s">
        <v>18</v>
      </c>
      <c r="F9911" t="s">
        <v>75</v>
      </c>
      <c r="G9911" t="s">
        <v>240</v>
      </c>
      <c r="H9911" t="s">
        <v>48</v>
      </c>
      <c r="I9911">
        <v>30307</v>
      </c>
      <c r="J9911">
        <v>37580</v>
      </c>
    </row>
    <row r="9912" spans="1:10" x14ac:dyDescent="0.3">
      <c r="A9912" t="s">
        <v>10039</v>
      </c>
      <c r="B9912" s="1">
        <v>45938</v>
      </c>
      <c r="C9912" t="s">
        <v>66</v>
      </c>
      <c r="D9912">
        <v>41</v>
      </c>
      <c r="E9912" t="s">
        <v>61</v>
      </c>
      <c r="F9912" t="s">
        <v>46</v>
      </c>
      <c r="G9912" t="s">
        <v>110</v>
      </c>
      <c r="H9912" t="s">
        <v>116</v>
      </c>
      <c r="I9912">
        <v>27088</v>
      </c>
      <c r="J9912">
        <v>35141</v>
      </c>
    </row>
    <row r="9913" spans="1:10" x14ac:dyDescent="0.3">
      <c r="A9913" t="s">
        <v>10040</v>
      </c>
      <c r="B9913" s="1">
        <v>45693</v>
      </c>
      <c r="C9913" t="s">
        <v>82</v>
      </c>
      <c r="D9913">
        <v>6</v>
      </c>
      <c r="E9913" t="s">
        <v>61</v>
      </c>
      <c r="F9913" t="s">
        <v>57</v>
      </c>
      <c r="G9913" t="s">
        <v>160</v>
      </c>
      <c r="H9913" t="s">
        <v>52</v>
      </c>
      <c r="I9913">
        <v>15974</v>
      </c>
      <c r="J9913">
        <v>18806</v>
      </c>
    </row>
    <row r="9914" spans="1:10" x14ac:dyDescent="0.3">
      <c r="A9914" t="s">
        <v>10041</v>
      </c>
      <c r="B9914" s="1">
        <v>45663</v>
      </c>
      <c r="C9914" t="s">
        <v>17</v>
      </c>
      <c r="D9914">
        <v>2</v>
      </c>
      <c r="E9914" t="s">
        <v>70</v>
      </c>
      <c r="F9914" t="s">
        <v>50</v>
      </c>
      <c r="G9914" t="s">
        <v>230</v>
      </c>
      <c r="H9914" t="s">
        <v>116</v>
      </c>
      <c r="I9914">
        <v>27724</v>
      </c>
      <c r="J9914">
        <v>26235</v>
      </c>
    </row>
    <row r="9915" spans="1:10" x14ac:dyDescent="0.3">
      <c r="A9915" t="s">
        <v>10042</v>
      </c>
      <c r="B9915" s="1">
        <v>45757</v>
      </c>
      <c r="C9915" t="s">
        <v>86</v>
      </c>
      <c r="D9915">
        <v>15</v>
      </c>
      <c r="E9915" t="s">
        <v>12</v>
      </c>
      <c r="F9915" t="s">
        <v>87</v>
      </c>
      <c r="G9915" t="s">
        <v>67</v>
      </c>
      <c r="H9915" t="s">
        <v>98</v>
      </c>
      <c r="I9915">
        <v>32530</v>
      </c>
      <c r="J9915">
        <v>33515</v>
      </c>
    </row>
    <row r="9916" spans="1:10" x14ac:dyDescent="0.3">
      <c r="A9916" t="s">
        <v>10043</v>
      </c>
      <c r="B9916" s="1">
        <v>45727</v>
      </c>
      <c r="C9916" t="s">
        <v>95</v>
      </c>
      <c r="D9916">
        <v>11</v>
      </c>
      <c r="E9916" t="s">
        <v>24</v>
      </c>
      <c r="F9916" t="s">
        <v>57</v>
      </c>
      <c r="G9916" t="s">
        <v>230</v>
      </c>
      <c r="H9916" t="s">
        <v>52</v>
      </c>
      <c r="I9916">
        <v>16000</v>
      </c>
      <c r="J9916">
        <v>20674</v>
      </c>
    </row>
    <row r="9917" spans="1:10" x14ac:dyDescent="0.3">
      <c r="A9917" t="s">
        <v>10044</v>
      </c>
      <c r="B9917" s="1">
        <v>45978</v>
      </c>
      <c r="C9917" t="s">
        <v>23</v>
      </c>
      <c r="D9917">
        <v>47</v>
      </c>
      <c r="E9917" t="s">
        <v>33</v>
      </c>
      <c r="F9917" t="s">
        <v>87</v>
      </c>
      <c r="G9917" t="s">
        <v>20</v>
      </c>
      <c r="H9917" t="s">
        <v>111</v>
      </c>
      <c r="I9917">
        <v>23048</v>
      </c>
      <c r="J9917">
        <v>23134</v>
      </c>
    </row>
    <row r="9918" spans="1:10" x14ac:dyDescent="0.3">
      <c r="A9918" t="s">
        <v>10045</v>
      </c>
      <c r="B9918" s="1">
        <v>45910</v>
      </c>
      <c r="C9918" t="s">
        <v>38</v>
      </c>
      <c r="D9918">
        <v>37</v>
      </c>
      <c r="E9918" t="s">
        <v>39</v>
      </c>
      <c r="F9918" t="s">
        <v>75</v>
      </c>
      <c r="G9918" t="s">
        <v>30</v>
      </c>
      <c r="H9918" t="s">
        <v>133</v>
      </c>
      <c r="I9918">
        <v>24859</v>
      </c>
      <c r="J9918">
        <v>23939</v>
      </c>
    </row>
    <row r="9919" spans="1:10" x14ac:dyDescent="0.3">
      <c r="A9919" t="s">
        <v>10046</v>
      </c>
      <c r="B9919" s="1">
        <v>45798</v>
      </c>
      <c r="C9919" t="s">
        <v>90</v>
      </c>
      <c r="D9919">
        <v>21</v>
      </c>
      <c r="E9919" t="s">
        <v>70</v>
      </c>
      <c r="F9919" t="s">
        <v>13</v>
      </c>
      <c r="G9919" t="s">
        <v>132</v>
      </c>
      <c r="H9919" t="s">
        <v>27</v>
      </c>
      <c r="I9919">
        <v>21898</v>
      </c>
      <c r="J9919">
        <v>25065</v>
      </c>
    </row>
    <row r="9920" spans="1:10" x14ac:dyDescent="0.3">
      <c r="A9920" t="s">
        <v>10047</v>
      </c>
      <c r="B9920" s="1">
        <v>45792</v>
      </c>
      <c r="C9920" t="s">
        <v>90</v>
      </c>
      <c r="D9920">
        <v>20</v>
      </c>
      <c r="E9920" t="s">
        <v>24</v>
      </c>
      <c r="F9920" t="s">
        <v>43</v>
      </c>
      <c r="G9920" t="s">
        <v>26</v>
      </c>
      <c r="H9920" t="s">
        <v>111</v>
      </c>
      <c r="I9920">
        <v>22862</v>
      </c>
      <c r="J9920">
        <v>20833</v>
      </c>
    </row>
    <row r="9921" spans="1:10" x14ac:dyDescent="0.3">
      <c r="A9921" t="s">
        <v>10048</v>
      </c>
      <c r="B9921" s="1">
        <v>45836</v>
      </c>
      <c r="C9921" t="s">
        <v>74</v>
      </c>
      <c r="D9921">
        <v>26</v>
      </c>
      <c r="E9921" t="s">
        <v>33</v>
      </c>
      <c r="F9921" t="s">
        <v>75</v>
      </c>
      <c r="G9921" t="s">
        <v>58</v>
      </c>
      <c r="H9921" t="s">
        <v>123</v>
      </c>
      <c r="I9921">
        <v>38093</v>
      </c>
      <c r="J9921">
        <v>33482</v>
      </c>
    </row>
    <row r="9922" spans="1:10" x14ac:dyDescent="0.3">
      <c r="A9922" t="s">
        <v>10049</v>
      </c>
      <c r="B9922" s="1">
        <v>45804</v>
      </c>
      <c r="C9922" t="s">
        <v>90</v>
      </c>
      <c r="D9922">
        <v>22</v>
      </c>
      <c r="E9922" t="s">
        <v>24</v>
      </c>
      <c r="F9922" t="s">
        <v>25</v>
      </c>
      <c r="G9922" t="s">
        <v>135</v>
      </c>
      <c r="H9922" t="s">
        <v>116</v>
      </c>
      <c r="I9922">
        <v>35828</v>
      </c>
      <c r="J9922">
        <v>36603</v>
      </c>
    </row>
    <row r="9923" spans="1:10" x14ac:dyDescent="0.3">
      <c r="A9923" t="s">
        <v>10050</v>
      </c>
      <c r="B9923" s="1">
        <v>45742</v>
      </c>
      <c r="C9923" t="s">
        <v>95</v>
      </c>
      <c r="D9923">
        <v>13</v>
      </c>
      <c r="E9923" t="s">
        <v>24</v>
      </c>
      <c r="F9923" t="s">
        <v>92</v>
      </c>
      <c r="G9923" t="s">
        <v>67</v>
      </c>
      <c r="H9923" t="s">
        <v>68</v>
      </c>
      <c r="I9923">
        <v>17096</v>
      </c>
      <c r="J9923">
        <v>16242</v>
      </c>
    </row>
    <row r="9924" spans="1:10" x14ac:dyDescent="0.3">
      <c r="A9924" t="s">
        <v>10051</v>
      </c>
      <c r="B9924" s="1">
        <v>45907</v>
      </c>
      <c r="C9924" t="s">
        <v>38</v>
      </c>
      <c r="D9924">
        <v>36</v>
      </c>
      <c r="E9924" t="s">
        <v>70</v>
      </c>
      <c r="F9924" t="s">
        <v>19</v>
      </c>
      <c r="G9924" t="s">
        <v>35</v>
      </c>
      <c r="H9924" t="s">
        <v>96</v>
      </c>
      <c r="I9924">
        <v>16250</v>
      </c>
      <c r="J9924">
        <v>16213</v>
      </c>
    </row>
    <row r="9925" spans="1:10" x14ac:dyDescent="0.3">
      <c r="A9925" t="s">
        <v>10052</v>
      </c>
      <c r="B9925" s="1">
        <v>45694</v>
      </c>
      <c r="C9925" t="s">
        <v>82</v>
      </c>
      <c r="D9925">
        <v>6</v>
      </c>
      <c r="E9925" t="s">
        <v>70</v>
      </c>
      <c r="F9925" t="s">
        <v>101</v>
      </c>
      <c r="G9925" t="s">
        <v>118</v>
      </c>
      <c r="H9925" t="s">
        <v>41</v>
      </c>
      <c r="I9925">
        <v>31458</v>
      </c>
      <c r="J9925">
        <v>37689</v>
      </c>
    </row>
    <row r="9926" spans="1:10" x14ac:dyDescent="0.3">
      <c r="A9926" t="s">
        <v>10053</v>
      </c>
      <c r="B9926" s="1">
        <v>45779</v>
      </c>
      <c r="C9926" t="s">
        <v>90</v>
      </c>
      <c r="D9926">
        <v>18</v>
      </c>
      <c r="E9926" t="s">
        <v>12</v>
      </c>
      <c r="F9926" t="s">
        <v>78</v>
      </c>
      <c r="G9926" t="s">
        <v>93</v>
      </c>
      <c r="H9926" t="s">
        <v>27</v>
      </c>
      <c r="I9926">
        <v>22731</v>
      </c>
      <c r="J9926">
        <v>24540</v>
      </c>
    </row>
    <row r="9927" spans="1:10" x14ac:dyDescent="0.3">
      <c r="A9927" t="s">
        <v>10054</v>
      </c>
      <c r="B9927" s="1">
        <v>45913</v>
      </c>
      <c r="C9927" t="s">
        <v>38</v>
      </c>
      <c r="D9927">
        <v>37</v>
      </c>
      <c r="E9927" t="s">
        <v>18</v>
      </c>
      <c r="F9927" t="s">
        <v>43</v>
      </c>
      <c r="G9927" t="s">
        <v>58</v>
      </c>
      <c r="H9927" t="s">
        <v>98</v>
      </c>
      <c r="I9927">
        <v>34733</v>
      </c>
      <c r="J9927">
        <v>24462</v>
      </c>
    </row>
    <row r="9928" spans="1:10" x14ac:dyDescent="0.3">
      <c r="A9928" t="s">
        <v>10055</v>
      </c>
      <c r="B9928" s="1">
        <v>45668</v>
      </c>
      <c r="C9928" t="s">
        <v>17</v>
      </c>
      <c r="D9928">
        <v>2</v>
      </c>
      <c r="E9928" t="s">
        <v>18</v>
      </c>
      <c r="F9928" t="s">
        <v>29</v>
      </c>
      <c r="G9928" t="s">
        <v>132</v>
      </c>
      <c r="H9928" t="s">
        <v>157</v>
      </c>
      <c r="I9928">
        <v>16819</v>
      </c>
      <c r="J9928">
        <v>13986</v>
      </c>
    </row>
    <row r="9929" spans="1:10" x14ac:dyDescent="0.3">
      <c r="A9929" t="s">
        <v>10056</v>
      </c>
      <c r="B9929" s="1">
        <v>45782</v>
      </c>
      <c r="C9929" t="s">
        <v>90</v>
      </c>
      <c r="D9929">
        <v>19</v>
      </c>
      <c r="E9929" t="s">
        <v>70</v>
      </c>
      <c r="F9929" t="s">
        <v>101</v>
      </c>
      <c r="G9929" t="s">
        <v>253</v>
      </c>
      <c r="H9929" t="s">
        <v>119</v>
      </c>
      <c r="I9929">
        <v>24093</v>
      </c>
      <c r="J9929">
        <v>24051</v>
      </c>
    </row>
    <row r="9930" spans="1:10" x14ac:dyDescent="0.3">
      <c r="A9930" t="s">
        <v>10057</v>
      </c>
      <c r="B9930" s="1">
        <v>45667</v>
      </c>
      <c r="C9930" t="s">
        <v>17</v>
      </c>
      <c r="D9930">
        <v>2</v>
      </c>
      <c r="E9930" t="s">
        <v>33</v>
      </c>
      <c r="F9930" t="s">
        <v>57</v>
      </c>
      <c r="G9930" t="s">
        <v>199</v>
      </c>
      <c r="H9930" t="s">
        <v>52</v>
      </c>
      <c r="I9930">
        <v>35204</v>
      </c>
      <c r="J9930">
        <v>45169</v>
      </c>
    </row>
    <row r="9931" spans="1:10" x14ac:dyDescent="0.3">
      <c r="A9931" t="s">
        <v>10058</v>
      </c>
      <c r="B9931" s="1">
        <v>45698</v>
      </c>
      <c r="C9931" t="s">
        <v>82</v>
      </c>
      <c r="D9931">
        <v>7</v>
      </c>
      <c r="E9931" t="s">
        <v>33</v>
      </c>
      <c r="F9931" t="s">
        <v>101</v>
      </c>
      <c r="G9931" t="s">
        <v>72</v>
      </c>
      <c r="H9931" t="s">
        <v>98</v>
      </c>
      <c r="I9931">
        <v>15536</v>
      </c>
      <c r="J9931">
        <v>18730</v>
      </c>
    </row>
    <row r="9932" spans="1:10" x14ac:dyDescent="0.3">
      <c r="A9932" t="s">
        <v>10059</v>
      </c>
      <c r="B9932" s="1">
        <v>45858</v>
      </c>
      <c r="C9932" t="s">
        <v>11</v>
      </c>
      <c r="D9932">
        <v>29</v>
      </c>
      <c r="E9932" t="s">
        <v>39</v>
      </c>
      <c r="F9932" t="s">
        <v>25</v>
      </c>
      <c r="G9932" t="s">
        <v>118</v>
      </c>
      <c r="H9932" t="s">
        <v>103</v>
      </c>
      <c r="I9932">
        <v>22965</v>
      </c>
      <c r="J9932">
        <v>26209</v>
      </c>
    </row>
    <row r="9933" spans="1:10" x14ac:dyDescent="0.3">
      <c r="A9933" t="s">
        <v>10060</v>
      </c>
      <c r="B9933" s="1">
        <v>45695</v>
      </c>
      <c r="C9933" t="s">
        <v>82</v>
      </c>
      <c r="D9933">
        <v>6</v>
      </c>
      <c r="E9933" t="s">
        <v>39</v>
      </c>
      <c r="F9933" t="s">
        <v>193</v>
      </c>
      <c r="G9933" t="s">
        <v>147</v>
      </c>
      <c r="H9933" t="s">
        <v>116</v>
      </c>
      <c r="I9933">
        <v>36314</v>
      </c>
      <c r="J9933">
        <v>40016</v>
      </c>
    </row>
    <row r="9934" spans="1:10" x14ac:dyDescent="0.3">
      <c r="A9934" t="s">
        <v>10061</v>
      </c>
      <c r="B9934" s="1">
        <v>45841</v>
      </c>
      <c r="C9934" t="s">
        <v>11</v>
      </c>
      <c r="D9934">
        <v>27</v>
      </c>
      <c r="E9934" t="s">
        <v>33</v>
      </c>
      <c r="F9934" t="s">
        <v>19</v>
      </c>
      <c r="G9934" t="s">
        <v>54</v>
      </c>
      <c r="H9934" t="s">
        <v>123</v>
      </c>
      <c r="I9934">
        <v>33064</v>
      </c>
      <c r="J9934">
        <v>23333</v>
      </c>
    </row>
    <row r="9935" spans="1:10" x14ac:dyDescent="0.3">
      <c r="A9935" t="s">
        <v>10062</v>
      </c>
      <c r="B9935" s="1">
        <v>45673</v>
      </c>
      <c r="C9935" t="s">
        <v>17</v>
      </c>
      <c r="D9935">
        <v>3</v>
      </c>
      <c r="E9935" t="s">
        <v>24</v>
      </c>
      <c r="F9935" t="s">
        <v>75</v>
      </c>
      <c r="G9935" t="s">
        <v>63</v>
      </c>
      <c r="H9935" t="s">
        <v>27</v>
      </c>
      <c r="I9935">
        <v>18083</v>
      </c>
      <c r="J9935">
        <v>15504</v>
      </c>
    </row>
    <row r="9936" spans="1:10" x14ac:dyDescent="0.3">
      <c r="A9936" t="s">
        <v>10063</v>
      </c>
      <c r="B9936" s="1">
        <v>45668</v>
      </c>
      <c r="C9936" t="s">
        <v>17</v>
      </c>
      <c r="D9936">
        <v>2</v>
      </c>
      <c r="E9936" t="s">
        <v>39</v>
      </c>
      <c r="F9936" t="s">
        <v>101</v>
      </c>
      <c r="G9936" t="s">
        <v>30</v>
      </c>
      <c r="H9936" t="s">
        <v>133</v>
      </c>
      <c r="I9936">
        <v>15066</v>
      </c>
      <c r="J9936">
        <v>18070</v>
      </c>
    </row>
    <row r="9937" spans="1:10" x14ac:dyDescent="0.3">
      <c r="A9937" t="s">
        <v>10064</v>
      </c>
      <c r="B9937" s="1">
        <v>45857</v>
      </c>
      <c r="C9937" t="s">
        <v>11</v>
      </c>
      <c r="D9937">
        <v>29</v>
      </c>
      <c r="E9937" t="s">
        <v>24</v>
      </c>
      <c r="F9937" t="s">
        <v>122</v>
      </c>
      <c r="G9937" t="s">
        <v>20</v>
      </c>
      <c r="H9937" t="s">
        <v>165</v>
      </c>
      <c r="I9937">
        <v>35684</v>
      </c>
      <c r="J9937">
        <v>37217</v>
      </c>
    </row>
    <row r="9938" spans="1:10" x14ac:dyDescent="0.3">
      <c r="A9938" t="s">
        <v>10065</v>
      </c>
      <c r="B9938" s="1">
        <v>45763</v>
      </c>
      <c r="C9938" t="s">
        <v>86</v>
      </c>
      <c r="D9938">
        <v>16</v>
      </c>
      <c r="E9938" t="s">
        <v>39</v>
      </c>
      <c r="F9938" t="s">
        <v>101</v>
      </c>
      <c r="G9938" t="s">
        <v>35</v>
      </c>
      <c r="H9938" t="s">
        <v>157</v>
      </c>
      <c r="I9938">
        <v>38644</v>
      </c>
      <c r="J9938">
        <v>39258</v>
      </c>
    </row>
    <row r="9939" spans="1:10" x14ac:dyDescent="0.3">
      <c r="A9939" t="s">
        <v>10066</v>
      </c>
      <c r="B9939" s="1">
        <v>45799</v>
      </c>
      <c r="C9939" t="s">
        <v>90</v>
      </c>
      <c r="D9939">
        <v>21</v>
      </c>
      <c r="E9939" t="s">
        <v>33</v>
      </c>
      <c r="F9939" t="s">
        <v>19</v>
      </c>
      <c r="G9939" t="s">
        <v>240</v>
      </c>
      <c r="H9939" t="s">
        <v>188</v>
      </c>
      <c r="I9939">
        <v>30360</v>
      </c>
      <c r="J9939">
        <v>24189</v>
      </c>
    </row>
    <row r="9940" spans="1:10" x14ac:dyDescent="0.3">
      <c r="A9940" t="s">
        <v>10067</v>
      </c>
      <c r="B9940" s="1">
        <v>45665</v>
      </c>
      <c r="C9940" t="s">
        <v>17</v>
      </c>
      <c r="D9940">
        <v>2</v>
      </c>
      <c r="E9940" t="s">
        <v>33</v>
      </c>
      <c r="F9940" t="s">
        <v>34</v>
      </c>
      <c r="G9940" t="s">
        <v>72</v>
      </c>
      <c r="H9940" t="s">
        <v>243</v>
      </c>
      <c r="I9940">
        <v>33610</v>
      </c>
      <c r="J9940">
        <v>36056</v>
      </c>
    </row>
    <row r="9941" spans="1:10" x14ac:dyDescent="0.3">
      <c r="A9941" t="s">
        <v>10068</v>
      </c>
      <c r="B9941" s="1">
        <v>45986</v>
      </c>
      <c r="C9941" t="s">
        <v>23</v>
      </c>
      <c r="D9941">
        <v>48</v>
      </c>
      <c r="E9941" t="s">
        <v>70</v>
      </c>
      <c r="F9941" t="s">
        <v>62</v>
      </c>
      <c r="G9941" t="s">
        <v>44</v>
      </c>
      <c r="H9941" t="s">
        <v>188</v>
      </c>
      <c r="I9941">
        <v>37133</v>
      </c>
      <c r="J9941">
        <v>29844</v>
      </c>
    </row>
    <row r="9942" spans="1:10" x14ac:dyDescent="0.3">
      <c r="A9942" t="s">
        <v>10069</v>
      </c>
      <c r="B9942" s="1">
        <v>45808</v>
      </c>
      <c r="C9942" t="s">
        <v>90</v>
      </c>
      <c r="D9942">
        <v>22</v>
      </c>
      <c r="E9942" t="s">
        <v>18</v>
      </c>
      <c r="F9942" t="s">
        <v>62</v>
      </c>
      <c r="G9942" t="s">
        <v>128</v>
      </c>
      <c r="H9942" t="s">
        <v>68</v>
      </c>
      <c r="I9942">
        <v>17613</v>
      </c>
      <c r="J9942">
        <v>17895</v>
      </c>
    </row>
    <row r="9943" spans="1:10" x14ac:dyDescent="0.3">
      <c r="A9943" t="s">
        <v>10070</v>
      </c>
      <c r="B9943" s="1">
        <v>45694</v>
      </c>
      <c r="C9943" t="s">
        <v>82</v>
      </c>
      <c r="D9943">
        <v>6</v>
      </c>
      <c r="E9943" t="s">
        <v>12</v>
      </c>
      <c r="F9943" t="s">
        <v>25</v>
      </c>
      <c r="G9943" t="s">
        <v>40</v>
      </c>
      <c r="H9943" t="s">
        <v>133</v>
      </c>
      <c r="I9943">
        <v>39333</v>
      </c>
      <c r="J9943">
        <v>39153</v>
      </c>
    </row>
    <row r="9944" spans="1:10" x14ac:dyDescent="0.3">
      <c r="A9944" t="s">
        <v>10071</v>
      </c>
      <c r="B9944" s="1">
        <v>45938</v>
      </c>
      <c r="C9944" t="s">
        <v>66</v>
      </c>
      <c r="D9944">
        <v>41</v>
      </c>
      <c r="E9944" t="s">
        <v>33</v>
      </c>
      <c r="F9944" t="s">
        <v>34</v>
      </c>
      <c r="G9944" t="s">
        <v>35</v>
      </c>
      <c r="H9944" t="s">
        <v>27</v>
      </c>
      <c r="I9944">
        <v>20133</v>
      </c>
      <c r="J9944">
        <v>21000</v>
      </c>
    </row>
    <row r="9945" spans="1:10" x14ac:dyDescent="0.3">
      <c r="A9945" t="s">
        <v>10072</v>
      </c>
      <c r="B9945" s="1">
        <v>46013</v>
      </c>
      <c r="C9945" t="s">
        <v>100</v>
      </c>
      <c r="D9945">
        <v>52</v>
      </c>
      <c r="E9945" t="s">
        <v>12</v>
      </c>
      <c r="F9945" t="s">
        <v>87</v>
      </c>
      <c r="G9945" t="s">
        <v>326</v>
      </c>
      <c r="H9945" t="s">
        <v>211</v>
      </c>
      <c r="I9945">
        <v>35592</v>
      </c>
      <c r="J9945">
        <v>31734</v>
      </c>
    </row>
    <row r="9946" spans="1:10" x14ac:dyDescent="0.3">
      <c r="A9946" t="s">
        <v>10073</v>
      </c>
      <c r="B9946" s="1">
        <v>45754</v>
      </c>
      <c r="C9946" t="s">
        <v>86</v>
      </c>
      <c r="D9946">
        <v>15</v>
      </c>
      <c r="E9946" t="s">
        <v>12</v>
      </c>
      <c r="F9946" t="s">
        <v>75</v>
      </c>
      <c r="G9946" t="s">
        <v>20</v>
      </c>
      <c r="H9946" t="s">
        <v>155</v>
      </c>
      <c r="I9946">
        <v>16622</v>
      </c>
      <c r="J9946">
        <v>17135</v>
      </c>
    </row>
    <row r="9947" spans="1:10" x14ac:dyDescent="0.3">
      <c r="A9947" t="s">
        <v>10074</v>
      </c>
      <c r="B9947" s="1">
        <v>45987</v>
      </c>
      <c r="C9947" t="s">
        <v>23</v>
      </c>
      <c r="D9947">
        <v>48</v>
      </c>
      <c r="E9947" t="s">
        <v>39</v>
      </c>
      <c r="F9947" t="s">
        <v>29</v>
      </c>
      <c r="G9947" t="s">
        <v>132</v>
      </c>
      <c r="H9947" t="s">
        <v>59</v>
      </c>
      <c r="I9947">
        <v>36854</v>
      </c>
      <c r="J9947">
        <v>28372</v>
      </c>
    </row>
    <row r="9948" spans="1:10" x14ac:dyDescent="0.3">
      <c r="A9948" t="s">
        <v>10075</v>
      </c>
      <c r="B9948" s="1">
        <v>45894</v>
      </c>
      <c r="C9948" t="s">
        <v>113</v>
      </c>
      <c r="D9948">
        <v>35</v>
      </c>
      <c r="E9948" t="s">
        <v>24</v>
      </c>
      <c r="F9948" t="s">
        <v>43</v>
      </c>
      <c r="G9948" t="s">
        <v>324</v>
      </c>
      <c r="H9948" t="s">
        <v>21</v>
      </c>
      <c r="I9948">
        <v>28797</v>
      </c>
      <c r="J9948">
        <v>36988</v>
      </c>
    </row>
    <row r="9949" spans="1:10" x14ac:dyDescent="0.3">
      <c r="A9949" t="s">
        <v>10076</v>
      </c>
      <c r="B9949" s="1">
        <v>45732</v>
      </c>
      <c r="C9949" t="s">
        <v>95</v>
      </c>
      <c r="D9949">
        <v>11</v>
      </c>
      <c r="E9949" t="s">
        <v>70</v>
      </c>
      <c r="F9949" t="s">
        <v>34</v>
      </c>
      <c r="G9949" t="s">
        <v>20</v>
      </c>
      <c r="H9949" t="s">
        <v>165</v>
      </c>
      <c r="I9949">
        <v>31805</v>
      </c>
      <c r="J9949">
        <v>25176</v>
      </c>
    </row>
    <row r="9950" spans="1:10" x14ac:dyDescent="0.3">
      <c r="A9950" t="s">
        <v>10077</v>
      </c>
      <c r="B9950" s="1">
        <v>45982</v>
      </c>
      <c r="C9950" t="s">
        <v>23</v>
      </c>
      <c r="D9950">
        <v>47</v>
      </c>
      <c r="E9950" t="s">
        <v>18</v>
      </c>
      <c r="F9950" t="s">
        <v>43</v>
      </c>
      <c r="G9950" t="s">
        <v>324</v>
      </c>
      <c r="H9950" t="s">
        <v>155</v>
      </c>
      <c r="I9950">
        <v>15509</v>
      </c>
      <c r="J9950">
        <v>13705</v>
      </c>
    </row>
    <row r="9951" spans="1:10" x14ac:dyDescent="0.3">
      <c r="A9951" t="s">
        <v>10078</v>
      </c>
      <c r="B9951" s="1">
        <v>45954</v>
      </c>
      <c r="C9951" t="s">
        <v>66</v>
      </c>
      <c r="D9951">
        <v>43</v>
      </c>
      <c r="E9951" t="s">
        <v>61</v>
      </c>
      <c r="F9951" t="s">
        <v>19</v>
      </c>
      <c r="G9951" t="s">
        <v>14</v>
      </c>
      <c r="H9951" t="s">
        <v>80</v>
      </c>
      <c r="I9951">
        <v>15059</v>
      </c>
      <c r="J9951">
        <v>17511</v>
      </c>
    </row>
    <row r="9952" spans="1:10" x14ac:dyDescent="0.3">
      <c r="A9952" t="s">
        <v>10079</v>
      </c>
      <c r="B9952" s="1">
        <v>45744</v>
      </c>
      <c r="C9952" t="s">
        <v>95</v>
      </c>
      <c r="D9952">
        <v>13</v>
      </c>
      <c r="E9952" t="s">
        <v>12</v>
      </c>
      <c r="F9952" t="s">
        <v>114</v>
      </c>
      <c r="G9952" t="s">
        <v>135</v>
      </c>
      <c r="H9952" t="s">
        <v>80</v>
      </c>
      <c r="I9952">
        <v>27083</v>
      </c>
      <c r="J9952">
        <v>28911</v>
      </c>
    </row>
    <row r="9953" spans="1:10" x14ac:dyDescent="0.3">
      <c r="A9953" t="s">
        <v>10080</v>
      </c>
      <c r="B9953" s="1">
        <v>45724</v>
      </c>
      <c r="C9953" t="s">
        <v>95</v>
      </c>
      <c r="D9953">
        <v>10</v>
      </c>
      <c r="E9953" t="s">
        <v>12</v>
      </c>
      <c r="F9953" t="s">
        <v>13</v>
      </c>
      <c r="G9953" t="s">
        <v>206</v>
      </c>
      <c r="H9953" t="s">
        <v>151</v>
      </c>
      <c r="I9953">
        <v>24844</v>
      </c>
      <c r="J9953">
        <v>31589</v>
      </c>
    </row>
    <row r="9954" spans="1:10" x14ac:dyDescent="0.3">
      <c r="A9954" t="s">
        <v>10081</v>
      </c>
      <c r="B9954" s="1">
        <v>45955</v>
      </c>
      <c r="C9954" t="s">
        <v>66</v>
      </c>
      <c r="D9954">
        <v>43</v>
      </c>
      <c r="E9954" t="s">
        <v>70</v>
      </c>
      <c r="F9954" t="s">
        <v>62</v>
      </c>
      <c r="G9954" t="s">
        <v>137</v>
      </c>
      <c r="H9954" t="s">
        <v>133</v>
      </c>
      <c r="I9954">
        <v>29913</v>
      </c>
      <c r="J9954">
        <v>28725</v>
      </c>
    </row>
    <row r="9955" spans="1:10" x14ac:dyDescent="0.3">
      <c r="A9955" t="s">
        <v>10082</v>
      </c>
      <c r="B9955" s="1">
        <v>45903</v>
      </c>
      <c r="C9955" t="s">
        <v>38</v>
      </c>
      <c r="D9955">
        <v>36</v>
      </c>
      <c r="E9955" t="s">
        <v>39</v>
      </c>
      <c r="F9955" t="s">
        <v>75</v>
      </c>
      <c r="G9955" t="s">
        <v>40</v>
      </c>
      <c r="H9955" t="s">
        <v>55</v>
      </c>
      <c r="I9955">
        <v>35326</v>
      </c>
      <c r="J9955">
        <v>43926</v>
      </c>
    </row>
    <row r="9956" spans="1:10" x14ac:dyDescent="0.3">
      <c r="A9956" t="s">
        <v>10083</v>
      </c>
      <c r="B9956" s="1">
        <v>45697</v>
      </c>
      <c r="C9956" t="s">
        <v>82</v>
      </c>
      <c r="D9956">
        <v>6</v>
      </c>
      <c r="E9956" t="s">
        <v>18</v>
      </c>
      <c r="F9956" t="s">
        <v>29</v>
      </c>
      <c r="G9956" t="s">
        <v>93</v>
      </c>
      <c r="H9956" t="s">
        <v>59</v>
      </c>
      <c r="I9956">
        <v>34719</v>
      </c>
      <c r="J9956">
        <v>44795</v>
      </c>
    </row>
    <row r="9957" spans="1:10" x14ac:dyDescent="0.3">
      <c r="A9957" t="s">
        <v>10084</v>
      </c>
      <c r="B9957" s="1">
        <v>45985</v>
      </c>
      <c r="C9957" t="s">
        <v>23</v>
      </c>
      <c r="D9957">
        <v>48</v>
      </c>
      <c r="E9957" t="s">
        <v>39</v>
      </c>
      <c r="F9957" t="s">
        <v>34</v>
      </c>
      <c r="G9957" t="s">
        <v>93</v>
      </c>
      <c r="H9957" t="s">
        <v>41</v>
      </c>
      <c r="I9957">
        <v>29178</v>
      </c>
      <c r="J9957">
        <v>20727</v>
      </c>
    </row>
    <row r="9958" spans="1:10" x14ac:dyDescent="0.3">
      <c r="A9958" t="s">
        <v>10085</v>
      </c>
      <c r="B9958" s="1">
        <v>45812</v>
      </c>
      <c r="C9958" t="s">
        <v>74</v>
      </c>
      <c r="D9958">
        <v>23</v>
      </c>
      <c r="E9958" t="s">
        <v>33</v>
      </c>
      <c r="F9958" t="s">
        <v>114</v>
      </c>
      <c r="G9958" t="s">
        <v>182</v>
      </c>
      <c r="H9958" t="s">
        <v>116</v>
      </c>
      <c r="I9958">
        <v>21840</v>
      </c>
      <c r="J9958">
        <v>20022</v>
      </c>
    </row>
    <row r="9959" spans="1:10" x14ac:dyDescent="0.3">
      <c r="A9959" t="s">
        <v>10086</v>
      </c>
      <c r="B9959" s="1">
        <v>45693</v>
      </c>
      <c r="C9959" t="s">
        <v>82</v>
      </c>
      <c r="D9959">
        <v>6</v>
      </c>
      <c r="E9959" t="s">
        <v>39</v>
      </c>
      <c r="F9959" t="s">
        <v>25</v>
      </c>
      <c r="G9959" t="s">
        <v>128</v>
      </c>
      <c r="H9959" t="s">
        <v>188</v>
      </c>
      <c r="I9959">
        <v>25904</v>
      </c>
      <c r="J9959">
        <v>30160</v>
      </c>
    </row>
    <row r="9960" spans="1:10" x14ac:dyDescent="0.3">
      <c r="A9960" t="s">
        <v>10087</v>
      </c>
      <c r="B9960" s="1">
        <v>45982</v>
      </c>
      <c r="C9960" t="s">
        <v>23</v>
      </c>
      <c r="D9960">
        <v>47</v>
      </c>
      <c r="E9960" t="s">
        <v>33</v>
      </c>
      <c r="F9960" t="s">
        <v>109</v>
      </c>
      <c r="G9960" t="s">
        <v>324</v>
      </c>
      <c r="H9960" t="s">
        <v>119</v>
      </c>
      <c r="I9960">
        <v>35518</v>
      </c>
      <c r="J9960">
        <v>32181</v>
      </c>
    </row>
    <row r="9961" spans="1:10" x14ac:dyDescent="0.3">
      <c r="A9961" t="s">
        <v>10088</v>
      </c>
      <c r="B9961" s="1">
        <v>45750</v>
      </c>
      <c r="C9961" t="s">
        <v>86</v>
      </c>
      <c r="D9961">
        <v>14</v>
      </c>
      <c r="E9961" t="s">
        <v>70</v>
      </c>
      <c r="F9961" t="s">
        <v>57</v>
      </c>
      <c r="G9961" t="s">
        <v>234</v>
      </c>
      <c r="H9961" t="s">
        <v>31</v>
      </c>
      <c r="I9961">
        <v>31230</v>
      </c>
      <c r="J9961">
        <v>36403</v>
      </c>
    </row>
    <row r="9962" spans="1:10" x14ac:dyDescent="0.3">
      <c r="A9962" t="s">
        <v>10089</v>
      </c>
      <c r="B9962" s="1">
        <v>45956</v>
      </c>
      <c r="C9962" t="s">
        <v>66</v>
      </c>
      <c r="D9962">
        <v>43</v>
      </c>
      <c r="E9962" t="s">
        <v>70</v>
      </c>
      <c r="F9962" t="s">
        <v>75</v>
      </c>
      <c r="G9962" t="s">
        <v>266</v>
      </c>
      <c r="H9962" t="s">
        <v>21</v>
      </c>
      <c r="I9962">
        <v>20151</v>
      </c>
      <c r="J9962">
        <v>17755</v>
      </c>
    </row>
    <row r="9963" spans="1:10" x14ac:dyDescent="0.3">
      <c r="A9963" t="s">
        <v>10090</v>
      </c>
      <c r="B9963" s="1">
        <v>46008</v>
      </c>
      <c r="C9963" t="s">
        <v>100</v>
      </c>
      <c r="D9963">
        <v>51</v>
      </c>
      <c r="E9963" t="s">
        <v>33</v>
      </c>
      <c r="F9963" t="s">
        <v>46</v>
      </c>
      <c r="G9963" t="s">
        <v>44</v>
      </c>
      <c r="H9963" t="s">
        <v>157</v>
      </c>
      <c r="I9963">
        <v>22071</v>
      </c>
      <c r="J9963">
        <v>24401</v>
      </c>
    </row>
    <row r="9964" spans="1:10" x14ac:dyDescent="0.3">
      <c r="A9964" t="s">
        <v>10091</v>
      </c>
      <c r="B9964" s="1">
        <v>45973</v>
      </c>
      <c r="C9964" t="s">
        <v>23</v>
      </c>
      <c r="D9964">
        <v>46</v>
      </c>
      <c r="E9964" t="s">
        <v>33</v>
      </c>
      <c r="F9964" t="s">
        <v>92</v>
      </c>
      <c r="G9964" t="s">
        <v>199</v>
      </c>
      <c r="H9964" t="s">
        <v>36</v>
      </c>
      <c r="I9964">
        <v>16764</v>
      </c>
      <c r="J9964">
        <v>14855</v>
      </c>
    </row>
    <row r="9965" spans="1:10" x14ac:dyDescent="0.3">
      <c r="A9965" t="s">
        <v>10092</v>
      </c>
      <c r="B9965" s="1">
        <v>45805</v>
      </c>
      <c r="C9965" t="s">
        <v>90</v>
      </c>
      <c r="D9965">
        <v>22</v>
      </c>
      <c r="E9965" t="s">
        <v>24</v>
      </c>
      <c r="F9965" t="s">
        <v>34</v>
      </c>
      <c r="G9965" t="s">
        <v>44</v>
      </c>
      <c r="H9965" t="s">
        <v>27</v>
      </c>
      <c r="I9965">
        <v>18600</v>
      </c>
      <c r="J9965">
        <v>22880</v>
      </c>
    </row>
    <row r="9966" spans="1:10" x14ac:dyDescent="0.3">
      <c r="A9966" t="s">
        <v>10093</v>
      </c>
      <c r="B9966" s="1">
        <v>45692</v>
      </c>
      <c r="C9966" t="s">
        <v>82</v>
      </c>
      <c r="D9966">
        <v>6</v>
      </c>
      <c r="E9966" t="s">
        <v>70</v>
      </c>
      <c r="F9966" t="s">
        <v>29</v>
      </c>
      <c r="G9966" t="s">
        <v>72</v>
      </c>
      <c r="H9966" t="s">
        <v>15</v>
      </c>
      <c r="I9966">
        <v>32534</v>
      </c>
      <c r="J9966">
        <v>33080</v>
      </c>
    </row>
    <row r="9967" spans="1:10" x14ac:dyDescent="0.3">
      <c r="A9967" t="s">
        <v>10094</v>
      </c>
      <c r="B9967" s="1">
        <v>45830</v>
      </c>
      <c r="C9967" t="s">
        <v>74</v>
      </c>
      <c r="D9967">
        <v>25</v>
      </c>
      <c r="E9967" t="s">
        <v>39</v>
      </c>
      <c r="F9967" t="s">
        <v>34</v>
      </c>
      <c r="G9967" t="s">
        <v>110</v>
      </c>
      <c r="H9967" t="s">
        <v>188</v>
      </c>
      <c r="I9967">
        <v>33811</v>
      </c>
      <c r="J9967">
        <v>38880</v>
      </c>
    </row>
    <row r="9968" spans="1:10" x14ac:dyDescent="0.3">
      <c r="A9968" t="s">
        <v>10095</v>
      </c>
      <c r="B9968" s="1">
        <v>45789</v>
      </c>
      <c r="C9968" t="s">
        <v>90</v>
      </c>
      <c r="D9968">
        <v>20</v>
      </c>
      <c r="E9968" t="s">
        <v>61</v>
      </c>
      <c r="F9968" t="s">
        <v>101</v>
      </c>
      <c r="G9968" t="s">
        <v>102</v>
      </c>
      <c r="H9968" t="s">
        <v>41</v>
      </c>
      <c r="I9968">
        <v>35303</v>
      </c>
      <c r="J9968">
        <v>29030</v>
      </c>
    </row>
    <row r="9969" spans="1:10" x14ac:dyDescent="0.3">
      <c r="A9969" t="s">
        <v>10096</v>
      </c>
      <c r="B9969" s="1">
        <v>45795</v>
      </c>
      <c r="C9969" t="s">
        <v>90</v>
      </c>
      <c r="D9969">
        <v>20</v>
      </c>
      <c r="E9969" t="s">
        <v>70</v>
      </c>
      <c r="F9969" t="s">
        <v>62</v>
      </c>
      <c r="G9969" t="s">
        <v>76</v>
      </c>
      <c r="H9969" t="s">
        <v>59</v>
      </c>
      <c r="I9969">
        <v>31333</v>
      </c>
      <c r="J9969">
        <v>29545</v>
      </c>
    </row>
    <row r="9970" spans="1:10" x14ac:dyDescent="0.3">
      <c r="A9970" t="s">
        <v>10097</v>
      </c>
      <c r="B9970" s="1">
        <v>45727</v>
      </c>
      <c r="C9970" t="s">
        <v>95</v>
      </c>
      <c r="D9970">
        <v>11</v>
      </c>
      <c r="E9970" t="s">
        <v>70</v>
      </c>
      <c r="F9970" t="s">
        <v>46</v>
      </c>
      <c r="G9970" t="s">
        <v>79</v>
      </c>
      <c r="H9970" t="s">
        <v>68</v>
      </c>
      <c r="I9970">
        <v>16083</v>
      </c>
      <c r="J9970">
        <v>12059</v>
      </c>
    </row>
    <row r="9971" spans="1:10" x14ac:dyDescent="0.3">
      <c r="A9971" t="s">
        <v>10098</v>
      </c>
      <c r="B9971" s="1">
        <v>45950</v>
      </c>
      <c r="C9971" t="s">
        <v>66</v>
      </c>
      <c r="D9971">
        <v>43</v>
      </c>
      <c r="E9971" t="s">
        <v>18</v>
      </c>
      <c r="F9971" t="s">
        <v>57</v>
      </c>
      <c r="G9971" t="s">
        <v>58</v>
      </c>
      <c r="H9971" t="s">
        <v>116</v>
      </c>
      <c r="I9971">
        <v>17229</v>
      </c>
      <c r="J9971">
        <v>16991</v>
      </c>
    </row>
    <row r="9972" spans="1:10" x14ac:dyDescent="0.3">
      <c r="A9972" t="s">
        <v>10099</v>
      </c>
      <c r="B9972" s="1">
        <v>45787</v>
      </c>
      <c r="C9972" t="s">
        <v>90</v>
      </c>
      <c r="D9972">
        <v>19</v>
      </c>
      <c r="E9972" t="s">
        <v>70</v>
      </c>
      <c r="F9972" t="s">
        <v>13</v>
      </c>
      <c r="G9972" t="s">
        <v>14</v>
      </c>
      <c r="H9972" t="s">
        <v>55</v>
      </c>
      <c r="I9972">
        <v>33325</v>
      </c>
      <c r="J9972">
        <v>40510</v>
      </c>
    </row>
    <row r="9973" spans="1:10" x14ac:dyDescent="0.3">
      <c r="A9973" t="s">
        <v>10100</v>
      </c>
      <c r="B9973" s="1">
        <v>45764</v>
      </c>
      <c r="C9973" t="s">
        <v>86</v>
      </c>
      <c r="D9973">
        <v>16</v>
      </c>
      <c r="E9973" t="s">
        <v>18</v>
      </c>
      <c r="F9973" t="s">
        <v>92</v>
      </c>
      <c r="G9973" t="s">
        <v>14</v>
      </c>
      <c r="H9973" t="s">
        <v>15</v>
      </c>
      <c r="I9973">
        <v>26793</v>
      </c>
      <c r="J9973">
        <v>20330</v>
      </c>
    </row>
    <row r="9974" spans="1:10" x14ac:dyDescent="0.3">
      <c r="A9974" t="s">
        <v>10101</v>
      </c>
      <c r="B9974" s="1">
        <v>45902</v>
      </c>
      <c r="C9974" t="s">
        <v>38</v>
      </c>
      <c r="D9974">
        <v>36</v>
      </c>
      <c r="E9974" t="s">
        <v>33</v>
      </c>
      <c r="F9974" t="s">
        <v>193</v>
      </c>
      <c r="G9974" t="s">
        <v>147</v>
      </c>
      <c r="H9974" t="s">
        <v>165</v>
      </c>
      <c r="I9974">
        <v>22374</v>
      </c>
      <c r="J9974">
        <v>26866</v>
      </c>
    </row>
    <row r="9975" spans="1:10" x14ac:dyDescent="0.3">
      <c r="A9975" t="s">
        <v>10102</v>
      </c>
      <c r="B9975" s="1">
        <v>45681</v>
      </c>
      <c r="C9975" t="s">
        <v>17</v>
      </c>
      <c r="D9975">
        <v>4</v>
      </c>
      <c r="E9975" t="s">
        <v>39</v>
      </c>
      <c r="F9975" t="s">
        <v>140</v>
      </c>
      <c r="G9975" t="s">
        <v>107</v>
      </c>
      <c r="H9975" t="s">
        <v>96</v>
      </c>
      <c r="I9975">
        <v>15012</v>
      </c>
      <c r="J9975">
        <v>16848</v>
      </c>
    </row>
    <row r="9976" spans="1:10" x14ac:dyDescent="0.3">
      <c r="A9976" t="s">
        <v>10103</v>
      </c>
      <c r="B9976" s="1">
        <v>45950</v>
      </c>
      <c r="C9976" t="s">
        <v>66</v>
      </c>
      <c r="D9976">
        <v>43</v>
      </c>
      <c r="E9976" t="s">
        <v>39</v>
      </c>
      <c r="F9976" t="s">
        <v>25</v>
      </c>
      <c r="G9976" t="s">
        <v>324</v>
      </c>
      <c r="H9976" t="s">
        <v>103</v>
      </c>
      <c r="I9976">
        <v>25820</v>
      </c>
      <c r="J9976">
        <v>19098</v>
      </c>
    </row>
    <row r="9977" spans="1:10" x14ac:dyDescent="0.3">
      <c r="A9977" t="s">
        <v>10104</v>
      </c>
      <c r="B9977" s="1">
        <v>45828</v>
      </c>
      <c r="C9977" t="s">
        <v>74</v>
      </c>
      <c r="D9977">
        <v>25</v>
      </c>
      <c r="E9977" t="s">
        <v>12</v>
      </c>
      <c r="F9977" t="s">
        <v>19</v>
      </c>
      <c r="G9977" t="s">
        <v>130</v>
      </c>
      <c r="H9977" t="s">
        <v>27</v>
      </c>
      <c r="I9977">
        <v>22730</v>
      </c>
      <c r="J9977">
        <v>26036</v>
      </c>
    </row>
    <row r="9978" spans="1:10" x14ac:dyDescent="0.3">
      <c r="A9978" t="s">
        <v>10105</v>
      </c>
      <c r="B9978" s="1">
        <v>45930</v>
      </c>
      <c r="C9978" t="s">
        <v>38</v>
      </c>
      <c r="D9978">
        <v>40</v>
      </c>
      <c r="E9978" t="s">
        <v>33</v>
      </c>
      <c r="F9978" t="s">
        <v>140</v>
      </c>
      <c r="G9978" t="s">
        <v>141</v>
      </c>
      <c r="H9978" t="s">
        <v>188</v>
      </c>
      <c r="I9978">
        <v>35046</v>
      </c>
      <c r="J9978">
        <v>31731</v>
      </c>
    </row>
    <row r="9979" spans="1:10" x14ac:dyDescent="0.3">
      <c r="A9979" t="s">
        <v>10106</v>
      </c>
      <c r="B9979" s="1">
        <v>45953</v>
      </c>
      <c r="C9979" t="s">
        <v>66</v>
      </c>
      <c r="D9979">
        <v>43</v>
      </c>
      <c r="E9979" t="s">
        <v>39</v>
      </c>
      <c r="F9979" t="s">
        <v>46</v>
      </c>
      <c r="G9979" t="s">
        <v>20</v>
      </c>
      <c r="H9979" t="s">
        <v>48</v>
      </c>
      <c r="I9979">
        <v>38084</v>
      </c>
      <c r="J9979">
        <v>41499</v>
      </c>
    </row>
    <row r="9980" spans="1:10" x14ac:dyDescent="0.3">
      <c r="A9980" t="s">
        <v>10107</v>
      </c>
      <c r="B9980" s="1">
        <v>45952</v>
      </c>
      <c r="C9980" t="s">
        <v>66</v>
      </c>
      <c r="D9980">
        <v>43</v>
      </c>
      <c r="E9980" t="s">
        <v>33</v>
      </c>
      <c r="F9980" t="s">
        <v>109</v>
      </c>
      <c r="G9980" t="s">
        <v>126</v>
      </c>
      <c r="H9980" t="s">
        <v>21</v>
      </c>
      <c r="I9980">
        <v>24634</v>
      </c>
      <c r="J9980">
        <v>20664</v>
      </c>
    </row>
    <row r="9981" spans="1:10" x14ac:dyDescent="0.3">
      <c r="A9981" t="s">
        <v>10108</v>
      </c>
      <c r="B9981" s="1">
        <v>45773</v>
      </c>
      <c r="C9981" t="s">
        <v>86</v>
      </c>
      <c r="D9981">
        <v>17</v>
      </c>
      <c r="E9981" t="s">
        <v>12</v>
      </c>
      <c r="F9981" t="s">
        <v>140</v>
      </c>
      <c r="G9981" t="s">
        <v>141</v>
      </c>
      <c r="H9981" t="s">
        <v>41</v>
      </c>
      <c r="I9981">
        <v>37815</v>
      </c>
      <c r="J9981">
        <v>40890</v>
      </c>
    </row>
    <row r="9982" spans="1:10" x14ac:dyDescent="0.3">
      <c r="A9982" t="s">
        <v>10109</v>
      </c>
      <c r="B9982" s="1">
        <v>45670</v>
      </c>
      <c r="C9982" t="s">
        <v>17</v>
      </c>
      <c r="D9982">
        <v>3</v>
      </c>
      <c r="E9982" t="s">
        <v>12</v>
      </c>
      <c r="F9982" t="s">
        <v>114</v>
      </c>
      <c r="G9982" t="s">
        <v>93</v>
      </c>
      <c r="H9982" t="s">
        <v>15</v>
      </c>
      <c r="I9982">
        <v>23690</v>
      </c>
      <c r="J9982">
        <v>24383</v>
      </c>
    </row>
    <row r="9983" spans="1:10" x14ac:dyDescent="0.3">
      <c r="A9983" t="s">
        <v>10110</v>
      </c>
      <c r="B9983" s="1">
        <v>45793</v>
      </c>
      <c r="C9983" t="s">
        <v>90</v>
      </c>
      <c r="D9983">
        <v>20</v>
      </c>
      <c r="E9983" t="s">
        <v>33</v>
      </c>
      <c r="F9983" t="s">
        <v>43</v>
      </c>
      <c r="G9983" t="s">
        <v>126</v>
      </c>
      <c r="H9983" t="s">
        <v>151</v>
      </c>
      <c r="I9983">
        <v>20582</v>
      </c>
      <c r="J9983">
        <v>22328</v>
      </c>
    </row>
    <row r="9984" spans="1:10" x14ac:dyDescent="0.3">
      <c r="A9984" t="s">
        <v>10111</v>
      </c>
      <c r="B9984" s="1">
        <v>45736</v>
      </c>
      <c r="C9984" t="s">
        <v>95</v>
      </c>
      <c r="D9984">
        <v>12</v>
      </c>
      <c r="E9984" t="s">
        <v>33</v>
      </c>
      <c r="F9984" t="s">
        <v>87</v>
      </c>
      <c r="G9984" t="s">
        <v>141</v>
      </c>
      <c r="H9984" t="s">
        <v>163</v>
      </c>
      <c r="I9984">
        <v>23149</v>
      </c>
      <c r="J9984">
        <v>21419</v>
      </c>
    </row>
    <row r="9985" spans="1:10" x14ac:dyDescent="0.3">
      <c r="A9985" t="s">
        <v>10112</v>
      </c>
      <c r="B9985" s="1">
        <v>45763</v>
      </c>
      <c r="C9985" t="s">
        <v>86</v>
      </c>
      <c r="D9985">
        <v>16</v>
      </c>
      <c r="E9985" t="s">
        <v>70</v>
      </c>
      <c r="F9985" t="s">
        <v>50</v>
      </c>
      <c r="G9985" t="s">
        <v>132</v>
      </c>
      <c r="H9985" t="s">
        <v>116</v>
      </c>
      <c r="I9985">
        <v>27095</v>
      </c>
      <c r="J9985">
        <v>32822</v>
      </c>
    </row>
    <row r="9986" spans="1:10" x14ac:dyDescent="0.3">
      <c r="A9986" t="s">
        <v>10113</v>
      </c>
      <c r="B9986" s="1">
        <v>45711</v>
      </c>
      <c r="C9986" t="s">
        <v>82</v>
      </c>
      <c r="D9986">
        <v>8</v>
      </c>
      <c r="E9986" t="s">
        <v>61</v>
      </c>
      <c r="F9986" t="s">
        <v>62</v>
      </c>
      <c r="G9986" t="s">
        <v>171</v>
      </c>
      <c r="H9986" t="s">
        <v>21</v>
      </c>
      <c r="I9986">
        <v>34108</v>
      </c>
      <c r="J9986">
        <v>37560</v>
      </c>
    </row>
    <row r="9987" spans="1:10" x14ac:dyDescent="0.3">
      <c r="A9987" t="s">
        <v>10114</v>
      </c>
      <c r="B9987" s="1">
        <v>45993</v>
      </c>
      <c r="C9987" t="s">
        <v>100</v>
      </c>
      <c r="D9987">
        <v>49</v>
      </c>
      <c r="E9987" t="s">
        <v>39</v>
      </c>
      <c r="F9987" t="s">
        <v>75</v>
      </c>
      <c r="G9987" t="s">
        <v>83</v>
      </c>
      <c r="H9987" t="s">
        <v>119</v>
      </c>
      <c r="I9987">
        <v>33424</v>
      </c>
      <c r="J9987">
        <v>41855</v>
      </c>
    </row>
    <row r="9988" spans="1:10" x14ac:dyDescent="0.3">
      <c r="A9988" t="s">
        <v>10115</v>
      </c>
      <c r="B9988" s="1">
        <v>45787</v>
      </c>
      <c r="C9988" t="s">
        <v>90</v>
      </c>
      <c r="D9988">
        <v>19</v>
      </c>
      <c r="E9988" t="s">
        <v>24</v>
      </c>
      <c r="F9988" t="s">
        <v>87</v>
      </c>
      <c r="G9988" t="s">
        <v>83</v>
      </c>
      <c r="H9988" t="s">
        <v>48</v>
      </c>
      <c r="I9988">
        <v>17970</v>
      </c>
      <c r="J9988">
        <v>21658</v>
      </c>
    </row>
    <row r="9989" spans="1:10" x14ac:dyDescent="0.3">
      <c r="A9989" t="s">
        <v>10116</v>
      </c>
      <c r="B9989" s="1">
        <v>45956</v>
      </c>
      <c r="C9989" t="s">
        <v>66</v>
      </c>
      <c r="D9989">
        <v>43</v>
      </c>
      <c r="E9989" t="s">
        <v>39</v>
      </c>
      <c r="F9989" t="s">
        <v>87</v>
      </c>
      <c r="G9989" t="s">
        <v>191</v>
      </c>
      <c r="H9989" t="s">
        <v>52</v>
      </c>
      <c r="I9989">
        <v>18537</v>
      </c>
      <c r="J9989">
        <v>24079</v>
      </c>
    </row>
    <row r="9990" spans="1:10" x14ac:dyDescent="0.3">
      <c r="A9990" t="s">
        <v>10117</v>
      </c>
      <c r="B9990" s="1">
        <v>45717</v>
      </c>
      <c r="C9990" t="s">
        <v>95</v>
      </c>
      <c r="D9990">
        <v>9</v>
      </c>
      <c r="E9990" t="s">
        <v>61</v>
      </c>
      <c r="F9990" t="s">
        <v>57</v>
      </c>
      <c r="G9990" t="s">
        <v>107</v>
      </c>
      <c r="H9990" t="s">
        <v>68</v>
      </c>
      <c r="I9990">
        <v>34317</v>
      </c>
      <c r="J9990">
        <v>32112</v>
      </c>
    </row>
    <row r="9991" spans="1:10" x14ac:dyDescent="0.3">
      <c r="A9991" t="s">
        <v>10118</v>
      </c>
      <c r="B9991" s="1">
        <v>45688</v>
      </c>
      <c r="C9991" t="s">
        <v>17</v>
      </c>
      <c r="D9991">
        <v>5</v>
      </c>
      <c r="E9991" t="s">
        <v>39</v>
      </c>
      <c r="F9991" t="s">
        <v>62</v>
      </c>
      <c r="G9991" t="s">
        <v>145</v>
      </c>
      <c r="H9991" t="s">
        <v>59</v>
      </c>
      <c r="I9991">
        <v>17523</v>
      </c>
      <c r="J9991">
        <v>20882</v>
      </c>
    </row>
    <row r="9992" spans="1:10" x14ac:dyDescent="0.3">
      <c r="A9992" t="s">
        <v>10119</v>
      </c>
      <c r="B9992" s="1">
        <v>45667</v>
      </c>
      <c r="C9992" t="s">
        <v>17</v>
      </c>
      <c r="D9992">
        <v>2</v>
      </c>
      <c r="E9992" t="s">
        <v>33</v>
      </c>
      <c r="F9992" t="s">
        <v>87</v>
      </c>
      <c r="G9992" t="s">
        <v>79</v>
      </c>
      <c r="H9992" t="s">
        <v>103</v>
      </c>
      <c r="I9992">
        <v>38794</v>
      </c>
      <c r="J9992">
        <v>40356</v>
      </c>
    </row>
    <row r="9993" spans="1:10" x14ac:dyDescent="0.3">
      <c r="A9993" t="s">
        <v>10120</v>
      </c>
      <c r="B9993" s="1">
        <v>45844</v>
      </c>
      <c r="C9993" t="s">
        <v>11</v>
      </c>
      <c r="D9993">
        <v>27</v>
      </c>
      <c r="E9993" t="s">
        <v>18</v>
      </c>
      <c r="F9993" t="s">
        <v>109</v>
      </c>
      <c r="G9993" t="s">
        <v>130</v>
      </c>
      <c r="H9993" t="s">
        <v>36</v>
      </c>
      <c r="I9993">
        <v>22574</v>
      </c>
      <c r="J9993">
        <v>18653</v>
      </c>
    </row>
    <row r="9994" spans="1:10" x14ac:dyDescent="0.3">
      <c r="A9994" t="s">
        <v>10121</v>
      </c>
      <c r="B9994" s="1">
        <v>45896</v>
      </c>
      <c r="C9994" t="s">
        <v>113</v>
      </c>
      <c r="D9994">
        <v>35</v>
      </c>
      <c r="E9994" t="s">
        <v>61</v>
      </c>
      <c r="F9994" t="s">
        <v>46</v>
      </c>
      <c r="G9994" t="s">
        <v>26</v>
      </c>
      <c r="H9994" t="s">
        <v>165</v>
      </c>
      <c r="I9994">
        <v>22826</v>
      </c>
      <c r="J9994">
        <v>27689</v>
      </c>
    </row>
    <row r="9995" spans="1:10" x14ac:dyDescent="0.3">
      <c r="A9995" t="s">
        <v>10122</v>
      </c>
      <c r="B9995" s="1">
        <v>45986</v>
      </c>
      <c r="C9995" t="s">
        <v>23</v>
      </c>
      <c r="D9995">
        <v>48</v>
      </c>
      <c r="E9995" t="s">
        <v>12</v>
      </c>
      <c r="F9995" t="s">
        <v>193</v>
      </c>
      <c r="G9995" t="s">
        <v>79</v>
      </c>
      <c r="H9995" t="s">
        <v>211</v>
      </c>
      <c r="I9995">
        <v>32180</v>
      </c>
      <c r="J9995">
        <v>32421</v>
      </c>
    </row>
    <row r="9996" spans="1:10" x14ac:dyDescent="0.3">
      <c r="A9996" t="s">
        <v>10123</v>
      </c>
      <c r="B9996" s="1">
        <v>45713</v>
      </c>
      <c r="C9996" t="s">
        <v>82</v>
      </c>
      <c r="D9996">
        <v>9</v>
      </c>
      <c r="E9996" t="s">
        <v>39</v>
      </c>
      <c r="F9996" t="s">
        <v>19</v>
      </c>
      <c r="G9996" t="s">
        <v>115</v>
      </c>
      <c r="H9996" t="s">
        <v>27</v>
      </c>
      <c r="I9996">
        <v>25573</v>
      </c>
      <c r="J9996">
        <v>23385</v>
      </c>
    </row>
    <row r="9997" spans="1:10" x14ac:dyDescent="0.3">
      <c r="A9997" t="s">
        <v>10124</v>
      </c>
      <c r="B9997" s="1">
        <v>45697</v>
      </c>
      <c r="C9997" t="s">
        <v>82</v>
      </c>
      <c r="D9997">
        <v>6</v>
      </c>
      <c r="E9997" t="s">
        <v>12</v>
      </c>
      <c r="F9997" t="s">
        <v>34</v>
      </c>
      <c r="G9997" t="s">
        <v>240</v>
      </c>
      <c r="H9997" t="s">
        <v>165</v>
      </c>
      <c r="I9997">
        <v>31673</v>
      </c>
      <c r="J9997">
        <v>37355</v>
      </c>
    </row>
    <row r="9998" spans="1:10" x14ac:dyDescent="0.3">
      <c r="A9998" t="s">
        <v>10125</v>
      </c>
      <c r="B9998" s="1">
        <v>46010</v>
      </c>
      <c r="C9998" t="s">
        <v>100</v>
      </c>
      <c r="D9998">
        <v>51</v>
      </c>
      <c r="E9998" t="s">
        <v>70</v>
      </c>
      <c r="F9998" t="s">
        <v>13</v>
      </c>
      <c r="G9998" t="s">
        <v>88</v>
      </c>
      <c r="H9998" t="s">
        <v>31</v>
      </c>
      <c r="I9998">
        <v>22881</v>
      </c>
      <c r="J9998">
        <v>27290</v>
      </c>
    </row>
    <row r="9999" spans="1:10" x14ac:dyDescent="0.3">
      <c r="A9999" t="s">
        <v>10126</v>
      </c>
      <c r="B9999" s="1">
        <v>46000</v>
      </c>
      <c r="C9999" t="s">
        <v>100</v>
      </c>
      <c r="D9999">
        <v>50</v>
      </c>
      <c r="E9999" t="s">
        <v>18</v>
      </c>
      <c r="F9999" t="s">
        <v>109</v>
      </c>
      <c r="G9999" t="s">
        <v>67</v>
      </c>
      <c r="H9999" t="s">
        <v>243</v>
      </c>
      <c r="I9999">
        <v>26388</v>
      </c>
      <c r="J9999">
        <v>25098</v>
      </c>
    </row>
    <row r="10000" spans="1:10" x14ac:dyDescent="0.3">
      <c r="A10000" t="s">
        <v>10127</v>
      </c>
      <c r="B10000" s="1">
        <v>45669</v>
      </c>
      <c r="C10000" t="s">
        <v>17</v>
      </c>
      <c r="D10000">
        <v>2</v>
      </c>
      <c r="E10000" t="s">
        <v>12</v>
      </c>
      <c r="F10000" t="s">
        <v>34</v>
      </c>
      <c r="G10000" t="s">
        <v>266</v>
      </c>
      <c r="H10000" t="s">
        <v>98</v>
      </c>
      <c r="I10000">
        <v>19296</v>
      </c>
      <c r="J10000">
        <v>19909</v>
      </c>
    </row>
    <row r="10001" spans="1:10" x14ac:dyDescent="0.3">
      <c r="A10001" t="s">
        <v>10128</v>
      </c>
      <c r="B10001" s="1">
        <v>45667</v>
      </c>
      <c r="C10001" t="s">
        <v>17</v>
      </c>
      <c r="D10001">
        <v>2</v>
      </c>
      <c r="E10001" t="s">
        <v>61</v>
      </c>
      <c r="F10001" t="s">
        <v>122</v>
      </c>
      <c r="G10001" t="s">
        <v>171</v>
      </c>
      <c r="H10001" t="s">
        <v>52</v>
      </c>
      <c r="I10001">
        <v>19996</v>
      </c>
      <c r="J10001">
        <v>25196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D36E6-BFEE-4DE0-9A84-152F768CA20A}">
  <dimension ref="A1:X43"/>
  <sheetViews>
    <sheetView showGridLines="0" tabSelected="1" zoomScale="70" zoomScaleNormal="70" workbookViewId="0">
      <selection activeCell="A6" sqref="A6"/>
    </sheetView>
  </sheetViews>
  <sheetFormatPr defaultRowHeight="14.4" x14ac:dyDescent="0.3"/>
  <cols>
    <col min="6" max="6" width="8.21875" customWidth="1"/>
    <col min="8" max="8" width="26.109375" bestFit="1" customWidth="1"/>
    <col min="12" max="12" width="19.109375" customWidth="1"/>
  </cols>
  <sheetData>
    <row r="1" spans="1:24" x14ac:dyDescent="0.3">
      <c r="A1" s="5"/>
      <c r="B1" s="6"/>
      <c r="C1" s="6"/>
      <c r="D1" s="6"/>
      <c r="E1" s="6"/>
      <c r="F1" s="6"/>
      <c r="G1" s="6"/>
      <c r="H1" s="6"/>
      <c r="I1" s="6"/>
      <c r="J1" s="6"/>
      <c r="K1" s="6"/>
      <c r="L1" s="6"/>
      <c r="M1" s="6"/>
      <c r="N1" s="6"/>
      <c r="O1" s="6"/>
      <c r="P1" s="6"/>
      <c r="Q1" s="6"/>
      <c r="R1" s="6"/>
      <c r="S1" s="6"/>
      <c r="T1" s="6"/>
      <c r="U1" s="6"/>
      <c r="V1" s="6"/>
      <c r="W1" s="6"/>
      <c r="X1" s="7"/>
    </row>
    <row r="2" spans="1:24" ht="33" x14ac:dyDescent="0.6">
      <c r="A2" s="8"/>
      <c r="B2" s="16" t="s">
        <v>10133</v>
      </c>
      <c r="C2" s="9"/>
      <c r="D2" s="9"/>
      <c r="E2" s="9"/>
      <c r="F2" s="9"/>
      <c r="G2" s="9"/>
      <c r="H2" s="9"/>
      <c r="I2" s="9"/>
      <c r="J2" s="9"/>
      <c r="K2" s="9"/>
      <c r="L2" s="9"/>
      <c r="M2" s="9"/>
      <c r="N2" s="9"/>
      <c r="O2" s="9"/>
      <c r="P2" s="9"/>
      <c r="Q2" s="9"/>
      <c r="R2" s="9"/>
      <c r="S2" s="9"/>
      <c r="T2" s="9"/>
      <c r="U2" s="9"/>
      <c r="V2" s="9"/>
      <c r="W2" s="9"/>
      <c r="X2" s="10"/>
    </row>
    <row r="3" spans="1:24" ht="16.8" customHeight="1" x14ac:dyDescent="0.4">
      <c r="A3" s="8"/>
      <c r="B3" s="17" t="s">
        <v>10134</v>
      </c>
      <c r="C3" s="9"/>
      <c r="D3" s="9"/>
      <c r="E3" s="9"/>
      <c r="F3" s="9"/>
      <c r="G3" s="9"/>
      <c r="H3" s="9"/>
      <c r="I3" s="9"/>
      <c r="J3" s="9"/>
      <c r="K3" s="9"/>
      <c r="L3" s="9"/>
      <c r="M3" s="9"/>
      <c r="N3" s="9"/>
      <c r="O3" s="9"/>
      <c r="P3" s="9"/>
      <c r="Q3" s="9"/>
      <c r="R3" s="9"/>
      <c r="S3" s="9"/>
      <c r="T3" s="9"/>
      <c r="U3" s="9"/>
      <c r="V3" s="9"/>
      <c r="W3" s="9"/>
      <c r="X3" s="10"/>
    </row>
    <row r="4" spans="1:24" ht="15" customHeight="1" x14ac:dyDescent="0.4">
      <c r="A4" s="8"/>
      <c r="B4" s="15"/>
      <c r="C4" s="9"/>
      <c r="D4" s="9"/>
      <c r="E4" s="9"/>
      <c r="F4" s="9"/>
      <c r="G4" s="9"/>
      <c r="H4" s="9"/>
      <c r="I4" s="9"/>
      <c r="J4" s="9"/>
      <c r="K4" s="9"/>
      <c r="L4" s="9"/>
      <c r="M4" s="9"/>
      <c r="N4" s="9"/>
      <c r="O4" s="9"/>
      <c r="P4" s="9"/>
      <c r="Q4" s="9"/>
      <c r="R4" s="9"/>
      <c r="S4" s="9"/>
      <c r="T4" s="9"/>
      <c r="U4" s="9"/>
      <c r="V4" s="9"/>
      <c r="W4" s="9"/>
      <c r="X4" s="10"/>
    </row>
    <row r="5" spans="1:24" x14ac:dyDescent="0.3">
      <c r="A5" s="8"/>
      <c r="B5" s="9"/>
      <c r="C5" s="9"/>
      <c r="D5" s="9"/>
      <c r="E5" s="9"/>
      <c r="F5" s="9"/>
      <c r="G5" s="9"/>
      <c r="H5" s="9"/>
      <c r="I5" s="9"/>
      <c r="J5" s="9"/>
      <c r="K5" s="9"/>
      <c r="L5" s="9"/>
      <c r="M5" s="9"/>
      <c r="N5" s="9"/>
      <c r="O5" s="9"/>
      <c r="P5" s="9"/>
      <c r="Q5" s="9"/>
      <c r="R5" s="9"/>
      <c r="S5" s="9"/>
      <c r="T5" s="9"/>
      <c r="U5" s="9"/>
      <c r="V5" s="9"/>
      <c r="W5" s="9"/>
      <c r="X5" s="10"/>
    </row>
    <row r="6" spans="1:24" x14ac:dyDescent="0.3">
      <c r="A6" s="8"/>
      <c r="B6" s="9"/>
      <c r="C6" s="9"/>
      <c r="D6" s="9"/>
      <c r="E6" s="9"/>
      <c r="F6" s="14"/>
      <c r="G6" s="9"/>
      <c r="H6" s="9"/>
      <c r="I6" s="9"/>
      <c r="J6" s="9"/>
      <c r="K6" s="9"/>
      <c r="L6" s="9"/>
      <c r="M6" s="9"/>
      <c r="N6" s="9"/>
      <c r="O6" s="9"/>
      <c r="P6" s="9"/>
      <c r="Q6" s="9"/>
      <c r="R6" s="9"/>
      <c r="S6" s="9"/>
      <c r="T6" s="9"/>
      <c r="U6" s="9"/>
      <c r="V6" s="9"/>
      <c r="W6" s="9"/>
      <c r="X6" s="10"/>
    </row>
    <row r="7" spans="1:24" ht="18" x14ac:dyDescent="0.35">
      <c r="A7" s="8"/>
      <c r="B7" s="9"/>
      <c r="C7" s="9"/>
      <c r="D7" s="9"/>
      <c r="E7" s="9"/>
      <c r="F7" s="9"/>
      <c r="G7" s="9"/>
      <c r="H7" s="9"/>
      <c r="I7" s="9"/>
      <c r="J7" s="9"/>
      <c r="K7" s="19"/>
      <c r="L7" s="9"/>
      <c r="M7" s="9"/>
      <c r="N7" s="9"/>
      <c r="O7" s="9"/>
      <c r="P7" s="9"/>
      <c r="Q7" s="9"/>
      <c r="R7" s="9"/>
      <c r="S7" s="9"/>
      <c r="T7" s="9"/>
      <c r="U7" s="9"/>
      <c r="V7" s="9"/>
      <c r="W7" s="9"/>
      <c r="X7" s="10"/>
    </row>
    <row r="8" spans="1:24" x14ac:dyDescent="0.3">
      <c r="A8" s="8"/>
      <c r="B8" s="9"/>
      <c r="C8" s="9"/>
      <c r="D8" s="9"/>
      <c r="E8" s="9"/>
      <c r="F8" s="9"/>
      <c r="G8" s="9"/>
      <c r="H8" s="9"/>
      <c r="I8" s="9"/>
      <c r="J8" s="9"/>
      <c r="K8" s="9"/>
      <c r="L8" s="9"/>
      <c r="M8" s="9"/>
      <c r="N8" s="9"/>
      <c r="O8" s="9"/>
      <c r="P8" s="9"/>
      <c r="Q8" s="9"/>
      <c r="R8" s="9"/>
      <c r="S8" s="9"/>
      <c r="T8" s="9"/>
      <c r="U8" s="9"/>
      <c r="V8" s="9"/>
      <c r="W8" s="9"/>
      <c r="X8" s="10"/>
    </row>
    <row r="9" spans="1:24" ht="28.2" customHeight="1" x14ac:dyDescent="0.7">
      <c r="A9" s="8"/>
      <c r="B9" s="9"/>
      <c r="C9" s="9"/>
      <c r="D9" s="9"/>
      <c r="E9" s="9"/>
      <c r="F9" s="18"/>
      <c r="G9" s="9"/>
      <c r="H9" s="18">
        <f>GETPIVOTDATA("ActualSales",PIVOTING!$A$21)</f>
        <v>274795784</v>
      </c>
      <c r="I9" s="9"/>
      <c r="J9" s="9"/>
      <c r="K9" s="9"/>
      <c r="L9" s="20" t="str">
        <f>PIVOTING!B82</f>
        <v>Customer07</v>
      </c>
      <c r="M9" s="9"/>
      <c r="N9" s="9"/>
      <c r="O9" s="9"/>
      <c r="P9" s="9"/>
      <c r="Q9" s="9"/>
      <c r="R9" s="9"/>
      <c r="S9" s="9"/>
      <c r="T9" s="9"/>
      <c r="U9" s="9"/>
      <c r="V9" s="9"/>
      <c r="W9" s="9"/>
      <c r="X9" s="10"/>
    </row>
    <row r="10" spans="1:24" ht="28.8" x14ac:dyDescent="0.55000000000000004">
      <c r="A10" s="8"/>
      <c r="B10" s="9"/>
      <c r="C10" s="9"/>
      <c r="D10" s="9"/>
      <c r="E10" s="9"/>
      <c r="F10" s="14"/>
      <c r="G10" s="9"/>
      <c r="H10" s="9"/>
      <c r="I10" s="9"/>
      <c r="J10" s="9"/>
      <c r="K10" s="9"/>
      <c r="L10" s="21">
        <f>GETPIVOTDATA("ActualSales",PIVOTING!$B$81,"Customer","Customer07")</f>
        <v>6284138</v>
      </c>
      <c r="M10" s="9"/>
      <c r="N10" s="9"/>
      <c r="O10" s="9"/>
      <c r="P10" s="9"/>
      <c r="Q10" s="9"/>
      <c r="R10" s="9"/>
      <c r="S10" s="9"/>
      <c r="T10" s="9"/>
      <c r="U10" s="9"/>
      <c r="V10" s="9"/>
      <c r="W10" s="9"/>
      <c r="X10" s="10"/>
    </row>
    <row r="11" spans="1:24" x14ac:dyDescent="0.3">
      <c r="A11" s="8"/>
      <c r="B11" s="9"/>
      <c r="C11" s="9"/>
      <c r="D11" s="9"/>
      <c r="E11" s="9"/>
      <c r="F11" s="9"/>
      <c r="G11" s="9"/>
      <c r="H11" s="9"/>
      <c r="I11" s="9"/>
      <c r="J11" s="9"/>
      <c r="K11" s="9"/>
      <c r="L11" s="9"/>
      <c r="M11" s="9"/>
      <c r="N11" s="9"/>
      <c r="O11" s="9"/>
      <c r="P11" s="9"/>
      <c r="Q11" s="9"/>
      <c r="R11" s="9"/>
      <c r="S11" s="9"/>
      <c r="T11" s="9"/>
      <c r="U11" s="9"/>
      <c r="V11" s="9"/>
      <c r="W11" s="9"/>
      <c r="X11" s="10"/>
    </row>
    <row r="12" spans="1:24" ht="21" x14ac:dyDescent="0.4">
      <c r="A12" s="8"/>
      <c r="B12" s="9"/>
      <c r="C12" s="9"/>
      <c r="D12" s="9"/>
      <c r="E12" s="9"/>
      <c r="F12" s="9"/>
      <c r="G12" s="9"/>
      <c r="H12" s="9"/>
      <c r="I12" s="9"/>
      <c r="J12" s="9"/>
      <c r="K12" s="9"/>
      <c r="L12" s="20" t="str">
        <f>PIVOTING!B83</f>
        <v>Customer42</v>
      </c>
      <c r="M12" s="9"/>
      <c r="N12" s="9"/>
      <c r="O12" s="9"/>
      <c r="P12" s="9"/>
      <c r="Q12" s="9"/>
      <c r="R12" s="9"/>
      <c r="S12" s="9"/>
      <c r="T12" s="9"/>
      <c r="U12" s="9"/>
      <c r="V12" s="9"/>
      <c r="W12" s="9"/>
      <c r="X12" s="10"/>
    </row>
    <row r="13" spans="1:24" ht="28.8" x14ac:dyDescent="0.55000000000000004">
      <c r="A13" s="8"/>
      <c r="B13" s="9"/>
      <c r="C13" s="9"/>
      <c r="D13" s="9"/>
      <c r="E13" s="9"/>
      <c r="F13" s="9"/>
      <c r="G13" s="9"/>
      <c r="H13" s="9"/>
      <c r="I13" s="9"/>
      <c r="J13" s="9"/>
      <c r="K13" s="9"/>
      <c r="L13" s="21">
        <f>GETPIVOTDATA("ActualSales",PIVOTING!$B$81,"Customer","Customer42")</f>
        <v>6211479</v>
      </c>
      <c r="M13" s="9"/>
      <c r="N13" s="9"/>
      <c r="O13" s="9"/>
      <c r="P13" s="9"/>
      <c r="Q13" s="9"/>
      <c r="R13" s="9"/>
      <c r="S13" s="9"/>
      <c r="T13" s="9"/>
      <c r="U13" s="9"/>
      <c r="V13" s="9"/>
      <c r="W13" s="9"/>
      <c r="X13" s="10"/>
    </row>
    <row r="14" spans="1:24" x14ac:dyDescent="0.3">
      <c r="A14" s="8"/>
      <c r="B14" s="9"/>
      <c r="C14" s="9"/>
      <c r="D14" s="9"/>
      <c r="E14" s="9"/>
      <c r="F14" s="9"/>
      <c r="G14" s="9"/>
      <c r="H14" s="9"/>
      <c r="I14" s="9"/>
      <c r="J14" s="9"/>
      <c r="K14" s="9"/>
      <c r="L14" s="9"/>
      <c r="M14" s="9"/>
      <c r="N14" s="9"/>
      <c r="O14" s="9"/>
      <c r="P14" s="9"/>
      <c r="Q14" s="9"/>
      <c r="R14" s="9"/>
      <c r="S14" s="9"/>
      <c r="T14" s="9"/>
      <c r="U14" s="9"/>
      <c r="V14" s="9"/>
      <c r="W14" s="9"/>
      <c r="X14" s="10"/>
    </row>
    <row r="15" spans="1:24" ht="21" x14ac:dyDescent="0.4">
      <c r="A15" s="8"/>
      <c r="B15" s="9"/>
      <c r="C15" s="9"/>
      <c r="D15" s="9"/>
      <c r="E15" s="9"/>
      <c r="F15" s="9"/>
      <c r="G15" s="9"/>
      <c r="H15" s="9"/>
      <c r="I15" s="9"/>
      <c r="J15" s="9"/>
      <c r="K15" s="9"/>
      <c r="L15" s="20" t="str">
        <f>PIVOTING!B84</f>
        <v>Customer46</v>
      </c>
      <c r="M15" s="9"/>
      <c r="N15" s="9"/>
      <c r="O15" s="9"/>
      <c r="P15" s="9"/>
      <c r="Q15" s="9"/>
      <c r="R15" s="9"/>
      <c r="S15" s="9"/>
      <c r="T15" s="9"/>
      <c r="U15" s="9"/>
      <c r="V15" s="9"/>
      <c r="W15" s="9"/>
      <c r="X15" s="10"/>
    </row>
    <row r="16" spans="1:24" ht="28.8" x14ac:dyDescent="0.55000000000000004">
      <c r="A16" s="8"/>
      <c r="B16" s="9"/>
      <c r="C16" s="9"/>
      <c r="D16" s="9"/>
      <c r="E16" s="9"/>
      <c r="F16" s="9"/>
      <c r="G16" s="9"/>
      <c r="H16" s="9"/>
      <c r="I16" s="9"/>
      <c r="J16" s="9"/>
      <c r="K16" s="9"/>
      <c r="L16" s="21">
        <f>GETPIVOTDATA("ActualSales",PIVOTING!$B$81,"Customer","Customer46")</f>
        <v>6258232</v>
      </c>
      <c r="M16" s="9"/>
      <c r="N16" s="9"/>
      <c r="O16" s="9"/>
      <c r="P16" s="9"/>
      <c r="Q16" s="9"/>
      <c r="R16" s="9"/>
      <c r="S16" s="9"/>
      <c r="T16" s="9"/>
      <c r="U16" s="9"/>
      <c r="V16" s="9"/>
      <c r="W16" s="9"/>
      <c r="X16" s="10"/>
    </row>
    <row r="17" spans="1:24" x14ac:dyDescent="0.3">
      <c r="A17" s="8"/>
      <c r="B17" s="9"/>
      <c r="C17" s="9"/>
      <c r="D17" s="9"/>
      <c r="E17" s="9"/>
      <c r="F17" s="9"/>
      <c r="G17" s="9"/>
      <c r="H17" s="9"/>
      <c r="I17" s="9"/>
      <c r="J17" s="9"/>
      <c r="K17" s="9"/>
      <c r="L17" s="9"/>
      <c r="M17" s="9"/>
      <c r="N17" s="9"/>
      <c r="O17" s="9"/>
      <c r="P17" s="9"/>
      <c r="Q17" s="9"/>
      <c r="R17" s="9"/>
      <c r="S17" s="9"/>
      <c r="T17" s="9"/>
      <c r="U17" s="9"/>
      <c r="V17" s="9"/>
      <c r="W17" s="9"/>
      <c r="X17" s="10"/>
    </row>
    <row r="18" spans="1:24" x14ac:dyDescent="0.3">
      <c r="A18" s="8"/>
      <c r="B18" s="9"/>
      <c r="C18" s="9"/>
      <c r="D18" s="9"/>
      <c r="E18" s="9"/>
      <c r="F18" s="9"/>
      <c r="G18" s="9"/>
      <c r="H18" s="9"/>
      <c r="I18" s="9"/>
      <c r="J18" s="9"/>
      <c r="K18" s="9"/>
      <c r="L18" s="9"/>
      <c r="M18" s="9"/>
      <c r="N18" s="9"/>
      <c r="O18" s="9"/>
      <c r="P18" s="9"/>
      <c r="Q18" s="9"/>
      <c r="R18" s="9"/>
      <c r="S18" s="9"/>
      <c r="T18" s="9"/>
      <c r="U18" s="9"/>
      <c r="V18" s="9"/>
      <c r="W18" s="9"/>
      <c r="X18" s="10"/>
    </row>
    <row r="19" spans="1:24" x14ac:dyDescent="0.3">
      <c r="A19" s="8"/>
      <c r="B19" s="9"/>
      <c r="C19" s="9"/>
      <c r="D19" s="9"/>
      <c r="E19" s="9"/>
      <c r="F19" s="9"/>
      <c r="G19" s="9"/>
      <c r="H19" s="9"/>
      <c r="I19" s="9"/>
      <c r="J19" s="9"/>
      <c r="K19" s="9"/>
      <c r="L19" s="9"/>
      <c r="M19" s="9"/>
      <c r="N19" s="9"/>
      <c r="O19" s="9"/>
      <c r="P19" s="9"/>
      <c r="Q19" s="9"/>
      <c r="R19" s="9"/>
      <c r="S19" s="9"/>
      <c r="T19" s="9"/>
      <c r="U19" s="9"/>
      <c r="V19" s="9"/>
      <c r="W19" s="9"/>
      <c r="X19" s="10"/>
    </row>
    <row r="20" spans="1:24" x14ac:dyDescent="0.3">
      <c r="A20" s="8"/>
      <c r="B20" s="9"/>
      <c r="C20" s="9"/>
      <c r="D20" s="9"/>
      <c r="E20" s="9"/>
      <c r="F20" s="9"/>
      <c r="G20" s="9"/>
      <c r="H20" s="9"/>
      <c r="I20" s="9"/>
      <c r="J20" s="9"/>
      <c r="K20" s="9"/>
      <c r="L20" s="9"/>
      <c r="M20" s="9"/>
      <c r="N20" s="9"/>
      <c r="O20" s="9"/>
      <c r="P20" s="9"/>
      <c r="Q20" s="9"/>
      <c r="R20" s="9"/>
      <c r="S20" s="9"/>
      <c r="T20" s="9"/>
      <c r="U20" s="9"/>
      <c r="V20" s="9"/>
      <c r="W20" s="9"/>
      <c r="X20" s="10"/>
    </row>
    <row r="21" spans="1:24" x14ac:dyDescent="0.3">
      <c r="A21" s="8"/>
      <c r="B21" s="9"/>
      <c r="C21" s="9"/>
      <c r="D21" s="9"/>
      <c r="E21" s="9"/>
      <c r="F21" s="9"/>
      <c r="G21" s="9"/>
      <c r="H21" s="9"/>
      <c r="I21" s="9"/>
      <c r="J21" s="9"/>
      <c r="K21" s="9"/>
      <c r="L21" s="9"/>
      <c r="M21" s="9"/>
      <c r="N21" s="9"/>
      <c r="O21" s="9"/>
      <c r="P21" s="9"/>
      <c r="Q21" s="9"/>
      <c r="R21" s="9"/>
      <c r="S21" s="9"/>
      <c r="T21" s="9"/>
      <c r="U21" s="9"/>
      <c r="V21" s="9"/>
      <c r="W21" s="9"/>
      <c r="X21" s="10"/>
    </row>
    <row r="22" spans="1:24" x14ac:dyDescent="0.3">
      <c r="A22" s="8"/>
      <c r="B22" s="9"/>
      <c r="C22" s="9"/>
      <c r="D22" s="9"/>
      <c r="E22" s="9"/>
      <c r="F22" s="9"/>
      <c r="G22" s="9"/>
      <c r="H22" s="9"/>
      <c r="I22" s="9"/>
      <c r="J22" s="9"/>
      <c r="K22" s="9"/>
      <c r="L22" s="9"/>
      <c r="M22" s="9"/>
      <c r="N22" s="9"/>
      <c r="O22" s="9"/>
      <c r="P22" s="9"/>
      <c r="Q22" s="9"/>
      <c r="R22" s="9"/>
      <c r="S22" s="9"/>
      <c r="T22" s="9"/>
      <c r="U22" s="9"/>
      <c r="V22" s="9"/>
      <c r="W22" s="9"/>
      <c r="X22" s="10"/>
    </row>
    <row r="23" spans="1:24" x14ac:dyDescent="0.3">
      <c r="A23" s="8"/>
      <c r="B23" s="9"/>
      <c r="C23" s="9"/>
      <c r="D23" s="9"/>
      <c r="E23" s="9"/>
      <c r="F23" s="9"/>
      <c r="G23" s="9"/>
      <c r="H23" s="9"/>
      <c r="I23" s="9"/>
      <c r="J23" s="9"/>
      <c r="K23" s="9"/>
      <c r="L23" s="9"/>
      <c r="M23" s="9"/>
      <c r="N23" s="9"/>
      <c r="O23" s="9"/>
      <c r="P23" s="9"/>
      <c r="Q23" s="9"/>
      <c r="R23" s="9"/>
      <c r="S23" s="9"/>
      <c r="T23" s="9"/>
      <c r="U23" s="9"/>
      <c r="V23" s="9"/>
      <c r="W23" s="9"/>
      <c r="X23" s="10"/>
    </row>
    <row r="24" spans="1:24" x14ac:dyDescent="0.3">
      <c r="A24" s="8"/>
      <c r="B24" s="9"/>
      <c r="C24" s="9"/>
      <c r="D24" s="9"/>
      <c r="E24" s="9"/>
      <c r="F24" s="9"/>
      <c r="G24" s="9"/>
      <c r="H24" s="9"/>
      <c r="I24" s="9"/>
      <c r="J24" s="9"/>
      <c r="K24" s="9"/>
      <c r="L24" s="9"/>
      <c r="M24" s="9"/>
      <c r="N24" s="9"/>
      <c r="O24" s="9"/>
      <c r="P24" s="9"/>
      <c r="Q24" s="9"/>
      <c r="R24" s="9"/>
      <c r="S24" s="9"/>
      <c r="T24" s="9"/>
      <c r="U24" s="9"/>
      <c r="V24" s="9"/>
      <c r="W24" s="9"/>
      <c r="X24" s="10"/>
    </row>
    <row r="25" spans="1:24" x14ac:dyDescent="0.3">
      <c r="A25" s="8"/>
      <c r="B25" s="9"/>
      <c r="C25" s="9"/>
      <c r="D25" s="9"/>
      <c r="E25" s="9"/>
      <c r="F25" s="9"/>
      <c r="G25" s="9"/>
      <c r="H25" s="9"/>
      <c r="I25" s="9"/>
      <c r="J25" s="9"/>
      <c r="K25" s="9"/>
      <c r="L25" s="9"/>
      <c r="M25" s="9"/>
      <c r="N25" s="9"/>
      <c r="O25" s="9"/>
      <c r="P25" s="9"/>
      <c r="Q25" s="9"/>
      <c r="R25" s="9"/>
      <c r="S25" s="9"/>
      <c r="T25" s="9"/>
      <c r="U25" s="9"/>
      <c r="V25" s="9"/>
      <c r="W25" s="9"/>
      <c r="X25" s="10"/>
    </row>
    <row r="26" spans="1:24" x14ac:dyDescent="0.3">
      <c r="A26" s="8"/>
      <c r="B26" s="9"/>
      <c r="C26" s="9"/>
      <c r="D26" s="9"/>
      <c r="E26" s="9"/>
      <c r="F26" s="9"/>
      <c r="G26" s="9"/>
      <c r="H26" s="9"/>
      <c r="I26" s="9"/>
      <c r="J26" s="9"/>
      <c r="K26" s="9"/>
      <c r="L26" s="9"/>
      <c r="M26" s="9"/>
      <c r="N26" s="9"/>
      <c r="O26" s="9"/>
      <c r="P26" s="9"/>
      <c r="Q26" s="9"/>
      <c r="R26" s="9"/>
      <c r="S26" s="9"/>
      <c r="T26" s="9"/>
      <c r="U26" s="9"/>
      <c r="V26" s="9"/>
      <c r="W26" s="9"/>
      <c r="X26" s="10"/>
    </row>
    <row r="27" spans="1:24" x14ac:dyDescent="0.3">
      <c r="A27" s="8"/>
      <c r="B27" s="9"/>
      <c r="C27" s="9"/>
      <c r="D27" s="9"/>
      <c r="E27" s="9"/>
      <c r="F27" s="9"/>
      <c r="G27" s="9"/>
      <c r="H27" s="9"/>
      <c r="I27" s="9"/>
      <c r="J27" s="9"/>
      <c r="K27" s="9"/>
      <c r="L27" s="9"/>
      <c r="M27" s="9"/>
      <c r="N27" s="9"/>
      <c r="O27" s="9"/>
      <c r="P27" s="9"/>
      <c r="Q27" s="9"/>
      <c r="R27" s="9"/>
      <c r="S27" s="9"/>
      <c r="T27" s="9"/>
      <c r="U27" s="9"/>
      <c r="V27" s="9"/>
      <c r="W27" s="9"/>
      <c r="X27" s="10"/>
    </row>
    <row r="28" spans="1:24" x14ac:dyDescent="0.3">
      <c r="A28" s="8"/>
      <c r="B28" s="9"/>
      <c r="C28" s="9"/>
      <c r="D28" s="9"/>
      <c r="E28" s="9"/>
      <c r="F28" s="9"/>
      <c r="G28" s="9"/>
      <c r="H28" s="9"/>
      <c r="I28" s="9"/>
      <c r="J28" s="9"/>
      <c r="K28" s="9"/>
      <c r="L28" s="9"/>
      <c r="M28" s="9"/>
      <c r="N28" s="9"/>
      <c r="O28" s="9"/>
      <c r="P28" s="9"/>
      <c r="Q28" s="9"/>
      <c r="R28" s="9"/>
      <c r="S28" s="9"/>
      <c r="T28" s="9"/>
      <c r="U28" s="9"/>
      <c r="V28" s="9"/>
      <c r="W28" s="9"/>
      <c r="X28" s="10"/>
    </row>
    <row r="29" spans="1:24" x14ac:dyDescent="0.3">
      <c r="A29" s="8"/>
      <c r="B29" s="9"/>
      <c r="C29" s="9"/>
      <c r="D29" s="9"/>
      <c r="E29" s="9"/>
      <c r="F29" s="9"/>
      <c r="G29" s="9"/>
      <c r="H29" s="9"/>
      <c r="I29" s="9"/>
      <c r="J29" s="9"/>
      <c r="K29" s="9"/>
      <c r="L29" s="9"/>
      <c r="M29" s="9"/>
      <c r="N29" s="9"/>
      <c r="O29" s="9"/>
      <c r="P29" s="9"/>
      <c r="Q29" s="9"/>
      <c r="R29" s="9"/>
      <c r="S29" s="9"/>
      <c r="T29" s="9"/>
      <c r="U29" s="9"/>
      <c r="V29" s="9"/>
      <c r="W29" s="9"/>
      <c r="X29" s="10"/>
    </row>
    <row r="30" spans="1:24" x14ac:dyDescent="0.3">
      <c r="A30" s="8"/>
      <c r="B30" s="9"/>
      <c r="C30" s="9"/>
      <c r="D30" s="9"/>
      <c r="E30" s="9"/>
      <c r="F30" s="9"/>
      <c r="G30" s="9"/>
      <c r="H30" s="9"/>
      <c r="I30" s="9"/>
      <c r="J30" s="9"/>
      <c r="K30" s="9"/>
      <c r="L30" s="9"/>
      <c r="M30" s="9"/>
      <c r="N30" s="9"/>
      <c r="O30" s="9"/>
      <c r="P30" s="9"/>
      <c r="Q30" s="9"/>
      <c r="R30" s="9"/>
      <c r="S30" s="9"/>
      <c r="T30" s="9"/>
      <c r="U30" s="9"/>
      <c r="V30" s="9"/>
      <c r="W30" s="9"/>
      <c r="X30" s="10"/>
    </row>
    <row r="31" spans="1:24" x14ac:dyDescent="0.3">
      <c r="A31" s="8"/>
      <c r="B31" s="9"/>
      <c r="C31" s="9"/>
      <c r="D31" s="9"/>
      <c r="E31" s="9"/>
      <c r="F31" s="9"/>
      <c r="G31" s="9"/>
      <c r="H31" s="9"/>
      <c r="I31" s="9"/>
      <c r="J31" s="9"/>
      <c r="K31" s="9"/>
      <c r="L31" s="9"/>
      <c r="M31" s="9"/>
      <c r="N31" s="9"/>
      <c r="O31" s="9"/>
      <c r="P31" s="9"/>
      <c r="Q31" s="9"/>
      <c r="R31" s="9"/>
      <c r="S31" s="9"/>
      <c r="T31" s="9"/>
      <c r="U31" s="9"/>
      <c r="V31" s="9"/>
      <c r="W31" s="9"/>
      <c r="X31" s="10"/>
    </row>
    <row r="32" spans="1:24" x14ac:dyDescent="0.3">
      <c r="A32" s="8"/>
      <c r="B32" s="9"/>
      <c r="C32" s="9"/>
      <c r="D32" s="9"/>
      <c r="E32" s="9"/>
      <c r="F32" s="9"/>
      <c r="G32" s="9"/>
      <c r="H32" s="9"/>
      <c r="I32" s="9"/>
      <c r="J32" s="9"/>
      <c r="K32" s="9"/>
      <c r="L32" s="9"/>
      <c r="M32" s="9"/>
      <c r="N32" s="9"/>
      <c r="O32" s="9"/>
      <c r="P32" s="9"/>
      <c r="Q32" s="9"/>
      <c r="R32" s="9"/>
      <c r="S32" s="9"/>
      <c r="T32" s="9"/>
      <c r="U32" s="9"/>
      <c r="V32" s="9"/>
      <c r="W32" s="9"/>
      <c r="X32" s="10"/>
    </row>
    <row r="33" spans="1:24" x14ac:dyDescent="0.3">
      <c r="A33" s="8"/>
      <c r="B33" s="9"/>
      <c r="C33" s="9"/>
      <c r="D33" s="9"/>
      <c r="E33" s="9"/>
      <c r="F33" s="9"/>
      <c r="G33" s="9"/>
      <c r="H33" s="9"/>
      <c r="I33" s="9"/>
      <c r="J33" s="9"/>
      <c r="K33" s="9"/>
      <c r="L33" s="9"/>
      <c r="M33" s="9"/>
      <c r="N33" s="9"/>
      <c r="O33" s="9"/>
      <c r="P33" s="9"/>
      <c r="Q33" s="9"/>
      <c r="R33" s="9"/>
      <c r="S33" s="9"/>
      <c r="T33" s="9"/>
      <c r="U33" s="9"/>
      <c r="V33" s="9"/>
      <c r="W33" s="9"/>
      <c r="X33" s="10"/>
    </row>
    <row r="34" spans="1:24" x14ac:dyDescent="0.3">
      <c r="A34" s="8"/>
      <c r="B34" s="9"/>
      <c r="C34" s="9"/>
      <c r="D34" s="9"/>
      <c r="E34" s="9"/>
      <c r="F34" s="9"/>
      <c r="G34" s="9"/>
      <c r="H34" s="9"/>
      <c r="I34" s="9"/>
      <c r="J34" s="9"/>
      <c r="K34" s="9"/>
      <c r="L34" s="9"/>
      <c r="M34" s="9"/>
      <c r="N34" s="9"/>
      <c r="O34" s="9"/>
      <c r="P34" s="9"/>
      <c r="Q34" s="9"/>
      <c r="R34" s="9"/>
      <c r="S34" s="9"/>
      <c r="T34" s="9"/>
      <c r="U34" s="9"/>
      <c r="V34" s="9"/>
      <c r="W34" s="9"/>
      <c r="X34" s="10"/>
    </row>
    <row r="35" spans="1:24" x14ac:dyDescent="0.3">
      <c r="A35" s="8"/>
      <c r="B35" s="9"/>
      <c r="C35" s="9"/>
      <c r="D35" s="9"/>
      <c r="E35" s="9"/>
      <c r="F35" s="9"/>
      <c r="G35" s="9"/>
      <c r="H35" s="9"/>
      <c r="I35" s="9"/>
      <c r="J35" s="9"/>
      <c r="K35" s="9"/>
      <c r="L35" s="9"/>
      <c r="M35" s="9"/>
      <c r="N35" s="9"/>
      <c r="O35" s="9"/>
      <c r="P35" s="9"/>
      <c r="Q35" s="9"/>
      <c r="R35" s="9"/>
      <c r="S35" s="9"/>
      <c r="T35" s="9"/>
      <c r="U35" s="9"/>
      <c r="V35" s="9"/>
      <c r="W35" s="9"/>
      <c r="X35" s="10"/>
    </row>
    <row r="36" spans="1:24" x14ac:dyDescent="0.3">
      <c r="A36" s="8"/>
      <c r="B36" s="9"/>
      <c r="C36" s="9"/>
      <c r="D36" s="9"/>
      <c r="E36" s="9"/>
      <c r="F36" s="9"/>
      <c r="G36" s="9"/>
      <c r="H36" s="9"/>
      <c r="I36" s="9"/>
      <c r="J36" s="9"/>
      <c r="K36" s="9"/>
      <c r="L36" s="9"/>
      <c r="M36" s="9"/>
      <c r="N36" s="9"/>
      <c r="O36" s="9"/>
      <c r="P36" s="9"/>
      <c r="Q36" s="9"/>
      <c r="R36" s="9"/>
      <c r="S36" s="9"/>
      <c r="T36" s="9"/>
      <c r="U36" s="9"/>
      <c r="V36" s="9"/>
      <c r="W36" s="9"/>
      <c r="X36" s="10"/>
    </row>
    <row r="37" spans="1:24" x14ac:dyDescent="0.3">
      <c r="A37" s="8"/>
      <c r="B37" s="9"/>
      <c r="C37" s="9"/>
      <c r="D37" s="9"/>
      <c r="E37" s="9"/>
      <c r="F37" s="9"/>
      <c r="G37" s="9"/>
      <c r="H37" s="9"/>
      <c r="I37" s="9"/>
      <c r="J37" s="9"/>
      <c r="K37" s="9"/>
      <c r="L37" s="9"/>
      <c r="M37" s="9"/>
      <c r="N37" s="9"/>
      <c r="O37" s="9"/>
      <c r="P37" s="9"/>
      <c r="Q37" s="9"/>
      <c r="R37" s="9"/>
      <c r="S37" s="9"/>
      <c r="T37" s="9"/>
      <c r="U37" s="9"/>
      <c r="V37" s="9"/>
      <c r="W37" s="9"/>
      <c r="X37" s="10"/>
    </row>
    <row r="38" spans="1:24" x14ac:dyDescent="0.3">
      <c r="A38" s="8"/>
      <c r="B38" s="9"/>
      <c r="C38" s="9"/>
      <c r="D38" s="9"/>
      <c r="E38" s="9"/>
      <c r="F38" s="9"/>
      <c r="G38" s="9"/>
      <c r="H38" s="9"/>
      <c r="I38" s="9"/>
      <c r="J38" s="9"/>
      <c r="K38" s="9"/>
      <c r="L38" s="9"/>
      <c r="M38" s="9"/>
      <c r="N38" s="9"/>
      <c r="O38" s="9"/>
      <c r="P38" s="9"/>
      <c r="Q38" s="9"/>
      <c r="R38" s="9"/>
      <c r="S38" s="9"/>
      <c r="T38" s="9"/>
      <c r="U38" s="9"/>
      <c r="V38" s="9"/>
      <c r="W38" s="9"/>
      <c r="X38" s="10"/>
    </row>
    <row r="39" spans="1:24" x14ac:dyDescent="0.3">
      <c r="A39" s="8"/>
      <c r="B39" s="9"/>
      <c r="C39" s="9"/>
      <c r="D39" s="9"/>
      <c r="E39" s="9"/>
      <c r="F39" s="9"/>
      <c r="G39" s="9"/>
      <c r="H39" s="9"/>
      <c r="I39" s="9"/>
      <c r="J39" s="9"/>
      <c r="K39" s="9"/>
      <c r="L39" s="9"/>
      <c r="M39" s="9"/>
      <c r="N39" s="9"/>
      <c r="O39" s="9"/>
      <c r="P39" s="9"/>
      <c r="Q39" s="9"/>
      <c r="R39" s="9"/>
      <c r="S39" s="9"/>
      <c r="T39" s="9"/>
      <c r="U39" s="9"/>
      <c r="V39" s="9"/>
      <c r="W39" s="9"/>
      <c r="X39" s="10"/>
    </row>
    <row r="40" spans="1:24" x14ac:dyDescent="0.3">
      <c r="A40" s="8"/>
      <c r="B40" s="9"/>
      <c r="C40" s="9"/>
      <c r="D40" s="9"/>
      <c r="E40" s="9"/>
      <c r="F40" s="9"/>
      <c r="G40" s="9"/>
      <c r="H40" s="9"/>
      <c r="I40" s="9"/>
      <c r="J40" s="9"/>
      <c r="K40" s="9"/>
      <c r="L40" s="9"/>
      <c r="M40" s="9"/>
      <c r="N40" s="9"/>
      <c r="O40" s="9"/>
      <c r="P40" s="9"/>
      <c r="Q40" s="9"/>
      <c r="R40" s="9"/>
      <c r="S40" s="9"/>
      <c r="T40" s="9"/>
      <c r="U40" s="9"/>
      <c r="V40" s="9"/>
      <c r="W40" s="9"/>
      <c r="X40" s="10"/>
    </row>
    <row r="41" spans="1:24" x14ac:dyDescent="0.3">
      <c r="A41" s="8"/>
      <c r="B41" s="9"/>
      <c r="C41" s="9"/>
      <c r="D41" s="9"/>
      <c r="E41" s="9"/>
      <c r="F41" s="9"/>
      <c r="G41" s="9"/>
      <c r="H41" s="9"/>
      <c r="I41" s="9"/>
      <c r="J41" s="9"/>
      <c r="K41" s="9"/>
      <c r="L41" s="9"/>
      <c r="M41" s="9"/>
      <c r="N41" s="9"/>
      <c r="O41" s="9"/>
      <c r="P41" s="9"/>
      <c r="Q41" s="9"/>
      <c r="R41" s="9"/>
      <c r="S41" s="9"/>
      <c r="T41" s="9"/>
      <c r="U41" s="9"/>
      <c r="V41" s="9"/>
      <c r="W41" s="9"/>
      <c r="X41" s="10"/>
    </row>
    <row r="42" spans="1:24" x14ac:dyDescent="0.3">
      <c r="A42" s="8"/>
      <c r="B42" s="9"/>
      <c r="C42" s="9"/>
      <c r="D42" s="9"/>
      <c r="E42" s="9"/>
      <c r="F42" s="9"/>
      <c r="G42" s="9"/>
      <c r="H42" s="9"/>
      <c r="I42" s="9"/>
      <c r="J42" s="9"/>
      <c r="K42" s="9"/>
      <c r="L42" s="9"/>
      <c r="M42" s="9"/>
      <c r="N42" s="9"/>
      <c r="O42" s="9"/>
      <c r="P42" s="9"/>
      <c r="Q42" s="9"/>
      <c r="R42" s="9"/>
      <c r="S42" s="9"/>
      <c r="T42" s="9"/>
      <c r="U42" s="9"/>
      <c r="V42" s="9"/>
      <c r="W42" s="9"/>
      <c r="X42" s="10"/>
    </row>
    <row r="43" spans="1:24" x14ac:dyDescent="0.3">
      <c r="A43" s="11"/>
      <c r="B43" s="12"/>
      <c r="C43" s="12"/>
      <c r="D43" s="12"/>
      <c r="E43" s="12"/>
      <c r="F43" s="12"/>
      <c r="G43" s="12"/>
      <c r="H43" s="12"/>
      <c r="I43" s="12"/>
      <c r="J43" s="12"/>
      <c r="K43" s="12"/>
      <c r="L43" s="12"/>
      <c r="M43" s="12"/>
      <c r="N43" s="12"/>
      <c r="O43" s="12"/>
      <c r="P43" s="12"/>
      <c r="Q43" s="12"/>
      <c r="R43" s="12"/>
      <c r="S43" s="12"/>
      <c r="T43" s="12"/>
      <c r="U43" s="12"/>
      <c r="V43" s="12"/>
      <c r="W43" s="12"/>
      <c r="X43"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PIVOTING</vt:lpstr>
      <vt:lpstr>Sales_Data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Anandu krishna</cp:lastModifiedBy>
  <dcterms:created xsi:type="dcterms:W3CDTF">2026-06-10T05:50:56Z</dcterms:created>
  <dcterms:modified xsi:type="dcterms:W3CDTF">2026-07-04T12:13:33Z</dcterms:modified>
</cp:coreProperties>
</file>